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4440" windowWidth="17390" windowHeight="5820" tabRatio="934" firstSheet="11" activeTab="11"/>
  </bookViews>
  <sheets>
    <sheet name="Database" sheetId="9" state="hidden" r:id="rId1"/>
    <sheet name="PlanData" sheetId="40" state="hidden" r:id="rId2"/>
    <sheet name="Capacity" sheetId="49" state="hidden" r:id="rId3"/>
    <sheet name="WC_Cap" sheetId="46" state="hidden" r:id="rId4"/>
    <sheet name="Cap_Start" sheetId="45" state="hidden" r:id="rId5"/>
    <sheet name="Descriptions" sheetId="8" state="hidden" r:id="rId6"/>
    <sheet name="PvtTableDef" sheetId="33" state="hidden" r:id="rId7"/>
    <sheet name="LocalLists" sheetId="24" state="hidden" r:id="rId8"/>
    <sheet name="ReportOptions" sheetId="10" state="hidden" r:id="rId9"/>
    <sheet name="Version" sheetId="5" state="hidden" r:id="rId10"/>
    <sheet name="Information" sheetId="34" state="hidden" r:id="rId11"/>
    <sheet name="Rapport info" sheetId="1" r:id="rId12"/>
    <sheet name="ProdPlan" sheetId="35" r:id="rId13"/>
    <sheet name="Sequence" sheetId="36" r:id="rId14"/>
    <sheet name="Mixing Status" sheetId="37" r:id="rId15"/>
    <sheet name="Deviations" sheetId="38" r:id="rId16"/>
    <sheet name="Låst plan" sheetId="39" r:id="rId17"/>
  </sheets>
  <definedNames>
    <definedName name="_Day1">ProdPlan!$B$6:$Y$6</definedName>
    <definedName name="_Day2">ProdPlan!$Z$6:$AW$6</definedName>
    <definedName name="_Day3">ProdPlan!$AX$6:$BU$6</definedName>
    <definedName name="CapDate">ReportOptions!$B$11</definedName>
    <definedName name="CapDateNumber">WC_Cap!$Q$1:$W$33</definedName>
    <definedName name="CapDates">WC_Cap!$Q$1:$Q$15</definedName>
    <definedName name="CapStart">Cap_Start!$1:$1048576</definedName>
    <definedName name="CapStartDay" localSheetId="2">tWCCap[[Index]:[Shift]]</definedName>
    <definedName name="CapStartDay">tWCCap[[Index]:[Shift]]</definedName>
    <definedName name="Currency">ReportOptions!$B$10</definedName>
    <definedName name="CustomerHierarchy">ReportOptions!$B$7</definedName>
    <definedName name="Days">ProdPlan!$B$6:$DQ$6</definedName>
    <definedName name="EndTime">ProdPlan!$Z$6</definedName>
    <definedName name="FirstSheet">Version!$B$6</definedName>
    <definedName name="FirstTable">Version!$B$7</definedName>
    <definedName name="FromDate">ReportOptions!$B$12</definedName>
    <definedName name="MaterialPrice">ReportOptions!$B$5</definedName>
    <definedName name="Night">ProdPlan!$B$6:$H$6</definedName>
    <definedName name="NowValue">Database!$CX$1</definedName>
    <definedName name="PlanData" localSheetId="2">PlanAll[[Order]:[Start_Time]]</definedName>
    <definedName name="PlanData">PlanAll[[Order]:[Start_Time]]</definedName>
    <definedName name="PlanStart">PlanData!$DP$1</definedName>
    <definedName name="PlanTime">PlanData!$DO$1</definedName>
    <definedName name="PlanTime1">PlanData!$DQ$1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Caption2">Version!$B$10</definedName>
    <definedName name="ReportCaption3">Version!$B$11</definedName>
    <definedName name="ReportCaption4">Version!$B$12</definedName>
    <definedName name="ReportID">Version!$B$4</definedName>
    <definedName name="SalesValue">ReportOptions!$B$8</definedName>
    <definedName name="SapExlReportName">Version!$B$5</definedName>
    <definedName name="StartTime">ProdPlan!$B$6</definedName>
    <definedName name="StartWC">ProdPlan!$A$6</definedName>
    <definedName name="Time">"Rektangel 28905"</definedName>
    <definedName name="Time_Used">'Rapport info'!$K$12</definedName>
    <definedName name="TimeNow">Database!$CU$1</definedName>
    <definedName name="ToDay">Database!$CW$1</definedName>
    <definedName name="Updated">'Rapport info'!$K$11</definedName>
    <definedName name="WC_Cap" localSheetId="2">tWCCap[[Work Center]:[Capacity]]</definedName>
    <definedName name="WC_Cap">tWCCap[[Work Center]:[Capacity]]</definedName>
    <definedName name="WC_Plan">ProdPlan!$A$7:$A$203</definedName>
  </definedNames>
  <calcPr calcId="152511"/>
  <pivotCaches>
    <pivotCache cacheId="0" r:id="rId18"/>
    <pivotCache cacheId="1" r:id="rId19"/>
  </pivotCaches>
</workbook>
</file>

<file path=xl/calcChain.xml><?xml version="1.0" encoding="utf-8"?>
<calcChain xmlns="http://schemas.openxmlformats.org/spreadsheetml/2006/main">
  <c r="A3" i="40" l="1"/>
  <c r="A4" i="40"/>
  <c r="DK4" i="40" s="1"/>
  <c r="CX4" i="40"/>
  <c r="CZ4" i="40"/>
  <c r="CV4" i="40" l="1"/>
  <c r="DC4" i="40" s="1"/>
  <c r="CT4" i="40" s="1"/>
  <c r="DJ4" i="40"/>
  <c r="DH4" i="40"/>
  <c r="DE4" i="40"/>
  <c r="DB4" i="40"/>
  <c r="CS4" i="40"/>
  <c r="CY4" i="40"/>
  <c r="CW4" i="40"/>
  <c r="CB2" i="9"/>
  <c r="CB3" i="9"/>
  <c r="BX2" i="9" l="1"/>
  <c r="BX3" i="9"/>
  <c r="BN2" i="9" l="1"/>
  <c r="BN3" i="9"/>
  <c r="CN2" i="9" l="1"/>
  <c r="CN3" i="9"/>
  <c r="DK2" i="40" l="1"/>
  <c r="DK3" i="40"/>
  <c r="DJ2" i="40"/>
  <c r="DJ3" i="40"/>
  <c r="DH2" i="40"/>
  <c r="DH3" i="40"/>
  <c r="CY2" i="40"/>
  <c r="CY3" i="40"/>
  <c r="CS2" i="40"/>
  <c r="CS3" i="40"/>
  <c r="BM2" i="9" l="1"/>
  <c r="BM3" i="9"/>
  <c r="BV2" i="9" l="1"/>
  <c r="BV3" i="9"/>
  <c r="Q1" i="46" l="1"/>
  <c r="Q2" i="46" l="1"/>
  <c r="BO2" i="9" l="1"/>
  <c r="BO3" i="9"/>
  <c r="CO3" i="9" l="1"/>
  <c r="CP3" i="9"/>
  <c r="CP2" i="9"/>
  <c r="CO2" i="9"/>
  <c r="CW1" i="9"/>
  <c r="CM2" i="9" l="1"/>
  <c r="CM3" i="9"/>
  <c r="CL2" i="9"/>
  <c r="CL3" i="9"/>
  <c r="CK2" i="9"/>
  <c r="CK3" i="9"/>
  <c r="BJ2" i="9"/>
  <c r="BJ3" i="9"/>
  <c r="CX2" i="40" l="1"/>
  <c r="CX3" i="40"/>
  <c r="CZ2" i="40"/>
  <c r="CZ3" i="40"/>
  <c r="DA2" i="40"/>
  <c r="DA3" i="40"/>
  <c r="A2" i="40" l="1"/>
  <c r="BL2" i="9" l="1"/>
  <c r="BL3" i="9"/>
  <c r="A2" i="9" l="1"/>
  <c r="A3" i="9"/>
  <c r="CJ3" i="9" s="1"/>
  <c r="CJ2" i="9" l="1"/>
  <c r="BK2" i="9" l="1"/>
  <c r="BK3" i="9"/>
  <c r="A1" i="35" l="1"/>
  <c r="A2" i="39" l="1"/>
  <c r="C12" i="10" l="1"/>
  <c r="A2" i="35"/>
  <c r="U13" i="46" l="1"/>
  <c r="U14" i="46" s="1"/>
  <c r="DP1" i="40" l="1"/>
  <c r="J2" i="46" l="1"/>
  <c r="J3" i="46"/>
  <c r="H2" i="46" l="1"/>
  <c r="H3" i="46"/>
  <c r="I2" i="46" l="1"/>
  <c r="I3" i="46" s="1"/>
  <c r="X1" i="46" l="1"/>
  <c r="X2" i="46" s="1"/>
  <c r="X3" i="46" s="1"/>
  <c r="X4" i="46" s="1"/>
  <c r="X5" i="46" s="1"/>
  <c r="X6" i="46" s="1"/>
  <c r="X7" i="46" s="1"/>
  <c r="X8" i="46" s="1"/>
  <c r="X9" i="46" s="1"/>
  <c r="X10" i="46" s="1"/>
  <c r="X11" i="46" s="1"/>
  <c r="X12" i="46" s="1"/>
  <c r="X13" i="46" s="1"/>
  <c r="X14" i="46" s="1"/>
  <c r="X15" i="46" s="1"/>
  <c r="S1" i="46"/>
  <c r="CV2" i="9" l="1"/>
  <c r="CV1" i="9"/>
  <c r="CU1" i="9" l="1"/>
  <c r="CX1" i="9"/>
  <c r="Y1" i="46"/>
  <c r="Q3" i="46"/>
  <c r="Q4" i="46" s="1"/>
  <c r="Q5" i="46" s="1"/>
  <c r="Q6" i="46" s="1"/>
  <c r="Q7" i="46" s="1"/>
  <c r="Q8" i="46" s="1"/>
  <c r="Q9" i="46" s="1"/>
  <c r="Q10" i="46" s="1"/>
  <c r="Q11" i="46" s="1"/>
  <c r="Q12" i="46" s="1"/>
  <c r="Q13" i="46" s="1"/>
  <c r="Q14" i="46" s="1"/>
  <c r="Q15" i="46" s="1"/>
  <c r="Y2" i="46" l="1"/>
  <c r="L2" i="46"/>
  <c r="L3" i="46"/>
  <c r="K2" i="46"/>
  <c r="K3" i="46"/>
  <c r="N3" i="46" l="1"/>
  <c r="N2" i="46"/>
  <c r="Y3" i="46"/>
  <c r="Y4" i="46"/>
  <c r="M2" i="46"/>
  <c r="Y5" i="46" l="1"/>
  <c r="Y6" i="46" l="1"/>
  <c r="Y7" i="46" l="1"/>
  <c r="Y8" i="46" l="1"/>
  <c r="A3" i="35"/>
  <c r="A2" i="38"/>
  <c r="A2" i="36"/>
  <c r="K3" i="39"/>
  <c r="B6" i="35"/>
  <c r="C6" i="35" s="1"/>
  <c r="D6" i="35" s="1"/>
  <c r="E6" i="35" s="1"/>
  <c r="F6" i="35" s="1"/>
  <c r="G6" i="35" s="1"/>
  <c r="H6" i="35" s="1"/>
  <c r="I6" i="35" s="1"/>
  <c r="J6" i="35" s="1"/>
  <c r="K6" i="35" s="1"/>
  <c r="L6" i="35" s="1"/>
  <c r="M6" i="35" s="1"/>
  <c r="N6" i="35" s="1"/>
  <c r="Y9" i="46" l="1"/>
  <c r="N5" i="35"/>
  <c r="O6" i="35"/>
  <c r="P6" i="35" s="1"/>
  <c r="Q6" i="35" s="1"/>
  <c r="R6" i="35" s="1"/>
  <c r="S6" i="35" s="1"/>
  <c r="T6" i="35" s="1"/>
  <c r="U6" i="35" s="1"/>
  <c r="V6" i="35" s="1"/>
  <c r="W6" i="35" s="1"/>
  <c r="X6" i="35" s="1"/>
  <c r="Y6" i="35" s="1"/>
  <c r="Z6" i="35" s="1"/>
  <c r="AA6" i="35" s="1"/>
  <c r="AB6" i="35" s="1"/>
  <c r="AC6" i="35" s="1"/>
  <c r="AD6" i="35" s="1"/>
  <c r="AE6" i="35" s="1"/>
  <c r="AF6" i="35" s="1"/>
  <c r="AG6" i="35" s="1"/>
  <c r="AH6" i="35" s="1"/>
  <c r="AI6" i="35" s="1"/>
  <c r="AJ6" i="35" s="1"/>
  <c r="AK6" i="35" s="1"/>
  <c r="AL6" i="35" s="1"/>
  <c r="Y10" i="46" l="1"/>
  <c r="AL5" i="35"/>
  <c r="AM6" i="35"/>
  <c r="AN6" i="35" s="1"/>
  <c r="AO6" i="35" s="1"/>
  <c r="AP6" i="35" s="1"/>
  <c r="AQ6" i="35" s="1"/>
  <c r="AR6" i="35" s="1"/>
  <c r="AS6" i="35" s="1"/>
  <c r="AT6" i="35" s="1"/>
  <c r="AU6" i="35" s="1"/>
  <c r="AV6" i="35" s="1"/>
  <c r="AW6" i="35" s="1"/>
  <c r="AX6" i="35" s="1"/>
  <c r="AY6" i="35" s="1"/>
  <c r="AZ6" i="35" s="1"/>
  <c r="BA6" i="35" s="1"/>
  <c r="BB6" i="35" s="1"/>
  <c r="BC6" i="35" s="1"/>
  <c r="BD6" i="35" s="1"/>
  <c r="BE6" i="35" s="1"/>
  <c r="BF6" i="35" s="1"/>
  <c r="BG6" i="35" s="1"/>
  <c r="BH6" i="35" s="1"/>
  <c r="BI6" i="35" s="1"/>
  <c r="BJ6" i="35" s="1"/>
  <c r="Y11" i="46" l="1"/>
  <c r="BK6" i="35"/>
  <c r="BL6" i="35" s="1"/>
  <c r="BM6" i="35" s="1"/>
  <c r="BN6" i="35" s="1"/>
  <c r="BO6" i="35" s="1"/>
  <c r="BP6" i="35" s="1"/>
  <c r="BQ6" i="35" s="1"/>
  <c r="BR6" i="35" s="1"/>
  <c r="BS6" i="35" s="1"/>
  <c r="BT6" i="35" s="1"/>
  <c r="BU6" i="35" s="1"/>
  <c r="BV6" i="35" s="1"/>
  <c r="BW6" i="35" s="1"/>
  <c r="BX6" i="35" s="1"/>
  <c r="BY6" i="35" s="1"/>
  <c r="BZ6" i="35" s="1"/>
  <c r="CA6" i="35" s="1"/>
  <c r="CB6" i="35" s="1"/>
  <c r="CC6" i="35" s="1"/>
  <c r="CD6" i="35" s="1"/>
  <c r="CE6" i="35" s="1"/>
  <c r="CF6" i="35" s="1"/>
  <c r="CG6" i="35" s="1"/>
  <c r="CH6" i="35" s="1"/>
  <c r="BJ5" i="35"/>
  <c r="B2" i="34"/>
  <c r="Y12" i="46" l="1"/>
  <c r="CH5" i="35"/>
  <c r="CI6" i="35"/>
  <c r="CJ6" i="35" s="1"/>
  <c r="CK6" i="35" s="1"/>
  <c r="CL6" i="35" s="1"/>
  <c r="CM6" i="35" s="1"/>
  <c r="CN6" i="35" s="1"/>
  <c r="CO6" i="35" s="1"/>
  <c r="CP6" i="35" s="1"/>
  <c r="CQ6" i="35" s="1"/>
  <c r="CR6" i="35" s="1"/>
  <c r="CS6" i="35" s="1"/>
  <c r="CT6" i="35" s="1"/>
  <c r="CU6" i="35" s="1"/>
  <c r="CV6" i="35" s="1"/>
  <c r="CW6" i="35" s="1"/>
  <c r="CX6" i="35" s="1"/>
  <c r="CY6" i="35" s="1"/>
  <c r="CZ6" i="35" s="1"/>
  <c r="DA6" i="35" s="1"/>
  <c r="DB6" i="35" s="1"/>
  <c r="DC6" i="35" s="1"/>
  <c r="DD6" i="35" s="1"/>
  <c r="DE6" i="35" s="1"/>
  <c r="DF6" i="35" s="1"/>
  <c r="DG6" i="35" s="1"/>
  <c r="DH6" i="35" s="1"/>
  <c r="DI6" i="35" s="1"/>
  <c r="Y13" i="46" l="1"/>
  <c r="DI5" i="35"/>
  <c r="DJ6" i="35"/>
  <c r="DK6" i="35" s="1"/>
  <c r="DL6" i="35" s="1"/>
  <c r="DM6" i="35" s="1"/>
  <c r="DN6" i="35" s="1"/>
  <c r="DO6" i="35" s="1"/>
  <c r="DP6" i="35" s="1"/>
  <c r="DQ6" i="35" s="1"/>
  <c r="DR6" i="35" s="1"/>
  <c r="DS6" i="35" s="1"/>
  <c r="DT6" i="35" s="1"/>
  <c r="Y14" i="46" l="1"/>
  <c r="CD3" i="9"/>
  <c r="CD2" i="9"/>
  <c r="J8" i="10"/>
  <c r="J7" i="10"/>
  <c r="J6" i="10"/>
  <c r="C7" i="10" s="1"/>
  <c r="J5" i="10"/>
  <c r="C6" i="10"/>
  <c r="C5" i="10"/>
  <c r="C8" i="10"/>
  <c r="C9" i="10"/>
  <c r="Y15" i="46" l="1"/>
  <c r="C10" i="10" l="1"/>
  <c r="M3" i="46" l="1"/>
  <c r="U10" i="46" l="1"/>
  <c r="CE3" i="9"/>
  <c r="CG2" i="9"/>
  <c r="BR2" i="9" s="1"/>
  <c r="BQ2" i="9" l="1"/>
  <c r="CV3" i="40"/>
  <c r="CI2" i="9"/>
  <c r="BP2" i="9"/>
  <c r="BU2" i="9" s="1"/>
  <c r="CA2" i="9" s="1"/>
  <c r="CH2" i="9"/>
  <c r="CH3" i="9" s="1"/>
  <c r="BR3" i="9" s="1"/>
  <c r="BP3" i="9" s="1"/>
  <c r="DC3" i="40" l="1"/>
  <c r="CT3" i="40" s="1"/>
  <c r="DF4" i="40"/>
  <c r="CU4" i="40" s="1"/>
  <c r="DG4" i="40" s="1"/>
  <c r="DI4" i="40" s="1"/>
  <c r="CI3" i="9"/>
  <c r="BQ3" i="9"/>
  <c r="BU3" i="9" s="1"/>
  <c r="CC2" i="9"/>
  <c r="CE2" i="9" s="1"/>
  <c r="CF2" i="9" s="1"/>
  <c r="BZ2" i="9" s="1"/>
  <c r="DF2" i="40"/>
  <c r="DC2" i="40" s="1"/>
  <c r="DF3" i="40"/>
  <c r="DB3" i="40"/>
  <c r="CQ2" i="9"/>
  <c r="CR2" i="9" s="1"/>
  <c r="DB2" i="40"/>
  <c r="DE3" i="40"/>
  <c r="DE2" i="40"/>
  <c r="DD3" i="40" l="1"/>
  <c r="DD4" i="40" s="1"/>
  <c r="CA3" i="9"/>
  <c r="CC3" i="9"/>
  <c r="CF3" i="9" s="1"/>
  <c r="DD2" i="40"/>
  <c r="U3" i="46"/>
  <c r="CU3" i="40"/>
  <c r="DG3" i="40"/>
  <c r="DI3" i="40" s="1"/>
  <c r="CQ3" i="9"/>
  <c r="CR3" i="9" s="1"/>
  <c r="CW2" i="40"/>
  <c r="U4" i="46" s="1"/>
  <c r="CW3" i="40"/>
  <c r="CT2" i="40" l="1"/>
  <c r="DG2" i="40" s="1"/>
  <c r="U5" i="46"/>
  <c r="U15" i="46" s="1"/>
  <c r="BZ3" i="9"/>
  <c r="CU2" i="40" l="1"/>
  <c r="U6" i="46"/>
  <c r="U7" i="46"/>
  <c r="U11" i="46" s="1"/>
  <c r="DI2" i="40"/>
  <c r="N2" i="35" l="1"/>
  <c r="U17" i="46"/>
  <c r="U18" i="46" s="1"/>
</calcChain>
</file>

<file path=xl/comments1.xml><?xml version="1.0" encoding="utf-8"?>
<comments xmlns="http://schemas.openxmlformats.org/spreadsheetml/2006/main">
  <authors>
    <author>Bjørn Tømmerbakk</author>
  </authors>
  <commentList>
    <comment ref="U10" authorId="0" shapeId="0">
      <text>
        <r>
          <rPr>
            <b/>
            <sz val="8"/>
            <color indexed="81"/>
            <rFont val="Tahoma"/>
            <family val="2"/>
          </rPr>
          <t>Bjørn Tømmerbakk:</t>
        </r>
        <r>
          <rPr>
            <sz val="8"/>
            <color indexed="81"/>
            <rFont val="Tahoma"/>
            <family val="2"/>
          </rPr>
          <t xml:space="preserve">
Total capacity in machine hours planned.</t>
        </r>
      </text>
    </comment>
  </commentList>
</comments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<sst xmlns="http://schemas.openxmlformats.org/spreadsheetml/2006/main" count="863" uniqueCount="433">
  <si>
    <t>Material Name</t>
  </si>
  <si>
    <t>ReportName</t>
  </si>
  <si>
    <t>ReportID</t>
  </si>
  <si>
    <t>Plnt</t>
  </si>
  <si>
    <t>Material</t>
  </si>
  <si>
    <t>BUn</t>
  </si>
  <si>
    <t>Material Description</t>
  </si>
  <si>
    <t>Total Stock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</si>
  <si>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</si>
  <si>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</si>
  <si>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</si>
  <si>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</si>
  <si>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</si>
  <si>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</si>
  <si>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</si>
  <si>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</si>
  <si>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</si>
  <si>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</si>
  <si>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</si>
  <si>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</si>
  <si>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</si>
  <si>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</si>
  <si>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</si>
  <si>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</si>
  <si>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</si>
  <si>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</si>
  <si>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</si>
  <si>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</si>
  <si>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</si>
  <si>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</si>
  <si>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</si>
  <si>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</si>
  <si>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</si>
  <si>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</si>
  <si>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</si>
  <si>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</si>
  <si>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</si>
  <si>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</si>
  <si>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</si>
  <si>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</si>
  <si>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</si>
  <si>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</si>
  <si>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</si>
  <si>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</si>
  <si>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Valid to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</si>
  <si>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</si>
  <si>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</si>
  <si>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</si>
  <si>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</si>
  <si>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</si>
  <si>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</si>
  <si>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</si>
  <si>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</si>
  <si>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</si>
  <si>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</si>
  <si>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</si>
  <si>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</si>
  <si>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</si>
  <si>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</si>
  <si>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</si>
  <si>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</si>
  <si>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</si>
  <si>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</si>
  <si>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</si>
  <si>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</si>
  <si>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</si>
  <si>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</si>
  <si>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</si>
  <si>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</si>
  <si>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</si>
  <si>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</si>
  <si>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</si>
  <si>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ID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</si>
  <si>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</si>
  <si>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</si>
  <si>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</si>
  <si>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</si>
  <si>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</si>
  <si>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</si>
  <si>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</si>
  <si>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</si>
  <si>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</si>
  <si>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</si>
  <si>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</si>
  <si>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</si>
  <si>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</si>
  <si>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</si>
  <si>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</si>
  <si>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</si>
  <si>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</si>
  <si>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</si>
  <si>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</si>
  <si>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</si>
  <si>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</si>
  <si>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</si>
  <si>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</si>
  <si>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</si>
  <si>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</si>
  <si>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</si>
  <si>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</si>
  <si>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</si>
  <si>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</si>
  <si>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</si>
  <si>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</si>
  <si>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</si>
  <si>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</si>
  <si>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</si>
  <si>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</si>
  <si>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</si>
  <si>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NOLA</t>
  </si>
  <si>
    <t>NOAR</t>
  </si>
  <si>
    <t>- Selects all released (not finished) Process Orders for the next 3 days</t>
  </si>
  <si>
    <t>- Create or read actual production plan for selected production resources</t>
  </si>
  <si>
    <t>- Process orders are presented as graphics, with key information</t>
  </si>
  <si>
    <t>- Display present time as a time line, with deviations in hh:mm from plan</t>
  </si>
  <si>
    <t>- Time deviation is related to active process order (red colored orders)</t>
  </si>
  <si>
    <t>- Finished orders are grey, active order is red and coming orders are brown</t>
  </si>
  <si>
    <t>- A single red Plan Line mark the plan creation time</t>
  </si>
  <si>
    <t>- Only responsible planning person is alowed to create new plan</t>
  </si>
  <si>
    <t>Order</t>
  </si>
  <si>
    <t>Actual start date</t>
  </si>
  <si>
    <t>Total order quantity</t>
  </si>
  <si>
    <t>Total Scrap Quantity in the Or</t>
  </si>
  <si>
    <t>ActlStart</t>
  </si>
  <si>
    <t>Ph</t>
  </si>
  <si>
    <t>Work ctr</t>
  </si>
  <si>
    <t>Order priority</t>
  </si>
  <si>
    <t>Ctrl</t>
  </si>
  <si>
    <t>UoM</t>
  </si>
  <si>
    <t>Base Quantity</t>
  </si>
  <si>
    <t>Operation Qty</t>
  </si>
  <si>
    <t>Scrap quantity</t>
  </si>
  <si>
    <t>Confirmed yield</t>
  </si>
  <si>
    <t>Confirmed scrap</t>
  </si>
  <si>
    <t>Counter</t>
  </si>
  <si>
    <t>Act. Start</t>
  </si>
  <si>
    <t>Act.start</t>
  </si>
  <si>
    <t>Act.finish</t>
  </si>
  <si>
    <t>Setup time</t>
  </si>
  <si>
    <t>Setup unit</t>
  </si>
  <si>
    <t>Processing time</t>
  </si>
  <si>
    <t>Un.</t>
  </si>
  <si>
    <t>Earl.start date</t>
  </si>
  <si>
    <t>Earl.start time</t>
  </si>
  <si>
    <t>Lat.start date</t>
  </si>
  <si>
    <t>Lat. start time</t>
  </si>
  <si>
    <t>Scheduled start</t>
  </si>
  <si>
    <t>Scheduled finish</t>
  </si>
  <si>
    <t>Finish tme</t>
  </si>
  <si>
    <t>SchedStart</t>
  </si>
  <si>
    <t>Quantity of goods received</t>
  </si>
  <si>
    <t>OUM</t>
  </si>
  <si>
    <t>Short description</t>
  </si>
  <si>
    <t>Actual Order Finish Date</t>
  </si>
  <si>
    <t>Confirmed qty</t>
  </si>
  <si>
    <t>Actual finish date</t>
  </si>
  <si>
    <t>DCI</t>
  </si>
  <si>
    <t>Reqmt Qty</t>
  </si>
  <si>
    <t>Qty Withdrawn</t>
  </si>
  <si>
    <t>Rem_Qty</t>
  </si>
  <si>
    <t>RT_Total</t>
  </si>
  <si>
    <t>Setup</t>
  </si>
  <si>
    <t>Rem_Time</t>
  </si>
  <si>
    <t>Sequence</t>
  </si>
  <si>
    <t>Start_DateH</t>
  </si>
  <si>
    <t>Start_TimeH</t>
  </si>
  <si>
    <t>Active</t>
  </si>
  <si>
    <t>End_Date</t>
  </si>
  <si>
    <t>End_Time</t>
  </si>
  <si>
    <t>Start</t>
  </si>
  <si>
    <t>Stop</t>
  </si>
  <si>
    <t>StartSec</t>
  </si>
  <si>
    <t>Work Center</t>
  </si>
  <si>
    <t>StopSec</t>
  </si>
  <si>
    <t>Acc_Cap</t>
  </si>
  <si>
    <t>StartCap</t>
  </si>
  <si>
    <t>Acc_Cap2</t>
  </si>
  <si>
    <t>Startverdi</t>
  </si>
  <si>
    <t>Prodverdi</t>
  </si>
  <si>
    <t>Nå_verdi</t>
  </si>
  <si>
    <t>Totverdi</t>
  </si>
  <si>
    <t>Akt_Help</t>
  </si>
  <si>
    <t>Acc_Akt</t>
  </si>
  <si>
    <t>ActStarted</t>
  </si>
  <si>
    <t>Locked</t>
  </si>
  <si>
    <t>Cap_ToDay</t>
  </si>
  <si>
    <t>Left_Now</t>
  </si>
  <si>
    <t>CapStart</t>
  </si>
  <si>
    <t>Mix_Status</t>
  </si>
  <si>
    <t>Help2</t>
  </si>
  <si>
    <t>Help3</t>
  </si>
  <si>
    <t>Start_Date</t>
  </si>
  <si>
    <t>Start_Time</t>
  </si>
  <si>
    <t>Purpose:</t>
  </si>
  <si>
    <t>Display current production progress related to the fixed daily production plan.</t>
  </si>
  <si>
    <t>Data Sources:</t>
  </si>
  <si>
    <t>SAP Query "CAP_PLAN" in Query user Group ZMM,  Tcode Y119. Tables included in the query:</t>
  </si>
  <si>
    <t>SAP Query "CAP_WC" in Query user Group ZMM,  Tcode Y120. Tables included in the query:</t>
  </si>
  <si>
    <t>Dependencies</t>
  </si>
  <si>
    <t>This report reads active process orders from SAP, their operations and phases. Sorting order:</t>
  </si>
  <si>
    <t>- latest actual start time</t>
  </si>
  <si>
    <t>- earliest scheduled start time</t>
  </si>
  <si>
    <t>Finished orders are grey, active order is red and coming orders are brown. An order is defined as active if it</t>
  </si>
  <si>
    <t>is the next order in the sequence and it either have an actual start time - or quantity of goods received are &gt; 0.</t>
  </si>
  <si>
    <t xml:space="preserve">To get a realistic plan the process orders in SAP has to have the right scheduling order. If this isn't done, actual </t>
  </si>
  <si>
    <t>production order will differ from the plan - and we'll get huge deviations.</t>
  </si>
  <si>
    <t>The report also read the capcity tables in SAP to be able to calculate the end and start times of the process orders.</t>
  </si>
  <si>
    <t>Any missing or incorrect capcity data will also ruin the plan quality.</t>
  </si>
  <si>
    <t>Calculations:</t>
  </si>
  <si>
    <t>Capacity requirements and setup times are read from SAP - in addition to confirmed order quantities. Based on theese</t>
  </si>
  <si>
    <t xml:space="preserve">informations planned order finish time is calculated. Then the next process order (if any released) will have the same </t>
  </si>
  <si>
    <t>time as starting point - starting with the scheduled setup time - unless the order is locked (se below).</t>
  </si>
  <si>
    <t xml:space="preserve">Plan deviations are calculated as follows: </t>
  </si>
  <si>
    <t>-</t>
  </si>
  <si>
    <t>Each time you refreshes with the F8-key, a new ending time is calculated for all the process orders. Then this new</t>
  </si>
  <si>
    <t>ending time is compared with the planned ending time - and the deviation is logged.</t>
  </si>
  <si>
    <t>All deviations are summarized, and held up against the total planned running time for the machines according to the</t>
  </si>
  <si>
    <t>individual shift calendars in SAP.</t>
  </si>
  <si>
    <t>Locking</t>
  </si>
  <si>
    <t>If you want an order to start at scheduled start time stated in SAP - you can use the locking function in the</t>
  </si>
  <si>
    <t>Sequence sheet table. To do this, move to the sequence sheet, find the order you want to lock and right click.</t>
  </si>
  <si>
    <t>Then click the "Lock/Unlock order" option. The order that's been locked will be marked Locked in the table.</t>
  </si>
  <si>
    <t>Important!</t>
  </si>
  <si>
    <t>For the locking of orders to be shown in the plan - you have to create new plan.</t>
  </si>
  <si>
    <t>If an order is locked at a time earlier than possible production time, the order will overlap the order before.</t>
  </si>
  <si>
    <t>Mixing Status</t>
  </si>
  <si>
    <t>Stock levels are read for BOM Item 0010 for each process order (normally main YMIX material) and summarized in the</t>
  </si>
  <si>
    <t>Mixing Status sheet. Service Level Mixing is calculated as a percentage by the formula: YMIX Stock qty / Required Qty.</t>
  </si>
  <si>
    <t>New Plan</t>
  </si>
  <si>
    <t>Only a responsible production planner will be able to use the function "Create New Plan". The plan data will be stored</t>
  </si>
  <si>
    <t>in a separate file. When running a status refresh (F8) the stored planning data are read from disk, and compared with</t>
  </si>
  <si>
    <t>current confirmed order quantity. This is done by calculating a new finish time based on the refreshed data.</t>
  </si>
  <si>
    <t>Since the current production status are depended on stock tranfer of goods, the production progress will be reviewed</t>
  </si>
  <si>
    <t>in steps.</t>
  </si>
  <si>
    <t>Order Number</t>
  </si>
  <si>
    <t>Second line of the description</t>
  </si>
  <si>
    <t>Base Unit of Measure</t>
  </si>
  <si>
    <t>Total Scrap Quantity in the Order</t>
  </si>
  <si>
    <t>Material Number</t>
  </si>
  <si>
    <t>Actual start time</t>
  </si>
  <si>
    <t>Indicator: Phase</t>
  </si>
  <si>
    <t>Material description in upper case for matchcodes</t>
  </si>
  <si>
    <t>Work center</t>
  </si>
  <si>
    <t>Control key</t>
  </si>
  <si>
    <t>Unit of Measure for Activity/Operation</t>
  </si>
  <si>
    <t>Base quantity</t>
  </si>
  <si>
    <t>Operation Quantity</t>
  </si>
  <si>
    <t>Operation scrap</t>
  </si>
  <si>
    <t>Confirmed yield in order unit of measure</t>
  </si>
  <si>
    <t>Scrap confirmed for order</t>
  </si>
  <si>
    <t>Confirmed Yield</t>
  </si>
  <si>
    <t>General counter for order</t>
  </si>
  <si>
    <t>Actual start: Execution (date)</t>
  </si>
  <si>
    <t>Actual start: Execution/setup (time)</t>
  </si>
  <si>
    <t>Confirmed order finish (time)</t>
  </si>
  <si>
    <t>Unit of measure for setup time</t>
  </si>
  <si>
    <t>Processing time (forecast)</t>
  </si>
  <si>
    <t>Unit for work</t>
  </si>
  <si>
    <t>Earliest scheduled start: Execution (date)</t>
  </si>
  <si>
    <t>Earliest scheduled start: Execution (time)</t>
  </si>
  <si>
    <t>Latest scheduled start: Execution (date)</t>
  </si>
  <si>
    <t>Latest scheduled start: Execution (time)</t>
  </si>
  <si>
    <t>Scheduled finish time</t>
  </si>
  <si>
    <t>Scheduled start time</t>
  </si>
  <si>
    <t>Object ID of the resource</t>
  </si>
  <si>
    <t>Quantity of goods received for the order item</t>
  </si>
  <si>
    <t>Unit of measure for in-house production</t>
  </si>
  <si>
    <t>Confirmed Order Finish Date</t>
  </si>
  <si>
    <t>Yield confirmed from order confirmation</t>
  </si>
  <si>
    <t>"Delivery Completed" Indicator</t>
  </si>
  <si>
    <t>Mix Material</t>
  </si>
  <si>
    <t>Material number of corresponding mix base</t>
  </si>
  <si>
    <t>Required mixing quantity for actual finished material process order</t>
  </si>
  <si>
    <t>Bas unit of measure</t>
  </si>
  <si>
    <t>Quantity actual used by the finished material process order</t>
  </si>
  <si>
    <t>Unrestricted valuated stock of the mixing material</t>
  </si>
  <si>
    <t>Material Number and Description</t>
  </si>
  <si>
    <t>Actual remaining quantity based on actual Quantity of goods received</t>
  </si>
  <si>
    <t>Total order quantity devided on Base Quantity for the material (Planned Processing Time without setup)</t>
  </si>
  <si>
    <t>Calculated setup time (Processing time - RT_Total)</t>
  </si>
  <si>
    <t>Actual remaining processing time based on actual Quantity of goods received</t>
  </si>
  <si>
    <t>System field</t>
  </si>
  <si>
    <t xml:space="preserve">Calculated start date (Excel) for the order, if not actual start date is retrieved from SAP. </t>
  </si>
  <si>
    <t xml:space="preserve">Calculated start time (Excel) for the order, if not actual start time is retrieved from SAP. </t>
  </si>
  <si>
    <t>Field to determine what order is the active one, and production sequence for following orders. Finished orders got Zero.</t>
  </si>
  <si>
    <t xml:space="preserve">Calculated end date (Excel) for the order, if not actual end date is retrieved from SAP. </t>
  </si>
  <si>
    <t xml:space="preserve">Calculated end time (Excel) for the order, if not actual end time is retrieved from SAP. </t>
  </si>
  <si>
    <t>Work center number and description</t>
  </si>
  <si>
    <t>Locked at SAP scheduled start date and time, if empty the order will follow previous process order</t>
  </si>
  <si>
    <t>1 = the order has got confirmed start date and time, 0 = the order has yet not got confirmed start time</t>
  </si>
  <si>
    <t>Level of mixing material valuated stock in % of total requirement quantity from finished material order</t>
  </si>
  <si>
    <t>SL_Mixing</t>
  </si>
  <si>
    <t xml:space="preserve">Service Level from Mixing Dep. Quantity (kgs) mixed / Quantity Required. </t>
  </si>
  <si>
    <t>NOEL</t>
  </si>
  <si>
    <t>CZBY</t>
  </si>
  <si>
    <t>PLM2</t>
  </si>
  <si>
    <t>BOSSAR-1</t>
  </si>
  <si>
    <t>BOSSAR-2</t>
  </si>
  <si>
    <t>DOLZAN</t>
  </si>
  <si>
    <t>HVS140-1</t>
  </si>
  <si>
    <t>HVS140-2</t>
  </si>
  <si>
    <t>HVS140-4</t>
  </si>
  <si>
    <t>HVS160-1</t>
  </si>
  <si>
    <t>HVS160-2</t>
  </si>
  <si>
    <t>HVS160-4</t>
  </si>
  <si>
    <t>HVS160-6</t>
  </si>
  <si>
    <t>HVS160-7</t>
  </si>
  <si>
    <t>HVS160-8</t>
  </si>
  <si>
    <t>HVS250-1</t>
  </si>
  <si>
    <t>HVS250-2</t>
  </si>
  <si>
    <t>KARTON</t>
  </si>
  <si>
    <t>VOLPACK</t>
  </si>
  <si>
    <t>XAG32-2</t>
  </si>
  <si>
    <t>Accumulated Plan Deviation:</t>
  </si>
  <si>
    <t>Press F8 to update status</t>
  </si>
  <si>
    <t>Released Process Orders in Sequence</t>
  </si>
  <si>
    <t>Sum av Rem_Qty</t>
  </si>
  <si>
    <t>1502 Grunwald 2</t>
  </si>
  <si>
    <t>015928 Brun middagsaus pastøs 6bx/10L</t>
  </si>
  <si>
    <t>001538 Brun middagsaus pastøs økon 1sp/190L</t>
  </si>
  <si>
    <t>Process Orders not started - in ascending start time order</t>
  </si>
  <si>
    <t>Finished orders are hidden (with Active = 0)</t>
  </si>
  <si>
    <t xml:space="preserve">Reqmt Qty </t>
  </si>
  <si>
    <t xml:space="preserve">SL_Mixing </t>
  </si>
  <si>
    <t>Deviation in Hours from Plan</t>
  </si>
  <si>
    <t>Order Status at Plan creation time</t>
  </si>
  <si>
    <t>Number of plan orders:</t>
  </si>
  <si>
    <t>New_Cap</t>
  </si>
  <si>
    <t>Start_D2</t>
  </si>
  <si>
    <t>New_Shift</t>
  </si>
  <si>
    <t>Plan_Stop</t>
  </si>
  <si>
    <t>Plan_Cap</t>
  </si>
  <si>
    <t>New_Start</t>
  </si>
  <si>
    <t>Test_Acc</t>
  </si>
  <si>
    <t>Help2_Acc</t>
  </si>
  <si>
    <t>Help_Acc</t>
  </si>
  <si>
    <t>Deviation</t>
  </si>
  <si>
    <t>Mixed</t>
  </si>
  <si>
    <t>Dev_Hours</t>
  </si>
  <si>
    <t>Rem_Time_Act</t>
  </si>
  <si>
    <t>ActStarted2</t>
  </si>
  <si>
    <t>New_End</t>
  </si>
  <si>
    <t>Pos_Neg</t>
  </si>
  <si>
    <t>Test Active</t>
  </si>
  <si>
    <t>Deviation3</t>
  </si>
  <si>
    <t>Rem_Qty2</t>
  </si>
  <si>
    <t>Cat</t>
  </si>
  <si>
    <t>Version</t>
  </si>
  <si>
    <t>S</t>
  </si>
  <si>
    <t>Day</t>
  </si>
  <si>
    <t>Finish</t>
  </si>
  <si>
    <t>Capacity</t>
  </si>
  <si>
    <t>Break</t>
  </si>
  <si>
    <t>Cap.</t>
  </si>
  <si>
    <t>Start2</t>
  </si>
  <si>
    <t>Date</t>
  </si>
  <si>
    <t>Acc_Start</t>
  </si>
  <si>
    <t>Acc_Stop</t>
  </si>
  <si>
    <t>Acc_Capacity</t>
  </si>
  <si>
    <t>DayCapacity</t>
  </si>
  <si>
    <t>Index</t>
  </si>
  <si>
    <t>CapStopp</t>
  </si>
  <si>
    <t>Shift</t>
  </si>
  <si>
    <t>Acc_Capacity2</t>
  </si>
  <si>
    <t>CapDate</t>
  </si>
  <si>
    <t>`</t>
  </si>
  <si>
    <t>PlanTime</t>
  </si>
  <si>
    <t>11.06.2010 10:58:03</t>
  </si>
  <si>
    <t/>
  </si>
  <si>
    <t>ReportCaption1</t>
  </si>
  <si>
    <t>ReportCaption2</t>
  </si>
  <si>
    <t>ReportCaption3</t>
  </si>
  <si>
    <t>FromDate</t>
  </si>
  <si>
    <t>ReportCaption4</t>
  </si>
  <si>
    <t>ZIBEZEI</t>
  </si>
  <si>
    <t>Act.finish2</t>
  </si>
  <si>
    <t>ZIKAPID</t>
  </si>
  <si>
    <t>ZISTLTY</t>
  </si>
  <si>
    <t>20LANGU</t>
  </si>
  <si>
    <t>Confirmed Yield2</t>
  </si>
  <si>
    <t>Norsk</t>
  </si>
  <si>
    <t>Ikke tilordnet</t>
  </si>
  <si>
    <t>Cap.2</t>
  </si>
  <si>
    <t>Plnt2</t>
  </si>
  <si>
    <t>Work ctr2</t>
  </si>
  <si>
    <t>Oper. Time</t>
  </si>
  <si>
    <t>Break2</t>
  </si>
  <si>
    <t>EL00</t>
  </si>
  <si>
    <t>Budsjettversjon arbeidsmål 1</t>
  </si>
  <si>
    <t>EL00/EL2000</t>
  </si>
  <si>
    <t>31.07.2016</t>
  </si>
  <si>
    <t>Finish2</t>
  </si>
  <si>
    <t>Act.finish3</t>
  </si>
  <si>
    <t>Lang</t>
  </si>
  <si>
    <t>0ME_DEL_IND</t>
  </si>
  <si>
    <t>0PPS_DOCDEL</t>
  </si>
  <si>
    <t>0S_ORD_ITEM</t>
  </si>
  <si>
    <t>Act.finish4</t>
  </si>
  <si>
    <t>23.03.2015</t>
  </si>
  <si>
    <t>26.03.2015</t>
  </si>
  <si>
    <t>Salt Vacuum Fint</t>
  </si>
  <si>
    <t>AR00</t>
  </si>
  <si>
    <t>AR00/AR2701</t>
  </si>
  <si>
    <t>BRUNET MASSE</t>
  </si>
  <si>
    <t>YPI1</t>
  </si>
  <si>
    <t>M</t>
  </si>
  <si>
    <t>Plant Description</t>
  </si>
  <si>
    <t>Work Center Description</t>
  </si>
  <si>
    <t>23.03.2015 Total</t>
  </si>
  <si>
    <t>Confirmed order finish date</t>
  </si>
  <si>
    <t>OrderNummer</t>
  </si>
  <si>
    <t>Mix Material Description</t>
  </si>
  <si>
    <t>Rapporter Statistikker</t>
  </si>
  <si>
    <t xml:space="preserve">    Trykk F10 for å lansere valgskjermen</t>
  </si>
  <si>
    <t>Rapporten Inneholder</t>
  </si>
  <si>
    <t>Produksjonplan</t>
  </si>
  <si>
    <t>SetupTid</t>
  </si>
  <si>
    <t>ProcTid</t>
  </si>
  <si>
    <t>MixEnhet</t>
  </si>
  <si>
    <t>KG</t>
  </si>
  <si>
    <t>ProdPlan</t>
  </si>
  <si>
    <t xml:space="preserve"> BRUNET MASSE</t>
  </si>
  <si>
    <t>AR2701 AR00/AR2701</t>
  </si>
  <si>
    <t>Lock/Unlock ved dobbeltklikk</t>
  </si>
  <si>
    <t>(blank)</t>
  </si>
  <si>
    <t xml:space="preserve">Total Stock </t>
  </si>
  <si>
    <t xml:space="preserve">Qty Withdrawn </t>
  </si>
  <si>
    <t>Fremtidige ordrer</t>
  </si>
  <si>
    <t>Aktiv ordrer</t>
  </si>
  <si>
    <t>Ferdige ordrer</t>
  </si>
  <si>
    <t xml:space="preserve">Dev_Hours </t>
  </si>
  <si>
    <t>#VALUE!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</si>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</sst>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#,##0.0\ %;[Red]\-#,##0.0\ %"/>
    <numFmt numFmtId="165" formatCode="#,##0.0;[Red]\-#,##0.0"/>
    <numFmt numFmtId="166" formatCode="dd/mm/yy\ hh:mm;@"/>
    <numFmt numFmtId="167" formatCode="[$-F400]h:mm:ss\ AM/PM"/>
    <numFmt numFmtId="168" formatCode="#,##0\ %;[Red]\-#,##0\ %"/>
    <numFmt numFmtId="169" formatCode="00"/>
    <numFmt numFmtId="170" formatCode="hh"/>
    <numFmt numFmtId="171" formatCode="0.0"/>
    <numFmt numFmtId="172" formatCode="0\ %;[Red]\-0\ %"/>
    <numFmt numFmtId="173" formatCode="m/d/yy\ h:mm;@"/>
    <numFmt numFmtId="174" formatCode="dd/mm/yyyy\ hh:mm:ss"/>
    <numFmt numFmtId="175" formatCode="d/m/yy\ h:mm;@"/>
    <numFmt numFmtId="176" formatCode="dd/mm/yyyy;@"/>
    <numFmt numFmtId="177" formatCode="hh:mm:ss;@"/>
    <numFmt numFmtId="178" formatCode="#,##0.00_ ;[Red]\-#,##0.00\ "/>
    <numFmt numFmtId="179" formatCode="[$-F800]dddd\,\ mmmm\ dd\,\ 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u/>
      <sz val="8.5"/>
      <color indexed="1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000000"/>
      <name val="Segoe UI"/>
      <family val="2"/>
    </font>
    <font>
      <sz val="10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/>
      <right/>
      <top style="thin">
        <color indexed="9"/>
      </top>
      <bottom style="thin">
        <color indexed="63"/>
      </bottom>
      <diagonal/>
    </border>
    <border>
      <left/>
      <right style="thin">
        <color indexed="9"/>
      </right>
      <top/>
      <bottom style="thin">
        <color indexed="63"/>
      </bottom>
      <diagonal/>
    </border>
    <border>
      <left style="thin">
        <color indexed="9"/>
      </left>
      <right style="thin">
        <color indexed="9"/>
      </right>
      <top/>
      <bottom style="thin">
        <color indexed="63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indexed="8"/>
      </right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8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147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14" fontId="1" fillId="2" borderId="5" xfId="0" applyNumberFormat="1" applyFont="1" applyFill="1" applyBorder="1"/>
    <xf numFmtId="14" fontId="9" fillId="2" borderId="2" xfId="0" applyNumberFormat="1" applyFont="1" applyFill="1" applyBorder="1"/>
    <xf numFmtId="0" fontId="9" fillId="2" borderId="7" xfId="0" applyFont="1" applyFill="1" applyBorder="1"/>
    <xf numFmtId="38" fontId="9" fillId="2" borderId="3" xfId="0" applyNumberFormat="1" applyFont="1" applyFill="1" applyBorder="1" applyAlignment="1">
      <alignment horizontal="right"/>
    </xf>
    <xf numFmtId="0" fontId="0" fillId="3" borderId="0" xfId="0" applyFill="1" applyAlignment="1">
      <alignment horizontal="left"/>
    </xf>
    <xf numFmtId="0" fontId="10" fillId="0" borderId="0" xfId="0" applyFont="1" applyFill="1"/>
    <xf numFmtId="0" fontId="4" fillId="0" borderId="0" xfId="0" applyFont="1" applyFill="1" applyAlignment="1">
      <alignment horizontal="left"/>
    </xf>
    <xf numFmtId="38" fontId="0" fillId="0" borderId="0" xfId="0" applyNumberFormat="1"/>
    <xf numFmtId="165" fontId="0" fillId="0" borderId="0" xfId="0" applyNumberFormat="1"/>
    <xf numFmtId="20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38" fontId="7" fillId="0" borderId="0" xfId="0" applyNumberFormat="1" applyFont="1"/>
    <xf numFmtId="168" fontId="0" fillId="0" borderId="0" xfId="0" applyNumberFormat="1"/>
    <xf numFmtId="3" fontId="11" fillId="0" borderId="0" xfId="6" applyNumberFormat="1" applyFont="1"/>
    <xf numFmtId="0" fontId="8" fillId="0" borderId="0" xfId="6" applyFont="1"/>
    <xf numFmtId="0" fontId="8" fillId="0" borderId="0" xfId="6" applyFont="1" applyAlignment="1">
      <alignment horizontal="left" indent="1"/>
    </xf>
    <xf numFmtId="0" fontId="8" fillId="0" borderId="0" xfId="6" quotePrefix="1" applyFont="1"/>
    <xf numFmtId="0" fontId="8" fillId="0" borderId="0" xfId="6" quotePrefix="1" applyFont="1" applyAlignment="1">
      <alignment horizontal="right"/>
    </xf>
    <xf numFmtId="0" fontId="8" fillId="0" borderId="0" xfId="6" applyFont="1" applyAlignment="1">
      <alignment horizontal="right"/>
    </xf>
    <xf numFmtId="14" fontId="8" fillId="0" borderId="0" xfId="6" applyNumberFormat="1" applyFont="1" applyAlignment="1">
      <alignment horizontal="left"/>
    </xf>
    <xf numFmtId="0" fontId="13" fillId="0" borderId="0" xfId="7" applyFont="1" applyAlignment="1" applyProtection="1"/>
    <xf numFmtId="0" fontId="7" fillId="0" borderId="0" xfId="1"/>
    <xf numFmtId="0" fontId="7" fillId="0" borderId="0" xfId="1" quotePrefix="1"/>
    <xf numFmtId="0" fontId="1" fillId="6" borderId="0" xfId="0" applyFont="1" applyFill="1"/>
    <xf numFmtId="0" fontId="11" fillId="0" borderId="0" xfId="1" applyFont="1"/>
    <xf numFmtId="0" fontId="7" fillId="0" borderId="0" xfId="1" applyFont="1" applyAlignment="1">
      <alignment horizontal="right"/>
    </xf>
    <xf numFmtId="164" fontId="7" fillId="0" borderId="0" xfId="1" applyNumberFormat="1" applyFont="1" applyAlignment="1">
      <alignment horizontal="center"/>
    </xf>
    <xf numFmtId="0" fontId="7" fillId="0" borderId="0" xfId="1" applyFont="1"/>
    <xf numFmtId="0" fontId="7" fillId="7" borderId="8" xfId="1" applyFill="1" applyBorder="1"/>
    <xf numFmtId="169" fontId="14" fillId="7" borderId="9" xfId="1" applyNumberFormat="1" applyFont="1" applyFill="1" applyBorder="1"/>
    <xf numFmtId="0" fontId="7" fillId="7" borderId="10" xfId="1" applyFill="1" applyBorder="1"/>
    <xf numFmtId="0" fontId="14" fillId="7" borderId="10" xfId="1" applyFont="1" applyFill="1" applyBorder="1" applyAlignment="1">
      <alignment horizontal="center"/>
    </xf>
    <xf numFmtId="0" fontId="7" fillId="7" borderId="10" xfId="1" applyFont="1" applyFill="1" applyBorder="1"/>
    <xf numFmtId="0" fontId="7" fillId="7" borderId="9" xfId="1" applyFont="1" applyFill="1" applyBorder="1"/>
    <xf numFmtId="0" fontId="14" fillId="7" borderId="8" xfId="1" applyFont="1" applyFill="1" applyBorder="1"/>
    <xf numFmtId="170" fontId="7" fillId="7" borderId="11" xfId="1" applyNumberFormat="1" applyFont="1" applyFill="1" applyBorder="1"/>
    <xf numFmtId="170" fontId="7" fillId="7" borderId="12" xfId="1" applyNumberFormat="1" applyFont="1" applyFill="1" applyBorder="1"/>
    <xf numFmtId="169" fontId="7" fillId="0" borderId="0" xfId="1" applyNumberFormat="1"/>
    <xf numFmtId="0" fontId="7" fillId="0" borderId="0" xfId="1" applyFill="1"/>
    <xf numFmtId="165" fontId="7" fillId="0" borderId="0" xfId="1" applyNumberFormat="1"/>
    <xf numFmtId="168" fontId="7" fillId="0" borderId="0" xfId="1" applyNumberFormat="1"/>
    <xf numFmtId="0" fontId="7" fillId="0" borderId="0" xfId="1" applyAlignment="1">
      <alignment horizontal="center"/>
    </xf>
    <xf numFmtId="0" fontId="1" fillId="0" borderId="0" xfId="0" applyFont="1" applyBorder="1"/>
    <xf numFmtId="172" fontId="9" fillId="2" borderId="4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right"/>
    </xf>
    <xf numFmtId="165" fontId="1" fillId="2" borderId="4" xfId="0" applyNumberFormat="1" applyFont="1" applyFill="1" applyBorder="1" applyAlignment="1">
      <alignment horizontal="right"/>
    </xf>
    <xf numFmtId="14" fontId="1" fillId="0" borderId="0" xfId="0" applyNumberFormat="1" applyFont="1"/>
    <xf numFmtId="38" fontId="1" fillId="5" borderId="0" xfId="0" applyNumberFormat="1" applyFont="1" applyFill="1"/>
    <xf numFmtId="173" fontId="0" fillId="0" borderId="0" xfId="0" applyNumberFormat="1"/>
    <xf numFmtId="14" fontId="6" fillId="3" borderId="0" xfId="5" applyNumberFormat="1" applyFill="1"/>
    <xf numFmtId="167" fontId="1" fillId="0" borderId="0" xfId="0" applyNumberFormat="1" applyFont="1"/>
    <xf numFmtId="0" fontId="1" fillId="0" borderId="0" xfId="0" applyNumberFormat="1" applyFont="1"/>
    <xf numFmtId="167" fontId="1" fillId="3" borderId="0" xfId="0" applyNumberFormat="1" applyFont="1" applyFill="1"/>
    <xf numFmtId="1" fontId="1" fillId="0" borderId="0" xfId="0" applyNumberFormat="1" applyFont="1"/>
    <xf numFmtId="1" fontId="0" fillId="0" borderId="0" xfId="0" applyNumberFormat="1"/>
    <xf numFmtId="14" fontId="0" fillId="8" borderId="13" xfId="0" applyNumberFormat="1" applyFont="1" applyFill="1" applyBorder="1"/>
    <xf numFmtId="14" fontId="0" fillId="8" borderId="14" xfId="0" applyNumberFormat="1" applyFont="1" applyFill="1" applyBorder="1"/>
    <xf numFmtId="14" fontId="0" fillId="0" borderId="14" xfId="0" applyNumberFormat="1" applyFont="1" applyBorder="1"/>
    <xf numFmtId="0" fontId="7" fillId="0" borderId="0" xfId="3"/>
    <xf numFmtId="22" fontId="0" fillId="0" borderId="0" xfId="0" applyNumberFormat="1"/>
    <xf numFmtId="0" fontId="0" fillId="0" borderId="0" xfId="0" quotePrefix="1"/>
    <xf numFmtId="40" fontId="0" fillId="0" borderId="0" xfId="0" applyNumberFormat="1"/>
    <xf numFmtId="164" fontId="0" fillId="0" borderId="0" xfId="0" applyNumberFormat="1"/>
    <xf numFmtId="174" fontId="1" fillId="5" borderId="0" xfId="0" applyNumberFormat="1" applyFont="1" applyFill="1"/>
    <xf numFmtId="175" fontId="0" fillId="0" borderId="0" xfId="0" applyNumberFormat="1"/>
    <xf numFmtId="0" fontId="1" fillId="5" borderId="0" xfId="0" applyNumberFormat="1" applyFont="1" applyFill="1"/>
    <xf numFmtId="176" fontId="1" fillId="0" borderId="0" xfId="0" applyNumberFormat="1" applyFont="1"/>
    <xf numFmtId="176" fontId="0" fillId="0" borderId="0" xfId="0" applyNumberFormat="1"/>
    <xf numFmtId="177" fontId="1" fillId="0" borderId="0" xfId="0" applyNumberFormat="1" applyFont="1"/>
    <xf numFmtId="177" fontId="0" fillId="0" borderId="0" xfId="0" applyNumberFormat="1"/>
    <xf numFmtId="177" fontId="1" fillId="5" borderId="0" xfId="0" applyNumberFormat="1" applyFont="1" applyFill="1"/>
    <xf numFmtId="177" fontId="1" fillId="6" borderId="0" xfId="0" applyNumberFormat="1" applyFont="1" applyFill="1"/>
    <xf numFmtId="176" fontId="1" fillId="5" borderId="0" xfId="0" applyNumberFormat="1" applyFont="1" applyFill="1"/>
    <xf numFmtId="178" fontId="1" fillId="5" borderId="0" xfId="0" applyNumberFormat="1" applyFont="1" applyFill="1"/>
    <xf numFmtId="179" fontId="1" fillId="0" borderId="0" xfId="0" applyNumberFormat="1" applyFont="1"/>
    <xf numFmtId="179" fontId="0" fillId="0" borderId="0" xfId="0" applyNumberFormat="1"/>
    <xf numFmtId="0" fontId="0" fillId="0" borderId="0" xfId="0" quotePrefix="1" applyNumberFormat="1"/>
    <xf numFmtId="20" fontId="1" fillId="5" borderId="0" xfId="0" applyNumberFormat="1" applyFont="1" applyFill="1"/>
    <xf numFmtId="166" fontId="1" fillId="5" borderId="0" xfId="0" applyNumberFormat="1" applyFont="1" applyFill="1"/>
    <xf numFmtId="20" fontId="1" fillId="6" borderId="0" xfId="0" applyNumberFormat="1" applyFont="1" applyFill="1"/>
    <xf numFmtId="174" fontId="7" fillId="0" borderId="0" xfId="0" applyNumberFormat="1" applyFont="1"/>
    <xf numFmtId="174" fontId="0" fillId="0" borderId="0" xfId="0" applyNumberFormat="1"/>
    <xf numFmtId="174" fontId="1" fillId="0" borderId="0" xfId="0" applyNumberFormat="1" applyFont="1"/>
    <xf numFmtId="165" fontId="1" fillId="0" borderId="0" xfId="0" applyNumberFormat="1" applyFont="1"/>
    <xf numFmtId="172" fontId="0" fillId="0" borderId="0" xfId="0" applyNumberFormat="1"/>
    <xf numFmtId="0" fontId="0" fillId="0" borderId="17" xfId="0" applyBorder="1"/>
    <xf numFmtId="0" fontId="0" fillId="0" borderId="20" xfId="0" pivotButton="1" applyBorder="1"/>
    <xf numFmtId="0" fontId="0" fillId="0" borderId="20" xfId="0" applyBorder="1"/>
    <xf numFmtId="0" fontId="0" fillId="0" borderId="21" xfId="0" applyBorder="1"/>
    <xf numFmtId="14" fontId="0" fillId="0" borderId="21" xfId="0" applyNumberFormat="1" applyBorder="1"/>
    <xf numFmtId="171" fontId="0" fillId="0" borderId="21" xfId="0" applyNumberFormat="1" applyBorder="1"/>
    <xf numFmtId="0" fontId="1" fillId="0" borderId="22" xfId="0" applyFont="1" applyBorder="1"/>
    <xf numFmtId="0" fontId="1" fillId="0" borderId="21" xfId="0" applyFont="1" applyBorder="1"/>
    <xf numFmtId="20" fontId="1" fillId="0" borderId="21" xfId="0" applyNumberFormat="1" applyFont="1" applyBorder="1"/>
    <xf numFmtId="14" fontId="1" fillId="0" borderId="16" xfId="0" applyNumberFormat="1" applyFon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0" fontId="0" fillId="4" borderId="23" xfId="0" applyFill="1" applyBorder="1"/>
    <xf numFmtId="0" fontId="0" fillId="4" borderId="19" xfId="0" applyFill="1" applyBorder="1"/>
    <xf numFmtId="38" fontId="0" fillId="4" borderId="24" xfId="0" applyNumberFormat="1" applyFill="1" applyBorder="1" applyAlignment="1">
      <alignment horizontal="right"/>
    </xf>
    <xf numFmtId="165" fontId="1" fillId="0" borderId="22" xfId="0" applyNumberFormat="1" applyFont="1" applyBorder="1"/>
    <xf numFmtId="168" fontId="0" fillId="0" borderId="21" xfId="0" applyNumberFormat="1" applyBorder="1"/>
    <xf numFmtId="0" fontId="1" fillId="0" borderId="15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5" xfId="0" applyFont="1" applyBorder="1" applyAlignment="1">
      <alignment horizontal="right"/>
    </xf>
    <xf numFmtId="172" fontId="0" fillId="0" borderId="25" xfId="0" applyNumberFormat="1" applyBorder="1" applyAlignment="1">
      <alignment horizontal="right"/>
    </xf>
    <xf numFmtId="14" fontId="0" fillId="4" borderId="23" xfId="0" applyNumberFormat="1" applyFill="1" applyBorder="1"/>
    <xf numFmtId="172" fontId="0" fillId="4" borderId="27" xfId="0" applyNumberFormat="1" applyFill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38" fontId="0" fillId="0" borderId="21" xfId="0" applyNumberFormat="1" applyBorder="1" applyAlignment="1">
      <alignment horizontal="right"/>
    </xf>
    <xf numFmtId="38" fontId="9" fillId="2" borderId="28" xfId="0" applyNumberFormat="1" applyFont="1" applyFill="1" applyBorder="1" applyAlignment="1">
      <alignment horizontal="right"/>
    </xf>
    <xf numFmtId="38" fontId="0" fillId="4" borderId="18" xfId="0" applyNumberFormat="1" applyFill="1" applyBorder="1" applyAlignment="1">
      <alignment horizontal="right"/>
    </xf>
    <xf numFmtId="38" fontId="0" fillId="4" borderId="26" xfId="0" applyNumberFormat="1" applyFill="1" applyBorder="1" applyAlignment="1">
      <alignment horizontal="right"/>
    </xf>
    <xf numFmtId="168" fontId="1" fillId="0" borderId="22" xfId="0" applyNumberFormat="1" applyFont="1" applyBorder="1"/>
    <xf numFmtId="0" fontId="7" fillId="10" borderId="0" xfId="1" applyFont="1" applyFill="1" applyAlignment="1">
      <alignment horizontal="center" wrapText="1"/>
    </xf>
    <xf numFmtId="0" fontId="7" fillId="11" borderId="0" xfId="1" applyFont="1" applyFill="1" applyAlignment="1">
      <alignment horizontal="center" wrapText="1"/>
    </xf>
    <xf numFmtId="0" fontId="7" fillId="9" borderId="0" xfId="1" applyFont="1" applyFill="1" applyAlignment="1">
      <alignment horizontal="center"/>
    </xf>
    <xf numFmtId="0" fontId="0" fillId="0" borderId="0" xfId="0" applyBorder="1"/>
    <xf numFmtId="0" fontId="0" fillId="0" borderId="29" xfId="0" applyBorder="1"/>
    <xf numFmtId="165" fontId="0" fillId="0" borderId="16" xfId="0" applyNumberFormat="1" applyBorder="1" applyAlignment="1">
      <alignment horizontal="right"/>
    </xf>
    <xf numFmtId="165" fontId="0" fillId="0" borderId="30" xfId="0" applyNumberFormat="1" applyBorder="1" applyAlignment="1">
      <alignment horizontal="right"/>
    </xf>
    <xf numFmtId="38" fontId="18" fillId="0" borderId="0" xfId="0" applyNumberFormat="1" applyFont="1"/>
    <xf numFmtId="167" fontId="18" fillId="0" borderId="0" xfId="0" applyNumberFormat="1" applyFont="1"/>
    <xf numFmtId="0" fontId="17" fillId="0" borderId="0" xfId="0" applyFont="1" applyAlignment="1">
      <alignment vertical="center"/>
    </xf>
  </cellXfs>
  <cellStyles count="9">
    <cellStyle name="Hyperlink" xfId="7" builtinId="8"/>
    <cellStyle name="Min stil" xfId="2"/>
    <cellStyle name="Normal" xfId="0" builtinId="0"/>
    <cellStyle name="Normal 2" xfId="1"/>
    <cellStyle name="Normal 2 2" xfId="3"/>
    <cellStyle name="Normal 2_FinishPlan_M" xfId="8"/>
    <cellStyle name="Normal 3" xfId="4"/>
    <cellStyle name="Normal 4" xfId="5"/>
    <cellStyle name="Normal_Billing_Check" xfId="6"/>
  </cellStyles>
  <dxfs count="274">
    <dxf>
      <numFmt numFmtId="171" formatCode="0.0"/>
    </dxf>
    <dxf>
      <numFmt numFmtId="165" formatCode="#,##0.0;[Red]\-#,##0.0"/>
    </dxf>
    <dxf>
      <numFmt numFmtId="6" formatCode="#,##0;[Red]\-#,##0"/>
    </dxf>
    <dxf>
      <numFmt numFmtId="165" formatCode="#,##0.0;[Red]\-#,##0.0"/>
    </dxf>
    <dxf>
      <numFmt numFmtId="165" formatCode="#,##0.0;[Red]\-#,##0.0"/>
    </dxf>
    <dxf>
      <numFmt numFmtId="165" formatCode="#,##0.0;[Red]\-#,##0.0"/>
    </dxf>
    <dxf>
      <numFmt numFmtId="172" formatCode="0\ %;[Red]\-0\ %"/>
    </dxf>
    <dxf>
      <numFmt numFmtId="168" formatCode="#,##0\ %;[Red]\-#,##0\ %"/>
    </dxf>
    <dxf>
      <numFmt numFmtId="168" formatCode="#,##0\ %;[Red]\-#,##0\ %"/>
    </dxf>
    <dxf>
      <numFmt numFmtId="6" formatCode="#,##0;[Red]\-#,##0"/>
    </dxf>
    <dxf>
      <numFmt numFmtId="168" formatCode="#,##0\ %;[Red]\-#,##0\ %"/>
    </dxf>
    <dxf>
      <numFmt numFmtId="171" formatCode="0.0"/>
    </dxf>
    <dxf>
      <numFmt numFmtId="165" formatCode="#,##0.0;[Red]\-#,##0.0"/>
    </dxf>
    <dxf>
      <numFmt numFmtId="6" formatCode="#,##0;[Red]\-#,##0"/>
    </dxf>
    <dxf>
      <font>
        <condense val="0"/>
        <extend val="0"/>
        <color indexed="9"/>
      </font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m/d/yy\ 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m/d/yy\ 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6" formatCode="#,##0;[Red]\-#,##0"/>
    </dxf>
    <dxf>
      <numFmt numFmtId="165" formatCode="#,##0.0;[Red]\-#,##0.0"/>
    </dxf>
    <dxf>
      <numFmt numFmtId="165" formatCode="#,##0.0;[Red]\-#,##0.0"/>
    </dxf>
    <dxf>
      <numFmt numFmtId="168" formatCode="#,##0\ %;[Red]\-#,##0\ %"/>
    </dxf>
    <dxf>
      <numFmt numFmtId="0" formatCode="General"/>
    </dxf>
    <dxf>
      <numFmt numFmtId="0" formatCode="General"/>
    </dxf>
    <dxf>
      <numFmt numFmtId="6" formatCode="#,##0;[Red]\-#,##0"/>
    </dxf>
    <dxf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numFmt numFmtId="174" formatCode="dd/mm/yyyy\ hh:mm:ss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[$-F400]h:mm:ss\ AM/PM"/>
    </dxf>
    <dxf>
      <numFmt numFmtId="166" formatCode="dd/mm/yy\ hh:mm;@"/>
    </dxf>
    <dxf>
      <numFmt numFmtId="6" formatCode="#,##0;[Red]\-#,##0"/>
    </dxf>
    <dxf>
      <numFmt numFmtId="0" formatCode="General"/>
    </dxf>
    <dxf>
      <numFmt numFmtId="0" formatCode="General"/>
    </dxf>
    <dxf>
      <numFmt numFmtId="167" formatCode="[$-F400]h:mm:ss\ AM/PM"/>
    </dxf>
    <dxf>
      <numFmt numFmtId="166" formatCode="dd/mm/yy\ hh:mm;@"/>
    </dxf>
    <dxf>
      <numFmt numFmtId="25" formatCode="hh:mm"/>
    </dxf>
    <dxf>
      <numFmt numFmtId="19" formatCode="dd/mm/yyyy"/>
    </dxf>
    <dxf>
      <numFmt numFmtId="6" formatCode="#,##0;[Red]\-#,##0"/>
    </dxf>
    <dxf>
      <numFmt numFmtId="6" formatCode="#,##0;[Red]\-#,##0"/>
    </dxf>
    <dxf>
      <numFmt numFmtId="168" formatCode="#,##0\ %;[Red]\-#,##0\ %"/>
    </dxf>
    <dxf>
      <numFmt numFmtId="175" formatCode="d/m/yy\ h:mm;@"/>
    </dxf>
    <dxf>
      <font>
        <sz val="10"/>
        <color auto="1"/>
        <name val="Arial"/>
        <scheme val="none"/>
      </font>
      <numFmt numFmtId="2" formatCode="0.00"/>
    </dxf>
    <dxf>
      <numFmt numFmtId="2" formatCode="0.00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2" formatCode="0.00"/>
    </dxf>
    <dxf>
      <numFmt numFmtId="2" formatCode="0.00"/>
    </dxf>
    <dxf>
      <numFmt numFmtId="2" formatCode="0.0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6" formatCode="#,##0;[Red]\-#,##0"/>
    </dxf>
    <dxf>
      <numFmt numFmtId="167" formatCode="[$-F400]h:mm:ss\ AM/PM"/>
    </dxf>
    <dxf>
      <numFmt numFmtId="0" formatCode="General"/>
    </dxf>
    <dxf>
      <numFmt numFmtId="167" formatCode="[$-F400]h:mm:ss\ AM/PM"/>
    </dxf>
    <dxf>
      <numFmt numFmtId="174" formatCode="dd/mm/yyyy\ hh:mm:ss"/>
    </dxf>
    <dxf>
      <font>
        <sz val="10"/>
        <color auto="1"/>
        <name val="Arial"/>
        <scheme val="none"/>
      </font>
      <numFmt numFmtId="174" formatCode="dd/mm/yyyy\ hh:mm:ss"/>
    </dxf>
    <dxf>
      <numFmt numFmtId="25" formatCode="hh:mm"/>
    </dxf>
    <dxf>
      <numFmt numFmtId="19" formatCode="dd/mm/yyyy"/>
    </dxf>
    <dxf>
      <numFmt numFmtId="0" formatCode="General"/>
    </dxf>
    <dxf>
      <numFmt numFmtId="25" formatCode="hh:mm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#,##0.0;[Red]\-#,##0.0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176" formatCode="dd/mm/yyyy;@"/>
    </dxf>
    <dxf>
      <numFmt numFmtId="176" formatCode="dd/mm/yyyy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167" formatCode="[$-F400]h:mm:ss\ AM/PM"/>
    </dxf>
    <dxf>
      <numFmt numFmtId="177" formatCode="hh:mm:ss;@"/>
    </dxf>
    <dxf>
      <numFmt numFmtId="167" formatCode="[$-F400]h:mm:ss\ AM/PM"/>
    </dxf>
    <dxf>
      <numFmt numFmtId="19" formatCode="dd/mm/yyyy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77" formatCode="hh:mm:ss;@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5" formatCode="hh:mm"/>
    </dxf>
    <dxf>
      <numFmt numFmtId="176" formatCode="dd/mm/yyyy;@"/>
    </dxf>
    <dxf>
      <numFmt numFmtId="6" formatCode="#,##0;[Red]\-#,##0"/>
    </dxf>
    <dxf>
      <numFmt numFmtId="6" formatCode="#,##0;[Red]\-#,##0"/>
    </dxf>
    <dxf>
      <numFmt numFmtId="168" formatCode="#,##0\ %;[Red]\-#,##0\ %"/>
    </dxf>
    <dxf>
      <numFmt numFmtId="166" formatCode="dd/mm/yy\ hh:mm;@"/>
    </dxf>
    <dxf>
      <numFmt numFmtId="2" formatCode="0.00"/>
    </dxf>
    <dxf>
      <numFmt numFmtId="2" formatCode="0.00"/>
    </dxf>
    <dxf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z val="10"/>
        <color auto="1"/>
        <name val="Arial"/>
        <scheme val="none"/>
      </font>
      <numFmt numFmtId="6" formatCode="#,##0;[Red]\-#,##0"/>
    </dxf>
    <dxf>
      <numFmt numFmtId="2" formatCode="0.00"/>
    </dxf>
    <dxf>
      <numFmt numFmtId="2" formatCode="0.00"/>
    </dxf>
    <dxf>
      <numFmt numFmtId="2" formatCode="0.0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77" formatCode="hh:mm:ss;@"/>
    </dxf>
    <dxf>
      <numFmt numFmtId="0" formatCode="General"/>
    </dxf>
    <dxf>
      <numFmt numFmtId="177" formatCode="hh:mm:ss;@"/>
    </dxf>
    <dxf>
      <numFmt numFmtId="174" formatCode="dd/mm/yyyy\ hh:mm:ss"/>
    </dxf>
    <dxf>
      <font>
        <sz val="10"/>
        <color auto="1"/>
        <name val="Arial"/>
        <scheme val="none"/>
      </font>
      <numFmt numFmtId="174" formatCode="dd/mm/yyyy\ hh:mm:ss"/>
    </dxf>
    <dxf>
      <numFmt numFmtId="25" formatCode="hh:mm"/>
    </dxf>
    <dxf>
      <numFmt numFmtId="19" formatCode="dd/mm/yyyy"/>
    </dxf>
    <dxf>
      <numFmt numFmtId="0" formatCode="General"/>
    </dxf>
    <dxf>
      <numFmt numFmtId="25" formatCode="hh:mm"/>
    </dxf>
    <dxf>
      <numFmt numFmtId="176" formatCode="dd/mm/yyyy;@"/>
    </dxf>
    <dxf>
      <numFmt numFmtId="0" formatCode="General"/>
    </dxf>
    <dxf>
      <numFmt numFmtId="0" formatCode="General"/>
    </dxf>
    <dxf>
      <numFmt numFmtId="165" formatCode="#,##0.0;[Red]\-#,##0.0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0" formatCode="General"/>
    </dxf>
    <dxf>
      <numFmt numFmtId="176" formatCode="dd/mm/yyyy;@"/>
    </dxf>
    <dxf>
      <numFmt numFmtId="176" formatCode="dd/mm/yyyy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177" formatCode="hh:mm:ss;@"/>
    </dxf>
    <dxf>
      <numFmt numFmtId="176" formatCode="dd/mm/yyyy;@"/>
    </dxf>
    <dxf>
      <numFmt numFmtId="0" formatCode="General"/>
    </dxf>
    <dxf>
      <numFmt numFmtId="0" formatCode="General"/>
    </dxf>
    <dxf>
      <numFmt numFmtId="0" formatCode="General"/>
    </dxf>
    <dxf>
      <numFmt numFmtId="177" formatCode="hh:mm:ss;@"/>
    </dxf>
    <dxf>
      <numFmt numFmtId="167" formatCode="[$-F400]h:mm:ss\ AM/PM"/>
    </dxf>
    <dxf>
      <numFmt numFmtId="177" formatCode="hh:mm:ss;@"/>
    </dxf>
    <dxf>
      <numFmt numFmtId="167" formatCode="[$-F400]h:mm:ss\ AM/PM"/>
    </dxf>
    <dxf>
      <numFmt numFmtId="19" formatCode="dd/mm/yyyy"/>
    </dxf>
    <dxf>
      <numFmt numFmtId="16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77" formatCode="hh:mm:ss;@"/>
    </dxf>
    <dxf>
      <numFmt numFmtId="179" formatCode="[$-F800]dddd\,\ mmmm\ dd\,\ 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67" formatCode="[$-F400]h:mm:ss\ AM/PM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AC090"/>
      <color rgb="FFFFCCCC"/>
      <color rgb="FFFF8080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xmlMaps" Target="xmlMaps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7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6</xdr:row>
      <xdr:rowOff>47625</xdr:rowOff>
    </xdr:from>
    <xdr:to>
      <xdr:col>9</xdr:col>
      <xdr:colOff>123825</xdr:colOff>
      <xdr:row>17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8225" y="1114425"/>
          <a:ext cx="5486400" cy="1743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19</xdr:row>
      <xdr:rowOff>38100</xdr:rowOff>
    </xdr:from>
    <xdr:to>
      <xdr:col>7</xdr:col>
      <xdr:colOff>590550</xdr:colOff>
      <xdr:row>26</xdr:row>
      <xdr:rowOff>133350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38225" y="3209925"/>
          <a:ext cx="4429125" cy="1228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Produksjonplan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108139</xdr:rowOff>
    </xdr:from>
    <xdr:to>
      <xdr:col>1</xdr:col>
      <xdr:colOff>552450</xdr:colOff>
      <xdr:row>3</xdr:row>
      <xdr:rowOff>136713</xdr:rowOff>
    </xdr:to>
    <xdr:sp macro="" textlink="">
      <xdr:nvSpPr>
        <xdr:cNvPr id="2" name="TimeStart"/>
        <xdr:cNvSpPr>
          <a:spLocks noChangeArrowheads="1"/>
        </xdr:cNvSpPr>
      </xdr:nvSpPr>
      <xdr:spPr bwMode="auto">
        <a:xfrm>
          <a:off x="2012950" y="647889"/>
          <a:ext cx="552450" cy="187324"/>
        </a:xfrm>
        <a:prstGeom prst="rect">
          <a:avLst/>
        </a:prstGeom>
        <a:solidFill>
          <a:srgbClr val="CCCC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00:00:00</a:t>
          </a:r>
        </a:p>
      </xdr:txBody>
    </xdr:sp>
    <xdr:clientData/>
  </xdr:twoCellAnchor>
  <xdr:twoCellAnchor editAs="absolute">
    <xdr:from>
      <xdr:col>12710</xdr:col>
      <xdr:colOff>46831</xdr:colOff>
      <xdr:row>1</xdr:row>
      <xdr:rowOff>138393</xdr:rowOff>
    </xdr:from>
    <xdr:to>
      <xdr:col>12710</xdr:col>
      <xdr:colOff>46831</xdr:colOff>
      <xdr:row>57</xdr:row>
      <xdr:rowOff>58449</xdr:rowOff>
    </xdr:to>
    <xdr:sp macro="" textlink="">
      <xdr:nvSpPr>
        <xdr:cNvPr id="3" name="TimeLine"/>
        <xdr:cNvSpPr>
          <a:spLocks noChangeShapeType="1"/>
        </xdr:cNvSpPr>
      </xdr:nvSpPr>
      <xdr:spPr bwMode="auto">
        <a:xfrm>
          <a:off x="2883753281" y="519393"/>
          <a:ext cx="0" cy="16957106"/>
        </a:xfrm>
        <a:prstGeom prst="line">
          <a:avLst/>
        </a:prstGeom>
        <a:noFill/>
        <a:ln w="12700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  <xdr:twoCellAnchor editAs="absolute">
    <xdr:from>
      <xdr:col>12710</xdr:col>
      <xdr:colOff>46831</xdr:colOff>
      <xdr:row>1</xdr:row>
      <xdr:rowOff>119343</xdr:rowOff>
    </xdr:from>
    <xdr:to>
      <xdr:col>12712</xdr:col>
      <xdr:colOff>180181</xdr:colOff>
      <xdr:row>2</xdr:row>
      <xdr:rowOff>147918</xdr:rowOff>
    </xdr:to>
    <xdr:sp macro="" textlink="">
      <xdr:nvSpPr>
        <xdr:cNvPr id="4" name="TimeShape"/>
        <xdr:cNvSpPr>
          <a:spLocks noChangeArrowheads="1"/>
        </xdr:cNvSpPr>
      </xdr:nvSpPr>
      <xdr:spPr bwMode="auto">
        <a:xfrm>
          <a:off x="2883753281" y="500343"/>
          <a:ext cx="577850" cy="187325"/>
        </a:xfrm>
        <a:prstGeom prst="rect">
          <a:avLst/>
        </a:prstGeom>
        <a:solidFill>
          <a:srgbClr val="FFAA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13:12:38</a:t>
          </a:r>
        </a:p>
      </xdr:txBody>
    </xdr:sp>
    <xdr:clientData/>
  </xdr:twoCellAnchor>
  <xdr:twoCellAnchor editAs="absolute">
    <xdr:from>
      <xdr:col>1</xdr:col>
      <xdr:colOff>0</xdr:colOff>
      <xdr:row>1</xdr:row>
      <xdr:rowOff>138393</xdr:rowOff>
    </xdr:from>
    <xdr:to>
      <xdr:col>1</xdr:col>
      <xdr:colOff>0</xdr:colOff>
      <xdr:row>57</xdr:row>
      <xdr:rowOff>58449</xdr:rowOff>
    </xdr:to>
    <xdr:sp macro="" textlink="">
      <xdr:nvSpPr>
        <xdr:cNvPr id="5" name="TimePlan"/>
        <xdr:cNvSpPr>
          <a:spLocks noChangeShapeType="1"/>
        </xdr:cNvSpPr>
      </xdr:nvSpPr>
      <xdr:spPr bwMode="auto">
        <a:xfrm>
          <a:off x="2012950" y="519393"/>
          <a:ext cx="0" cy="16957106"/>
        </a:xfrm>
        <a:prstGeom prst="line">
          <a:avLst/>
        </a:prstGeom>
        <a:noFill/>
        <a:ln w="12700">
          <a:solidFill>
            <a:srgbClr val="FF0000"/>
          </a:solidFill>
          <a:prstDash val="dash"/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348096" cy="277097"/>
    <xdr:sp macro="" textlink="ReportCaption1">
      <xdr:nvSpPr>
        <xdr:cNvPr id="2" name="Avrundet rektangel 1"/>
        <xdr:cNvSpPr/>
      </xdr:nvSpPr>
      <xdr:spPr>
        <a:xfrm>
          <a:off x="22412" y="56030"/>
          <a:ext cx="334809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D780AA86-B63C-4B5A-80D8-A03C47C7D192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Released Process Orders in Sequence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5063822" cy="277097"/>
    <xdr:sp macro="" textlink="ReportCaption2">
      <xdr:nvSpPr>
        <xdr:cNvPr id="2" name="Avrundet rektangel 1"/>
        <xdr:cNvSpPr/>
      </xdr:nvSpPr>
      <xdr:spPr>
        <a:xfrm>
          <a:off x="22412" y="56030"/>
          <a:ext cx="506382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0017230C-E07C-46CE-A26D-4FF43FC35EE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Process Orders not started - in ascending start time order</a:t>
          </a:fld>
          <a:endParaRPr lang="nb-NO" sz="48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2670276" cy="277097"/>
    <xdr:sp macro="" textlink="ReportCaption3">
      <xdr:nvSpPr>
        <xdr:cNvPr id="2" name="Avrundet rektangel 1"/>
        <xdr:cNvSpPr/>
      </xdr:nvSpPr>
      <xdr:spPr>
        <a:xfrm>
          <a:off x="22412" y="56030"/>
          <a:ext cx="267027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1F6BD8CE-863E-499E-B5A3-C2397BF4FE9C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Deviation in Hours from Plan</a:t>
          </a:fld>
          <a:endParaRPr lang="nb-NO" sz="6600" b="1">
            <a:solidFill>
              <a:srgbClr val="C0000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087512" cy="277097"/>
    <xdr:sp macro="" textlink="ReportCaption4">
      <xdr:nvSpPr>
        <xdr:cNvPr id="2" name="Avrundet rektangel 1"/>
        <xdr:cNvSpPr/>
      </xdr:nvSpPr>
      <xdr:spPr>
        <a:xfrm>
          <a:off x="22412" y="56030"/>
          <a:ext cx="308751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6BF72B4D-4B65-4F3D-BA46-A399CC00818A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Order Status at Plan creation time</a:t>
          </a:fld>
          <a:endParaRPr lang="nb-NO" sz="88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22.438384143519" createdVersion="4" refreshedVersion="5" minRefreshableVersion="3" recordCount="2">
  <cacheSource type="worksheet">
    <worksheetSource name="SapExlData"/>
  </cacheSource>
  <cacheFields count="97">
    <cacheField name="Order" numFmtId="0">
      <sharedItems containsSemiMixedTypes="0" containsString="0" containsNumber="1" containsInteger="1" minValue="1199656" maxValue="100437261" count="4">
        <n v="1216279"/>
        <n v="1199656" u="1"/>
        <n v="100437261" u="1"/>
        <n v="100436772" u="1"/>
      </sharedItems>
    </cacheField>
    <cacheField name="Confirmed order finish date" numFmtId="14">
      <sharedItems containsNonDate="0" containsString="0" containsBlank="1"/>
    </cacheField>
    <cacheField name="Actual finish date" numFmtId="14">
      <sharedItems/>
    </cacheField>
    <cacheField name="Scheduled finish" numFmtId="14">
      <sharedItems/>
    </cacheField>
    <cacheField name="Finish tme" numFmtId="167">
      <sharedItems containsSemiMixedTypes="0" containsNonDate="0" containsDate="1" containsString="0" minDate="1899-12-30T15:00:00" maxDate="1899-12-30T15:00:00"/>
    </cacheField>
    <cacheField name="Actual start date" numFmtId="14">
      <sharedItems/>
    </cacheField>
    <cacheField name="Scheduled start" numFmtId="14">
      <sharedItems/>
    </cacheField>
    <cacheField name="SchedStart" numFmtId="167">
      <sharedItems containsSemiMixedTypes="0" containsNonDate="0" containsDate="1" containsString="0" minDate="1899-12-30T11:35:42" maxDate="1899-12-30T11:35:42"/>
    </cacheField>
    <cacheField name="Act.finish" numFmtId="14">
      <sharedItems/>
    </cacheField>
    <cacheField name="Act. Start" numFmtId="179">
      <sharedItems/>
    </cacheField>
    <cacheField name="DCI" numFmtId="177">
      <sharedItems containsNonDate="0" containsString="0" containsBlank="1" count="1">
        <m/>
      </sharedItems>
    </cacheField>
    <cacheField name="OrderNummer" numFmtId="0">
      <sharedItems containsSemiMixedTypes="0" containsString="0" containsNumber="1" containsInteger="1" minValue="1216279" maxValue="1216279"/>
    </cacheField>
    <cacheField name="Earl.start date" numFmtId="14">
      <sharedItems/>
    </cacheField>
    <cacheField name="Lang" numFmtId="0">
      <sharedItems/>
    </cacheField>
    <cacheField name="Mix Material Description" numFmtId="0">
      <sharedItems/>
    </cacheField>
    <cacheField name="0ME_DEL_IND" numFmtId="0">
      <sharedItems containsNonDate="0" containsString="0" containsBlank="1"/>
    </cacheField>
    <cacheField name="Plant Description" numFmtId="0">
      <sharedItems/>
    </cacheField>
    <cacheField name="0PPS_DOCDEL" numFmtId="0">
      <sharedItems containsNonDate="0" containsString="0" containsBlank="1"/>
    </cacheField>
    <cacheField name="Order priority" numFmtId="0">
      <sharedItems containsNonDate="0" containsString="0" containsBlank="1"/>
    </cacheField>
    <cacheField name="0S_ORD_ITEM" numFmtId="0">
      <sharedItems containsSemiMixedTypes="0" containsString="0" containsNumber="1" containsInteger="1" minValue="1" maxValue="1"/>
    </cacheField>
    <cacheField name="Work Center Description" numFmtId="0">
      <sharedItems/>
    </cacheField>
    <cacheField name="Counter" numFmtId="0">
      <sharedItems containsSemiMixedTypes="0" containsString="0" containsNumber="1" containsInteger="1" minValue="1" maxValue="2"/>
    </cacheField>
    <cacheField name="ID" numFmtId="0">
      <sharedItems containsSemiMixedTypes="0" containsString="0" containsNumber="1" containsInteger="1" minValue="1" maxValue="1"/>
    </cacheField>
    <cacheField name="ZIBEZEI" numFmtId="0">
      <sharedItems/>
    </cacheField>
    <cacheField name="Earl.start time" numFmtId="167">
      <sharedItems containsSemiMixedTypes="0" containsNonDate="0" containsDate="1" containsString="0" minDate="1899-12-30T11:35:42" maxDate="1899-12-30T11:35:42"/>
    </cacheField>
    <cacheField name="Actual Order Finish Date" numFmtId="14">
      <sharedItems/>
    </cacheField>
    <cacheField name="Act.finish2" numFmtId="167">
      <sharedItems containsSemiMixedTypes="0" containsNonDate="0" containsDate="1" containsString="0" minDate="1899-12-30T15:00:58" maxDate="1899-12-30T15:00:58"/>
    </cacheField>
    <cacheField name="ActlStart" numFmtId="177">
      <sharedItems containsSemiMixedTypes="0" containsNonDate="0" containsDate="1" containsString="0" minDate="1899-12-30T15:00:58" maxDate="1899-12-30T15:00:58"/>
    </cacheField>
    <cacheField name="Act.finish3" numFmtId="167">
      <sharedItems containsSemiMixedTypes="0" containsNonDate="0" containsDate="1" containsString="0" minDate="1899-12-30T15:00:58" maxDate="1899-12-30T15:00:58"/>
    </cacheField>
    <cacheField name="Act.finish4" numFmtId="177">
      <sharedItems containsSemiMixedTypes="0" containsNonDate="0" containsDate="1" containsString="0" minDate="1899-12-30T15:00:58" maxDate="1899-12-30T15:00:58"/>
    </cacheField>
    <cacheField name="ZIKAPID" numFmtId="0">
      <sharedItems containsSemiMixedTypes="0" containsString="0" containsNumber="1" containsInteger="1" minValue="10000754" maxValue="10000754"/>
    </cacheField>
    <cacheField name="Material Description" numFmtId="0">
      <sharedItems/>
    </cacheField>
    <cacheField name="Ph" numFmtId="0">
      <sharedItems/>
    </cacheField>
    <cacheField name="Lat.start date" numFmtId="176">
      <sharedItems/>
    </cacheField>
    <cacheField name="Lat. start time" numFmtId="177">
      <sharedItems containsSemiMixedTypes="0" containsNonDate="0" containsDate="1" containsString="0" minDate="1899-12-30T11:35:42" maxDate="1899-12-30T11:35:42"/>
    </cacheField>
    <cacheField name="Ctrl" numFmtId="176">
      <sharedItems/>
    </cacheField>
    <cacheField name="ZISTLTY" numFmtId="177">
      <sharedItems/>
    </cacheField>
    <cacheField name="Short description" numFmtId="176">
      <sharedItems/>
    </cacheField>
    <cacheField name="MixEnhet" numFmtId="176">
      <sharedItems/>
    </cacheField>
    <cacheField name="20LANGU" numFmtId="176">
      <sharedItems/>
    </cacheField>
    <cacheField name="Mix Material" numFmtId="0">
      <sharedItems containsSemiMixedTypes="0" containsString="0" containsNumber="1" containsInteger="1" minValue="506620" maxValue="506620"/>
    </cacheField>
    <cacheField name="Plnt" numFmtId="177">
      <sharedItems/>
    </cacheField>
    <cacheField name="Work ctr" numFmtId="0">
      <sharedItems/>
    </cacheField>
    <cacheField name="Material Number" numFmtId="0">
      <sharedItems containsNonDate="0" containsString="0" containsBlank="1"/>
    </cacheField>
    <cacheField name="Base Quantity" numFmtId="0">
      <sharedItems containsSemiMixedTypes="0" containsString="0" containsNumber="1" containsInteger="1" minValue="1000" maxValue="1000"/>
    </cacheField>
    <cacheField name="Reqmt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0">
      <sharedItems containsSemiMixedTypes="0" containsString="0" containsNumber="1" containsInteger="1" minValue="3150" maxValue="3150"/>
    </cacheField>
    <cacheField name="Confirmed Yield2" numFmtId="0">
      <sharedItems containsSemiMixedTypes="0" containsString="0" containsNumber="1" containsInteger="1" minValue="3150" maxValue="3150"/>
    </cacheField>
    <cacheField name="Quantity of goods received" numFmtId="0">
      <sharedItems containsSemiMixedTypes="0" containsString="0" containsNumber="1" containsInteger="1" minValue="3150" maxValue="3150"/>
    </cacheField>
    <cacheField name="Processing time" numFmtId="0">
      <sharedItems containsSemiMixedTypes="0" containsString="0" containsNumber="1" minValue="0.2" maxValue="1"/>
    </cacheField>
    <cacheField name="Scrap quantity" numFmtId="0">
      <sharedItems containsSemiMixedTypes="0" containsString="0" containsNumber="1" containsInteger="1" minValue="0" maxValue="0"/>
    </cacheField>
    <cacheField name="Total order quantity" numFmtId="0">
      <sharedItems containsSemiMixedTypes="0" containsString="0" containsNumber="1" containsInteger="1" minValue="3173" maxValue="3173"/>
    </cacheField>
    <cacheField name="Total Scrap Quantity in the Or" numFmtId="0">
      <sharedItems containsSemiMixedTypes="0" containsString="0" containsNumber="1" containsInteger="1" minValue="0" maxValue="0"/>
    </cacheField>
    <cacheField name="Setup time" numFmtId="0">
      <sharedItems containsSemiMixedTypes="0" containsString="0" containsNumber="1" containsInteger="1" minValue="0" maxValue="0"/>
    </cacheField>
    <cacheField name="Operation Qty" numFmtId="0">
      <sharedItems containsSemiMixedTypes="0" containsString="0" containsNumber="1" containsInteger="1" minValue="3150" maxValue="3150"/>
    </cacheField>
    <cacheField name="Confirmed qty" numFmtId="0">
      <sharedItems containsSemiMixedTypes="0" containsString="0" containsNumber="1" containsInteger="1" minValue="3150" maxValue="3150"/>
    </cacheField>
    <cacheField name="Total Stock" numFmtId="0">
      <sharedItems containsSemiMixedTypes="0" containsString="0" containsNumber="1" containsInteger="1" minValue="0" maxValue="0"/>
    </cacheField>
    <cacheField name="Qty Withdrawn" numFmtId="0">
      <sharedItems containsSemiMixedTypes="0" containsString="0" containsNumber="1" containsInteger="1" minValue="0" maxValue="0"/>
    </cacheField>
    <cacheField name="SetupTid" numFmtId="0">
      <sharedItems containsSemiMixedTypes="0" containsString="0" containsNumber="1" containsInteger="1" minValue="0" maxValue="0"/>
    </cacheField>
    <cacheField name="ProcTid" numFmtId="0">
      <sharedItems containsSemiMixedTypes="0" containsString="0" containsNumber="1" containsInteger="1" minValue="0" maxValue="0"/>
    </cacheField>
    <cacheField name="Material Name" numFmtId="0">
      <sharedItems count="5">
        <s v=" BRUNET MASSE"/>
        <s v="015928 Brun middagsaus pastøs 6bx/10L" u="1"/>
        <s v="506620 Salt Vacuum Fint" u="1"/>
        <s v="Svinekjøtt forsaltet til postei " u="1"/>
        <s v="001538 Brun middagsaus pastøs økon 1sp/190L" u="1"/>
      </sharedItems>
    </cacheField>
    <cacheField name="Rem_Qty" numFmtId="38">
      <sharedItems containsSemiMixedTypes="0" containsString="0" containsNumber="1" containsInteger="1" minValue="23" maxValue="23"/>
    </cacheField>
    <cacheField name="RT_Total" numFmtId="0">
      <sharedItems containsSemiMixedTypes="0" containsString="0" containsNumber="1" minValue="3.15" maxValue="3.15"/>
    </cacheField>
    <cacheField name="Setup" numFmtId="165">
      <sharedItems containsSemiMixedTypes="0" containsString="0" containsNumber="1" containsInteger="1" minValue="0" maxValue="0"/>
    </cacheField>
    <cacheField name="Rem_Time" numFmtId="0">
      <sharedItems containsSemiMixedTypes="0" containsString="0" containsNumber="1" minValue="0" maxValue="4.6666666666666599" count="4">
        <n v="0"/>
        <n v="2.2833280806807434E-2" u="1"/>
        <n v="4.6666666666666599" u="1"/>
        <n v="3.1666666666666599" u="1"/>
      </sharedItems>
    </cacheField>
    <cacheField name="Sequence" numFmtId="0">
      <sharedItems containsSemiMixedTypes="0" containsString="0" containsNumber="1" containsInteger="1" minValue="1" maxValue="1"/>
    </cacheField>
    <cacheField name="Start_DateH" numFmtId="176">
      <sharedItems containsSemiMixedTypes="0" containsNonDate="0" containsDate="1" containsString="0" minDate="2015-03-23T00:00:00" maxDate="2015-03-24T00:00:00"/>
    </cacheField>
    <cacheField name="Start_TimeH" numFmtId="20">
      <sharedItems containsSemiMixedTypes="0" containsNonDate="0" containsDate="1" containsString="0" minDate="1899-12-30T15:00:58" maxDate="1899-12-30T15:00:58"/>
    </cacheField>
    <cacheField name="Active" numFmtId="0">
      <sharedItems containsSemiMixedTypes="0" containsString="0" containsNumber="1" containsInteger="1" minValue="0" maxValue="2" count="3">
        <n v="0"/>
        <n v="1"/>
        <n v="2" u="1"/>
      </sharedItems>
    </cacheField>
    <cacheField name="End_Date" numFmtId="14">
      <sharedItems containsSemiMixedTypes="0" containsNonDate="0" containsDate="1" containsString="0" minDate="2012-11-20T00:00:00" maxDate="2012-11-21T00:00:00" count="1">
        <d v="2012-11-20T00:00:00"/>
      </sharedItems>
    </cacheField>
    <cacheField name="End_Time" numFmtId="20">
      <sharedItems containsSemiMixedTypes="0" containsNonDate="0" containsDate="1" containsString="0" minDate="1899-12-30T17:38:05" maxDate="1899-12-30T22:18:05" count="2">
        <d v="1899-12-30T17:38:05"/>
        <d v="1899-12-30T22:18:05"/>
      </sharedItems>
    </cacheField>
    <cacheField name="Start" numFmtId="174">
      <sharedItems containsSemiMixedTypes="0" containsNonDate="0" containsDate="1" containsString="0" minDate="2015-03-23T15:00:58" maxDate="2015-03-23T15:00:58"/>
    </cacheField>
    <cacheField name="Stop" numFmtId="174">
      <sharedItems containsSemiMixedTypes="0" containsNonDate="0" containsDate="1" containsString="0" minDate="2012-11-20T17:38:05" maxDate="2012-11-20T22:18:05"/>
    </cacheField>
    <cacheField name="StartSec" numFmtId="177">
      <sharedItems containsSemiMixedTypes="0" containsNonDate="0" containsDate="1" containsString="0" minDate="1899-12-30T07:00:00" maxDate="1899-12-30T07:00:00"/>
    </cacheField>
    <cacheField name="Work Center" numFmtId="0">
      <sharedItems count="5">
        <s v="AR2701 AR00/AR2701"/>
        <s v="FR00/FR7099 Krydderbua" u="1"/>
        <s v="FR00/FR7415 Ks-Blander Gml Div" u="1"/>
        <s v="AR00/AR2701" u="1"/>
        <s v="1502 Grunwald 2" u="1"/>
      </sharedItems>
    </cacheField>
    <cacheField name="StopSec" numFmtId="177">
      <sharedItems containsSemiMixedTypes="0" containsNonDate="0" containsDate="1" containsString="0" minDate="1899-12-30T22:30:00" maxDate="1899-12-30T22:30:00"/>
    </cacheField>
    <cacheField name="Acc_Cap" numFmtId="38">
      <sharedItems containsSemiMixedTypes="0" containsString="0" containsNumber="1" containsInteger="1" minValue="0" maxValue="0"/>
    </cacheField>
    <cacheField name="StartCap" numFmtId="38">
      <sharedItems containsSemiMixedTypes="0" containsString="0" containsNumber="1" containsInteger="1" minValue="0" maxValue="0"/>
    </cacheField>
    <cacheField name="Acc_Cap2" numFmtId="38">
      <sharedItems containsSemiMixedTypes="0" containsString="0" containsNumber="1" containsInteger="1" minValue="0" maxValue="0"/>
    </cacheField>
    <cacheField name="Startverdi" numFmtId="2">
      <sharedItems containsSemiMixedTypes="0" containsString="0" containsNumber="1" containsInteger="1" minValue="0" maxValue="0"/>
    </cacheField>
    <cacheField name="Prodverdi" numFmtId="2">
      <sharedItems containsSemiMixedTypes="0" containsString="0" containsNumber="1" containsInteger="1" minValue="0" maxValue="0"/>
    </cacheField>
    <cacheField name="Nå_verdi" numFmtId="2">
      <sharedItems containsSemiMixedTypes="0" containsString="0" containsNumber="1" containsInteger="1" minValue="0" maxValue="0"/>
    </cacheField>
    <cacheField name="Totverdi" numFmtId="38">
      <sharedItems containsSemiMixedTypes="0" containsString="0" containsNumber="1" containsInteger="1" minValue="0" maxValue="0"/>
    </cacheField>
    <cacheField name="Akt_Help" numFmtId="38">
      <sharedItems containsSemiMixedTypes="0" containsString="0" containsNumber="1" containsInteger="1" minValue="0" maxValue="1"/>
    </cacheField>
    <cacheField name="Acc_Akt" numFmtId="38">
      <sharedItems containsSemiMixedTypes="0" containsString="0" containsNumber="1" containsInteger="1" minValue="0" maxValue="1"/>
    </cacheField>
    <cacheField name="ActStarted" numFmtId="38">
      <sharedItems containsSemiMixedTypes="0" containsString="0" containsNumber="1" containsInteger="1" minValue="0" maxValue="1" count="2">
        <n v="0"/>
        <n v="1"/>
      </sharedItems>
    </cacheField>
    <cacheField name="Locked" numFmtId="0">
      <sharedItems count="1">
        <s v=""/>
      </sharedItems>
    </cacheField>
    <cacheField name="Cap_ToDay" numFmtId="2">
      <sharedItems containsSemiMixedTypes="0" containsString="0" containsNumber="1" containsInteger="1" minValue="0" maxValue="0"/>
    </cacheField>
    <cacheField name="Left_Now" numFmtId="2">
      <sharedItems containsSemiMixedTypes="0" containsString="0" containsNumber="1" containsInteger="1" minValue="0" maxValue="0"/>
    </cacheField>
    <cacheField name="CapStart" numFmtId="166">
      <sharedItems containsSemiMixedTypes="0" containsNonDate="0" containsDate="1" containsString="0" minDate="1899-12-30T00:00:00" maxDate="1899-12-31T00:00:00"/>
    </cacheField>
    <cacheField name="Mix_Status" numFmtId="168">
      <sharedItems count="2">
        <s v="Not relevant"/>
        <e v="#VALUE!" u="1"/>
      </sharedItems>
    </cacheField>
    <cacheField name="Help2" numFmtId="38">
      <sharedItems containsSemiMixedTypes="0" containsString="0" containsNumber="1" containsInteger="1" minValue="0" maxValue="0"/>
    </cacheField>
    <cacheField name="Help3" numFmtId="38">
      <sharedItems containsSemiMixedTypes="0" containsString="0" containsNumber="1" containsInteger="1" minValue="0" maxValue="0"/>
    </cacheField>
    <cacheField name="Start_Date" numFmtId="176">
      <sharedItems containsSemiMixedTypes="0" containsNonDate="0" containsDate="1" containsString="0" minDate="1899-12-30T00:00:00" maxDate="2015-03-24T00:00:00" count="4">
        <d v="2015-03-23T00:00:00"/>
        <d v="1899-12-30T00:00:00" u="1"/>
        <d v="2013-11-25T00:00:00" u="1"/>
        <d v="2014-02-04T00:00:00" u="1"/>
      </sharedItems>
    </cacheField>
    <cacheField name="Start_Time" numFmtId="20">
      <sharedItems containsSemiMixedTypes="0" containsNonDate="0" containsDate="1" containsString="0" minDate="1899-12-30T00:00:00" maxDate="1899-12-30T15:00:58" count="4">
        <d v="1899-12-30T15:00:58"/>
        <d v="1899-12-30T00:00:00" u="1"/>
        <d v="1899-12-30T07:00:00" u="1"/>
        <d v="1899-12-30T13:49:33" u="1"/>
      </sharedItems>
    </cacheField>
    <cacheField name="SL_Mixing" numFmtId="0" formula="Help2/Help3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il Kumar Bottu" refreshedDate="42137.475212268517" createdVersion="5" refreshedVersion="5" minRefreshableVersion="3" recordCount="3">
  <cacheSource type="worksheet">
    <worksheetSource name="PlanAll"/>
  </cacheSource>
  <cacheFields count="116">
    <cacheField name="Order" numFmtId="0">
      <sharedItems containsMixedTypes="1" containsNumber="1" containsInteger="1" minValue="1216279" maxValue="1216279" count="2">
        <n v="1216279"/>
        <e v="#VALUE!"/>
      </sharedItems>
    </cacheField>
    <cacheField name="Confirmed order finish date" numFmtId="14">
      <sharedItems containsNonDate="0" containsString="0" containsBlank="1"/>
    </cacheField>
    <cacheField name="Actual finish date" numFmtId="14">
      <sharedItems/>
    </cacheField>
    <cacheField name="Scheduled finish" numFmtId="14">
      <sharedItems/>
    </cacheField>
    <cacheField name="Finish tme" numFmtId="167">
      <sharedItems containsSemiMixedTypes="0" containsNonDate="0" containsDate="1" containsString="0" minDate="1899-12-30T15:00:00" maxDate="1899-12-30T15:00:00"/>
    </cacheField>
    <cacheField name="Actual start date" numFmtId="14">
      <sharedItems/>
    </cacheField>
    <cacheField name="Scheduled start" numFmtId="14">
      <sharedItems/>
    </cacheField>
    <cacheField name="SchedStart" numFmtId="167">
      <sharedItems containsSemiMixedTypes="0" containsNonDate="0" containsDate="1" containsString="0" minDate="1899-12-30T11:35:42" maxDate="1899-12-30T11:35:42"/>
    </cacheField>
    <cacheField name="Act.finish" numFmtId="14">
      <sharedItems/>
    </cacheField>
    <cacheField name="Act. Start" numFmtId="14">
      <sharedItems/>
    </cacheField>
    <cacheField name="DCI" numFmtId="177">
      <sharedItems containsNonDate="0" containsString="0" containsBlank="1" count="1">
        <m/>
      </sharedItems>
    </cacheField>
    <cacheField name="OrderNummer" numFmtId="0">
      <sharedItems containsSemiMixedTypes="0" containsString="0" containsNumber="1" containsInteger="1" minValue="1216279" maxValue="1216279"/>
    </cacheField>
    <cacheField name="Earl.start date" numFmtId="14">
      <sharedItems/>
    </cacheField>
    <cacheField name="Lang" numFmtId="0">
      <sharedItems/>
    </cacheField>
    <cacheField name="Mix Material Description" numFmtId="0">
      <sharedItems/>
    </cacheField>
    <cacheField name="0ME_DEL_IND" numFmtId="0">
      <sharedItems containsNonDate="0" containsString="0" containsBlank="1"/>
    </cacheField>
    <cacheField name="Plant Description" numFmtId="0">
      <sharedItems/>
    </cacheField>
    <cacheField name="0PPS_DOCDEL" numFmtId="0">
      <sharedItems containsNonDate="0" containsString="0" containsBlank="1"/>
    </cacheField>
    <cacheField name="Order priority" numFmtId="0">
      <sharedItems containsNonDate="0" containsString="0" containsBlank="1"/>
    </cacheField>
    <cacheField name="0S_ORD_ITEM" numFmtId="0">
      <sharedItems containsSemiMixedTypes="0" containsString="0" containsNumber="1" containsInteger="1" minValue="1" maxValue="1"/>
    </cacheField>
    <cacheField name="Work Center Description" numFmtId="0">
      <sharedItems/>
    </cacheField>
    <cacheField name="Counter" numFmtId="0">
      <sharedItems containsSemiMixedTypes="0" containsString="0" containsNumber="1" containsInteger="1" minValue="1" maxValue="2"/>
    </cacheField>
    <cacheField name="ID" numFmtId="0">
      <sharedItems containsSemiMixedTypes="0" containsString="0" containsNumber="1" containsInteger="1" minValue="1" maxValue="1"/>
    </cacheField>
    <cacheField name="ZIBEZEI" numFmtId="0">
      <sharedItems/>
    </cacheField>
    <cacheField name="Earl.start time" numFmtId="167">
      <sharedItems containsSemiMixedTypes="0" containsNonDate="0" containsDate="1" containsString="0" minDate="1899-12-30T11:35:42" maxDate="1899-12-30T11:35:42"/>
    </cacheField>
    <cacheField name="Actual Order Finish Date" numFmtId="14">
      <sharedItems/>
    </cacheField>
    <cacheField name="Act.finish2" numFmtId="167">
      <sharedItems containsSemiMixedTypes="0" containsNonDate="0" containsDate="1" containsString="0" minDate="1899-12-30T15:00:58" maxDate="1899-12-30T15:00:58"/>
    </cacheField>
    <cacheField name="ActlStart" numFmtId="177">
      <sharedItems containsSemiMixedTypes="0" containsNonDate="0" containsDate="1" containsString="0" minDate="1899-12-30T15:00:58" maxDate="1899-12-30T15:00:58"/>
    </cacheField>
    <cacheField name="Act.finish3" numFmtId="167">
      <sharedItems containsSemiMixedTypes="0" containsNonDate="0" containsDate="1" containsString="0" minDate="1899-12-30T15:00:58" maxDate="1899-12-30T15:00:58"/>
    </cacheField>
    <cacheField name="Act.finish4" numFmtId="177">
      <sharedItems containsSemiMixedTypes="0" containsNonDate="0" containsDate="1" containsString="0" minDate="1899-12-30T15:00:58" maxDate="1899-12-30T15:00:58"/>
    </cacheField>
    <cacheField name="ZIKAPID" numFmtId="0">
      <sharedItems containsSemiMixedTypes="0" containsString="0" containsNumber="1" containsInteger="1" minValue="10000754" maxValue="10000754"/>
    </cacheField>
    <cacheField name="Material Description" numFmtId="0">
      <sharedItems/>
    </cacheField>
    <cacheField name="Ph" numFmtId="0">
      <sharedItems/>
    </cacheField>
    <cacheField name="Lat.start date" numFmtId="176">
      <sharedItems/>
    </cacheField>
    <cacheField name="Lat. start time" numFmtId="177">
      <sharedItems containsSemiMixedTypes="0" containsNonDate="0" containsDate="1" containsString="0" minDate="1899-12-30T11:35:42" maxDate="1899-12-30T11:35:42"/>
    </cacheField>
    <cacheField name="Ctrl" numFmtId="176">
      <sharedItems/>
    </cacheField>
    <cacheField name="ZISTLTY" numFmtId="177">
      <sharedItems/>
    </cacheField>
    <cacheField name="Short description" numFmtId="176">
      <sharedItems/>
    </cacheField>
    <cacheField name="MixEnhet" numFmtId="176">
      <sharedItems/>
    </cacheField>
    <cacheField name="20LANGU" numFmtId="176">
      <sharedItems/>
    </cacheField>
    <cacheField name="Mix Material" numFmtId="0">
      <sharedItems containsSemiMixedTypes="0" containsString="0" containsNumber="1" containsInteger="1" minValue="506620" maxValue="506620"/>
    </cacheField>
    <cacheField name="Plnt" numFmtId="177">
      <sharedItems/>
    </cacheField>
    <cacheField name="Work ctr" numFmtId="0">
      <sharedItems/>
    </cacheField>
    <cacheField name="Material Number" numFmtId="0">
      <sharedItems containsNonDate="0" containsString="0" containsBlank="1"/>
    </cacheField>
    <cacheField name="Base Quantity" numFmtId="0">
      <sharedItems containsSemiMixedTypes="0" containsString="0" containsNumber="1" containsInteger="1" minValue="1000" maxValue="1000"/>
    </cacheField>
    <cacheField name="Reqmt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0">
      <sharedItems containsSemiMixedTypes="0" containsString="0" containsNumber="1" containsInteger="1" minValue="3150" maxValue="3150"/>
    </cacheField>
    <cacheField name="Confirmed Yield2" numFmtId="0">
      <sharedItems containsSemiMixedTypes="0" containsString="0" containsNumber="1" containsInteger="1" minValue="3150" maxValue="3150"/>
    </cacheField>
    <cacheField name="Quantity of goods received" numFmtId="0">
      <sharedItems containsSemiMixedTypes="0" containsString="0" containsNumber="1" containsInteger="1" minValue="3173" maxValue="3173"/>
    </cacheField>
    <cacheField name="Processing time" numFmtId="177">
      <sharedItems containsSemiMixedTypes="0" containsNonDate="0" containsDate="1" containsString="0" minDate="1899-12-30T04:48:00" maxDate="1900-01-01T00:00:00"/>
    </cacheField>
    <cacheField name="Scrap quantity" numFmtId="0">
      <sharedItems containsSemiMixedTypes="0" containsString="0" containsNumber="1" containsInteger="1" minValue="0" maxValue="0"/>
    </cacheField>
    <cacheField name="Total order quantity" numFmtId="0">
      <sharedItems containsSemiMixedTypes="0" containsString="0" containsNumber="1" containsInteger="1" minValue="3150" maxValue="3150"/>
    </cacheField>
    <cacheField name="Total Scrap Quantity in the Or" numFmtId="0">
      <sharedItems containsSemiMixedTypes="0" containsString="0" containsNumber="1" containsInteger="1" minValue="0" maxValue="0"/>
    </cacheField>
    <cacheField name="Setup time" numFmtId="167">
      <sharedItems containsSemiMixedTypes="0" containsNonDate="0" containsDate="1" containsString="0" minDate="1899-12-30T00:00:00" maxDate="1899-12-31T00:00:00"/>
    </cacheField>
    <cacheField name="Operation Qty" numFmtId="0">
      <sharedItems containsSemiMixedTypes="0" containsString="0" containsNumber="1" containsInteger="1" minValue="3150" maxValue="3150"/>
    </cacheField>
    <cacheField name="Confirmed qty" numFmtId="0">
      <sharedItems containsSemiMixedTypes="0" containsString="0" containsNumber="1" containsInteger="1" minValue="3150" maxValue="3150"/>
    </cacheField>
    <cacheField name="Total Stock" numFmtId="0">
      <sharedItems containsSemiMixedTypes="0" containsString="0" containsNumber="1" containsInteger="1" minValue="0" maxValue="0"/>
    </cacheField>
    <cacheField name="Qty Withdrawn" numFmtId="0">
      <sharedItems containsSemiMixedTypes="0" containsString="0" containsNumber="1" containsInteger="1" minValue="0" maxValue="0"/>
    </cacheField>
    <cacheField name="SetupTid" numFmtId="0">
      <sharedItems containsSemiMixedTypes="0" containsString="0" containsNumber="1" containsInteger="1" minValue="0" maxValue="0"/>
    </cacheField>
    <cacheField name="ProcTid" numFmtId="0">
      <sharedItems containsSemiMixedTypes="0" containsString="0" containsNumber="1" containsInteger="1" minValue="1" maxValue="1"/>
    </cacheField>
    <cacheField name="Material Name" numFmtId="0">
      <sharedItems count="2">
        <s v="015928 Brun middagsaus pastøs 6bx/10L"/>
        <s v="001538 Brun middagsaus pastøs økon 1sp/190L"/>
      </sharedItems>
    </cacheField>
    <cacheField name="Rem_Qty" numFmtId="38">
      <sharedItems containsSemiMixedTypes="0" containsString="0" containsNumber="1" containsInteger="1" minValue="55" maxValue="1300"/>
    </cacheField>
    <cacheField name="RT_Total" numFmtId="0">
      <sharedItems containsSemiMixedTypes="0" containsString="0" containsNumber="1" minValue="2.1666666666666665" maxValue="3.6666666666666665"/>
    </cacheField>
    <cacheField name="Setup" numFmtId="165">
      <sharedItems containsSemiMixedTypes="0" containsString="0" containsNumber="1" minValue="0.99999999999999334" maxValue="0.99999999999999334"/>
    </cacheField>
    <cacheField name="Rem_Time" numFmtId="0">
      <sharedItems containsSemiMixedTypes="0" containsString="0" containsNumber="1" minValue="3.1666666666666599" maxValue="4.6666666666666599" count="2">
        <n v="3.1666666666666599"/>
        <n v="4.6666666666666599"/>
      </sharedItems>
    </cacheField>
    <cacheField name="Sequence" numFmtId="0">
      <sharedItems containsSemiMixedTypes="0" containsString="0" containsNumber="1" containsInteger="1" minValue="1" maxValue="2"/>
    </cacheField>
    <cacheField name="Start_DateH" numFmtId="14">
      <sharedItems containsSemiMixedTypes="0" containsNonDate="0" containsDate="1" containsString="0" minDate="2012-11-19T00:00:00" maxDate="2012-11-21T00:00:00"/>
    </cacheField>
    <cacheField name="Start_TimeH" numFmtId="20">
      <sharedItems containsSemiMixedTypes="0" containsNonDate="0" containsDate="1" containsString="0" minDate="1899-12-30T11:27:26" maxDate="1899-12-30T17:38:05"/>
    </cacheField>
    <cacheField name="Active" numFmtId="0">
      <sharedItems containsSemiMixedTypes="0" containsString="0" containsNumber="1" containsInteger="1" minValue="1" maxValue="2" count="2">
        <n v="1"/>
        <n v="2"/>
      </sharedItems>
    </cacheField>
    <cacheField name="End_Date" numFmtId="14">
      <sharedItems containsSemiMixedTypes="0" containsNonDate="0" containsDate="1" containsString="0" minDate="2012-11-20T00:00:00" maxDate="2012-11-21T00:00:00" count="1">
        <d v="2012-11-20T00:00:00"/>
      </sharedItems>
    </cacheField>
    <cacheField name="End_Time" numFmtId="20">
      <sharedItems containsSemiMixedTypes="0" containsNonDate="0" containsDate="1" containsString="0" minDate="1899-12-30T17:38:05" maxDate="1899-12-30T22:18:05" count="2">
        <d v="1899-12-30T17:38:05"/>
        <d v="1899-12-30T22:18:05"/>
      </sharedItems>
    </cacheField>
    <cacheField name="Start" numFmtId="174">
      <sharedItems containsSemiMixedTypes="0" containsNonDate="0" containsDate="1" containsString="0" minDate="2013-11-25T07:00:00" maxDate="2013-11-25T07:00:00"/>
    </cacheField>
    <cacheField name="Stop" numFmtId="174">
      <sharedItems containsSemiMixedTypes="0" containsNonDate="0" containsDate="1" containsString="0" minDate="2012-11-20T17:38:05" maxDate="2012-11-20T22:18:05"/>
    </cacheField>
    <cacheField name="StartSec" numFmtId="167">
      <sharedItems containsSemiMixedTypes="0" containsNonDate="0" containsDate="1" containsString="0" minDate="1899-12-30T07:00:00" maxDate="1899-12-30T07:00:00"/>
    </cacheField>
    <cacheField name="Work Center" numFmtId="0">
      <sharedItems count="1">
        <s v="1502 Grunwald 2"/>
      </sharedItems>
    </cacheField>
    <cacheField name="StopSec" numFmtId="167">
      <sharedItems containsSemiMixedTypes="0" containsNonDate="0" containsDate="1" containsString="0" minDate="1899-12-30T22:30:00" maxDate="1899-12-30T22:30:00"/>
    </cacheField>
    <cacheField name="Acc_Cap" numFmtId="38">
      <sharedItems/>
    </cacheField>
    <cacheField name="StartCap" numFmtId="38">
      <sharedItems containsSemiMixedTypes="0" containsString="0" containsNumber="1" containsInteger="1" minValue="0" maxValue="0"/>
    </cacheField>
    <cacheField name="Acc_Cap2" numFmtId="38">
      <sharedItems containsSemiMixedTypes="0" containsString="0" containsNumber="1" containsInteger="1" minValue="0" maxValue="0"/>
    </cacheField>
    <cacheField name="Startverdi" numFmtId="2">
      <sharedItems containsSemiMixedTypes="0" containsString="0" containsNumber="1" containsInteger="1" minValue="0" maxValue="0"/>
    </cacheField>
    <cacheField name="Prodverdi" numFmtId="2">
      <sharedItems containsSemiMixedTypes="0" containsString="0" containsNumber="1" minValue="0.13194444444444417" maxValue="0.19444444444444417"/>
    </cacheField>
    <cacheField name="Nå_verdi" numFmtId="2">
      <sharedItems containsMixedTypes="1" containsNumber="1" containsInteger="1" minValue="0" maxValue="0"/>
    </cacheField>
    <cacheField name="Totverdi" numFmtId="38">
      <sharedItems containsMixedTypes="1" containsNumber="1" minValue="16799.999999999975" maxValue="16799.999999999975"/>
    </cacheField>
    <cacheField name="Akt_Help" numFmtId="38">
      <sharedItems containsSemiMixedTypes="0" containsString="0" containsNumber="1" containsInteger="1" minValue="1" maxValue="1"/>
    </cacheField>
    <cacheField name="Acc_Akt" numFmtId="38">
      <sharedItems containsSemiMixedTypes="0" containsString="0" containsNumber="1" containsInteger="1" minValue="1" maxValue="2"/>
    </cacheField>
    <cacheField name="ActStarted" numFmtId="38">
      <sharedItems containsSemiMixedTypes="0" containsString="0" containsNumber="1" containsInteger="1" minValue="0" maxValue="0"/>
    </cacheField>
    <cacheField name="Locked" numFmtId="0">
      <sharedItems containsBlank="1" count="2">
        <m/>
        <s v=""/>
      </sharedItems>
    </cacheField>
    <cacheField name="Cap_ToDay" numFmtId="2">
      <sharedItems containsMixedTypes="1" containsNumber="1" containsInteger="1" minValue="0" maxValue="23456"/>
    </cacheField>
    <cacheField name="Left_Now" numFmtId="2">
      <sharedItems/>
    </cacheField>
    <cacheField name="CapStart" numFmtId="175">
      <sharedItems/>
    </cacheField>
    <cacheField name="Mix_Status" numFmtId="172">
      <sharedItems/>
    </cacheField>
    <cacheField name="Help2" numFmtId="38">
      <sharedItems containsSemiMixedTypes="0" containsString="0" containsNumber="1" containsInteger="1" minValue="0" maxValue="0"/>
    </cacheField>
    <cacheField name="Help3" numFmtId="38">
      <sharedItems containsSemiMixedTypes="0" containsString="0" containsNumber="1" containsInteger="1" minValue="0" maxValue="0"/>
    </cacheField>
    <cacheField name="Start_Date" numFmtId="14">
      <sharedItems containsSemiMixedTypes="0" containsNonDate="0" containsDate="1" containsString="0" minDate="2013-11-25T00:00:00" maxDate="2013-11-26T00:00:00" count="1">
        <d v="2013-11-25T00:00:00"/>
      </sharedItems>
    </cacheField>
    <cacheField name="Start_Time" numFmtId="20">
      <sharedItems containsSemiMixedTypes="0" containsNonDate="0" containsDate="1" containsString="0" minDate="1899-12-30T07:00:00" maxDate="1899-12-30T07:00:00" count="1">
        <d v="1899-12-30T07:00:00"/>
      </sharedItems>
    </cacheField>
    <cacheField name="New_End" numFmtId="166">
      <sharedItems containsDate="1" containsMixedTypes="1" minDate="2012-11-20T17:38:05" maxDate="2012-11-20T17:38:05"/>
    </cacheField>
    <cacheField name="Deviation" numFmtId="167">
      <sharedItems containsDate="1" containsMixedTypes="1" minDate="1899-12-30T00:00:00" maxDate="1899-12-31T00:00:00"/>
    </cacheField>
    <cacheField name="Pos_Neg" numFmtId="0">
      <sharedItems/>
    </cacheField>
    <cacheField name="Test Active" numFmtId="0">
      <sharedItems containsSemiMixedTypes="0" containsString="0" containsNumber="1" containsInteger="1" minValue="0" maxValue="1"/>
    </cacheField>
    <cacheField name="New_Cap" numFmtId="38">
      <sharedItems containsSemiMixedTypes="0" containsString="0" containsNumber="1" containsInteger="1" minValue="0" maxValue="0"/>
    </cacheField>
    <cacheField name="Start_D2" numFmtId="166">
      <sharedItems containsSemiMixedTypes="0" containsNonDate="0" containsDate="1" containsString="0" minDate="1899-12-30T07:00:00" maxDate="1899-12-30T07:00:00"/>
    </cacheField>
    <cacheField name="New_Shift" numFmtId="167">
      <sharedItems containsDate="1" containsMixedTypes="1" minDate="1899-12-30T22:30:00" maxDate="1899-12-30T22:30:00"/>
    </cacheField>
    <cacheField name="Plan_Stop" numFmtId="0">
      <sharedItems containsSemiMixedTypes="0" containsString="0" containsNumber="1" minValue="0.9375" maxValue="0.9375"/>
    </cacheField>
    <cacheField name="Plan_Cap" numFmtId="0">
      <sharedItems containsMixedTypes="1" containsNumber="1" containsInteger="1" minValue="0" maxValue="23456"/>
    </cacheField>
    <cacheField name="New_Start" numFmtId="174">
      <sharedItems containsSemiMixedTypes="0" containsNonDate="0" containsDate="1" containsString="0" minDate="1899-12-30T00:00:00" maxDate="2015-03-23T15:00:58"/>
    </cacheField>
    <cacheField name="Test_Acc" numFmtId="38">
      <sharedItems containsMixedTypes="1" containsNumber="1" containsInteger="1" minValue="0" maxValue="1" count="3">
        <n v="1"/>
        <e v="#N/A"/>
        <n v="0"/>
      </sharedItems>
    </cacheField>
    <cacheField name="Help2_Acc" numFmtId="38">
      <sharedItems containsMixedTypes="1" containsNumber="1" containsInteger="1" minValue="0" maxValue="0"/>
    </cacheField>
    <cacheField name="ActStarted2" numFmtId="38">
      <sharedItems containsSemiMixedTypes="0" containsString="0" containsNumber="1" containsInteger="1" minValue="0" maxValue="0"/>
    </cacheField>
    <cacheField name="Help_Acc" numFmtId="0">
      <sharedItems containsSemiMixedTypes="0" containsString="0" containsNumber="1" containsInteger="1" minValue="0" maxValue="1"/>
    </cacheField>
    <cacheField name="Deviation3" numFmtId="0">
      <sharedItems containsSemiMixedTypes="0" containsString="0" containsNumber="1" containsInteger="1" minValue="0" maxValue="0"/>
    </cacheField>
    <cacheField name="Mixed" numFmtId="168">
      <sharedItems containsMixedTypes="1" containsNumber="1" containsInteger="1" minValue="0" maxValue="0" count="2">
        <s v="Not relevant"/>
        <n v="0"/>
      </sharedItems>
    </cacheField>
    <cacheField name="Dev_Hours" numFmtId="165">
      <sharedItems containsSemiMixedTypes="0" containsString="0" containsNumber="1" containsInteger="1" minValue="0" maxValue="0"/>
    </cacheField>
    <cacheField name="Rem_Time_Act" numFmtId="165">
      <sharedItems containsSemiMixedTypes="0" containsString="0" containsNumber="1" containsInteger="1" minValue="0" maxValue="0"/>
    </cacheField>
    <cacheField name="Rem_Qty2" numFmtId="38">
      <sharedItems containsSemiMixedTypes="0" containsString="0" containsNumber="1" containsInteger="1" minValue="0" maxValue="23"/>
    </cacheField>
    <cacheField name="SL_Mixing" numFmtId="0" formula="Help2/Help3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1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Ikke tilordnet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50"/>
    <n v="1"/>
    <n v="0"/>
    <n v="3173"/>
    <n v="0"/>
    <n v="0"/>
    <n v="3150"/>
    <n v="3150"/>
    <n v="0"/>
    <n v="0"/>
    <n v="0"/>
    <n v="0"/>
    <x v="0"/>
    <n v="23"/>
    <n v="3.15"/>
    <n v="0"/>
    <x v="0"/>
    <n v="1"/>
    <d v="2015-03-23T00:00:00"/>
    <d v="1899-12-30T15:00:58"/>
    <x v="0"/>
    <x v="0"/>
    <x v="0"/>
    <d v="2015-03-23T15:00:58"/>
    <d v="2012-11-20T17:38:05"/>
    <d v="1899-12-30T07:00:00"/>
    <x v="0"/>
    <d v="1899-12-30T22:30:00"/>
    <n v="0"/>
    <n v="0"/>
    <n v="0"/>
    <n v="0"/>
    <n v="0"/>
    <n v="0"/>
    <n v="0"/>
    <n v="0"/>
    <n v="0"/>
    <x v="0"/>
    <x v="0"/>
    <n v="0"/>
    <n v="0"/>
    <d v="1899-12-30T00:00:00"/>
    <x v="0"/>
    <n v="0"/>
    <n v="0"/>
    <x v="0"/>
    <x v="0"/>
  </r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50"/>
    <n v="0.2"/>
    <n v="0"/>
    <n v="3173"/>
    <n v="0"/>
    <n v="0"/>
    <n v="3150"/>
    <n v="3150"/>
    <n v="0"/>
    <n v="0"/>
    <n v="0"/>
    <n v="0"/>
    <x v="0"/>
    <n v="23"/>
    <n v="3.15"/>
    <n v="0"/>
    <x v="0"/>
    <n v="1"/>
    <d v="2015-03-23T00:00:00"/>
    <d v="1899-12-30T15:00:58"/>
    <x v="1"/>
    <x v="0"/>
    <x v="1"/>
    <d v="2015-03-23T15:00:58"/>
    <d v="2012-11-20T22:18:05"/>
    <d v="1899-12-30T07:00:00"/>
    <x v="0"/>
    <d v="1899-12-30T22:30:00"/>
    <n v="0"/>
    <n v="0"/>
    <n v="0"/>
    <n v="0"/>
    <n v="0"/>
    <n v="0"/>
    <n v="0"/>
    <n v="1"/>
    <n v="1"/>
    <x v="1"/>
    <x v="0"/>
    <n v="0"/>
    <n v="0"/>
    <d v="1899-12-30T00:00:00"/>
    <x v="0"/>
    <n v="0"/>
    <n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1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Ikke tilordnet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1T00:00:00"/>
    <n v="0"/>
    <n v="3150"/>
    <n v="0"/>
    <d v="1899-12-30T00:00:00"/>
    <n v="3150"/>
    <n v="3150"/>
    <n v="0"/>
    <n v="0"/>
    <n v="0"/>
    <n v="1"/>
    <x v="0"/>
    <n v="1300"/>
    <n v="2.1666666666666665"/>
    <n v="0.99999999999999334"/>
    <x v="0"/>
    <n v="1"/>
    <d v="2012-11-19T00:00:00"/>
    <d v="1899-12-30T11:27:26"/>
    <x v="0"/>
    <x v="0"/>
    <x v="0"/>
    <d v="2013-11-25T07:00:00"/>
    <d v="2012-11-20T17:38:05"/>
    <d v="1899-12-30T07:00:00"/>
    <x v="0"/>
    <d v="1899-12-30T22:30:00"/>
    <e v="#N/A"/>
    <n v="0"/>
    <n v="0"/>
    <n v="0"/>
    <n v="0.13194444444444417"/>
    <e v="#N/A"/>
    <e v="#N/A"/>
    <n v="1"/>
    <n v="1"/>
    <n v="0"/>
    <x v="0"/>
    <n v="23456"/>
    <e v="#N/A"/>
    <e v="#N/A"/>
    <s v="Not relevant"/>
    <n v="0"/>
    <n v="0"/>
    <x v="0"/>
    <x v="0"/>
    <d v="2012-11-20T17:38:05"/>
    <e v="#N/A"/>
    <e v="#N/A"/>
    <n v="1"/>
    <n v="0"/>
    <d v="1899-12-30T07:00:00"/>
    <d v="1899-12-30T22:30:00"/>
    <n v="0.9375"/>
    <n v="23456"/>
    <d v="2015-03-23T15:00:58"/>
    <x v="0"/>
    <n v="0"/>
    <n v="0"/>
    <n v="1"/>
    <n v="0"/>
    <x v="0"/>
    <n v="0"/>
    <n v="0"/>
    <n v="23"/>
  </r>
  <r>
    <x v="0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0T04:48:00"/>
    <n v="0"/>
    <n v="3150"/>
    <n v="0"/>
    <d v="1899-12-30T00:00:00"/>
    <n v="3150"/>
    <n v="3150"/>
    <n v="0"/>
    <n v="0"/>
    <n v="0"/>
    <n v="1"/>
    <x v="1"/>
    <n v="55"/>
    <n v="3.6666666666666665"/>
    <n v="0.99999999999999334"/>
    <x v="1"/>
    <n v="2"/>
    <d v="2012-11-20T00:00:00"/>
    <d v="1899-12-30T17:38:05"/>
    <x v="1"/>
    <x v="0"/>
    <x v="1"/>
    <d v="2013-11-25T07:00:00"/>
    <d v="2012-11-20T22:18:05"/>
    <d v="1899-12-30T07:00:00"/>
    <x v="0"/>
    <d v="1899-12-30T22:30:00"/>
    <e v="#N/A"/>
    <n v="0"/>
    <n v="0"/>
    <n v="0"/>
    <n v="0.19444444444444417"/>
    <n v="0"/>
    <n v="16799.999999999975"/>
    <n v="1"/>
    <n v="2"/>
    <n v="0"/>
    <x v="1"/>
    <e v="#N/A"/>
    <e v="#N/A"/>
    <e v="#N/A"/>
    <s v="Not relevant"/>
    <n v="0"/>
    <n v="0"/>
    <x v="0"/>
    <x v="0"/>
    <d v="2012-11-20T17:38:05"/>
    <e v="#N/A"/>
    <e v="#N/A"/>
    <n v="0"/>
    <n v="0"/>
    <d v="1899-12-30T07:00:00"/>
    <d v="1899-12-30T22:30:00"/>
    <n v="0.9375"/>
    <n v="0"/>
    <d v="2015-03-23T15:00:58"/>
    <x v="1"/>
    <e v="#N/A"/>
    <n v="0"/>
    <n v="0"/>
    <n v="0"/>
    <x v="0"/>
    <n v="0"/>
    <n v="0"/>
    <n v="23"/>
  </r>
  <r>
    <x v="1"/>
    <m/>
    <s v="23.03.2015"/>
    <s v="26.03.2015"/>
    <d v="1899-12-30T15:00:00"/>
    <s v="23.03.2015"/>
    <s v="23.03.2015"/>
    <d v="1899-12-30T11:35:42"/>
    <s v="23.03.2015"/>
    <s v="23.03.2015"/>
    <x v="0"/>
    <n v="1216279"/>
    <s v="23.03.2015"/>
    <s v="Norsk"/>
    <s v="Salt Vacuum Fint"/>
    <m/>
    <s v="AR00"/>
    <m/>
    <m/>
    <n v="1"/>
    <s v="AR00/AR2701"/>
    <n v="2"/>
    <n v="1"/>
    <s v="Ikke tilordnet"/>
    <d v="1899-12-30T11:35:42"/>
    <s v="23.03.2015"/>
    <d v="1899-12-30T15:00:58"/>
    <d v="1899-12-30T15:00:58"/>
    <d v="1899-12-30T15:00:58"/>
    <d v="1899-12-30T15:00:58"/>
    <n v="10000754"/>
    <s v="BRUNET MASSE"/>
    <s v="X"/>
    <s v="23.03.2015"/>
    <d v="1899-12-30T11:35:42"/>
    <s v="YPI1"/>
    <s v="M"/>
    <s v="BRUNET MASSE"/>
    <s v="KG"/>
    <s v="NO"/>
    <n v="506620"/>
    <s v="AR00"/>
    <s v="AR00/AR2701"/>
    <m/>
    <n v="1000"/>
    <n v="0"/>
    <n v="0"/>
    <n v="3150"/>
    <n v="3150"/>
    <n v="3173"/>
    <d v="1899-12-30T04:48:00"/>
    <n v="0"/>
    <n v="3150"/>
    <n v="0"/>
    <d v="1899-12-30T00:00:00"/>
    <n v="3150"/>
    <n v="3150"/>
    <n v="0"/>
    <n v="0"/>
    <n v="0"/>
    <n v="1"/>
    <x v="1"/>
    <n v="55"/>
    <n v="3.6666666666666665"/>
    <n v="0.99999999999999334"/>
    <x v="1"/>
    <n v="2"/>
    <d v="2012-11-20T00:00:00"/>
    <d v="1899-12-30T17:38:05"/>
    <x v="1"/>
    <x v="0"/>
    <x v="1"/>
    <d v="2013-11-25T07:00:00"/>
    <d v="2012-11-20T22:18:05"/>
    <d v="1899-12-30T07:00:00"/>
    <x v="0"/>
    <d v="1899-12-30T22:30:00"/>
    <e v="#N/A"/>
    <n v="0"/>
    <n v="0"/>
    <n v="0"/>
    <n v="0.19444444444444417"/>
    <n v="0"/>
    <n v="16799.999999999975"/>
    <n v="1"/>
    <n v="2"/>
    <n v="0"/>
    <x v="1"/>
    <n v="0"/>
    <e v="#N/A"/>
    <e v="#N/A"/>
    <s v="Not relevant"/>
    <n v="0"/>
    <n v="0"/>
    <x v="0"/>
    <x v="0"/>
    <s v="Finished"/>
    <d v="1899-12-30T00:00:00"/>
    <s v="Pos"/>
    <n v="0"/>
    <n v="0"/>
    <d v="1899-12-30T07:00:00"/>
    <e v="#VALUE!"/>
    <n v="0.9375"/>
    <s v="`"/>
    <d v="1899-12-30T00:00:00"/>
    <x v="2"/>
    <e v="#N/A"/>
    <n v="0"/>
    <n v="1"/>
    <n v="0"/>
    <x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ell1" cacheId="0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rowGrandTotals="0" colGrandTotals="0" itemPrintTitles="1" createdVersion="3" indent="0" compact="0" compactData="0" gridDropZones="1">
  <location ref="A10:K13" firstHeaderRow="1" firstDataRow="2" firstDataCol="10" rowPageCount="1" colPageCount="1"/>
  <pivotFields count="97">
    <pivotField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5">
        <item m="1" x="1"/>
        <item m="1" x="4"/>
        <item m="1" x="3"/>
        <item m="1" x="2"/>
        <item x="0"/>
      </items>
    </pivotField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4">
        <item m="1" x="3"/>
        <item m="1" x="2"/>
        <item x="0"/>
        <item m="1"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Row" compact="0" outline="0" subtotalTop="0" showAll="0" includeNewItemsInFilter="1" sortType="ascending" rankBy="0" defaultSubtotal="0">
      <items count="3">
        <item h="1" x="0"/>
        <item x="1"/>
        <item m="1" x="2"/>
      </items>
    </pivotField>
    <pivotField axis="axisCol" compact="0" numFmtId="14" outline="0" subtotalTop="0" showAll="0" includeNewItemsInFilter="1" sortType="ascending" rankBy="0">
      <items count="2">
        <item x="0"/>
        <item t="default"/>
      </items>
    </pivotField>
    <pivotField axis="axisRow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sertBlankRow="1" includeNewItemsInFilter="1" defaultSubtotal="0">
      <items count="5">
        <item m="1" x="4"/>
        <item m="1" x="1"/>
        <item m="1" x="2"/>
        <item m="1" x="3"/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axis="axisRow" compact="0" outline="0" subtotalTop="0" showAll="0" includeNewItemsInFilter="1" defaultSubtotal="0">
      <items count="2">
        <item x="0"/>
        <item m="1" x="1"/>
      </items>
    </pivotField>
    <pivotField compact="0" numFmtId="38" outline="0" subtotalTop="0" showAll="0" includeNewItemsInFilter="1"/>
    <pivotField compact="0" numFmtId="38" outline="0" subtotalTop="0" showAll="0" includeNewItemsInFilter="1"/>
    <pivotField axis="axisRow" compact="0" numFmtId="14" outline="0" subtotalTop="0" showAll="0" includeNewItemsInFilter="1" defaultSubtotal="0">
      <items count="4">
        <item m="1" x="1"/>
        <item m="1" x="3"/>
        <item x="0"/>
        <item m="1" x="2"/>
      </items>
    </pivotField>
    <pivotField axis="axisRow" compact="0" numFmtId="20" outline="0" subtotalTop="0" showAll="0" includeNewItemsInFilter="1" defaultSubtotal="0">
      <items count="4">
        <item m="1" x="1"/>
        <item m="1" x="3"/>
        <item x="0"/>
        <item m="1" x="2"/>
      </items>
    </pivotField>
    <pivotField compact="0" outline="0" subtotalTop="0" dragToRow="0" dragToCol="0" dragToPage="0" showAll="0" includeNewItemsInFilter="1" defaultSubtotal="0"/>
  </pivotFields>
  <rowFields count="10">
    <field x="75"/>
    <field x="69"/>
    <field x="61"/>
    <field x="0"/>
    <field x="94"/>
    <field x="95"/>
    <field x="65"/>
    <field x="71"/>
    <field x="91"/>
    <field x="87"/>
  </rowFields>
  <rowItems count="2">
    <i>
      <x v="4"/>
      <x v="1"/>
      <x v="4"/>
      <x v="3"/>
      <x v="2"/>
      <x v="2"/>
      <x v="2"/>
      <x v="1"/>
      <x/>
      <x/>
    </i>
    <i t="blank">
      <x v="4"/>
    </i>
  </rowItems>
  <colFields count="1">
    <field x="70"/>
  </colFields>
  <colItems count="1">
    <i>
      <x/>
    </i>
  </colItems>
  <pageFields count="1">
    <pageField fld="10" hier="0"/>
  </pageFields>
  <dataFields count="1">
    <dataField name="Sum av Rem_Qty" fld="62" baseField="0" baseItem="0" numFmtId="38"/>
  </dataFields>
  <formats count="4">
    <format dxfId="13">
      <pivotArea outline="0" fieldPosition="0"/>
    </format>
    <format dxfId="12">
      <pivotArea field="65" type="button" dataOnly="0" labelOnly="1" outline="0" axis="axisRow" fieldPosition="6"/>
    </format>
    <format dxfId="11">
      <pivotArea dataOnly="0" labelOnly="1" outline="0" fieldPosition="0">
        <references count="1">
          <reference field="65" count="0"/>
        </references>
      </pivotArea>
    </format>
    <format dxfId="10">
      <pivotArea dataOnly="0" labelOnly="1" outline="0" fieldPosition="0">
        <references count="1">
          <reference field="91" count="0"/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0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rowGrandTotals="0" colGrandTotals="0" itemPrintTitles="1" createdVersion="3" indent="0" compact="0" compactData="0" gridDropZones="1">
  <location ref="A11:J14" firstHeaderRow="0" firstDataRow="1" firstDataCol="6" rowPageCount="6" colPageCount="1"/>
  <pivotFields count="97">
    <pivotField axis="axisRow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5">
        <item m="1" x="1"/>
        <item m="1" x="4"/>
        <item m="1" x="3"/>
        <item m="1" x="2"/>
        <item x="0"/>
      </items>
    </pivotField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Page" compact="0" outline="0" subtotalTop="0" showAll="0" includeNewItemsInFilter="1" sortType="ascending" defaultSubtotal="0">
      <items count="3">
        <item x="0"/>
        <item x="1"/>
        <item m="1" x="2"/>
      </items>
    </pivotField>
    <pivotField axis="axisPage" compact="0" numFmtId="14" outline="0" subtotalTop="0" showAll="0" includeNewItemsInFilter="1" sortType="ascending">
      <items count="2">
        <item x="0"/>
        <item t="default"/>
      </items>
    </pivotField>
    <pivotField axis="axisPage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cludeNewItemsInFilter="1" defaultSubtotal="0">
      <items count="5">
        <item m="1" x="4"/>
        <item m="1" x="1"/>
        <item m="1" x="2"/>
        <item m="1" x="3"/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axis="axisRow" compact="0" outline="0" subtotalTop="0" showAll="0" includeNewItemsInFilter="1">
      <items count="3">
        <item x="0"/>
        <item m="1" x="1"/>
        <item t="default"/>
      </items>
    </pivotField>
    <pivotField compact="0" numFmtId="38" outline="0" subtotalTop="0" showAll="0" includeNewItemsInFilter="1"/>
    <pivotField compact="0" numFmtId="38" outline="0" subtotalTop="0" showAll="0" includeNewItemsInFilter="1"/>
    <pivotField axis="axisRow" compact="0" numFmtId="14" outline="0" subtotalTop="0" showAll="0" insertBlankRow="1" includeNewItemsInFilter="1" sortType="ascending">
      <items count="5">
        <item m="1" x="1"/>
        <item m="1" x="2"/>
        <item m="1" x="3"/>
        <item x="0"/>
        <item t="default"/>
      </items>
    </pivotField>
    <pivotField axis="axisRow" compact="0" numFmtId="20" outline="0" subtotalTop="0" showAll="0" includeNewItemsInFilter="1" sortType="ascending" defaultSubtotal="0">
      <items count="4">
        <item m="1" x="1"/>
        <item m="1" x="2"/>
        <item m="1" x="3"/>
        <item x="0"/>
      </items>
    </pivotField>
    <pivotField dataField="1" compact="0" outline="0" subtotalTop="0" dragToRow="0" dragToCol="0" dragToPage="0" showAll="0" includeNewItemsInFilter="1" defaultSubtotal="0"/>
  </pivotFields>
  <rowFields count="6">
    <field x="94"/>
    <field x="95"/>
    <field x="75"/>
    <field x="61"/>
    <field x="0"/>
    <field x="91"/>
  </rowFields>
  <rowItems count="3">
    <i>
      <x v="3"/>
      <x v="3"/>
      <x v="4"/>
      <x v="4"/>
      <x v="3"/>
      <x/>
    </i>
    <i t="default">
      <x v="3"/>
    </i>
    <i t="blank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86" hier="0"/>
    <pageField fld="70" hier="0"/>
    <pageField fld="87" hier="0"/>
    <pageField fld="71" hier="0"/>
    <pageField fld="69" hier="0"/>
    <pageField fld="10" hier="0"/>
  </pageFields>
  <dataFields count="4">
    <dataField name="Reqmt Qty " fld="45" baseField="0" baseItem="0"/>
    <dataField name="Qty Withdrawn " fld="58" baseField="91" baseItem="0"/>
    <dataField name="Total Stock " fld="57" baseField="91" baseItem="0"/>
    <dataField name="SL_Mixing " fld="96" baseField="0" baseItem="0" numFmtId="172"/>
  </dataFields>
  <formats count="4">
    <format dxfId="9">
      <pivotArea outline="0" fieldPosition="0"/>
    </format>
    <format dxfId="8">
      <pivotArea field="91" type="button" dataOnly="0" labelOnly="1" outline="0" axis="axisRow" fieldPosition="5"/>
    </format>
    <format dxfId="7">
      <pivotArea dataOnly="0" labelOnly="1" outline="0" fieldPosition="0">
        <references count="1">
          <reference field="91" count="0"/>
        </references>
      </pivotArea>
    </format>
    <format dxfId="6">
      <pivotArea outline="0" fieldPosition="0">
        <references count="1">
          <reference field="4294967294" count="1">
            <x v="3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colGrandTotals="0" itemPrintTitles="1" createdVersion="3" indent="0" compact="0" compactData="0" gridDropZones="1">
  <location ref="A10:D13" firstHeaderRow="1" firstDataRow="1" firstDataCol="3" rowPageCount="3" colPageCount="1"/>
  <pivotFields count="116">
    <pivotField axis="axisRow" compact="0" outline="0" subtotalTop="0" showAll="0" includeNewItemsInFilter="1" defaultSubtotal="0">
      <items count="2">
        <item x="0"/>
        <item x="1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2">
        <item x="0"/>
        <item x="1"/>
      </items>
    </pivotField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71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Page" compact="0" outline="0" subtotalTop="0" showAll="0" includeNewItemsInFilter="1" sortType="ascending" defaultSubtotal="0">
      <items count="2">
        <item x="0"/>
        <item x="1"/>
      </items>
    </pivotField>
    <pivotField compact="0" numFmtId="14" outline="0" subtotalTop="0" showAll="0" includeNewItemsInFilter="1" sortType="ascending"/>
    <pivotField compact="0" numFmtId="20" outline="0" subtotalTop="0" showAll="0" includeNewItemsInFilter="1" defaultSubtotal="0"/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166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14" outline="0" subtotalTop="0" showAll="0" includeNewItemsInFilter="1" defaultSubtotal="0"/>
    <pivotField compact="0" numFmtId="20" outline="0" subtotalTop="0" showAll="0" includeNewItemsInFilter="1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numFmtId="166" outline="0" showAll="0" defaultSubtotal="0"/>
    <pivotField compact="0" numFmtId="167" outline="0" showAll="0" defaultSubtotal="0"/>
    <pivotField compact="0" outline="0" showAll="0" defaultSubtotal="0"/>
    <pivotField compact="0" outline="0" showAll="0" defaultSubtotal="0"/>
    <pivotField compact="0" numFmtId="174" outline="0" showAll="0" defaultSubtotal="0"/>
    <pivotField axis="axisPage" compact="0" outline="0" multipleItemSelectionAllowed="1" showAll="0" defaultSubtotal="0">
      <items count="3">
        <item x="1"/>
        <item x="0"/>
        <item h="1" x="2"/>
      </items>
    </pivotField>
    <pivotField compact="0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5" outline="0" showAll="0" defaultSubtotal="0"/>
    <pivotField compact="0" numFmtId="165" outline="0" showAll="0" defaultSubtotal="0"/>
    <pivotField compact="0" numFmtId="38" outline="0" showAll="0" defaultSubtotal="0"/>
    <pivotField compact="0" outline="0" subtotalTop="0" dragToRow="0" dragToCol="0" dragToPage="0" showAll="0" includeNewItemsInFilter="1" defaultSubtotal="0"/>
  </pivotFields>
  <rowFields count="3">
    <field x="75"/>
    <field x="0"/>
    <field x="61"/>
  </rowFields>
  <rowItems count="3">
    <i>
      <x/>
      <x/>
      <x/>
    </i>
    <i r="2">
      <x v="1"/>
    </i>
    <i t="grand">
      <x/>
    </i>
  </rowItems>
  <colItems count="1">
    <i/>
  </colItems>
  <pageFields count="3">
    <pageField fld="106" hier="-1"/>
    <pageField fld="69" hier="0"/>
    <pageField fld="10" hier="0"/>
  </pageFields>
  <dataFields count="1">
    <dataField name="Dev_Hours " fld="112" subtotal="average" baseField="61" baseItem="0" numFmtId="165"/>
  </dataFields>
  <formats count="3">
    <format dxfId="5">
      <pivotArea field="65" type="button" dataOnly="0" labelOnly="1" outline="0"/>
    </format>
    <format dxfId="4">
      <pivotArea outline="0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5" minRefreshableVersion="3" showMemberPropertyTips="0" useAutoFormatting="1" rowGrandTotals="0" colGrandTotals="0" itemPrintTitles="1" createdVersion="3" indent="0" compact="0" compactData="0" gridDropZones="1">
  <location ref="A10:K15" firstHeaderRow="1" firstDataRow="2" firstDataCol="10" rowPageCount="1" colPageCount="1"/>
  <pivotFields count="116">
    <pivotField axis="axisRow" compact="0" outline="0" subtotalTop="0" showAll="0" includeNewItemsInFilter="1" defaultSubtotal="0">
      <items count="2">
        <item x="0"/>
        <item x="1"/>
      </items>
    </pivotField>
    <pivotField compact="0" outline="0" showAll="0" defaultSubtotal="0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numFmtId="14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21" outline="0" subtotalTop="0" showAll="0" includeNewItemsInFilter="1"/>
    <pivotField compact="0" outline="0" subtotalTop="0" showAll="0" includeNewItemsInFilter="1"/>
    <pivotField compact="0" numFmtId="176" outline="0" showAll="0" defaultSubtotal="0"/>
    <pivotField compact="0" numFmtId="21" outline="0" subtotalTop="0" showAll="0" includeNewItemsInFilter="1"/>
    <pivotField compact="0" numFmtId="167" outline="0" showAll="0" defaultSubtotal="0"/>
    <pivotField compact="0" numFmtId="177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2">
        <item x="0"/>
        <item x="1"/>
      </items>
    </pivotField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20" outline="0" subtotalTop="0" showAll="0" includeNewItemsInFilter="1"/>
    <pivotField axis="axisRow" compact="0" outline="0" subtotalTop="0" showAll="0" includeNewItemsInFilter="1" sortType="ascending" rankBy="0" defaultSubtotal="0">
      <items count="2">
        <item x="0"/>
        <item x="1"/>
      </items>
    </pivotField>
    <pivotField axis="axisCol" compact="0" numFmtId="14" outline="0" subtotalTop="0" showAll="0" includeNewItemsInFilter="1" sortType="ascending" rankBy="0">
      <items count="2">
        <item x="0"/>
        <item t="default"/>
      </items>
    </pivotField>
    <pivotField axis="axisRow" compact="0" numFmtId="20" outline="0" subtotalTop="0" showAll="0" includeNewItemsInFilter="1" defaultSubtotal="0">
      <items count="2">
        <item x="0"/>
        <item x="1"/>
      </items>
    </pivotField>
    <pivotField compact="0" numFmtId="166" outline="0" subtotalTop="0" showAll="0" includeNewItemsInFilter="1"/>
    <pivotField compact="0" numFmtId="166" outline="0" subtotalTop="0" showAll="0" includeNewItemsInFilter="1"/>
    <pivotField compact="0" numFmtId="167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compact="0" numFmtId="167" outline="0" subtotalTop="0" showAll="0" includeNewItemsInFilter="1"/>
    <pivotField compact="0" numFmtId="38" outline="0" subtotalTop="0" showAll="0" includeNewItemsInFilter="1" defaultSubtotal="0"/>
    <pivotField compact="0" outline="0" subtotalTop="0" showAll="0" includeNewItemsInFilter="1"/>
    <pivotField compact="0" numFmtId="38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Row" compact="0" outline="0" subtotalTop="0" showAll="0" includeNewItemsInFilter="1">
      <items count="3">
        <item x="1"/>
        <item x="0"/>
        <item t="default"/>
      </items>
    </pivotField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Row" compact="0" numFmtId="14" outline="0" subtotalTop="0" showAll="0" includeNewItemsInFilter="1" defaultSubtotal="0">
      <items count="1">
        <item x="0"/>
      </items>
    </pivotField>
    <pivotField axis="axisRow" compact="0" numFmtId="20" outline="0" subtotalTop="0" showAll="0" includeNewItemsInFilter="1" defaultSubtotal="0">
      <items count="1">
        <item x="0"/>
      </items>
    </pivotField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numFmtId="166" outline="0" showAll="0" defaultSubtotal="0"/>
    <pivotField compact="0" numFmtId="167" outline="0" showAll="0" defaultSubtotal="0"/>
    <pivotField compact="0" outline="0" showAll="0" defaultSubtotal="0"/>
    <pivotField compact="0" outline="0" showAll="0" defaultSubtotal="0"/>
    <pivotField compact="0" numFmtId="174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numFmtId="165" outline="0" showAll="0" defaultSubtotal="0"/>
    <pivotField compact="0" numFmtId="165" outline="0" showAll="0" defaultSubtotal="0"/>
    <pivotField compact="0" numFmtId="38" outline="0" showAll="0" defaultSubtotal="0"/>
    <pivotField compact="0" outline="0" dragToRow="0" dragToCol="0" dragToPage="0" showAll="0" defaultSubtotal="0"/>
  </pivotFields>
  <rowFields count="10">
    <field x="75"/>
    <field x="69"/>
    <field x="61"/>
    <field x="0"/>
    <field x="94"/>
    <field x="95"/>
    <field x="65"/>
    <field x="71"/>
    <field x="111"/>
    <field x="87"/>
  </rowFields>
  <rowItems count="4">
    <i>
      <x/>
      <x/>
      <x/>
      <x/>
      <x/>
      <x/>
      <x/>
      <x/>
      <x/>
      <x v="1"/>
    </i>
    <i r="1">
      <x v="1"/>
      <x v="1"/>
      <x/>
      <x/>
      <x/>
      <x v="1"/>
      <x v="1"/>
      <x/>
      <x/>
    </i>
    <i r="3">
      <x v="1"/>
      <x/>
      <x/>
      <x v="1"/>
      <x v="1"/>
      <x v="1"/>
      <x/>
    </i>
    <i t="blank">
      <x/>
    </i>
  </rowItems>
  <colFields count="1">
    <field x="70"/>
  </colFields>
  <colItems count="1">
    <i>
      <x/>
    </i>
  </colItems>
  <pageFields count="1">
    <pageField fld="10" hier="0"/>
  </pageFields>
  <dataFields count="1">
    <dataField name="Sum av Rem_Qty" fld="62" baseField="0" baseItem="0" numFmtId="38"/>
  </dataFields>
  <formats count="3">
    <format dxfId="2">
      <pivotArea outline="0" fieldPosition="0"/>
    </format>
    <format dxfId="1">
      <pivotArea field="65" type="button" dataOnly="0" labelOnly="1" outline="0" axis="axisRow" fieldPosition="6"/>
    </format>
    <format dxfId="0">
      <pivotArea dataOnly="0" labelOnly="1" outline="0" fieldPosition="0">
        <references count="1">
          <reference field="65" count="0"/>
        </references>
      </pivotArea>
    </format>
  </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CR3" totalsRowShown="0" headerRowDxfId="273">
  <autoFilter ref="A1:CR3"/>
  <tableColumns count="96">
    <tableColumn id="1" name="Order" dataDxfId="272">
      <calculatedColumnFormula>INT(SapExlData[OrderNummer])</calculatedColumnFormula>
    </tableColumn>
    <tableColumn id="20" name="Confirmed order finish date" dataDxfId="271"/>
    <tableColumn id="2" name="Actual finish date" dataDxfId="270"/>
    <tableColumn id="3" name="Scheduled finish" dataDxfId="269"/>
    <tableColumn id="4" name="Finish tme" dataDxfId="268"/>
    <tableColumn id="5" name="Actual start date" dataDxfId="267"/>
    <tableColumn id="6" name="Scheduled start" dataDxfId="266"/>
    <tableColumn id="7" name="SchedStart" dataDxfId="265"/>
    <tableColumn id="8" name="Act.finish" dataDxfId="264"/>
    <tableColumn id="9" name="Act. Start" dataDxfId="263"/>
    <tableColumn id="10" name="DCI" dataDxfId="262"/>
    <tableColumn id="11" name="OrderNummer" dataDxfId="261"/>
    <tableColumn id="12" name="Earl.start date" dataDxfId="260"/>
    <tableColumn id="13" name="Lang" dataDxfId="259"/>
    <tableColumn id="14" name="Mix Material Description" dataDxfId="258"/>
    <tableColumn id="15" name="0ME_DEL_IND" dataDxfId="257"/>
    <tableColumn id="16" name="Plant Description" dataDxfId="256"/>
    <tableColumn id="17" name="0PPS_DOCDEL" dataDxfId="255"/>
    <tableColumn id="18" name="Order priority" dataDxfId="254"/>
    <tableColumn id="19" name="0S_ORD_ITEM" dataDxfId="253"/>
    <tableColumn id="21" name="Work Center Description" dataDxfId="252"/>
    <tableColumn id="22" name="Counter" dataDxfId="251"/>
    <tableColumn id="23" name="ID" dataDxfId="250"/>
    <tableColumn id="25" name="ZIBEZEI" dataDxfId="249"/>
    <tableColumn id="28" name="Earl.start time" dataDxfId="248"/>
    <tableColumn id="29" name="Actual Order Finish Date" dataDxfId="247"/>
    <tableColumn id="30" name="Act.finish2" dataDxfId="246"/>
    <tableColumn id="31" name="ActlStart" dataDxfId="245"/>
    <tableColumn id="45" name="Act.finish3" dataDxfId="244"/>
    <tableColumn id="46" name="Act.finish4" dataDxfId="243"/>
    <tableColumn id="47" name="ZIKAPID" dataDxfId="242"/>
    <tableColumn id="48" name="Material Description" dataDxfId="241"/>
    <tableColumn id="49" name="Ph" dataDxfId="240"/>
    <tableColumn id="51" name="Lat.start date" dataDxfId="239"/>
    <tableColumn id="52" name="Lat. start time" dataDxfId="238"/>
    <tableColumn id="53" name="Ctrl" dataDxfId="237"/>
    <tableColumn id="54" name="ZISTLTY" dataDxfId="236"/>
    <tableColumn id="55" name="Short description" dataDxfId="235"/>
    <tableColumn id="24" name="MixEnhet" dataDxfId="234"/>
    <tableColumn id="56" name="20LANGU" dataDxfId="233"/>
    <tableColumn id="57" name="Mix Material" dataDxfId="232"/>
    <tableColumn id="58" name="Plnt" dataDxfId="231"/>
    <tableColumn id="59" name="Work ctr" dataDxfId="230"/>
    <tableColumn id="26" name="Material Number" dataDxfId="229"/>
    <tableColumn id="60" name="Base Quantity" dataDxfId="228"/>
    <tableColumn id="61" name="Reqmt Qty" dataDxfId="227"/>
    <tableColumn id="62" name="Confirmed scrap" dataDxfId="226"/>
    <tableColumn id="63" name="Confirmed yield" dataDxfId="225"/>
    <tableColumn id="79" name="Confirmed Yield2" dataDxfId="224"/>
    <tableColumn id="78" name="Quantity of goods received" dataDxfId="223"/>
    <tableColumn id="89" name="Processing time" dataDxfId="222"/>
    <tableColumn id="88" name="Scrap quantity" dataDxfId="221"/>
    <tableColumn id="87" name="Total order quantity" dataDxfId="220"/>
    <tableColumn id="86" name="Total Scrap Quantity in the Or" dataDxfId="219"/>
    <tableColumn id="85" name="Setup time" dataDxfId="218"/>
    <tableColumn id="84" name="Operation Qty" dataDxfId="217"/>
    <tableColumn id="83" name="Confirmed qty" dataDxfId="216"/>
    <tableColumn id="82" name="Total Stock" dataDxfId="215"/>
    <tableColumn id="81" name="Qty Withdrawn" dataDxfId="214"/>
    <tableColumn id="50" name="SetupTid" dataDxfId="213"/>
    <tableColumn id="64" name="ProcTid" dataDxfId="212"/>
    <tableColumn id="32" name="Material Name" dataDxfId="211">
      <calculatedColumnFormula>SapExlData[Material Number]&amp;" "&amp;SapExlData[Material Description]</calculatedColumnFormula>
    </tableColumn>
    <tableColumn id="33" name="Rem_Qty" dataDxfId="210">
      <calculatedColumnFormula>IF(SapExlData[[#This Row],[Total order quantity]]-SapExlData[[#This Row],[Quantity of goods received]]&lt;0,0,SapExlData[[#This Row],[Total order quantity]]-SapExlData[[#This Row],[Quantity of goods received]])</calculatedColumnFormula>
    </tableColumn>
    <tableColumn id="34" name="RT_Total" dataDxfId="209">
      <calculatedColumnFormula>IF(SapExlData[[#This Row],[Base Quantity]]=0,0,SapExlData[[#This Row],[Operation Qty]]/SapExlData[[#This Row],[Base Quantity]])</calculatedColumnFormula>
    </tableColumn>
    <tableColumn id="35" name="Setup" dataDxfId="208">
      <calculatedColumnFormula>SapExlData[SetupTid]</calculatedColumnFormula>
    </tableColumn>
    <tableColumn id="36" name="Rem_Time" dataDxfId="207">
      <calculatedColumnFormula>IF(SapExlData[[#This Row],[DCI]]="X",0,IF(SapExlData[[#This Row],[Rem_Qty]]&lt;SapExlData[[#This Row],[Total order quantity]],(SapExlData[[#This Row],[ProcTid]]/SapExlData[Base Quantity])*SapExlData[[#This Row],[Rem_Qty]],SapExlData[Processing time]))</calculatedColumnFormula>
    </tableColumn>
    <tableColumn id="37" name="Sequence" dataDxfId="206">
      <calculatedColumnFormula>IF(AQ2&lt;&gt;AQ1,1,IF(ISERROR(DATEVALUE(F2)),BO1+1,BO1))</calculatedColumnFormula>
    </tableColumn>
    <tableColumn id="75" name="Start_DateH" dataDxfId="205">
      <calculatedColumnFormula>IF($BR2=1,IF(ISERROR(DATEVALUE(F2)),IF(BO2&gt;1,BP1,DATEVALUE(G2)),DATEVALUE(F2)),IF(BR2=0,IF(BX2=BX1,BS1,IF(ISERROR(DATEVALUE(F2)),G2,DATEVALUE(F2))),IF(CJ2="Locked",DATEVALUE(G2),BS1)))</calculatedColumnFormula>
    </tableColumn>
    <tableColumn id="38" name="Start_TimeH" dataDxfId="204">
      <calculatedColumnFormula>IF($BR2=1,IF(VALUE(AB2)&gt;0,AB2,IF(BO2&gt;1,BT1,H2)),IF(AND(BR2=0,BX2=BX1),BT1,IF(VALUE(AB2)&gt;0,AB2,IF(CJ2="Locked",H2,IF(BR1=0,BQ1,IF(ISERROR(VALUE(BT1)),7/24,BT1))))))</calculatedColumnFormula>
    </tableColumn>
    <tableColumn id="39" name="Active" dataDxfId="203">
      <calculatedColumnFormula>IF(SapExlData[[#This Row],[Akt_Help]]=0,0,SapExlData[[#This Row],[Acc_Akt]])</calculatedColumnFormula>
    </tableColumn>
    <tableColumn id="40" name="End_Date" dataDxfId="202"/>
    <tableColumn id="41" name="End_Time" dataDxfId="201"/>
    <tableColumn id="42" name="Start" dataDxfId="200">
      <calculatedColumnFormula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calculatedColumnFormula>
    </tableColumn>
    <tableColumn id="43" name="Stop" dataDxfId="199">
      <calculatedColumnFormula>IF(SapExlData[[#This Row],[End_Date]]=0,"",SapExlData[[#This Row],[End_Date]]+TIME(HOUR(SapExlData[[#This Row],[End_Time]]),MINUTE(SapExlData[[#This Row],[End_Time]]),SECOND(SapExlData[[#This Row],[End_Time]])))</calculatedColumnFormula>
    </tableColumn>
    <tableColumn id="65" name="StartSec" dataDxfId="198"/>
    <tableColumn id="66" name="Work Center" dataDxfId="197">
      <calculatedColumnFormula>RIGHT(SapExlData[Work ctr],LEN(SapExlData[Work ctr])-5)&amp;" "&amp;SapExlData[Work Center Description]</calculatedColumnFormula>
    </tableColumn>
    <tableColumn id="67" name="StopSec" dataDxfId="196"/>
    <tableColumn id="68" name="Acc_Cap" dataDxfId="195">
      <calculatedColumnFormula>IF(CJ2="Locked",CF2+CA2*0,IF(BX2&lt;&gt;BX1,CF2,IF(AND(CA2&gt;BZ1,BR2&gt;0),CA2+CF2,BZ1+CF2)))</calculatedColumnFormula>
    </tableColumn>
    <tableColumn id="69" name="StartCap" dataDxfId="194">
      <calculatedColumnFormula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calculatedColumnFormula>
    </tableColumn>
    <tableColumn id="70" name="Acc_Cap2" dataDxfId="193">
      <calculatedColumnFormula>IF(CJ2="Locked",IF(VLOOKUP(DATEVALUE(D2),CapDateNumber,7,FALSE)&gt;1,VLOOKUP(BX2,CapStart,VLOOKUP(DATEVALUE(D2),CapDateNumber,7,FALSE),FALSE),0)+(E2-BW2)*24*3600,0)</calculatedColumnFormula>
    </tableColumn>
    <tableColumn id="71" name="Startverdi" dataDxfId="192">
      <calculatedColumnFormula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calculatedColumnFormula>
    </tableColumn>
    <tableColumn id="72" name="Prodverdi" dataDxfId="191">
      <calculatedColumnFormula>IF(ISERROR(SapExlData[[#This Row],[Rem_Time]]),0,SapExlData[[#This Row],[Rem_Time]]/24)</calculatedColumnFormula>
    </tableColumn>
    <tableColumn id="73" name="Nå_verdi" dataDxfId="190">
      <calculatedColumnFormula>IF(AND(BX2&lt;&gt;BX1,CJ2&lt;&gt;"Locked"),IF(CC2&gt;=CK2,0,IF(CL2&gt;CK2,0,CK2-CL2)),0)</calculatedColumnFormula>
    </tableColumn>
    <tableColumn id="74" name="Totverdi" dataDxfId="189">
      <calculatedColumnFormula>IF(ISERROR(SapExlData[[#This Row],[Rem_Time]]),0,SUM(SapExlData[[#This Row],[Startverdi]]:SapExlData[[#This Row],[Nå_verdi]])*24*3600+IF(SapExlData[[#This Row],[Locked]]="Locked",SapExlData[[#This Row],[StartCap]],SapExlData[[#This Row],[Acc_Cap2]]))</calculatedColumnFormula>
    </tableColumn>
    <tableColumn id="76" name="Akt_Help" dataDxfId="188">
      <calculatedColumnFormula>IF(ISERROR(BN2),0,IF(AND(BN2&gt;0,K2&lt;&gt;"X",BX2&lt;&gt;BX1),1,IF(AND(ISERROR(DATEVALUE(F2)),K2&lt;&gt;"X"),1,0)))</calculatedColumnFormula>
    </tableColumn>
    <tableColumn id="77" name="Acc_Akt" dataDxfId="187">
      <calculatedColumnFormula>IF(BX2&lt;&gt;BX1,CG2,CG2+CH1)</calculatedColumnFormula>
    </tableColumn>
    <tableColumn id="44" name="ActStarted" dataDxfId="186">
      <calculatedColumnFormula>IF(AND(SapExlData[[#This Row],[Active]]=1,OR(SapExlData[[#This Row],[Quantity of goods received]]&gt;0,ISERROR(DATEVALUE(SapExlData[[#This Row],[Actual start date]]))=FALSE)),1,0)</calculatedColumnFormula>
    </tableColumn>
    <tableColumn id="90" name="Locked" dataDxfId="185">
      <calculatedColumnFormula>IF(ISERROR(VLOOKUP(SapExlData[Order],LockedTable[],1,FALSE)),"","Locked")</calculatedColumnFormula>
    </tableColumn>
    <tableColumn id="91" name="Cap_ToDay" dataDxfId="184">
      <calculatedColumnFormula>IF(ISERROR(VLOOKUP(SapExlData[[#This Row],[Work Center]]&amp;ToDay,CapStartDay,4,FALSE)/3600/24),0,VLOOKUP(SapExlData[[#This Row],[Work Center]]&amp;ToDay,CapStartDay,4,FALSE)/3600/24)</calculatedColumnFormula>
    </tableColumn>
    <tableColumn id="92" name="Left_Now" dataDxfId="183">
      <calculatedColumnFormula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calculatedColumnFormula>
    </tableColumn>
    <tableColumn id="93" name="CapStart" dataDxfId="182">
      <calculatedColumnFormula>IF(ISERROR(VLOOKUP(SapExlData[[#This Row],[Work Center]]&amp;ToDay,CapStartDay,2,FALSE)),0,VLOOKUP(SapExlData[[#This Row],[Work Center]]&amp;ToDay,CapStartDay,2,FALSE))</calculatedColumnFormula>
    </tableColumn>
    <tableColumn id="94" name="Mix_Status" dataDxfId="181">
      <calculatedColumnFormula>IF(OR(SapExlData[[#This Row],[Work ctr]]="AR00/AR1502",SapExlData[[#This Row],[Reqmt Qty]]=0),"Not relevant",IF(SapExlData[MixEnhet]="KG",(SapExlData[[#This Row],[Total Stock]]+SapExlData[[#This Row],[Qty Withdrawn]])/SapExlData[[#This Row],[Reqmt Qty]],"Unknown"))</calculatedColumnFormula>
    </tableColumn>
    <tableColumn id="95" name="Help2" dataDxfId="180">
      <calculatedColumnFormula>IF(OR(SapExlData[[#This Row],[Mix_Status]]="Unknown",SapExlData[[#This Row],[Mix_Status]]="Not relevant"),0,SapExlData[[#This Row],[Reqmt Qty]]*IF(SapExlData[[#This Row],[Mix_Status]]&gt;1,1,SapExlData[[#This Row],[Mix_Status]]))</calculatedColumnFormula>
    </tableColumn>
    <tableColumn id="96" name="Help3" dataDxfId="179">
      <calculatedColumnFormula>IF(OR(SapExlData[[#This Row],[Mix_Status]]="Unknown",SapExlData[[#This Row],[Mix_Status]]="Not relevant"),0,SapExlData[[#This Row],[Reqmt Qty]])</calculatedColumnFormula>
    </tableColumn>
    <tableColumn id="97" name="Start_Date" dataDxfId="178">
      <calculatedColumnFormula>INT(SapExlData[[#This Row],[Start]])</calculatedColumnFormula>
    </tableColumn>
    <tableColumn id="98" name="Start_Time" dataDxfId="177">
      <calculatedColumnFormula>SapExlData[[#This Row],[Start]]-SapExlData[[#This Row],[Start_Date]]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PlanAll" displayName="PlanAll" ref="A1:DK4" totalsRowShown="0" headerRowDxfId="176">
  <autoFilter ref="A1:DK4"/>
  <sortState ref="A2:DH3">
    <sortCondition ref="L1"/>
  </sortState>
  <tableColumns count="115">
    <tableColumn id="1" name="Order" dataDxfId="175">
      <calculatedColumnFormula>INT(SapExlData[OrderNummer])</calculatedColumnFormula>
    </tableColumn>
    <tableColumn id="64" name="Confirmed order finish date" dataDxfId="174"/>
    <tableColumn id="2" name="Actual finish date" dataDxfId="173"/>
    <tableColumn id="3" name="Scheduled finish" dataDxfId="172"/>
    <tableColumn id="4" name="Finish tme" dataDxfId="171"/>
    <tableColumn id="5" name="Actual start date" dataDxfId="170"/>
    <tableColumn id="6" name="Scheduled start" dataDxfId="169"/>
    <tableColumn id="7" name="SchedStart" dataDxfId="168"/>
    <tableColumn id="8" name="Act.finish" dataDxfId="167"/>
    <tableColumn id="9" name="Act. Start" dataDxfId="166"/>
    <tableColumn id="10" name="DCI" dataDxfId="165"/>
    <tableColumn id="11" name="OrderNummer" dataDxfId="164"/>
    <tableColumn id="12" name="Earl.start date" dataDxfId="163"/>
    <tableColumn id="13" name="Lang" dataDxfId="162"/>
    <tableColumn id="14" name="Mix Material Description" dataDxfId="161"/>
    <tableColumn id="15" name="0ME_DEL_IND" dataDxfId="160"/>
    <tableColumn id="16" name="Plant Description" dataDxfId="159"/>
    <tableColumn id="17" name="0PPS_DOCDEL" dataDxfId="158"/>
    <tableColumn id="18" name="Order priority" dataDxfId="157"/>
    <tableColumn id="19" name="0S_ORD_ITEM" dataDxfId="156"/>
    <tableColumn id="20" name="Work Center Description" dataDxfId="155"/>
    <tableColumn id="21" name="Counter" dataDxfId="154"/>
    <tableColumn id="22" name="ID" dataDxfId="153"/>
    <tableColumn id="23" name="ZIBEZEI" dataDxfId="152"/>
    <tableColumn id="24" name="Earl.start time" dataDxfId="151"/>
    <tableColumn id="25" name="Actual Order Finish Date" dataDxfId="150"/>
    <tableColumn id="26" name="Act.finish2" dataDxfId="149"/>
    <tableColumn id="27" name="ActlStart" dataDxfId="148"/>
    <tableColumn id="28" name="Act.finish3" dataDxfId="147"/>
    <tableColumn id="29" name="Act.finish4" dataDxfId="146"/>
    <tableColumn id="30" name="ZIKAPID" dataDxfId="145"/>
    <tableColumn id="31" name="Material Description" dataDxfId="144"/>
    <tableColumn id="45" name="Ph" dataDxfId="143"/>
    <tableColumn id="46" name="Lat.start date" dataDxfId="142"/>
    <tableColumn id="47" name="Lat. start time" dataDxfId="141"/>
    <tableColumn id="48" name="Ctrl" dataDxfId="140"/>
    <tableColumn id="49" name="ZISTLTY" dataDxfId="139"/>
    <tableColumn id="50" name="Short description" dataDxfId="138"/>
    <tableColumn id="95" name="MixEnhet" dataDxfId="137"/>
    <tableColumn id="51" name="20LANGU" dataDxfId="136"/>
    <tableColumn id="52" name="Mix Material" dataDxfId="135"/>
    <tableColumn id="53" name="Plnt" dataDxfId="134"/>
    <tableColumn id="54" name="Work ctr" dataDxfId="133"/>
    <tableColumn id="93" name="Material Number" dataDxfId="132"/>
    <tableColumn id="55" name="Base Quantity" dataDxfId="131"/>
    <tableColumn id="56" name="Reqmt Qty" dataDxfId="130"/>
    <tableColumn id="57" name="Confirmed scrap" dataDxfId="129"/>
    <tableColumn id="58" name="Confirmed yield" dataDxfId="128"/>
    <tableColumn id="59" name="Confirmed Yield2" dataDxfId="127"/>
    <tableColumn id="60" name="Quantity of goods received" dataDxfId="126"/>
    <tableColumn id="61" name="Processing time" dataDxfId="125"/>
    <tableColumn id="62" name="Scrap quantity" dataDxfId="124"/>
    <tableColumn id="63" name="Total order quantity" dataDxfId="123"/>
    <tableColumn id="79" name="Total Scrap Quantity in the Or" dataDxfId="122"/>
    <tableColumn id="78" name="Setup time" dataDxfId="121"/>
    <tableColumn id="89" name="Operation Qty" dataDxfId="120"/>
    <tableColumn id="88" name="Confirmed qty" dataDxfId="119"/>
    <tableColumn id="87" name="Total Stock" dataDxfId="118"/>
    <tableColumn id="86" name="Qty Withdrawn" dataDxfId="117"/>
    <tableColumn id="92" name="SetupTid" dataDxfId="116"/>
    <tableColumn id="94" name="ProcTid" dataDxfId="115"/>
    <tableColumn id="85" name="Material Name" dataDxfId="114"/>
    <tableColumn id="84" name="Rem_Qty" dataDxfId="113"/>
    <tableColumn id="83" name="RT_Total" dataDxfId="112"/>
    <tableColumn id="82" name="Setup" dataDxfId="111"/>
    <tableColumn id="81" name="Rem_Time" dataDxfId="110"/>
    <tableColumn id="80" name="Sequence" dataDxfId="109"/>
    <tableColumn id="32" name="Start_DateH" dataDxfId="108"/>
    <tableColumn id="33" name="Start_TimeH" dataDxfId="107"/>
    <tableColumn id="34" name="Active" dataDxfId="106"/>
    <tableColumn id="35" name="End_Date" dataDxfId="105"/>
    <tableColumn id="36" name="End_Time" dataDxfId="104"/>
    <tableColumn id="37" name="Start" dataDxfId="103"/>
    <tableColumn id="75" name="Stop" dataDxfId="102"/>
    <tableColumn id="38" name="StartSec" dataDxfId="101"/>
    <tableColumn id="39" name="Work Center" dataDxfId="100"/>
    <tableColumn id="40" name="StopSec" dataDxfId="99"/>
    <tableColumn id="41" name="Acc_Cap" dataDxfId="98"/>
    <tableColumn id="42" name="StartCap" dataDxfId="97"/>
    <tableColumn id="43" name="Acc_Cap2" dataDxfId="96"/>
    <tableColumn id="65" name="Startverdi" dataDxfId="95"/>
    <tableColumn id="66" name="Prodverdi" dataDxfId="94"/>
    <tableColumn id="67" name="Nå_verdi" dataDxfId="93"/>
    <tableColumn id="68" name="Totverdi" dataDxfId="92"/>
    <tableColumn id="69" name="Akt_Help" dataDxfId="91"/>
    <tableColumn id="70" name="Acc_Akt" dataDxfId="90"/>
    <tableColumn id="71" name="ActStarted" dataDxfId="89"/>
    <tableColumn id="72" name="Locked" dataDxfId="88"/>
    <tableColumn id="73" name="Cap_ToDay" dataDxfId="87"/>
    <tableColumn id="74" name="Left_Now" dataDxfId="86"/>
    <tableColumn id="76" name="CapStart" dataDxfId="85"/>
    <tableColumn id="77" name="Mix_Status" dataDxfId="84"/>
    <tableColumn id="44" name="Help2" dataDxfId="83"/>
    <tableColumn id="90" name="Help3" dataDxfId="82"/>
    <tableColumn id="91" name="Start_Date" dataDxfId="81"/>
    <tableColumn id="98" name="Start_Time" dataDxfId="80"/>
    <tableColumn id="99" name="New_End" dataDxfId="79">
      <calculatedColumnFormula>IF(ISERROR(VLOOKUP(PlanAll[[#This Row],[Order]],SapExlData[],74,FALSE)),"Finished",IF(VLOOKUP(PlanAll[[#This Row],[Order]],SapExlData[],11,FALSE)="X","Finished",VLOOKUP(PlanAll[[#This Row],[Order]],SapExlData[],74,FALSE)))</calculatedColumnFormula>
    </tableColumn>
    <tableColumn id="100" name="Deviation" dataDxfId="78">
      <calculatedColumnFormula>IF(PlanAll[[#This Row],[Test_Acc]]=0,0,ABS(PlanAll[[#This Row],[New_Cap]]-PlanAll[[#This Row],[Acc_Cap]])/(3600*24))</calculatedColumnFormula>
    </tableColumn>
    <tableColumn id="101" name="Pos_Neg" dataDxfId="77">
      <calculatedColumnFormula>IF(OR(PlanAll[[#This Row],[Deviation]]=0,PlanAll[[#This Row],[Deviation]]="Fin"),IF(PlanAll[[#This Row],[Help_Acc]]=0,"Neg","Pos"),IF(PlanAll[[#This Row],[New_End]]&lt;=PlanAll[[#This Row],[Stop]],"Pos","Neg"))</calculatedColumnFormula>
    </tableColumn>
    <tableColumn id="102" name="Test Active" dataDxfId="76">
      <calculatedColumnFormula>IF(ISERROR(VLOOKUP(PlanAll[[#This Row],[Order]],SapExlData[],70,FALSE)),0,VLOOKUP(PlanAll[[#This Row],[Order]],SapExlData[],70,FALSE))</calculatedColumnFormula>
    </tableColumn>
    <tableColumn id="103" name="New_Cap" dataDxfId="75">
      <calculatedColumnFormula>IF(ISERROR(VLOOKUP(PlanAll[[#This Row],[Order]],SapExlData[],70,FALSE)),0,VLOOKUP(PlanAll[[#This Row],[Order]],SapExlData[],78,FALSE))</calculatedColumnFormula>
    </tableColumn>
    <tableColumn id="104" name="Start_D2" dataDxfId="74">
      <calculatedColumnFormula>INT(PlanAll[[#This Row],[StartCap]])+PlanAll[[#This Row],[StartSec]]</calculatedColumnFormula>
    </tableColumn>
    <tableColumn id="105" name="New_Shift" dataDxfId="73">
      <calculatedColumnFormula>VLOOKUP(PlanAll[[#This Row],[Order]],SapExlData[],77,FALSE)</calculatedColumnFormula>
    </tableColumn>
    <tableColumn id="106" name="Plan_Stop" dataDxfId="72">
      <calculatedColumnFormula>IF(PlanAll[[#This Row],[StopSec]]=0,1,PlanAll[[#This Row],[StopSec]])</calculatedColumnFormula>
    </tableColumn>
    <tableColumn id="107" name="Plan_Cap" dataDxfId="71">
      <calculatedColumnFormula>IF(ISERROR(PlanAll[[#This Row],[Cap_ToDay]]),0,IF(PlanAll[[#This Row],[Test Active]]=1,PlanAll[[#This Row],[Cap_ToDay]],0))</calculatedColumnFormula>
    </tableColumn>
    <tableColumn id="108" name="New_Start" dataDxfId="70">
      <calculatedColumnFormula>IF(ISERROR(VLOOKUP(PlanAll[Order],SapExlData[],73,FALSE)),0,VLOOKUP(PlanAll[Order],SapExlData[],73,FALSE))</calculatedColumnFormula>
    </tableColumn>
    <tableColumn id="109" name="Test_Acc" dataDxfId="69">
      <calculatedColumnFormula>IF(PlanAll[[#This Row],[Test Active]]=1,1*PlanAll[[#This Row],[Help_Acc]],0)*IF(VALUE(PlanAll[[#This Row],[Cap_ToDay]])&gt;0,1,0)</calculatedColumnFormula>
    </tableColumn>
    <tableColumn id="110" name="Help2_Acc" dataDxfId="68">
      <calculatedColumnFormula>IF(DC2=1,0,IF(ROW(DD1)&gt;1,DD1,1))</calculatedColumnFormula>
    </tableColumn>
    <tableColumn id="111" name="ActStarted2" dataDxfId="67">
      <calculatedColumnFormula>IF(ISERROR(VLOOKUP(PlanAll[[#This Row],[Order]],SapExlData[],87,FALSE)),0,VLOOKUP(PlanAll[[#This Row],[Order]],SapExlData[],87,FALSE))</calculatedColumnFormula>
    </tableColumn>
    <tableColumn id="112" name="Help_Acc" dataDxfId="66">
      <calculatedColumnFormula>IF(AND(BX2=BX1,CV1&gt;CV2),0,1)</calculatedColumnFormula>
    </tableColumn>
    <tableColumn id="113" name="Deviation3" dataDxfId="65">
      <calculatedColumnFormula>IF(ISERROR(PlanAll[[#This Row],[Deviation]]),0,IF(PlanAll[[#This Row],[Plan_Cap]]&gt;0,IF(PlanAll[[#This Row],[Pos_Neg]]="Neg",-PlanAll[[#This Row],[Deviation]],PlanAll[[#This Row],[Deviation]]),0))</calculatedColumnFormula>
    </tableColumn>
    <tableColumn id="114" name="Mixed" dataDxfId="64">
      <calculatedColumnFormula>IF(ISERROR(VLOOKUP(PlanAll[[#This Row],[Order]],SapExlData[],92,FALSE)),0,VLOOKUP(PlanAll[[#This Row],[Order]],SapExlData[],92,FALSE))</calculatedColumnFormula>
    </tableColumn>
    <tableColumn id="115" name="Dev_Hours" dataDxfId="63">
      <calculatedColumnFormula>IF(ISERROR(PlanAll[[#This Row],[Deviation3]]),0,PlanAll[[#This Row],[Deviation3]]*24)</calculatedColumnFormula>
    </tableColumn>
    <tableColumn id="116" name="Rem_Time_Act" dataDxfId="62">
      <calculatedColumnFormula>IF(ISERROR(VLOOKUP(PlanAll[[#This Row],[Order]],SapExlData[],66,FALSE)),0,VLOOKUP(PlanAll[[#This Row],[Order]],SapExlData[],66,FALSE))</calculatedColumnFormula>
    </tableColumn>
    <tableColumn id="117" name="Rem_Qty2" dataDxfId="61">
      <calculatedColumnFormula>IF(ISERROR(VLOOKUP(PlanAll[[#This Row],[Order]],SapExlData[],63,FALSE)),0,VLOOKUP(PlanAll[[#This Row],[Order]],SapExlData[],63,FALSE))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CapacityWC" displayName="CapacityWC" ref="A1:U3" totalsRowShown="0" dataDxfId="60">
  <autoFilter ref="A1:U3"/>
  <tableColumns count="21">
    <tableColumn id="1" name="Plnt" dataDxfId="59"/>
    <tableColumn id="2" name="Cat" dataDxfId="58"/>
    <tableColumn id="3" name="Name" dataDxfId="57"/>
    <tableColumn id="4" name="Version" dataDxfId="56"/>
    <tableColumn id="5" name="Work ctr" dataDxfId="55"/>
    <tableColumn id="6" name="Day" dataDxfId="54"/>
    <tableColumn id="7" name="ID" dataDxfId="53"/>
    <tableColumn id="8" name="S" dataDxfId="52"/>
    <tableColumn id="9" name="Cap." dataDxfId="51"/>
    <tableColumn id="10" name="Cap.2" dataDxfId="50"/>
    <tableColumn id="11" name="Valid to" dataDxfId="49"/>
    <tableColumn id="12" name="Plnt2" dataDxfId="48"/>
    <tableColumn id="13" name="Work ctr2" dataDxfId="47"/>
    <tableColumn id="14" name="Oper. Time" dataDxfId="46"/>
    <tableColumn id="15" name="Capacity" dataDxfId="45"/>
    <tableColumn id="16" name="Break" dataDxfId="44"/>
    <tableColumn id="17" name="Break2" dataDxfId="43"/>
    <tableColumn id="21" name="Finish"/>
    <tableColumn id="20" name="Finish2"/>
    <tableColumn id="19" name="Start"/>
    <tableColumn id="18" name="Start2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0" name="tWCCap" displayName="tWCCap" ref="A1:N3" totalsRowShown="0" headerRowDxfId="41" dataDxfId="40">
  <autoFilter ref="A1:N3"/>
  <tableColumns count="14">
    <tableColumn id="1" name="Work Center" dataDxfId="39"/>
    <tableColumn id="2" name="Date" dataDxfId="38"/>
    <tableColumn id="3" name="Start" dataDxfId="37"/>
    <tableColumn id="4" name="Stop" dataDxfId="36"/>
    <tableColumn id="5" name="Capacity" dataDxfId="35"/>
    <tableColumn id="6" name="Acc_Start" dataDxfId="34"/>
    <tableColumn id="7" name="Acc_Stop" dataDxfId="33"/>
    <tableColumn id="8" name="Acc_Capacity" dataDxfId="32">
      <calculatedColumnFormula>IF(OR(ROW(E2)=2,A2&lt;&gt;A1),E2,H1+E2)</calculatedColumnFormula>
    </tableColumn>
    <tableColumn id="9" name="DayCapacity" dataDxfId="31">
      <calculatedColumnFormula>IF(A2&lt;&gt;A1,(TODAY()+1-NOW())*3600*24,I1+24*3600)</calculatedColumnFormula>
    </tableColumn>
    <tableColumn id="10" name="Index" dataDxfId="30">
      <calculatedColumnFormula>tWCCap[[#This Row],[Work Center]]&amp;VALUE(tWCCap[[#This Row],[Date]])</calculatedColumnFormula>
    </tableColumn>
    <tableColumn id="11" name="CapStart" dataDxfId="29">
      <calculatedColumnFormula>tWCCap[[#This Row],[Date]]+(tWCCap[[#This Row],[Start]]/3600/24)</calculatedColumnFormula>
    </tableColumn>
    <tableColumn id="12" name="CapStopp" dataDxfId="28">
      <calculatedColumnFormula>tWCCap[[#This Row],[Date]]+IF(AND(tWCCap[[#This Row],[Stop]]&gt;0,tWCCap[[#This Row],[Start]]=tWCCap[[#This Row],[Stop]]),1+(tWCCap[[#This Row],[Stop]]/3600/24),(tWCCap[[#This Row],[Stop]]/3600/24))</calculatedColumnFormula>
    </tableColumn>
    <tableColumn id="13" name="Acc_Capacity2" dataDxfId="27">
      <calculatedColumnFormula>tWCCap[[#This Row],[Acc_Capacity]]</calculatedColumnFormula>
    </tableColumn>
    <tableColumn id="14" name="Shift" dataDxfId="26">
      <calculatedColumnFormula>IF(OR(L2-K2=1,AND(LEFT(J2,8)=LEFT(J1,8),K2=L1)),3,1)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Descriptions" displayName="Descriptions" ref="A1:B92" totalsRowShown="0" headerRowDxfId="25" dataCellStyle="Normal 2">
  <autoFilter ref="A1:B92"/>
  <tableColumns count="2">
    <tableColumn id="1" name="FieldName" dataCellStyle="Normal 2"/>
    <tableColumn id="2" name="Description" dataCellStyle="Normal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24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23">
      <xmlColumnPr mapId="1" xpath="/XtraSerializer/@VariantID" xmlDataType="integer"/>
    </tableColumn>
    <tableColumn id="4" uniqueName="SheetName" name="SheetName" dataDxfId="22">
      <xmlColumnPr mapId="1" xpath="/XtraSerializer/property/@SheetName" xmlDataType="string"/>
    </tableColumn>
    <tableColumn id="5" uniqueName="TableName" name="TableName" dataDxfId="21">
      <xmlColumnPr mapId="1" xpath="/XtraSerializer/property/@TableName" xmlDataType="string"/>
    </tableColumn>
    <tableColumn id="6" uniqueName="Seq" name="Seq" dataDxfId="20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9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8">
      <xmlColumnPr mapId="1" xpath="/XtraSerializer/property/property/@FieldList" xmlDataType="integer"/>
    </tableColumn>
    <tableColumn id="14" uniqueName="MissingItems" name="MissingItems" dataDxfId="17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OrderStatusCodes" displayName="tOrderStatusCodes" ref="I1:K5" totalsRowShown="0">
  <autoFilter ref="I1:K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Sectors" displayName="tSectors" ref="M1:N6" totalsRowShown="0">
  <autoFilter ref="M1:N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WorkCenters" displayName="WorkCenters" ref="C1:G32" totalsRowShown="0" dataCellStyle="Normal 2">
  <autoFilter ref="C1:G32"/>
  <tableColumns count="5">
    <tableColumn id="1" name="NOAR" dataCellStyle="Normal 2"/>
    <tableColumn id="2" name="NOEL" dataCellStyle="Normal 2"/>
    <tableColumn id="3" name="NOLA" dataCellStyle="Normal 2"/>
    <tableColumn id="4" name="CZBY" dataCellStyle="Normal 2"/>
    <tableColumn id="5" name="PLM2" dataCellStyle="Normal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LockedTable" displayName="LockedTable" ref="A1:A3" totalsRowShown="0" dataCellStyle="Normal 2 2">
  <autoFilter ref="A1:A3"/>
  <tableColumns count="1">
    <tableColumn id="1" name="Order" dataCellStyle="Normal 2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6"/>
    <tableColumn id="2" name="Value"/>
    <tableColumn id="3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CX8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8.54296875" style="21" bestFit="1" customWidth="1"/>
    <col min="2" max="2" width="28.453125" style="12" bestFit="1" customWidth="1"/>
    <col min="3" max="3" width="18.81640625" style="12" bestFit="1" customWidth="1"/>
    <col min="4" max="4" width="18.1796875" style="12" customWidth="1"/>
    <col min="5" max="5" width="12.54296875" style="91" customWidth="1"/>
    <col min="6" max="6" width="17.81640625" style="12" customWidth="1"/>
    <col min="7" max="7" width="17.1796875" style="12" customWidth="1"/>
    <col min="8" max="8" width="12.7265625" style="33" customWidth="1"/>
    <col min="9" max="9" width="15.1796875" style="12" bestFit="1" customWidth="1"/>
    <col min="10" max="10" width="14.453125" style="99" bestFit="1" customWidth="1"/>
    <col min="11" max="11" width="6.7265625" style="93" customWidth="1"/>
    <col min="12" max="12" width="10.7265625" style="21" bestFit="1" customWidth="1"/>
    <col min="13" max="13" width="15.7265625" style="12" customWidth="1"/>
    <col min="14" max="14" width="10.81640625" customWidth="1"/>
    <col min="15" max="15" width="21.7265625" customWidth="1"/>
    <col min="16" max="16" width="9.26953125" customWidth="1"/>
    <col min="17" max="17" width="13.26953125" customWidth="1"/>
    <col min="18" max="18" width="9.453125" customWidth="1"/>
    <col min="19" max="19" width="15.54296875" bestFit="1" customWidth="1"/>
    <col min="20" max="20" width="9.7265625" customWidth="1"/>
    <col min="21" max="21" width="19" bestFit="1" customWidth="1"/>
    <col min="22" max="22" width="10.453125" bestFit="1" customWidth="1"/>
    <col min="23" max="23" width="10.7265625" customWidth="1"/>
    <col min="24" max="24" width="13.7265625" customWidth="1"/>
    <col min="25" max="25" width="15.81640625" style="33" customWidth="1"/>
    <col min="26" max="26" width="25.1796875" style="12" bestFit="1" customWidth="1"/>
    <col min="27" max="27" width="11.7265625" style="91" customWidth="1"/>
    <col min="28" max="28" width="11" style="93" bestFit="1" customWidth="1"/>
    <col min="29" max="29" width="12.7265625" style="91" bestFit="1" customWidth="1"/>
    <col min="30" max="30" width="10.81640625" style="93" customWidth="1"/>
    <col min="31" max="31" width="10.54296875" customWidth="1"/>
    <col min="32" max="32" width="27.81640625" bestFit="1" customWidth="1"/>
    <col min="33" max="33" width="13.7265625" customWidth="1"/>
    <col min="34" max="34" width="15" style="91" customWidth="1"/>
    <col min="35" max="35" width="15.54296875" style="93" customWidth="1"/>
    <col min="36" max="36" width="6.7265625" style="91" customWidth="1"/>
    <col min="37" max="37" width="13.7265625" style="93" customWidth="1"/>
    <col min="38" max="38" width="13.7265625" style="91" customWidth="1"/>
    <col min="39" max="39" width="11.1796875" style="91" bestFit="1" customWidth="1"/>
    <col min="40" max="40" width="11.81640625" style="91" customWidth="1"/>
    <col min="41" max="41" width="14.453125" style="93" bestFit="1" customWidth="1"/>
    <col min="42" max="42" width="7" style="93" customWidth="1"/>
    <col min="43" max="43" width="12.453125" bestFit="1" customWidth="1"/>
    <col min="44" max="44" width="18.453125" bestFit="1" customWidth="1"/>
    <col min="45" max="45" width="15.7265625" customWidth="1"/>
    <col min="46" max="46" width="12.81640625" customWidth="1"/>
    <col min="47" max="47" width="17.81640625" customWidth="1"/>
    <col min="48" max="48" width="17.7265625" style="91" customWidth="1"/>
    <col min="49" max="49" width="18.81640625" customWidth="1"/>
    <col min="50" max="50" width="27.54296875" customWidth="1"/>
    <col min="51" max="51" width="17.453125" style="21" customWidth="1"/>
    <col min="52" max="52" width="16" style="91" customWidth="1"/>
    <col min="53" max="53" width="21.1796875" customWidth="1"/>
    <col min="54" max="54" width="29.7265625" customWidth="1"/>
    <col min="55" max="55" width="13" customWidth="1"/>
    <col min="56" max="56" width="16" customWidth="1"/>
    <col min="57" max="57" width="16.1796875" customWidth="1"/>
    <col min="58" max="58" width="13.1796875" customWidth="1"/>
    <col min="59" max="59" width="17" customWidth="1"/>
    <col min="60" max="61" width="9.36328125" bestFit="1" customWidth="1"/>
    <col min="62" max="62" width="44.81640625" bestFit="1" customWidth="1"/>
    <col min="63" max="63" width="11.81640625" bestFit="1" customWidth="1"/>
    <col min="64" max="64" width="12.1796875" bestFit="1" customWidth="1"/>
    <col min="65" max="65" width="14.453125" bestFit="1" customWidth="1"/>
    <col min="66" max="66" width="13.7265625" bestFit="1" customWidth="1"/>
    <col min="67" max="67" width="13.453125" bestFit="1" customWidth="1"/>
    <col min="68" max="68" width="15.453125" style="91" customWidth="1"/>
    <col min="69" max="69" width="15.453125" style="31" bestFit="1" customWidth="1"/>
    <col min="70" max="70" width="14.453125" bestFit="1" customWidth="1"/>
    <col min="71" max="71" width="12" bestFit="1" customWidth="1"/>
    <col min="72" max="72" width="17.81640625" style="31" bestFit="1" customWidth="1"/>
    <col min="73" max="73" width="18.1796875" style="105" bestFit="1" customWidth="1"/>
    <col min="74" max="74" width="18.7265625" style="105" bestFit="1" customWidth="1"/>
    <col min="75" max="75" width="13.54296875" style="93" bestFit="1" customWidth="1"/>
    <col min="76" max="76" width="31.26953125" bestFit="1" customWidth="1"/>
    <col min="77" max="77" width="12.453125" style="93" bestFit="1" customWidth="1"/>
    <col min="78" max="78" width="16.54296875" customWidth="1"/>
    <col min="79" max="79" width="15.7265625" customWidth="1"/>
    <col min="80" max="80" width="11.7265625" style="21" bestFit="1" customWidth="1"/>
    <col min="81" max="81" width="15.26953125" customWidth="1"/>
    <col min="82" max="82" width="16.54296875" customWidth="1"/>
    <col min="83" max="83" width="13.81640625" customWidth="1"/>
    <col min="84" max="84" width="12.81640625" style="29" bestFit="1" customWidth="1"/>
    <col min="85" max="85" width="13.54296875" bestFit="1" customWidth="1"/>
    <col min="86" max="86" width="10.54296875" bestFit="1" customWidth="1"/>
    <col min="87" max="87" width="13.7265625" bestFit="1" customWidth="1"/>
    <col min="89" max="89" width="13.26953125" bestFit="1" customWidth="1"/>
    <col min="90" max="90" width="11.81640625" bestFit="1" customWidth="1"/>
    <col min="91" max="91" width="18.1796875" style="32" bestFit="1" customWidth="1"/>
    <col min="92" max="92" width="13.26953125" bestFit="1" customWidth="1"/>
    <col min="95" max="95" width="12.81640625" style="91" bestFit="1" customWidth="1"/>
    <col min="96" max="96" width="13.1796875" style="31" bestFit="1" customWidth="1"/>
    <col min="99" max="99" width="15.453125" bestFit="1" customWidth="1"/>
  </cols>
  <sheetData>
    <row r="1" spans="1:102" s="8" customFormat="1" x14ac:dyDescent="0.35">
      <c r="A1" s="75" t="s">
        <v>119</v>
      </c>
      <c r="B1" s="70" t="s">
        <v>409</v>
      </c>
      <c r="C1" s="70" t="s">
        <v>155</v>
      </c>
      <c r="D1" s="70" t="s">
        <v>147</v>
      </c>
      <c r="E1" s="74" t="s">
        <v>148</v>
      </c>
      <c r="F1" s="70" t="s">
        <v>120</v>
      </c>
      <c r="G1" s="70" t="s">
        <v>146</v>
      </c>
      <c r="H1" s="74" t="s">
        <v>149</v>
      </c>
      <c r="I1" s="70" t="s">
        <v>137</v>
      </c>
      <c r="J1" s="98" t="s">
        <v>135</v>
      </c>
      <c r="K1" s="92" t="s">
        <v>156</v>
      </c>
      <c r="L1" s="75" t="s">
        <v>410</v>
      </c>
      <c r="M1" s="70" t="s">
        <v>142</v>
      </c>
      <c r="N1" s="8" t="s">
        <v>393</v>
      </c>
      <c r="O1" s="8" t="s">
        <v>411</v>
      </c>
      <c r="P1" s="8" t="s">
        <v>394</v>
      </c>
      <c r="Q1" s="8" t="s">
        <v>406</v>
      </c>
      <c r="R1" s="8" t="s">
        <v>395</v>
      </c>
      <c r="S1" s="8" t="s">
        <v>126</v>
      </c>
      <c r="T1" s="8" t="s">
        <v>396</v>
      </c>
      <c r="U1" s="8" t="s">
        <v>407</v>
      </c>
      <c r="V1" s="8" t="s">
        <v>134</v>
      </c>
      <c r="W1" s="8" t="s">
        <v>72</v>
      </c>
      <c r="X1" s="8" t="s">
        <v>374</v>
      </c>
      <c r="Y1" s="74" t="s">
        <v>143</v>
      </c>
      <c r="Z1" s="70" t="s">
        <v>153</v>
      </c>
      <c r="AA1" s="74" t="s">
        <v>375</v>
      </c>
      <c r="AB1" s="92" t="s">
        <v>123</v>
      </c>
      <c r="AC1" s="74" t="s">
        <v>392</v>
      </c>
      <c r="AD1" s="92" t="s">
        <v>397</v>
      </c>
      <c r="AE1" s="8" t="s">
        <v>376</v>
      </c>
      <c r="AF1" s="8" t="s">
        <v>6</v>
      </c>
      <c r="AG1" s="8" t="s">
        <v>124</v>
      </c>
      <c r="AH1" s="90" t="s">
        <v>144</v>
      </c>
      <c r="AI1" s="92" t="s">
        <v>145</v>
      </c>
      <c r="AJ1" s="90" t="s">
        <v>127</v>
      </c>
      <c r="AK1" s="92" t="s">
        <v>377</v>
      </c>
      <c r="AL1" s="90" t="s">
        <v>152</v>
      </c>
      <c r="AM1" s="90" t="s">
        <v>418</v>
      </c>
      <c r="AN1" s="90" t="s">
        <v>378</v>
      </c>
      <c r="AO1" s="92" t="s">
        <v>270</v>
      </c>
      <c r="AP1" s="92" t="s">
        <v>3</v>
      </c>
      <c r="AQ1" s="8" t="s">
        <v>125</v>
      </c>
      <c r="AR1" s="8" t="s">
        <v>238</v>
      </c>
      <c r="AS1" s="8" t="s">
        <v>129</v>
      </c>
      <c r="AT1" s="8" t="s">
        <v>157</v>
      </c>
      <c r="AU1" s="8" t="s">
        <v>133</v>
      </c>
      <c r="AV1" s="75" t="s">
        <v>132</v>
      </c>
      <c r="AW1" s="8" t="s">
        <v>379</v>
      </c>
      <c r="AX1" s="8" t="s">
        <v>150</v>
      </c>
      <c r="AY1" s="75" t="s">
        <v>140</v>
      </c>
      <c r="AZ1" s="75" t="s">
        <v>131</v>
      </c>
      <c r="BA1" s="75" t="s">
        <v>121</v>
      </c>
      <c r="BB1" s="8" t="s">
        <v>122</v>
      </c>
      <c r="BC1" s="74" t="s">
        <v>138</v>
      </c>
      <c r="BD1" s="75" t="s">
        <v>130</v>
      </c>
      <c r="BE1" s="8" t="s">
        <v>154</v>
      </c>
      <c r="BF1" s="8" t="s">
        <v>7</v>
      </c>
      <c r="BG1" s="8" t="s">
        <v>158</v>
      </c>
      <c r="BH1" s="8" t="s">
        <v>416</v>
      </c>
      <c r="BI1" s="8" t="s">
        <v>417</v>
      </c>
      <c r="BJ1" s="16" t="s">
        <v>0</v>
      </c>
      <c r="BK1" s="16" t="s">
        <v>159</v>
      </c>
      <c r="BL1" s="16" t="s">
        <v>160</v>
      </c>
      <c r="BM1" s="16" t="s">
        <v>161</v>
      </c>
      <c r="BN1" s="16" t="s">
        <v>162</v>
      </c>
      <c r="BO1" s="16" t="s">
        <v>163</v>
      </c>
      <c r="BP1" s="96" t="s">
        <v>164</v>
      </c>
      <c r="BQ1" s="101" t="s">
        <v>165</v>
      </c>
      <c r="BR1" s="16" t="s">
        <v>166</v>
      </c>
      <c r="BS1" s="47" t="s">
        <v>167</v>
      </c>
      <c r="BT1" s="103" t="s">
        <v>168</v>
      </c>
      <c r="BU1" s="87" t="s">
        <v>169</v>
      </c>
      <c r="BV1" s="87" t="s">
        <v>170</v>
      </c>
      <c r="BW1" s="95" t="s">
        <v>171</v>
      </c>
      <c r="BX1" s="16" t="s">
        <v>172</v>
      </c>
      <c r="BY1" s="95" t="s">
        <v>173</v>
      </c>
      <c r="BZ1" s="16" t="s">
        <v>174</v>
      </c>
      <c r="CA1" s="16" t="s">
        <v>175</v>
      </c>
      <c r="CB1" s="89" t="s">
        <v>176</v>
      </c>
      <c r="CC1" s="16" t="s">
        <v>177</v>
      </c>
      <c r="CD1" s="16" t="s">
        <v>178</v>
      </c>
      <c r="CE1" s="16" t="s">
        <v>179</v>
      </c>
      <c r="CF1" s="71" t="s">
        <v>180</v>
      </c>
      <c r="CG1" s="16" t="s">
        <v>181</v>
      </c>
      <c r="CH1" s="16" t="s">
        <v>182</v>
      </c>
      <c r="CI1" s="16" t="s">
        <v>183</v>
      </c>
      <c r="CJ1" s="16" t="s">
        <v>184</v>
      </c>
      <c r="CK1" s="16" t="s">
        <v>185</v>
      </c>
      <c r="CL1" s="16" t="s">
        <v>186</v>
      </c>
      <c r="CM1" s="102" t="s">
        <v>187</v>
      </c>
      <c r="CN1" s="16" t="s">
        <v>188</v>
      </c>
      <c r="CO1" s="16" t="s">
        <v>189</v>
      </c>
      <c r="CP1" s="16" t="s">
        <v>190</v>
      </c>
      <c r="CQ1" s="96" t="s">
        <v>191</v>
      </c>
      <c r="CR1" s="101" t="s">
        <v>192</v>
      </c>
      <c r="CU1" s="75">
        <f ca="1">$CV$1+$CW$1-CapDate</f>
        <v>641.51221192129742</v>
      </c>
      <c r="CV1" s="76">
        <f ca="1">NOW()-TODAY()</f>
        <v>0.51221192129742121</v>
      </c>
      <c r="CW1" s="70">
        <f ca="1">TODAY()</f>
        <v>42244</v>
      </c>
      <c r="CX1" s="70">
        <f ca="1">CW1+CV1</f>
        <v>42244.512211921297</v>
      </c>
    </row>
    <row r="2" spans="1:102" x14ac:dyDescent="0.35">
      <c r="A2" s="21">
        <f>INT(SapExlData[OrderNummer])</f>
        <v>1216279</v>
      </c>
      <c r="C2" s="12" t="s">
        <v>398</v>
      </c>
      <c r="D2" s="12" t="s">
        <v>399</v>
      </c>
      <c r="E2" s="33">
        <v>0.625</v>
      </c>
      <c r="F2" s="12" t="s">
        <v>398</v>
      </c>
      <c r="G2" s="12" t="s">
        <v>398</v>
      </c>
      <c r="H2" s="33">
        <v>0.48312500000000003</v>
      </c>
      <c r="I2" s="12" t="s">
        <v>398</v>
      </c>
      <c r="J2" s="99" t="s">
        <v>398</v>
      </c>
      <c r="L2" s="100">
        <v>1216279</v>
      </c>
      <c r="M2" s="12" t="s">
        <v>398</v>
      </c>
      <c r="N2" s="21" t="s">
        <v>380</v>
      </c>
      <c r="O2" s="21" t="s">
        <v>400</v>
      </c>
      <c r="P2" s="21"/>
      <c r="Q2" s="21" t="s">
        <v>401</v>
      </c>
      <c r="R2" s="21"/>
      <c r="S2" s="21"/>
      <c r="T2" s="21">
        <v>1</v>
      </c>
      <c r="U2" s="21" t="s">
        <v>402</v>
      </c>
      <c r="V2" s="21">
        <v>1</v>
      </c>
      <c r="W2" s="21">
        <v>1</v>
      </c>
      <c r="X2" s="21" t="s">
        <v>381</v>
      </c>
      <c r="Y2" s="33">
        <v>0.48312500000000003</v>
      </c>
      <c r="Z2" s="12" t="s">
        <v>398</v>
      </c>
      <c r="AA2" s="33">
        <v>0.62567129629629636</v>
      </c>
      <c r="AB2" s="93">
        <v>0.62567129629629636</v>
      </c>
      <c r="AC2" s="33">
        <v>0.62567129629629636</v>
      </c>
      <c r="AD2" s="93">
        <v>0.62567129629629636</v>
      </c>
      <c r="AE2" s="21">
        <v>10000754</v>
      </c>
      <c r="AF2" s="21" t="s">
        <v>403</v>
      </c>
      <c r="AG2" s="21" t="s">
        <v>381</v>
      </c>
      <c r="AH2" s="91" t="s">
        <v>398</v>
      </c>
      <c r="AI2" s="93">
        <v>0.48312500000000003</v>
      </c>
      <c r="AJ2" s="91" t="s">
        <v>404</v>
      </c>
      <c r="AK2" s="93" t="s">
        <v>405</v>
      </c>
      <c r="AL2" s="91" t="s">
        <v>403</v>
      </c>
      <c r="AM2" s="91" t="s">
        <v>419</v>
      </c>
      <c r="AN2" s="91" t="s">
        <v>45</v>
      </c>
      <c r="AO2" s="21">
        <v>506620</v>
      </c>
      <c r="AP2" s="93" t="s">
        <v>401</v>
      </c>
      <c r="AQ2" s="21" t="s">
        <v>402</v>
      </c>
      <c r="AR2" s="21"/>
      <c r="AS2" s="21">
        <v>1000</v>
      </c>
      <c r="AT2" s="21">
        <v>0</v>
      </c>
      <c r="AU2" s="21">
        <v>0</v>
      </c>
      <c r="AV2" s="21">
        <v>3150</v>
      </c>
      <c r="AW2" s="21">
        <v>3150</v>
      </c>
      <c r="AX2" s="21">
        <v>3150</v>
      </c>
      <c r="AY2" s="21">
        <v>1</v>
      </c>
      <c r="AZ2" s="21">
        <v>0</v>
      </c>
      <c r="BA2" s="21">
        <v>3173</v>
      </c>
      <c r="BB2" s="21">
        <v>0</v>
      </c>
      <c r="BC2" s="21">
        <v>0</v>
      </c>
      <c r="BD2" s="21">
        <v>3150</v>
      </c>
      <c r="BE2" s="21">
        <v>3150</v>
      </c>
      <c r="BF2" s="21">
        <v>0</v>
      </c>
      <c r="BG2" s="21">
        <v>0</v>
      </c>
      <c r="BH2" s="21">
        <v>0</v>
      </c>
      <c r="BI2" s="21">
        <v>0</v>
      </c>
      <c r="BJ2" s="21" t="str">
        <f>SapExlData[Material Number]&amp;" "&amp;SapExlData[Material Description]</f>
        <v xml:space="preserve"> BRUNET MASSE</v>
      </c>
      <c r="BK2" s="29">
        <f>IF(SapExlData[[#This Row],[Total order quantity]]-SapExlData[[#This Row],[Quantity of goods received]]&lt;0,0,SapExlData[[#This Row],[Total order quantity]]-SapExlData[[#This Row],[Quantity of goods received]])</f>
        <v>23</v>
      </c>
      <c r="BL2" s="21">
        <f>IF(SapExlData[[#This Row],[Base Quantity]]=0,0,SapExlData[[#This Row],[Operation Qty]]/SapExlData[[#This Row],[Base Quantity]])</f>
        <v>3.15</v>
      </c>
      <c r="BM2" s="30">
        <f>SapExlData[SetupTid]</f>
        <v>0</v>
      </c>
      <c r="BN2" s="21">
        <f>IF(SapExlData[[#This Row],[DCI]]="X",0,IF(SapExlData[[#This Row],[Rem_Qty]]&lt;SapExlData[[#This Row],[Total order quantity]],(SapExlData[[#This Row],[ProcTid]]/SapExlData[Base Quantity])*SapExlData[[#This Row],[Rem_Qty]],SapExlData[Processing time]))</f>
        <v>0</v>
      </c>
      <c r="BO2" s="21">
        <f>IF(AQ2&lt;&gt;AQ1,1,IF(ISERROR(DATEVALUE(F2)),BO1+1,BO1))</f>
        <v>1</v>
      </c>
      <c r="BP2" s="91">
        <f>IF($BR2=1,IF(ISERROR(DATEVALUE(F2)),IF(BO2&gt;1,BP1,DATEVALUE(G2)),DATEVALUE(F2)),IF(BR2=0,IF(BX2=BX1,BS1,IF(ISERROR(DATEVALUE(F2)),G2,DATEVALUE(F2))),IF(CJ2="Locked",DATEVALUE(G2),BS1)))</f>
        <v>42086</v>
      </c>
      <c r="BQ2" s="31">
        <f>IF($BR2=1,IF(VALUE(AB2)&gt;0,AB2,IF(BO2&gt;1,BT1,H2)),IF(AND(BR2=0,BX2=BX1),BT1,IF(VALUE(AB2)&gt;0,AB2,IF(CJ2="Locked",H2,IF(BR1=0,BQ1,IF(ISERROR(VALUE(BT1)),7/24,BT1))))))</f>
        <v>0.62567129629629636</v>
      </c>
      <c r="BR2">
        <f>IF(SapExlData[[#This Row],[Akt_Help]]=0,0,SapExlData[[#This Row],[Acc_Akt]])</f>
        <v>0</v>
      </c>
      <c r="BS2" s="12">
        <v>41233</v>
      </c>
      <c r="BT2" s="31">
        <v>0.73478472222551394</v>
      </c>
      <c r="BU2" s="104">
        <f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f>
        <v>42086.625671296293</v>
      </c>
      <c r="BV2" s="105">
        <f>IF(SapExlData[[#This Row],[End_Date]]=0,"",SapExlData[[#This Row],[End_Date]]+TIME(HOUR(SapExlData[[#This Row],[End_Time]]),MINUTE(SapExlData[[#This Row],[End_Time]]),SECOND(SapExlData[[#This Row],[End_Time]])))</f>
        <v>41233.734780092593</v>
      </c>
      <c r="BW2" s="93">
        <v>0.29166666666666669</v>
      </c>
      <c r="BX2" t="str">
        <f>RIGHT(SapExlData[Work ctr],LEN(SapExlData[Work ctr])-5)&amp;" "&amp;SapExlData[Work Center Description]</f>
        <v>AR2701 AR00/AR2701</v>
      </c>
      <c r="BY2" s="93">
        <v>0.9375</v>
      </c>
      <c r="BZ2" s="29">
        <f ca="1">IF(CJ2="Locked",CF2+CA2*0,IF(BX2&lt;&gt;BX1,CF2,IF(AND(CA2&gt;BZ1,BR2&gt;0),CA2+CF2,BZ1+CF2)))</f>
        <v>0</v>
      </c>
      <c r="CA2" s="29">
        <f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f>
        <v>0</v>
      </c>
      <c r="CB2" s="29">
        <f>IF(CJ2="Locked",IF(VLOOKUP(DATEVALUE(D2),CapDateNumber,7,FALSE)&gt;1,VLOOKUP(BX2,CapStart,VLOOKUP(DATEVALUE(D2),CapDateNumber,7,FALSE),FALSE),0)+(E2-BW2)*24*3600,0)</f>
        <v>0</v>
      </c>
      <c r="CC2" s="34">
        <f ca="1"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f>
        <v>0</v>
      </c>
      <c r="CD2" s="34">
        <f>IF(ISERROR(SapExlData[[#This Row],[Rem_Time]]),0,SapExlData[[#This Row],[Rem_Time]]/24)</f>
        <v>0</v>
      </c>
      <c r="CE2" s="34">
        <f ca="1">IF(AND(BX2&lt;&gt;BX1,CJ2&lt;&gt;"Locked"),IF(CC2&gt;=CK2,0,IF(CL2&gt;CK2,0,CK2-CL2)),0)</f>
        <v>0</v>
      </c>
      <c r="CF2" s="35">
        <f ca="1">IF(ISERROR(SapExlData[[#This Row],[Rem_Time]]),0,SUM(SapExlData[[#This Row],[Startverdi]]:SapExlData[[#This Row],[Nå_verdi]])*24*3600+IF(SapExlData[[#This Row],[Locked]]="Locked",SapExlData[[#This Row],[StartCap]],SapExlData[[#This Row],[Acc_Cap2]]))</f>
        <v>0</v>
      </c>
      <c r="CG2" s="29">
        <f>IF(ISERROR(BN2),0,IF(AND(BN2&gt;0,K2&lt;&gt;"X",BX2&lt;&gt;BX1),1,IF(AND(ISERROR(DATEVALUE(F2)),K2&lt;&gt;"X"),1,0)))</f>
        <v>0</v>
      </c>
      <c r="CH2" s="29">
        <f>IF(BX2&lt;&gt;BX1,CG2,CG2+CH1)</f>
        <v>0</v>
      </c>
      <c r="CI2" s="29">
        <f>IF(AND(SapExlData[[#This Row],[Active]]=1,OR(SapExlData[[#This Row],[Quantity of goods received]]&gt;0,ISERROR(DATEVALUE(SapExlData[[#This Row],[Actual start date]]))=FALSE)),1,0)</f>
        <v>0</v>
      </c>
      <c r="CJ2" s="21" t="str">
        <f>IF(ISERROR(VLOOKUP(SapExlData[Order],LockedTable[],1,FALSE)),"","Locked")</f>
        <v/>
      </c>
      <c r="CK2" s="34">
        <f ca="1">IF(ISERROR(VLOOKUP(SapExlData[[#This Row],[Work Center]]&amp;ToDay,CapStartDay,4,FALSE)/3600/24),0,VLOOKUP(SapExlData[[#This Row],[Work Center]]&amp;ToDay,CapStartDay,4,FALSE)/3600/24)</f>
        <v>0</v>
      </c>
      <c r="CL2" s="34">
        <f ca="1"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f>
        <v>0</v>
      </c>
      <c r="CM2" s="32">
        <f ca="1">IF(ISERROR(VLOOKUP(SapExlData[[#This Row],[Work Center]]&amp;ToDay,CapStartDay,2,FALSE)),0,VLOOKUP(SapExlData[[#This Row],[Work Center]]&amp;ToDay,CapStartDay,2,FALSE))</f>
        <v>0</v>
      </c>
      <c r="CN2" s="36" t="str">
        <f>IF(OR(SapExlData[[#This Row],[Work ctr]]="AR00/AR1502",SapExlData[[#This Row],[Reqmt Qty]]=0),"Not relevant",IF(SapExlData[MixEnhet]="KG",(SapExlData[[#This Row],[Total Stock]]+SapExlData[[#This Row],[Qty Withdrawn]])/SapExlData[[#This Row],[Reqmt Qty]],"Unknown"))</f>
        <v>Not relevant</v>
      </c>
      <c r="CO2" s="29">
        <f>IF(OR(SapExlData[[#This Row],[Mix_Status]]="Unknown",SapExlData[[#This Row],[Mix_Status]]="Not relevant"),0,SapExlData[[#This Row],[Reqmt Qty]]*IF(SapExlData[[#This Row],[Mix_Status]]&gt;1,1,SapExlData[[#This Row],[Mix_Status]]))</f>
        <v>0</v>
      </c>
      <c r="CP2" s="29">
        <f>IF(OR(SapExlData[[#This Row],[Mix_Status]]="Unknown",SapExlData[[#This Row],[Mix_Status]]="Not relevant"),0,SapExlData[[#This Row],[Reqmt Qty]])</f>
        <v>0</v>
      </c>
      <c r="CQ2" s="91">
        <f>INT(SapExlData[[#This Row],[Start]])</f>
        <v>42086</v>
      </c>
      <c r="CR2" s="31">
        <f>SapExlData[[#This Row],[Start]]-SapExlData[[#This Row],[Start_Date]]</f>
        <v>0.62567129629314877</v>
      </c>
      <c r="CV2" s="74">
        <f ca="1">NOW()-TODAY()</f>
        <v>0.51221192129742121</v>
      </c>
    </row>
    <row r="3" spans="1:102" x14ac:dyDescent="0.35">
      <c r="A3" s="21">
        <f>INT(SapExlData[OrderNummer])</f>
        <v>1216279</v>
      </c>
      <c r="C3" s="12" t="s">
        <v>398</v>
      </c>
      <c r="D3" s="12" t="s">
        <v>399</v>
      </c>
      <c r="E3" s="33">
        <v>0.625</v>
      </c>
      <c r="F3" s="12" t="s">
        <v>398</v>
      </c>
      <c r="G3" s="12" t="s">
        <v>398</v>
      </c>
      <c r="H3" s="33">
        <v>0.48312500000000003</v>
      </c>
      <c r="I3" s="12" t="s">
        <v>398</v>
      </c>
      <c r="J3" s="99" t="s">
        <v>398</v>
      </c>
      <c r="L3" s="100">
        <v>1216279</v>
      </c>
      <c r="M3" s="12" t="s">
        <v>398</v>
      </c>
      <c r="N3" s="21" t="s">
        <v>380</v>
      </c>
      <c r="O3" s="21" t="s">
        <v>400</v>
      </c>
      <c r="P3" s="21"/>
      <c r="Q3" s="21" t="s">
        <v>401</v>
      </c>
      <c r="R3" s="21"/>
      <c r="S3" s="21"/>
      <c r="T3" s="21">
        <v>1</v>
      </c>
      <c r="U3" s="21" t="s">
        <v>402</v>
      </c>
      <c r="V3" s="21">
        <v>2</v>
      </c>
      <c r="W3" s="21">
        <v>1</v>
      </c>
      <c r="X3" s="21" t="s">
        <v>381</v>
      </c>
      <c r="Y3" s="33">
        <v>0.48312500000000003</v>
      </c>
      <c r="Z3" s="12" t="s">
        <v>398</v>
      </c>
      <c r="AA3" s="33">
        <v>0.62567129629629636</v>
      </c>
      <c r="AB3" s="93">
        <v>0.62567129629629636</v>
      </c>
      <c r="AC3" s="33">
        <v>0.62567129629629636</v>
      </c>
      <c r="AD3" s="93">
        <v>0.62567129629629636</v>
      </c>
      <c r="AE3" s="21">
        <v>10000754</v>
      </c>
      <c r="AF3" s="21" t="s">
        <v>403</v>
      </c>
      <c r="AG3" s="21" t="s">
        <v>71</v>
      </c>
      <c r="AH3" s="91" t="s">
        <v>398</v>
      </c>
      <c r="AI3" s="93">
        <v>0.48312500000000003</v>
      </c>
      <c r="AJ3" s="91" t="s">
        <v>404</v>
      </c>
      <c r="AK3" s="93" t="s">
        <v>405</v>
      </c>
      <c r="AL3" s="91" t="s">
        <v>403</v>
      </c>
      <c r="AM3" s="91" t="s">
        <v>419</v>
      </c>
      <c r="AN3" s="91" t="s">
        <v>45</v>
      </c>
      <c r="AO3" s="21">
        <v>506620</v>
      </c>
      <c r="AP3" s="93" t="s">
        <v>401</v>
      </c>
      <c r="AQ3" s="21" t="s">
        <v>402</v>
      </c>
      <c r="AR3" s="21"/>
      <c r="AS3" s="21">
        <v>1000</v>
      </c>
      <c r="AT3" s="21">
        <v>0</v>
      </c>
      <c r="AU3" s="21">
        <v>0</v>
      </c>
      <c r="AV3" s="21">
        <v>3150</v>
      </c>
      <c r="AW3" s="21">
        <v>3150</v>
      </c>
      <c r="AX3" s="21">
        <v>3150</v>
      </c>
      <c r="AY3" s="21">
        <v>0.2</v>
      </c>
      <c r="AZ3" s="21">
        <v>0</v>
      </c>
      <c r="BA3" s="21">
        <v>3173</v>
      </c>
      <c r="BB3" s="21">
        <v>0</v>
      </c>
      <c r="BC3" s="21">
        <v>0</v>
      </c>
      <c r="BD3" s="21">
        <v>3150</v>
      </c>
      <c r="BE3" s="21">
        <v>3150</v>
      </c>
      <c r="BF3" s="21">
        <v>0</v>
      </c>
      <c r="BG3" s="21">
        <v>0</v>
      </c>
      <c r="BH3" s="21">
        <v>0</v>
      </c>
      <c r="BI3" s="21">
        <v>0</v>
      </c>
      <c r="BJ3" s="21" t="str">
        <f>SapExlData[Material Number]&amp;" "&amp;SapExlData[Material Description]</f>
        <v xml:space="preserve"> BRUNET MASSE</v>
      </c>
      <c r="BK3" s="29">
        <f>IF(SapExlData[[#This Row],[Total order quantity]]-SapExlData[[#This Row],[Quantity of goods received]]&lt;0,0,SapExlData[[#This Row],[Total order quantity]]-SapExlData[[#This Row],[Quantity of goods received]])</f>
        <v>23</v>
      </c>
      <c r="BL3" s="21">
        <f>IF(SapExlData[[#This Row],[Base Quantity]]=0,0,SapExlData[[#This Row],[Operation Qty]]/SapExlData[[#This Row],[Base Quantity]])</f>
        <v>3.15</v>
      </c>
      <c r="BM3" s="30">
        <f>SapExlData[SetupTid]</f>
        <v>0</v>
      </c>
      <c r="BN3" s="21">
        <f>IF(SapExlData[[#This Row],[DCI]]="X",0,IF(SapExlData[[#This Row],[Rem_Qty]]&lt;SapExlData[[#This Row],[Total order quantity]],(SapExlData[[#This Row],[ProcTid]]/SapExlData[Base Quantity])*SapExlData[[#This Row],[Rem_Qty]],SapExlData[Processing time]))</f>
        <v>0</v>
      </c>
      <c r="BO3" s="21">
        <f>IF(AQ3&lt;&gt;AQ2,1,IF(ISERROR(DATEVALUE(F3)),BO2+1,BO2))</f>
        <v>1</v>
      </c>
      <c r="BP3" s="91">
        <f>IF($BR3=1,IF(ISERROR(DATEVALUE(F3)),IF(BO3&gt;1,BP2,DATEVALUE(G3)),DATEVALUE(F3)),IF(BR3=0,IF(BX3=BX2,BS2,IF(ISERROR(DATEVALUE(F3)),G3,DATEVALUE(F3))),IF(CJ3="Locked",DATEVALUE(G3),BS2)))</f>
        <v>42086</v>
      </c>
      <c r="BQ3" s="31">
        <f>IF($BR3=1,IF(VALUE(AB3)&gt;0,AB3,IF(BO3&gt;1,BT2,H3)),IF(AND(BR3=0,BX3=BX2),BT2,IF(VALUE(AB3)&gt;0,AB3,IF(CJ3="Locked",H3,IF(BR2=0,BQ2,IF(ISERROR(VALUE(BT2)),7/24,BT2))))))</f>
        <v>0.62567129629629636</v>
      </c>
      <c r="BR3">
        <f>IF(SapExlData[[#This Row],[Akt_Help]]=0,0,SapExlData[[#This Row],[Acc_Akt]])</f>
        <v>1</v>
      </c>
      <c r="BS3" s="12">
        <v>41233</v>
      </c>
      <c r="BT3" s="31">
        <v>0.92922928240861591</v>
      </c>
      <c r="BU3" s="104">
        <f>IF(SapExlData[[#This Row],[Locked]]="Locked",IF(SapExlData[[#This Row],[Scheduled start]]+SapExlData[[#This Row],[SchedStart]]&lt;CapDate+SapExlData[[#This Row],[StartSec]],CapDate+SapExlData[[#This Row],[StartSec]],SapExlData[[#This Row],[Scheduled start]]+SapExlData[[#This Row],[SchedStart]]),IF(SapExlData[[#This Row],[Start_DateH]]+SapExlData[[#This Row],[Start_TimeH]]&lt;CapDate+SapExlData[[#This Row],[StartSec]],CapDate+SapExlData[[#This Row],[StartSec]],SapExlData[[#This Row],[Start_DateH]]+SapExlData[[#This Row],[Start_TimeH]]))</f>
        <v>42086.625671296293</v>
      </c>
      <c r="BV3" s="105">
        <f>IF(SapExlData[[#This Row],[End_Date]]=0,"",SapExlData[[#This Row],[End_Date]]+TIME(HOUR(SapExlData[[#This Row],[End_Time]]),MINUTE(SapExlData[[#This Row],[End_Time]]),SECOND(SapExlData[[#This Row],[End_Time]])))</f>
        <v>41233.929224537038</v>
      </c>
      <c r="BW3" s="93">
        <v>0.29166666666666669</v>
      </c>
      <c r="BX3" t="str">
        <f>RIGHT(SapExlData[Work ctr],LEN(SapExlData[Work ctr])-5)&amp;" "&amp;SapExlData[Work Center Description]</f>
        <v>AR2701 AR00/AR2701</v>
      </c>
      <c r="BY3" s="93">
        <v>0.9375</v>
      </c>
      <c r="BZ3" s="29">
        <f ca="1">IF(CJ3="Locked",CF3+CA3*0,IF(BX3&lt;&gt;BX2,CF3,IF(AND(CA3&gt;BZ2,BR3&gt;0),CA3+CF3,BZ2+CF3)))</f>
        <v>0</v>
      </c>
      <c r="CA3" s="29">
        <f>IF(ISERROR(VLOOKUP(SapExlData[[#This Row],[Work Center]]&amp;INT(SapExlData[[#This Row],[Start]]),CapStartDay,4,FALSE)),0,VLOOKUP(SapExlData[[#This Row],[Work Center]]&amp;INT(SapExlData[[#This Row],[Start]]),CapStartDay,4,FALSE)+(SapExlData[[#This Row],[Start]]-VLOOKUP(SapExlData[[#This Row],[Work Center]]&amp;INT(SapExlData[[#This Row],[Start]]),CapStartDay,3,FALSE))*3600*24)</f>
        <v>0</v>
      </c>
      <c r="CB3" s="29">
        <f>IF(CJ3="Locked",IF(VLOOKUP(DATEVALUE(D3),CapDateNumber,7,FALSE)&gt;1,VLOOKUP(BX3,CapStart,VLOOKUP(DATEVALUE(D3),CapDateNumber,7,FALSE),FALSE),0)+(E3-BW3)*24*3600,0)</f>
        <v>0</v>
      </c>
      <c r="CC3" s="34">
        <f ca="1">(IF(OR(SapExlData[[#This Row],[Active]]&lt;&gt;1,SapExlData[[#This Row],[Start]]&lt;ToDay+1,SapExlData[[#This Row],[Locked]]="Locked"),0,VLOOKUP(SapExlData[[#This Row],[Work Center]],CapStart,VLOOKUP(INT(SapExlData[[#This Row],[Start]]),CapDateNumber,7,FALSE),FALSE)+(SapExlData[[#This Row],[Start_TimeH]]-SapExlData[[#This Row],[StartSec]])*24*3600))/3600/24</f>
        <v>0</v>
      </c>
      <c r="CD3" s="34">
        <f>IF(ISERROR(SapExlData[[#This Row],[Rem_Time]]),0,SapExlData[[#This Row],[Rem_Time]]/24)</f>
        <v>0</v>
      </c>
      <c r="CE3" s="34">
        <f>IF(AND(BX3&lt;&gt;BX2,CJ3&lt;&gt;"Locked"),IF(CC3&gt;=CK3,0,IF(CL3&gt;CK3,0,CK3-CL3)),0)</f>
        <v>0</v>
      </c>
      <c r="CF3" s="35">
        <f ca="1">IF(ISERROR(SapExlData[[#This Row],[Rem_Time]]),0,SUM(SapExlData[[#This Row],[Startverdi]]:SapExlData[[#This Row],[Nå_verdi]])*24*3600+IF(SapExlData[[#This Row],[Locked]]="Locked",SapExlData[[#This Row],[StartCap]],SapExlData[[#This Row],[Acc_Cap2]]))</f>
        <v>0</v>
      </c>
      <c r="CG3" s="29">
        <v>1</v>
      </c>
      <c r="CH3" s="29">
        <f>IF(BX3&lt;&gt;BX2,CG3,CG3+CH2)</f>
        <v>1</v>
      </c>
      <c r="CI3" s="29">
        <f>IF(AND(SapExlData[[#This Row],[Active]]=1,OR(SapExlData[[#This Row],[Quantity of goods received]]&gt;0,ISERROR(DATEVALUE(SapExlData[[#This Row],[Actual start date]]))=FALSE)),1,0)</f>
        <v>1</v>
      </c>
      <c r="CJ3" s="21" t="str">
        <f>IF(ISERROR(VLOOKUP(SapExlData[Order],LockedTable[],1,FALSE)),"","Locked")</f>
        <v/>
      </c>
      <c r="CK3" s="34">
        <f ca="1">IF(ISERROR(VLOOKUP(SapExlData[[#This Row],[Work Center]]&amp;ToDay,CapStartDay,4,FALSE)/3600/24),0,VLOOKUP(SapExlData[[#This Row],[Work Center]]&amp;ToDay,CapStartDay,4,FALSE)/3600/24)</f>
        <v>0</v>
      </c>
      <c r="CL3" s="34">
        <f ca="1">IF(ISERROR(VLOOKUP(SapExlData[[#This Row],[Work Center]]&amp;ToDay,CapStartDay,5,FALSE)),0,IF(VLOOKUP(SapExlData[[#This Row],[Work Center]]&amp;ToDay,CapStartDay,5,FALSE)=3,VLOOKUP(SapExlData[[#This Row],[Work Center]]&amp;ToDay,CapStartDay,3,FALSE)-NowValue,IF(NowValue&lt;VLOOKUP(SapExlData[[#This Row],[Work Center]]&amp;ToDay,CapStartDay,3,FALSE),IF(NowValue&lt;VLOOKUP(SapExlData[[#This Row],[Work Center]]&amp;ToDay,CapStartDay,2,FALSE),VLOOKUP(SapExlData[[#This Row],[Work Center]]&amp;ToDay,CapStartDay,3,FALSE)-VLOOKUP(SapExlData[[#This Row],[Work Center]]&amp;ToDay,CapStartDay,2,FALSE),VLOOKUP(SapExlData[[#This Row],[Work Center]]&amp;ToDay,CapStartDay,3,FALSE)-NowValue),0)))</f>
        <v>0</v>
      </c>
      <c r="CM3" s="32">
        <f ca="1">IF(ISERROR(VLOOKUP(SapExlData[[#This Row],[Work Center]]&amp;ToDay,CapStartDay,2,FALSE)),0,VLOOKUP(SapExlData[[#This Row],[Work Center]]&amp;ToDay,CapStartDay,2,FALSE))</f>
        <v>0</v>
      </c>
      <c r="CN3" s="36" t="str">
        <f>IF(OR(SapExlData[[#This Row],[Work ctr]]="AR00/AR1502",SapExlData[[#This Row],[Reqmt Qty]]=0),"Not relevant",IF(SapExlData[MixEnhet]="KG",(SapExlData[[#This Row],[Total Stock]]+SapExlData[[#This Row],[Qty Withdrawn]])/SapExlData[[#This Row],[Reqmt Qty]],"Unknown"))</f>
        <v>Not relevant</v>
      </c>
      <c r="CO3" s="29">
        <f>IF(OR(SapExlData[[#This Row],[Mix_Status]]="Unknown",SapExlData[[#This Row],[Mix_Status]]="Not relevant"),0,SapExlData[[#This Row],[Reqmt Qty]]*IF(SapExlData[[#This Row],[Mix_Status]]&gt;1,1,SapExlData[[#This Row],[Mix_Status]]))</f>
        <v>0</v>
      </c>
      <c r="CP3" s="29">
        <f>IF(OR(SapExlData[[#This Row],[Mix_Status]]="Unknown",SapExlData[[#This Row],[Mix_Status]]="Not relevant"),0,SapExlData[[#This Row],[Reqmt Qty]])</f>
        <v>0</v>
      </c>
      <c r="CQ3" s="91">
        <f>INT(SapExlData[[#This Row],[Start]])</f>
        <v>42086</v>
      </c>
      <c r="CR3" s="31">
        <f>SapExlData[[#This Row],[Start]]-SapExlData[[#This Row],[Start_Date]]</f>
        <v>0.62567129629314877</v>
      </c>
    </row>
    <row r="8" spans="1:102" x14ac:dyDescent="0.35">
      <c r="CV8" t="s">
        <v>365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FF8080"/>
  </sheetPr>
  <dimension ref="A1:DR4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8.54296875" style="21" bestFit="1" customWidth="1"/>
    <col min="2" max="2" width="28.453125" bestFit="1" customWidth="1"/>
    <col min="3" max="3" width="18.81640625" bestFit="1" customWidth="1"/>
    <col min="4" max="4" width="18.1796875" customWidth="1"/>
    <col min="5" max="5" width="12.54296875" customWidth="1"/>
    <col min="6" max="6" width="17.81640625" customWidth="1"/>
    <col min="7" max="7" width="17.1796875" customWidth="1"/>
    <col min="8" max="8" width="12.7265625" customWidth="1"/>
    <col min="9" max="9" width="11.7265625" customWidth="1"/>
    <col min="10" max="10" width="11.54296875" style="12" bestFit="1" customWidth="1"/>
    <col min="11" max="11" width="6.7265625" customWidth="1"/>
    <col min="12" max="12" width="10.7265625" style="21" bestFit="1" customWidth="1"/>
    <col min="13" max="13" width="15.7265625" customWidth="1"/>
    <col min="14" max="14" width="7.7265625" customWidth="1"/>
    <col min="15" max="15" width="21.7265625" customWidth="1"/>
    <col min="16" max="16" width="16.1796875" customWidth="1"/>
    <col min="17" max="17" width="18.54296875" customWidth="1"/>
    <col min="18" max="18" width="15.7265625" bestFit="1" customWidth="1"/>
    <col min="19" max="19" width="15.54296875" bestFit="1" customWidth="1"/>
    <col min="20" max="20" width="16.1796875" bestFit="1" customWidth="1"/>
    <col min="21" max="21" width="25.54296875" bestFit="1" customWidth="1"/>
    <col min="22" max="22" width="10.453125" customWidth="1"/>
    <col min="23" max="23" width="5.7265625" customWidth="1"/>
    <col min="24" max="24" width="10" customWidth="1"/>
    <col min="25" max="25" width="15.81640625" bestFit="1" customWidth="1"/>
    <col min="26" max="26" width="25.1796875" bestFit="1" customWidth="1"/>
    <col min="27" max="27" width="12.7265625" bestFit="1" customWidth="1"/>
    <col min="28" max="28" width="11" customWidth="1"/>
    <col min="29" max="29" width="12.7265625" customWidth="1"/>
    <col min="30" max="30" width="12.7265625" bestFit="1" customWidth="1"/>
    <col min="31" max="31" width="10.54296875" customWidth="1"/>
    <col min="32" max="32" width="21.453125" bestFit="1" customWidth="1"/>
    <col min="33" max="33" width="5.81640625" customWidth="1"/>
    <col min="34" max="34" width="15" bestFit="1" customWidth="1"/>
    <col min="35" max="35" width="15.54296875" customWidth="1"/>
    <col min="36" max="36" width="6.7265625" customWidth="1"/>
    <col min="37" max="37" width="10.26953125" customWidth="1"/>
    <col min="38" max="38" width="18.54296875" bestFit="1" customWidth="1"/>
    <col min="39" max="39" width="10.6328125" bestFit="1" customWidth="1"/>
    <col min="40" max="40" width="11.81640625" customWidth="1"/>
    <col min="41" max="41" width="18.7265625" bestFit="1" customWidth="1"/>
    <col min="42" max="42" width="7" customWidth="1"/>
    <col min="43" max="43" width="12.6328125" bestFit="1" customWidth="1"/>
    <col min="44" max="44" width="18.453125" bestFit="1" customWidth="1"/>
    <col min="45" max="45" width="15.7265625" customWidth="1"/>
    <col min="46" max="46" width="12.81640625" customWidth="1"/>
    <col min="47" max="47" width="17.81640625" bestFit="1" customWidth="1"/>
    <col min="48" max="48" width="17.7265625" bestFit="1" customWidth="1"/>
    <col min="49" max="49" width="18.81640625" bestFit="1" customWidth="1"/>
    <col min="50" max="50" width="27.54296875" bestFit="1" customWidth="1"/>
    <col min="51" max="51" width="17.453125" customWidth="1"/>
    <col min="52" max="52" width="16" customWidth="1"/>
    <col min="53" max="53" width="21.1796875" customWidth="1"/>
    <col min="54" max="54" width="29.7265625" customWidth="1"/>
    <col min="55" max="55" width="13" customWidth="1"/>
    <col min="56" max="56" width="16" customWidth="1"/>
    <col min="57" max="57" width="16.1796875" customWidth="1"/>
    <col min="58" max="58" width="13.1796875" customWidth="1"/>
    <col min="59" max="59" width="17" customWidth="1"/>
    <col min="60" max="61" width="10.6328125" bestFit="1" customWidth="1"/>
    <col min="62" max="62" width="44.81640625" bestFit="1" customWidth="1"/>
    <col min="63" max="63" width="11.7265625" customWidth="1"/>
    <col min="64" max="64" width="11.26953125" customWidth="1"/>
    <col min="65" max="65" width="8.54296875" customWidth="1"/>
    <col min="66" max="66" width="12.7265625" customWidth="1"/>
    <col min="67" max="67" width="12" customWidth="1"/>
    <col min="68" max="68" width="14.26953125" customWidth="1"/>
    <col min="69" max="69" width="14.453125" bestFit="1" customWidth="1"/>
    <col min="70" max="70" width="9" customWidth="1"/>
    <col min="71" max="71" width="11.81640625" bestFit="1" customWidth="1"/>
    <col min="72" max="72" width="12.1796875" customWidth="1"/>
    <col min="73" max="73" width="17.6328125" style="105" bestFit="1" customWidth="1"/>
    <col min="74" max="74" width="18.7265625" style="105" bestFit="1" customWidth="1"/>
    <col min="75" max="75" width="10.7265625" customWidth="1"/>
    <col min="76" max="76" width="14.54296875" bestFit="1" customWidth="1"/>
    <col min="77" max="77" width="10.453125" customWidth="1"/>
    <col min="78" max="78" width="10.7265625" customWidth="1"/>
    <col min="79" max="79" width="10.81640625" style="88" customWidth="1"/>
    <col min="80" max="80" width="11.7265625" style="88" customWidth="1"/>
    <col min="81" max="81" width="12.1796875" bestFit="1" customWidth="1"/>
    <col min="82" max="82" width="12" customWidth="1"/>
    <col min="83" max="83" width="11.453125" bestFit="1" customWidth="1"/>
    <col min="84" max="84" width="10.7265625" bestFit="1" customWidth="1"/>
    <col min="85" max="85" width="11.54296875" bestFit="1" customWidth="1"/>
    <col min="86" max="86" width="10.54296875" customWidth="1"/>
    <col min="87" max="87" width="12.54296875" bestFit="1" customWidth="1"/>
    <col min="88" max="88" width="9.54296875" customWidth="1"/>
    <col min="89" max="89" width="13.26953125" bestFit="1" customWidth="1"/>
    <col min="90" max="90" width="11.81640625" bestFit="1" customWidth="1"/>
    <col min="91" max="91" width="10.81640625" customWidth="1"/>
    <col min="92" max="92" width="13.26953125" bestFit="1" customWidth="1"/>
    <col min="93" max="94" width="8.7265625" customWidth="1"/>
    <col min="95" max="95" width="12.81640625" customWidth="1"/>
    <col min="96" max="96" width="13.1796875" bestFit="1" customWidth="1"/>
    <col min="97" max="98" width="13.453125" bestFit="1" customWidth="1"/>
    <col min="99" max="99" width="12.54296875" bestFit="1" customWidth="1"/>
    <col min="100" max="100" width="12.1796875" bestFit="1" customWidth="1"/>
    <col min="102" max="102" width="13.453125" bestFit="1" customWidth="1"/>
    <col min="103" max="103" width="11.26953125" style="33" bestFit="1" customWidth="1"/>
    <col min="104" max="104" width="12.54296875" style="21" bestFit="1" customWidth="1"/>
    <col min="105" max="105" width="13.54296875" bestFit="1" customWidth="1"/>
    <col min="106" max="106" width="18.7265625" style="105" bestFit="1" customWidth="1"/>
    <col min="107" max="107" width="11.81640625" bestFit="1" customWidth="1"/>
    <col min="108" max="108" width="12.54296875" bestFit="1" customWidth="1"/>
    <col min="109" max="109" width="13.1796875" bestFit="1" customWidth="1"/>
    <col min="110" max="110" width="16.7265625" bestFit="1" customWidth="1"/>
    <col min="111" max="111" width="12.7265625" bestFit="1" customWidth="1"/>
    <col min="112" max="112" width="12.453125" bestFit="1" customWidth="1"/>
    <col min="114" max="114" width="11.453125" style="30"/>
  </cols>
  <sheetData>
    <row r="1" spans="1:122" s="8" customFormat="1" x14ac:dyDescent="0.35">
      <c r="A1" s="75" t="s">
        <v>119</v>
      </c>
      <c r="B1" s="70" t="s">
        <v>409</v>
      </c>
      <c r="C1" s="70" t="s">
        <v>155</v>
      </c>
      <c r="D1" s="70" t="s">
        <v>147</v>
      </c>
      <c r="E1" s="74" t="s">
        <v>148</v>
      </c>
      <c r="F1" s="70" t="s">
        <v>120</v>
      </c>
      <c r="G1" s="70" t="s">
        <v>146</v>
      </c>
      <c r="H1" s="74" t="s">
        <v>149</v>
      </c>
      <c r="I1" s="70" t="s">
        <v>137</v>
      </c>
      <c r="J1" s="70" t="s">
        <v>135</v>
      </c>
      <c r="K1" s="92" t="s">
        <v>156</v>
      </c>
      <c r="L1" s="75" t="s">
        <v>410</v>
      </c>
      <c r="M1" s="70" t="s">
        <v>142</v>
      </c>
      <c r="N1" s="8" t="s">
        <v>393</v>
      </c>
      <c r="O1" s="8" t="s">
        <v>411</v>
      </c>
      <c r="P1" s="8" t="s">
        <v>394</v>
      </c>
      <c r="Q1" s="8" t="s">
        <v>406</v>
      </c>
      <c r="R1" s="8" t="s">
        <v>395</v>
      </c>
      <c r="S1" s="8" t="s">
        <v>126</v>
      </c>
      <c r="T1" s="8" t="s">
        <v>396</v>
      </c>
      <c r="U1" s="8" t="s">
        <v>407</v>
      </c>
      <c r="V1" s="8" t="s">
        <v>134</v>
      </c>
      <c r="W1" s="8" t="s">
        <v>72</v>
      </c>
      <c r="X1" s="8" t="s">
        <v>374</v>
      </c>
      <c r="Y1" s="74" t="s">
        <v>143</v>
      </c>
      <c r="Z1" s="70" t="s">
        <v>153</v>
      </c>
      <c r="AA1" s="74" t="s">
        <v>375</v>
      </c>
      <c r="AB1" s="92" t="s">
        <v>123</v>
      </c>
      <c r="AC1" s="74" t="s">
        <v>392</v>
      </c>
      <c r="AD1" s="92" t="s">
        <v>397</v>
      </c>
      <c r="AE1" s="8" t="s">
        <v>376</v>
      </c>
      <c r="AF1" s="8" t="s">
        <v>6</v>
      </c>
      <c r="AG1" s="8" t="s">
        <v>124</v>
      </c>
      <c r="AH1" s="90" t="s">
        <v>144</v>
      </c>
      <c r="AI1" s="92" t="s">
        <v>145</v>
      </c>
      <c r="AJ1" s="90" t="s">
        <v>127</v>
      </c>
      <c r="AK1" s="92" t="s">
        <v>377</v>
      </c>
      <c r="AL1" s="90" t="s">
        <v>152</v>
      </c>
      <c r="AM1" s="90" t="s">
        <v>418</v>
      </c>
      <c r="AN1" s="90" t="s">
        <v>378</v>
      </c>
      <c r="AO1" s="92" t="s">
        <v>270</v>
      </c>
      <c r="AP1" s="92" t="s">
        <v>3</v>
      </c>
      <c r="AQ1" s="8" t="s">
        <v>125</v>
      </c>
      <c r="AR1" s="8" t="s">
        <v>238</v>
      </c>
      <c r="AS1" s="8" t="s">
        <v>129</v>
      </c>
      <c r="AT1" s="8" t="s">
        <v>157</v>
      </c>
      <c r="AU1" s="8" t="s">
        <v>133</v>
      </c>
      <c r="AV1" s="75" t="s">
        <v>132</v>
      </c>
      <c r="AW1" s="8" t="s">
        <v>379</v>
      </c>
      <c r="AX1" s="8" t="s">
        <v>150</v>
      </c>
      <c r="AY1" s="92" t="s">
        <v>140</v>
      </c>
      <c r="AZ1" s="75" t="s">
        <v>131</v>
      </c>
      <c r="BA1" s="75" t="s">
        <v>121</v>
      </c>
      <c r="BB1" s="8" t="s">
        <v>122</v>
      </c>
      <c r="BC1" s="74" t="s">
        <v>138</v>
      </c>
      <c r="BD1" s="75" t="s">
        <v>130</v>
      </c>
      <c r="BE1" s="8" t="s">
        <v>154</v>
      </c>
      <c r="BF1" s="8" t="s">
        <v>7</v>
      </c>
      <c r="BG1" s="8" t="s">
        <v>158</v>
      </c>
      <c r="BH1" s="8" t="s">
        <v>416</v>
      </c>
      <c r="BI1" s="8" t="s">
        <v>417</v>
      </c>
      <c r="BJ1" s="16" t="s">
        <v>0</v>
      </c>
      <c r="BK1" s="16" t="s">
        <v>159</v>
      </c>
      <c r="BL1" s="16" t="s">
        <v>160</v>
      </c>
      <c r="BM1" s="16" t="s">
        <v>161</v>
      </c>
      <c r="BN1" s="16" t="s">
        <v>162</v>
      </c>
      <c r="BO1" s="16" t="s">
        <v>163</v>
      </c>
      <c r="BP1" s="96" t="s">
        <v>164</v>
      </c>
      <c r="BQ1" s="94" t="s">
        <v>165</v>
      </c>
      <c r="BR1" s="16" t="s">
        <v>166</v>
      </c>
      <c r="BS1" s="47" t="s">
        <v>167</v>
      </c>
      <c r="BT1" s="95" t="s">
        <v>168</v>
      </c>
      <c r="BU1" s="87" t="s">
        <v>169</v>
      </c>
      <c r="BV1" s="87" t="s">
        <v>170</v>
      </c>
      <c r="BW1" s="95" t="s">
        <v>171</v>
      </c>
      <c r="BX1" s="16" t="s">
        <v>172</v>
      </c>
      <c r="BY1" s="95" t="s">
        <v>173</v>
      </c>
      <c r="BZ1" s="16" t="s">
        <v>174</v>
      </c>
      <c r="CA1" s="16" t="s">
        <v>175</v>
      </c>
      <c r="CB1" s="89" t="s">
        <v>176</v>
      </c>
      <c r="CC1" s="16" t="s">
        <v>177</v>
      </c>
      <c r="CD1" s="16" t="s">
        <v>178</v>
      </c>
      <c r="CE1" s="16" t="s">
        <v>179</v>
      </c>
      <c r="CF1" s="97" t="s">
        <v>180</v>
      </c>
      <c r="CG1" s="16" t="s">
        <v>181</v>
      </c>
      <c r="CH1" s="16" t="s">
        <v>182</v>
      </c>
      <c r="CI1" s="16" t="s">
        <v>183</v>
      </c>
      <c r="CJ1" s="16" t="s">
        <v>184</v>
      </c>
      <c r="CK1" s="16" t="s">
        <v>185</v>
      </c>
      <c r="CL1" s="16" t="s">
        <v>186</v>
      </c>
      <c r="CM1" s="87" t="s">
        <v>187</v>
      </c>
      <c r="CN1" s="16" t="s">
        <v>188</v>
      </c>
      <c r="CO1" s="16" t="s">
        <v>189</v>
      </c>
      <c r="CP1" s="16" t="s">
        <v>190</v>
      </c>
      <c r="CQ1" s="96" t="s">
        <v>191</v>
      </c>
      <c r="CR1" s="94" t="s">
        <v>192</v>
      </c>
      <c r="CS1" s="8" t="s">
        <v>341</v>
      </c>
      <c r="CT1" s="8" t="s">
        <v>336</v>
      </c>
      <c r="CU1" s="8" t="s">
        <v>342</v>
      </c>
      <c r="CV1" s="8" t="s">
        <v>343</v>
      </c>
      <c r="CW1" s="8" t="s">
        <v>327</v>
      </c>
      <c r="CX1" s="8" t="s">
        <v>328</v>
      </c>
      <c r="CY1" s="74" t="s">
        <v>329</v>
      </c>
      <c r="CZ1" s="75" t="s">
        <v>330</v>
      </c>
      <c r="DA1" s="8" t="s">
        <v>331</v>
      </c>
      <c r="DB1" s="106" t="s">
        <v>332</v>
      </c>
      <c r="DC1" s="8" t="s">
        <v>333</v>
      </c>
      <c r="DD1" s="8" t="s">
        <v>334</v>
      </c>
      <c r="DE1" s="8" t="s">
        <v>340</v>
      </c>
      <c r="DF1" s="8" t="s">
        <v>335</v>
      </c>
      <c r="DG1" s="8" t="s">
        <v>344</v>
      </c>
      <c r="DH1" s="8" t="s">
        <v>337</v>
      </c>
      <c r="DI1" s="8" t="s">
        <v>338</v>
      </c>
      <c r="DJ1" s="107" t="s">
        <v>339</v>
      </c>
      <c r="DK1" s="8" t="s">
        <v>345</v>
      </c>
      <c r="DN1" t="s">
        <v>366</v>
      </c>
      <c r="DO1" s="83"/>
      <c r="DP1">
        <f>PlanTime-INT(PlanTime)</f>
        <v>0</v>
      </c>
      <c r="DQ1" s="84" t="s">
        <v>367</v>
      </c>
      <c r="DR1"/>
    </row>
    <row r="2" spans="1:122" x14ac:dyDescent="0.35">
      <c r="A2" s="21">
        <f>INT(SapExlData[OrderNummer])</f>
        <v>1216279</v>
      </c>
      <c r="B2" s="12"/>
      <c r="C2" s="12" t="s">
        <v>398</v>
      </c>
      <c r="D2" s="12" t="s">
        <v>399</v>
      </c>
      <c r="E2" s="33">
        <v>0.625</v>
      </c>
      <c r="F2" s="12" t="s">
        <v>398</v>
      </c>
      <c r="G2" s="12" t="s">
        <v>398</v>
      </c>
      <c r="H2" s="33">
        <v>0.48312500000000003</v>
      </c>
      <c r="I2" s="12" t="s">
        <v>398</v>
      </c>
      <c r="J2" s="12" t="s">
        <v>398</v>
      </c>
      <c r="K2" s="93"/>
      <c r="L2" s="21">
        <v>1216279</v>
      </c>
      <c r="M2" s="12" t="s">
        <v>398</v>
      </c>
      <c r="N2" s="21" t="s">
        <v>380</v>
      </c>
      <c r="O2" s="21" t="s">
        <v>400</v>
      </c>
      <c r="P2" s="21"/>
      <c r="Q2" s="21" t="s">
        <v>401</v>
      </c>
      <c r="R2" s="21"/>
      <c r="S2" s="21"/>
      <c r="T2" s="21">
        <v>1</v>
      </c>
      <c r="U2" s="21" t="s">
        <v>402</v>
      </c>
      <c r="V2" s="21">
        <v>1</v>
      </c>
      <c r="W2" s="21">
        <v>1</v>
      </c>
      <c r="X2" s="21" t="s">
        <v>381</v>
      </c>
      <c r="Y2" s="33">
        <v>0.48312500000000003</v>
      </c>
      <c r="Z2" s="12" t="s">
        <v>398</v>
      </c>
      <c r="AA2" s="33">
        <v>0.62567129629629636</v>
      </c>
      <c r="AB2" s="93">
        <v>0.62567129629629636</v>
      </c>
      <c r="AC2" s="33">
        <v>0.62567129629629636</v>
      </c>
      <c r="AD2" s="93">
        <v>0.62567129629629636</v>
      </c>
      <c r="AE2" s="21">
        <v>10000754</v>
      </c>
      <c r="AF2" s="21" t="s">
        <v>403</v>
      </c>
      <c r="AG2" s="21" t="s">
        <v>381</v>
      </c>
      <c r="AH2" s="91" t="s">
        <v>398</v>
      </c>
      <c r="AI2" s="93">
        <v>0.48312500000000003</v>
      </c>
      <c r="AJ2" s="91" t="s">
        <v>404</v>
      </c>
      <c r="AK2" s="93" t="s">
        <v>405</v>
      </c>
      <c r="AL2" s="91" t="s">
        <v>403</v>
      </c>
      <c r="AM2" s="91" t="s">
        <v>419</v>
      </c>
      <c r="AN2" s="91" t="s">
        <v>45</v>
      </c>
      <c r="AO2" s="21">
        <v>506620</v>
      </c>
      <c r="AP2" s="93" t="s">
        <v>401</v>
      </c>
      <c r="AQ2" s="21" t="s">
        <v>402</v>
      </c>
      <c r="AR2" s="21"/>
      <c r="AS2" s="21">
        <v>1000</v>
      </c>
      <c r="AT2" s="21">
        <v>0</v>
      </c>
      <c r="AU2" s="21">
        <v>0</v>
      </c>
      <c r="AV2" s="21">
        <v>3150</v>
      </c>
      <c r="AW2" s="21">
        <v>3150</v>
      </c>
      <c r="AX2" s="21">
        <v>3173</v>
      </c>
      <c r="AY2" s="93">
        <v>1</v>
      </c>
      <c r="AZ2" s="21">
        <v>0</v>
      </c>
      <c r="BA2" s="21">
        <v>3150</v>
      </c>
      <c r="BB2" s="21">
        <v>0</v>
      </c>
      <c r="BC2" s="33">
        <v>0</v>
      </c>
      <c r="BD2" s="21">
        <v>3150</v>
      </c>
      <c r="BE2" s="21">
        <v>3150</v>
      </c>
      <c r="BF2" s="21">
        <v>0</v>
      </c>
      <c r="BG2" s="21">
        <v>0</v>
      </c>
      <c r="BH2" s="21">
        <v>0</v>
      </c>
      <c r="BI2" s="21">
        <v>1</v>
      </c>
      <c r="BJ2" s="21" t="s">
        <v>318</v>
      </c>
      <c r="BK2" s="29">
        <v>1300</v>
      </c>
      <c r="BL2" s="21">
        <v>2.1666666666666665</v>
      </c>
      <c r="BM2" s="30">
        <v>0.99999999999999334</v>
      </c>
      <c r="BN2" s="21">
        <v>3.1666666666666599</v>
      </c>
      <c r="BO2" s="21">
        <v>1</v>
      </c>
      <c r="BP2" s="12">
        <v>41232</v>
      </c>
      <c r="BQ2" s="31">
        <v>0.47738425925925926</v>
      </c>
      <c r="BR2">
        <v>1</v>
      </c>
      <c r="BS2" s="12">
        <v>41233</v>
      </c>
      <c r="BT2" s="31">
        <v>0.73478472222551394</v>
      </c>
      <c r="BU2" s="104">
        <v>41603.291666666664</v>
      </c>
      <c r="BV2" s="105">
        <v>41233.734784722226</v>
      </c>
      <c r="BW2" s="33">
        <v>0.29166666666666669</v>
      </c>
      <c r="BX2" t="s">
        <v>317</v>
      </c>
      <c r="BY2" s="33">
        <v>0.9375</v>
      </c>
      <c r="BZ2" s="29" t="e">
        <v>#N/A</v>
      </c>
      <c r="CA2" s="29">
        <v>0</v>
      </c>
      <c r="CB2" s="29">
        <v>0</v>
      </c>
      <c r="CC2" s="34">
        <v>0</v>
      </c>
      <c r="CD2" s="34">
        <v>0.13194444444444417</v>
      </c>
      <c r="CE2" s="34" t="e">
        <v>#N/A</v>
      </c>
      <c r="CF2" s="35" t="e">
        <v>#N/A</v>
      </c>
      <c r="CG2" s="29">
        <v>1</v>
      </c>
      <c r="CH2" s="29">
        <v>1</v>
      </c>
      <c r="CI2" s="29">
        <v>0</v>
      </c>
      <c r="CJ2" s="21"/>
      <c r="CK2" s="34">
        <v>23456</v>
      </c>
      <c r="CL2" s="34" t="e">
        <v>#N/A</v>
      </c>
      <c r="CM2" s="88" t="e">
        <v>#N/A</v>
      </c>
      <c r="CN2" s="108" t="s">
        <v>41</v>
      </c>
      <c r="CO2" s="29">
        <v>0</v>
      </c>
      <c r="CP2" s="29">
        <v>0</v>
      </c>
      <c r="CQ2" s="12">
        <v>41603</v>
      </c>
      <c r="CR2" s="31">
        <v>0.29166666666424135</v>
      </c>
      <c r="CS2" s="32">
        <f>IF(ISERROR(VLOOKUP(PlanAll[[#This Row],[Order]],SapExlData[],74,FALSE)),"Finished",IF(VLOOKUP(PlanAll[[#This Row],[Order]],SapExlData[],11,FALSE)="X","Finished",VLOOKUP(PlanAll[[#This Row],[Order]],SapExlData[],74,FALSE)))</f>
        <v>41233.734780092593</v>
      </c>
      <c r="CT2" s="33" t="e">
        <f ca="1">IF(PlanAll[[#This Row],[Test_Acc]]=0,0,ABS(PlanAll[[#This Row],[New_Cap]]-PlanAll[[#This Row],[Acc_Cap]])/(3600*24))</f>
        <v>#N/A</v>
      </c>
      <c r="CU2" t="e">
        <f ca="1">IF(OR(PlanAll[[#This Row],[Deviation]]=0,PlanAll[[#This Row],[Deviation]]="Fin"),IF(PlanAll[[#This Row],[Help_Acc]]=0,"Neg","Pos"),IF(PlanAll[[#This Row],[New_End]]&lt;=PlanAll[[#This Row],[Stop]],"Pos","Neg"))</f>
        <v>#N/A</v>
      </c>
      <c r="CV2">
        <v>1</v>
      </c>
      <c r="CW2" s="29">
        <f ca="1">IF(ISERROR(VLOOKUP(PlanAll[[#This Row],[Order]],SapExlData[],70,FALSE)),0,VLOOKUP(PlanAll[[#This Row],[Order]],SapExlData[],78,FALSE))</f>
        <v>0</v>
      </c>
      <c r="CX2" s="32">
        <f>INT(PlanAll[[#This Row],[StartCap]])+PlanAll[[#This Row],[StartSec]]</f>
        <v>0.29166666666666669</v>
      </c>
      <c r="CY2" s="33">
        <f>VLOOKUP(PlanAll[[#This Row],[Order]],SapExlData[],77,FALSE)</f>
        <v>0.9375</v>
      </c>
      <c r="CZ2" s="21">
        <f>IF(PlanAll[[#This Row],[StopSec]]=0,1,PlanAll[[#This Row],[StopSec]])</f>
        <v>0.9375</v>
      </c>
      <c r="DA2">
        <f>IF(ISERROR(PlanAll[[#This Row],[Cap_ToDay]]),0,IF(PlanAll[[#This Row],[Test Active]]=1,PlanAll[[#This Row],[Cap_ToDay]],0))</f>
        <v>23456</v>
      </c>
      <c r="DB2" s="105">
        <f>IF(ISERROR(VLOOKUP(PlanAll[Order],SapExlData[],73,FALSE)),0,VLOOKUP(PlanAll[Order],SapExlData[],73,FALSE))</f>
        <v>42086.625671296293</v>
      </c>
      <c r="DC2" s="35">
        <f>IF(PlanAll[[#This Row],[Test Active]]=1,1*PlanAll[[#This Row],[Help_Acc]],0)*IF(VALUE(PlanAll[[#This Row],[Cap_ToDay]])&gt;0,1,0)</f>
        <v>1</v>
      </c>
      <c r="DD2" s="29">
        <f>IF(DC2=1,0,IF(ROW(DD1)&gt;1,DD1,1))</f>
        <v>0</v>
      </c>
      <c r="DE2" s="29">
        <f>IF(ISERROR(VLOOKUP(PlanAll[[#This Row],[Order]],SapExlData[],87,FALSE)),0,VLOOKUP(PlanAll[[#This Row],[Order]],SapExlData[],87,FALSE))</f>
        <v>0</v>
      </c>
      <c r="DF2">
        <f>IF(AND(BX2=BX1,CV1&gt;CV2),0,1)</f>
        <v>1</v>
      </c>
      <c r="DG2">
        <f ca="1">IF(ISERROR(PlanAll[[#This Row],[Deviation]]),0,IF(PlanAll[[#This Row],[Plan_Cap]]&gt;0,IF(PlanAll[[#This Row],[Pos_Neg]]="Neg",-PlanAll[[#This Row],[Deviation]],PlanAll[[#This Row],[Deviation]]),0))</f>
        <v>0</v>
      </c>
      <c r="DH2" s="36" t="str">
        <f>IF(ISERROR(VLOOKUP(PlanAll[[#This Row],[Order]],SapExlData[],92,FALSE)),0,VLOOKUP(PlanAll[[#This Row],[Order]],SapExlData[],92,FALSE))</f>
        <v>Not relevant</v>
      </c>
      <c r="DI2" s="30">
        <f ca="1">IF(ISERROR(PlanAll[[#This Row],[Deviation3]]),0,PlanAll[[#This Row],[Deviation3]]*24)</f>
        <v>0</v>
      </c>
      <c r="DJ2" s="30">
        <f>IF(ISERROR(VLOOKUP(PlanAll[[#This Row],[Order]],SapExlData[],66,FALSE)),0,VLOOKUP(PlanAll[[#This Row],[Order]],SapExlData[],66,FALSE))</f>
        <v>0</v>
      </c>
      <c r="DK2" s="29">
        <f>IF(ISERROR(VLOOKUP(PlanAll[[#This Row],[Order]],SapExlData[],63,FALSE)),0,VLOOKUP(PlanAll[[#This Row],[Order]],SapExlData[],63,FALSE))</f>
        <v>23</v>
      </c>
    </row>
    <row r="3" spans="1:122" x14ac:dyDescent="0.35">
      <c r="A3" s="21">
        <f>INT(SapExlData[OrderNummer])</f>
        <v>1216279</v>
      </c>
      <c r="B3" s="12"/>
      <c r="C3" s="12" t="s">
        <v>398</v>
      </c>
      <c r="D3" s="12" t="s">
        <v>399</v>
      </c>
      <c r="E3" s="33">
        <v>0.625</v>
      </c>
      <c r="F3" s="12" t="s">
        <v>398</v>
      </c>
      <c r="G3" s="12" t="s">
        <v>398</v>
      </c>
      <c r="H3" s="33">
        <v>0.48312500000000003</v>
      </c>
      <c r="I3" s="12" t="s">
        <v>398</v>
      </c>
      <c r="J3" s="12" t="s">
        <v>398</v>
      </c>
      <c r="K3" s="93"/>
      <c r="L3" s="21">
        <v>1216279</v>
      </c>
      <c r="M3" s="12" t="s">
        <v>398</v>
      </c>
      <c r="N3" s="21" t="s">
        <v>380</v>
      </c>
      <c r="O3" s="21" t="s">
        <v>400</v>
      </c>
      <c r="P3" s="21"/>
      <c r="Q3" s="21" t="s">
        <v>401</v>
      </c>
      <c r="R3" s="21"/>
      <c r="S3" s="21"/>
      <c r="T3" s="21">
        <v>1</v>
      </c>
      <c r="U3" s="21" t="s">
        <v>402</v>
      </c>
      <c r="V3" s="21">
        <v>2</v>
      </c>
      <c r="W3" s="21">
        <v>1</v>
      </c>
      <c r="X3" s="21" t="s">
        <v>381</v>
      </c>
      <c r="Y3" s="33">
        <v>0.48312500000000003</v>
      </c>
      <c r="Z3" s="12" t="s">
        <v>398</v>
      </c>
      <c r="AA3" s="33">
        <v>0.62567129629629636</v>
      </c>
      <c r="AB3" s="93">
        <v>0.62567129629629636</v>
      </c>
      <c r="AC3" s="33">
        <v>0.62567129629629636</v>
      </c>
      <c r="AD3" s="93">
        <v>0.62567129629629636</v>
      </c>
      <c r="AE3" s="21">
        <v>10000754</v>
      </c>
      <c r="AF3" s="21" t="s">
        <v>403</v>
      </c>
      <c r="AG3" s="21" t="s">
        <v>71</v>
      </c>
      <c r="AH3" s="91" t="s">
        <v>398</v>
      </c>
      <c r="AI3" s="93">
        <v>0.48312500000000003</v>
      </c>
      <c r="AJ3" s="91" t="s">
        <v>404</v>
      </c>
      <c r="AK3" s="93" t="s">
        <v>405</v>
      </c>
      <c r="AL3" s="91" t="s">
        <v>403</v>
      </c>
      <c r="AM3" s="91" t="s">
        <v>419</v>
      </c>
      <c r="AN3" s="91" t="s">
        <v>45</v>
      </c>
      <c r="AO3" s="21">
        <v>506620</v>
      </c>
      <c r="AP3" s="93" t="s">
        <v>401</v>
      </c>
      <c r="AQ3" s="21" t="s">
        <v>402</v>
      </c>
      <c r="AR3" s="21"/>
      <c r="AS3" s="21">
        <v>1000</v>
      </c>
      <c r="AT3" s="21">
        <v>0</v>
      </c>
      <c r="AU3" s="21">
        <v>0</v>
      </c>
      <c r="AV3" s="21">
        <v>3150</v>
      </c>
      <c r="AW3" s="21">
        <v>3150</v>
      </c>
      <c r="AX3" s="21">
        <v>3173</v>
      </c>
      <c r="AY3" s="93">
        <v>0.2</v>
      </c>
      <c r="AZ3" s="21">
        <v>0</v>
      </c>
      <c r="BA3" s="21">
        <v>3150</v>
      </c>
      <c r="BB3" s="21">
        <v>0</v>
      </c>
      <c r="BC3" s="33">
        <v>0</v>
      </c>
      <c r="BD3" s="21">
        <v>3150</v>
      </c>
      <c r="BE3" s="21">
        <v>3150</v>
      </c>
      <c r="BF3" s="21">
        <v>0</v>
      </c>
      <c r="BG3" s="21">
        <v>0</v>
      </c>
      <c r="BH3" s="21">
        <v>0</v>
      </c>
      <c r="BI3" s="21">
        <v>1</v>
      </c>
      <c r="BJ3" s="21" t="s">
        <v>319</v>
      </c>
      <c r="BK3" s="29">
        <v>55</v>
      </c>
      <c r="BL3" s="21">
        <v>3.6666666666666665</v>
      </c>
      <c r="BM3" s="30">
        <v>0.99999999999999334</v>
      </c>
      <c r="BN3" s="21">
        <v>4.6666666666666599</v>
      </c>
      <c r="BO3" s="21">
        <v>2</v>
      </c>
      <c r="BP3" s="12">
        <v>41233</v>
      </c>
      <c r="BQ3" s="31">
        <v>0.73478472222551394</v>
      </c>
      <c r="BR3">
        <v>2</v>
      </c>
      <c r="BS3" s="12">
        <v>41233</v>
      </c>
      <c r="BT3" s="31">
        <v>0.92922928240861591</v>
      </c>
      <c r="BU3" s="104">
        <v>41603.291666666664</v>
      </c>
      <c r="BV3" s="105">
        <v>41233.92922928241</v>
      </c>
      <c r="BW3" s="33">
        <v>0.29166666666666669</v>
      </c>
      <c r="BX3" t="s">
        <v>317</v>
      </c>
      <c r="BY3" s="33">
        <v>0.9375</v>
      </c>
      <c r="BZ3" s="29" t="e">
        <v>#N/A</v>
      </c>
      <c r="CA3" s="29">
        <v>0</v>
      </c>
      <c r="CB3" s="29">
        <v>0</v>
      </c>
      <c r="CC3" s="34">
        <v>0</v>
      </c>
      <c r="CD3" s="34">
        <v>0.19444444444444417</v>
      </c>
      <c r="CE3" s="34">
        <v>0</v>
      </c>
      <c r="CF3" s="35">
        <v>16799.999999999975</v>
      </c>
      <c r="CG3" s="29">
        <v>1</v>
      </c>
      <c r="CH3" s="29">
        <v>2</v>
      </c>
      <c r="CI3" s="29">
        <v>0</v>
      </c>
      <c r="CJ3" s="21" t="s">
        <v>368</v>
      </c>
      <c r="CK3" s="34" t="e">
        <v>#N/A</v>
      </c>
      <c r="CL3" s="34" t="e">
        <v>#N/A</v>
      </c>
      <c r="CM3" s="88" t="e">
        <v>#N/A</v>
      </c>
      <c r="CN3" s="108" t="s">
        <v>41</v>
      </c>
      <c r="CO3" s="29">
        <v>0</v>
      </c>
      <c r="CP3" s="29">
        <v>0</v>
      </c>
      <c r="CQ3" s="12">
        <v>41603</v>
      </c>
      <c r="CR3" s="31">
        <v>0.29166666666424135</v>
      </c>
      <c r="CS3" s="32">
        <f>IF(ISERROR(VLOOKUP(PlanAll[[#This Row],[Order]],SapExlData[],74,FALSE)),"Finished",IF(VLOOKUP(PlanAll[[#This Row],[Order]],SapExlData[],11,FALSE)="X","Finished",VLOOKUP(PlanAll[[#This Row],[Order]],SapExlData[],74,FALSE)))</f>
        <v>41233.734780092593</v>
      </c>
      <c r="CT3" s="33" t="e">
        <f>IF(PlanAll[[#This Row],[Test_Acc]]=0,0,ABS(PlanAll[[#This Row],[New_Cap]]-PlanAll[[#This Row],[Acc_Cap]])/(3600*24))</f>
        <v>#N/A</v>
      </c>
      <c r="CU3" t="e">
        <f>IF(OR(PlanAll[[#This Row],[Deviation]]=0,PlanAll[[#This Row],[Deviation]]="Fin"),IF(PlanAll[[#This Row],[Help_Acc]]=0,"Neg","Pos"),IF(PlanAll[[#This Row],[New_End]]&lt;=PlanAll[[#This Row],[Stop]],"Pos","Neg"))</f>
        <v>#N/A</v>
      </c>
      <c r="CV3">
        <f>IF(ISERROR(VLOOKUP(PlanAll[[#This Row],[Order]],SapExlData[],70,FALSE)),0,VLOOKUP(PlanAll[[#This Row],[Order]],SapExlData[],70,FALSE))</f>
        <v>0</v>
      </c>
      <c r="CW3" s="29">
        <f ca="1">IF(ISERROR(VLOOKUP(PlanAll[[#This Row],[Order]],SapExlData[],70,FALSE)),0,VLOOKUP(PlanAll[[#This Row],[Order]],SapExlData[],78,FALSE))</f>
        <v>0</v>
      </c>
      <c r="CX3" s="32">
        <f>INT(PlanAll[[#This Row],[StartCap]])+PlanAll[[#This Row],[StartSec]]</f>
        <v>0.29166666666666669</v>
      </c>
      <c r="CY3" s="33">
        <f>VLOOKUP(PlanAll[[#This Row],[Order]],SapExlData[],77,FALSE)</f>
        <v>0.9375</v>
      </c>
      <c r="CZ3" s="21">
        <f>IF(PlanAll[[#This Row],[StopSec]]=0,1,PlanAll[[#This Row],[StopSec]])</f>
        <v>0.9375</v>
      </c>
      <c r="DA3">
        <f>IF(ISERROR(PlanAll[[#This Row],[Cap_ToDay]]),0,IF(PlanAll[[#This Row],[Test Active]]=1,PlanAll[[#This Row],[Cap_ToDay]],0))</f>
        <v>0</v>
      </c>
      <c r="DB3" s="105">
        <f>IF(ISERROR(VLOOKUP(PlanAll[Order],SapExlData[],73,FALSE)),0,VLOOKUP(PlanAll[Order],SapExlData[],73,FALSE))</f>
        <v>42086.625671296293</v>
      </c>
      <c r="DC3" s="35" t="e">
        <f>IF(PlanAll[[#This Row],[Test Active]]=1,1*PlanAll[[#This Row],[Help_Acc]],0)*IF(VALUE(PlanAll[[#This Row],[Cap_ToDay]])&gt;0,1,0)</f>
        <v>#N/A</v>
      </c>
      <c r="DD3" s="29" t="e">
        <f>IF(DC3=1,0,IF(ROW(DD2)&gt;1,DD2,1))</f>
        <v>#N/A</v>
      </c>
      <c r="DE3" s="29">
        <f>IF(ISERROR(VLOOKUP(PlanAll[[#This Row],[Order]],SapExlData[],87,FALSE)),0,VLOOKUP(PlanAll[[#This Row],[Order]],SapExlData[],87,FALSE))</f>
        <v>0</v>
      </c>
      <c r="DF3">
        <f>IF(AND(BX3=BX2,CV2&gt;CV3),0,1)</f>
        <v>0</v>
      </c>
      <c r="DG3">
        <f>IF(ISERROR(PlanAll[[#This Row],[Deviation]]),0,IF(PlanAll[[#This Row],[Plan_Cap]]&gt;0,IF(PlanAll[[#This Row],[Pos_Neg]]="Neg",-PlanAll[[#This Row],[Deviation]],PlanAll[[#This Row],[Deviation]]),0))</f>
        <v>0</v>
      </c>
      <c r="DH3" s="36" t="str">
        <f>IF(ISERROR(VLOOKUP(PlanAll[[#This Row],[Order]],SapExlData[],92,FALSE)),0,VLOOKUP(PlanAll[[#This Row],[Order]],SapExlData[],92,FALSE))</f>
        <v>Not relevant</v>
      </c>
      <c r="DI3" s="30">
        <f>IF(ISERROR(PlanAll[[#This Row],[Deviation3]]),0,PlanAll[[#This Row],[Deviation3]]*24)</f>
        <v>0</v>
      </c>
      <c r="DJ3" s="30">
        <f>IF(ISERROR(VLOOKUP(PlanAll[[#This Row],[Order]],SapExlData[],66,FALSE)),0,VLOOKUP(PlanAll[[#This Row],[Order]],SapExlData[],66,FALSE))</f>
        <v>0</v>
      </c>
      <c r="DK3" s="29">
        <f>IF(ISERROR(VLOOKUP(PlanAll[[#This Row],[Order]],SapExlData[],63,FALSE)),0,VLOOKUP(PlanAll[[#This Row],[Order]],SapExlData[],63,FALSE))</f>
        <v>23</v>
      </c>
    </row>
    <row r="4" spans="1:122" x14ac:dyDescent="0.35">
      <c r="A4" s="21" t="e">
        <f>INT(SapExlData[OrderNummer])</f>
        <v>#VALUE!</v>
      </c>
      <c r="B4" s="12"/>
      <c r="C4" s="12" t="s">
        <v>398</v>
      </c>
      <c r="D4" s="12" t="s">
        <v>399</v>
      </c>
      <c r="E4" s="33">
        <v>0.625</v>
      </c>
      <c r="F4" s="12" t="s">
        <v>398</v>
      </c>
      <c r="G4" s="12" t="s">
        <v>398</v>
      </c>
      <c r="H4" s="33">
        <v>0.48312500000000003</v>
      </c>
      <c r="I4" s="12" t="s">
        <v>398</v>
      </c>
      <c r="J4" s="12" t="s">
        <v>398</v>
      </c>
      <c r="K4" s="93"/>
      <c r="L4" s="21">
        <v>1216279</v>
      </c>
      <c r="M4" s="12" t="s">
        <v>398</v>
      </c>
      <c r="N4" s="21" t="s">
        <v>380</v>
      </c>
      <c r="O4" s="21" t="s">
        <v>400</v>
      </c>
      <c r="P4" s="21"/>
      <c r="Q4" s="21" t="s">
        <v>401</v>
      </c>
      <c r="R4" s="21"/>
      <c r="S4" s="21"/>
      <c r="T4" s="21">
        <v>1</v>
      </c>
      <c r="U4" s="21" t="s">
        <v>402</v>
      </c>
      <c r="V4" s="21">
        <v>2</v>
      </c>
      <c r="W4" s="21">
        <v>1</v>
      </c>
      <c r="X4" s="21" t="s">
        <v>381</v>
      </c>
      <c r="Y4" s="33">
        <v>0.48312500000000003</v>
      </c>
      <c r="Z4" s="12" t="s">
        <v>398</v>
      </c>
      <c r="AA4" s="33">
        <v>0.62567129629629636</v>
      </c>
      <c r="AB4" s="93">
        <v>0.62567129629629636</v>
      </c>
      <c r="AC4" s="33">
        <v>0.62567129629629636</v>
      </c>
      <c r="AD4" s="93">
        <v>0.62567129629629636</v>
      </c>
      <c r="AE4" s="21">
        <v>10000754</v>
      </c>
      <c r="AF4" s="21" t="s">
        <v>403</v>
      </c>
      <c r="AG4" s="21" t="s">
        <v>71</v>
      </c>
      <c r="AH4" s="91" t="s">
        <v>398</v>
      </c>
      <c r="AI4" s="93">
        <v>0.48312500000000003</v>
      </c>
      <c r="AJ4" s="91" t="s">
        <v>404</v>
      </c>
      <c r="AK4" s="93" t="s">
        <v>405</v>
      </c>
      <c r="AL4" s="91" t="s">
        <v>403</v>
      </c>
      <c r="AM4" s="91" t="s">
        <v>419</v>
      </c>
      <c r="AN4" s="91" t="s">
        <v>45</v>
      </c>
      <c r="AO4" s="21">
        <v>506620</v>
      </c>
      <c r="AP4" s="93" t="s">
        <v>401</v>
      </c>
      <c r="AQ4" s="21" t="s">
        <v>402</v>
      </c>
      <c r="AR4" s="21"/>
      <c r="AS4" s="21">
        <v>1000</v>
      </c>
      <c r="AT4" s="21">
        <v>0</v>
      </c>
      <c r="AU4" s="21">
        <v>0</v>
      </c>
      <c r="AV4" s="21">
        <v>3150</v>
      </c>
      <c r="AW4" s="21">
        <v>3150</v>
      </c>
      <c r="AX4" s="21">
        <v>3173</v>
      </c>
      <c r="AY4" s="93">
        <v>0.2</v>
      </c>
      <c r="AZ4" s="21">
        <v>0</v>
      </c>
      <c r="BA4" s="21">
        <v>3150</v>
      </c>
      <c r="BB4" s="21">
        <v>0</v>
      </c>
      <c r="BC4" s="33">
        <v>0</v>
      </c>
      <c r="BD4" s="21">
        <v>3150</v>
      </c>
      <c r="BE4" s="21">
        <v>3150</v>
      </c>
      <c r="BF4" s="21">
        <v>0</v>
      </c>
      <c r="BG4" s="21">
        <v>0</v>
      </c>
      <c r="BH4" s="21">
        <v>0</v>
      </c>
      <c r="BI4" s="21">
        <v>1</v>
      </c>
      <c r="BJ4" s="21" t="s">
        <v>319</v>
      </c>
      <c r="BK4" s="29">
        <v>55</v>
      </c>
      <c r="BL4" s="21">
        <v>3.6666666666666665</v>
      </c>
      <c r="BM4" s="30">
        <v>0.99999999999999334</v>
      </c>
      <c r="BN4" s="21">
        <v>4.6666666666666599</v>
      </c>
      <c r="BO4" s="21">
        <v>2</v>
      </c>
      <c r="BP4" s="12">
        <v>41233</v>
      </c>
      <c r="BQ4" s="31">
        <v>0.73478472222551394</v>
      </c>
      <c r="BR4">
        <v>2</v>
      </c>
      <c r="BS4" s="12">
        <v>41233</v>
      </c>
      <c r="BT4" s="31">
        <v>0.92922928240861591</v>
      </c>
      <c r="BU4" s="104">
        <v>41603.291666666664</v>
      </c>
      <c r="BV4" s="105">
        <v>41233.92922928241</v>
      </c>
      <c r="BW4" s="33">
        <v>0.29166666666666669</v>
      </c>
      <c r="BX4" t="s">
        <v>317</v>
      </c>
      <c r="BY4" s="33">
        <v>0.9375</v>
      </c>
      <c r="BZ4" s="29" t="e">
        <v>#N/A</v>
      </c>
      <c r="CA4" s="29">
        <v>0</v>
      </c>
      <c r="CB4" s="29">
        <v>0</v>
      </c>
      <c r="CC4" s="34">
        <v>0</v>
      </c>
      <c r="CD4" s="34">
        <v>0.19444444444444417</v>
      </c>
      <c r="CE4" s="34">
        <v>0</v>
      </c>
      <c r="CF4" s="35">
        <v>16799.999999999975</v>
      </c>
      <c r="CG4" s="29">
        <v>1</v>
      </c>
      <c r="CH4" s="29">
        <v>2</v>
      </c>
      <c r="CI4" s="29">
        <v>0</v>
      </c>
      <c r="CJ4" s="21" t="s">
        <v>368</v>
      </c>
      <c r="CK4" s="34">
        <v>0</v>
      </c>
      <c r="CL4" s="34" t="e">
        <v>#N/A</v>
      </c>
      <c r="CM4" s="88" t="e">
        <v>#N/A</v>
      </c>
      <c r="CN4" s="108" t="s">
        <v>41</v>
      </c>
      <c r="CO4" s="29">
        <v>0</v>
      </c>
      <c r="CP4" s="29">
        <v>0</v>
      </c>
      <c r="CQ4" s="12">
        <v>41603</v>
      </c>
      <c r="CR4" s="31">
        <v>0.29166666666424135</v>
      </c>
      <c r="CS4" s="32" t="str">
        <f>IF(ISERROR(VLOOKUP(PlanAll[[#This Row],[Order]],SapExlData[],74,FALSE)),"Finished",IF(VLOOKUP(PlanAll[[#This Row],[Order]],SapExlData[],11,FALSE)="X","Finished",VLOOKUP(PlanAll[[#This Row],[Order]],SapExlData[],74,FALSE)))</f>
        <v>Finished</v>
      </c>
      <c r="CT4" s="33">
        <f>IF(PlanAll[[#This Row],[Test_Acc]]=0,0,ABS(PlanAll[[#This Row],[New_Cap]]-PlanAll[[#This Row],[Acc_Cap]])/(3600*24))</f>
        <v>0</v>
      </c>
      <c r="CU4" s="21" t="str">
        <f>IF(OR(PlanAll[[#This Row],[Deviation]]=0,PlanAll[[#This Row],[Deviation]]="Fin"),IF(PlanAll[[#This Row],[Help_Acc]]=0,"Neg","Pos"),IF(PlanAll[[#This Row],[New_End]]&lt;=PlanAll[[#This Row],[Stop]],"Pos","Neg"))</f>
        <v>Pos</v>
      </c>
      <c r="CV4" s="21">
        <f>IF(ISERROR(VLOOKUP(PlanAll[[#This Row],[Order]],SapExlData[],70,FALSE)),0,VLOOKUP(PlanAll[[#This Row],[Order]],SapExlData[],70,FALSE))</f>
        <v>0</v>
      </c>
      <c r="CW4" s="29">
        <f>IF(ISERROR(VLOOKUP(PlanAll[[#This Row],[Order]],SapExlData[],70,FALSE)),0,VLOOKUP(PlanAll[[#This Row],[Order]],SapExlData[],78,FALSE))</f>
        <v>0</v>
      </c>
      <c r="CX4" s="32">
        <f>INT(PlanAll[[#This Row],[StartCap]])+PlanAll[[#This Row],[StartSec]]</f>
        <v>0.29166666666666669</v>
      </c>
      <c r="CY4" s="145" t="e">
        <f>VLOOKUP(PlanAll[[#This Row],[Order]],SapExlData[],77,FALSE)</f>
        <v>#VALUE!</v>
      </c>
      <c r="CZ4" s="21">
        <f>IF(PlanAll[[#This Row],[StopSec]]=0,1,PlanAll[[#This Row],[StopSec]])</f>
        <v>0.9375</v>
      </c>
      <c r="DA4" s="21" t="s">
        <v>365</v>
      </c>
      <c r="DB4" s="105">
        <f>IF(ISERROR(VLOOKUP(PlanAll[Order],SapExlData[],73,FALSE)),0,VLOOKUP(PlanAll[Order],SapExlData[],73,FALSE))</f>
        <v>0</v>
      </c>
      <c r="DC4" s="144">
        <f>IF(PlanAll[[#This Row],[Test Active]]=1,1*PlanAll[[#This Row],[Help_Acc]],0)*IF(VALUE(PlanAll[[#This Row],[Cap_ToDay]])&gt;0,1,0)</f>
        <v>0</v>
      </c>
      <c r="DD4" s="29" t="e">
        <f>IF(DC4=1,0,IF(ROW(DD3)&gt;1,DD3,1))</f>
        <v>#N/A</v>
      </c>
      <c r="DE4" s="29">
        <f>IF(ISERROR(VLOOKUP(PlanAll[[#This Row],[Order]],SapExlData[],87,FALSE)),0,VLOOKUP(PlanAll[[#This Row],[Order]],SapExlData[],87,FALSE))</f>
        <v>0</v>
      </c>
      <c r="DF4" s="21">
        <f>IF(AND(BX4=BX3,CV3&gt;CV4),0,1)</f>
        <v>1</v>
      </c>
      <c r="DG4" s="21">
        <f>IF(ISERROR(PlanAll[[#This Row],[Deviation]]),0,IF(PlanAll[[#This Row],[Plan_Cap]]&gt;0,IF(PlanAll[[#This Row],[Pos_Neg]]="Neg",-PlanAll[[#This Row],[Deviation]],PlanAll[[#This Row],[Deviation]]),0))</f>
        <v>0</v>
      </c>
      <c r="DH4" s="36">
        <f>IF(ISERROR(VLOOKUP(PlanAll[[#This Row],[Order]],SapExlData[],92,FALSE)),0,VLOOKUP(PlanAll[[#This Row],[Order]],SapExlData[],92,FALSE))</f>
        <v>0</v>
      </c>
      <c r="DI4" s="30">
        <f>IF(ISERROR(PlanAll[[#This Row],[Deviation3]]),0,PlanAll[[#This Row],[Deviation3]]*24)</f>
        <v>0</v>
      </c>
      <c r="DJ4" s="30">
        <f>IF(ISERROR(VLOOKUP(PlanAll[[#This Row],[Order]],SapExlData[],66,FALSE)),0,VLOOKUP(PlanAll[[#This Row],[Order]],SapExlData[],66,FALSE))</f>
        <v>0</v>
      </c>
      <c r="DK4" s="29">
        <f>IF(ISERROR(VLOOKUP(PlanAll[[#This Row],[Order]],SapExlData[],63,FALSE)),0,VLOOKUP(PlanAll[[#This Row],[Order]],SapExlData[],63,FALSE))</f>
        <v>0</v>
      </c>
    </row>
  </sheetData>
  <pageMargins left="0.7" right="0.7" top="0.75" bottom="0.75" header="0.3" footer="0.3"/>
  <pageSetup orientation="portrait" r:id="rId1"/>
  <cellWatches>
    <cellWatch r="DK3"/>
  </cellWatch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>
    <tabColor rgb="FFFF8080"/>
  </sheetPr>
  <dimension ref="A1:U14"/>
  <sheetViews>
    <sheetView showGridLines="0" zoomScale="85" zoomScaleNormal="85" workbookViewId="0">
      <selection activeCell="E2" sqref="E2"/>
    </sheetView>
  </sheetViews>
  <sheetFormatPr defaultColWidth="11.453125" defaultRowHeight="14.5" x14ac:dyDescent="0.35"/>
  <cols>
    <col min="1" max="1" width="7" customWidth="1"/>
    <col min="2" max="2" width="6.54296875" bestFit="1" customWidth="1"/>
    <col min="3" max="3" width="8.81640625" bestFit="1" customWidth="1"/>
    <col min="4" max="4" width="27.26953125" bestFit="1" customWidth="1"/>
    <col min="5" max="5" width="11.7265625" bestFit="1" customWidth="1"/>
    <col min="6" max="6" width="7.1796875" bestFit="1" customWidth="1"/>
    <col min="7" max="7" width="9.26953125" bestFit="1" customWidth="1"/>
    <col min="8" max="9" width="13.7265625" bestFit="1" customWidth="1"/>
    <col min="10" max="10" width="8.453125" bestFit="1" customWidth="1"/>
    <col min="11" max="11" width="10.26953125" bestFit="1" customWidth="1"/>
    <col min="12" max="12" width="8" bestFit="1" customWidth="1"/>
    <col min="13" max="13" width="12.1796875" bestFit="1" customWidth="1"/>
    <col min="14" max="14" width="13.1796875" bestFit="1" customWidth="1"/>
    <col min="15" max="15" width="10.81640625" bestFit="1" customWidth="1"/>
    <col min="16" max="16" width="8.7265625" bestFit="1" customWidth="1"/>
    <col min="17" max="17" width="9.7265625" bestFit="1" customWidth="1"/>
    <col min="18" max="18" width="8.7265625" bestFit="1" customWidth="1"/>
    <col min="19" max="19" width="9.7265625" customWidth="1"/>
    <col min="20" max="20" width="7.81640625" bestFit="1" customWidth="1"/>
    <col min="21" max="21" width="8.81640625" bestFit="1" customWidth="1"/>
  </cols>
  <sheetData>
    <row r="1" spans="1:21" x14ac:dyDescent="0.35">
      <c r="A1" t="s">
        <v>3</v>
      </c>
      <c r="B1" t="s">
        <v>346</v>
      </c>
      <c r="C1" t="s">
        <v>89</v>
      </c>
      <c r="D1" t="s">
        <v>347</v>
      </c>
      <c r="E1" t="s">
        <v>125</v>
      </c>
      <c r="F1" t="s">
        <v>349</v>
      </c>
      <c r="G1" t="s">
        <v>72</v>
      </c>
      <c r="H1" t="s">
        <v>348</v>
      </c>
      <c r="I1" t="s">
        <v>353</v>
      </c>
      <c r="J1" t="s">
        <v>382</v>
      </c>
      <c r="K1" t="s">
        <v>44</v>
      </c>
      <c r="L1" t="s">
        <v>383</v>
      </c>
      <c r="M1" t="s">
        <v>384</v>
      </c>
      <c r="N1" t="s">
        <v>385</v>
      </c>
      <c r="O1" t="s">
        <v>351</v>
      </c>
      <c r="P1" t="s">
        <v>352</v>
      </c>
      <c r="Q1" t="s">
        <v>386</v>
      </c>
      <c r="R1" t="s">
        <v>350</v>
      </c>
      <c r="S1" t="s">
        <v>391</v>
      </c>
      <c r="T1" t="s">
        <v>169</v>
      </c>
      <c r="U1" t="s">
        <v>354</v>
      </c>
    </row>
    <row r="2" spans="1:21" x14ac:dyDescent="0.35">
      <c r="A2" s="8" t="s">
        <v>387</v>
      </c>
      <c r="B2" s="8">
        <v>8</v>
      </c>
      <c r="C2" s="77"/>
      <c r="D2" s="77" t="s">
        <v>388</v>
      </c>
      <c r="E2" s="70" t="s">
        <v>389</v>
      </c>
      <c r="F2" s="8">
        <v>1</v>
      </c>
      <c r="G2" s="77">
        <v>10000705</v>
      </c>
      <c r="H2" s="8" t="s">
        <v>381</v>
      </c>
      <c r="I2" s="8" t="s">
        <v>381</v>
      </c>
      <c r="J2" s="8">
        <v>100</v>
      </c>
      <c r="K2" s="8" t="s">
        <v>390</v>
      </c>
      <c r="L2" s="8" t="s">
        <v>387</v>
      </c>
      <c r="M2" s="8" t="s">
        <v>389</v>
      </c>
      <c r="N2" s="8">
        <v>57600</v>
      </c>
      <c r="O2" s="8">
        <v>57600</v>
      </c>
      <c r="P2" s="8">
        <v>0</v>
      </c>
      <c r="Q2" s="8">
        <v>0</v>
      </c>
      <c r="R2" s="8">
        <v>79200</v>
      </c>
      <c r="S2" s="8"/>
      <c r="T2" s="8"/>
      <c r="U2" s="8">
        <v>79200</v>
      </c>
    </row>
    <row r="3" spans="1:21" x14ac:dyDescent="0.35">
      <c r="A3" t="s">
        <v>387</v>
      </c>
      <c r="B3">
        <v>8</v>
      </c>
      <c r="C3" s="77"/>
      <c r="D3" s="77" t="s">
        <v>388</v>
      </c>
      <c r="E3" s="12" t="s">
        <v>389</v>
      </c>
      <c r="F3">
        <v>2</v>
      </c>
      <c r="G3" s="77">
        <v>10000705</v>
      </c>
      <c r="H3" t="s">
        <v>381</v>
      </c>
      <c r="I3" t="s">
        <v>381</v>
      </c>
      <c r="J3">
        <v>100</v>
      </c>
      <c r="K3" t="s">
        <v>390</v>
      </c>
      <c r="L3" t="s">
        <v>387</v>
      </c>
      <c r="M3" t="s">
        <v>389</v>
      </c>
      <c r="N3">
        <v>57600</v>
      </c>
      <c r="O3">
        <v>57600</v>
      </c>
      <c r="P3">
        <v>0</v>
      </c>
      <c r="Q3">
        <v>0</v>
      </c>
      <c r="R3">
        <v>79200</v>
      </c>
      <c r="U3">
        <v>79200</v>
      </c>
    </row>
    <row r="4" spans="1:21" x14ac:dyDescent="0.35">
      <c r="C4" s="12"/>
    </row>
    <row r="5" spans="1:21" x14ac:dyDescent="0.35">
      <c r="C5" s="12"/>
    </row>
    <row r="6" spans="1:21" x14ac:dyDescent="0.35">
      <c r="C6" s="12"/>
    </row>
    <row r="7" spans="1:21" x14ac:dyDescent="0.35">
      <c r="C7" s="12"/>
    </row>
    <row r="8" spans="1:21" x14ac:dyDescent="0.35">
      <c r="C8" s="12"/>
    </row>
    <row r="9" spans="1:21" x14ac:dyDescent="0.35">
      <c r="C9" s="12"/>
    </row>
    <row r="10" spans="1:21" x14ac:dyDescent="0.35">
      <c r="C10" s="12"/>
    </row>
    <row r="11" spans="1:21" x14ac:dyDescent="0.35">
      <c r="C11" s="12"/>
    </row>
    <row r="12" spans="1:21" x14ac:dyDescent="0.35">
      <c r="C12" s="12"/>
    </row>
    <row r="13" spans="1:21" x14ac:dyDescent="0.35">
      <c r="C13" s="12"/>
    </row>
    <row r="14" spans="1:21" x14ac:dyDescent="0.35">
      <c r="C14" s="12"/>
    </row>
  </sheetData>
  <sheetProtection pivotTables="0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7">
    <tabColor rgb="FFFF8080"/>
    <pageSetUpPr fitToPage="1"/>
  </sheetPr>
  <dimension ref="A1:Y33"/>
  <sheetViews>
    <sheetView showGridLines="0" zoomScale="85" zoomScaleNormal="85" workbookViewId="0"/>
  </sheetViews>
  <sheetFormatPr defaultColWidth="11.453125" defaultRowHeight="14.5" x14ac:dyDescent="0.35"/>
  <cols>
    <col min="1" max="1" width="16.26953125" bestFit="1" customWidth="1"/>
    <col min="2" max="2" width="10.26953125" bestFit="1" customWidth="1"/>
    <col min="3" max="3" width="7.81640625" style="78" customWidth="1"/>
    <col min="4" max="4" width="7.54296875" style="78" customWidth="1"/>
    <col min="5" max="5" width="10.81640625" style="78" customWidth="1"/>
    <col min="6" max="6" width="11.7265625" bestFit="1" customWidth="1"/>
    <col min="8" max="8" width="14.7265625" bestFit="1" customWidth="1"/>
    <col min="9" max="9" width="14.26953125" bestFit="1" customWidth="1"/>
    <col min="10" max="10" width="21.453125" customWidth="1"/>
    <col min="11" max="11" width="12.26953125" bestFit="1" customWidth="1"/>
    <col min="12" max="12" width="13.453125" bestFit="1" customWidth="1"/>
    <col min="13" max="13" width="15.81640625" bestFit="1" customWidth="1"/>
    <col min="14" max="14" width="7.7265625" customWidth="1"/>
  </cols>
  <sheetData>
    <row r="1" spans="1:25" x14ac:dyDescent="0.35">
      <c r="A1" s="8" t="s">
        <v>172</v>
      </c>
      <c r="B1" s="8" t="s">
        <v>355</v>
      </c>
      <c r="C1" s="77" t="s">
        <v>169</v>
      </c>
      <c r="D1" s="77" t="s">
        <v>170</v>
      </c>
      <c r="E1" s="77" t="s">
        <v>351</v>
      </c>
      <c r="F1" s="8" t="s">
        <v>356</v>
      </c>
      <c r="G1" s="8" t="s">
        <v>357</v>
      </c>
      <c r="H1" s="16" t="s">
        <v>358</v>
      </c>
      <c r="I1" s="16" t="s">
        <v>359</v>
      </c>
      <c r="J1" s="16" t="s">
        <v>360</v>
      </c>
      <c r="K1" s="71" t="s">
        <v>187</v>
      </c>
      <c r="L1" s="71" t="s">
        <v>361</v>
      </c>
      <c r="M1" s="16" t="s">
        <v>363</v>
      </c>
      <c r="N1" s="16" t="s">
        <v>362</v>
      </c>
      <c r="Q1" s="80">
        <f>CapDate</f>
        <v>41603</v>
      </c>
      <c r="R1">
        <v>1</v>
      </c>
      <c r="S1" s="12">
        <f>CapDate-1</f>
        <v>41602</v>
      </c>
      <c r="W1">
        <v>1</v>
      </c>
      <c r="X1">
        <f>IF(R1=1,1,0)</f>
        <v>1</v>
      </c>
      <c r="Y1" s="12">
        <f t="shared" ref="Y1:Y15" si="0">Q1</f>
        <v>41603</v>
      </c>
    </row>
    <row r="2" spans="1:25" x14ac:dyDescent="0.35">
      <c r="A2" t="s">
        <v>402</v>
      </c>
      <c r="B2" s="12">
        <v>42088</v>
      </c>
      <c r="C2" s="78">
        <v>25200</v>
      </c>
      <c r="D2" s="78">
        <v>81000</v>
      </c>
      <c r="E2" s="78">
        <v>54000</v>
      </c>
      <c r="H2">
        <f t="shared" ref="H2:H3" si="1">IF(OR(ROW(E2)=2,A2&lt;&gt;A1),E2,H1+E2)</f>
        <v>54000</v>
      </c>
      <c r="I2" s="29">
        <f ca="1">IF(A2&lt;&gt;A1,(TODAY()+1-NOW())*3600*24,I1+24*3600)</f>
        <v>42144.889999902807</v>
      </c>
      <c r="J2" t="str">
        <f>tWCCap[[#This Row],[Work Center]]&amp;VALUE(tWCCap[[#This Row],[Date]])</f>
        <v>AR00/AR270142088</v>
      </c>
      <c r="K2" s="72">
        <f>tWCCap[[#This Row],[Date]]+(tWCCap[[#This Row],[Start]]/3600/24)</f>
        <v>42088.291666666664</v>
      </c>
      <c r="L2" s="72">
        <f>tWCCap[[#This Row],[Date]]+IF(AND(tWCCap[[#This Row],[Stop]]&gt;0,tWCCap[[#This Row],[Start]]=tWCCap[[#This Row],[Stop]]),1+(tWCCap[[#This Row],[Stop]]/3600/24),(tWCCap[[#This Row],[Stop]]/3600/24))</f>
        <v>42088.9375</v>
      </c>
      <c r="M2">
        <f>tWCCap[[#This Row],[Acc_Capacity]]</f>
        <v>54000</v>
      </c>
      <c r="N2">
        <f t="shared" ref="N2:N3" si="2">IF(OR(L2-K2=1,AND(LEFT(J2,8)=LEFT(J1,8),K2=L1)),3,1)</f>
        <v>1</v>
      </c>
      <c r="Q2" s="81">
        <f>Q1+1</f>
        <v>41604</v>
      </c>
      <c r="R2">
        <v>1</v>
      </c>
      <c r="W2">
        <v>2</v>
      </c>
      <c r="X2">
        <f t="shared" ref="X2:X15" si="3">X1+R2</f>
        <v>2</v>
      </c>
      <c r="Y2" s="12">
        <f t="shared" si="0"/>
        <v>41604</v>
      </c>
    </row>
    <row r="3" spans="1:25" x14ac:dyDescent="0.35">
      <c r="A3" t="s">
        <v>402</v>
      </c>
      <c r="B3" s="12">
        <v>42088</v>
      </c>
      <c r="C3" s="78">
        <v>25200</v>
      </c>
      <c r="D3" s="78">
        <v>81000</v>
      </c>
      <c r="E3" s="78">
        <v>54000</v>
      </c>
      <c r="H3">
        <f t="shared" si="1"/>
        <v>108000</v>
      </c>
      <c r="I3" s="29">
        <f ca="1">IF(A3&lt;&gt;A2,(TODAY()+1-NOW())*3600*24,I2+24*3600)</f>
        <v>128544.88999990281</v>
      </c>
      <c r="J3" t="str">
        <f>tWCCap[[#This Row],[Work Center]]&amp;VALUE(tWCCap[[#This Row],[Date]])</f>
        <v>AR00/AR270142088</v>
      </c>
      <c r="K3" s="72">
        <f>tWCCap[[#This Row],[Date]]+(tWCCap[[#This Row],[Start]]/3600/24)</f>
        <v>42088.291666666664</v>
      </c>
      <c r="L3" s="72">
        <f>tWCCap[[#This Row],[Date]]+IF(AND(tWCCap[[#This Row],[Stop]]&gt;0,tWCCap[[#This Row],[Start]]=tWCCap[[#This Row],[Stop]]),1+(tWCCap[[#This Row],[Stop]]/3600/24),(tWCCap[[#This Row],[Stop]]/3600/24))</f>
        <v>42088.9375</v>
      </c>
      <c r="M3">
        <f>tWCCap[[#This Row],[Acc_Capacity]]</f>
        <v>108000</v>
      </c>
      <c r="N3">
        <f t="shared" si="2"/>
        <v>1</v>
      </c>
      <c r="Q3" s="80">
        <f>Q2+1</f>
        <v>41605</v>
      </c>
      <c r="R3">
        <v>0</v>
      </c>
      <c r="U3" s="29" t="e">
        <f>SUMIF(PlanData!$DC$2:$DC$244,1,PlanData!BZ2:BZ244)</f>
        <v>#N/A</v>
      </c>
      <c r="W3">
        <v>3</v>
      </c>
      <c r="X3">
        <f t="shared" si="3"/>
        <v>2</v>
      </c>
      <c r="Y3" s="12">
        <f t="shared" si="0"/>
        <v>41605</v>
      </c>
    </row>
    <row r="4" spans="1:25" x14ac:dyDescent="0.35">
      <c r="Q4" s="81">
        <f t="shared" ref="Q4:Q14" si="4">Q3+1</f>
        <v>41606</v>
      </c>
      <c r="R4">
        <v>0</v>
      </c>
      <c r="U4" s="29">
        <f ca="1">SUMIF(PlanData!$DC2:$DC244,1,PlanData!CW2:CW244)</f>
        <v>0</v>
      </c>
      <c r="W4">
        <v>4</v>
      </c>
      <c r="X4">
        <f t="shared" si="3"/>
        <v>2</v>
      </c>
      <c r="Y4" s="12">
        <f t="shared" si="0"/>
        <v>41606</v>
      </c>
    </row>
    <row r="5" spans="1:25" x14ac:dyDescent="0.35">
      <c r="Q5" s="80">
        <f t="shared" si="4"/>
        <v>41607</v>
      </c>
      <c r="R5">
        <v>1</v>
      </c>
      <c r="U5" s="29" t="e">
        <f ca="1">U3-U4</f>
        <v>#N/A</v>
      </c>
      <c r="W5">
        <v>5</v>
      </c>
      <c r="X5">
        <f t="shared" si="3"/>
        <v>3</v>
      </c>
      <c r="Y5" s="12">
        <f t="shared" si="0"/>
        <v>41607</v>
      </c>
    </row>
    <row r="6" spans="1:25" x14ac:dyDescent="0.35">
      <c r="Q6" s="81">
        <f t="shared" si="4"/>
        <v>41608</v>
      </c>
      <c r="R6">
        <v>1</v>
      </c>
      <c r="U6" s="30" t="e">
        <f ca="1">U5/3600</f>
        <v>#N/A</v>
      </c>
      <c r="W6">
        <v>6</v>
      </c>
      <c r="X6">
        <f t="shared" si="3"/>
        <v>4</v>
      </c>
      <c r="Y6" s="12">
        <f t="shared" si="0"/>
        <v>41608</v>
      </c>
    </row>
    <row r="7" spans="1:25" x14ac:dyDescent="0.35">
      <c r="Q7" s="80">
        <f t="shared" si="4"/>
        <v>41609</v>
      </c>
      <c r="R7">
        <v>1</v>
      </c>
      <c r="U7" s="30">
        <f ca="1">SUM(PlanData!DG2:DG244)*24</f>
        <v>0</v>
      </c>
      <c r="W7">
        <v>7</v>
      </c>
      <c r="X7">
        <f t="shared" si="3"/>
        <v>5</v>
      </c>
      <c r="Y7" s="12">
        <f t="shared" si="0"/>
        <v>41609</v>
      </c>
    </row>
    <row r="8" spans="1:25" x14ac:dyDescent="0.35">
      <c r="Q8" s="81">
        <f t="shared" si="4"/>
        <v>41610</v>
      </c>
      <c r="R8">
        <v>1</v>
      </c>
      <c r="W8">
        <v>8</v>
      </c>
      <c r="X8">
        <f t="shared" si="3"/>
        <v>6</v>
      </c>
      <c r="Y8" s="12">
        <f t="shared" si="0"/>
        <v>41610</v>
      </c>
    </row>
    <row r="9" spans="1:25" x14ac:dyDescent="0.35">
      <c r="Q9" s="80">
        <f t="shared" si="4"/>
        <v>41611</v>
      </c>
      <c r="R9">
        <v>1</v>
      </c>
      <c r="W9">
        <v>9</v>
      </c>
      <c r="X9">
        <f t="shared" si="3"/>
        <v>7</v>
      </c>
      <c r="Y9" s="12">
        <f t="shared" si="0"/>
        <v>41611</v>
      </c>
    </row>
    <row r="10" spans="1:25" x14ac:dyDescent="0.35">
      <c r="Q10" s="81">
        <f t="shared" si="4"/>
        <v>41612</v>
      </c>
      <c r="R10">
        <v>0</v>
      </c>
      <c r="U10" s="85">
        <f>SUM(PlanData!DA2:DA243)*24</f>
        <v>562944</v>
      </c>
      <c r="W10">
        <v>10</v>
      </c>
      <c r="X10">
        <f t="shared" si="3"/>
        <v>7</v>
      </c>
      <c r="Y10" s="12">
        <f t="shared" si="0"/>
        <v>41612</v>
      </c>
    </row>
    <row r="11" spans="1:25" x14ac:dyDescent="0.35">
      <c r="Q11" s="80">
        <f t="shared" si="4"/>
        <v>41613</v>
      </c>
      <c r="R11">
        <v>0</v>
      </c>
      <c r="U11" s="86">
        <f ca="1">U7/U10</f>
        <v>0</v>
      </c>
      <c r="W11">
        <v>11</v>
      </c>
      <c r="X11">
        <f t="shared" si="3"/>
        <v>7</v>
      </c>
      <c r="Y11" s="12">
        <f t="shared" si="0"/>
        <v>41613</v>
      </c>
    </row>
    <row r="12" spans="1:25" x14ac:dyDescent="0.35">
      <c r="Q12" s="81">
        <f t="shared" si="4"/>
        <v>41614</v>
      </c>
      <c r="R12">
        <v>1</v>
      </c>
      <c r="W12">
        <v>12</v>
      </c>
      <c r="X12">
        <f t="shared" si="3"/>
        <v>8</v>
      </c>
      <c r="Y12" s="12">
        <f t="shared" si="0"/>
        <v>41614</v>
      </c>
    </row>
    <row r="13" spans="1:25" x14ac:dyDescent="0.35">
      <c r="Q13" s="80">
        <f t="shared" si="4"/>
        <v>41615</v>
      </c>
      <c r="R13">
        <v>1</v>
      </c>
      <c r="U13" s="29">
        <f>SUM(Cap_Start!B3:B40)</f>
        <v>0</v>
      </c>
      <c r="W13">
        <v>13</v>
      </c>
      <c r="X13">
        <f t="shared" si="3"/>
        <v>9</v>
      </c>
      <c r="Y13" s="12">
        <f t="shared" si="0"/>
        <v>41615</v>
      </c>
    </row>
    <row r="14" spans="1:25" x14ac:dyDescent="0.35">
      <c r="Q14" s="81">
        <f t="shared" si="4"/>
        <v>41616</v>
      </c>
      <c r="R14">
        <v>1</v>
      </c>
      <c r="U14">
        <f>U13/3600</f>
        <v>0</v>
      </c>
      <c r="W14">
        <v>14</v>
      </c>
      <c r="X14">
        <f t="shared" si="3"/>
        <v>10</v>
      </c>
      <c r="Y14" s="12">
        <f t="shared" si="0"/>
        <v>41616</v>
      </c>
    </row>
    <row r="15" spans="1:25" x14ac:dyDescent="0.35">
      <c r="Q15" s="79">
        <f>Q14+1</f>
        <v>41617</v>
      </c>
      <c r="R15">
        <v>1</v>
      </c>
      <c r="U15" s="86" t="e">
        <f ca="1">U5/U13</f>
        <v>#N/A</v>
      </c>
      <c r="W15">
        <v>15</v>
      </c>
      <c r="X15">
        <f t="shared" si="3"/>
        <v>11</v>
      </c>
      <c r="Y15" s="12">
        <f t="shared" si="0"/>
        <v>41617</v>
      </c>
    </row>
    <row r="16" spans="1:25" x14ac:dyDescent="0.35">
      <c r="Q16" s="12"/>
      <c r="W16">
        <v>16</v>
      </c>
    </row>
    <row r="17" spans="17:23" x14ac:dyDescent="0.35">
      <c r="Q17" s="12"/>
      <c r="U17">
        <f ca="1">U10*U11</f>
        <v>0</v>
      </c>
      <c r="W17">
        <v>17</v>
      </c>
    </row>
    <row r="18" spans="17:23" x14ac:dyDescent="0.35">
      <c r="Q18" s="12"/>
      <c r="U18" s="30">
        <f ca="1">U17/17</f>
        <v>0</v>
      </c>
      <c r="W18">
        <v>18</v>
      </c>
    </row>
    <row r="19" spans="17:23" x14ac:dyDescent="0.35">
      <c r="Q19" s="12"/>
      <c r="W19">
        <v>19</v>
      </c>
    </row>
    <row r="20" spans="17:23" x14ac:dyDescent="0.35">
      <c r="Q20" s="12"/>
      <c r="W20">
        <v>20</v>
      </c>
    </row>
    <row r="21" spans="17:23" x14ac:dyDescent="0.35">
      <c r="Q21" s="12"/>
      <c r="W21">
        <v>21</v>
      </c>
    </row>
    <row r="22" spans="17:23" x14ac:dyDescent="0.35">
      <c r="Q22" s="12"/>
      <c r="W22">
        <v>22</v>
      </c>
    </row>
    <row r="23" spans="17:23" x14ac:dyDescent="0.35">
      <c r="Q23" s="12"/>
      <c r="W23">
        <v>23</v>
      </c>
    </row>
    <row r="24" spans="17:23" x14ac:dyDescent="0.35">
      <c r="Q24" s="12"/>
      <c r="W24">
        <v>24</v>
      </c>
    </row>
    <row r="25" spans="17:23" x14ac:dyDescent="0.35">
      <c r="Q25" s="12"/>
      <c r="W25">
        <v>25</v>
      </c>
    </row>
    <row r="26" spans="17:23" x14ac:dyDescent="0.35">
      <c r="Q26" s="12"/>
      <c r="W26">
        <v>26</v>
      </c>
    </row>
    <row r="27" spans="17:23" x14ac:dyDescent="0.35">
      <c r="Q27" s="12"/>
      <c r="W27">
        <v>27</v>
      </c>
    </row>
    <row r="28" spans="17:23" x14ac:dyDescent="0.35">
      <c r="W28">
        <v>28</v>
      </c>
    </row>
    <row r="29" spans="17:23" x14ac:dyDescent="0.35">
      <c r="W29">
        <v>29</v>
      </c>
    </row>
    <row r="30" spans="17:23" x14ac:dyDescent="0.35">
      <c r="W30">
        <v>30</v>
      </c>
    </row>
    <row r="31" spans="17:23" x14ac:dyDescent="0.35">
      <c r="W31">
        <v>31</v>
      </c>
    </row>
    <row r="32" spans="17:23" x14ac:dyDescent="0.35">
      <c r="W32">
        <v>32</v>
      </c>
    </row>
    <row r="33" spans="23:23" x14ac:dyDescent="0.35">
      <c r="W33">
        <v>33</v>
      </c>
    </row>
  </sheetData>
  <pageMargins left="0.7" right="0.7" top="0.75" bottom="0.75" header="0.3" footer="0.3"/>
  <pageSetup paperSize="9" scale="44" fitToHeight="0" orientation="landscape" horizontalDpi="300" verticalDpi="300" r:id="rId1"/>
  <headerFooter>
    <oddFooter xml:space="preserve">&amp;LPrinting date: &amp;D&amp;CPage &amp;P / &amp;N&amp;R&amp;F - &amp;A 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FF8080"/>
  </sheetPr>
  <dimension ref="A1:C1"/>
  <sheetViews>
    <sheetView showGridLines="0" zoomScale="85" zoomScaleNormal="85" workbookViewId="0">
      <selection sqref="A1:XFD1048576"/>
    </sheetView>
  </sheetViews>
  <sheetFormatPr defaultColWidth="11.453125" defaultRowHeight="14.5" x14ac:dyDescent="0.35"/>
  <cols>
    <col min="1" max="1" width="8.1796875" bestFit="1" customWidth="1"/>
    <col min="2" max="2" width="5.81640625" bestFit="1" customWidth="1"/>
    <col min="3" max="3" width="8.453125" bestFit="1" customWidth="1"/>
  </cols>
  <sheetData>
    <row r="1" spans="1:3" x14ac:dyDescent="0.35">
      <c r="A1" s="8"/>
      <c r="B1" s="8"/>
      <c r="C1" s="8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92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102.1796875" bestFit="1" customWidth="1"/>
  </cols>
  <sheetData>
    <row r="1" spans="1:2" x14ac:dyDescent="0.35">
      <c r="A1" s="8" t="s">
        <v>24</v>
      </c>
      <c r="B1" s="8" t="s">
        <v>13</v>
      </c>
    </row>
    <row r="2" spans="1:2" x14ac:dyDescent="0.35">
      <c r="A2" s="45" t="s">
        <v>119</v>
      </c>
      <c r="B2" s="45" t="s">
        <v>234</v>
      </c>
    </row>
    <row r="3" spans="1:2" x14ac:dyDescent="0.35">
      <c r="A3" s="45" t="s">
        <v>13</v>
      </c>
      <c r="B3" s="45" t="s">
        <v>235</v>
      </c>
    </row>
    <row r="4" spans="1:2" x14ac:dyDescent="0.35">
      <c r="A4" s="45" t="s">
        <v>3</v>
      </c>
      <c r="B4" s="45" t="s">
        <v>25</v>
      </c>
    </row>
    <row r="5" spans="1:2" x14ac:dyDescent="0.35">
      <c r="A5" s="45" t="s">
        <v>120</v>
      </c>
      <c r="B5" s="45" t="s">
        <v>120</v>
      </c>
    </row>
    <row r="6" spans="1:2" x14ac:dyDescent="0.35">
      <c r="A6" s="45" t="s">
        <v>121</v>
      </c>
      <c r="B6" s="45" t="s">
        <v>121</v>
      </c>
    </row>
    <row r="7" spans="1:2" x14ac:dyDescent="0.35">
      <c r="A7" s="45" t="s">
        <v>5</v>
      </c>
      <c r="B7" s="45" t="s">
        <v>236</v>
      </c>
    </row>
    <row r="8" spans="1:2" x14ac:dyDescent="0.35">
      <c r="A8" s="45" t="s">
        <v>122</v>
      </c>
      <c r="B8" s="45" t="s">
        <v>237</v>
      </c>
    </row>
    <row r="9" spans="1:2" x14ac:dyDescent="0.35">
      <c r="A9" s="45" t="s">
        <v>5</v>
      </c>
      <c r="B9" s="45" t="s">
        <v>236</v>
      </c>
    </row>
    <row r="10" spans="1:2" x14ac:dyDescent="0.35">
      <c r="A10" s="45" t="s">
        <v>4</v>
      </c>
      <c r="B10" s="45" t="s">
        <v>238</v>
      </c>
    </row>
    <row r="11" spans="1:2" x14ac:dyDescent="0.35">
      <c r="A11" s="45" t="s">
        <v>123</v>
      </c>
      <c r="B11" s="45" t="s">
        <v>239</v>
      </c>
    </row>
    <row r="12" spans="1:2" x14ac:dyDescent="0.35">
      <c r="A12" s="45" t="s">
        <v>124</v>
      </c>
      <c r="B12" s="45" t="s">
        <v>240</v>
      </c>
    </row>
    <row r="13" spans="1:2" x14ac:dyDescent="0.35">
      <c r="A13" s="45" t="s">
        <v>6</v>
      </c>
      <c r="B13" s="45" t="s">
        <v>241</v>
      </c>
    </row>
    <row r="14" spans="1:2" x14ac:dyDescent="0.35">
      <c r="A14" s="45" t="s">
        <v>125</v>
      </c>
      <c r="B14" s="45" t="s">
        <v>242</v>
      </c>
    </row>
    <row r="15" spans="1:2" x14ac:dyDescent="0.35">
      <c r="A15" s="45" t="s">
        <v>126</v>
      </c>
      <c r="B15" s="45" t="s">
        <v>126</v>
      </c>
    </row>
    <row r="16" spans="1:2" x14ac:dyDescent="0.35">
      <c r="A16" s="45" t="s">
        <v>127</v>
      </c>
      <c r="B16" s="45" t="s">
        <v>243</v>
      </c>
    </row>
    <row r="17" spans="1:2" x14ac:dyDescent="0.35">
      <c r="A17" s="45" t="s">
        <v>128</v>
      </c>
      <c r="B17" s="45" t="s">
        <v>244</v>
      </c>
    </row>
    <row r="18" spans="1:2" x14ac:dyDescent="0.35">
      <c r="A18" s="45" t="s">
        <v>129</v>
      </c>
      <c r="B18" s="45" t="s">
        <v>245</v>
      </c>
    </row>
    <row r="19" spans="1:2" x14ac:dyDescent="0.35">
      <c r="A19" s="45" t="s">
        <v>128</v>
      </c>
      <c r="B19" s="45" t="s">
        <v>244</v>
      </c>
    </row>
    <row r="20" spans="1:2" x14ac:dyDescent="0.35">
      <c r="A20" s="45" t="s">
        <v>130</v>
      </c>
      <c r="B20" s="45" t="s">
        <v>246</v>
      </c>
    </row>
    <row r="21" spans="1:2" x14ac:dyDescent="0.35">
      <c r="A21" s="45" t="s">
        <v>128</v>
      </c>
      <c r="B21" s="45" t="s">
        <v>244</v>
      </c>
    </row>
    <row r="22" spans="1:2" x14ac:dyDescent="0.35">
      <c r="A22" s="45" t="s">
        <v>131</v>
      </c>
      <c r="B22" s="45" t="s">
        <v>247</v>
      </c>
    </row>
    <row r="23" spans="1:2" x14ac:dyDescent="0.35">
      <c r="A23" s="45" t="s">
        <v>128</v>
      </c>
      <c r="B23" s="45" t="s">
        <v>244</v>
      </c>
    </row>
    <row r="24" spans="1:2" x14ac:dyDescent="0.35">
      <c r="A24" s="45" t="s">
        <v>132</v>
      </c>
      <c r="B24" s="45" t="s">
        <v>248</v>
      </c>
    </row>
    <row r="25" spans="1:2" x14ac:dyDescent="0.35">
      <c r="A25" s="45" t="s">
        <v>128</v>
      </c>
      <c r="B25" s="45" t="s">
        <v>244</v>
      </c>
    </row>
    <row r="26" spans="1:2" x14ac:dyDescent="0.35">
      <c r="A26" s="45" t="s">
        <v>133</v>
      </c>
      <c r="B26" s="45" t="s">
        <v>249</v>
      </c>
    </row>
    <row r="27" spans="1:2" x14ac:dyDescent="0.35">
      <c r="A27" s="45" t="s">
        <v>128</v>
      </c>
      <c r="B27" s="45" t="s">
        <v>244</v>
      </c>
    </row>
    <row r="28" spans="1:2" x14ac:dyDescent="0.35">
      <c r="A28" s="45" t="s">
        <v>250</v>
      </c>
      <c r="B28" s="45" t="s">
        <v>248</v>
      </c>
    </row>
    <row r="29" spans="1:2" x14ac:dyDescent="0.35">
      <c r="A29" s="45" t="s">
        <v>128</v>
      </c>
      <c r="B29" s="45" t="s">
        <v>244</v>
      </c>
    </row>
    <row r="30" spans="1:2" x14ac:dyDescent="0.35">
      <c r="A30" s="45" t="s">
        <v>134</v>
      </c>
      <c r="B30" s="45" t="s">
        <v>251</v>
      </c>
    </row>
    <row r="31" spans="1:2" x14ac:dyDescent="0.35">
      <c r="A31" s="45" t="s">
        <v>135</v>
      </c>
      <c r="B31" s="45" t="s">
        <v>252</v>
      </c>
    </row>
    <row r="32" spans="1:2" x14ac:dyDescent="0.35">
      <c r="A32" s="45" t="s">
        <v>136</v>
      </c>
      <c r="B32" s="45" t="s">
        <v>253</v>
      </c>
    </row>
    <row r="33" spans="1:2" x14ac:dyDescent="0.35">
      <c r="A33" s="45" t="s">
        <v>137</v>
      </c>
      <c r="B33" s="45" t="s">
        <v>254</v>
      </c>
    </row>
    <row r="34" spans="1:2" x14ac:dyDescent="0.35">
      <c r="A34" s="45" t="s">
        <v>137</v>
      </c>
      <c r="B34" s="45" t="s">
        <v>254</v>
      </c>
    </row>
    <row r="35" spans="1:2" x14ac:dyDescent="0.35">
      <c r="A35" s="45" t="s">
        <v>138</v>
      </c>
      <c r="B35" s="45" t="s">
        <v>138</v>
      </c>
    </row>
    <row r="36" spans="1:2" x14ac:dyDescent="0.35">
      <c r="A36" s="45" t="s">
        <v>139</v>
      </c>
      <c r="B36" s="45" t="s">
        <v>255</v>
      </c>
    </row>
    <row r="37" spans="1:2" x14ac:dyDescent="0.35">
      <c r="A37" s="45" t="s">
        <v>140</v>
      </c>
      <c r="B37" s="45" t="s">
        <v>256</v>
      </c>
    </row>
    <row r="38" spans="1:2" x14ac:dyDescent="0.35">
      <c r="A38" s="45" t="s">
        <v>141</v>
      </c>
      <c r="B38" s="45" t="s">
        <v>257</v>
      </c>
    </row>
    <row r="39" spans="1:2" x14ac:dyDescent="0.35">
      <c r="A39" s="45" t="s">
        <v>142</v>
      </c>
      <c r="B39" s="45" t="s">
        <v>258</v>
      </c>
    </row>
    <row r="40" spans="1:2" x14ac:dyDescent="0.35">
      <c r="A40" s="45" t="s">
        <v>143</v>
      </c>
      <c r="B40" s="45" t="s">
        <v>259</v>
      </c>
    </row>
    <row r="41" spans="1:2" x14ac:dyDescent="0.35">
      <c r="A41" s="45" t="s">
        <v>144</v>
      </c>
      <c r="B41" s="45" t="s">
        <v>260</v>
      </c>
    </row>
    <row r="42" spans="1:2" x14ac:dyDescent="0.35">
      <c r="A42" s="45" t="s">
        <v>145</v>
      </c>
      <c r="B42" s="45" t="s">
        <v>261</v>
      </c>
    </row>
    <row r="43" spans="1:2" x14ac:dyDescent="0.35">
      <c r="A43" s="45" t="s">
        <v>146</v>
      </c>
      <c r="B43" s="45" t="s">
        <v>146</v>
      </c>
    </row>
    <row r="44" spans="1:2" x14ac:dyDescent="0.35">
      <c r="A44" s="45" t="s">
        <v>147</v>
      </c>
      <c r="B44" s="45" t="s">
        <v>147</v>
      </c>
    </row>
    <row r="45" spans="1:2" x14ac:dyDescent="0.35">
      <c r="A45" s="45" t="s">
        <v>148</v>
      </c>
      <c r="B45" s="45" t="s">
        <v>262</v>
      </c>
    </row>
    <row r="46" spans="1:2" x14ac:dyDescent="0.35">
      <c r="A46" s="45" t="s">
        <v>149</v>
      </c>
      <c r="B46" s="45" t="s">
        <v>263</v>
      </c>
    </row>
    <row r="47" spans="1:2" x14ac:dyDescent="0.35">
      <c r="A47" s="45" t="s">
        <v>72</v>
      </c>
      <c r="B47" s="45" t="s">
        <v>264</v>
      </c>
    </row>
    <row r="48" spans="1:2" x14ac:dyDescent="0.35">
      <c r="A48" s="45" t="s">
        <v>150</v>
      </c>
      <c r="B48" s="45" t="s">
        <v>265</v>
      </c>
    </row>
    <row r="49" spans="1:2" x14ac:dyDescent="0.35">
      <c r="A49" s="45" t="s">
        <v>151</v>
      </c>
      <c r="B49" s="45" t="s">
        <v>266</v>
      </c>
    </row>
    <row r="50" spans="1:2" x14ac:dyDescent="0.35">
      <c r="A50" s="45" t="s">
        <v>152</v>
      </c>
      <c r="B50" s="45" t="s">
        <v>152</v>
      </c>
    </row>
    <row r="51" spans="1:2" x14ac:dyDescent="0.35">
      <c r="A51" s="45" t="s">
        <v>153</v>
      </c>
      <c r="B51" s="45" t="s">
        <v>267</v>
      </c>
    </row>
    <row r="52" spans="1:2" x14ac:dyDescent="0.35">
      <c r="A52" s="45" t="s">
        <v>154</v>
      </c>
      <c r="B52" s="45" t="s">
        <v>268</v>
      </c>
    </row>
    <row r="53" spans="1:2" x14ac:dyDescent="0.35">
      <c r="A53" s="45" t="s">
        <v>5</v>
      </c>
      <c r="B53" s="45" t="s">
        <v>236</v>
      </c>
    </row>
    <row r="54" spans="1:2" x14ac:dyDescent="0.35">
      <c r="A54" s="45" t="s">
        <v>137</v>
      </c>
      <c r="B54" s="45" t="s">
        <v>254</v>
      </c>
    </row>
    <row r="55" spans="1:2" x14ac:dyDescent="0.35">
      <c r="A55" s="45" t="s">
        <v>155</v>
      </c>
      <c r="B55" s="45" t="s">
        <v>155</v>
      </c>
    </row>
    <row r="56" spans="1:2" x14ac:dyDescent="0.35">
      <c r="A56" s="45" t="s">
        <v>156</v>
      </c>
      <c r="B56" s="45" t="s">
        <v>269</v>
      </c>
    </row>
    <row r="57" spans="1:2" x14ac:dyDescent="0.35">
      <c r="A57" s="45" t="s">
        <v>270</v>
      </c>
      <c r="B57" s="45" t="s">
        <v>271</v>
      </c>
    </row>
    <row r="58" spans="1:2" x14ac:dyDescent="0.35">
      <c r="A58" s="45" t="s">
        <v>157</v>
      </c>
      <c r="B58" s="45" t="s">
        <v>272</v>
      </c>
    </row>
    <row r="59" spans="1:2" x14ac:dyDescent="0.35">
      <c r="A59" s="45" t="s">
        <v>5</v>
      </c>
      <c r="B59" s="45" t="s">
        <v>273</v>
      </c>
    </row>
    <row r="60" spans="1:2" x14ac:dyDescent="0.35">
      <c r="A60" s="45" t="s">
        <v>158</v>
      </c>
      <c r="B60" s="45" t="s">
        <v>274</v>
      </c>
    </row>
    <row r="61" spans="1:2" x14ac:dyDescent="0.35">
      <c r="A61" s="45" t="s">
        <v>5</v>
      </c>
      <c r="B61" s="45" t="s">
        <v>273</v>
      </c>
    </row>
    <row r="62" spans="1:2" x14ac:dyDescent="0.35">
      <c r="A62" s="45" t="s">
        <v>7</v>
      </c>
      <c r="B62" s="45" t="s">
        <v>275</v>
      </c>
    </row>
    <row r="63" spans="1:2" x14ac:dyDescent="0.35">
      <c r="A63" s="45" t="s">
        <v>5</v>
      </c>
      <c r="B63" s="45" t="s">
        <v>273</v>
      </c>
    </row>
    <row r="64" spans="1:2" x14ac:dyDescent="0.35">
      <c r="A64" s="45" t="s">
        <v>0</v>
      </c>
      <c r="B64" s="45" t="s">
        <v>276</v>
      </c>
    </row>
    <row r="65" spans="1:2" x14ac:dyDescent="0.35">
      <c r="A65" s="45" t="s">
        <v>159</v>
      </c>
      <c r="B65" s="45" t="s">
        <v>277</v>
      </c>
    </row>
    <row r="66" spans="1:2" x14ac:dyDescent="0.35">
      <c r="A66" s="45" t="s">
        <v>160</v>
      </c>
      <c r="B66" s="45" t="s">
        <v>278</v>
      </c>
    </row>
    <row r="67" spans="1:2" x14ac:dyDescent="0.35">
      <c r="A67" s="45" t="s">
        <v>161</v>
      </c>
      <c r="B67" s="45" t="s">
        <v>279</v>
      </c>
    </row>
    <row r="68" spans="1:2" x14ac:dyDescent="0.35">
      <c r="A68" s="45" t="s">
        <v>162</v>
      </c>
      <c r="B68" s="45" t="s">
        <v>280</v>
      </c>
    </row>
    <row r="69" spans="1:2" x14ac:dyDescent="0.35">
      <c r="A69" s="45" t="s">
        <v>163</v>
      </c>
      <c r="B69" s="45" t="s">
        <v>281</v>
      </c>
    </row>
    <row r="70" spans="1:2" x14ac:dyDescent="0.35">
      <c r="A70" s="45" t="s">
        <v>191</v>
      </c>
      <c r="B70" s="45" t="s">
        <v>282</v>
      </c>
    </row>
    <row r="71" spans="1:2" x14ac:dyDescent="0.35">
      <c r="A71" s="45" t="s">
        <v>192</v>
      </c>
      <c r="B71" s="45" t="s">
        <v>283</v>
      </c>
    </row>
    <row r="72" spans="1:2" x14ac:dyDescent="0.35">
      <c r="A72" s="45" t="s">
        <v>166</v>
      </c>
      <c r="B72" s="45" t="s">
        <v>284</v>
      </c>
    </row>
    <row r="73" spans="1:2" x14ac:dyDescent="0.35">
      <c r="A73" s="45" t="s">
        <v>167</v>
      </c>
      <c r="B73" s="45" t="s">
        <v>285</v>
      </c>
    </row>
    <row r="74" spans="1:2" x14ac:dyDescent="0.35">
      <c r="A74" s="45" t="s">
        <v>168</v>
      </c>
      <c r="B74" s="45" t="s">
        <v>286</v>
      </c>
    </row>
    <row r="75" spans="1:2" x14ac:dyDescent="0.35">
      <c r="A75" s="45" t="s">
        <v>169</v>
      </c>
      <c r="B75" s="45" t="s">
        <v>281</v>
      </c>
    </row>
    <row r="76" spans="1:2" x14ac:dyDescent="0.35">
      <c r="A76" s="45" t="s">
        <v>170</v>
      </c>
      <c r="B76" s="45" t="s">
        <v>281</v>
      </c>
    </row>
    <row r="77" spans="1:2" x14ac:dyDescent="0.35">
      <c r="A77" s="45" t="s">
        <v>171</v>
      </c>
      <c r="B77" s="45" t="s">
        <v>281</v>
      </c>
    </row>
    <row r="78" spans="1:2" x14ac:dyDescent="0.35">
      <c r="A78" s="45" t="s">
        <v>172</v>
      </c>
      <c r="B78" s="45" t="s">
        <v>287</v>
      </c>
    </row>
    <row r="79" spans="1:2" x14ac:dyDescent="0.35">
      <c r="A79" s="45" t="s">
        <v>173</v>
      </c>
      <c r="B79" s="45" t="s">
        <v>281</v>
      </c>
    </row>
    <row r="80" spans="1:2" x14ac:dyDescent="0.35">
      <c r="A80" s="45" t="s">
        <v>174</v>
      </c>
      <c r="B80" s="45" t="s">
        <v>281</v>
      </c>
    </row>
    <row r="81" spans="1:2" x14ac:dyDescent="0.35">
      <c r="A81" s="45" t="s">
        <v>175</v>
      </c>
      <c r="B81" s="45" t="s">
        <v>281</v>
      </c>
    </row>
    <row r="82" spans="1:2" x14ac:dyDescent="0.35">
      <c r="A82" s="45" t="s">
        <v>184</v>
      </c>
      <c r="B82" s="45" t="s">
        <v>288</v>
      </c>
    </row>
    <row r="83" spans="1:2" x14ac:dyDescent="0.35">
      <c r="A83" s="45" t="s">
        <v>176</v>
      </c>
      <c r="B83" s="45" t="s">
        <v>281</v>
      </c>
    </row>
    <row r="84" spans="1:2" x14ac:dyDescent="0.35">
      <c r="A84" s="45" t="s">
        <v>177</v>
      </c>
      <c r="B84" s="45" t="s">
        <v>281</v>
      </c>
    </row>
    <row r="85" spans="1:2" x14ac:dyDescent="0.35">
      <c r="A85" s="45" t="s">
        <v>178</v>
      </c>
      <c r="B85" s="45" t="s">
        <v>281</v>
      </c>
    </row>
    <row r="86" spans="1:2" x14ac:dyDescent="0.35">
      <c r="A86" s="45" t="s">
        <v>179</v>
      </c>
      <c r="B86" s="45" t="s">
        <v>281</v>
      </c>
    </row>
    <row r="87" spans="1:2" x14ac:dyDescent="0.35">
      <c r="A87" s="45" t="s">
        <v>180</v>
      </c>
      <c r="B87" s="45" t="s">
        <v>281</v>
      </c>
    </row>
    <row r="88" spans="1:2" x14ac:dyDescent="0.35">
      <c r="A88" s="45" t="s">
        <v>181</v>
      </c>
      <c r="B88" s="45" t="s">
        <v>281</v>
      </c>
    </row>
    <row r="89" spans="1:2" x14ac:dyDescent="0.35">
      <c r="A89" s="45" t="s">
        <v>182</v>
      </c>
      <c r="B89" s="45" t="s">
        <v>281</v>
      </c>
    </row>
    <row r="90" spans="1:2" x14ac:dyDescent="0.35">
      <c r="A90" s="45" t="s">
        <v>183</v>
      </c>
      <c r="B90" s="45" t="s">
        <v>289</v>
      </c>
    </row>
    <row r="91" spans="1:2" x14ac:dyDescent="0.35">
      <c r="A91" s="45" t="s">
        <v>188</v>
      </c>
      <c r="B91" s="45" t="s">
        <v>290</v>
      </c>
    </row>
    <row r="92" spans="1:2" x14ac:dyDescent="0.35">
      <c r="A92" s="45" t="s">
        <v>291</v>
      </c>
      <c r="B92" s="45" t="s">
        <v>292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73</v>
      </c>
      <c r="B1" t="s">
        <v>2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</row>
    <row r="2" spans="1:33" x14ac:dyDescent="0.35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35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35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35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35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35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35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35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35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35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35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35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35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35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35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35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35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35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35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35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35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35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35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35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35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35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35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35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35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35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35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35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35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35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35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35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35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35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35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35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35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35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35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35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35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35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35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35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35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35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35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35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35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35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35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35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35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35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35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35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35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35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35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35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35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35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35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35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35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35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35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35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35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35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35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R32"/>
  <sheetViews>
    <sheetView showGridLines="0" zoomScale="85" zoomScaleNormal="85" workbookViewId="0">
      <selection activeCell="A2" sqref="A2:A3"/>
    </sheetView>
  </sheetViews>
  <sheetFormatPr defaultColWidth="11.453125" defaultRowHeight="14.5" x14ac:dyDescent="0.35"/>
  <cols>
    <col min="1" max="2" width="11.26953125" bestFit="1" customWidth="1"/>
    <col min="3" max="3" width="8.81640625" bestFit="1" customWidth="1"/>
    <col min="4" max="4" width="8.453125" bestFit="1" customWidth="1"/>
    <col min="5" max="5" width="8.54296875" bestFit="1" customWidth="1"/>
    <col min="6" max="6" width="8" bestFit="1" customWidth="1"/>
    <col min="7" max="7" width="10.453125" bestFit="1" customWidth="1"/>
    <col min="9" max="9" width="7.1796875" bestFit="1" customWidth="1"/>
    <col min="11" max="11" width="21.81640625" bestFit="1" customWidth="1"/>
    <col min="12" max="12" width="11.453125" customWidth="1"/>
    <col min="13" max="13" width="14.7265625" bestFit="1" customWidth="1"/>
    <col min="14" max="14" width="9" bestFit="1" customWidth="1"/>
    <col min="17" max="17" width="10.26953125" bestFit="1" customWidth="1"/>
  </cols>
  <sheetData>
    <row r="1" spans="1:18" x14ac:dyDescent="0.35">
      <c r="A1" t="s">
        <v>119</v>
      </c>
      <c r="C1" t="s">
        <v>110</v>
      </c>
      <c r="D1" t="s">
        <v>293</v>
      </c>
      <c r="E1" t="s">
        <v>109</v>
      </c>
      <c r="F1" t="s">
        <v>294</v>
      </c>
      <c r="G1" t="s">
        <v>295</v>
      </c>
      <c r="I1" t="s">
        <v>43</v>
      </c>
      <c r="J1" t="s">
        <v>42</v>
      </c>
      <c r="K1" t="s">
        <v>13</v>
      </c>
      <c r="M1" t="s">
        <v>23</v>
      </c>
      <c r="N1" t="s">
        <v>68</v>
      </c>
      <c r="Q1" s="12"/>
      <c r="R1" s="12"/>
    </row>
    <row r="2" spans="1:18" x14ac:dyDescent="0.35">
      <c r="A2" s="82">
        <v>100282554</v>
      </c>
      <c r="C2" s="45">
        <v>1502</v>
      </c>
      <c r="D2" s="46">
        <v>1175</v>
      </c>
      <c r="E2" s="46">
        <v>3001</v>
      </c>
      <c r="F2" s="45">
        <v>1101</v>
      </c>
      <c r="G2" s="45" t="s">
        <v>296</v>
      </c>
      <c r="K2" t="s">
        <v>41</v>
      </c>
      <c r="M2" t="s">
        <v>8</v>
      </c>
      <c r="N2" t="s">
        <v>62</v>
      </c>
    </row>
    <row r="3" spans="1:18" x14ac:dyDescent="0.35">
      <c r="A3" s="82">
        <v>100282561</v>
      </c>
      <c r="C3" s="45">
        <v>1503</v>
      </c>
      <c r="D3" s="45">
        <v>1176</v>
      </c>
      <c r="E3" s="45">
        <v>3002</v>
      </c>
      <c r="F3" s="45">
        <v>1102</v>
      </c>
      <c r="G3" s="45" t="s">
        <v>297</v>
      </c>
      <c r="I3" t="s">
        <v>33</v>
      </c>
      <c r="J3" t="s">
        <v>40</v>
      </c>
      <c r="K3" t="s">
        <v>39</v>
      </c>
      <c r="M3" t="s">
        <v>31</v>
      </c>
      <c r="N3" t="s">
        <v>63</v>
      </c>
    </row>
    <row r="4" spans="1:18" x14ac:dyDescent="0.35">
      <c r="C4" s="45">
        <v>1603</v>
      </c>
      <c r="D4" s="45">
        <v>2000</v>
      </c>
      <c r="E4" s="45">
        <v>3003</v>
      </c>
      <c r="F4" s="45">
        <v>1103</v>
      </c>
      <c r="G4" s="45" t="s">
        <v>298</v>
      </c>
      <c r="I4" t="s">
        <v>38</v>
      </c>
      <c r="J4" t="s">
        <v>37</v>
      </c>
      <c r="K4" t="s">
        <v>36</v>
      </c>
      <c r="M4" t="s">
        <v>64</v>
      </c>
      <c r="N4" t="s">
        <v>65</v>
      </c>
    </row>
    <row r="5" spans="1:18" x14ac:dyDescent="0.35">
      <c r="C5" s="45">
        <v>3101</v>
      </c>
      <c r="D5" s="45">
        <v>2001</v>
      </c>
      <c r="E5" s="45"/>
      <c r="F5" s="45">
        <v>1104</v>
      </c>
      <c r="G5" s="45" t="s">
        <v>299</v>
      </c>
      <c r="I5" t="s">
        <v>32</v>
      </c>
      <c r="J5" t="s">
        <v>35</v>
      </c>
      <c r="K5" t="s">
        <v>34</v>
      </c>
      <c r="M5" t="s">
        <v>66</v>
      </c>
      <c r="N5" t="s">
        <v>62</v>
      </c>
    </row>
    <row r="6" spans="1:18" x14ac:dyDescent="0.35">
      <c r="C6" s="45">
        <v>3102</v>
      </c>
      <c r="D6" s="45">
        <v>2002</v>
      </c>
      <c r="E6" s="45"/>
      <c r="F6" s="45">
        <v>1105</v>
      </c>
      <c r="G6" s="45" t="s">
        <v>300</v>
      </c>
      <c r="M6" t="s">
        <v>67</v>
      </c>
      <c r="N6" t="s">
        <v>62</v>
      </c>
    </row>
    <row r="7" spans="1:18" x14ac:dyDescent="0.35">
      <c r="C7" s="45">
        <v>3103</v>
      </c>
      <c r="D7" s="45">
        <v>2040</v>
      </c>
      <c r="E7" s="45"/>
      <c r="F7" s="45">
        <v>1106</v>
      </c>
      <c r="G7" s="45" t="s">
        <v>301</v>
      </c>
    </row>
    <row r="8" spans="1:18" x14ac:dyDescent="0.35">
      <c r="C8" s="45">
        <v>3104</v>
      </c>
      <c r="D8" s="45">
        <v>3050</v>
      </c>
      <c r="E8" s="45"/>
      <c r="F8" s="45">
        <v>1107</v>
      </c>
      <c r="G8" s="45" t="s">
        <v>302</v>
      </c>
    </row>
    <row r="9" spans="1:18" x14ac:dyDescent="0.35">
      <c r="C9" s="45">
        <v>3105</v>
      </c>
      <c r="D9" s="45"/>
      <c r="E9" s="45"/>
      <c r="F9" s="45">
        <v>1108</v>
      </c>
      <c r="G9" s="45" t="s">
        <v>303</v>
      </c>
    </row>
    <row r="10" spans="1:18" x14ac:dyDescent="0.35">
      <c r="C10" s="45">
        <v>3106</v>
      </c>
      <c r="D10" s="45"/>
      <c r="E10" s="45"/>
      <c r="F10" s="45">
        <v>1109</v>
      </c>
      <c r="G10" s="45" t="s">
        <v>304</v>
      </c>
    </row>
    <row r="11" spans="1:18" x14ac:dyDescent="0.35">
      <c r="C11" s="45">
        <v>3107</v>
      </c>
      <c r="D11" s="45"/>
      <c r="E11" s="45"/>
      <c r="F11" s="45">
        <v>1110</v>
      </c>
      <c r="G11" s="45" t="s">
        <v>305</v>
      </c>
    </row>
    <row r="12" spans="1:18" x14ac:dyDescent="0.35">
      <c r="C12" s="45">
        <v>3108</v>
      </c>
      <c r="D12" s="45"/>
      <c r="E12" s="45"/>
      <c r="F12" s="45">
        <v>1111</v>
      </c>
      <c r="G12" s="45" t="s">
        <v>306</v>
      </c>
    </row>
    <row r="13" spans="1:18" x14ac:dyDescent="0.35">
      <c r="C13" s="45">
        <v>3109</v>
      </c>
      <c r="D13" s="45"/>
      <c r="E13" s="45"/>
      <c r="F13" s="45">
        <v>1112</v>
      </c>
      <c r="G13" s="45" t="s">
        <v>307</v>
      </c>
    </row>
    <row r="14" spans="1:18" x14ac:dyDescent="0.35">
      <c r="C14" s="45">
        <v>3110</v>
      </c>
      <c r="D14" s="45"/>
      <c r="E14" s="45"/>
      <c r="F14" s="45">
        <v>1113</v>
      </c>
      <c r="G14" s="45" t="s">
        <v>308</v>
      </c>
    </row>
    <row r="15" spans="1:18" x14ac:dyDescent="0.35">
      <c r="C15" s="45">
        <v>3111</v>
      </c>
      <c r="D15" s="45"/>
      <c r="E15" s="45"/>
      <c r="F15" s="45">
        <v>1114</v>
      </c>
      <c r="G15" s="45" t="s">
        <v>309</v>
      </c>
    </row>
    <row r="16" spans="1:18" x14ac:dyDescent="0.35">
      <c r="C16" s="45">
        <v>3112</v>
      </c>
      <c r="D16" s="45"/>
      <c r="E16" s="45"/>
      <c r="F16" s="45">
        <v>1115</v>
      </c>
      <c r="G16" s="45" t="s">
        <v>310</v>
      </c>
    </row>
    <row r="17" spans="3:7" x14ac:dyDescent="0.35">
      <c r="C17" s="45">
        <v>3113</v>
      </c>
      <c r="D17" s="45"/>
      <c r="E17" s="45"/>
      <c r="F17" s="45">
        <v>1116</v>
      </c>
      <c r="G17" s="45" t="s">
        <v>311</v>
      </c>
    </row>
    <row r="18" spans="3:7" x14ac:dyDescent="0.35">
      <c r="C18" s="45">
        <v>3114</v>
      </c>
      <c r="D18" s="45"/>
      <c r="E18" s="45"/>
      <c r="F18" s="45">
        <v>1117</v>
      </c>
      <c r="G18" s="45" t="s">
        <v>312</v>
      </c>
    </row>
    <row r="19" spans="3:7" x14ac:dyDescent="0.35">
      <c r="C19" s="45">
        <v>3115</v>
      </c>
      <c r="D19" s="45"/>
      <c r="E19" s="45"/>
      <c r="F19" s="45">
        <v>1118</v>
      </c>
      <c r="G19" s="45"/>
    </row>
    <row r="20" spans="3:7" x14ac:dyDescent="0.35">
      <c r="C20" s="45">
        <v>3117</v>
      </c>
      <c r="D20" s="45"/>
      <c r="E20" s="45"/>
      <c r="F20" s="45">
        <v>1120</v>
      </c>
      <c r="G20" s="45"/>
    </row>
    <row r="21" spans="3:7" x14ac:dyDescent="0.35">
      <c r="C21" s="45">
        <v>3118</v>
      </c>
      <c r="D21" s="45"/>
      <c r="E21" s="45"/>
      <c r="F21" s="45">
        <v>1121</v>
      </c>
      <c r="G21" s="45"/>
    </row>
    <row r="22" spans="3:7" x14ac:dyDescent="0.35">
      <c r="C22" s="45">
        <v>3120</v>
      </c>
      <c r="D22" s="45"/>
      <c r="E22" s="45"/>
      <c r="F22" s="45">
        <v>1122</v>
      </c>
      <c r="G22" s="45"/>
    </row>
    <row r="23" spans="3:7" x14ac:dyDescent="0.35">
      <c r="C23" s="45">
        <v>3201</v>
      </c>
      <c r="D23" s="45"/>
      <c r="E23" s="45"/>
      <c r="F23" s="45">
        <v>1123</v>
      </c>
      <c r="G23" s="45"/>
    </row>
    <row r="24" spans="3:7" x14ac:dyDescent="0.35">
      <c r="C24" s="45">
        <v>3302</v>
      </c>
      <c r="D24" s="45"/>
      <c r="E24" s="45"/>
      <c r="F24" s="45">
        <v>1124</v>
      </c>
      <c r="G24" s="45"/>
    </row>
    <row r="25" spans="3:7" x14ac:dyDescent="0.35">
      <c r="C25" s="45">
        <v>3303</v>
      </c>
      <c r="D25" s="45"/>
      <c r="E25" s="45"/>
      <c r="F25" s="45">
        <v>1125</v>
      </c>
      <c r="G25" s="45"/>
    </row>
    <row r="26" spans="3:7" x14ac:dyDescent="0.35">
      <c r="C26" s="45"/>
      <c r="D26" s="45"/>
      <c r="E26" s="45"/>
      <c r="F26" s="45">
        <v>1126</v>
      </c>
      <c r="G26" s="45"/>
    </row>
    <row r="27" spans="3:7" x14ac:dyDescent="0.35">
      <c r="C27" s="45"/>
      <c r="D27" s="45"/>
      <c r="E27" s="45"/>
      <c r="F27" s="45">
        <v>1127</v>
      </c>
      <c r="G27" s="45"/>
    </row>
    <row r="28" spans="3:7" x14ac:dyDescent="0.35">
      <c r="C28" s="45"/>
      <c r="D28" s="45"/>
      <c r="E28" s="45"/>
      <c r="F28" s="45">
        <v>1130</v>
      </c>
      <c r="G28" s="45"/>
    </row>
    <row r="29" spans="3:7" x14ac:dyDescent="0.35">
      <c r="C29" s="45"/>
      <c r="D29" s="45"/>
      <c r="E29" s="45"/>
      <c r="F29" s="45">
        <v>1131</v>
      </c>
      <c r="G29" s="45"/>
    </row>
    <row r="30" spans="3:7" x14ac:dyDescent="0.35">
      <c r="C30" s="45"/>
      <c r="D30" s="45"/>
      <c r="E30" s="45"/>
      <c r="F30" s="45">
        <v>1132</v>
      </c>
      <c r="G30" s="45"/>
    </row>
    <row r="31" spans="3:7" x14ac:dyDescent="0.35">
      <c r="C31" s="45"/>
      <c r="D31" s="45"/>
      <c r="E31" s="45"/>
      <c r="F31" s="45">
        <v>1133</v>
      </c>
      <c r="G31" s="45"/>
    </row>
    <row r="32" spans="3:7" x14ac:dyDescent="0.35">
      <c r="C32" s="45"/>
      <c r="D32" s="45"/>
      <c r="E32" s="45"/>
      <c r="F32" s="45">
        <v>1134</v>
      </c>
      <c r="G32" s="45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2"/>
  <sheetViews>
    <sheetView showGridLines="0" zoomScale="85" zoomScaleNormal="85" workbookViewId="0">
      <selection activeCell="B11" sqref="B11"/>
    </sheetView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15" ht="23.5" x14ac:dyDescent="0.55000000000000004">
      <c r="A1" s="9" t="s">
        <v>12</v>
      </c>
    </row>
    <row r="4" spans="1:15" x14ac:dyDescent="0.35">
      <c r="A4" s="17" t="s">
        <v>14</v>
      </c>
      <c r="B4" s="18" t="s">
        <v>19</v>
      </c>
      <c r="C4" s="19" t="s">
        <v>15</v>
      </c>
      <c r="E4" s="8" t="s">
        <v>69</v>
      </c>
      <c r="F4" s="10" t="s">
        <v>15</v>
      </c>
      <c r="G4" s="8" t="s">
        <v>13</v>
      </c>
      <c r="I4" t="s">
        <v>51</v>
      </c>
      <c r="J4" t="s">
        <v>52</v>
      </c>
      <c r="K4" t="s">
        <v>13</v>
      </c>
      <c r="M4" t="s">
        <v>51</v>
      </c>
      <c r="N4" t="s">
        <v>57</v>
      </c>
      <c r="O4" t="s">
        <v>13</v>
      </c>
    </row>
    <row r="5" spans="1:15" x14ac:dyDescent="0.35">
      <c r="A5" t="s">
        <v>30</v>
      </c>
      <c r="B5" s="7"/>
      <c r="C5" t="str">
        <f>IFERROR(VLOOKUP(MaterialPrice,tMaterialPrice[],2,FALSE),"")</f>
        <v/>
      </c>
      <c r="E5" s="3" t="s">
        <v>17</v>
      </c>
      <c r="G5" t="s">
        <v>10</v>
      </c>
      <c r="I5" t="s">
        <v>53</v>
      </c>
      <c r="J5" t="e">
        <f>COLUMN(#REF!)</f>
        <v>#REF!</v>
      </c>
      <c r="K5" t="s">
        <v>47</v>
      </c>
      <c r="M5" t="s">
        <v>53</v>
      </c>
      <c r="N5">
        <v>2</v>
      </c>
      <c r="O5" t="s">
        <v>58</v>
      </c>
    </row>
    <row r="6" spans="1:15" x14ac:dyDescent="0.35">
      <c r="A6" t="s">
        <v>29</v>
      </c>
      <c r="B6" s="7" t="s">
        <v>53</v>
      </c>
      <c r="C6">
        <f>IFERROR(VLOOKUP(ProductHierarchy,tProductHierarchyLevel[],2,FALSE),"")</f>
        <v>2</v>
      </c>
      <c r="E6" s="3" t="s">
        <v>16</v>
      </c>
      <c r="G6" t="s">
        <v>20</v>
      </c>
      <c r="I6" t="s">
        <v>54</v>
      </c>
      <c r="J6" t="e">
        <f>COLUMN(#REF!)</f>
        <v>#REF!</v>
      </c>
      <c r="K6" t="s">
        <v>48</v>
      </c>
      <c r="M6" t="s">
        <v>54</v>
      </c>
      <c r="N6">
        <v>5</v>
      </c>
      <c r="O6" t="s">
        <v>59</v>
      </c>
    </row>
    <row r="7" spans="1:15" x14ac:dyDescent="0.35">
      <c r="A7" t="s">
        <v>28</v>
      </c>
      <c r="B7" s="7" t="s">
        <v>55</v>
      </c>
      <c r="C7" t="str">
        <f>IFERROR(VLOOKUP(CustomerHierarchy,tCustomerLevel[],2,FALSE),"")</f>
        <v/>
      </c>
      <c r="E7" s="3" t="s">
        <v>18</v>
      </c>
      <c r="G7" t="s">
        <v>11</v>
      </c>
      <c r="I7" t="s">
        <v>55</v>
      </c>
      <c r="J7" t="e">
        <f>COLUMN(#REF!)</f>
        <v>#REF!</v>
      </c>
      <c r="K7" t="s">
        <v>49</v>
      </c>
      <c r="M7" t="s">
        <v>55</v>
      </c>
      <c r="N7">
        <v>8</v>
      </c>
      <c r="O7" t="s">
        <v>60</v>
      </c>
    </row>
    <row r="8" spans="1:15" x14ac:dyDescent="0.35">
      <c r="A8" t="s">
        <v>27</v>
      </c>
      <c r="B8" s="7" t="s">
        <v>107</v>
      </c>
      <c r="C8" t="str">
        <f t="shared" ref="C8:C10" si="0">B8</f>
        <v>Gross</v>
      </c>
      <c r="I8" t="s">
        <v>56</v>
      </c>
      <c r="J8" t="e">
        <f>COLUMN(#REF!)</f>
        <v>#REF!</v>
      </c>
      <c r="K8" t="s">
        <v>50</v>
      </c>
      <c r="M8" t="s">
        <v>56</v>
      </c>
      <c r="N8">
        <v>12</v>
      </c>
      <c r="O8" t="s">
        <v>61</v>
      </c>
    </row>
    <row r="9" spans="1:15" x14ac:dyDescent="0.35">
      <c r="A9" t="s">
        <v>26</v>
      </c>
      <c r="B9" s="7">
        <v>1</v>
      </c>
      <c r="C9">
        <f t="shared" si="0"/>
        <v>1</v>
      </c>
    </row>
    <row r="10" spans="1:15" x14ac:dyDescent="0.35">
      <c r="A10" t="s">
        <v>9</v>
      </c>
      <c r="B10" s="7" t="s">
        <v>108</v>
      </c>
      <c r="C10" t="str">
        <f t="shared" si="0"/>
        <v>Default</v>
      </c>
    </row>
    <row r="11" spans="1:15" x14ac:dyDescent="0.35">
      <c r="A11" t="s">
        <v>364</v>
      </c>
      <c r="B11" s="73">
        <v>41603</v>
      </c>
    </row>
    <row r="12" spans="1:15" x14ac:dyDescent="0.35">
      <c r="A12" t="s">
        <v>372</v>
      </c>
      <c r="B12" s="7"/>
      <c r="C12">
        <f>B12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12"/>
  <sheetViews>
    <sheetView showGridLines="0" zoomScale="85" zoomScaleNormal="85" workbookViewId="0"/>
  </sheetViews>
  <sheetFormatPr defaultColWidth="11.453125" defaultRowHeight="14.5" x14ac:dyDescent="0.35"/>
  <cols>
    <col min="1" max="1" width="14.54296875" customWidth="1"/>
    <col min="2" max="2" width="55.1796875" bestFit="1" customWidth="1"/>
  </cols>
  <sheetData>
    <row r="1" spans="1:2" ht="23.5" x14ac:dyDescent="0.55000000000000004">
      <c r="A1" s="9" t="s">
        <v>46</v>
      </c>
    </row>
    <row r="4" spans="1:2" x14ac:dyDescent="0.35">
      <c r="A4" t="s">
        <v>2</v>
      </c>
      <c r="B4" s="26">
        <v>7</v>
      </c>
    </row>
    <row r="5" spans="1:2" x14ac:dyDescent="0.35">
      <c r="A5" t="s">
        <v>1</v>
      </c>
      <c r="B5" s="26" t="s">
        <v>415</v>
      </c>
    </row>
    <row r="6" spans="1:2" x14ac:dyDescent="0.35">
      <c r="A6" t="s">
        <v>21</v>
      </c>
      <c r="B6" s="26" t="s">
        <v>420</v>
      </c>
    </row>
    <row r="7" spans="1:2" x14ac:dyDescent="0.35">
      <c r="A7" t="s">
        <v>22</v>
      </c>
      <c r="B7" s="26"/>
    </row>
    <row r="8" spans="1:2" x14ac:dyDescent="0.35">
      <c r="A8" t="s">
        <v>70</v>
      </c>
      <c r="B8" s="26" t="s">
        <v>415</v>
      </c>
    </row>
    <row r="9" spans="1:2" x14ac:dyDescent="0.35">
      <c r="A9" t="s">
        <v>369</v>
      </c>
      <c r="B9" s="26" t="s">
        <v>315</v>
      </c>
    </row>
    <row r="10" spans="1:2" x14ac:dyDescent="0.35">
      <c r="A10" t="s">
        <v>370</v>
      </c>
      <c r="B10" s="26" t="s">
        <v>320</v>
      </c>
    </row>
    <row r="11" spans="1:2" x14ac:dyDescent="0.35">
      <c r="A11" t="s">
        <v>371</v>
      </c>
      <c r="B11" s="26" t="s">
        <v>324</v>
      </c>
    </row>
    <row r="12" spans="1:2" x14ac:dyDescent="0.35">
      <c r="A12" t="s">
        <v>373</v>
      </c>
      <c r="B12" s="7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rgb="FFFF8080"/>
    <pageSetUpPr fitToPage="1"/>
  </sheetPr>
  <dimension ref="B2:C68"/>
  <sheetViews>
    <sheetView showGridLines="0" zoomScale="85" zoomScaleNormal="100" workbookViewId="0"/>
  </sheetViews>
  <sheetFormatPr defaultColWidth="11.453125" defaultRowHeight="12.5" x14ac:dyDescent="0.25"/>
  <cols>
    <col min="1" max="1" width="1.7265625" style="38" customWidth="1"/>
    <col min="2" max="2" width="13.26953125" style="38" customWidth="1"/>
    <col min="3" max="3" width="12.453125" style="38" customWidth="1"/>
    <col min="4" max="10" width="11.453125" style="38"/>
    <col min="11" max="11" width="5.1796875" style="38" customWidth="1"/>
    <col min="12" max="16384" width="11.453125" style="38"/>
  </cols>
  <sheetData>
    <row r="2" spans="2:3" ht="20" x14ac:dyDescent="0.4">
      <c r="B2" s="37" t="str">
        <f>ReportCaption</f>
        <v>Produksjonplan</v>
      </c>
    </row>
    <row r="4" spans="2:3" x14ac:dyDescent="0.25">
      <c r="B4" s="38" t="s">
        <v>193</v>
      </c>
      <c r="C4" s="38" t="s">
        <v>194</v>
      </c>
    </row>
    <row r="6" spans="2:3" x14ac:dyDescent="0.25">
      <c r="B6" s="38" t="s">
        <v>195</v>
      </c>
      <c r="C6" s="38" t="s">
        <v>196</v>
      </c>
    </row>
    <row r="7" spans="2:3" x14ac:dyDescent="0.25">
      <c r="C7" s="39"/>
    </row>
    <row r="8" spans="2:3" x14ac:dyDescent="0.25">
      <c r="C8" s="39"/>
    </row>
    <row r="9" spans="2:3" x14ac:dyDescent="0.25">
      <c r="C9" s="39"/>
    </row>
    <row r="10" spans="2:3" x14ac:dyDescent="0.25">
      <c r="C10" s="39"/>
    </row>
    <row r="11" spans="2:3" x14ac:dyDescent="0.25">
      <c r="C11" s="39"/>
    </row>
    <row r="12" spans="2:3" x14ac:dyDescent="0.25">
      <c r="C12" s="39"/>
    </row>
    <row r="13" spans="2:3" x14ac:dyDescent="0.25">
      <c r="C13" s="39"/>
    </row>
    <row r="14" spans="2:3" x14ac:dyDescent="0.25">
      <c r="C14" s="39"/>
    </row>
    <row r="15" spans="2:3" x14ac:dyDescent="0.25">
      <c r="C15" s="39"/>
    </row>
    <row r="18" spans="2:3" x14ac:dyDescent="0.25">
      <c r="C18" s="39"/>
    </row>
    <row r="19" spans="2:3" x14ac:dyDescent="0.25">
      <c r="C19" s="38" t="s">
        <v>197</v>
      </c>
    </row>
    <row r="29" spans="2:3" x14ac:dyDescent="0.25">
      <c r="B29" s="38" t="s">
        <v>198</v>
      </c>
      <c r="C29" s="38" t="s">
        <v>199</v>
      </c>
    </row>
    <row r="30" spans="2:3" x14ac:dyDescent="0.25">
      <c r="C30" s="40" t="s">
        <v>200</v>
      </c>
    </row>
    <row r="31" spans="2:3" x14ac:dyDescent="0.25">
      <c r="C31" s="40" t="s">
        <v>201</v>
      </c>
    </row>
    <row r="32" spans="2:3" x14ac:dyDescent="0.25">
      <c r="C32" s="38" t="s">
        <v>202</v>
      </c>
    </row>
    <row r="33" spans="2:3" x14ac:dyDescent="0.25">
      <c r="C33" s="38" t="s">
        <v>203</v>
      </c>
    </row>
    <row r="35" spans="2:3" x14ac:dyDescent="0.25">
      <c r="C35" s="38" t="s">
        <v>204</v>
      </c>
    </row>
    <row r="36" spans="2:3" x14ac:dyDescent="0.25">
      <c r="C36" s="38" t="s">
        <v>205</v>
      </c>
    </row>
    <row r="38" spans="2:3" x14ac:dyDescent="0.25">
      <c r="C38" s="38" t="s">
        <v>206</v>
      </c>
    </row>
    <row r="39" spans="2:3" x14ac:dyDescent="0.25">
      <c r="C39" s="38" t="s">
        <v>207</v>
      </c>
    </row>
    <row r="41" spans="2:3" x14ac:dyDescent="0.25">
      <c r="B41" s="38" t="s">
        <v>208</v>
      </c>
      <c r="C41" s="38" t="s">
        <v>209</v>
      </c>
    </row>
    <row r="42" spans="2:3" x14ac:dyDescent="0.25">
      <c r="C42" s="38" t="s">
        <v>210</v>
      </c>
    </row>
    <row r="43" spans="2:3" x14ac:dyDescent="0.25">
      <c r="C43" s="38" t="s">
        <v>211</v>
      </c>
    </row>
    <row r="45" spans="2:3" x14ac:dyDescent="0.25">
      <c r="C45" s="38" t="s">
        <v>212</v>
      </c>
    </row>
    <row r="46" spans="2:3" x14ac:dyDescent="0.25">
      <c r="B46" s="41" t="s">
        <v>213</v>
      </c>
      <c r="C46" s="39" t="s">
        <v>214</v>
      </c>
    </row>
    <row r="47" spans="2:3" x14ac:dyDescent="0.25">
      <c r="B47" s="42"/>
      <c r="C47" s="39" t="s">
        <v>215</v>
      </c>
    </row>
    <row r="48" spans="2:3" x14ac:dyDescent="0.25">
      <c r="B48" s="41" t="s">
        <v>213</v>
      </c>
      <c r="C48" s="39" t="s">
        <v>216</v>
      </c>
    </row>
    <row r="49" spans="2:3" x14ac:dyDescent="0.25">
      <c r="B49" s="41"/>
      <c r="C49" s="39" t="s">
        <v>217</v>
      </c>
    </row>
    <row r="51" spans="2:3" x14ac:dyDescent="0.25">
      <c r="B51" s="38" t="s">
        <v>218</v>
      </c>
      <c r="C51" s="38" t="s">
        <v>219</v>
      </c>
    </row>
    <row r="52" spans="2:3" x14ac:dyDescent="0.25">
      <c r="C52" s="38" t="s">
        <v>220</v>
      </c>
    </row>
    <row r="53" spans="2:3" x14ac:dyDescent="0.25">
      <c r="C53" s="38" t="s">
        <v>221</v>
      </c>
    </row>
    <row r="54" spans="2:3" x14ac:dyDescent="0.25">
      <c r="B54" s="38" t="s">
        <v>222</v>
      </c>
      <c r="C54" s="38" t="s">
        <v>223</v>
      </c>
    </row>
    <row r="56" spans="2:3" x14ac:dyDescent="0.25">
      <c r="C56" s="38" t="s">
        <v>224</v>
      </c>
    </row>
    <row r="58" spans="2:3" x14ac:dyDescent="0.25">
      <c r="B58" s="38" t="s">
        <v>225</v>
      </c>
      <c r="C58" s="38" t="s">
        <v>226</v>
      </c>
    </row>
    <row r="59" spans="2:3" x14ac:dyDescent="0.25">
      <c r="C59" s="38" t="s">
        <v>227</v>
      </c>
    </row>
    <row r="61" spans="2:3" x14ac:dyDescent="0.25">
      <c r="B61" s="38" t="s">
        <v>228</v>
      </c>
      <c r="C61" s="38" t="s">
        <v>229</v>
      </c>
    </row>
    <row r="62" spans="2:3" x14ac:dyDescent="0.25">
      <c r="C62" s="38" t="s">
        <v>230</v>
      </c>
    </row>
    <row r="63" spans="2:3" x14ac:dyDescent="0.25">
      <c r="C63" s="38" t="s">
        <v>231</v>
      </c>
    </row>
    <row r="65" spans="2:3" x14ac:dyDescent="0.25">
      <c r="C65" s="38" t="s">
        <v>232</v>
      </c>
    </row>
    <row r="66" spans="2:3" x14ac:dyDescent="0.25">
      <c r="C66" s="38" t="s">
        <v>233</v>
      </c>
    </row>
    <row r="68" spans="2:3" x14ac:dyDescent="0.25">
      <c r="B68" s="43"/>
      <c r="C68" s="44"/>
    </row>
  </sheetData>
  <pageMargins left="0.7" right="0.7" top="0.78740157499999996" bottom="0.78740157499999996" header="0.3" footer="0.3"/>
  <pageSetup paperSize="9" fitToHeight="0" orientation="landscape" verticalDpi="0" r:id="rId1"/>
  <headerFooter alignWithMargins="0">
    <oddFooter xml:space="preserve">&amp;LPrinting date: &amp;D&amp;CPage &amp;P / &amp;N&amp;R&amp;F - &amp;A 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3" customWidth="1"/>
    <col min="2" max="3" width="11" style="5"/>
    <col min="4" max="16384" width="11" style="3"/>
  </cols>
  <sheetData>
    <row r="2" spans="2:11" ht="17.5" x14ac:dyDescent="0.35">
      <c r="K2" s="4"/>
    </row>
    <row r="5" spans="2:11" x14ac:dyDescent="0.35">
      <c r="E5" s="5" t="s">
        <v>413</v>
      </c>
    </row>
    <row r="9" spans="2:11" ht="21" x14ac:dyDescent="0.5">
      <c r="B9" s="6" t="s">
        <v>414</v>
      </c>
      <c r="J9" s="13"/>
      <c r="K9" s="13" t="s">
        <v>412</v>
      </c>
    </row>
    <row r="10" spans="2:11" x14ac:dyDescent="0.35">
      <c r="B10" s="5" t="s">
        <v>111</v>
      </c>
    </row>
    <row r="11" spans="2:11" x14ac:dyDescent="0.35">
      <c r="B11" s="5" t="s">
        <v>112</v>
      </c>
    </row>
    <row r="12" spans="2:11" x14ac:dyDescent="0.35">
      <c r="B12" s="5" t="s">
        <v>113</v>
      </c>
    </row>
    <row r="13" spans="2:11" x14ac:dyDescent="0.35">
      <c r="B13" s="5" t="s">
        <v>114</v>
      </c>
    </row>
    <row r="14" spans="2:11" x14ac:dyDescent="0.35">
      <c r="B14" s="5" t="s">
        <v>115</v>
      </c>
    </row>
    <row r="15" spans="2:11" x14ac:dyDescent="0.35">
      <c r="B15" s="5" t="s">
        <v>116</v>
      </c>
    </row>
    <row r="16" spans="2:11" x14ac:dyDescent="0.35">
      <c r="B16" s="5" t="s">
        <v>117</v>
      </c>
    </row>
    <row r="19" spans="2:2" x14ac:dyDescent="0.35">
      <c r="B19" s="20"/>
    </row>
    <row r="20" spans="2:2" x14ac:dyDescent="0.35">
      <c r="B20" s="5" t="s">
        <v>118</v>
      </c>
    </row>
    <row r="22" spans="2:2" x14ac:dyDescent="0.35">
      <c r="B22" s="27"/>
    </row>
    <row r="24" spans="2:2" x14ac:dyDescent="0.35">
      <c r="B24" s="20"/>
    </row>
    <row r="25" spans="2:2" x14ac:dyDescent="0.35">
      <c r="B25" s="28"/>
    </row>
  </sheetData>
  <sheetProtection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rgb="FFC00000"/>
    <pageSetUpPr fitToPage="1"/>
  </sheetPr>
  <dimension ref="A1:FU203"/>
  <sheetViews>
    <sheetView showGridLines="0" showRowColHeaders="0" zoomScale="85" zoomScaleNormal="8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A7" sqref="A7"/>
    </sheetView>
  </sheetViews>
  <sheetFormatPr defaultColWidth="3.1796875" defaultRowHeight="12.5" x14ac:dyDescent="0.25"/>
  <cols>
    <col min="1" max="1" width="28.81640625" style="45" customWidth="1"/>
    <col min="2" max="49" width="12.7265625" style="45" customWidth="1"/>
    <col min="50" max="50" width="12.7265625" style="45" customWidth="1" collapsed="1"/>
    <col min="51" max="96" width="12.7265625" style="45" customWidth="1"/>
    <col min="97" max="121" width="12.7265625" style="45" hidden="1" customWidth="1"/>
    <col min="122" max="124" width="3.1796875" style="45" hidden="1" customWidth="1"/>
    <col min="125" max="16384" width="3.1796875" style="45"/>
  </cols>
  <sheetData>
    <row r="1" spans="1:177" ht="30" customHeight="1" x14ac:dyDescent="0.4">
      <c r="A1" s="48" t="str">
        <f>ReportCaption</f>
        <v>Produksjonplan</v>
      </c>
      <c r="K1" s="139" t="s">
        <v>428</v>
      </c>
      <c r="L1" s="137" t="s">
        <v>427</v>
      </c>
      <c r="M1" s="138" t="s">
        <v>429</v>
      </c>
    </row>
    <row r="2" spans="1:177" x14ac:dyDescent="0.25">
      <c r="A2" s="45" t="str">
        <f>"Creation Time: "&amp;PlanTime1</f>
        <v>Creation Time: 11.06.2010 10:58:03</v>
      </c>
      <c r="M2" s="49" t="s">
        <v>313</v>
      </c>
      <c r="N2" s="50">
        <f ca="1">ROUND(WC_Cap!$U$11,3)</f>
        <v>0</v>
      </c>
      <c r="O2" s="51"/>
      <c r="S2" s="45" t="s">
        <v>314</v>
      </c>
    </row>
    <row r="3" spans="1:177" x14ac:dyDescent="0.25">
      <c r="A3" s="45">
        <f>Updated</f>
        <v>0</v>
      </c>
    </row>
    <row r="5" spans="1:177" ht="13" x14ac:dyDescent="0.3">
      <c r="A5" s="52"/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5" t="str">
        <f>TEXT(N6,"dd.mm.åååå")</f>
        <v>25.11.2013</v>
      </c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3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5" t="str">
        <f>TEXT(AL6,"dd.mm.åååå")</f>
        <v>26.11.2013</v>
      </c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3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5" t="str">
        <f>TEXT(BJ6,"dd.mm.åååå")</f>
        <v>27.11.2013</v>
      </c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3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5" t="str">
        <f>TEXT(CH6,"dd.mm.åååå")</f>
        <v>28.11.2013</v>
      </c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7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5" t="str">
        <f>TEXT(DI6,"dd.mm.åååå")</f>
        <v>29.11.2013</v>
      </c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</row>
    <row r="6" spans="1:177" s="61" customFormat="1" ht="13" x14ac:dyDescent="0.3">
      <c r="A6" s="58" t="s">
        <v>172</v>
      </c>
      <c r="B6" s="59">
        <f>CapDate+1/24</f>
        <v>41603.041666666664</v>
      </c>
      <c r="C6" s="60">
        <f>StartTime+1/24</f>
        <v>41603.083333333328</v>
      </c>
      <c r="D6" s="60">
        <f>C6+1/24</f>
        <v>41603.124999999993</v>
      </c>
      <c r="E6" s="60">
        <f t="shared" ref="E6:BP6" si="0">D6+1/24</f>
        <v>41603.166666666657</v>
      </c>
      <c r="F6" s="60">
        <f t="shared" si="0"/>
        <v>41603.208333333321</v>
      </c>
      <c r="G6" s="60">
        <f t="shared" si="0"/>
        <v>41603.249999999985</v>
      </c>
      <c r="H6" s="60">
        <f t="shared" si="0"/>
        <v>41603.29166666665</v>
      </c>
      <c r="I6" s="60">
        <f t="shared" si="0"/>
        <v>41603.333333333314</v>
      </c>
      <c r="J6" s="60">
        <f t="shared" si="0"/>
        <v>41603.374999999978</v>
      </c>
      <c r="K6" s="60">
        <f t="shared" si="0"/>
        <v>41603.416666666642</v>
      </c>
      <c r="L6" s="60">
        <f t="shared" si="0"/>
        <v>41603.458333333307</v>
      </c>
      <c r="M6" s="60">
        <f t="shared" si="0"/>
        <v>41603.499999999971</v>
      </c>
      <c r="N6" s="60">
        <f t="shared" si="0"/>
        <v>41603.541666666635</v>
      </c>
      <c r="O6" s="60">
        <f t="shared" si="0"/>
        <v>41603.583333333299</v>
      </c>
      <c r="P6" s="60">
        <f t="shared" si="0"/>
        <v>41603.624999999964</v>
      </c>
      <c r="Q6" s="60">
        <f t="shared" si="0"/>
        <v>41603.666666666628</v>
      </c>
      <c r="R6" s="60">
        <f t="shared" si="0"/>
        <v>41603.708333333292</v>
      </c>
      <c r="S6" s="60">
        <f t="shared" si="0"/>
        <v>41603.749999999956</v>
      </c>
      <c r="T6" s="60">
        <f t="shared" si="0"/>
        <v>41603.791666666621</v>
      </c>
      <c r="U6" s="60">
        <f t="shared" si="0"/>
        <v>41603.833333333285</v>
      </c>
      <c r="V6" s="60">
        <f t="shared" si="0"/>
        <v>41603.874999999949</v>
      </c>
      <c r="W6" s="60">
        <f t="shared" si="0"/>
        <v>41603.916666666613</v>
      </c>
      <c r="X6" s="60">
        <f t="shared" si="0"/>
        <v>41603.958333333278</v>
      </c>
      <c r="Y6" s="60">
        <f t="shared" si="0"/>
        <v>41603.999999999942</v>
      </c>
      <c r="Z6" s="60">
        <f t="shared" si="0"/>
        <v>41604.041666666606</v>
      </c>
      <c r="AA6" s="60">
        <f t="shared" si="0"/>
        <v>41604.08333333327</v>
      </c>
      <c r="AB6" s="60">
        <f t="shared" si="0"/>
        <v>41604.124999999935</v>
      </c>
      <c r="AC6" s="60">
        <f t="shared" si="0"/>
        <v>41604.166666666599</v>
      </c>
      <c r="AD6" s="60">
        <f t="shared" si="0"/>
        <v>41604.208333333263</v>
      </c>
      <c r="AE6" s="60">
        <f t="shared" si="0"/>
        <v>41604.249999999927</v>
      </c>
      <c r="AF6" s="60">
        <f t="shared" si="0"/>
        <v>41604.291666666591</v>
      </c>
      <c r="AG6" s="60">
        <f t="shared" si="0"/>
        <v>41604.333333333256</v>
      </c>
      <c r="AH6" s="60">
        <f t="shared" si="0"/>
        <v>41604.37499999992</v>
      </c>
      <c r="AI6" s="60">
        <f t="shared" si="0"/>
        <v>41604.416666666584</v>
      </c>
      <c r="AJ6" s="60">
        <f t="shared" si="0"/>
        <v>41604.458333333248</v>
      </c>
      <c r="AK6" s="60">
        <f t="shared" si="0"/>
        <v>41604.499999999913</v>
      </c>
      <c r="AL6" s="60">
        <f t="shared" si="0"/>
        <v>41604.541666666577</v>
      </c>
      <c r="AM6" s="60">
        <f t="shared" si="0"/>
        <v>41604.583333333241</v>
      </c>
      <c r="AN6" s="60">
        <f t="shared" si="0"/>
        <v>41604.624999999905</v>
      </c>
      <c r="AO6" s="60">
        <f t="shared" si="0"/>
        <v>41604.66666666657</v>
      </c>
      <c r="AP6" s="60">
        <f t="shared" si="0"/>
        <v>41604.708333333234</v>
      </c>
      <c r="AQ6" s="60">
        <f t="shared" si="0"/>
        <v>41604.749999999898</v>
      </c>
      <c r="AR6" s="60">
        <f t="shared" si="0"/>
        <v>41604.791666666562</v>
      </c>
      <c r="AS6" s="60">
        <f t="shared" si="0"/>
        <v>41604.833333333227</v>
      </c>
      <c r="AT6" s="60">
        <f t="shared" si="0"/>
        <v>41604.874999999891</v>
      </c>
      <c r="AU6" s="60">
        <f t="shared" si="0"/>
        <v>41604.916666666555</v>
      </c>
      <c r="AV6" s="60">
        <f t="shared" si="0"/>
        <v>41604.958333333219</v>
      </c>
      <c r="AW6" s="60">
        <f t="shared" si="0"/>
        <v>41604.999999999884</v>
      </c>
      <c r="AX6" s="60">
        <f t="shared" si="0"/>
        <v>41605.041666666548</v>
      </c>
      <c r="AY6" s="60">
        <f t="shared" si="0"/>
        <v>41605.083333333212</v>
      </c>
      <c r="AZ6" s="60">
        <f t="shared" si="0"/>
        <v>41605.124999999876</v>
      </c>
      <c r="BA6" s="60">
        <f t="shared" si="0"/>
        <v>41605.166666666541</v>
      </c>
      <c r="BB6" s="60">
        <f t="shared" si="0"/>
        <v>41605.208333333205</v>
      </c>
      <c r="BC6" s="60">
        <f t="shared" si="0"/>
        <v>41605.249999999869</v>
      </c>
      <c r="BD6" s="60">
        <f t="shared" si="0"/>
        <v>41605.291666666533</v>
      </c>
      <c r="BE6" s="60">
        <f t="shared" si="0"/>
        <v>41605.333333333198</v>
      </c>
      <c r="BF6" s="60">
        <f t="shared" si="0"/>
        <v>41605.374999999862</v>
      </c>
      <c r="BG6" s="60">
        <f t="shared" si="0"/>
        <v>41605.416666666526</v>
      </c>
      <c r="BH6" s="60">
        <f t="shared" si="0"/>
        <v>41605.45833333319</v>
      </c>
      <c r="BI6" s="60">
        <f t="shared" si="0"/>
        <v>41605.499999999854</v>
      </c>
      <c r="BJ6" s="60">
        <f t="shared" si="0"/>
        <v>41605.541666666519</v>
      </c>
      <c r="BK6" s="60">
        <f t="shared" si="0"/>
        <v>41605.583333333183</v>
      </c>
      <c r="BL6" s="60">
        <f t="shared" si="0"/>
        <v>41605.624999999847</v>
      </c>
      <c r="BM6" s="60">
        <f t="shared" si="0"/>
        <v>41605.666666666511</v>
      </c>
      <c r="BN6" s="60">
        <f t="shared" si="0"/>
        <v>41605.708333333176</v>
      </c>
      <c r="BO6" s="60">
        <f t="shared" si="0"/>
        <v>41605.74999999984</v>
      </c>
      <c r="BP6" s="60">
        <f t="shared" si="0"/>
        <v>41605.791666666504</v>
      </c>
      <c r="BQ6" s="60">
        <f t="shared" ref="BQ6:DT6" si="1">BP6+1/24</f>
        <v>41605.833333333168</v>
      </c>
      <c r="BR6" s="60">
        <f t="shared" si="1"/>
        <v>41605.874999999833</v>
      </c>
      <c r="BS6" s="60">
        <f t="shared" si="1"/>
        <v>41605.916666666497</v>
      </c>
      <c r="BT6" s="60">
        <f t="shared" si="1"/>
        <v>41605.958333333161</v>
      </c>
      <c r="BU6" s="60">
        <f t="shared" si="1"/>
        <v>41605.999999999825</v>
      </c>
      <c r="BV6" s="60">
        <f t="shared" si="1"/>
        <v>41606.04166666649</v>
      </c>
      <c r="BW6" s="60">
        <f t="shared" si="1"/>
        <v>41606.083333333154</v>
      </c>
      <c r="BX6" s="60">
        <f t="shared" si="1"/>
        <v>41606.124999999818</v>
      </c>
      <c r="BY6" s="60">
        <f t="shared" si="1"/>
        <v>41606.166666666482</v>
      </c>
      <c r="BZ6" s="60">
        <f t="shared" si="1"/>
        <v>41606.208333333147</v>
      </c>
      <c r="CA6" s="60">
        <f t="shared" si="1"/>
        <v>41606.249999999811</v>
      </c>
      <c r="CB6" s="60">
        <f t="shared" si="1"/>
        <v>41606.291666666475</v>
      </c>
      <c r="CC6" s="60">
        <f t="shared" si="1"/>
        <v>41606.333333333139</v>
      </c>
      <c r="CD6" s="60">
        <f t="shared" si="1"/>
        <v>41606.374999999804</v>
      </c>
      <c r="CE6" s="60">
        <f t="shared" si="1"/>
        <v>41606.416666666468</v>
      </c>
      <c r="CF6" s="60">
        <f t="shared" si="1"/>
        <v>41606.458333333132</v>
      </c>
      <c r="CG6" s="60">
        <f t="shared" si="1"/>
        <v>41606.499999999796</v>
      </c>
      <c r="CH6" s="60">
        <f t="shared" si="1"/>
        <v>41606.541666666461</v>
      </c>
      <c r="CI6" s="60">
        <f t="shared" si="1"/>
        <v>41606.583333333125</v>
      </c>
      <c r="CJ6" s="60">
        <f t="shared" si="1"/>
        <v>41606.624999999789</v>
      </c>
      <c r="CK6" s="60">
        <f t="shared" si="1"/>
        <v>41606.666666666453</v>
      </c>
      <c r="CL6" s="60">
        <f t="shared" si="1"/>
        <v>41606.708333333117</v>
      </c>
      <c r="CM6" s="60">
        <f t="shared" si="1"/>
        <v>41606.749999999782</v>
      </c>
      <c r="CN6" s="60">
        <f t="shared" si="1"/>
        <v>41606.791666666446</v>
      </c>
      <c r="CO6" s="60">
        <f t="shared" si="1"/>
        <v>41606.83333333311</v>
      </c>
      <c r="CP6" s="60">
        <f t="shared" si="1"/>
        <v>41606.874999999774</v>
      </c>
      <c r="CQ6" s="60">
        <f t="shared" si="1"/>
        <v>41606.916666666439</v>
      </c>
      <c r="CR6" s="60">
        <f t="shared" si="1"/>
        <v>41606.958333333103</v>
      </c>
      <c r="CS6" s="60">
        <f t="shared" si="1"/>
        <v>41606.999999999767</v>
      </c>
      <c r="CT6" s="60">
        <f t="shared" si="1"/>
        <v>41607.041666666431</v>
      </c>
      <c r="CU6" s="60">
        <f t="shared" si="1"/>
        <v>41607.083333333096</v>
      </c>
      <c r="CV6" s="60">
        <f t="shared" si="1"/>
        <v>41607.12499999976</v>
      </c>
      <c r="CW6" s="60">
        <f t="shared" si="1"/>
        <v>41607.166666666424</v>
      </c>
      <c r="CX6" s="60">
        <f t="shared" si="1"/>
        <v>41607.208333333088</v>
      </c>
      <c r="CY6" s="60">
        <f t="shared" si="1"/>
        <v>41607.249999999753</v>
      </c>
      <c r="CZ6" s="60">
        <f t="shared" si="1"/>
        <v>41607.291666666417</v>
      </c>
      <c r="DA6" s="60">
        <f t="shared" si="1"/>
        <v>41607.333333333081</v>
      </c>
      <c r="DB6" s="60">
        <f t="shared" si="1"/>
        <v>41607.374999999745</v>
      </c>
      <c r="DC6" s="60">
        <f t="shared" si="1"/>
        <v>41607.41666666641</v>
      </c>
      <c r="DD6" s="60">
        <f t="shared" si="1"/>
        <v>41607.458333333074</v>
      </c>
      <c r="DE6" s="60">
        <f t="shared" si="1"/>
        <v>41607.499999999738</v>
      </c>
      <c r="DF6" s="60">
        <f t="shared" si="1"/>
        <v>41607.541666666402</v>
      </c>
      <c r="DG6" s="60">
        <f t="shared" si="1"/>
        <v>41607.583333333067</v>
      </c>
      <c r="DH6" s="60">
        <f t="shared" si="1"/>
        <v>41607.624999999731</v>
      </c>
      <c r="DI6" s="60">
        <f t="shared" si="1"/>
        <v>41607.666666666395</v>
      </c>
      <c r="DJ6" s="60">
        <f t="shared" si="1"/>
        <v>41607.708333333059</v>
      </c>
      <c r="DK6" s="60">
        <f t="shared" si="1"/>
        <v>41607.749999999724</v>
      </c>
      <c r="DL6" s="60">
        <f t="shared" si="1"/>
        <v>41607.791666666388</v>
      </c>
      <c r="DM6" s="60">
        <f t="shared" si="1"/>
        <v>41607.833333333052</v>
      </c>
      <c r="DN6" s="60">
        <f t="shared" si="1"/>
        <v>41607.874999999716</v>
      </c>
      <c r="DO6" s="60">
        <f t="shared" si="1"/>
        <v>41607.91666666638</v>
      </c>
      <c r="DP6" s="60">
        <f t="shared" si="1"/>
        <v>41607.958333333045</v>
      </c>
      <c r="DQ6" s="60">
        <f t="shared" si="1"/>
        <v>41607.999999999709</v>
      </c>
      <c r="DR6" s="60">
        <f t="shared" si="1"/>
        <v>41608.041666666373</v>
      </c>
      <c r="DS6" s="60">
        <f t="shared" si="1"/>
        <v>41608.083333333037</v>
      </c>
      <c r="DT6" s="60">
        <f t="shared" si="1"/>
        <v>41608.124999999702</v>
      </c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45"/>
      <c r="FC6" s="45"/>
      <c r="FD6" s="45"/>
      <c r="FE6" s="45"/>
      <c r="FF6" s="45"/>
      <c r="FG6" s="45"/>
      <c r="FH6" s="45"/>
      <c r="FI6" s="45"/>
      <c r="FJ6" s="45"/>
      <c r="FK6" s="45"/>
      <c r="FL6" s="45"/>
      <c r="FM6" s="45"/>
      <c r="FN6" s="45"/>
      <c r="FO6" s="45"/>
      <c r="FP6" s="45"/>
      <c r="FQ6" s="45"/>
      <c r="FR6" s="45"/>
      <c r="FS6" s="45"/>
      <c r="FT6" s="45"/>
      <c r="FU6" s="45"/>
    </row>
    <row r="7" spans="1:177" ht="43" customHeight="1" x14ac:dyDescent="0.25"/>
    <row r="8" spans="1:177" ht="43" customHeight="1" x14ac:dyDescent="0.25"/>
    <row r="9" spans="1:177" ht="43" customHeight="1" x14ac:dyDescent="0.25"/>
    <row r="10" spans="1:177" ht="43" customHeight="1" x14ac:dyDescent="0.25"/>
    <row r="11" spans="1:177" ht="43" customHeight="1" x14ac:dyDescent="0.25"/>
    <row r="12" spans="1:177" ht="43" customHeight="1" x14ac:dyDescent="0.25"/>
    <row r="13" spans="1:177" ht="43" customHeight="1" x14ac:dyDescent="0.25"/>
    <row r="14" spans="1:177" ht="43" customHeight="1" x14ac:dyDescent="0.25"/>
    <row r="15" spans="1:177" ht="43" customHeight="1" x14ac:dyDescent="0.25"/>
    <row r="16" spans="1:177" ht="43" customHeight="1" x14ac:dyDescent="0.25"/>
    <row r="17" ht="43" customHeight="1" x14ac:dyDescent="0.25"/>
    <row r="18" ht="43" customHeight="1" x14ac:dyDescent="0.25"/>
    <row r="19" ht="43" customHeight="1" x14ac:dyDescent="0.25"/>
    <row r="20" ht="43" customHeight="1" x14ac:dyDescent="0.25"/>
    <row r="21" ht="43" customHeight="1" x14ac:dyDescent="0.25"/>
    <row r="22" ht="43" customHeight="1" x14ac:dyDescent="0.25"/>
    <row r="23" ht="43" customHeight="1" x14ac:dyDescent="0.25"/>
    <row r="24" ht="43" customHeight="1" x14ac:dyDescent="0.25"/>
    <row r="25" ht="43" customHeight="1" x14ac:dyDescent="0.25"/>
    <row r="26" ht="43" customHeight="1" x14ac:dyDescent="0.25"/>
    <row r="27" ht="43" customHeight="1" x14ac:dyDescent="0.25"/>
    <row r="28" ht="12.75" customHeight="1" x14ac:dyDescent="0.25"/>
    <row r="29" ht="12.75" customHeight="1" x14ac:dyDescent="0.25"/>
    <row r="30" ht="12.75" customHeight="1" x14ac:dyDescent="0.25"/>
    <row r="31" ht="12.75" customHeight="1" x14ac:dyDescent="0.25"/>
    <row r="32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spans="1:1" ht="12.75" customHeight="1" x14ac:dyDescent="0.25"/>
    <row r="98" spans="1:1" ht="12.75" customHeight="1" x14ac:dyDescent="0.25"/>
    <row r="99" spans="1:1" ht="12.75" customHeight="1" x14ac:dyDescent="0.25"/>
    <row r="100" spans="1:1" ht="12.75" customHeight="1" x14ac:dyDescent="0.25"/>
    <row r="101" spans="1:1" x14ac:dyDescent="0.25">
      <c r="A101" s="62"/>
    </row>
    <row r="102" spans="1:1" x14ac:dyDescent="0.25">
      <c r="A102" s="62"/>
    </row>
    <row r="103" spans="1:1" x14ac:dyDescent="0.25">
      <c r="A103" s="62"/>
    </row>
    <row r="104" spans="1:1" x14ac:dyDescent="0.25">
      <c r="A104" s="62"/>
    </row>
    <row r="105" spans="1:1" x14ac:dyDescent="0.25">
      <c r="A105" s="62"/>
    </row>
    <row r="106" spans="1:1" x14ac:dyDescent="0.25">
      <c r="A106" s="62"/>
    </row>
    <row r="107" spans="1:1" x14ac:dyDescent="0.25">
      <c r="A107" s="62"/>
    </row>
    <row r="108" spans="1:1" x14ac:dyDescent="0.25">
      <c r="A108" s="62"/>
    </row>
    <row r="109" spans="1:1" x14ac:dyDescent="0.25">
      <c r="A109" s="62"/>
    </row>
    <row r="110" spans="1:1" x14ac:dyDescent="0.25">
      <c r="A110" s="62"/>
    </row>
    <row r="111" spans="1:1" x14ac:dyDescent="0.25">
      <c r="A111" s="62"/>
    </row>
    <row r="112" spans="1:1" x14ac:dyDescent="0.25">
      <c r="A112" s="62"/>
    </row>
    <row r="113" spans="1:1" x14ac:dyDescent="0.25">
      <c r="A113" s="62"/>
    </row>
    <row r="114" spans="1:1" x14ac:dyDescent="0.25">
      <c r="A114" s="62"/>
    </row>
    <row r="115" spans="1:1" x14ac:dyDescent="0.25">
      <c r="A115" s="62"/>
    </row>
    <row r="116" spans="1:1" x14ac:dyDescent="0.25">
      <c r="A116" s="62"/>
    </row>
    <row r="117" spans="1:1" x14ac:dyDescent="0.25">
      <c r="A117" s="62"/>
    </row>
    <row r="118" spans="1:1" x14ac:dyDescent="0.25">
      <c r="A118" s="62"/>
    </row>
    <row r="119" spans="1:1" x14ac:dyDescent="0.25">
      <c r="A119" s="62"/>
    </row>
    <row r="120" spans="1:1" x14ac:dyDescent="0.25">
      <c r="A120" s="62"/>
    </row>
    <row r="121" spans="1:1" x14ac:dyDescent="0.25">
      <c r="A121" s="62"/>
    </row>
    <row r="122" spans="1:1" x14ac:dyDescent="0.25">
      <c r="A122" s="62"/>
    </row>
    <row r="123" spans="1:1" x14ac:dyDescent="0.25">
      <c r="A123" s="62"/>
    </row>
    <row r="124" spans="1:1" x14ac:dyDescent="0.25">
      <c r="A124" s="62"/>
    </row>
    <row r="125" spans="1:1" x14ac:dyDescent="0.25">
      <c r="A125" s="62"/>
    </row>
    <row r="126" spans="1:1" x14ac:dyDescent="0.25">
      <c r="A126" s="62"/>
    </row>
    <row r="127" spans="1:1" x14ac:dyDescent="0.25">
      <c r="A127" s="62"/>
    </row>
    <row r="128" spans="1:1" x14ac:dyDescent="0.25">
      <c r="A128" s="62"/>
    </row>
    <row r="129" spans="1:1" x14ac:dyDescent="0.25">
      <c r="A129" s="62"/>
    </row>
    <row r="130" spans="1:1" x14ac:dyDescent="0.25">
      <c r="A130" s="62"/>
    </row>
    <row r="131" spans="1:1" x14ac:dyDescent="0.25">
      <c r="A131" s="62"/>
    </row>
    <row r="132" spans="1:1" x14ac:dyDescent="0.25">
      <c r="A132" s="62"/>
    </row>
    <row r="133" spans="1:1" x14ac:dyDescent="0.25">
      <c r="A133" s="62"/>
    </row>
    <row r="134" spans="1:1" x14ac:dyDescent="0.25">
      <c r="A134" s="62"/>
    </row>
    <row r="135" spans="1:1" x14ac:dyDescent="0.25">
      <c r="A135" s="62"/>
    </row>
    <row r="136" spans="1:1" x14ac:dyDescent="0.25">
      <c r="A136" s="62"/>
    </row>
    <row r="137" spans="1:1" x14ac:dyDescent="0.25">
      <c r="A137" s="62"/>
    </row>
    <row r="138" spans="1:1" x14ac:dyDescent="0.25">
      <c r="A138" s="62"/>
    </row>
    <row r="139" spans="1:1" x14ac:dyDescent="0.25">
      <c r="A139" s="62"/>
    </row>
    <row r="140" spans="1:1" x14ac:dyDescent="0.25">
      <c r="A140" s="62"/>
    </row>
    <row r="141" spans="1:1" x14ac:dyDescent="0.25">
      <c r="A141" s="62"/>
    </row>
    <row r="142" spans="1:1" x14ac:dyDescent="0.25">
      <c r="A142" s="62"/>
    </row>
    <row r="143" spans="1:1" x14ac:dyDescent="0.25">
      <c r="A143" s="62"/>
    </row>
    <row r="144" spans="1:1" x14ac:dyDescent="0.25">
      <c r="A144" s="62"/>
    </row>
    <row r="145" spans="1:1" x14ac:dyDescent="0.25">
      <c r="A145" s="62"/>
    </row>
    <row r="146" spans="1:1" x14ac:dyDescent="0.25">
      <c r="A146" s="62"/>
    </row>
    <row r="147" spans="1:1" x14ac:dyDescent="0.25">
      <c r="A147" s="62"/>
    </row>
    <row r="148" spans="1:1" x14ac:dyDescent="0.25">
      <c r="A148" s="62"/>
    </row>
    <row r="149" spans="1:1" x14ac:dyDescent="0.25">
      <c r="A149" s="62"/>
    </row>
    <row r="150" spans="1:1" x14ac:dyDescent="0.25">
      <c r="A150" s="62"/>
    </row>
    <row r="151" spans="1:1" x14ac:dyDescent="0.25">
      <c r="A151" s="62"/>
    </row>
    <row r="152" spans="1:1" x14ac:dyDescent="0.25">
      <c r="A152" s="62"/>
    </row>
    <row r="153" spans="1:1" x14ac:dyDescent="0.25">
      <c r="A153" s="62"/>
    </row>
    <row r="154" spans="1:1" x14ac:dyDescent="0.25">
      <c r="A154" s="62"/>
    </row>
    <row r="155" spans="1:1" x14ac:dyDescent="0.25">
      <c r="A155" s="62"/>
    </row>
    <row r="156" spans="1:1" x14ac:dyDescent="0.25">
      <c r="A156" s="62"/>
    </row>
    <row r="157" spans="1:1" x14ac:dyDescent="0.25">
      <c r="A157" s="62"/>
    </row>
    <row r="158" spans="1:1" x14ac:dyDescent="0.25">
      <c r="A158" s="62"/>
    </row>
    <row r="159" spans="1:1" x14ac:dyDescent="0.25">
      <c r="A159" s="62"/>
    </row>
    <row r="160" spans="1:1" x14ac:dyDescent="0.25">
      <c r="A160" s="62"/>
    </row>
    <row r="161" spans="1:1" x14ac:dyDescent="0.25">
      <c r="A161" s="62"/>
    </row>
    <row r="162" spans="1:1" x14ac:dyDescent="0.25">
      <c r="A162" s="62"/>
    </row>
    <row r="163" spans="1:1" x14ac:dyDescent="0.25">
      <c r="A163" s="62"/>
    </row>
    <row r="164" spans="1:1" x14ac:dyDescent="0.25">
      <c r="A164" s="62"/>
    </row>
    <row r="165" spans="1:1" x14ac:dyDescent="0.25">
      <c r="A165" s="62"/>
    </row>
    <row r="166" spans="1:1" x14ac:dyDescent="0.25">
      <c r="A166" s="62"/>
    </row>
    <row r="167" spans="1:1" x14ac:dyDescent="0.25">
      <c r="A167" s="62"/>
    </row>
    <row r="168" spans="1:1" x14ac:dyDescent="0.25">
      <c r="A168" s="62"/>
    </row>
    <row r="169" spans="1:1" x14ac:dyDescent="0.25">
      <c r="A169" s="62"/>
    </row>
    <row r="170" spans="1:1" x14ac:dyDescent="0.25">
      <c r="A170" s="62"/>
    </row>
    <row r="171" spans="1:1" x14ac:dyDescent="0.25">
      <c r="A171" s="62"/>
    </row>
    <row r="172" spans="1:1" x14ac:dyDescent="0.25">
      <c r="A172" s="62"/>
    </row>
    <row r="173" spans="1:1" x14ac:dyDescent="0.25">
      <c r="A173" s="62"/>
    </row>
    <row r="174" spans="1:1" x14ac:dyDescent="0.25">
      <c r="A174" s="62"/>
    </row>
    <row r="175" spans="1:1" x14ac:dyDescent="0.25">
      <c r="A175" s="62"/>
    </row>
    <row r="176" spans="1:1" x14ac:dyDescent="0.25">
      <c r="A176" s="62"/>
    </row>
    <row r="177" spans="1:1" x14ac:dyDescent="0.25">
      <c r="A177" s="62"/>
    </row>
    <row r="178" spans="1:1" x14ac:dyDescent="0.25">
      <c r="A178" s="62"/>
    </row>
    <row r="179" spans="1:1" x14ac:dyDescent="0.25">
      <c r="A179" s="62"/>
    </row>
    <row r="180" spans="1:1" x14ac:dyDescent="0.25">
      <c r="A180" s="62"/>
    </row>
    <row r="181" spans="1:1" x14ac:dyDescent="0.25">
      <c r="A181" s="62"/>
    </row>
    <row r="182" spans="1:1" x14ac:dyDescent="0.25">
      <c r="A182" s="62"/>
    </row>
    <row r="183" spans="1:1" x14ac:dyDescent="0.25">
      <c r="A183" s="62"/>
    </row>
    <row r="184" spans="1:1" x14ac:dyDescent="0.25">
      <c r="A184" s="62"/>
    </row>
    <row r="185" spans="1:1" x14ac:dyDescent="0.25">
      <c r="A185" s="62"/>
    </row>
    <row r="186" spans="1:1" x14ac:dyDescent="0.25">
      <c r="A186" s="62"/>
    </row>
    <row r="187" spans="1:1" x14ac:dyDescent="0.25">
      <c r="A187" s="62"/>
    </row>
    <row r="188" spans="1:1" x14ac:dyDescent="0.25">
      <c r="A188" s="62"/>
    </row>
    <row r="189" spans="1:1" x14ac:dyDescent="0.25">
      <c r="A189" s="62"/>
    </row>
    <row r="190" spans="1:1" x14ac:dyDescent="0.25">
      <c r="A190" s="62"/>
    </row>
    <row r="191" spans="1:1" x14ac:dyDescent="0.25">
      <c r="A191" s="62"/>
    </row>
    <row r="192" spans="1:1" x14ac:dyDescent="0.25">
      <c r="A192" s="62"/>
    </row>
    <row r="193" spans="1:1" x14ac:dyDescent="0.25">
      <c r="A193" s="62"/>
    </row>
    <row r="194" spans="1:1" x14ac:dyDescent="0.25">
      <c r="A194" s="62"/>
    </row>
    <row r="195" spans="1:1" x14ac:dyDescent="0.25">
      <c r="A195" s="62"/>
    </row>
    <row r="196" spans="1:1" x14ac:dyDescent="0.25">
      <c r="A196" s="62"/>
    </row>
    <row r="197" spans="1:1" x14ac:dyDescent="0.25">
      <c r="A197" s="62"/>
    </row>
    <row r="198" spans="1:1" x14ac:dyDescent="0.25">
      <c r="A198" s="62"/>
    </row>
    <row r="199" spans="1:1" x14ac:dyDescent="0.25">
      <c r="A199" s="62"/>
    </row>
    <row r="200" spans="1:1" x14ac:dyDescent="0.25">
      <c r="A200" s="62"/>
    </row>
    <row r="201" spans="1:1" x14ac:dyDescent="0.25">
      <c r="A201" s="62"/>
    </row>
    <row r="202" spans="1:1" x14ac:dyDescent="0.25">
      <c r="A202" s="62"/>
    </row>
    <row r="203" spans="1:1" x14ac:dyDescent="0.25">
      <c r="A203" s="62"/>
    </row>
  </sheetData>
  <sheetProtection pivotTables="0"/>
  <conditionalFormatting sqref="N2">
    <cfRule type="cellIs" dxfId="15" priority="1" stopIfTrue="1" operator="greaterThan">
      <formula>-0.0005</formula>
    </cfRule>
    <cfRule type="cellIs" dxfId="14" priority="2" stopIfTrue="1" operator="lessThan">
      <formula>-0.0005</formula>
    </cfRule>
  </conditionalFormatting>
  <pageMargins left="0.36" right="0.42" top="0.38" bottom="0.45" header="0.26" footer="0.2"/>
  <pageSetup paperSize="8" scale="16" orientation="landscape" verticalDpi="1200" r:id="rId1"/>
  <headerFooter alignWithMargins="0">
    <oddFooter xml:space="preserve">&amp;LPrinting date: &amp;D&amp;CPage &amp;P / &amp;N&amp;R&amp;F - &amp;A 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C00000"/>
  </sheetPr>
  <dimension ref="A1:L205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defaultColWidth="11.453125" defaultRowHeight="12.5" x14ac:dyDescent="0.25"/>
  <cols>
    <col min="1" max="1" width="24" style="45" customWidth="1"/>
    <col min="2" max="2" width="8.1796875" style="45" customWidth="1"/>
    <col min="3" max="3" width="45.81640625" style="45" customWidth="1"/>
    <col min="4" max="4" width="10.26953125" style="45" customWidth="1"/>
    <col min="5" max="5" width="13.81640625" style="45" customWidth="1"/>
    <col min="6" max="6" width="12.81640625" style="63" customWidth="1"/>
    <col min="7" max="9" width="10.7265625" style="45" customWidth="1"/>
    <col min="10" max="10" width="9.54296875" style="45" customWidth="1"/>
    <col min="11" max="11" width="11.7265625" style="45" customWidth="1"/>
    <col min="12" max="18" width="10.453125" style="45" customWidth="1"/>
    <col min="19" max="20" width="10.54296875" style="45" customWidth="1"/>
    <col min="21" max="21" width="10.26953125" style="45" customWidth="1"/>
    <col min="22" max="25" width="12.81640625" style="45" bestFit="1" customWidth="1"/>
    <col min="26" max="26" width="16" style="45" bestFit="1" customWidth="1"/>
    <col min="27" max="50" width="10.26953125" style="45" customWidth="1"/>
    <col min="51" max="51" width="16" style="45" bestFit="1" customWidth="1"/>
    <col min="52" max="62" width="10.26953125" style="45" customWidth="1"/>
    <col min="63" max="63" width="16" style="45" bestFit="1" customWidth="1"/>
    <col min="64" max="64" width="10.26953125" style="45" customWidth="1"/>
    <col min="65" max="65" width="16" style="45" bestFit="1" customWidth="1"/>
    <col min="66" max="66" width="10.26953125" style="45" customWidth="1"/>
    <col min="67" max="67" width="16" style="45" bestFit="1" customWidth="1"/>
    <col min="68" max="68" width="10.26953125" style="45" customWidth="1"/>
    <col min="69" max="69" width="16" style="45" bestFit="1" customWidth="1"/>
    <col min="70" max="16384" width="11.453125" style="45"/>
  </cols>
  <sheetData>
    <row r="1" spans="1:12" ht="30" customHeight="1" x14ac:dyDescent="0.4">
      <c r="A1" s="48"/>
    </row>
    <row r="2" spans="1:12" x14ac:dyDescent="0.25">
      <c r="A2" s="45">
        <f>Updated</f>
        <v>0</v>
      </c>
    </row>
    <row r="8" spans="1:12" ht="16" x14ac:dyDescent="0.35">
      <c r="A8" s="110" t="s">
        <v>156</v>
      </c>
      <c r="B8" s="111" t="s">
        <v>106</v>
      </c>
      <c r="J8" s="146" t="s">
        <v>423</v>
      </c>
      <c r="K8" s="146"/>
      <c r="L8" s="146"/>
    </row>
    <row r="10" spans="1:12" ht="14.5" x14ac:dyDescent="0.35">
      <c r="A10" s="66" t="s">
        <v>316</v>
      </c>
      <c r="B10" s="66"/>
      <c r="C10" s="66"/>
      <c r="D10" s="66"/>
      <c r="E10" s="66"/>
      <c r="F10" s="66"/>
      <c r="G10" s="66"/>
      <c r="H10" s="66"/>
      <c r="I10" s="66"/>
      <c r="J10" s="66"/>
      <c r="K10" s="66" t="s">
        <v>167</v>
      </c>
    </row>
    <row r="11" spans="1:12" ht="14.5" x14ac:dyDescent="0.35">
      <c r="A11" s="1" t="s">
        <v>172</v>
      </c>
      <c r="B11" s="115" t="s">
        <v>166</v>
      </c>
      <c r="C11" s="115" t="s">
        <v>0</v>
      </c>
      <c r="D11" s="115" t="s">
        <v>119</v>
      </c>
      <c r="E11" s="115" t="s">
        <v>191</v>
      </c>
      <c r="F11" s="115" t="s">
        <v>192</v>
      </c>
      <c r="G11" s="123" t="s">
        <v>162</v>
      </c>
      <c r="H11" s="115" t="s">
        <v>168</v>
      </c>
      <c r="I11" s="115" t="s">
        <v>188</v>
      </c>
      <c r="J11" s="115" t="s">
        <v>184</v>
      </c>
      <c r="K11" s="118">
        <v>41233</v>
      </c>
    </row>
    <row r="12" spans="1:12" ht="14.5" x14ac:dyDescent="0.35">
      <c r="A12" s="14" t="s">
        <v>422</v>
      </c>
      <c r="B12" s="116">
        <v>1</v>
      </c>
      <c r="C12" s="112" t="s">
        <v>421</v>
      </c>
      <c r="D12" s="116">
        <v>1216279</v>
      </c>
      <c r="E12" s="113">
        <v>42086</v>
      </c>
      <c r="F12" s="117">
        <v>0.62567129629629636</v>
      </c>
      <c r="G12" s="114">
        <v>0</v>
      </c>
      <c r="H12" s="117">
        <v>0.929224537037037</v>
      </c>
      <c r="I12" s="124" t="s">
        <v>41</v>
      </c>
      <c r="J12" s="112"/>
      <c r="K12" s="119">
        <v>23</v>
      </c>
    </row>
    <row r="13" spans="1:12" ht="14.5" x14ac:dyDescent="0.35">
      <c r="A13" s="120"/>
      <c r="B13" s="121"/>
      <c r="C13" s="121"/>
      <c r="D13" s="121"/>
      <c r="E13" s="121"/>
      <c r="F13" s="121"/>
      <c r="G13" s="121"/>
      <c r="H13" s="121"/>
      <c r="I13" s="121"/>
      <c r="J13" s="121"/>
      <c r="K13" s="122"/>
    </row>
    <row r="14" spans="1:12" ht="14.5" x14ac:dyDescent="0.35">
      <c r="A14"/>
      <c r="B14"/>
      <c r="C14"/>
      <c r="D14"/>
      <c r="E14"/>
      <c r="F14"/>
      <c r="G14"/>
      <c r="H14"/>
      <c r="I14"/>
      <c r="J14"/>
      <c r="K14"/>
    </row>
    <row r="15" spans="1:12" ht="14.5" x14ac:dyDescent="0.35">
      <c r="A15"/>
      <c r="B15"/>
      <c r="C15"/>
      <c r="D15"/>
      <c r="E15"/>
      <c r="F15"/>
      <c r="G15"/>
      <c r="H15"/>
      <c r="I15"/>
      <c r="J15"/>
      <c r="K15"/>
    </row>
    <row r="16" spans="1:12" x14ac:dyDescent="0.25">
      <c r="F16" s="45"/>
    </row>
    <row r="17" spans="6:6" x14ac:dyDescent="0.25">
      <c r="F17" s="45"/>
    </row>
    <row r="18" spans="6:6" x14ac:dyDescent="0.25">
      <c r="F18" s="45"/>
    </row>
    <row r="19" spans="6:6" x14ac:dyDescent="0.25">
      <c r="F19" s="45"/>
    </row>
    <row r="20" spans="6:6" x14ac:dyDescent="0.25">
      <c r="F20" s="45"/>
    </row>
    <row r="21" spans="6:6" x14ac:dyDescent="0.25">
      <c r="F21" s="45"/>
    </row>
    <row r="22" spans="6:6" x14ac:dyDescent="0.25">
      <c r="F22" s="45"/>
    </row>
    <row r="23" spans="6:6" x14ac:dyDescent="0.25">
      <c r="F23" s="45"/>
    </row>
    <row r="24" spans="6:6" x14ac:dyDescent="0.25">
      <c r="F24" s="45"/>
    </row>
    <row r="25" spans="6:6" x14ac:dyDescent="0.25">
      <c r="F25" s="45"/>
    </row>
    <row r="26" spans="6:6" x14ac:dyDescent="0.25">
      <c r="F26" s="45"/>
    </row>
    <row r="27" spans="6:6" x14ac:dyDescent="0.25">
      <c r="F27" s="45"/>
    </row>
    <row r="28" spans="6:6" x14ac:dyDescent="0.25">
      <c r="F28" s="45"/>
    </row>
    <row r="29" spans="6:6" x14ac:dyDescent="0.25">
      <c r="F29" s="45"/>
    </row>
    <row r="30" spans="6:6" x14ac:dyDescent="0.25">
      <c r="F30" s="45"/>
    </row>
    <row r="31" spans="6:6" x14ac:dyDescent="0.25">
      <c r="F31" s="45"/>
    </row>
    <row r="32" spans="6:6" x14ac:dyDescent="0.25">
      <c r="F32" s="45"/>
    </row>
    <row r="33" spans="6:6" x14ac:dyDescent="0.25">
      <c r="F33" s="45"/>
    </row>
    <row r="34" spans="6:6" x14ac:dyDescent="0.25">
      <c r="F34" s="45"/>
    </row>
    <row r="35" spans="6:6" x14ac:dyDescent="0.25">
      <c r="F35" s="45"/>
    </row>
    <row r="36" spans="6:6" x14ac:dyDescent="0.25">
      <c r="F36" s="45"/>
    </row>
    <row r="37" spans="6:6" x14ac:dyDescent="0.25">
      <c r="F37" s="45"/>
    </row>
    <row r="38" spans="6:6" x14ac:dyDescent="0.25">
      <c r="F38" s="45"/>
    </row>
    <row r="39" spans="6:6" x14ac:dyDescent="0.25">
      <c r="F39" s="45"/>
    </row>
    <row r="40" spans="6:6" x14ac:dyDescent="0.25">
      <c r="F40" s="45"/>
    </row>
    <row r="41" spans="6:6" x14ac:dyDescent="0.25">
      <c r="F41" s="45"/>
    </row>
    <row r="42" spans="6:6" x14ac:dyDescent="0.25">
      <c r="F42" s="45"/>
    </row>
    <row r="43" spans="6:6" x14ac:dyDescent="0.25">
      <c r="F43" s="45"/>
    </row>
    <row r="44" spans="6:6" x14ac:dyDescent="0.25">
      <c r="F44" s="45"/>
    </row>
    <row r="45" spans="6:6" x14ac:dyDescent="0.25">
      <c r="F45" s="45"/>
    </row>
    <row r="46" spans="6:6" x14ac:dyDescent="0.25">
      <c r="F46" s="45"/>
    </row>
    <row r="47" spans="6:6" x14ac:dyDescent="0.25">
      <c r="F47" s="45"/>
    </row>
    <row r="48" spans="6:6" x14ac:dyDescent="0.25">
      <c r="F48" s="45"/>
    </row>
    <row r="49" spans="6:6" x14ac:dyDescent="0.25">
      <c r="F49" s="45"/>
    </row>
    <row r="50" spans="6:6" x14ac:dyDescent="0.25">
      <c r="F50" s="45"/>
    </row>
    <row r="51" spans="6:6" x14ac:dyDescent="0.25">
      <c r="F51" s="45"/>
    </row>
    <row r="52" spans="6:6" x14ac:dyDescent="0.25">
      <c r="F52" s="45"/>
    </row>
    <row r="53" spans="6:6" x14ac:dyDescent="0.25">
      <c r="F53" s="45"/>
    </row>
    <row r="54" spans="6:6" x14ac:dyDescent="0.25">
      <c r="F54" s="45"/>
    </row>
    <row r="55" spans="6:6" x14ac:dyDescent="0.25">
      <c r="F55" s="45"/>
    </row>
    <row r="56" spans="6:6" x14ac:dyDescent="0.25">
      <c r="F56" s="45"/>
    </row>
    <row r="57" spans="6:6" x14ac:dyDescent="0.25">
      <c r="F57" s="45"/>
    </row>
    <row r="58" spans="6:6" x14ac:dyDescent="0.25">
      <c r="F58" s="45"/>
    </row>
    <row r="59" spans="6:6" x14ac:dyDescent="0.25">
      <c r="F59" s="45"/>
    </row>
    <row r="60" spans="6:6" x14ac:dyDescent="0.25">
      <c r="F60" s="45"/>
    </row>
    <row r="61" spans="6:6" x14ac:dyDescent="0.25">
      <c r="F61" s="45"/>
    </row>
    <row r="62" spans="6:6" x14ac:dyDescent="0.25">
      <c r="F62" s="45"/>
    </row>
    <row r="63" spans="6:6" x14ac:dyDescent="0.25">
      <c r="F63" s="45"/>
    </row>
    <row r="64" spans="6:6" x14ac:dyDescent="0.25">
      <c r="F64" s="45"/>
    </row>
    <row r="65" spans="6:6" x14ac:dyDescent="0.25">
      <c r="F65" s="45"/>
    </row>
    <row r="66" spans="6:6" x14ac:dyDescent="0.25">
      <c r="F66" s="45"/>
    </row>
    <row r="67" spans="6:6" x14ac:dyDescent="0.25">
      <c r="F67" s="45"/>
    </row>
    <row r="68" spans="6:6" x14ac:dyDescent="0.25">
      <c r="F68" s="45"/>
    </row>
    <row r="69" spans="6:6" x14ac:dyDescent="0.25">
      <c r="F69" s="45"/>
    </row>
    <row r="70" spans="6:6" x14ac:dyDescent="0.25">
      <c r="F70" s="45"/>
    </row>
    <row r="71" spans="6:6" x14ac:dyDescent="0.25">
      <c r="F71" s="45"/>
    </row>
    <row r="72" spans="6:6" x14ac:dyDescent="0.25">
      <c r="F72" s="45"/>
    </row>
    <row r="73" spans="6:6" x14ac:dyDescent="0.25">
      <c r="F73" s="45"/>
    </row>
    <row r="74" spans="6:6" x14ac:dyDescent="0.25">
      <c r="F74" s="45"/>
    </row>
    <row r="75" spans="6:6" x14ac:dyDescent="0.25">
      <c r="F75" s="45"/>
    </row>
    <row r="76" spans="6:6" x14ac:dyDescent="0.25">
      <c r="F76" s="45"/>
    </row>
    <row r="77" spans="6:6" x14ac:dyDescent="0.25">
      <c r="F77" s="45"/>
    </row>
    <row r="78" spans="6:6" x14ac:dyDescent="0.25">
      <c r="F78" s="45"/>
    </row>
    <row r="79" spans="6:6" x14ac:dyDescent="0.25">
      <c r="F79" s="45"/>
    </row>
    <row r="80" spans="6:6" x14ac:dyDescent="0.25">
      <c r="F80" s="45"/>
    </row>
    <row r="81" spans="6:6" x14ac:dyDescent="0.25">
      <c r="F81" s="45"/>
    </row>
    <row r="82" spans="6:6" x14ac:dyDescent="0.25">
      <c r="F82" s="45"/>
    </row>
    <row r="83" spans="6:6" x14ac:dyDescent="0.25">
      <c r="F83" s="45"/>
    </row>
    <row r="84" spans="6:6" x14ac:dyDescent="0.25">
      <c r="F84" s="45"/>
    </row>
    <row r="85" spans="6:6" x14ac:dyDescent="0.25">
      <c r="F85" s="45"/>
    </row>
    <row r="86" spans="6:6" x14ac:dyDescent="0.25">
      <c r="F86" s="45"/>
    </row>
    <row r="87" spans="6:6" x14ac:dyDescent="0.25">
      <c r="F87" s="45"/>
    </row>
    <row r="88" spans="6:6" x14ac:dyDescent="0.25">
      <c r="F88" s="45"/>
    </row>
    <row r="89" spans="6:6" x14ac:dyDescent="0.25">
      <c r="F89" s="45"/>
    </row>
    <row r="90" spans="6:6" x14ac:dyDescent="0.25">
      <c r="F90" s="45"/>
    </row>
    <row r="91" spans="6:6" x14ac:dyDescent="0.25">
      <c r="F91" s="45"/>
    </row>
    <row r="92" spans="6:6" x14ac:dyDescent="0.25">
      <c r="F92" s="45"/>
    </row>
    <row r="93" spans="6:6" x14ac:dyDescent="0.25">
      <c r="F93" s="45"/>
    </row>
    <row r="94" spans="6:6" x14ac:dyDescent="0.25">
      <c r="F94" s="45"/>
    </row>
    <row r="95" spans="6:6" x14ac:dyDescent="0.25">
      <c r="F95" s="45"/>
    </row>
    <row r="96" spans="6:6" x14ac:dyDescent="0.25">
      <c r="F96" s="45"/>
    </row>
    <row r="97" spans="6:6" x14ac:dyDescent="0.25">
      <c r="F97" s="45"/>
    </row>
    <row r="98" spans="6:6" x14ac:dyDescent="0.25">
      <c r="F98" s="45"/>
    </row>
    <row r="99" spans="6:6" x14ac:dyDescent="0.25">
      <c r="F99" s="45"/>
    </row>
    <row r="100" spans="6:6" x14ac:dyDescent="0.25">
      <c r="F100" s="45"/>
    </row>
    <row r="101" spans="6:6" x14ac:dyDescent="0.25">
      <c r="F101" s="45"/>
    </row>
    <row r="102" spans="6:6" x14ac:dyDescent="0.25">
      <c r="F102" s="45"/>
    </row>
    <row r="103" spans="6:6" x14ac:dyDescent="0.25">
      <c r="F103" s="45"/>
    </row>
    <row r="104" spans="6:6" x14ac:dyDescent="0.25">
      <c r="F104" s="45"/>
    </row>
    <row r="105" spans="6:6" x14ac:dyDescent="0.25">
      <c r="F105" s="45"/>
    </row>
    <row r="106" spans="6:6" x14ac:dyDescent="0.25">
      <c r="F106" s="45"/>
    </row>
    <row r="107" spans="6:6" x14ac:dyDescent="0.25">
      <c r="F107" s="45"/>
    </row>
    <row r="108" spans="6:6" x14ac:dyDescent="0.25">
      <c r="F108" s="45"/>
    </row>
    <row r="109" spans="6:6" x14ac:dyDescent="0.25">
      <c r="F109" s="45"/>
    </row>
    <row r="110" spans="6:6" x14ac:dyDescent="0.25">
      <c r="F110" s="45"/>
    </row>
    <row r="111" spans="6:6" x14ac:dyDescent="0.25">
      <c r="F111" s="45"/>
    </row>
    <row r="112" spans="6:6" x14ac:dyDescent="0.25">
      <c r="F112" s="45"/>
    </row>
    <row r="113" spans="6:6" x14ac:dyDescent="0.25">
      <c r="F113" s="45"/>
    </row>
    <row r="114" spans="6:6" x14ac:dyDescent="0.25">
      <c r="F114" s="45"/>
    </row>
    <row r="115" spans="6:6" x14ac:dyDescent="0.25">
      <c r="F115" s="45"/>
    </row>
    <row r="116" spans="6:6" x14ac:dyDescent="0.25">
      <c r="F116" s="45"/>
    </row>
    <row r="117" spans="6:6" x14ac:dyDescent="0.25">
      <c r="F117" s="45"/>
    </row>
    <row r="118" spans="6:6" x14ac:dyDescent="0.25">
      <c r="F118" s="45"/>
    </row>
    <row r="119" spans="6:6" x14ac:dyDescent="0.25">
      <c r="F119" s="45"/>
    </row>
    <row r="120" spans="6:6" x14ac:dyDescent="0.25">
      <c r="F120" s="45"/>
    </row>
    <row r="121" spans="6:6" x14ac:dyDescent="0.25">
      <c r="F121" s="45"/>
    </row>
    <row r="122" spans="6:6" x14ac:dyDescent="0.25">
      <c r="F122" s="45"/>
    </row>
    <row r="123" spans="6:6" x14ac:dyDescent="0.25">
      <c r="F123" s="45"/>
    </row>
    <row r="124" spans="6:6" x14ac:dyDescent="0.25">
      <c r="F124" s="45"/>
    </row>
    <row r="125" spans="6:6" x14ac:dyDescent="0.25">
      <c r="F125" s="45"/>
    </row>
    <row r="126" spans="6:6" x14ac:dyDescent="0.25">
      <c r="F126" s="45"/>
    </row>
    <row r="127" spans="6:6" x14ac:dyDescent="0.25">
      <c r="F127" s="45"/>
    </row>
    <row r="128" spans="6:6" x14ac:dyDescent="0.25">
      <c r="F128" s="45"/>
    </row>
    <row r="129" spans="6:6" x14ac:dyDescent="0.25">
      <c r="F129" s="45"/>
    </row>
    <row r="130" spans="6:6" x14ac:dyDescent="0.25">
      <c r="F130" s="45"/>
    </row>
    <row r="131" spans="6:6" x14ac:dyDescent="0.25">
      <c r="F131" s="45"/>
    </row>
    <row r="132" spans="6:6" x14ac:dyDescent="0.25">
      <c r="F132" s="45"/>
    </row>
    <row r="133" spans="6:6" x14ac:dyDescent="0.25">
      <c r="F133" s="45"/>
    </row>
    <row r="134" spans="6:6" x14ac:dyDescent="0.25">
      <c r="F134" s="45"/>
    </row>
    <row r="135" spans="6:6" x14ac:dyDescent="0.25">
      <c r="F135" s="45"/>
    </row>
    <row r="136" spans="6:6" x14ac:dyDescent="0.25">
      <c r="F136" s="45"/>
    </row>
    <row r="137" spans="6:6" x14ac:dyDescent="0.25">
      <c r="F137" s="45"/>
    </row>
    <row r="138" spans="6:6" x14ac:dyDescent="0.25">
      <c r="F138" s="45"/>
    </row>
    <row r="139" spans="6:6" x14ac:dyDescent="0.25">
      <c r="F139" s="45"/>
    </row>
    <row r="140" spans="6:6" x14ac:dyDescent="0.25">
      <c r="F140" s="45"/>
    </row>
    <row r="141" spans="6:6" x14ac:dyDescent="0.25">
      <c r="F141" s="45"/>
    </row>
    <row r="142" spans="6:6" x14ac:dyDescent="0.25">
      <c r="F142" s="45"/>
    </row>
    <row r="143" spans="6:6" x14ac:dyDescent="0.25">
      <c r="F143" s="45"/>
    </row>
    <row r="144" spans="6:6" x14ac:dyDescent="0.25">
      <c r="F144" s="45"/>
    </row>
    <row r="145" spans="6:6" x14ac:dyDescent="0.25">
      <c r="F145" s="45"/>
    </row>
    <row r="146" spans="6:6" x14ac:dyDescent="0.25">
      <c r="F146" s="45"/>
    </row>
    <row r="147" spans="6:6" x14ac:dyDescent="0.25">
      <c r="F147" s="45"/>
    </row>
    <row r="148" spans="6:6" x14ac:dyDescent="0.25">
      <c r="F148" s="45"/>
    </row>
    <row r="149" spans="6:6" x14ac:dyDescent="0.25">
      <c r="F149" s="45"/>
    </row>
    <row r="150" spans="6:6" x14ac:dyDescent="0.25">
      <c r="F150" s="45"/>
    </row>
    <row r="151" spans="6:6" x14ac:dyDescent="0.25">
      <c r="F151" s="45"/>
    </row>
    <row r="152" spans="6:6" x14ac:dyDescent="0.25">
      <c r="F152" s="45"/>
    </row>
    <row r="153" spans="6:6" x14ac:dyDescent="0.25">
      <c r="F153" s="45"/>
    </row>
    <row r="154" spans="6:6" x14ac:dyDescent="0.25">
      <c r="F154" s="45"/>
    </row>
    <row r="155" spans="6:6" x14ac:dyDescent="0.25">
      <c r="F155" s="45"/>
    </row>
    <row r="156" spans="6:6" x14ac:dyDescent="0.25">
      <c r="F156" s="45"/>
    </row>
    <row r="157" spans="6:6" x14ac:dyDescent="0.25">
      <c r="F157" s="45"/>
    </row>
    <row r="158" spans="6:6" x14ac:dyDescent="0.25">
      <c r="F158" s="45"/>
    </row>
    <row r="159" spans="6:6" x14ac:dyDescent="0.25">
      <c r="F159" s="45"/>
    </row>
    <row r="160" spans="6:6" x14ac:dyDescent="0.25">
      <c r="F160" s="45"/>
    </row>
    <row r="161" spans="6:6" x14ac:dyDescent="0.25">
      <c r="F161" s="45"/>
    </row>
    <row r="162" spans="6:6" x14ac:dyDescent="0.25">
      <c r="F162" s="45"/>
    </row>
    <row r="163" spans="6:6" x14ac:dyDescent="0.25">
      <c r="F163" s="45"/>
    </row>
    <row r="164" spans="6:6" x14ac:dyDescent="0.25">
      <c r="F164" s="45"/>
    </row>
    <row r="165" spans="6:6" x14ac:dyDescent="0.25">
      <c r="F165" s="45"/>
    </row>
    <row r="166" spans="6:6" x14ac:dyDescent="0.25">
      <c r="F166" s="45"/>
    </row>
    <row r="167" spans="6:6" x14ac:dyDescent="0.25">
      <c r="F167" s="45"/>
    </row>
    <row r="168" spans="6:6" x14ac:dyDescent="0.25">
      <c r="F168" s="45"/>
    </row>
    <row r="169" spans="6:6" x14ac:dyDescent="0.25">
      <c r="F169" s="45"/>
    </row>
    <row r="170" spans="6:6" x14ac:dyDescent="0.25">
      <c r="F170" s="45"/>
    </row>
    <row r="171" spans="6:6" x14ac:dyDescent="0.25">
      <c r="F171" s="45"/>
    </row>
    <row r="172" spans="6:6" x14ac:dyDescent="0.25">
      <c r="F172" s="45"/>
    </row>
    <row r="173" spans="6:6" x14ac:dyDescent="0.25">
      <c r="F173" s="45"/>
    </row>
    <row r="174" spans="6:6" x14ac:dyDescent="0.25">
      <c r="F174" s="45"/>
    </row>
    <row r="175" spans="6:6" x14ac:dyDescent="0.25">
      <c r="F175" s="45"/>
    </row>
    <row r="176" spans="6:6" x14ac:dyDescent="0.25">
      <c r="F176" s="45"/>
    </row>
    <row r="177" spans="6:6" x14ac:dyDescent="0.25">
      <c r="F177" s="45"/>
    </row>
    <row r="178" spans="6:6" x14ac:dyDescent="0.25">
      <c r="F178" s="45"/>
    </row>
    <row r="179" spans="6:6" x14ac:dyDescent="0.25">
      <c r="F179" s="45"/>
    </row>
    <row r="180" spans="6:6" x14ac:dyDescent="0.25">
      <c r="F180" s="45"/>
    </row>
    <row r="181" spans="6:6" x14ac:dyDescent="0.25">
      <c r="F181" s="45"/>
    </row>
    <row r="182" spans="6:6" x14ac:dyDescent="0.25">
      <c r="F182" s="45"/>
    </row>
    <row r="183" spans="6:6" x14ac:dyDescent="0.25">
      <c r="F183" s="45"/>
    </row>
    <row r="184" spans="6:6" x14ac:dyDescent="0.25">
      <c r="F184" s="45"/>
    </row>
    <row r="185" spans="6:6" x14ac:dyDescent="0.25">
      <c r="F185" s="45"/>
    </row>
    <row r="186" spans="6:6" x14ac:dyDescent="0.25">
      <c r="F186" s="45"/>
    </row>
    <row r="187" spans="6:6" x14ac:dyDescent="0.25">
      <c r="F187" s="45"/>
    </row>
    <row r="188" spans="6:6" x14ac:dyDescent="0.25">
      <c r="F188" s="45"/>
    </row>
    <row r="189" spans="6:6" x14ac:dyDescent="0.25">
      <c r="F189" s="45"/>
    </row>
    <row r="190" spans="6:6" x14ac:dyDescent="0.25">
      <c r="F190" s="45"/>
    </row>
    <row r="191" spans="6:6" x14ac:dyDescent="0.25">
      <c r="F191" s="45"/>
    </row>
    <row r="192" spans="6:6" x14ac:dyDescent="0.25">
      <c r="F192" s="45"/>
    </row>
    <row r="193" spans="6:6" x14ac:dyDescent="0.25">
      <c r="F193" s="45"/>
    </row>
    <row r="194" spans="6:6" x14ac:dyDescent="0.25">
      <c r="F194" s="45"/>
    </row>
    <row r="195" spans="6:6" x14ac:dyDescent="0.25">
      <c r="F195" s="45"/>
    </row>
    <row r="196" spans="6:6" x14ac:dyDescent="0.25">
      <c r="F196" s="45"/>
    </row>
    <row r="197" spans="6:6" x14ac:dyDescent="0.25">
      <c r="F197" s="45"/>
    </row>
    <row r="198" spans="6:6" x14ac:dyDescent="0.25">
      <c r="F198" s="45"/>
    </row>
    <row r="199" spans="6:6" x14ac:dyDescent="0.25">
      <c r="F199" s="45"/>
    </row>
    <row r="200" spans="6:6" x14ac:dyDescent="0.25">
      <c r="F200" s="45"/>
    </row>
    <row r="201" spans="6:6" x14ac:dyDescent="0.25">
      <c r="F201" s="45"/>
    </row>
    <row r="202" spans="6:6" x14ac:dyDescent="0.25">
      <c r="F202" s="45"/>
    </row>
    <row r="203" spans="6:6" x14ac:dyDescent="0.25">
      <c r="F203" s="45"/>
    </row>
    <row r="204" spans="6:6" x14ac:dyDescent="0.25">
      <c r="F204" s="45"/>
    </row>
    <row r="205" spans="6:6" x14ac:dyDescent="0.25">
      <c r="F205" s="45"/>
    </row>
  </sheetData>
  <mergeCells count="1">
    <mergeCell ref="J8:L8"/>
  </mergeCells>
  <pageMargins left="0.78740157499999996" right="0.78740157499999996" top="0.984251969" bottom="0.984251969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>
    <tabColor rgb="FFC00000"/>
    <pageSetUpPr fitToPage="1"/>
  </sheetPr>
  <dimension ref="A1:K112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defaultColWidth="11.453125" defaultRowHeight="12.5" x14ac:dyDescent="0.25"/>
  <cols>
    <col min="1" max="1" width="15.81640625" style="45" customWidth="1"/>
    <col min="2" max="2" width="13.1796875" style="45" customWidth="1"/>
    <col min="3" max="3" width="33" style="45" customWidth="1"/>
    <col min="4" max="4" width="56.1796875" style="45" customWidth="1"/>
    <col min="5" max="5" width="9.81640625" style="45" customWidth="1"/>
    <col min="6" max="6" width="13.26953125" style="45" customWidth="1"/>
    <col min="7" max="7" width="10.54296875" style="64" customWidth="1"/>
    <col min="8" max="8" width="14.54296875" style="45" customWidth="1"/>
    <col min="9" max="9" width="10.6328125" style="45" customWidth="1"/>
    <col min="10" max="10" width="10" style="45" customWidth="1"/>
    <col min="11" max="11" width="11.453125" style="45" customWidth="1"/>
    <col min="12" max="12" width="10.54296875" style="45" customWidth="1"/>
    <col min="13" max="16" width="10.26953125" style="45" customWidth="1"/>
    <col min="17" max="25" width="12.81640625" style="45" bestFit="1" customWidth="1"/>
    <col min="26" max="26" width="16" style="45" bestFit="1" customWidth="1"/>
    <col min="27" max="50" width="10.26953125" style="45" customWidth="1"/>
    <col min="51" max="51" width="16" style="45" bestFit="1" customWidth="1"/>
    <col min="52" max="62" width="10.26953125" style="45" customWidth="1"/>
    <col min="63" max="63" width="16" style="45" bestFit="1" customWidth="1"/>
    <col min="64" max="64" width="10.26953125" style="45" customWidth="1"/>
    <col min="65" max="65" width="16" style="45" bestFit="1" customWidth="1"/>
    <col min="66" max="66" width="10.26953125" style="45" customWidth="1"/>
    <col min="67" max="67" width="16" style="45" bestFit="1" customWidth="1"/>
    <col min="68" max="68" width="10.26953125" style="45" customWidth="1"/>
    <col min="69" max="69" width="16" style="45" bestFit="1" customWidth="1"/>
    <col min="70" max="16384" width="11.453125" style="45"/>
  </cols>
  <sheetData>
    <row r="1" spans="1:11" ht="30" customHeight="1" x14ac:dyDescent="0.4">
      <c r="A1" s="48"/>
    </row>
    <row r="2" spans="1:11" x14ac:dyDescent="0.25">
      <c r="A2" s="45" t="s">
        <v>321</v>
      </c>
    </row>
    <row r="4" spans="1:11" ht="14.5" x14ac:dyDescent="0.35">
      <c r="A4" s="110" t="s">
        <v>183</v>
      </c>
      <c r="B4" s="111" t="s">
        <v>106</v>
      </c>
    </row>
    <row r="5" spans="1:11" ht="14.5" x14ac:dyDescent="0.35">
      <c r="A5" s="110" t="s">
        <v>167</v>
      </c>
      <c r="B5" s="111" t="s">
        <v>106</v>
      </c>
    </row>
    <row r="6" spans="1:11" ht="14.5" x14ac:dyDescent="0.35">
      <c r="A6" s="110" t="s">
        <v>184</v>
      </c>
      <c r="B6" s="111" t="s">
        <v>106</v>
      </c>
    </row>
    <row r="7" spans="1:11" ht="14.5" x14ac:dyDescent="0.35">
      <c r="A7" s="110" t="s">
        <v>168</v>
      </c>
      <c r="B7" s="111" t="s">
        <v>106</v>
      </c>
    </row>
    <row r="8" spans="1:11" ht="14.5" x14ac:dyDescent="0.35">
      <c r="A8" s="110" t="s">
        <v>166</v>
      </c>
      <c r="B8" s="111" t="s">
        <v>106</v>
      </c>
    </row>
    <row r="9" spans="1:11" ht="14.5" x14ac:dyDescent="0.35">
      <c r="A9" s="110" t="s">
        <v>156</v>
      </c>
      <c r="B9" s="111" t="s">
        <v>106</v>
      </c>
    </row>
    <row r="11" spans="1:11" ht="14.5" x14ac:dyDescent="0.35">
      <c r="A11" s="1" t="s">
        <v>191</v>
      </c>
      <c r="B11" s="115" t="s">
        <v>192</v>
      </c>
      <c r="C11" s="115" t="s">
        <v>172</v>
      </c>
      <c r="D11" s="115" t="s">
        <v>0</v>
      </c>
      <c r="E11" s="115" t="s">
        <v>119</v>
      </c>
      <c r="F11" s="136" t="s">
        <v>188</v>
      </c>
      <c r="G11" s="125" t="s">
        <v>322</v>
      </c>
      <c r="H11" s="126" t="s">
        <v>426</v>
      </c>
      <c r="I11" s="126" t="s">
        <v>425</v>
      </c>
      <c r="J11" s="127" t="s">
        <v>323</v>
      </c>
      <c r="K11"/>
    </row>
    <row r="12" spans="1:11" ht="14.5" x14ac:dyDescent="0.35">
      <c r="A12" s="22">
        <v>42086</v>
      </c>
      <c r="B12" s="117">
        <v>0.62567129629629636</v>
      </c>
      <c r="C12" s="112" t="s">
        <v>422</v>
      </c>
      <c r="D12" s="116" t="s">
        <v>421</v>
      </c>
      <c r="E12" s="112">
        <v>1216279</v>
      </c>
      <c r="F12" s="124" t="s">
        <v>41</v>
      </c>
      <c r="G12" s="131">
        <v>0</v>
      </c>
      <c r="H12" s="132">
        <v>0</v>
      </c>
      <c r="I12" s="132">
        <v>0</v>
      </c>
      <c r="J12" s="128"/>
      <c r="K12"/>
    </row>
    <row r="13" spans="1:11" ht="15" thickBot="1" x14ac:dyDescent="0.4">
      <c r="A13" s="23" t="s">
        <v>408</v>
      </c>
      <c r="B13" s="24"/>
      <c r="C13" s="24"/>
      <c r="D13" s="24"/>
      <c r="E13" s="24"/>
      <c r="F13" s="24"/>
      <c r="G13" s="133">
        <v>0</v>
      </c>
      <c r="H13" s="25">
        <v>0</v>
      </c>
      <c r="I13" s="25">
        <v>0</v>
      </c>
      <c r="J13" s="67"/>
      <c r="K13"/>
    </row>
    <row r="14" spans="1:11" ht="15" thickTop="1" x14ac:dyDescent="0.35">
      <c r="A14" s="129"/>
      <c r="B14" s="121"/>
      <c r="C14" s="121"/>
      <c r="D14" s="121"/>
      <c r="E14" s="121"/>
      <c r="F14" s="121"/>
      <c r="G14" s="134"/>
      <c r="H14" s="135"/>
      <c r="I14" s="135"/>
      <c r="J14" s="130"/>
      <c r="K14"/>
    </row>
    <row r="15" spans="1:11" ht="14.5" x14ac:dyDescent="0.35">
      <c r="A15"/>
      <c r="B15"/>
      <c r="C15"/>
      <c r="D15"/>
      <c r="E15"/>
      <c r="F15"/>
      <c r="G15"/>
      <c r="H15"/>
      <c r="I15"/>
      <c r="J15"/>
      <c r="K15"/>
    </row>
    <row r="16" spans="1:11" ht="15" thickBot="1" x14ac:dyDescent="0.4">
      <c r="A16"/>
      <c r="B16"/>
      <c r="C16"/>
      <c r="D16"/>
      <c r="E16"/>
      <c r="F16"/>
      <c r="G16"/>
      <c r="H16"/>
      <c r="I16"/>
      <c r="J16"/>
      <c r="K16"/>
    </row>
    <row r="17" spans="1:11" ht="15" thickTop="1" x14ac:dyDescent="0.35">
      <c r="A17"/>
      <c r="B17"/>
      <c r="C17"/>
      <c r="D17"/>
      <c r="E17"/>
      <c r="F17"/>
      <c r="G17"/>
      <c r="H17"/>
      <c r="I17"/>
      <c r="J17"/>
      <c r="K17"/>
    </row>
    <row r="18" spans="1:11" x14ac:dyDescent="0.25">
      <c r="G18" s="45"/>
    </row>
    <row r="19" spans="1:11" x14ac:dyDescent="0.25">
      <c r="G19" s="45"/>
    </row>
    <row r="20" spans="1:11" x14ac:dyDescent="0.25">
      <c r="G20" s="45"/>
    </row>
    <row r="21" spans="1:11" x14ac:dyDescent="0.25">
      <c r="G21" s="45"/>
    </row>
    <row r="22" spans="1:11" x14ac:dyDescent="0.25">
      <c r="G22" s="45"/>
    </row>
    <row r="23" spans="1:11" x14ac:dyDescent="0.25">
      <c r="G23" s="45"/>
    </row>
    <row r="24" spans="1:11" x14ac:dyDescent="0.25">
      <c r="G24" s="45"/>
    </row>
    <row r="25" spans="1:11" x14ac:dyDescent="0.25">
      <c r="G25" s="45"/>
    </row>
    <row r="26" spans="1:11" x14ac:dyDescent="0.25">
      <c r="G26" s="45"/>
    </row>
    <row r="27" spans="1:11" x14ac:dyDescent="0.25">
      <c r="G27" s="45"/>
    </row>
    <row r="28" spans="1:11" x14ac:dyDescent="0.25">
      <c r="G28" s="45"/>
    </row>
    <row r="29" spans="1:11" x14ac:dyDescent="0.25">
      <c r="G29" s="45"/>
    </row>
    <row r="30" spans="1:11" x14ac:dyDescent="0.25">
      <c r="G30" s="45"/>
    </row>
    <row r="31" spans="1:11" x14ac:dyDescent="0.25">
      <c r="G31" s="45"/>
    </row>
    <row r="32" spans="1:11" x14ac:dyDescent="0.25">
      <c r="G32" s="45"/>
    </row>
    <row r="33" spans="7:7" x14ac:dyDescent="0.25">
      <c r="G33" s="45"/>
    </row>
    <row r="34" spans="7:7" x14ac:dyDescent="0.25">
      <c r="G34" s="45"/>
    </row>
    <row r="35" spans="7:7" x14ac:dyDescent="0.25">
      <c r="G35" s="45"/>
    </row>
    <row r="36" spans="7:7" x14ac:dyDescent="0.25">
      <c r="G36" s="45"/>
    </row>
    <row r="37" spans="7:7" x14ac:dyDescent="0.25">
      <c r="G37" s="45"/>
    </row>
    <row r="38" spans="7:7" x14ac:dyDescent="0.25">
      <c r="G38" s="45"/>
    </row>
    <row r="39" spans="7:7" x14ac:dyDescent="0.25">
      <c r="G39" s="45"/>
    </row>
    <row r="40" spans="7:7" x14ac:dyDescent="0.25">
      <c r="G40" s="45"/>
    </row>
    <row r="41" spans="7:7" x14ac:dyDescent="0.25">
      <c r="G41" s="45"/>
    </row>
    <row r="42" spans="7:7" x14ac:dyDescent="0.25">
      <c r="G42" s="45"/>
    </row>
    <row r="43" spans="7:7" x14ac:dyDescent="0.25">
      <c r="G43" s="45"/>
    </row>
    <row r="44" spans="7:7" x14ac:dyDescent="0.25">
      <c r="G44" s="45"/>
    </row>
    <row r="45" spans="7:7" x14ac:dyDescent="0.25">
      <c r="G45" s="45"/>
    </row>
    <row r="46" spans="7:7" x14ac:dyDescent="0.25">
      <c r="G46" s="45"/>
    </row>
    <row r="47" spans="7:7" x14ac:dyDescent="0.25">
      <c r="G47" s="45"/>
    </row>
    <row r="48" spans="7:7" x14ac:dyDescent="0.25">
      <c r="G48" s="45"/>
    </row>
    <row r="49" spans="7:7" x14ac:dyDescent="0.25">
      <c r="G49" s="45"/>
    </row>
    <row r="50" spans="7:7" x14ac:dyDescent="0.25">
      <c r="G50" s="45"/>
    </row>
    <row r="51" spans="7:7" x14ac:dyDescent="0.25">
      <c r="G51" s="45"/>
    </row>
    <row r="52" spans="7:7" x14ac:dyDescent="0.25">
      <c r="G52" s="45"/>
    </row>
    <row r="53" spans="7:7" x14ac:dyDescent="0.25">
      <c r="G53" s="45"/>
    </row>
    <row r="54" spans="7:7" x14ac:dyDescent="0.25">
      <c r="G54" s="45"/>
    </row>
    <row r="55" spans="7:7" x14ac:dyDescent="0.25">
      <c r="G55" s="45"/>
    </row>
    <row r="56" spans="7:7" x14ac:dyDescent="0.25">
      <c r="G56" s="45"/>
    </row>
    <row r="57" spans="7:7" x14ac:dyDescent="0.25">
      <c r="G57" s="45"/>
    </row>
    <row r="58" spans="7:7" x14ac:dyDescent="0.25">
      <c r="G58" s="45"/>
    </row>
    <row r="59" spans="7:7" x14ac:dyDescent="0.25">
      <c r="G59" s="45"/>
    </row>
    <row r="60" spans="7:7" x14ac:dyDescent="0.25">
      <c r="G60" s="45"/>
    </row>
    <row r="61" spans="7:7" x14ac:dyDescent="0.25">
      <c r="G61" s="45"/>
    </row>
    <row r="62" spans="7:7" x14ac:dyDescent="0.25">
      <c r="G62" s="45"/>
    </row>
    <row r="63" spans="7:7" x14ac:dyDescent="0.25">
      <c r="G63" s="45"/>
    </row>
    <row r="64" spans="7:7" x14ac:dyDescent="0.25">
      <c r="G64" s="45"/>
    </row>
    <row r="65" spans="7:7" x14ac:dyDescent="0.25">
      <c r="G65" s="45"/>
    </row>
    <row r="66" spans="7:7" x14ac:dyDescent="0.25">
      <c r="G66" s="45"/>
    </row>
    <row r="67" spans="7:7" x14ac:dyDescent="0.25">
      <c r="G67" s="45"/>
    </row>
    <row r="68" spans="7:7" x14ac:dyDescent="0.25">
      <c r="G68" s="45"/>
    </row>
    <row r="69" spans="7:7" x14ac:dyDescent="0.25">
      <c r="G69" s="45"/>
    </row>
    <row r="70" spans="7:7" x14ac:dyDescent="0.25">
      <c r="G70" s="45"/>
    </row>
    <row r="71" spans="7:7" x14ac:dyDescent="0.25">
      <c r="G71" s="45"/>
    </row>
    <row r="72" spans="7:7" x14ac:dyDescent="0.25">
      <c r="G72" s="45"/>
    </row>
    <row r="73" spans="7:7" x14ac:dyDescent="0.25">
      <c r="G73" s="45"/>
    </row>
    <row r="74" spans="7:7" x14ac:dyDescent="0.25">
      <c r="G74" s="45"/>
    </row>
    <row r="75" spans="7:7" x14ac:dyDescent="0.25">
      <c r="G75" s="45"/>
    </row>
    <row r="76" spans="7:7" x14ac:dyDescent="0.25">
      <c r="G76" s="45"/>
    </row>
    <row r="77" spans="7:7" x14ac:dyDescent="0.25">
      <c r="G77" s="45"/>
    </row>
    <row r="78" spans="7:7" x14ac:dyDescent="0.25">
      <c r="G78" s="45"/>
    </row>
    <row r="79" spans="7:7" x14ac:dyDescent="0.25">
      <c r="G79" s="45"/>
    </row>
    <row r="80" spans="7:7" x14ac:dyDescent="0.25">
      <c r="G80" s="45"/>
    </row>
    <row r="81" spans="7:7" x14ac:dyDescent="0.25">
      <c r="G81" s="45"/>
    </row>
    <row r="82" spans="7:7" x14ac:dyDescent="0.25">
      <c r="G82" s="45"/>
    </row>
    <row r="83" spans="7:7" x14ac:dyDescent="0.25">
      <c r="G83" s="45"/>
    </row>
    <row r="84" spans="7:7" x14ac:dyDescent="0.25">
      <c r="G84" s="45"/>
    </row>
    <row r="85" spans="7:7" x14ac:dyDescent="0.25">
      <c r="G85" s="45"/>
    </row>
    <row r="86" spans="7:7" x14ac:dyDescent="0.25">
      <c r="G86" s="45"/>
    </row>
    <row r="87" spans="7:7" x14ac:dyDescent="0.25">
      <c r="G87" s="45"/>
    </row>
    <row r="88" spans="7:7" x14ac:dyDescent="0.25">
      <c r="G88" s="45"/>
    </row>
    <row r="89" spans="7:7" x14ac:dyDescent="0.25">
      <c r="G89" s="45"/>
    </row>
    <row r="90" spans="7:7" x14ac:dyDescent="0.25">
      <c r="G90" s="45"/>
    </row>
    <row r="91" spans="7:7" x14ac:dyDescent="0.25">
      <c r="G91" s="45"/>
    </row>
    <row r="92" spans="7:7" x14ac:dyDescent="0.25">
      <c r="G92" s="45"/>
    </row>
    <row r="93" spans="7:7" x14ac:dyDescent="0.25">
      <c r="G93" s="45"/>
    </row>
    <row r="94" spans="7:7" x14ac:dyDescent="0.25">
      <c r="G94" s="45"/>
    </row>
    <row r="95" spans="7:7" x14ac:dyDescent="0.25">
      <c r="G95" s="45"/>
    </row>
    <row r="96" spans="7:7" x14ac:dyDescent="0.25">
      <c r="G96" s="45"/>
    </row>
    <row r="97" spans="7:7" x14ac:dyDescent="0.25">
      <c r="G97" s="45"/>
    </row>
    <row r="98" spans="7:7" x14ac:dyDescent="0.25">
      <c r="G98" s="45"/>
    </row>
    <row r="99" spans="7:7" x14ac:dyDescent="0.25">
      <c r="G99" s="45"/>
    </row>
    <row r="100" spans="7:7" x14ac:dyDescent="0.25">
      <c r="G100" s="45"/>
    </row>
    <row r="101" spans="7:7" x14ac:dyDescent="0.25">
      <c r="G101" s="45"/>
    </row>
    <row r="102" spans="7:7" x14ac:dyDescent="0.25">
      <c r="G102" s="45"/>
    </row>
    <row r="103" spans="7:7" x14ac:dyDescent="0.25">
      <c r="G103" s="45"/>
    </row>
    <row r="104" spans="7:7" x14ac:dyDescent="0.25">
      <c r="G104" s="45"/>
    </row>
    <row r="105" spans="7:7" x14ac:dyDescent="0.25">
      <c r="G105" s="45"/>
    </row>
    <row r="106" spans="7:7" x14ac:dyDescent="0.25">
      <c r="G106" s="45"/>
    </row>
    <row r="107" spans="7:7" x14ac:dyDescent="0.25">
      <c r="G107" s="45"/>
    </row>
    <row r="108" spans="7:7" x14ac:dyDescent="0.25">
      <c r="G108" s="45"/>
    </row>
    <row r="109" spans="7:7" x14ac:dyDescent="0.25">
      <c r="G109" s="45"/>
    </row>
    <row r="110" spans="7:7" x14ac:dyDescent="0.25">
      <c r="G110" s="45"/>
    </row>
    <row r="111" spans="7:7" x14ac:dyDescent="0.25">
      <c r="G111" s="45"/>
    </row>
    <row r="112" spans="7:7" x14ac:dyDescent="0.25">
      <c r="G112" s="45"/>
    </row>
  </sheetData>
  <pageMargins left="0.78740157499999996" right="0.78740157499999996" top="0.984251969" bottom="0.984251969" header="0.5" footer="0.5"/>
  <pageSetup paperSize="9" scale="67" fitToHeight="0" orientation="landscape" horizontalDpi="1200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rgb="FFC00000"/>
    <pageSetUpPr fitToPage="1"/>
  </sheetPr>
  <dimension ref="A1:I129"/>
  <sheetViews>
    <sheetView showGridLines="0" zoomScale="85" zoomScaleNormal="85" workbookViewId="0">
      <pane ySplit="10" topLeftCell="A11" activePane="bottomLeft" state="frozen"/>
      <selection activeCell="A2" sqref="A2"/>
      <selection pane="bottomLeft" activeCell="A11" sqref="A11"/>
    </sheetView>
  </sheetViews>
  <sheetFormatPr defaultColWidth="11.453125" defaultRowHeight="12.5" x14ac:dyDescent="0.25"/>
  <cols>
    <col min="1" max="1" width="29.453125" style="45" customWidth="1"/>
    <col min="2" max="2" width="13.7265625" style="45" bestFit="1" customWidth="1"/>
    <col min="3" max="3" width="41.453125" style="45" customWidth="1"/>
    <col min="4" max="4" width="10.6328125" style="45" customWidth="1"/>
    <col min="5" max="5" width="10.26953125" style="45" customWidth="1"/>
    <col min="6" max="6" width="10.26953125" style="63" customWidth="1"/>
    <col min="7" max="21" width="10.26953125" style="45" customWidth="1"/>
    <col min="22" max="25" width="12.81640625" style="45" bestFit="1" customWidth="1"/>
    <col min="26" max="26" width="16" style="45" bestFit="1" customWidth="1"/>
    <col min="27" max="50" width="10.26953125" style="45" customWidth="1"/>
    <col min="51" max="51" width="16" style="45" bestFit="1" customWidth="1"/>
    <col min="52" max="62" width="10.26953125" style="45" customWidth="1"/>
    <col min="63" max="63" width="16" style="45" bestFit="1" customWidth="1"/>
    <col min="64" max="64" width="10.26953125" style="45" customWidth="1"/>
    <col min="65" max="65" width="16" style="45" bestFit="1" customWidth="1"/>
    <col min="66" max="66" width="10.26953125" style="45" customWidth="1"/>
    <col min="67" max="67" width="16" style="45" bestFit="1" customWidth="1"/>
    <col min="68" max="68" width="10.26953125" style="45" customWidth="1"/>
    <col min="69" max="69" width="16" style="45" bestFit="1" customWidth="1"/>
    <col min="70" max="16384" width="11.453125" style="45"/>
  </cols>
  <sheetData>
    <row r="1" spans="1:9" ht="30" customHeight="1" x14ac:dyDescent="0.4">
      <c r="A1" s="48"/>
    </row>
    <row r="2" spans="1:9" x14ac:dyDescent="0.25">
      <c r="A2" s="45">
        <f>Updated</f>
        <v>0</v>
      </c>
    </row>
    <row r="6" spans="1:9" ht="14.5" x14ac:dyDescent="0.35">
      <c r="A6" s="110" t="s">
        <v>333</v>
      </c>
      <c r="B6" s="111" t="s">
        <v>432</v>
      </c>
    </row>
    <row r="7" spans="1:9" ht="14.5" x14ac:dyDescent="0.35">
      <c r="A7" s="110" t="s">
        <v>166</v>
      </c>
      <c r="B7" s="111" t="s">
        <v>106</v>
      </c>
    </row>
    <row r="8" spans="1:9" ht="14.5" x14ac:dyDescent="0.35">
      <c r="A8" s="110" t="s">
        <v>156</v>
      </c>
      <c r="B8" s="111" t="s">
        <v>106</v>
      </c>
    </row>
    <row r="10" spans="1:9" ht="14.5" x14ac:dyDescent="0.35">
      <c r="A10" s="1" t="s">
        <v>172</v>
      </c>
      <c r="B10" s="115" t="s">
        <v>119</v>
      </c>
      <c r="C10" s="115" t="s">
        <v>0</v>
      </c>
      <c r="D10" s="68" t="s">
        <v>430</v>
      </c>
      <c r="E10"/>
      <c r="F10"/>
      <c r="G10"/>
      <c r="H10"/>
      <c r="I10"/>
    </row>
    <row r="11" spans="1:9" ht="14.5" x14ac:dyDescent="0.35">
      <c r="A11" s="14" t="s">
        <v>317</v>
      </c>
      <c r="B11" s="116">
        <v>1216279</v>
      </c>
      <c r="C11" s="112" t="s">
        <v>318</v>
      </c>
      <c r="D11" s="142">
        <v>0</v>
      </c>
      <c r="E11"/>
      <c r="F11"/>
      <c r="G11"/>
      <c r="H11"/>
      <c r="I11"/>
    </row>
    <row r="12" spans="1:9" ht="14.5" x14ac:dyDescent="0.35">
      <c r="A12" s="109"/>
      <c r="B12" s="141"/>
      <c r="C12" s="140" t="s">
        <v>319</v>
      </c>
      <c r="D12" s="143">
        <v>0</v>
      </c>
      <c r="E12"/>
      <c r="F12"/>
      <c r="G12"/>
      <c r="H12"/>
      <c r="I12"/>
    </row>
    <row r="13" spans="1:9" ht="15" thickBot="1" x14ac:dyDescent="0.4">
      <c r="A13" s="2" t="s">
        <v>105</v>
      </c>
      <c r="B13" s="15"/>
      <c r="C13" s="15"/>
      <c r="D13" s="69">
        <v>0</v>
      </c>
      <c r="E13"/>
      <c r="F13"/>
      <c r="G13"/>
      <c r="H13"/>
      <c r="I13"/>
    </row>
    <row r="14" spans="1:9" ht="15" thickTop="1" x14ac:dyDescent="0.35">
      <c r="A14"/>
      <c r="B14"/>
      <c r="C14"/>
      <c r="D14"/>
      <c r="F14" s="45"/>
    </row>
    <row r="15" spans="1:9" ht="15" thickTop="1" x14ac:dyDescent="0.35">
      <c r="A15"/>
      <c r="B15"/>
      <c r="C15"/>
      <c r="D15"/>
      <c r="F15" s="45"/>
    </row>
    <row r="16" spans="1:9" ht="14.5" x14ac:dyDescent="0.35">
      <c r="A16"/>
      <c r="B16"/>
      <c r="C16"/>
      <c r="D16"/>
      <c r="F16" s="45"/>
    </row>
    <row r="17" spans="1:6" ht="14.5" x14ac:dyDescent="0.35">
      <c r="A17"/>
      <c r="B17"/>
      <c r="C17"/>
      <c r="D17"/>
      <c r="F17" s="45"/>
    </row>
    <row r="18" spans="1:6" ht="14.5" x14ac:dyDescent="0.35">
      <c r="A18"/>
      <c r="B18"/>
      <c r="C18"/>
      <c r="D18"/>
      <c r="F18" s="45"/>
    </row>
    <row r="19" spans="1:6" ht="14.5" x14ac:dyDescent="0.35">
      <c r="A19"/>
      <c r="B19"/>
      <c r="C19"/>
      <c r="D19"/>
      <c r="F19" s="45"/>
    </row>
    <row r="20" spans="1:6" ht="14.5" x14ac:dyDescent="0.35">
      <c r="A20"/>
      <c r="B20"/>
      <c r="C20"/>
      <c r="D20"/>
      <c r="F20" s="45"/>
    </row>
    <row r="21" spans="1:6" ht="14.5" x14ac:dyDescent="0.35">
      <c r="A21"/>
      <c r="B21"/>
      <c r="C21"/>
      <c r="D21"/>
      <c r="F21" s="45"/>
    </row>
    <row r="22" spans="1:6" ht="14.5" x14ac:dyDescent="0.35">
      <c r="A22"/>
      <c r="B22"/>
      <c r="C22"/>
      <c r="D22"/>
      <c r="F22" s="45"/>
    </row>
    <row r="23" spans="1:6" ht="14.5" x14ac:dyDescent="0.35">
      <c r="A23"/>
      <c r="B23"/>
      <c r="C23"/>
      <c r="D23"/>
      <c r="F23" s="45"/>
    </row>
    <row r="24" spans="1:6" ht="14.5" x14ac:dyDescent="0.35">
      <c r="A24"/>
      <c r="B24"/>
      <c r="C24"/>
      <c r="D24"/>
      <c r="F24" s="45"/>
    </row>
    <row r="25" spans="1:6" ht="14.5" x14ac:dyDescent="0.35">
      <c r="A25"/>
      <c r="B25"/>
      <c r="C25"/>
      <c r="D25"/>
      <c r="F25" s="45"/>
    </row>
    <row r="26" spans="1:6" ht="14.5" x14ac:dyDescent="0.35">
      <c r="A26"/>
      <c r="B26"/>
      <c r="C26"/>
      <c r="D26"/>
      <c r="F26" s="45"/>
    </row>
    <row r="27" spans="1:6" ht="14.5" x14ac:dyDescent="0.35">
      <c r="A27"/>
      <c r="B27"/>
      <c r="C27"/>
      <c r="D27"/>
      <c r="F27" s="45"/>
    </row>
    <row r="28" spans="1:6" ht="14.5" x14ac:dyDescent="0.35">
      <c r="A28"/>
      <c r="B28"/>
      <c r="C28"/>
      <c r="D28"/>
      <c r="F28" s="45"/>
    </row>
    <row r="29" spans="1:6" ht="14.5" x14ac:dyDescent="0.35">
      <c r="A29"/>
      <c r="B29"/>
      <c r="C29"/>
      <c r="D29"/>
      <c r="F29" s="45"/>
    </row>
    <row r="30" spans="1:6" ht="14.5" x14ac:dyDescent="0.35">
      <c r="A30"/>
      <c r="B30"/>
      <c r="C30"/>
      <c r="D30"/>
      <c r="F30" s="45"/>
    </row>
    <row r="31" spans="1:6" ht="15" thickBot="1" x14ac:dyDescent="0.4">
      <c r="A31"/>
      <c r="B31"/>
      <c r="C31"/>
      <c r="D31"/>
      <c r="F31" s="45"/>
    </row>
    <row r="32" spans="1:6" ht="13" thickTop="1" x14ac:dyDescent="0.25">
      <c r="F32" s="45"/>
    </row>
    <row r="33" spans="6:6" x14ac:dyDescent="0.25">
      <c r="F33" s="45"/>
    </row>
    <row r="34" spans="6:6" x14ac:dyDescent="0.25">
      <c r="F34" s="45"/>
    </row>
    <row r="35" spans="6:6" x14ac:dyDescent="0.25">
      <c r="F35" s="45"/>
    </row>
    <row r="36" spans="6:6" x14ac:dyDescent="0.25">
      <c r="F36" s="45"/>
    </row>
    <row r="37" spans="6:6" x14ac:dyDescent="0.25">
      <c r="F37" s="45"/>
    </row>
    <row r="38" spans="6:6" x14ac:dyDescent="0.25">
      <c r="F38" s="45"/>
    </row>
    <row r="39" spans="6:6" x14ac:dyDescent="0.25">
      <c r="F39" s="45"/>
    </row>
    <row r="40" spans="6:6" x14ac:dyDescent="0.25">
      <c r="F40" s="45"/>
    </row>
    <row r="41" spans="6:6" x14ac:dyDescent="0.25">
      <c r="F41" s="45"/>
    </row>
    <row r="42" spans="6:6" x14ac:dyDescent="0.25">
      <c r="F42" s="45"/>
    </row>
    <row r="43" spans="6:6" x14ac:dyDescent="0.25">
      <c r="F43" s="45"/>
    </row>
    <row r="44" spans="6:6" x14ac:dyDescent="0.25">
      <c r="F44" s="45"/>
    </row>
    <row r="45" spans="6:6" x14ac:dyDescent="0.25">
      <c r="F45" s="45"/>
    </row>
    <row r="46" spans="6:6" x14ac:dyDescent="0.25">
      <c r="F46" s="45"/>
    </row>
    <row r="47" spans="6:6" x14ac:dyDescent="0.25">
      <c r="F47" s="45"/>
    </row>
    <row r="48" spans="6:6" x14ac:dyDescent="0.25">
      <c r="F48" s="45"/>
    </row>
    <row r="49" spans="6:6" x14ac:dyDescent="0.25">
      <c r="F49" s="45"/>
    </row>
    <row r="50" spans="6:6" x14ac:dyDescent="0.25">
      <c r="F50" s="45"/>
    </row>
    <row r="51" spans="6:6" x14ac:dyDescent="0.25">
      <c r="F51" s="45"/>
    </row>
    <row r="52" spans="6:6" x14ac:dyDescent="0.25">
      <c r="F52" s="45"/>
    </row>
    <row r="53" spans="6:6" x14ac:dyDescent="0.25">
      <c r="F53" s="45"/>
    </row>
    <row r="54" spans="6:6" x14ac:dyDescent="0.25">
      <c r="F54" s="45"/>
    </row>
    <row r="55" spans="6:6" x14ac:dyDescent="0.25">
      <c r="F55" s="45"/>
    </row>
    <row r="56" spans="6:6" x14ac:dyDescent="0.25">
      <c r="F56" s="45"/>
    </row>
    <row r="57" spans="6:6" x14ac:dyDescent="0.25">
      <c r="F57" s="45"/>
    </row>
    <row r="58" spans="6:6" x14ac:dyDescent="0.25">
      <c r="F58" s="45"/>
    </row>
    <row r="59" spans="6:6" x14ac:dyDescent="0.25">
      <c r="F59" s="45"/>
    </row>
    <row r="60" spans="6:6" x14ac:dyDescent="0.25">
      <c r="F60" s="45"/>
    </row>
    <row r="61" spans="6:6" x14ac:dyDescent="0.25">
      <c r="F61" s="45"/>
    </row>
    <row r="62" spans="6:6" x14ac:dyDescent="0.25">
      <c r="F62" s="45"/>
    </row>
    <row r="63" spans="6:6" x14ac:dyDescent="0.25">
      <c r="F63" s="45"/>
    </row>
    <row r="64" spans="6:6" x14ac:dyDescent="0.25">
      <c r="F64" s="45"/>
    </row>
    <row r="65" spans="6:6" x14ac:dyDescent="0.25">
      <c r="F65" s="45"/>
    </row>
    <row r="66" spans="6:6" x14ac:dyDescent="0.25">
      <c r="F66" s="45"/>
    </row>
    <row r="67" spans="6:6" x14ac:dyDescent="0.25">
      <c r="F67" s="45"/>
    </row>
    <row r="68" spans="6:6" x14ac:dyDescent="0.25">
      <c r="F68" s="45"/>
    </row>
    <row r="69" spans="6:6" x14ac:dyDescent="0.25">
      <c r="F69" s="45"/>
    </row>
    <row r="70" spans="6:6" x14ac:dyDescent="0.25">
      <c r="F70" s="45"/>
    </row>
    <row r="71" spans="6:6" x14ac:dyDescent="0.25">
      <c r="F71" s="45"/>
    </row>
    <row r="72" spans="6:6" x14ac:dyDescent="0.25">
      <c r="F72" s="45"/>
    </row>
    <row r="73" spans="6:6" x14ac:dyDescent="0.25">
      <c r="F73" s="45"/>
    </row>
    <row r="74" spans="6:6" x14ac:dyDescent="0.25">
      <c r="F74" s="45"/>
    </row>
    <row r="75" spans="6:6" x14ac:dyDescent="0.25">
      <c r="F75" s="45"/>
    </row>
    <row r="76" spans="6:6" x14ac:dyDescent="0.25">
      <c r="F76" s="45"/>
    </row>
    <row r="77" spans="6:6" x14ac:dyDescent="0.25">
      <c r="F77" s="45"/>
    </row>
    <row r="78" spans="6:6" x14ac:dyDescent="0.25">
      <c r="F78" s="45"/>
    </row>
    <row r="79" spans="6:6" x14ac:dyDescent="0.25">
      <c r="F79" s="45"/>
    </row>
    <row r="80" spans="6:6" x14ac:dyDescent="0.25">
      <c r="F80" s="45"/>
    </row>
    <row r="81" spans="6:6" x14ac:dyDescent="0.25">
      <c r="F81" s="45"/>
    </row>
    <row r="82" spans="6:6" x14ac:dyDescent="0.25">
      <c r="F82" s="45"/>
    </row>
    <row r="83" spans="6:6" x14ac:dyDescent="0.25">
      <c r="F83" s="45"/>
    </row>
    <row r="84" spans="6:6" x14ac:dyDescent="0.25">
      <c r="F84" s="45"/>
    </row>
    <row r="85" spans="6:6" x14ac:dyDescent="0.25">
      <c r="F85" s="45"/>
    </row>
    <row r="86" spans="6:6" x14ac:dyDescent="0.25">
      <c r="F86" s="45"/>
    </row>
    <row r="87" spans="6:6" x14ac:dyDescent="0.25">
      <c r="F87" s="45"/>
    </row>
    <row r="88" spans="6:6" x14ac:dyDescent="0.25">
      <c r="F88" s="45"/>
    </row>
    <row r="89" spans="6:6" x14ac:dyDescent="0.25">
      <c r="F89" s="45"/>
    </row>
    <row r="90" spans="6:6" x14ac:dyDescent="0.25">
      <c r="F90" s="45"/>
    </row>
    <row r="91" spans="6:6" x14ac:dyDescent="0.25">
      <c r="F91" s="45"/>
    </row>
    <row r="92" spans="6:6" x14ac:dyDescent="0.25">
      <c r="F92" s="45"/>
    </row>
    <row r="93" spans="6:6" x14ac:dyDescent="0.25">
      <c r="F93" s="45"/>
    </row>
    <row r="94" spans="6:6" x14ac:dyDescent="0.25">
      <c r="F94" s="45"/>
    </row>
    <row r="95" spans="6:6" x14ac:dyDescent="0.25">
      <c r="F95" s="45"/>
    </row>
    <row r="96" spans="6:6" x14ac:dyDescent="0.25">
      <c r="F96" s="45"/>
    </row>
    <row r="97" spans="6:6" x14ac:dyDescent="0.25">
      <c r="F97" s="45"/>
    </row>
    <row r="98" spans="6:6" x14ac:dyDescent="0.25">
      <c r="F98" s="45"/>
    </row>
    <row r="99" spans="6:6" x14ac:dyDescent="0.25">
      <c r="F99" s="45"/>
    </row>
    <row r="100" spans="6:6" x14ac:dyDescent="0.25">
      <c r="F100" s="45"/>
    </row>
    <row r="101" spans="6:6" x14ac:dyDescent="0.25">
      <c r="F101" s="45"/>
    </row>
    <row r="102" spans="6:6" x14ac:dyDescent="0.25">
      <c r="F102" s="45"/>
    </row>
    <row r="103" spans="6:6" x14ac:dyDescent="0.25">
      <c r="F103" s="45"/>
    </row>
    <row r="104" spans="6:6" x14ac:dyDescent="0.25">
      <c r="F104" s="45"/>
    </row>
    <row r="105" spans="6:6" x14ac:dyDescent="0.25">
      <c r="F105" s="45"/>
    </row>
    <row r="106" spans="6:6" x14ac:dyDescent="0.25">
      <c r="F106" s="45"/>
    </row>
    <row r="107" spans="6:6" x14ac:dyDescent="0.25">
      <c r="F107" s="45"/>
    </row>
    <row r="108" spans="6:6" x14ac:dyDescent="0.25">
      <c r="F108" s="45"/>
    </row>
    <row r="109" spans="6:6" x14ac:dyDescent="0.25">
      <c r="F109" s="45"/>
    </row>
    <row r="110" spans="6:6" x14ac:dyDescent="0.25">
      <c r="F110" s="45"/>
    </row>
    <row r="111" spans="6:6" x14ac:dyDescent="0.25">
      <c r="F111" s="45"/>
    </row>
    <row r="112" spans="6:6" x14ac:dyDescent="0.25">
      <c r="F112" s="45"/>
    </row>
    <row r="113" spans="6:6" x14ac:dyDescent="0.25">
      <c r="F113" s="45"/>
    </row>
    <row r="114" spans="6:6" x14ac:dyDescent="0.25">
      <c r="F114" s="45"/>
    </row>
    <row r="115" spans="6:6" x14ac:dyDescent="0.25">
      <c r="F115" s="45"/>
    </row>
    <row r="116" spans="6:6" x14ac:dyDescent="0.25">
      <c r="F116" s="45"/>
    </row>
    <row r="117" spans="6:6" x14ac:dyDescent="0.25">
      <c r="F117" s="45"/>
    </row>
    <row r="118" spans="6:6" x14ac:dyDescent="0.25">
      <c r="F118" s="45"/>
    </row>
    <row r="119" spans="6:6" x14ac:dyDescent="0.25">
      <c r="F119" s="45"/>
    </row>
    <row r="120" spans="6:6" x14ac:dyDescent="0.25">
      <c r="F120" s="45"/>
    </row>
    <row r="121" spans="6:6" x14ac:dyDescent="0.25">
      <c r="F121" s="45"/>
    </row>
    <row r="122" spans="6:6" x14ac:dyDescent="0.25">
      <c r="F122" s="45"/>
    </row>
    <row r="123" spans="6:6" x14ac:dyDescent="0.25">
      <c r="F123" s="45"/>
    </row>
    <row r="124" spans="6:6" x14ac:dyDescent="0.25">
      <c r="F124" s="45"/>
    </row>
    <row r="125" spans="6:6" x14ac:dyDescent="0.25">
      <c r="F125" s="45"/>
    </row>
    <row r="126" spans="6:6" x14ac:dyDescent="0.25">
      <c r="F126" s="45"/>
    </row>
    <row r="127" spans="6:6" x14ac:dyDescent="0.25">
      <c r="F127" s="45"/>
    </row>
    <row r="128" spans="6:6" x14ac:dyDescent="0.25">
      <c r="F128" s="45"/>
    </row>
    <row r="129" spans="6:6" x14ac:dyDescent="0.25">
      <c r="F129" s="45"/>
    </row>
  </sheetData>
  <pageMargins left="0.78740157499999996" right="0.78740157499999996" top="0.984251969" bottom="0.984251969" header="0.5" footer="0.5"/>
  <pageSetup paperSize="9" scale="67" orientation="landscape" horizontalDpi="1200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>
    <tabColor rgb="FFC00000"/>
  </sheetPr>
  <dimension ref="A1:R189"/>
  <sheetViews>
    <sheetView showGridLines="0" zoomScale="85" workbookViewId="0">
      <pane ySplit="11" topLeftCell="A12" activePane="bottomLeft" state="frozen"/>
      <selection activeCell="A2" sqref="A2"/>
      <selection pane="bottomLeft" activeCell="A12" sqref="A12"/>
    </sheetView>
  </sheetViews>
  <sheetFormatPr defaultColWidth="11.453125" defaultRowHeight="12.5" x14ac:dyDescent="0.25"/>
  <cols>
    <col min="1" max="1" width="23.81640625" style="45" customWidth="1"/>
    <col min="2" max="2" width="8.1796875" style="45" customWidth="1"/>
    <col min="3" max="3" width="45.81640625" style="45" customWidth="1"/>
    <col min="4" max="4" width="10.26953125" style="45" customWidth="1"/>
    <col min="5" max="5" width="13.81640625" style="45" customWidth="1"/>
    <col min="6" max="6" width="12.81640625" style="63" customWidth="1"/>
    <col min="7" max="8" width="10.7265625" style="45" customWidth="1"/>
    <col min="9" max="9" width="13.26953125" style="45" bestFit="1" customWidth="1"/>
    <col min="10" max="10" width="9.54296875" style="45" customWidth="1"/>
    <col min="11" max="12" width="11.7265625" style="45" customWidth="1"/>
    <col min="13" max="18" width="10.453125" style="45" customWidth="1"/>
    <col min="19" max="19" width="10.54296875" style="45" customWidth="1"/>
    <col min="20" max="20" width="10.26953125" style="45" customWidth="1"/>
    <col min="21" max="25" width="12.81640625" style="45" bestFit="1" customWidth="1"/>
    <col min="26" max="26" width="16" style="45" bestFit="1" customWidth="1"/>
    <col min="27" max="50" width="10.26953125" style="45" customWidth="1"/>
    <col min="51" max="51" width="16" style="45" bestFit="1" customWidth="1"/>
    <col min="52" max="62" width="10.26953125" style="45" customWidth="1"/>
    <col min="63" max="63" width="16" style="45" bestFit="1" customWidth="1"/>
    <col min="64" max="64" width="10.26953125" style="45" customWidth="1"/>
    <col min="65" max="65" width="16" style="45" bestFit="1" customWidth="1"/>
    <col min="66" max="66" width="10.26953125" style="45" customWidth="1"/>
    <col min="67" max="67" width="16" style="45" bestFit="1" customWidth="1"/>
    <col min="68" max="68" width="10.26953125" style="45" customWidth="1"/>
    <col min="69" max="69" width="16" style="45" bestFit="1" customWidth="1"/>
    <col min="70" max="16384" width="11.453125" style="45"/>
  </cols>
  <sheetData>
    <row r="1" spans="1:18" ht="30" customHeight="1" x14ac:dyDescent="0.4">
      <c r="A1" s="48"/>
    </row>
    <row r="2" spans="1:18" x14ac:dyDescent="0.25">
      <c r="A2" s="45" t="str">
        <f>"Creation Time: "&amp;TEXT(PlanTime,"dd.mm.åååå tt:mm:ss")</f>
        <v>Creation Time: 00.01.1900 00:00:00</v>
      </c>
    </row>
    <row r="3" spans="1:18" x14ac:dyDescent="0.25">
      <c r="J3" s="49" t="s">
        <v>326</v>
      </c>
      <c r="K3" s="65">
        <f>COUNTA(K12:K590)</f>
        <v>3</v>
      </c>
    </row>
    <row r="8" spans="1:18" ht="14.5" x14ac:dyDescent="0.35">
      <c r="A8" s="110" t="s">
        <v>156</v>
      </c>
      <c r="B8" s="111" t="s">
        <v>106</v>
      </c>
    </row>
    <row r="10" spans="1:18" ht="14.5" x14ac:dyDescent="0.35">
      <c r="A10" s="66" t="s">
        <v>316</v>
      </c>
      <c r="B10" s="66"/>
      <c r="C10" s="66"/>
      <c r="D10" s="66"/>
      <c r="E10" s="66"/>
      <c r="F10" s="66"/>
      <c r="G10" s="66"/>
      <c r="H10" s="66"/>
      <c r="I10" s="66"/>
      <c r="J10" s="66"/>
      <c r="K10" s="66" t="s">
        <v>167</v>
      </c>
      <c r="L10"/>
      <c r="M10"/>
      <c r="N10"/>
      <c r="O10"/>
      <c r="P10"/>
      <c r="Q10"/>
      <c r="R10"/>
    </row>
    <row r="11" spans="1:18" ht="14.5" x14ac:dyDescent="0.35">
      <c r="A11" s="1" t="s">
        <v>172</v>
      </c>
      <c r="B11" s="115" t="s">
        <v>166</v>
      </c>
      <c r="C11" s="115" t="s">
        <v>0</v>
      </c>
      <c r="D11" s="115" t="s">
        <v>119</v>
      </c>
      <c r="E11" s="115" t="s">
        <v>191</v>
      </c>
      <c r="F11" s="115" t="s">
        <v>192</v>
      </c>
      <c r="G11" s="123" t="s">
        <v>162</v>
      </c>
      <c r="H11" s="115" t="s">
        <v>168</v>
      </c>
      <c r="I11" s="115" t="s">
        <v>337</v>
      </c>
      <c r="J11" s="115" t="s">
        <v>184</v>
      </c>
      <c r="K11" s="118">
        <v>41233</v>
      </c>
      <c r="L11"/>
      <c r="M11"/>
      <c r="N11"/>
      <c r="O11"/>
      <c r="P11"/>
      <c r="Q11"/>
      <c r="R11"/>
    </row>
    <row r="12" spans="1:18" ht="14.5" x14ac:dyDescent="0.35">
      <c r="A12" s="14" t="s">
        <v>317</v>
      </c>
      <c r="B12" s="116">
        <v>1</v>
      </c>
      <c r="C12" s="112" t="s">
        <v>318</v>
      </c>
      <c r="D12" s="116">
        <v>1216279</v>
      </c>
      <c r="E12" s="113">
        <v>41603</v>
      </c>
      <c r="F12" s="117">
        <v>0.29166666666666669</v>
      </c>
      <c r="G12" s="114">
        <v>3.1666666666666599</v>
      </c>
      <c r="H12" s="117">
        <v>0.73478009259259258</v>
      </c>
      <c r="I12" s="112" t="s">
        <v>41</v>
      </c>
      <c r="J12" s="112" t="s">
        <v>424</v>
      </c>
      <c r="K12" s="119">
        <v>1300</v>
      </c>
      <c r="L12"/>
      <c r="M12"/>
      <c r="N12"/>
      <c r="O12"/>
      <c r="P12"/>
      <c r="Q12"/>
      <c r="R12"/>
    </row>
    <row r="13" spans="1:18" ht="14.5" x14ac:dyDescent="0.35">
      <c r="A13" s="109"/>
      <c r="B13" s="116">
        <v>2</v>
      </c>
      <c r="C13" s="112" t="s">
        <v>319</v>
      </c>
      <c r="D13" s="116">
        <v>1216279</v>
      </c>
      <c r="E13" s="113">
        <v>41603</v>
      </c>
      <c r="F13" s="117">
        <v>0.29166666666666669</v>
      </c>
      <c r="G13" s="114">
        <v>4.6666666666666599</v>
      </c>
      <c r="H13" s="117">
        <v>0.929224537037037</v>
      </c>
      <c r="I13" s="112" t="s">
        <v>41</v>
      </c>
      <c r="J13" s="112"/>
      <c r="K13" s="119">
        <v>55</v>
      </c>
      <c r="L13"/>
      <c r="M13"/>
      <c r="N13"/>
      <c r="O13"/>
      <c r="P13"/>
      <c r="Q13"/>
      <c r="R13"/>
    </row>
    <row r="14" spans="1:18" ht="14.5" x14ac:dyDescent="0.35">
      <c r="A14" s="109"/>
      <c r="B14" s="141"/>
      <c r="C14" s="141"/>
      <c r="D14" s="116" t="s">
        <v>431</v>
      </c>
      <c r="E14" s="113">
        <v>41603</v>
      </c>
      <c r="F14" s="117">
        <v>0.29166666666666669</v>
      </c>
      <c r="G14" s="114">
        <v>4.6666666666666599</v>
      </c>
      <c r="H14" s="117">
        <v>0.929224537037037</v>
      </c>
      <c r="I14" s="112">
        <v>0</v>
      </c>
      <c r="J14" s="112"/>
      <c r="K14" s="119">
        <v>55</v>
      </c>
      <c r="L14"/>
      <c r="M14"/>
      <c r="N14"/>
      <c r="O14"/>
      <c r="P14"/>
      <c r="Q14"/>
      <c r="R14"/>
    </row>
    <row r="15" spans="1:18" ht="14.5" x14ac:dyDescent="0.35">
      <c r="A15" s="120"/>
      <c r="B15" s="121"/>
      <c r="C15" s="121"/>
      <c r="D15" s="121"/>
      <c r="E15" s="121"/>
      <c r="F15" s="121"/>
      <c r="G15" s="121"/>
      <c r="H15" s="121"/>
      <c r="I15" s="121"/>
      <c r="J15" s="121"/>
      <c r="K15" s="122"/>
      <c r="L15"/>
      <c r="M15"/>
      <c r="N15"/>
      <c r="O15"/>
      <c r="P15"/>
      <c r="Q15"/>
      <c r="R15"/>
    </row>
    <row r="16" spans="1:18" ht="14.5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ht="14.5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ht="14.5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ht="14.5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4.5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ht="14.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ht="14.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ht="14.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ht="14.5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ht="14.5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ht="14.5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ht="14.5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ht="14.5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ht="14.5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ht="14.5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ht="14.5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ht="14.5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ht="14.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ht="14.5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ht="14.5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ht="14.5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ht="14.5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ht="14.5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ht="14.5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ht="14.5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ht="14.5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4.5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4.5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4.5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4.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4.5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4.5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4.5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4.5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4.5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4.5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4.5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4.5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4.5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4.5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4.5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4.5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4.5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4.5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4.5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4.5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4.5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4.5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4.5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4.5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4.5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4.5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4.5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4.5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4.5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4.5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4.5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4.5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4.5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4.5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4.5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4.5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4.5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4.5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4.5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4.5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4.5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4.5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4.5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4.5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4.5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4.5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4.5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4.5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ht="14.5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F114" s="45"/>
    </row>
    <row r="115" spans="1:18" x14ac:dyDescent="0.25">
      <c r="F115" s="45"/>
    </row>
    <row r="116" spans="1:18" x14ac:dyDescent="0.25">
      <c r="F116" s="45"/>
    </row>
    <row r="117" spans="1:18" x14ac:dyDescent="0.25">
      <c r="F117" s="45"/>
    </row>
    <row r="118" spans="1:18" x14ac:dyDescent="0.25">
      <c r="F118" s="45"/>
    </row>
    <row r="119" spans="1:18" x14ac:dyDescent="0.25">
      <c r="F119" s="45"/>
    </row>
    <row r="120" spans="1:18" x14ac:dyDescent="0.25">
      <c r="F120" s="45"/>
    </row>
    <row r="121" spans="1:18" x14ac:dyDescent="0.25">
      <c r="F121" s="45"/>
    </row>
    <row r="122" spans="1:18" x14ac:dyDescent="0.25">
      <c r="F122" s="45"/>
    </row>
    <row r="123" spans="1:18" x14ac:dyDescent="0.25">
      <c r="F123" s="45"/>
    </row>
    <row r="124" spans="1:18" x14ac:dyDescent="0.25">
      <c r="F124" s="45"/>
    </row>
    <row r="125" spans="1:18" x14ac:dyDescent="0.25">
      <c r="F125" s="45"/>
    </row>
    <row r="126" spans="1:18" x14ac:dyDescent="0.25">
      <c r="F126" s="45"/>
    </row>
    <row r="127" spans="1:18" x14ac:dyDescent="0.25">
      <c r="F127" s="45"/>
    </row>
    <row r="128" spans="1:18" x14ac:dyDescent="0.25">
      <c r="F128" s="45"/>
    </row>
    <row r="129" spans="6:6" x14ac:dyDescent="0.25">
      <c r="F129" s="45"/>
    </row>
    <row r="130" spans="6:6" x14ac:dyDescent="0.25">
      <c r="F130" s="45"/>
    </row>
    <row r="131" spans="6:6" x14ac:dyDescent="0.25">
      <c r="F131" s="45"/>
    </row>
    <row r="132" spans="6:6" x14ac:dyDescent="0.25">
      <c r="F132" s="45"/>
    </row>
    <row r="133" spans="6:6" x14ac:dyDescent="0.25">
      <c r="F133" s="45"/>
    </row>
    <row r="134" spans="6:6" x14ac:dyDescent="0.25">
      <c r="F134" s="45"/>
    </row>
    <row r="135" spans="6:6" x14ac:dyDescent="0.25">
      <c r="F135" s="45"/>
    </row>
    <row r="136" spans="6:6" x14ac:dyDescent="0.25">
      <c r="F136" s="45"/>
    </row>
    <row r="137" spans="6:6" x14ac:dyDescent="0.25">
      <c r="F137" s="45"/>
    </row>
    <row r="138" spans="6:6" x14ac:dyDescent="0.25">
      <c r="F138" s="45"/>
    </row>
    <row r="139" spans="6:6" x14ac:dyDescent="0.25">
      <c r="F139" s="45"/>
    </row>
    <row r="140" spans="6:6" x14ac:dyDescent="0.25">
      <c r="F140" s="45"/>
    </row>
    <row r="141" spans="6:6" x14ac:dyDescent="0.25">
      <c r="F141" s="45"/>
    </row>
    <row r="142" spans="6:6" x14ac:dyDescent="0.25">
      <c r="F142" s="45"/>
    </row>
    <row r="143" spans="6:6" x14ac:dyDescent="0.25">
      <c r="F143" s="45"/>
    </row>
    <row r="144" spans="6:6" x14ac:dyDescent="0.25">
      <c r="F144" s="45"/>
    </row>
    <row r="145" spans="6:6" x14ac:dyDescent="0.25">
      <c r="F145" s="45"/>
    </row>
    <row r="146" spans="6:6" x14ac:dyDescent="0.25">
      <c r="F146" s="45"/>
    </row>
    <row r="147" spans="6:6" x14ac:dyDescent="0.25">
      <c r="F147" s="45"/>
    </row>
    <row r="148" spans="6:6" x14ac:dyDescent="0.25">
      <c r="F148" s="45"/>
    </row>
    <row r="149" spans="6:6" x14ac:dyDescent="0.25">
      <c r="F149" s="45"/>
    </row>
    <row r="150" spans="6:6" x14ac:dyDescent="0.25">
      <c r="F150" s="45"/>
    </row>
    <row r="151" spans="6:6" x14ac:dyDescent="0.25">
      <c r="F151" s="45"/>
    </row>
    <row r="152" spans="6:6" x14ac:dyDescent="0.25">
      <c r="F152" s="45"/>
    </row>
    <row r="153" spans="6:6" x14ac:dyDescent="0.25">
      <c r="F153" s="45"/>
    </row>
    <row r="154" spans="6:6" x14ac:dyDescent="0.25">
      <c r="F154" s="45"/>
    </row>
    <row r="155" spans="6:6" x14ac:dyDescent="0.25">
      <c r="F155" s="45"/>
    </row>
    <row r="156" spans="6:6" x14ac:dyDescent="0.25">
      <c r="F156" s="45"/>
    </row>
    <row r="157" spans="6:6" x14ac:dyDescent="0.25">
      <c r="F157" s="45"/>
    </row>
    <row r="158" spans="6:6" x14ac:dyDescent="0.25">
      <c r="F158" s="45"/>
    </row>
    <row r="159" spans="6:6" x14ac:dyDescent="0.25">
      <c r="F159" s="45"/>
    </row>
    <row r="160" spans="6:6" x14ac:dyDescent="0.25">
      <c r="F160" s="45"/>
    </row>
    <row r="161" spans="6:6" x14ac:dyDescent="0.25">
      <c r="F161" s="45"/>
    </row>
    <row r="162" spans="6:6" x14ac:dyDescent="0.25">
      <c r="F162" s="45"/>
    </row>
    <row r="163" spans="6:6" x14ac:dyDescent="0.25">
      <c r="F163" s="45"/>
    </row>
    <row r="164" spans="6:6" x14ac:dyDescent="0.25">
      <c r="F164" s="45"/>
    </row>
    <row r="165" spans="6:6" x14ac:dyDescent="0.25">
      <c r="F165" s="45"/>
    </row>
    <row r="166" spans="6:6" x14ac:dyDescent="0.25">
      <c r="F166" s="45"/>
    </row>
    <row r="167" spans="6:6" x14ac:dyDescent="0.25">
      <c r="F167" s="45"/>
    </row>
    <row r="168" spans="6:6" x14ac:dyDescent="0.25">
      <c r="F168" s="45"/>
    </row>
    <row r="169" spans="6:6" x14ac:dyDescent="0.25">
      <c r="F169" s="45"/>
    </row>
    <row r="170" spans="6:6" x14ac:dyDescent="0.25">
      <c r="F170" s="45"/>
    </row>
    <row r="171" spans="6:6" x14ac:dyDescent="0.25">
      <c r="F171" s="45"/>
    </row>
    <row r="172" spans="6:6" x14ac:dyDescent="0.25">
      <c r="F172" s="45"/>
    </row>
    <row r="173" spans="6:6" x14ac:dyDescent="0.25">
      <c r="F173" s="45"/>
    </row>
    <row r="174" spans="6:6" x14ac:dyDescent="0.25">
      <c r="F174" s="45"/>
    </row>
    <row r="175" spans="6:6" x14ac:dyDescent="0.25">
      <c r="F175" s="45"/>
    </row>
    <row r="176" spans="6:6" x14ac:dyDescent="0.25">
      <c r="F176" s="45"/>
    </row>
    <row r="177" spans="6:6" x14ac:dyDescent="0.25">
      <c r="F177" s="45"/>
    </row>
    <row r="178" spans="6:6" x14ac:dyDescent="0.25">
      <c r="F178" s="45"/>
    </row>
    <row r="179" spans="6:6" x14ac:dyDescent="0.25">
      <c r="F179" s="45"/>
    </row>
    <row r="180" spans="6:6" x14ac:dyDescent="0.25">
      <c r="F180" s="45"/>
    </row>
    <row r="181" spans="6:6" x14ac:dyDescent="0.25">
      <c r="F181" s="45"/>
    </row>
    <row r="182" spans="6:6" x14ac:dyDescent="0.25">
      <c r="F182" s="45"/>
    </row>
    <row r="183" spans="6:6" x14ac:dyDescent="0.25">
      <c r="F183" s="45"/>
    </row>
    <row r="184" spans="6:6" x14ac:dyDescent="0.25">
      <c r="F184" s="45"/>
    </row>
    <row r="185" spans="6:6" x14ac:dyDescent="0.25">
      <c r="F185" s="45"/>
    </row>
    <row r="186" spans="6:6" x14ac:dyDescent="0.25">
      <c r="F186" s="45"/>
    </row>
    <row r="187" spans="6:6" x14ac:dyDescent="0.25">
      <c r="F187" s="45"/>
    </row>
    <row r="188" spans="6:6" x14ac:dyDescent="0.25">
      <c r="F188" s="45"/>
    </row>
    <row r="189" spans="6:6" x14ac:dyDescent="0.25">
      <c r="F189" s="45"/>
    </row>
  </sheetData>
  <pageMargins left="0.78740157499999996" right="0.78740157499999996" top="0.984251969" bottom="0.984251969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44</vt:i4>
      </vt:variant>
    </vt:vector>
  </HeadingPairs>
  <TitlesOfParts>
    <vt:vector size="61" baseType="lpstr">
      <vt:lpstr>Database</vt:lpstr>
      <vt:lpstr>PlanData</vt:lpstr>
      <vt:lpstr>Capacity</vt:lpstr>
      <vt:lpstr>WC_Cap</vt:lpstr>
      <vt:lpstr>Cap_Start</vt:lpstr>
      <vt:lpstr>Descriptions</vt:lpstr>
      <vt:lpstr>PvtTableDef</vt:lpstr>
      <vt:lpstr>LocalLists</vt:lpstr>
      <vt:lpstr>ReportOptions</vt:lpstr>
      <vt:lpstr>Version</vt:lpstr>
      <vt:lpstr>Information</vt:lpstr>
      <vt:lpstr>Rapport info</vt:lpstr>
      <vt:lpstr>ProdPlan</vt:lpstr>
      <vt:lpstr>Sequence</vt:lpstr>
      <vt:lpstr>Mixing Status</vt:lpstr>
      <vt:lpstr>Deviations</vt:lpstr>
      <vt:lpstr>Låst plan</vt:lpstr>
      <vt:lpstr>_Day1</vt:lpstr>
      <vt:lpstr>_Day2</vt:lpstr>
      <vt:lpstr>_Day3</vt:lpstr>
      <vt:lpstr>CapDate</vt:lpstr>
      <vt:lpstr>CapDateNumber</vt:lpstr>
      <vt:lpstr>CapDates</vt:lpstr>
      <vt:lpstr>CapStart</vt:lpstr>
      <vt:lpstr>Capacity!CapStartDay</vt:lpstr>
      <vt:lpstr>CapStartDay</vt:lpstr>
      <vt:lpstr>Currency</vt:lpstr>
      <vt:lpstr>CustomerHierarchy</vt:lpstr>
      <vt:lpstr>Days</vt:lpstr>
      <vt:lpstr>EndTime</vt:lpstr>
      <vt:lpstr>FirstSheet</vt:lpstr>
      <vt:lpstr>FirstTable</vt:lpstr>
      <vt:lpstr>FromDate</vt:lpstr>
      <vt:lpstr>MaterialPrice</vt:lpstr>
      <vt:lpstr>Night</vt:lpstr>
      <vt:lpstr>NowValue</vt:lpstr>
      <vt:lpstr>Capacity!PlanData</vt:lpstr>
      <vt:lpstr>PlanData</vt:lpstr>
      <vt:lpstr>PlanStart</vt:lpstr>
      <vt:lpstr>PlanTime</vt:lpstr>
      <vt:lpstr>PlanTime1</vt:lpstr>
      <vt:lpstr>ProductHierarchy</vt:lpstr>
      <vt:lpstr>QuantityUnit</vt:lpstr>
      <vt:lpstr>RecNum</vt:lpstr>
      <vt:lpstr>ReportCaption</vt:lpstr>
      <vt:lpstr>ReportCaption1</vt:lpstr>
      <vt:lpstr>ReportCaption2</vt:lpstr>
      <vt:lpstr>ReportCaption3</vt:lpstr>
      <vt:lpstr>ReportCaption4</vt:lpstr>
      <vt:lpstr>ReportID</vt:lpstr>
      <vt:lpstr>SalesValue</vt:lpstr>
      <vt:lpstr>SapExlReportName</vt:lpstr>
      <vt:lpstr>StartTime</vt:lpstr>
      <vt:lpstr>StartWC</vt:lpstr>
      <vt:lpstr>Time_Used</vt:lpstr>
      <vt:lpstr>TimeNow</vt:lpstr>
      <vt:lpstr>ToDay</vt:lpstr>
      <vt:lpstr>Updated</vt:lpstr>
      <vt:lpstr>Capacity!WC_Cap</vt:lpstr>
      <vt:lpstr>WC_Cap</vt:lpstr>
      <vt:lpstr>WC_Plan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2013-11-25T10:04:37Z</cp:lastPrinted>
  <dcterms:created xsi:type="dcterms:W3CDTF">2012-10-09T11:25:20Z</dcterms:created>
  <dcterms:modified xsi:type="dcterms:W3CDTF">2015-08-28T10:17:35Z</dcterms:modified>
</cp:coreProperties>
</file>