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Reports\"/>
    </mc:Choice>
  </mc:AlternateContent>
  <workbookProtection workbookPassword="CB87" lockStructure="1"/>
  <bookViews>
    <workbookView xWindow="1530" yWindow="3000" windowWidth="17390" windowHeight="7260" tabRatio="934" firstSheet="8" activeTab="11"/>
  </bookViews>
  <sheets>
    <sheet name="Database" sheetId="43" state="hidden" r:id="rId1"/>
    <sheet name="ExchangeRates" sheetId="11" state="hidden" r:id="rId2"/>
    <sheet name="OrderStatusComments" sheetId="25" state="hidden" r:id="rId3"/>
    <sheet name="Descriptions" sheetId="8" state="hidden" r:id="rId4"/>
    <sheet name="PvtTableDef" sheetId="33" state="hidden" r:id="rId5"/>
    <sheet name="LocalLists" sheetId="24" state="hidden" r:id="rId6"/>
    <sheet name="ReportOptions" sheetId="10" state="hidden" r:id="rId7"/>
    <sheet name="Version" sheetId="5" state="hidden" r:id="rId8"/>
    <sheet name="Rapport info" sheetId="1" r:id="rId9"/>
    <sheet name="Verdi" sheetId="35" r:id="rId10"/>
    <sheet name="Totalt" sheetId="36" r:id="rId11"/>
    <sheet name="Status per idag" sheetId="37" r:id="rId12"/>
  </sheets>
  <definedNames>
    <definedName name="Currency">ReportOptions!$B$5</definedName>
    <definedName name="FirstSheet">Version!$B$6</definedName>
    <definedName name="FirstTable">Version!$B$7</definedName>
    <definedName name="Last_Update">Totalt!$A$2</definedName>
    <definedName name="Manko_Kart">IF(Database!BK1048561&lt;&gt;Database!BK1048560,SUMIF(Database!BK1048561:BK45,Database!BK1048561,Database!BE1048561:BE45)-SUMIF(Database!BK1048561:BK45,Database!BK1048561,Database!BG1048561:BG45),IF(Database!BK1048561=Database!BK1048560,0,Database!BE1048561-Database!BG1048561))</definedName>
    <definedName name="_xlnm.Print_Titles" localSheetId="9">Verdi!$16:$16</definedName>
    <definedName name="RecNum">'Rapport info'!$K$10</definedName>
    <definedName name="ReportCaption">Version!$B$8</definedName>
    <definedName name="ReportID">Version!$B$4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0" r:id="rId13"/>
  </pivotCaches>
</workbook>
</file>

<file path=xl/calcChain.xml><?xml version="1.0" encoding="utf-8"?>
<calcChain xmlns="http://schemas.openxmlformats.org/spreadsheetml/2006/main">
  <c r="BX2" i="43" l="1"/>
  <c r="BX3" i="43"/>
  <c r="BV2" i="43" l="1"/>
  <c r="BV3" i="43"/>
  <c r="CD2" i="43"/>
  <c r="CD3" i="43"/>
  <c r="BW2" i="43"/>
  <c r="BW3" i="43"/>
  <c r="BM2" i="43" l="1"/>
  <c r="BM3" i="43"/>
  <c r="BQ2" i="43" l="1"/>
  <c r="BQ3" i="43"/>
  <c r="BZ2" i="43" l="1"/>
  <c r="BZ3" i="43"/>
  <c r="CG2" i="43" l="1"/>
  <c r="CG3" i="43"/>
  <c r="CF2" i="43"/>
  <c r="CF3" i="43"/>
  <c r="CI3" i="43" l="1"/>
  <c r="CH3" i="43"/>
  <c r="CE3" i="43"/>
  <c r="CC3" i="43"/>
  <c r="CB3" i="43"/>
  <c r="CA3" i="43"/>
  <c r="BY3" i="43"/>
  <c r="BU3" i="43"/>
  <c r="BR3" i="43"/>
  <c r="BP3" i="43"/>
  <c r="BO3" i="43"/>
  <c r="BN3" i="43"/>
  <c r="CI2" i="43"/>
  <c r="CH2" i="43"/>
  <c r="CE2" i="43"/>
  <c r="CC2" i="43"/>
  <c r="CB2" i="43"/>
  <c r="CA2" i="43"/>
  <c r="BY2" i="43"/>
  <c r="BU2" i="43"/>
  <c r="BR2" i="43"/>
  <c r="BP2" i="43"/>
  <c r="BO2" i="43"/>
  <c r="BN2" i="43"/>
  <c r="BS3" i="43" l="1"/>
  <c r="BS2" i="43"/>
  <c r="BT2" i="43" s="1"/>
  <c r="BT3" i="43" s="1"/>
  <c r="A3" i="37"/>
  <c r="A3" i="36"/>
  <c r="A3" i="35"/>
  <c r="C5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<sst xmlns="http://schemas.openxmlformats.org/spreadsheetml/2006/main" count="356" uniqueCount="227">
  <si>
    <t>MTyp</t>
  </si>
  <si>
    <t>ReportName</t>
  </si>
  <si>
    <t>ReportID</t>
  </si>
  <si>
    <t>Material</t>
  </si>
  <si>
    <t>NOK</t>
  </si>
  <si>
    <t>Currency</t>
  </si>
  <si>
    <t>This sheet is used to handle user selections in the ribbon group Options</t>
  </si>
  <si>
    <t>Description</t>
  </si>
  <si>
    <t>Ribbon options</t>
  </si>
  <si>
    <t>Value</t>
  </si>
  <si>
    <t>Standard</t>
  </si>
  <si>
    <t>Item tag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</si>
  <si>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</si>
  <si>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</si>
  <si>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</si>
  <si>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</si>
  <si>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</si>
  <si>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</si>
  <si>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</si>
  <si>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</si>
  <si>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</si>
  <si>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</si>
  <si>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</si>
  <si>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</si>
  <si>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</si>
  <si>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</si>
  <si>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</si>
  <si>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</si>
  <si>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</si>
  <si>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FieldName</t>
  </si>
  <si>
    <t>SOrg.</t>
  </si>
  <si>
    <t>Dv</t>
  </si>
  <si>
    <t>SGrp</t>
  </si>
  <si>
    <t>MS</t>
  </si>
  <si>
    <t>St</t>
  </si>
  <si>
    <t>C</t>
  </si>
  <si>
    <t>A</t>
  </si>
  <si>
    <t>Index</t>
  </si>
  <si>
    <t>Mat_Type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</si>
  <si>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</si>
  <si>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</si>
  <si>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</si>
  <si>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</si>
  <si>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</si>
  <si>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</si>
  <si>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</si>
  <si>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</si>
  <si>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</si>
  <si>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</si>
  <si>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</si>
  <si>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</si>
  <si>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AvailibleDate</t>
  </si>
  <si>
    <t>Comment</t>
  </si>
  <si>
    <t>ReportCaption</t>
  </si>
  <si>
    <t>CurrencyRate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</si>
  <si>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</si>
  <si>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</si>
  <si>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</si>
  <si>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</si>
  <si>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</si>
  <si>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</si>
  <si>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</si>
  <si>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</si>
  <si>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</si>
  <si>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</si>
  <si>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</si>
  <si>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</si>
  <si>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</si>
  <si>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</si>
  <si>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</si>
  <si>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</si>
  <si>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</si>
  <si>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</si>
  <si>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</si>
  <si>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</si>
  <si>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</si>
  <si>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</si>
  <si>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</si>
  <si>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</si>
  <si>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</si>
  <si>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</si>
  <si>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</si>
  <si>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</si>
  <si>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</si>
  <si>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</si>
  <si>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</si>
  <si>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</si>
  <si>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</si>
  <si>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</si>
  <si>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Default</t>
  </si>
  <si>
    <t>SL</t>
  </si>
  <si>
    <t>Ord</t>
  </si>
  <si>
    <t>Total SL</t>
  </si>
  <si>
    <t>Total Ord</t>
  </si>
  <si>
    <t>Data</t>
  </si>
  <si>
    <t>Pivottabell2</t>
  </si>
  <si>
    <t>Beholdning</t>
  </si>
  <si>
    <t xml:space="preserve">    Trykk F10 for å lansere valgskjermen</t>
  </si>
  <si>
    <t>Rapporten Inneholder</t>
  </si>
  <si>
    <t>Rapport Statistikker</t>
  </si>
  <si>
    <t>TS</t>
  </si>
  <si>
    <t>Sluttlevering</t>
  </si>
  <si>
    <t>Controllingområde</t>
  </si>
  <si>
    <t>Levering</t>
  </si>
  <si>
    <t>D.Kanal</t>
  </si>
  <si>
    <t>LS</t>
  </si>
  <si>
    <t>LS1</t>
  </si>
  <si>
    <t>LS2</t>
  </si>
  <si>
    <t>Salgs dok.</t>
  </si>
  <si>
    <t>Salgsdok.type</t>
  </si>
  <si>
    <t>Best.nummer kunde</t>
  </si>
  <si>
    <t>Pos kat.</t>
  </si>
  <si>
    <t>Språk Navn</t>
  </si>
  <si>
    <t>Material Besk.</t>
  </si>
  <si>
    <t>Markeds grp.</t>
  </si>
  <si>
    <t>Vare grp OFN(11)</t>
  </si>
  <si>
    <t>Markedsområde</t>
  </si>
  <si>
    <t>Merke operativt</t>
  </si>
  <si>
    <t>Merke paraply</t>
  </si>
  <si>
    <t>Marketkat</t>
  </si>
  <si>
    <t>FLG</t>
  </si>
  <si>
    <t>MTyp Besk.</t>
  </si>
  <si>
    <t>Ordreårsak</t>
  </si>
  <si>
    <t>Fabrikk Navn</t>
  </si>
  <si>
    <t>Produkthierarki</t>
  </si>
  <si>
    <t>Avslagsstatus</t>
  </si>
  <si>
    <t>Leverende lager</t>
  </si>
  <si>
    <t>SKon.</t>
  </si>
  <si>
    <t>Eksp sted.</t>
  </si>
  <si>
    <t>Oppdragsgiver</t>
  </si>
  <si>
    <t>Kundegruppe</t>
  </si>
  <si>
    <t>Bransje oppdragsgiv.</t>
  </si>
  <si>
    <t>Plukkstatus</t>
  </si>
  <si>
    <t>Oppd.dato</t>
  </si>
  <si>
    <t>Leverende fabrikk</t>
  </si>
  <si>
    <t>Posisjon</t>
  </si>
  <si>
    <t>Vurd.klasse</t>
  </si>
  <si>
    <t>ZIBEZEI</t>
  </si>
  <si>
    <t>ZISOBSL</t>
  </si>
  <si>
    <t>ZIVMSTA</t>
  </si>
  <si>
    <t>Bilagsvaluta</t>
  </si>
  <si>
    <t>Salgs enhet</t>
  </si>
  <si>
    <t>Språk</t>
  </si>
  <si>
    <t>Merke kode</t>
  </si>
  <si>
    <t>Merke grp kode</t>
  </si>
  <si>
    <t>Fabr</t>
  </si>
  <si>
    <t>Prod_Hier kode</t>
  </si>
  <si>
    <t>Oppdragsgiver kode</t>
  </si>
  <si>
    <t>Kundegruppe kode</t>
  </si>
  <si>
    <t>Valuta</t>
  </si>
  <si>
    <t>Ordre_Kva</t>
  </si>
  <si>
    <t>Bekr_Kva</t>
  </si>
  <si>
    <t>Delsum1</t>
  </si>
  <si>
    <t>Lever_Kva</t>
  </si>
  <si>
    <t>Nettoverdi</t>
  </si>
  <si>
    <t>Total beholding</t>
  </si>
  <si>
    <t>Ordre_Verdi</t>
  </si>
  <si>
    <t>Lever_Verdi</t>
  </si>
  <si>
    <t>Bekr_Verdi</t>
  </si>
  <si>
    <t>Ikke.Lever_Kva</t>
  </si>
  <si>
    <t>Lever_Tag</t>
  </si>
  <si>
    <t>Mat_Stat_Tag</t>
  </si>
  <si>
    <t>Merke</t>
  </si>
  <si>
    <t>Dok_Stat</t>
  </si>
  <si>
    <t>Lever_Stat</t>
  </si>
  <si>
    <t>Produkthierarki Navn</t>
  </si>
  <si>
    <t>Material Navn</t>
  </si>
  <si>
    <t>Kjeden</t>
  </si>
  <si>
    <t>Kunde Navn</t>
  </si>
  <si>
    <t>Merknader</t>
  </si>
  <si>
    <t>Tilgj_Dato</t>
  </si>
  <si>
    <t>Uke_Num</t>
  </si>
  <si>
    <t>/18</t>
  </si>
  <si>
    <t>Not assigned</t>
  </si>
  <si>
    <t>K011600334</t>
  </si>
  <si>
    <t>ZCRO</t>
  </si>
  <si>
    <t>ZCEO08.10.2012</t>
  </si>
  <si>
    <t>G2N</t>
  </si>
  <si>
    <t>Norwegian</t>
  </si>
  <si>
    <t>Stabbur-Makrell Filet 1/3p 520x170g</t>
  </si>
  <si>
    <t>STABBURET - MAKRELL</t>
  </si>
  <si>
    <t>STABBURET</t>
  </si>
  <si>
    <t>Finished products</t>
  </si>
  <si>
    <t>Råbekken</t>
  </si>
  <si>
    <t>Not assigned/FR10</t>
  </si>
  <si>
    <t>REMA 1000 SOFIENBERG</t>
  </si>
  <si>
    <t>REMA 1000</t>
  </si>
  <si>
    <t>DAGLIGVARE</t>
  </si>
  <si>
    <t>Norwegian Krone</t>
  </si>
  <si>
    <t>MO540</t>
  </si>
  <si>
    <t>MP230</t>
  </si>
  <si>
    <t>ZFER</t>
  </si>
  <si>
    <t>FR00</t>
  </si>
  <si>
    <t>Piece</t>
  </si>
  <si>
    <t>001626 Stabbur-Makrell Filet 1/3p 520x170g</t>
  </si>
  <si>
    <t>Total Lev</t>
  </si>
  <si>
    <t>Lev</t>
  </si>
  <si>
    <t>Verdi</t>
  </si>
  <si>
    <t xml:space="preserve">Ordre_Verdi </t>
  </si>
  <si>
    <t xml:space="preserve">Bekr_Verdi </t>
  </si>
  <si>
    <t xml:space="preserve">Lever_Verdi </t>
  </si>
  <si>
    <t xml:space="preserve">Ordre_Kva </t>
  </si>
  <si>
    <t xml:space="preserve">Bekr_Kva </t>
  </si>
  <si>
    <t xml:space="preserve">Lever_Kva </t>
  </si>
  <si>
    <t xml:space="preserve">Bekr_SL </t>
  </si>
  <si>
    <t xml:space="preserve">Lever_SL </t>
  </si>
  <si>
    <t>01.01.2013</t>
  </si>
  <si>
    <t>Ønsk.levDa</t>
  </si>
  <si>
    <t>Brand Historikk</t>
  </si>
  <si>
    <t>Hoved kjede</t>
  </si>
  <si>
    <t>Fabrikk</t>
  </si>
  <si>
    <t>Brand</t>
  </si>
  <si>
    <t>Dagligvare</t>
  </si>
  <si>
    <t>- Datagrunnlag er samme som Salgs Ordre Status rapporten</t>
  </si>
  <si>
    <t>- Rapporten leser ordrehistorikk for valgt merke og eventuelt fabrikk</t>
  </si>
  <si>
    <t xml:space="preserve">   Det kan velges flere merker fra muliti select funksjon</t>
  </si>
  <si>
    <t>- Benyttes i stor grad mot kjølevarer i ukentlige S&amp;OP gjennomganger</t>
  </si>
  <si>
    <t>- Viser bestilt og levert i verdi og kvanta</t>
  </si>
  <si>
    <t>- Viser service grad pr kunde pr periode og dag</t>
  </si>
  <si>
    <t>Brukerveiledning</t>
  </si>
  <si>
    <t>- Tast ønsket uke du vil analysere og dato kommer automatisk frem</t>
  </si>
  <si>
    <t xml:space="preserve"> - Velg Fabrikk og de Merker du ønsker å kjøre rapport på.  Dersom det er flere enn ett merke, bruk ikon får å gjøre multi selekt</t>
  </si>
  <si>
    <t>- Du kan lagre seleksjoner ved å skrive inn navn og trykke Lagre Variant</t>
  </si>
  <si>
    <t>- Kjør rapport - F8</t>
  </si>
  <si>
    <t>- Total ordre - levert og servicegrad</t>
  </si>
  <si>
    <t>- Salg pr kjede i antall Dpak - bestilt - levert pr dag</t>
  </si>
  <si>
    <t>- Verdirapport  - eks kjølevarer Elverum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</si>
</sst>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#,##0.0\ %;[Red]\-#,##0.0\ 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u/>
      <sz val="12"/>
      <color theme="1"/>
      <name val="Calibri"/>
      <family val="2"/>
      <scheme val="minor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7" fillId="0" borderId="0"/>
  </cellStyleXfs>
  <cellXfs count="75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1" xfId="0" pivotButton="1" applyBorder="1"/>
    <xf numFmtId="0" fontId="1" fillId="0" borderId="2" xfId="0" applyFont="1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2" borderId="5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0" borderId="10" xfId="0" applyFont="1" applyBorder="1" applyAlignment="1">
      <alignment horizontal="right"/>
    </xf>
    <xf numFmtId="0" fontId="0" fillId="4" borderId="8" xfId="0" applyFill="1" applyBorder="1"/>
    <xf numFmtId="0" fontId="1" fillId="2" borderId="6" xfId="0" applyFont="1" applyFill="1" applyBorder="1"/>
    <xf numFmtId="0" fontId="1" fillId="5" borderId="0" xfId="0" applyFont="1" applyFill="1"/>
    <xf numFmtId="0" fontId="1" fillId="0" borderId="12" xfId="0" applyFont="1" applyBorder="1"/>
    <xf numFmtId="0" fontId="1" fillId="0" borderId="12" xfId="0" applyFont="1" applyBorder="1" applyAlignment="1"/>
    <xf numFmtId="0" fontId="1" fillId="0" borderId="12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7" fillId="0" borderId="0" xfId="1"/>
    <xf numFmtId="3" fontId="10" fillId="0" borderId="0" xfId="1" applyNumberFormat="1" applyFont="1"/>
    <xf numFmtId="38" fontId="7" fillId="0" borderId="0" xfId="1" applyNumberFormat="1"/>
    <xf numFmtId="38" fontId="7" fillId="0" borderId="0" xfId="1" applyNumberFormat="1" applyFill="1" applyBorder="1" applyAlignment="1">
      <alignment horizontal="right"/>
    </xf>
    <xf numFmtId="0" fontId="1" fillId="0" borderId="0" xfId="0" applyFont="1" applyBorder="1"/>
    <xf numFmtId="0" fontId="1" fillId="0" borderId="14" xfId="0" applyFont="1" applyBorder="1"/>
    <xf numFmtId="0" fontId="1" fillId="0" borderId="8" xfId="0" applyFont="1" applyBorder="1"/>
    <xf numFmtId="0" fontId="1" fillId="0" borderId="13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14" fontId="1" fillId="5" borderId="0" xfId="0" applyNumberFormat="1" applyFont="1" applyFill="1"/>
    <xf numFmtId="164" fontId="1" fillId="0" borderId="0" xfId="0" applyNumberFormat="1" applyFont="1"/>
    <xf numFmtId="0" fontId="0" fillId="0" borderId="0" xfId="0" applyAlignment="1">
      <alignment vertical="center" wrapText="1"/>
    </xf>
    <xf numFmtId="164" fontId="0" fillId="0" borderId="0" xfId="0" applyNumberFormat="1"/>
    <xf numFmtId="0" fontId="0" fillId="0" borderId="0" xfId="0" applyBorder="1" applyAlignment="1">
      <alignment textRotation="25"/>
    </xf>
    <xf numFmtId="0" fontId="7" fillId="0" borderId="0" xfId="1" applyBorder="1" applyAlignment="1">
      <alignment textRotation="25"/>
    </xf>
    <xf numFmtId="0" fontId="1" fillId="0" borderId="14" xfId="0" applyFont="1" applyBorder="1" applyAlignment="1">
      <alignment textRotation="35"/>
    </xf>
    <xf numFmtId="38" fontId="0" fillId="0" borderId="3" xfId="0" applyNumberFormat="1" applyBorder="1" applyAlignment="1">
      <alignment horizontal="right"/>
    </xf>
    <xf numFmtId="38" fontId="1" fillId="2" borderId="6" xfId="0" applyNumberFormat="1" applyFont="1" applyFill="1" applyBorder="1" applyAlignment="1">
      <alignment horizontal="right"/>
    </xf>
    <xf numFmtId="38" fontId="0" fillId="4" borderId="3" xfId="0" applyNumberFormat="1" applyFill="1" applyBorder="1" applyAlignment="1">
      <alignment horizontal="right"/>
    </xf>
    <xf numFmtId="38" fontId="0" fillId="0" borderId="4" xfId="0" applyNumberFormat="1" applyBorder="1" applyAlignment="1">
      <alignment horizontal="right"/>
    </xf>
    <xf numFmtId="38" fontId="0" fillId="4" borderId="4" xfId="0" applyNumberFormat="1" applyFill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5" fontId="1" fillId="2" borderId="6" xfId="0" applyNumberFormat="1" applyFont="1" applyFill="1" applyBorder="1" applyAlignment="1">
      <alignment horizontal="right"/>
    </xf>
    <xf numFmtId="165" fontId="0" fillId="4" borderId="4" xfId="0" applyNumberFormat="1" applyFill="1" applyBorder="1" applyAlignment="1">
      <alignment horizontal="right"/>
    </xf>
    <xf numFmtId="165" fontId="0" fillId="0" borderId="10" xfId="0" applyNumberFormat="1" applyBorder="1" applyAlignment="1">
      <alignment horizontal="right"/>
    </xf>
    <xf numFmtId="165" fontId="1" fillId="2" borderId="7" xfId="0" applyNumberFormat="1" applyFont="1" applyFill="1" applyBorder="1" applyAlignment="1">
      <alignment horizontal="right"/>
    </xf>
    <xf numFmtId="165" fontId="0" fillId="4" borderId="10" xfId="0" applyNumberFormat="1" applyFill="1" applyBorder="1" applyAlignment="1">
      <alignment horizontal="right"/>
    </xf>
    <xf numFmtId="38" fontId="0" fillId="0" borderId="14" xfId="0" applyNumberFormat="1" applyBorder="1" applyAlignment="1">
      <alignment horizontal="right"/>
    </xf>
    <xf numFmtId="38" fontId="1" fillId="2" borderId="5" xfId="0" applyNumberFormat="1" applyFont="1" applyFill="1" applyBorder="1" applyAlignment="1">
      <alignment horizontal="right"/>
    </xf>
    <xf numFmtId="38" fontId="0" fillId="4" borderId="14" xfId="0" applyNumberFormat="1" applyFill="1" applyBorder="1" applyAlignment="1">
      <alignment horizontal="right"/>
    </xf>
    <xf numFmtId="0" fontId="1" fillId="0" borderId="8" xfId="0" applyFont="1" applyBorder="1" applyAlignment="1">
      <alignment textRotation="35"/>
    </xf>
    <xf numFmtId="38" fontId="0" fillId="0" borderId="13" xfId="0" applyNumberFormat="1" applyBorder="1" applyAlignment="1">
      <alignment horizontal="right"/>
    </xf>
    <xf numFmtId="38" fontId="1" fillId="2" borderId="7" xfId="0" applyNumberFormat="1" applyFont="1" applyFill="1" applyBorder="1" applyAlignment="1">
      <alignment horizontal="right"/>
    </xf>
    <xf numFmtId="38" fontId="0" fillId="4" borderId="13" xfId="0" applyNumberFormat="1" applyFill="1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4" fontId="0" fillId="0" borderId="0" xfId="0" quotePrefix="1" applyNumberFormat="1"/>
    <xf numFmtId="14" fontId="1" fillId="2" borderId="11" xfId="0" applyNumberFormat="1" applyFont="1" applyFill="1" applyBorder="1"/>
    <xf numFmtId="14" fontId="1" fillId="2" borderId="5" xfId="0" applyNumberFormat="1" applyFont="1" applyFill="1" applyBorder="1"/>
    <xf numFmtId="14" fontId="0" fillId="4" borderId="3" xfId="0" applyNumberFormat="1" applyFill="1" applyBorder="1"/>
    <xf numFmtId="0" fontId="4" fillId="0" borderId="0" xfId="0" quotePrefix="1" applyFont="1"/>
    <xf numFmtId="0" fontId="11" fillId="0" borderId="0" xfId="0" quotePrefix="1" applyFont="1" applyFill="1"/>
    <xf numFmtId="0" fontId="9" fillId="0" borderId="0" xfId="0" quotePrefix="1" applyFont="1" applyFill="1"/>
    <xf numFmtId="0" fontId="12" fillId="0" borderId="0" xfId="0" quotePrefix="1" applyFont="1" applyAlignment="1">
      <alignment vertical="center"/>
    </xf>
  </cellXfs>
  <cellStyles count="7">
    <cellStyle name="Min stil" xfId="2"/>
    <cellStyle name="Normal" xfId="0" builtinId="0"/>
    <cellStyle name="Normal 2" xfId="1"/>
    <cellStyle name="Normal 2 2" xfId="3"/>
    <cellStyle name="Normal 2_Brand_Order_History_M" xfId="6"/>
    <cellStyle name="Normal 3" xfId="4"/>
    <cellStyle name="Normal 4" xfId="5"/>
  </cellStyles>
  <dxfs count="42">
    <dxf>
      <alignment textRotation="35" readingOrder="0"/>
    </dxf>
    <dxf>
      <numFmt numFmtId="6" formatCode="#,##0;[Red]\-#,##0"/>
    </dxf>
    <dxf>
      <numFmt numFmtId="6" formatCode="#,##0;[Red]\-#,##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dd/mm/yyyy;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Brand Historikk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10</xdr:col>
      <xdr:colOff>13388</xdr:colOff>
      <xdr:row>12</xdr:row>
      <xdr:rowOff>57040</xdr:rowOff>
    </xdr:from>
    <xdr:to>
      <xdr:col>12</xdr:col>
      <xdr:colOff>362207</xdr:colOff>
      <xdr:row>19</xdr:row>
      <xdr:rowOff>153970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0182" y="2567158"/>
          <a:ext cx="1805584" cy="15088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134468</xdr:rowOff>
    </xdr:from>
    <xdr:to>
      <xdr:col>3</xdr:col>
      <xdr:colOff>488240</xdr:colOff>
      <xdr:row>6</xdr:row>
      <xdr:rowOff>1006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68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89648</xdr:colOff>
      <xdr:row>22</xdr:row>
      <xdr:rowOff>44824</xdr:rowOff>
    </xdr:from>
    <xdr:to>
      <xdr:col>4</xdr:col>
      <xdr:colOff>201730</xdr:colOff>
      <xdr:row>34</xdr:row>
      <xdr:rowOff>168089</xdr:rowOff>
    </xdr:to>
    <xdr:pic>
      <xdr:nvPicPr>
        <xdr:cNvPr id="12" name="Bilde 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001" y="4572000"/>
          <a:ext cx="2297229" cy="2543736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36</xdr:row>
      <xdr:rowOff>22412</xdr:rowOff>
    </xdr:from>
    <xdr:to>
      <xdr:col>7</xdr:col>
      <xdr:colOff>12033</xdr:colOff>
      <xdr:row>52</xdr:row>
      <xdr:rowOff>8251</xdr:rowOff>
    </xdr:to>
    <xdr:pic>
      <xdr:nvPicPr>
        <xdr:cNvPr id="15" name="Bilde 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7383" y="7373471"/>
          <a:ext cx="4326297" cy="3213133"/>
        </a:xfrm>
        <a:prstGeom prst="rect">
          <a:avLst/>
        </a:prstGeom>
      </xdr:spPr>
    </xdr:pic>
    <xdr:clientData/>
  </xdr:twoCellAnchor>
  <xdr:twoCellAnchor editAs="oneCell">
    <xdr:from>
      <xdr:col>1</xdr:col>
      <xdr:colOff>44824</xdr:colOff>
      <xdr:row>53</xdr:row>
      <xdr:rowOff>78442</xdr:rowOff>
    </xdr:from>
    <xdr:to>
      <xdr:col>12</xdr:col>
      <xdr:colOff>81654</xdr:colOff>
      <xdr:row>67</xdr:row>
      <xdr:rowOff>134827</xdr:rowOff>
    </xdr:to>
    <xdr:pic>
      <xdr:nvPicPr>
        <xdr:cNvPr id="16" name="Bilde 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77" y="10858501"/>
          <a:ext cx="8049036" cy="2880267"/>
        </a:xfrm>
        <a:prstGeom prst="rect">
          <a:avLst/>
        </a:prstGeom>
      </xdr:spPr>
    </xdr:pic>
    <xdr:clientData/>
  </xdr:twoCellAnchor>
  <xdr:twoCellAnchor editAs="oneCell">
    <xdr:from>
      <xdr:col>1</xdr:col>
      <xdr:colOff>44824</xdr:colOff>
      <xdr:row>69</xdr:row>
      <xdr:rowOff>44824</xdr:rowOff>
    </xdr:from>
    <xdr:to>
      <xdr:col>13</xdr:col>
      <xdr:colOff>306151</xdr:colOff>
      <xdr:row>90</xdr:row>
      <xdr:rowOff>59610</xdr:rowOff>
    </xdr:to>
    <xdr:pic>
      <xdr:nvPicPr>
        <xdr:cNvPr id="17" name="Bild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36177" y="14052177"/>
          <a:ext cx="9001915" cy="4250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518547" cy="277097"/>
    <xdr:sp macro="" textlink="ReportCaption">
      <xdr:nvSpPr>
        <xdr:cNvPr id="2" name="Avrundet rektangel 1"/>
        <xdr:cNvSpPr/>
      </xdr:nvSpPr>
      <xdr:spPr>
        <a:xfrm>
          <a:off x="22412" y="33618"/>
          <a:ext cx="151854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Brand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518547" cy="277097"/>
    <xdr:sp macro="" textlink="ReportCaption">
      <xdr:nvSpPr>
        <xdr:cNvPr id="2" name="Avrundet rektangel 1"/>
        <xdr:cNvSpPr/>
      </xdr:nvSpPr>
      <xdr:spPr>
        <a:xfrm>
          <a:off x="22412" y="33618"/>
          <a:ext cx="151854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Brand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518547" cy="277097"/>
    <xdr:sp macro="" textlink="ReportCaption">
      <xdr:nvSpPr>
        <xdr:cNvPr id="2" name="Avrundet rektangel 1"/>
        <xdr:cNvSpPr/>
      </xdr:nvSpPr>
      <xdr:spPr>
        <a:xfrm>
          <a:off x="22412" y="33618"/>
          <a:ext cx="151854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Brand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1913.378128819444" createdVersion="4" refreshedVersion="4" minRefreshableVersion="3" recordCount="2">
  <cacheSource type="worksheet">
    <worksheetSource name="SapExlData"/>
  </cacheSource>
  <cacheFields count="91">
    <cacheField name="MS" numFmtId="0">
      <sharedItems/>
    </cacheField>
    <cacheField name="St" numFmtId="0">
      <sharedItems/>
    </cacheField>
    <cacheField name="TS" numFmtId="0">
      <sharedItems/>
    </cacheField>
    <cacheField name="Sluttlevering" numFmtId="0">
      <sharedItems containsNonDate="0" containsString="0" containsBlank="1"/>
    </cacheField>
    <cacheField name="Controllingområde" numFmtId="0">
      <sharedItems/>
    </cacheField>
    <cacheField name="Levering" numFmtId="0">
      <sharedItems count="2">
        <s v="K011600334"/>
        <s v="Not assigned" u="1"/>
      </sharedItems>
    </cacheField>
    <cacheField name="D.Kanal" numFmtId="0">
      <sharedItems count="2">
        <s v="Dagligvare"/>
        <s v="Direct Delivery" u="1"/>
      </sharedItems>
    </cacheField>
    <cacheField name="Dv" numFmtId="0">
      <sharedItems/>
    </cacheField>
    <cacheField name="LS" numFmtId="0">
      <sharedItems containsNonDate="0" containsString="0" containsBlank="1"/>
    </cacheField>
    <cacheField name="LS1" numFmtId="0">
      <sharedItems containsNonDate="0" containsString="0" containsBlank="1"/>
    </cacheField>
    <cacheField name="LS2" numFmtId="0">
      <sharedItems containsNonDate="0" containsString="0" containsBlank="1"/>
    </cacheField>
    <cacheField name="Salgs dok." numFmtId="0">
      <sharedItems count="2">
        <s v="Not assigned"/>
        <s v="K011600334" u="1"/>
      </sharedItems>
    </cacheField>
    <cacheField name="Salgsdok.type" numFmtId="0">
      <sharedItems/>
    </cacheField>
    <cacheField name="Best.nummer kunde" numFmtId="49">
      <sharedItems/>
    </cacheField>
    <cacheField name="Brand" numFmtId="0">
      <sharedItems/>
    </cacheField>
    <cacheField name="Pos kat." numFmtId="0">
      <sharedItems/>
    </cacheField>
    <cacheField name="Språk Navn" numFmtId="0">
      <sharedItems/>
    </cacheField>
    <cacheField name="Material Besk." numFmtId="0">
      <sharedItems/>
    </cacheField>
    <cacheField name="Markeds grp." numFmtId="0">
      <sharedItems containsNonDate="0" containsString="0" containsBlank="1"/>
    </cacheField>
    <cacheField name="Vare grp OFN(11)" numFmtId="0">
      <sharedItems containsNonDate="0" containsString="0" containsBlank="1" count="1">
        <m/>
      </sharedItems>
    </cacheField>
    <cacheField name="Markedsområde" numFmtId="0">
      <sharedItems containsNonDate="0" containsString="0" containsBlank="1"/>
    </cacheField>
    <cacheField name="Merke operativt" numFmtId="0">
      <sharedItems/>
    </cacheField>
    <cacheField name="Merke paraply" numFmtId="0">
      <sharedItems/>
    </cacheField>
    <cacheField name="Marketkat" numFmtId="0">
      <sharedItems containsNonDate="0" containsString="0" containsBlank="1" count="1">
        <m/>
      </sharedItems>
    </cacheField>
    <cacheField name="FLG" numFmtId="0">
      <sharedItems containsNonDate="0" containsString="0" containsBlank="1"/>
    </cacheField>
    <cacheField name="MTyp Besk." numFmtId="0">
      <sharedItems/>
    </cacheField>
    <cacheField name="Ordreårsak" numFmtId="0">
      <sharedItems/>
    </cacheField>
    <cacheField name="Fabrikk Navn" numFmtId="0">
      <sharedItems/>
    </cacheField>
    <cacheField name="Produkthierarki" numFmtId="0">
      <sharedItems/>
    </cacheField>
    <cacheField name="Avslagsstatus" numFmtId="0">
      <sharedItems/>
    </cacheField>
    <cacheField name="Leverende lager" numFmtId="0">
      <sharedItems/>
    </cacheField>
    <cacheField name="SOrg." numFmtId="0">
      <sharedItems containsSemiMixedTypes="0" containsString="0" containsNumber="1" containsInteger="1" minValue="1000" maxValue="1000"/>
    </cacheField>
    <cacheField name="SGrp" numFmtId="0">
      <sharedItems/>
    </cacheField>
    <cacheField name="SKon." numFmtId="0">
      <sharedItems/>
    </cacheField>
    <cacheField name="Eksp sted." numFmtId="0">
      <sharedItems/>
    </cacheField>
    <cacheField name="Oppdragsgiver" numFmtId="0">
      <sharedItems/>
    </cacheField>
    <cacheField name="Kundegruppe" numFmtId="0">
      <sharedItems/>
    </cacheField>
    <cacheField name="Bransje oppdragsgiv." numFmtId="0">
      <sharedItems/>
    </cacheField>
    <cacheField name="Plukkstatus" numFmtId="0">
      <sharedItems containsNonDate="0" containsString="0" containsBlank="1"/>
    </cacheField>
    <cacheField name="Oppd.dato" numFmtId="164">
      <sharedItems/>
    </cacheField>
    <cacheField name="Leverende fabrikk" numFmtId="0">
      <sharedItems/>
    </cacheField>
    <cacheField name="Posisjon" numFmtId="0">
      <sharedItems containsSemiMixedTypes="0" containsString="0" containsNumber="1" containsInteger="1" minValue="30" maxValue="30"/>
    </cacheField>
    <cacheField name="Vurd.klasse" numFmtId="0">
      <sharedItems containsSemiMixedTypes="0" containsString="0" containsNumber="1" containsInteger="1" minValue="7920" maxValue="7920"/>
    </cacheField>
    <cacheField name="ZIBEZEI" numFmtId="0">
      <sharedItems/>
    </cacheField>
    <cacheField name="ZISOBSL" numFmtId="0">
      <sharedItems/>
    </cacheField>
    <cacheField name="ZIVMSTA" numFmtId="0">
      <sharedItems/>
    </cacheField>
    <cacheField name="Bilagsvaluta" numFmtId="0">
      <sharedItems/>
    </cacheField>
    <cacheField name="Salgs enhet" numFmtId="0">
      <sharedItems/>
    </cacheField>
    <cacheField name="Språk" numFmtId="0">
      <sharedItems/>
    </cacheField>
    <cacheField name="Material" numFmtId="0">
      <sharedItems containsSemiMixedTypes="0" containsString="0" containsNumber="1" containsInteger="1" minValue="1626" maxValue="1626"/>
    </cacheField>
    <cacheField name="Merke kode" numFmtId="0">
      <sharedItems/>
    </cacheField>
    <cacheField name="Merke grp kode" numFmtId="0">
      <sharedItems/>
    </cacheField>
    <cacheField name="MTyp" numFmtId="0">
      <sharedItems/>
    </cacheField>
    <cacheField name="Fabr" numFmtId="0">
      <sharedItems/>
    </cacheField>
    <cacheField name="Prod_Hier kode" numFmtId="0">
      <sharedItems containsNonDate="0" containsString="0" containsBlank="1"/>
    </cacheField>
    <cacheField name="Oppdragsgiver kode" numFmtId="0">
      <sharedItems containsNonDate="0" containsString="0" containsBlank="1"/>
    </cacheField>
    <cacheField name="Kundegruppe kode" numFmtId="0">
      <sharedItems containsNonDate="0" containsString="0" containsBlank="1"/>
    </cacheField>
    <cacheField name="Valuta" numFmtId="0">
      <sharedItems/>
    </cacheField>
    <cacheField name="enhet" numFmtId="0">
      <sharedItems containsBlank="1"/>
    </cacheField>
    <cacheField name="Ordre_Kva" numFmtId="0">
      <sharedItems containsSemiMixedTypes="0" containsString="0" containsNumber="1" containsInteger="1" minValue="0" maxValue="0"/>
    </cacheField>
    <cacheField name="Bekr_Kva" numFmtId="0">
      <sharedItems containsSemiMixedTypes="0" containsString="0" containsNumber="1" containsInteger="1" minValue="0" maxValue="0"/>
    </cacheField>
    <cacheField name="Delsum1" numFmtId="0">
      <sharedItems containsSemiMixedTypes="0" containsString="0" containsNumber="1" containsInteger="1" minValue="0" maxValue="0"/>
    </cacheField>
    <cacheField name="Lever_Kva" numFmtId="0">
      <sharedItems containsSemiMixedTypes="0" containsString="0" containsNumber="1" containsInteger="1" minValue="0" maxValue="0"/>
    </cacheField>
    <cacheField name="Nettoverdi" numFmtId="0">
      <sharedItems containsSemiMixedTypes="0" containsString="0" containsNumber="1" containsInteger="1" minValue="0" maxValue="780"/>
    </cacheField>
    <cacheField name="Total beholding" numFmtId="0">
      <sharedItems containsSemiMixedTypes="0" containsString="0" containsNumber="1" containsInteger="1" minValue="0" maxValue="0"/>
    </cacheField>
    <cacheField name="Ønsk.levDa" numFmtId="14">
      <sharedItems containsSemiMixedTypes="0" containsNonDate="0" containsDate="1" containsString="0" minDate="2013-01-01T00:00:00" maxDate="2013-01-02T00:00:00" count="1">
        <d v="2013-01-01T00:00:00"/>
      </sharedItems>
    </cacheField>
    <cacheField name="Ordre_Verdi" numFmtId="0">
      <sharedItems containsSemiMixedTypes="0" containsString="0" containsNumber="1" containsInteger="1" minValue="0" maxValue="0"/>
    </cacheField>
    <cacheField name="Lever_Verdi" numFmtId="0">
      <sharedItems containsSemiMixedTypes="0" containsString="0" containsNumber="1" containsInteger="1" minValue="0" maxValue="0"/>
    </cacheField>
    <cacheField name="Bekr_Verdi" numFmtId="0">
      <sharedItems containsSemiMixedTypes="0" containsString="0" containsNumber="1" containsInteger="1" minValue="0" maxValue="0"/>
    </cacheField>
    <cacheField name="CurrencyRate" numFmtId="0">
      <sharedItems containsSemiMixedTypes="0" containsString="0" containsNumber="1" containsInteger="1" minValue="1" maxValue="1"/>
    </cacheField>
    <cacheField name="Index" numFmtId="0">
      <sharedItems/>
    </cacheField>
    <cacheField name="Ikke.Lever_Kva" numFmtId="0">
      <sharedItems containsSemiMixedTypes="0" containsString="0" containsNumber="1" containsInteger="1" minValue="0" maxValue="0"/>
    </cacheField>
    <cacheField name="Lever_Tag" numFmtId="0">
      <sharedItems/>
    </cacheField>
    <cacheField name="Mat_Stat_Tag" numFmtId="0">
      <sharedItems/>
    </cacheField>
    <cacheField name="Fabrikk" numFmtId="0">
      <sharedItems count="1">
        <s v="FR00 Råbekken"/>
      </sharedItems>
    </cacheField>
    <cacheField name="Mat_Type" numFmtId="0">
      <sharedItems count="5">
        <s v="ZFER Finished products"/>
        <s v="FERT" u="1"/>
        <s v="ZFER" u="1"/>
        <s v="HAWA" u="1"/>
        <s v="ICOMP" u="1"/>
      </sharedItems>
    </cacheField>
    <cacheField name="Merke" numFmtId="0">
      <sharedItems count="2">
        <s v="STABBURET - MAKRELL"/>
        <s v="MO540 STABBURET - MAKRELL" u="1"/>
      </sharedItems>
    </cacheField>
    <cacheField name="Dok_Stat" numFmtId="0">
      <sharedItems/>
    </cacheField>
    <cacheField name="Lever_Stat" numFmtId="0">
      <sharedItems/>
    </cacheField>
    <cacheField name="Produkthierarki Navn" numFmtId="0">
      <sharedItems/>
    </cacheField>
    <cacheField name="Material Navn" numFmtId="0">
      <sharedItems count="1">
        <s v="001626 Stabbur-Makrell Filet 1/3p 520x170g"/>
      </sharedItems>
    </cacheField>
    <cacheField name="Kjeden" numFmtId="0">
      <sharedItems containsSemiMixedTypes="0" containsString="0" containsNumber="1" containsInteger="1" minValue="0" maxValue="0"/>
    </cacheField>
    <cacheField name="Hoved kjede" numFmtId="0">
      <sharedItems count="1">
        <s v="REMA 1000"/>
      </sharedItems>
    </cacheField>
    <cacheField name="Kunde Navn" numFmtId="0">
      <sharedItems count="1">
        <s v=" REMA 1000 SOFIENBERG"/>
      </sharedItems>
    </cacheField>
    <cacheField name="Merknader" numFmtId="0">
      <sharedItems/>
    </cacheField>
    <cacheField name="Tilgj_Dato" numFmtId="14">
      <sharedItems/>
    </cacheField>
    <cacheField name="Beholdning" numFmtId="0">
      <sharedItems/>
    </cacheField>
    <cacheField name="Uke_Num" numFmtId="0">
      <sharedItems containsSemiMixedTypes="0" containsString="0" containsNumber="1" containsInteger="1" minValue="1" maxValue="1"/>
    </cacheField>
    <cacheField name="Bekr_SL" numFmtId="0" formula="(Bekr_Kva/Ordre_Kva)" databaseField="0"/>
    <cacheField name="Lever_SL" numFmtId="0" formula="(Lever_Kva/Ordre_Kva)" databaseField="0"/>
    <cacheField name="OoS Verdi" numFmtId="0" formula="(Ordre_Verdi-Lever_Verdi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/18"/>
    <s v="/18"/>
    <s v="C"/>
    <m/>
    <s v="Not assigned"/>
    <x v="0"/>
    <x v="0"/>
    <s v="Standard"/>
    <m/>
    <m/>
    <m/>
    <x v="0"/>
    <s v="ZCRO"/>
    <s v="ZCEO08.10.2012"/>
    <s v="STABBURET - MAKRELL"/>
    <s v="G2N"/>
    <s v="Norwegian"/>
    <s v="Stabbur-Makrell Filet 1/3p 520x170g"/>
    <m/>
    <x v="0"/>
    <m/>
    <s v="STABBURET - MAKRELL"/>
    <s v="STABBURET"/>
    <x v="0"/>
    <m/>
    <s v="Finished products"/>
    <s v="Not assigned"/>
    <s v="Råbekken"/>
    <s v="Not assigned"/>
    <s v="A"/>
    <s v="Not assigned/FR10"/>
    <n v="1000"/>
    <s v="Not assigned"/>
    <s v="Not assigned"/>
    <s v="Not assigned"/>
    <s v="REMA 1000 SOFIENBERG"/>
    <s v="REMA 1000"/>
    <s v="DAGLIGVARE"/>
    <m/>
    <s v="01.01.2013"/>
    <s v="Not assigned"/>
    <n v="30"/>
    <n v="7920"/>
    <s v="Not assigned"/>
    <s v="Not assigned"/>
    <s v="Not assigned"/>
    <s v="Norwegian Krone"/>
    <s v="Not assigned"/>
    <s v="NO"/>
    <n v="1626"/>
    <s v="MO540"/>
    <s v="MP230"/>
    <s v="ZFER"/>
    <s v="FR00"/>
    <m/>
    <m/>
    <m/>
    <s v="NOK"/>
    <m/>
    <n v="0"/>
    <n v="0"/>
    <n v="0"/>
    <n v="0"/>
    <n v="780"/>
    <n v="0"/>
    <x v="0"/>
    <n v="0"/>
    <n v="0"/>
    <n v="0"/>
    <n v="1"/>
    <s v="301626"/>
    <n v="0"/>
    <s v="No"/>
    <s v="Yes"/>
    <x v="0"/>
    <x v="0"/>
    <x v="0"/>
    <s v="None"/>
    <s v="Not relevant"/>
    <s v=" Not assigned"/>
    <x v="0"/>
    <n v="0"/>
    <x v="0"/>
    <x v="0"/>
    <s v=""/>
    <s v=""/>
    <s v="Nei"/>
    <n v="1"/>
  </r>
  <r>
    <s v="/18"/>
    <s v="/18"/>
    <s v="C"/>
    <m/>
    <s v="Not assigned"/>
    <x v="0"/>
    <x v="0"/>
    <s v="Standard"/>
    <m/>
    <m/>
    <m/>
    <x v="0"/>
    <s v="ZCRO"/>
    <s v="ZCEO08.10.2012"/>
    <s v="STABBURET - MAKRELL"/>
    <s v="G2N"/>
    <s v="Norwegian"/>
    <s v="Stabbur-Makrell Filet 1/3p 520x170g"/>
    <m/>
    <x v="0"/>
    <m/>
    <s v="STABBURET - MAKRELL"/>
    <s v="STABBURET"/>
    <x v="0"/>
    <m/>
    <s v="Finished products"/>
    <s v="Not assigned"/>
    <s v="Råbekken"/>
    <s v="Not assigned"/>
    <s v="A"/>
    <s v="Not assigned/FR10"/>
    <n v="1000"/>
    <s v="Not assigned"/>
    <s v="Not assigned"/>
    <s v="Not assigned"/>
    <s v="REMA 1000 SOFIENBERG"/>
    <s v="REMA 1000"/>
    <s v="DAGLIGVARE"/>
    <m/>
    <s v="01.01.2013"/>
    <s v="Not assigned"/>
    <n v="30"/>
    <n v="7920"/>
    <s v="Not assigned"/>
    <s v="Not assigned"/>
    <s v="Not assigned"/>
    <s v="Not assigned"/>
    <s v="Piece"/>
    <s v="NO"/>
    <n v="1626"/>
    <s v="MO540"/>
    <s v="MP230"/>
    <s v="ZFER"/>
    <s v="FR00"/>
    <m/>
    <m/>
    <m/>
    <s v="NOK"/>
    <s v="PC"/>
    <n v="0"/>
    <n v="0"/>
    <n v="0"/>
    <n v="0"/>
    <n v="0"/>
    <n v="0"/>
    <x v="0"/>
    <n v="0"/>
    <n v="0"/>
    <n v="0"/>
    <n v="1"/>
    <s v="301626"/>
    <n v="0"/>
    <s v="No"/>
    <s v="Yes"/>
    <x v="0"/>
    <x v="0"/>
    <x v="0"/>
    <s v="None"/>
    <s v="Not relevant"/>
    <s v=" Not assigned"/>
    <x v="0"/>
    <n v="0"/>
    <x v="0"/>
    <x v="0"/>
    <s v=""/>
    <s v=""/>
    <s v="Nei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2" cacheId="0" autoFormatId="4109" applyNumberFormats="1" applyBorderFormats="1" applyFontFormats="1" applyPatternFormats="1" applyAlignmentFormats="1" applyWidthHeightFormats="1" dataCaption="Data" showError="1" updatedVersion="4" showDrill="0" showMemberPropertyTips="0" useAutoFormatting="1" itemPrintTitles="1" createdVersion="1" indent="0" compact="0" compactData="0" gridDropZones="1">
  <location ref="A16:J19" firstHeaderRow="0" firstDataRow="1" firstDataCol="2" rowPageCount="9" colPageCount="1"/>
  <pivotFields count="9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m="1" x="1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Mat_Type" axis="axisPage" compact="0" outline="0" subtotalTop="0" showAll="0" includeNewItemsInFilter="1">
      <items count="6">
        <item m="1" x="1"/>
        <item m="1" x="3"/>
        <item m="1" x="4"/>
        <item m="1" x="2"/>
        <item x="0"/>
        <item t="default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65"/>
    <field x="82"/>
  </rowFields>
  <rowItems count="3">
    <i>
      <x/>
      <x/>
    </i>
    <i t="blank"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9">
    <pageField fld="75" hier="-1"/>
    <pageField fld="74" hier="-1"/>
    <pageField fld="11" hier="-1"/>
    <pageField fld="80" hier="-1"/>
    <pageField fld="6" item="1" hier="-1"/>
    <pageField fld="5" hier="-1"/>
    <pageField fld="76" hier="-1"/>
    <pageField fld="19" hier="-1"/>
    <pageField fld="23" hier="-1"/>
  </pageFields>
  <dataFields count="8">
    <dataField name="Ordre_Verdi " fld="66" baseField="79" baseItem="0" numFmtId="38"/>
    <dataField name="Bekr_Verdi " fld="68" baseField="79" baseItem="0" numFmtId="38"/>
    <dataField name="Lever_Verdi " fld="67" baseField="79" baseItem="0" numFmtId="38"/>
    <dataField name="Ordre_Kva " fld="59" baseField="79" baseItem="0" numFmtId="38"/>
    <dataField name="Bekr_Kva " fld="60" baseField="79" baseItem="0" numFmtId="38"/>
    <dataField name="Lever_Kva " fld="62" baseField="79" baseItem="0" numFmtId="38"/>
    <dataField name="Bekr_SL " fld="88" baseField="79" baseItem="0" numFmtId="165"/>
    <dataField name="Lever_SL " fld="89" baseField="79" baseItem="0" numFmtId="165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0" autoFormatId="4109" applyNumberFormats="1" applyBorderFormats="1" applyFontFormats="1" applyPatternFormats="1" applyAlignmentFormats="1" applyWidthHeightFormats="1" dataCaption="Data" showError="1" updatedVersion="4" showDrill="0" showMemberPropertyTips="0" useAutoFormatting="1" itemPrintTitles="1" createdVersion="1" indent="0" compact="0" compactData="0" gridDropZones="1">
  <location ref="A12:G16" firstHeaderRow="1" firstDataRow="3" firstDataCol="1" rowPageCount="5" colPageCount="1"/>
  <pivotFields count="9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numFmtId="14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Col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80"/>
  </rowFields>
  <rowItems count="2">
    <i>
      <x/>
    </i>
    <i t="grand">
      <x/>
    </i>
  </rowItems>
  <colFields count="2">
    <field x="82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pageFields count="5">
    <pageField fld="74" hier="-1"/>
    <pageField fld="65" hier="-1"/>
    <pageField fld="6" hier="-1"/>
    <pageField fld="19" hier="-1"/>
    <pageField fld="23" hier="-1"/>
  </pageFields>
  <dataFields count="3">
    <dataField name="Ord" fld="59" baseField="77" baseItem="0" numFmtId="38"/>
    <dataField name="Lev" fld="62" baseField="77" baseItem="0" numFmtId="38"/>
    <dataField name="SL" fld="89" baseField="77" baseItem="0" numFmtId="165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0" autoFormatId="4109" applyNumberFormats="1" applyBorderFormats="1" applyFontFormats="1" applyPatternFormats="1" applyAlignmentFormats="1" applyWidthHeightFormats="1" dataCaption="Data" showError="1" updatedVersion="4" showDrill="0" showMemberPropertyTips="0" useAutoFormatting="1" itemPrintTitles="1" createdVersion="1" indent="0" compact="0" compactData="0" gridDropZones="1">
  <location ref="A11:F16" firstHeaderRow="1" firstDataRow="3" firstDataCol="2" rowPageCount="5" colPageCount="1"/>
  <pivotFields count="9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14" outline="0" subtotalTop="0" showAll="0" insertBlankRow="1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Col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65"/>
    <field x="80"/>
  </rowFields>
  <rowItems count="3">
    <i>
      <x/>
      <x/>
    </i>
    <i t="blank">
      <x/>
    </i>
    <i t="grand">
      <x/>
    </i>
  </rowItems>
  <colFields count="2">
    <field x="82"/>
    <field x="-2"/>
  </colFields>
  <colItems count="4">
    <i>
      <x/>
      <x/>
    </i>
    <i r="1" i="1">
      <x v="1"/>
    </i>
    <i t="grand">
      <x/>
    </i>
    <i t="grand" i="1">
      <x/>
    </i>
  </colItems>
  <pageFields count="5">
    <pageField fld="83" hier="-1"/>
    <pageField fld="74" hier="-1"/>
    <pageField fld="6" hier="-1"/>
    <pageField fld="19" hier="-1"/>
    <pageField fld="23" hier="-1"/>
  </pageFields>
  <dataFields count="2">
    <dataField name="Ord" fld="59" baseField="77" baseItem="0" numFmtId="38"/>
    <dataField name="Lev" fld="62" baseField="77" baseItem="0" numFmtId="38"/>
  </dataFields>
  <formats count="3"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82" count="0"/>
        </references>
      </pivotArea>
    </format>
  </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3" name="SapExlData" displayName="SapExlData" ref="A1:CI3" totalsRowShown="0" headerRowDxfId="41">
  <autoFilter ref="A1:CI3"/>
  <tableColumns count="87">
    <tableColumn id="2" name="MS"/>
    <tableColumn id="3" name="St"/>
    <tableColumn id="4" name="TS"/>
    <tableColumn id="5" name="Sluttlevering"/>
    <tableColumn id="6" name="Controllingområde"/>
    <tableColumn id="7" name="Levering"/>
    <tableColumn id="8" name="D.Kanal"/>
    <tableColumn id="9" name="Dv"/>
    <tableColumn id="10" name="LS"/>
    <tableColumn id="11" name="LS1"/>
    <tableColumn id="12" name="LS2"/>
    <tableColumn id="13" name="Salgs dok."/>
    <tableColumn id="14" name="Salgsdok.type"/>
    <tableColumn id="15" name="Best.nummer kunde" dataDxfId="40"/>
    <tableColumn id="27" name="Brand" dataDxfId="39"/>
    <tableColumn id="16" name="Pos kat."/>
    <tableColumn id="17" name="Språk Navn"/>
    <tableColumn id="18" name="Material Besk."/>
    <tableColumn id="1" name="Markeds grp."/>
    <tableColumn id="61" name="Vare grp OFN(11)"/>
    <tableColumn id="62" name="Markedsområde"/>
    <tableColumn id="19" name="Merke operativt"/>
    <tableColumn id="20" name="Merke paraply"/>
    <tableColumn id="77" name="Marketkat"/>
    <tableColumn id="68" name="FLG"/>
    <tableColumn id="22" name="MTyp Besk."/>
    <tableColumn id="23" name="Ordreårsak"/>
    <tableColumn id="25" name="Fabrikk Navn"/>
    <tableColumn id="26" name="Produkthierarki"/>
    <tableColumn id="29" name="Avslagsstatus"/>
    <tableColumn id="30" name="Leverende lager"/>
    <tableColumn id="31" name="SOrg."/>
    <tableColumn id="45" name="SGrp"/>
    <tableColumn id="46" name="SKon."/>
    <tableColumn id="47" name="Eksp sted."/>
    <tableColumn id="48" name="Oppdragsgiver"/>
    <tableColumn id="49" name="Kundegruppe"/>
    <tableColumn id="50" name="Bransje oppdragsgiv."/>
    <tableColumn id="51" name="Plukkstatus"/>
    <tableColumn id="52" name="Oppd.dato" dataDxfId="38"/>
    <tableColumn id="53" name="Leverende fabrikk"/>
    <tableColumn id="54" name="Posisjon"/>
    <tableColumn id="55" name="Vurd.klasse"/>
    <tableColumn id="56" name="ZIBEZEI"/>
    <tableColumn id="57" name="ZISOBSL"/>
    <tableColumn id="58" name="ZIVMSTA"/>
    <tableColumn id="59" name="Bilagsvaluta"/>
    <tableColumn id="60" name="Salgs enhet"/>
    <tableColumn id="63" name="Språk"/>
    <tableColumn id="64" name="Material"/>
    <tableColumn id="32" name="Merke kode"/>
    <tableColumn id="34" name="Merke grp kode"/>
    <tableColumn id="84" name="MTyp"/>
    <tableColumn id="83" name="Fabr"/>
    <tableColumn id="33" name="Prod_Hier kode"/>
    <tableColumn id="85" name="Oppdragsgiver kode"/>
    <tableColumn id="82" name="Kundegruppe kode"/>
    <tableColumn id="81" name="Valuta"/>
    <tableColumn id="94" name="Ordre_Kva"/>
    <tableColumn id="93" name="Bekr_Kva"/>
    <tableColumn id="92" name="Delsum1"/>
    <tableColumn id="91" name="Lever_Kva"/>
    <tableColumn id="90" name="Nettoverdi"/>
    <tableColumn id="89" name="Total beholding"/>
    <tableColumn id="21" name="Ønsk.levDa" dataDxfId="37">
      <calculatedColumnFormula>DATEVALUE(SapExlData[Oppd.dato])</calculatedColumnFormula>
    </tableColumn>
    <tableColumn id="35" name="Ordre_Verdi" dataDxfId="36">
      <calculatedColumnFormula>IF(SapExlData[[#This Row],[Ordre_Kva]]&gt;0,SapExlData[[#This Row],[Nettoverdi]],0)</calculatedColumnFormula>
    </tableColumn>
    <tableColumn id="36" name="Lever_Verdi" dataDxfId="35">
      <calculatedColumnFormula>IF(SapExlData[[#This Row],[Ordre_Kva]]&lt;&gt;0,SapExlData[[#This Row],[Nettoverdi]]/SapExlData[[#This Row],[Ordre_Kva]]*SapExlData[[#This Row],[Lever_Kva]],0)</calculatedColumnFormula>
    </tableColumn>
    <tableColumn id="37" name="Bekr_Verdi" dataDxfId="34">
      <calculatedColumnFormula>IF(SapExlData[[#This Row],[Ordre_Kva]]&lt;&gt;0,SapExlData[[#This Row],[Nettoverdi]]/SapExlData[[#This Row],[Ordre_Kva]]*SapExlData[[#This Row],[Bekr_Kva]],0)</calculatedColumnFormula>
    </tableColumn>
    <tableColumn id="75" name="CurrencyRate" dataDxfId="33">
      <calculatedColumnFormula>IF(Currency="Default",1,IF(OR(SapExlData[[#This Row],[Valuta]]="NOK",SapExlData[[#This Row],[Valuta]]=""),1,VLOOKUP(SapExlData[[#This Row],[Valuta]],ExchangeRates[],COLUMN(ExchangeRates[[#Headers],[Value]]),FALSE))/VLOOKUP(Currency,ExchangeRates[],COLUMN(ExchangeRates[[#Headers],[Value]]),FALSE))</calculatedColumnFormula>
    </tableColumn>
    <tableColumn id="38" name="Index" dataDxfId="32">
      <calculatedColumnFormula>SapExlData[[#This Row],[Posisjon]]&amp;SapExlData[[#This Row],[Material]]</calculatedColumnFormula>
    </tableColumn>
    <tableColumn id="39" name="Ikke.Lever_Kva" dataDxfId="31">
      <calculatedColumnFormula>IF(SapExlData[[#This Row],[Index]]&lt;&gt;OFFSET(SapExlData[[#This Row],[Index]],-1,0),SUMIF(SapExlData[[#This Row],[Index]]:OFFSET(SapExlData[[#This Row],[Index]],60,0),SapExlData[[#This Row],[Index]],SapExlData[[#This Row],[Ordre_Kva]]:OFFSET(SapExlData[[#This Row],[Ordre_Kva]],60,0))-SUMIF(SapExlData[[#This Row],[Index]]:OFFSET(SapExlData[[#This Row],[Index]],60,0),SapExlData[[#This Row],[Index]],SapExlData[[#This Row],[Lever_Kva]]:OFFSET(SapExlData[[#This Row],[Lever_Kva]],60,0)),0)</calculatedColumnFormula>
    </tableColumn>
    <tableColumn id="40" name="Lever_Tag" dataDxfId="30">
      <calculatedColumnFormula>IF(SapExlData[[#This Row],[Index]]=OFFSET(SapExlData[[#This Row],[Index]],-1,0),OFFSET(SapExlData[[#This Row],[Lever_Tag]],-1,0),IF(SapExlData[[#This Row],[Ikke.Lever_Kva]]&gt;0.1,"Yes","No"))</calculatedColumnFormula>
    </tableColumn>
    <tableColumn id="41" name="Mat_Stat_Tag" dataDxfId="29">
      <calculatedColumnFormula>IF(OR(SapExlData[[#This Row],[MS]]&lt;&gt;"",AND(SapExlData[[#This Row],[St]]&lt;&gt;"",NOT(SapExlData[[#This Row],[St]]=91)),SapExlData[[#This Row],[St]]&lt;&gt;""),"Yes","No")</calculatedColumnFormula>
    </tableColumn>
    <tableColumn id="24" name="Fabrikk" dataDxfId="28">
      <calculatedColumnFormula>SapExlData[Fabr]&amp;" "&amp;SapExlData[Fabrikk Navn]</calculatedColumnFormula>
    </tableColumn>
    <tableColumn id="43" name="Mat_Type" dataDxfId="27">
      <calculatedColumnFormula>SapExlData[MTyp]&amp;" "&amp;SapExlData[MTyp Besk.]</calculatedColumnFormula>
    </tableColumn>
    <tableColumn id="42" name="Merke" dataDxfId="26">
      <calculatedColumnFormula>SapExlData[Merke operativt]</calculatedColumnFormula>
    </tableColumn>
    <tableColumn id="65" name="Dok_Stat" dataDxfId="25">
      <calculatedColumnFormula>IF(OR(SapExlData[[#This Row],[Plukkstatus]]="B",SapExlData[[#This Row],[Plukkstatus]]="C"),IF(OR(SapExlData[[#This Row],[Levering]]&lt;&gt;"",SapExlData[[#This Row],[MS]]&lt;&gt;""),"Created","None"),"None")</calculatedColumnFormula>
    </tableColumn>
    <tableColumn id="66" name="Lever_Stat" dataDxfId="24">
      <calculatedColumnFormula>IF(SapExlData[[#This Row],[Plukkstatus]]="","Not relevant",VLOOKUP(SapExlData[[#This Row],[Plukkstatus]],tOrderStatusCodes[#Data],2,FALSE))</calculatedColumnFormula>
    </tableColumn>
    <tableColumn id="67" name="Produkthierarki Navn" dataDxfId="23">
      <calculatedColumnFormula>SapExlData[Prod_Hier kode]&amp;" "&amp;SapExlData[Produkthierarki]</calculatedColumnFormula>
    </tableColumn>
    <tableColumn id="69" name="Material Navn" dataDxfId="22">
      <calculatedColumnFormula>TEXT(SapExlData[Material],"000000")&amp;" "&amp;SapExlData[Material Besk.]</calculatedColumnFormula>
    </tableColumn>
    <tableColumn id="70" name="Kjeden" dataDxfId="21">
      <calculatedColumnFormula>SapExlData[Kundegruppe kode]</calculatedColumnFormula>
    </tableColumn>
    <tableColumn id="71" name="Hoved kjede" dataDxfId="20">
      <calculatedColumnFormula>SapExlData[Kundegruppe]</calculatedColumnFormula>
    </tableColumn>
    <tableColumn id="72" name="Kunde Navn" dataDxfId="19">
      <calculatedColumnFormula>SapExlData[[#This Row],[Oppdragsgiver kode]]&amp;" "&amp;SapExlData[[#This Row],[Oppdragsgiver]]</calculatedColumnFormula>
    </tableColumn>
    <tableColumn id="73" name="Merknader" dataDxfId="18">
      <calculatedColumnFormula>IFERROR(VLOOKUP(SapExlData[[#This Row],[Material]],OrderStatusComments[],COLUMN(OrderStatusComments[[#Headers],[Comment]]),FALSE),"")</calculatedColumnFormula>
    </tableColumn>
    <tableColumn id="74" name="Tilgj_Dato" dataDxfId="17">
      <calculatedColumnFormula>IFERROR(VLOOKUP(SapExlData[[#This Row],[Sluttlevering]],OrderStatusComments[],COLUMN(OrderStatusComments[[#Headers],[AvailibleDate]]),FALSE),"")</calculatedColumnFormula>
    </tableColumn>
    <tableColumn id="76" name="Beholdning" dataDxfId="16">
      <calculatedColumnFormula>IF(SapExlData[[#This Row],[Total beholding]]&gt;0,"Ja","Nei")</calculatedColumnFormula>
    </tableColumn>
    <tableColumn id="44" name="Uke_Num" dataDxfId="15">
      <calculatedColumnFormula>IF(WEEKDAY(DATE(YEAR(SapExlData[[#This Row],[Oppd.dato]]),1,1),2)&gt;4,WEEKNUM(SapExlData[[#This Row],[Oppd.dato]],2)-1,WEEKNUM(SapExlData[[#This Row],[Oppd.dato]],2))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changeRates" displayName="ExchangeRates" ref="A1:D14" totalsRowShown="0" headerRowDxfId="14">
  <autoFilter ref="A1:D14"/>
  <tableColumns count="4">
    <tableColumn id="1" name="From"/>
    <tableColumn id="2" name="To"/>
    <tableColumn id="3" name="Valid from" dataDxfId="13"/>
    <tableColumn id="4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OrderStatusComments" displayName="OrderStatusComments" ref="A1:C106" totalsRowShown="0">
  <autoFilter ref="A1:C106"/>
  <tableColumns count="3">
    <tableColumn id="1" name="Material"/>
    <tableColumn id="2" name="Comment"/>
    <tableColumn id="3" name="AvailibleDat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escriptions" displayName="Descriptions" ref="A1:B82" totalsRowShown="0" headerRowDxfId="11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0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9">
      <xmlColumnPr mapId="1" xpath="/XtraSerializer/@VariantID" xmlDataType="integer"/>
    </tableColumn>
    <tableColumn id="4" uniqueName="SheetName" name="SheetName" dataDxfId="8">
      <xmlColumnPr mapId="1" xpath="/XtraSerializer/property/@SheetName" xmlDataType="string"/>
    </tableColumn>
    <tableColumn id="5" uniqueName="TableName" name="TableName" dataDxfId="7">
      <xmlColumnPr mapId="1" xpath="/XtraSerializer/property/@TableName" xmlDataType="string"/>
    </tableColumn>
    <tableColumn id="6" uniqueName="Seq" name="Seq" dataDxfId="6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5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4">
      <xmlColumnPr mapId="1" xpath="/XtraSerializer/property/property/@FieldList" xmlDataType="integer"/>
    </tableColumn>
    <tableColumn id="14" uniqueName="MissingItems" name="MissingItems" dataDxfId="3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8080"/>
  </sheetPr>
  <dimension ref="A1:CI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6.54296875" bestFit="1" customWidth="1"/>
    <col min="2" max="2" width="5.54296875" bestFit="1" customWidth="1"/>
    <col min="3" max="3" width="6.1796875" bestFit="1" customWidth="1"/>
    <col min="4" max="4" width="14.7265625" bestFit="1" customWidth="1"/>
    <col min="5" max="5" width="20.26953125" bestFit="1" customWidth="1"/>
    <col min="6" max="6" width="11.26953125" bestFit="1" customWidth="1"/>
    <col min="7" max="7" width="14.54296875" customWidth="1"/>
    <col min="8" max="8" width="9.453125" bestFit="1" customWidth="1"/>
    <col min="9" max="9" width="6.1796875" bestFit="1" customWidth="1"/>
    <col min="10" max="11" width="7.1796875" bestFit="1" customWidth="1"/>
    <col min="12" max="12" width="13.453125" bestFit="1" customWidth="1"/>
    <col min="13" max="13" width="15.453125" bestFit="1" customWidth="1"/>
    <col min="14" max="14" width="21.54296875" style="17" bestFit="1" customWidth="1"/>
    <col min="15" max="15" width="21" style="17" bestFit="1" customWidth="1"/>
    <col min="16" max="16" width="10.453125" bestFit="1" customWidth="1"/>
    <col min="17" max="17" width="18" bestFit="1" customWidth="1"/>
    <col min="18" max="18" width="34.54296875" bestFit="1" customWidth="1"/>
    <col min="19" max="19" width="17.453125" bestFit="1" customWidth="1"/>
    <col min="20" max="20" width="21.7265625" bestFit="1" customWidth="1"/>
    <col min="21" max="21" width="17.453125" customWidth="1"/>
    <col min="22" max="22" width="21" bestFit="1" customWidth="1"/>
    <col min="23" max="23" width="20.453125" bestFit="1" customWidth="1"/>
    <col min="24" max="24" width="20.453125" customWidth="1"/>
    <col min="25" max="25" width="22.81640625" customWidth="1"/>
    <col min="26" max="26" width="19" bestFit="1" customWidth="1"/>
    <col min="27" max="27" width="13.453125" bestFit="1" customWidth="1"/>
    <col min="28" max="28" width="18.54296875" bestFit="1" customWidth="1"/>
    <col min="29" max="29" width="19" bestFit="1" customWidth="1"/>
    <col min="30" max="30" width="15.26953125" bestFit="1" customWidth="1"/>
    <col min="31" max="31" width="18.54296875" customWidth="1"/>
    <col min="32" max="32" width="8.453125" bestFit="1" customWidth="1"/>
    <col min="33" max="34" width="13.453125" bestFit="1" customWidth="1"/>
    <col min="35" max="35" width="13.453125" customWidth="1"/>
    <col min="36" max="36" width="30.81640625" customWidth="1"/>
    <col min="37" max="37" width="18" bestFit="1" customWidth="1"/>
    <col min="38" max="38" width="28.54296875" bestFit="1" customWidth="1"/>
    <col min="39" max="39" width="15.54296875" bestFit="1" customWidth="1"/>
    <col min="40" max="40" width="12.453125" style="44" bestFit="1" customWidth="1"/>
    <col min="41" max="41" width="17.1796875" bestFit="1" customWidth="1"/>
    <col min="42" max="42" width="7.7265625" bestFit="1" customWidth="1"/>
    <col min="43" max="43" width="13.54296875" bestFit="1" customWidth="1"/>
    <col min="44" max="46" width="13.453125" bestFit="1" customWidth="1"/>
    <col min="47" max="47" width="20.7265625" bestFit="1" customWidth="1"/>
    <col min="48" max="48" width="13.453125" customWidth="1"/>
    <col min="49" max="49" width="11.7265625" bestFit="1" customWidth="1"/>
    <col min="50" max="50" width="19.26953125" bestFit="1" customWidth="1"/>
    <col min="51" max="52" width="19.26953125" customWidth="1"/>
    <col min="53" max="53" width="8.54296875" bestFit="1" customWidth="1"/>
    <col min="54" max="54" width="7.54296875" bestFit="1" customWidth="1"/>
    <col min="55" max="55" width="19" customWidth="1"/>
    <col min="56" max="56" width="14.7265625" bestFit="1" customWidth="1"/>
    <col min="57" max="57" width="19" customWidth="1"/>
    <col min="58" max="58" width="9.26953125" bestFit="1" customWidth="1"/>
    <col min="59" max="59" width="12.54296875" bestFit="1" customWidth="1"/>
    <col min="60" max="60" width="11.54296875" bestFit="1" customWidth="1"/>
    <col min="61" max="62" width="12.26953125" bestFit="1" customWidth="1"/>
    <col min="63" max="63" width="12.1796875" bestFit="1" customWidth="1"/>
    <col min="64" max="64" width="13.26953125" bestFit="1" customWidth="1"/>
    <col min="65" max="65" width="13.26953125" style="18" customWidth="1"/>
    <col min="66" max="66" width="14.54296875" bestFit="1" customWidth="1"/>
    <col min="67" max="67" width="14" bestFit="1" customWidth="1"/>
    <col min="68" max="68" width="13.54296875" bestFit="1" customWidth="1"/>
    <col min="69" max="69" width="15.1796875" bestFit="1" customWidth="1"/>
    <col min="70" max="70" width="19.54296875" bestFit="1" customWidth="1"/>
    <col min="71" max="71" width="14.453125" bestFit="1" customWidth="1"/>
    <col min="72" max="72" width="12.26953125" bestFit="1" customWidth="1"/>
    <col min="73" max="73" width="17.54296875" bestFit="1" customWidth="1"/>
    <col min="74" max="74" width="15.1796875" bestFit="1" customWidth="1"/>
    <col min="75" max="75" width="22.81640625" bestFit="1" customWidth="1"/>
    <col min="76" max="76" width="27.81640625" bestFit="1" customWidth="1"/>
    <col min="77" max="77" width="13.26953125" bestFit="1" customWidth="1"/>
    <col min="78" max="78" width="14.453125" bestFit="1" customWidth="1"/>
    <col min="79" max="79" width="37.7265625" customWidth="1"/>
    <col min="80" max="80" width="41.26953125" bestFit="1" customWidth="1"/>
    <col min="81" max="81" width="8.453125" bestFit="1" customWidth="1"/>
    <col min="82" max="82" width="14.453125" bestFit="1" customWidth="1"/>
    <col min="83" max="83" width="23.26953125" bestFit="1" customWidth="1"/>
    <col min="84" max="84" width="12.81640625" bestFit="1" customWidth="1"/>
    <col min="85" max="85" width="13.1796875" bestFit="1" customWidth="1"/>
    <col min="86" max="86" width="13.453125" bestFit="1" customWidth="1"/>
    <col min="87" max="87" width="13.81640625" bestFit="1" customWidth="1"/>
  </cols>
  <sheetData>
    <row r="1" spans="1:87" s="13" customFormat="1" x14ac:dyDescent="0.35">
      <c r="A1" s="13" t="s">
        <v>33</v>
      </c>
      <c r="B1" s="13" t="s">
        <v>34</v>
      </c>
      <c r="C1" s="13" t="s">
        <v>100</v>
      </c>
      <c r="D1" s="13" t="s">
        <v>101</v>
      </c>
      <c r="E1" s="13" t="s">
        <v>102</v>
      </c>
      <c r="F1" s="13" t="s">
        <v>103</v>
      </c>
      <c r="G1" s="13" t="s">
        <v>104</v>
      </c>
      <c r="H1" s="13" t="s">
        <v>31</v>
      </c>
      <c r="I1" s="13" t="s">
        <v>105</v>
      </c>
      <c r="J1" s="13" t="s">
        <v>106</v>
      </c>
      <c r="K1" s="13" t="s">
        <v>107</v>
      </c>
      <c r="L1" s="13" t="s">
        <v>108</v>
      </c>
      <c r="M1" s="13" t="s">
        <v>109</v>
      </c>
      <c r="N1" s="16" t="s">
        <v>110</v>
      </c>
      <c r="O1" s="16" t="s">
        <v>211</v>
      </c>
      <c r="P1" s="13" t="s">
        <v>111</v>
      </c>
      <c r="Q1" s="13" t="s">
        <v>112</v>
      </c>
      <c r="R1" s="13" t="s">
        <v>113</v>
      </c>
      <c r="S1" s="13" t="s">
        <v>114</v>
      </c>
      <c r="T1" s="13" t="s">
        <v>115</v>
      </c>
      <c r="U1" s="13" t="s">
        <v>116</v>
      </c>
      <c r="V1" s="13" t="s">
        <v>117</v>
      </c>
      <c r="W1" s="13" t="s">
        <v>118</v>
      </c>
      <c r="X1" s="13" t="s">
        <v>119</v>
      </c>
      <c r="Y1" s="13" t="s">
        <v>120</v>
      </c>
      <c r="Z1" s="13" t="s">
        <v>121</v>
      </c>
      <c r="AA1" s="13" t="s">
        <v>122</v>
      </c>
      <c r="AB1" s="13" t="s">
        <v>123</v>
      </c>
      <c r="AC1" s="13" t="s">
        <v>124</v>
      </c>
      <c r="AD1" s="13" t="s">
        <v>125</v>
      </c>
      <c r="AE1" s="13" t="s">
        <v>126</v>
      </c>
      <c r="AF1" s="13" t="s">
        <v>30</v>
      </c>
      <c r="AG1" s="13" t="s">
        <v>32</v>
      </c>
      <c r="AH1" s="13" t="s">
        <v>127</v>
      </c>
      <c r="AI1" s="13" t="s">
        <v>128</v>
      </c>
      <c r="AJ1" s="13" t="s">
        <v>129</v>
      </c>
      <c r="AK1" s="13" t="s">
        <v>130</v>
      </c>
      <c r="AL1" s="13" t="s">
        <v>131</v>
      </c>
      <c r="AM1" s="13" t="s">
        <v>132</v>
      </c>
      <c r="AN1" s="42" t="s">
        <v>133</v>
      </c>
      <c r="AO1" s="13" t="s">
        <v>134</v>
      </c>
      <c r="AP1" s="13" t="s">
        <v>135</v>
      </c>
      <c r="AQ1" s="13" t="s">
        <v>136</v>
      </c>
      <c r="AR1" s="13" t="s">
        <v>137</v>
      </c>
      <c r="AS1" s="13" t="s">
        <v>138</v>
      </c>
      <c r="AT1" s="13" t="s">
        <v>139</v>
      </c>
      <c r="AU1" s="13" t="s">
        <v>140</v>
      </c>
      <c r="AV1" s="13" t="s">
        <v>141</v>
      </c>
      <c r="AW1" s="13" t="s">
        <v>142</v>
      </c>
      <c r="AX1" s="13" t="s">
        <v>3</v>
      </c>
      <c r="AY1" s="13" t="s">
        <v>143</v>
      </c>
      <c r="AZ1" s="13" t="s">
        <v>144</v>
      </c>
      <c r="BA1" s="13" t="s">
        <v>0</v>
      </c>
      <c r="BB1" s="13" t="s">
        <v>145</v>
      </c>
      <c r="BC1" s="13" t="s">
        <v>146</v>
      </c>
      <c r="BD1" s="13" t="s">
        <v>147</v>
      </c>
      <c r="BE1" s="13" t="s">
        <v>148</v>
      </c>
      <c r="BF1" s="13" t="s">
        <v>149</v>
      </c>
      <c r="BG1" s="13" t="s">
        <v>150</v>
      </c>
      <c r="BH1" s="13" t="s">
        <v>151</v>
      </c>
      <c r="BI1" s="13" t="s">
        <v>152</v>
      </c>
      <c r="BJ1" s="13" t="s">
        <v>153</v>
      </c>
      <c r="BK1" s="13" t="s">
        <v>154</v>
      </c>
      <c r="BL1" s="13" t="s">
        <v>155</v>
      </c>
      <c r="BM1" s="41" t="s">
        <v>207</v>
      </c>
      <c r="BN1" s="23" t="s">
        <v>156</v>
      </c>
      <c r="BO1" s="23" t="s">
        <v>157</v>
      </c>
      <c r="BP1" s="23" t="s">
        <v>158</v>
      </c>
      <c r="BQ1" s="23" t="s">
        <v>54</v>
      </c>
      <c r="BR1" s="23" t="s">
        <v>37</v>
      </c>
      <c r="BS1" s="23" t="s">
        <v>159</v>
      </c>
      <c r="BT1" s="23" t="s">
        <v>160</v>
      </c>
      <c r="BU1" s="23" t="s">
        <v>161</v>
      </c>
      <c r="BV1" s="23" t="s">
        <v>210</v>
      </c>
      <c r="BW1" s="23" t="s">
        <v>38</v>
      </c>
      <c r="BX1" s="23" t="s">
        <v>162</v>
      </c>
      <c r="BY1" s="23" t="s">
        <v>163</v>
      </c>
      <c r="BZ1" s="23" t="s">
        <v>164</v>
      </c>
      <c r="CA1" s="23" t="s">
        <v>165</v>
      </c>
      <c r="CB1" s="23" t="s">
        <v>166</v>
      </c>
      <c r="CC1" s="23" t="s">
        <v>167</v>
      </c>
      <c r="CD1" s="23" t="s">
        <v>209</v>
      </c>
      <c r="CE1" s="23" t="s">
        <v>168</v>
      </c>
      <c r="CF1" s="23" t="s">
        <v>169</v>
      </c>
      <c r="CG1" s="41" t="s">
        <v>170</v>
      </c>
      <c r="CH1" s="23" t="s">
        <v>96</v>
      </c>
      <c r="CI1" s="23" t="s">
        <v>171</v>
      </c>
    </row>
    <row r="2" spans="1:87" x14ac:dyDescent="0.35">
      <c r="A2" t="s">
        <v>172</v>
      </c>
      <c r="B2" t="s">
        <v>172</v>
      </c>
      <c r="C2" t="s">
        <v>35</v>
      </c>
      <c r="E2" t="s">
        <v>173</v>
      </c>
      <c r="F2" t="s">
        <v>174</v>
      </c>
      <c r="G2" t="s">
        <v>212</v>
      </c>
      <c r="H2" t="s">
        <v>10</v>
      </c>
      <c r="L2" t="s">
        <v>173</v>
      </c>
      <c r="M2" t="s">
        <v>175</v>
      </c>
      <c r="N2" s="17" t="s">
        <v>176</v>
      </c>
      <c r="O2" t="s">
        <v>180</v>
      </c>
      <c r="P2" t="s">
        <v>177</v>
      </c>
      <c r="Q2" t="s">
        <v>178</v>
      </c>
      <c r="R2" t="s">
        <v>179</v>
      </c>
      <c r="V2" t="s">
        <v>180</v>
      </c>
      <c r="W2" t="s">
        <v>181</v>
      </c>
      <c r="Z2" t="s">
        <v>182</v>
      </c>
      <c r="AA2" t="s">
        <v>173</v>
      </c>
      <c r="AB2" t="s">
        <v>183</v>
      </c>
      <c r="AC2" t="s">
        <v>173</v>
      </c>
      <c r="AD2" t="s">
        <v>36</v>
      </c>
      <c r="AE2" t="s">
        <v>184</v>
      </c>
      <c r="AF2">
        <v>1000</v>
      </c>
      <c r="AG2" t="s">
        <v>173</v>
      </c>
      <c r="AH2" t="s">
        <v>173</v>
      </c>
      <c r="AI2" t="s">
        <v>173</v>
      </c>
      <c r="AJ2" s="43" t="s">
        <v>185</v>
      </c>
      <c r="AK2" s="43" t="s">
        <v>186</v>
      </c>
      <c r="AL2" s="43" t="s">
        <v>187</v>
      </c>
      <c r="AN2" s="67" t="s">
        <v>206</v>
      </c>
      <c r="AO2" t="s">
        <v>173</v>
      </c>
      <c r="AP2">
        <v>30</v>
      </c>
      <c r="AQ2">
        <v>7920</v>
      </c>
      <c r="AR2" t="s">
        <v>173</v>
      </c>
      <c r="AS2" t="s">
        <v>173</v>
      </c>
      <c r="AT2" t="s">
        <v>173</v>
      </c>
      <c r="AU2" t="s">
        <v>188</v>
      </c>
      <c r="AV2" t="s">
        <v>173</v>
      </c>
      <c r="AW2" t="s">
        <v>49</v>
      </c>
      <c r="AX2">
        <v>1626</v>
      </c>
      <c r="AY2" t="s">
        <v>189</v>
      </c>
      <c r="AZ2" t="s">
        <v>190</v>
      </c>
      <c r="BA2" t="s">
        <v>191</v>
      </c>
      <c r="BB2" t="s">
        <v>192</v>
      </c>
      <c r="BF2" t="s">
        <v>4</v>
      </c>
      <c r="BG2">
        <v>0</v>
      </c>
      <c r="BH2">
        <v>0</v>
      </c>
      <c r="BI2">
        <v>0</v>
      </c>
      <c r="BJ2">
        <v>0</v>
      </c>
      <c r="BK2">
        <v>780</v>
      </c>
      <c r="BL2">
        <v>0</v>
      </c>
      <c r="BM2" s="18">
        <f>DATEVALUE(SapExlData[Oppd.dato])</f>
        <v>41275</v>
      </c>
      <c r="BN2">
        <f>IF(SapExlData[[#This Row],[Ordre_Kva]]&gt;0,SapExlData[[#This Row],[Nettoverdi]],0)</f>
        <v>0</v>
      </c>
      <c r="BO2">
        <f>IF(SapExlData[[#This Row],[Ordre_Kva]]&lt;&gt;0,SapExlData[[#This Row],[Nettoverdi]]/SapExlData[[#This Row],[Ordre_Kva]]*SapExlData[[#This Row],[Lever_Kva]],0)</f>
        <v>0</v>
      </c>
      <c r="BP2">
        <f>IF(SapExlData[[#This Row],[Ordre_Kva]]&lt;&gt;0,SapExlData[[#This Row],[Nettoverdi]]/SapExlData[[#This Row],[Ordre_Kva]]*SapExlData[[#This Row],[Bekr_Kva]],0)</f>
        <v>0</v>
      </c>
      <c r="BQ2">
        <f>IF(Currency="Default",1,IF(OR(SapExlData[[#This Row],[Valuta]]="NOK",SapExlData[[#This Row],[Valuta]]=""),1,VLOOKUP(SapExlData[[#This Row],[Valuta]],ExchangeRates[],COLUMN(ExchangeRates[[#Headers],[Value]]),FALSE))/VLOOKUP(Currency,ExchangeRates[],COLUMN(ExchangeRates[[#Headers],[Value]]),FALSE))</f>
        <v>1</v>
      </c>
      <c r="BR2" t="str">
        <f>SapExlData[[#This Row],[Posisjon]]&amp;SapExlData[[#This Row],[Material]]</f>
        <v>301626</v>
      </c>
      <c r="BS2">
        <f ca="1">IF(SapExlData[[#This Row],[Index]]&lt;&gt;OFFSET(SapExlData[[#This Row],[Index]],-1,0),SUMIF(SapExlData[[#This Row],[Index]]:OFFSET(SapExlData[[#This Row],[Index]],60,0),SapExlData[[#This Row],[Index]],SapExlData[[#This Row],[Ordre_Kva]]:OFFSET(SapExlData[[#This Row],[Ordre_Kva]],60,0))-SUMIF(SapExlData[[#This Row],[Index]]:OFFSET(SapExlData[[#This Row],[Index]],60,0),SapExlData[[#This Row],[Index]],SapExlData[[#This Row],[Lever_Kva]]:OFFSET(SapExlData[[#This Row],[Lever_Kva]],60,0)),0)</f>
        <v>0</v>
      </c>
      <c r="BT2" t="str">
        <f ca="1">IF(SapExlData[[#This Row],[Index]]=OFFSET(SapExlData[[#This Row],[Index]],-1,0),OFFSET(SapExlData[[#This Row],[Lever_Tag]],-1,0),IF(SapExlData[[#This Row],[Ikke.Lever_Kva]]&gt;0.1,"Yes","No"))</f>
        <v>No</v>
      </c>
      <c r="BU2" t="str">
        <f>IF(OR(SapExlData[[#This Row],[MS]]&lt;&gt;"",AND(SapExlData[[#This Row],[St]]&lt;&gt;"",NOT(SapExlData[[#This Row],[St]]=91)),SapExlData[[#This Row],[St]]&lt;&gt;""),"Yes","No")</f>
        <v>Yes</v>
      </c>
      <c r="BV2" t="str">
        <f>SapExlData[Fabr]&amp;" "&amp;SapExlData[Fabrikk Navn]</f>
        <v>FR00 Råbekken</v>
      </c>
      <c r="BW2" t="str">
        <f>SapExlData[MTyp]&amp;" "&amp;SapExlData[MTyp Besk.]</f>
        <v>ZFER Finished products</v>
      </c>
      <c r="BX2" t="str">
        <f>SapExlData[Merke operativt]</f>
        <v>STABBURET - MAKRELL</v>
      </c>
      <c r="BY2" t="str">
        <f>IF(OR(SapExlData[[#This Row],[Plukkstatus]]="B",SapExlData[[#This Row],[Plukkstatus]]="C"),IF(OR(SapExlData[[#This Row],[Levering]]&lt;&gt;"",SapExlData[[#This Row],[MS]]&lt;&gt;""),"Created","None"),"None")</f>
        <v>None</v>
      </c>
      <c r="BZ2" t="str">
        <f>IF(SapExlData[[#This Row],[Plukkstatus]]="","Not relevant",VLOOKUP(SapExlData[[#This Row],[Plukkstatus]],tOrderStatusCodes[#Data],2,FALSE))</f>
        <v>Not relevant</v>
      </c>
      <c r="CA2" t="str">
        <f>SapExlData[Prod_Hier kode]&amp;" "&amp;SapExlData[Produkthierarki]</f>
        <v xml:space="preserve"> Not assigned</v>
      </c>
      <c r="CB2" t="str">
        <f>TEXT(SapExlData[Material],"000000")&amp;" "&amp;SapExlData[Material Besk.]</f>
        <v>001626 Stabbur-Makrell Filet 1/3p 520x170g</v>
      </c>
      <c r="CC2">
        <f>SapExlData[Kundegruppe kode]</f>
        <v>0</v>
      </c>
      <c r="CD2" t="str">
        <f>SapExlData[Kundegruppe]</f>
        <v>REMA 1000</v>
      </c>
      <c r="CE2" t="str">
        <f>SapExlData[[#This Row],[Oppdragsgiver kode]]&amp;" "&amp;SapExlData[[#This Row],[Oppdragsgiver]]</f>
        <v xml:space="preserve"> REMA 1000 SOFIENBERG</v>
      </c>
      <c r="CF2" t="str">
        <f>IFERROR(VLOOKUP(SapExlData[[#This Row],[Material]],OrderStatusComments[],COLUMN(OrderStatusComments[[#Headers],[Comment]]),FALSE),"")</f>
        <v/>
      </c>
      <c r="CG2" s="18" t="str">
        <f>IFERROR(VLOOKUP(SapExlData[[#This Row],[Sluttlevering]],OrderStatusComments[],COLUMN(OrderStatusComments[[#Headers],[AvailibleDate]]),FALSE),"")</f>
        <v/>
      </c>
      <c r="CH2" t="str">
        <f>IF(SapExlData[[#This Row],[Total beholding]]&gt;0,"Ja","Nei")</f>
        <v>Nei</v>
      </c>
      <c r="CI2">
        <f>IF(WEEKDAY(DATE(YEAR(SapExlData[[#This Row],[Oppd.dato]]),1,1),2)&gt;4,WEEKNUM(SapExlData[[#This Row],[Oppd.dato]],2)-1,WEEKNUM(SapExlData[[#This Row],[Oppd.dato]],2))</f>
        <v>1</v>
      </c>
    </row>
    <row r="3" spans="1:87" x14ac:dyDescent="0.35">
      <c r="A3" t="s">
        <v>172</v>
      </c>
      <c r="B3" t="s">
        <v>172</v>
      </c>
      <c r="C3" t="s">
        <v>35</v>
      </c>
      <c r="E3" t="s">
        <v>173</v>
      </c>
      <c r="F3" t="s">
        <v>174</v>
      </c>
      <c r="G3" t="s">
        <v>212</v>
      </c>
      <c r="H3" t="s">
        <v>10</v>
      </c>
      <c r="L3" t="s">
        <v>173</v>
      </c>
      <c r="M3" t="s">
        <v>175</v>
      </c>
      <c r="N3" s="17" t="s">
        <v>176</v>
      </c>
      <c r="O3" t="s">
        <v>180</v>
      </c>
      <c r="P3" t="s">
        <v>177</v>
      </c>
      <c r="Q3" t="s">
        <v>178</v>
      </c>
      <c r="R3" t="s">
        <v>179</v>
      </c>
      <c r="V3" t="s">
        <v>180</v>
      </c>
      <c r="W3" t="s">
        <v>181</v>
      </c>
      <c r="Z3" t="s">
        <v>182</v>
      </c>
      <c r="AA3" t="s">
        <v>173</v>
      </c>
      <c r="AB3" t="s">
        <v>183</v>
      </c>
      <c r="AC3" t="s">
        <v>173</v>
      </c>
      <c r="AD3" t="s">
        <v>36</v>
      </c>
      <c r="AE3" t="s">
        <v>184</v>
      </c>
      <c r="AF3">
        <v>1000</v>
      </c>
      <c r="AG3" t="s">
        <v>173</v>
      </c>
      <c r="AH3" t="s">
        <v>173</v>
      </c>
      <c r="AI3" t="s">
        <v>173</v>
      </c>
      <c r="AJ3" s="43" t="s">
        <v>185</v>
      </c>
      <c r="AK3" s="43" t="s">
        <v>186</v>
      </c>
      <c r="AL3" s="43" t="s">
        <v>187</v>
      </c>
      <c r="AN3" s="67" t="s">
        <v>206</v>
      </c>
      <c r="AO3" t="s">
        <v>173</v>
      </c>
      <c r="AP3">
        <v>30</v>
      </c>
      <c r="AQ3">
        <v>7920</v>
      </c>
      <c r="AR3" t="s">
        <v>173</v>
      </c>
      <c r="AS3" t="s">
        <v>173</v>
      </c>
      <c r="AT3" t="s">
        <v>173</v>
      </c>
      <c r="AU3" t="s">
        <v>173</v>
      </c>
      <c r="AV3" t="s">
        <v>193</v>
      </c>
      <c r="AW3" t="s">
        <v>49</v>
      </c>
      <c r="AX3">
        <v>1626</v>
      </c>
      <c r="AY3" t="s">
        <v>189</v>
      </c>
      <c r="AZ3" t="s">
        <v>190</v>
      </c>
      <c r="BA3" t="s">
        <v>191</v>
      </c>
      <c r="BB3" t="s">
        <v>192</v>
      </c>
      <c r="BF3" t="s">
        <v>4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 s="18">
        <f>DATEVALUE(SapExlData[Oppd.dato])</f>
        <v>41275</v>
      </c>
      <c r="BN3">
        <f>IF(SapExlData[[#This Row],[Ordre_Kva]]&gt;0,SapExlData[[#This Row],[Nettoverdi]],0)</f>
        <v>0</v>
      </c>
      <c r="BO3">
        <f>IF(SapExlData[[#This Row],[Ordre_Kva]]&lt;&gt;0,SapExlData[[#This Row],[Nettoverdi]]/SapExlData[[#This Row],[Ordre_Kva]]*SapExlData[[#This Row],[Lever_Kva]],0)</f>
        <v>0</v>
      </c>
      <c r="BP3">
        <f>IF(SapExlData[[#This Row],[Ordre_Kva]]&lt;&gt;0,SapExlData[[#This Row],[Nettoverdi]]/SapExlData[[#This Row],[Ordre_Kva]]*SapExlData[[#This Row],[Bekr_Kva]],0)</f>
        <v>0</v>
      </c>
      <c r="BQ3">
        <f>IF(Currency="Default",1,IF(OR(SapExlData[[#This Row],[Valuta]]="NOK",SapExlData[[#This Row],[Valuta]]=""),1,VLOOKUP(SapExlData[[#This Row],[Valuta]],ExchangeRates[],COLUMN(ExchangeRates[[#Headers],[Value]]),FALSE))/VLOOKUP(Currency,ExchangeRates[],COLUMN(ExchangeRates[[#Headers],[Value]]),FALSE))</f>
        <v>1</v>
      </c>
      <c r="BR3" s="28" t="str">
        <f>SapExlData[[#This Row],[Posisjon]]&amp;SapExlData[[#This Row],[Material]]</f>
        <v>301626</v>
      </c>
      <c r="BS3" s="28">
        <f ca="1">IF(SapExlData[[#This Row],[Index]]&lt;&gt;OFFSET(SapExlData[[#This Row],[Index]],-1,0),SUMIF(SapExlData[[#This Row],[Index]]:OFFSET(SapExlData[[#This Row],[Index]],60,0),SapExlData[[#This Row],[Index]],SapExlData[[#This Row],[Ordre_Kva]]:OFFSET(SapExlData[[#This Row],[Ordre_Kva]],60,0))-SUMIF(SapExlData[[#This Row],[Index]]:OFFSET(SapExlData[[#This Row],[Index]],60,0),SapExlData[[#This Row],[Index]],SapExlData[[#This Row],[Lever_Kva]]:OFFSET(SapExlData[[#This Row],[Lever_Kva]],60,0)),0)</f>
        <v>0</v>
      </c>
      <c r="BT3" s="28" t="str">
        <f ca="1">IF(SapExlData[[#This Row],[Index]]=OFFSET(SapExlData[[#This Row],[Index]],-1,0),OFFSET(SapExlData[[#This Row],[Lever_Tag]],-1,0),IF(SapExlData[[#This Row],[Ikke.Lever_Kva]]&gt;0.1,"Yes","No"))</f>
        <v>No</v>
      </c>
      <c r="BU3" s="28" t="str">
        <f>IF(OR(SapExlData[[#This Row],[MS]]&lt;&gt;"",AND(SapExlData[[#This Row],[St]]&lt;&gt;"",NOT(SapExlData[[#This Row],[St]]=91)),SapExlData[[#This Row],[St]]&lt;&gt;""),"Yes","No")</f>
        <v>Yes</v>
      </c>
      <c r="BV3" s="28" t="str">
        <f>SapExlData[Fabr]&amp;" "&amp;SapExlData[Fabrikk Navn]</f>
        <v>FR00 Råbekken</v>
      </c>
      <c r="BW3" s="28" t="str">
        <f>SapExlData[MTyp]&amp;" "&amp;SapExlData[MTyp Besk.]</f>
        <v>ZFER Finished products</v>
      </c>
      <c r="BX3" s="28" t="str">
        <f>SapExlData[Merke operativt]</f>
        <v>STABBURET - MAKRELL</v>
      </c>
      <c r="BY3" s="28" t="str">
        <f>IF(OR(SapExlData[[#This Row],[Plukkstatus]]="B",SapExlData[[#This Row],[Plukkstatus]]="C"),IF(OR(SapExlData[[#This Row],[Levering]]&lt;&gt;"",SapExlData[[#This Row],[MS]]&lt;&gt;""),"Created","None"),"None")</f>
        <v>None</v>
      </c>
      <c r="BZ3" t="str">
        <f>IF(SapExlData[[#This Row],[Plukkstatus]]="","Not relevant",VLOOKUP(SapExlData[[#This Row],[Plukkstatus]],tOrderStatusCodes[#Data],2,FALSE))</f>
        <v>Not relevant</v>
      </c>
      <c r="CA3" s="28" t="str">
        <f>SapExlData[Prod_Hier kode]&amp;" "&amp;SapExlData[Produkthierarki]</f>
        <v xml:space="preserve"> Not assigned</v>
      </c>
      <c r="CB3" s="28" t="str">
        <f>TEXT(SapExlData[Material],"000000")&amp;" "&amp;SapExlData[Material Besk.]</f>
        <v>001626 Stabbur-Makrell Filet 1/3p 520x170g</v>
      </c>
      <c r="CC3" s="28">
        <f>SapExlData[Kundegruppe kode]</f>
        <v>0</v>
      </c>
      <c r="CD3" s="28" t="str">
        <f>SapExlData[Kundegruppe]</f>
        <v>REMA 1000</v>
      </c>
      <c r="CE3" s="28" t="str">
        <f>SapExlData[[#This Row],[Oppdragsgiver kode]]&amp;" "&amp;SapExlData[[#This Row],[Oppdragsgiver]]</f>
        <v xml:space="preserve"> REMA 1000 SOFIENBERG</v>
      </c>
      <c r="CF3" s="28" t="str">
        <f>IFERROR(VLOOKUP(SapExlData[[#This Row],[Material]],OrderStatusComments[],COLUMN(OrderStatusComments[[#Headers],[Comment]]),FALSE),"")</f>
        <v/>
      </c>
      <c r="CG3" s="18" t="str">
        <f>IFERROR(VLOOKUP(SapExlData[[#This Row],[Sluttlevering]],OrderStatusComments[],COLUMN(OrderStatusComments[[#Headers],[AvailibleDate]]),FALSE),"")</f>
        <v/>
      </c>
      <c r="CH3" t="str">
        <f>IF(SapExlData[[#This Row],[Total beholding]]&gt;0,"Ja","Nei")</f>
        <v>Nei</v>
      </c>
      <c r="CI3" s="28">
        <f>IF(WEEKDAY(DATE(YEAR(SapExlData[[#This Row],[Oppd.dato]]),1,1),2)&gt;4,WEEKNUM(SapExlData[[#This Row],[Oppd.dato]],2)-1,WEEKNUM(SapExlData[[#This Row],[Oppd.dato]],2))</f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53125" defaultRowHeight="14.5" x14ac:dyDescent="0.35"/>
  <cols>
    <col min="1" max="1" width="8.1796875" bestFit="1" customWidth="1"/>
    <col min="2" max="2" width="5.81640625" bestFit="1" customWidth="1"/>
    <col min="3" max="3" width="12.453125" bestFit="1" customWidth="1"/>
    <col min="4" max="4" width="8.453125" bestFit="1" customWidth="1"/>
  </cols>
  <sheetData>
    <row r="1" spans="1:4" x14ac:dyDescent="0.35">
      <c r="A1" s="13" t="s">
        <v>26</v>
      </c>
      <c r="B1" s="13" t="s">
        <v>27</v>
      </c>
      <c r="C1" s="13" t="s">
        <v>28</v>
      </c>
      <c r="D1" s="13" t="s">
        <v>9</v>
      </c>
    </row>
    <row r="2" spans="1:4" x14ac:dyDescent="0.35">
      <c r="A2" t="s">
        <v>14</v>
      </c>
      <c r="B2" t="s">
        <v>4</v>
      </c>
      <c r="C2" s="18">
        <v>40909</v>
      </c>
      <c r="D2">
        <v>5.68</v>
      </c>
    </row>
    <row r="3" spans="1:4" x14ac:dyDescent="0.35">
      <c r="A3" t="s">
        <v>15</v>
      </c>
      <c r="B3" t="s">
        <v>4</v>
      </c>
      <c r="C3" s="18">
        <v>40909</v>
      </c>
      <c r="D3">
        <v>5.69</v>
      </c>
    </row>
    <row r="4" spans="1:4" x14ac:dyDescent="0.35">
      <c r="A4" t="s">
        <v>16</v>
      </c>
      <c r="B4" t="s">
        <v>4</v>
      </c>
      <c r="C4" s="18">
        <v>40909</v>
      </c>
      <c r="D4">
        <v>6.61</v>
      </c>
    </row>
    <row r="5" spans="1:4" x14ac:dyDescent="0.35">
      <c r="A5" t="s">
        <v>17</v>
      </c>
      <c r="B5" t="s">
        <v>4</v>
      </c>
      <c r="C5" s="18">
        <v>40909</v>
      </c>
      <c r="D5">
        <v>0.32900000000000001</v>
      </c>
    </row>
    <row r="6" spans="1:4" x14ac:dyDescent="0.35">
      <c r="A6" t="s">
        <v>18</v>
      </c>
      <c r="B6" t="s">
        <v>4</v>
      </c>
      <c r="C6" s="18">
        <v>40909</v>
      </c>
      <c r="D6">
        <v>1.0660000000000001</v>
      </c>
    </row>
    <row r="7" spans="1:4" x14ac:dyDescent="0.35">
      <c r="A7" t="s">
        <v>19</v>
      </c>
      <c r="B7" t="s">
        <v>4</v>
      </c>
      <c r="C7" s="18">
        <v>40909</v>
      </c>
      <c r="D7">
        <v>7.94</v>
      </c>
    </row>
    <row r="8" spans="1:4" x14ac:dyDescent="0.35">
      <c r="A8" t="s">
        <v>20</v>
      </c>
      <c r="B8" t="s">
        <v>4</v>
      </c>
      <c r="C8" s="18">
        <v>40909</v>
      </c>
      <c r="D8">
        <v>8.84</v>
      </c>
    </row>
    <row r="9" spans="1:4" x14ac:dyDescent="0.35">
      <c r="A9" t="s">
        <v>21</v>
      </c>
      <c r="B9" t="s">
        <v>4</v>
      </c>
      <c r="C9" s="18">
        <v>40909</v>
      </c>
      <c r="D9">
        <v>2.91</v>
      </c>
    </row>
    <row r="10" spans="1:4" x14ac:dyDescent="0.35">
      <c r="A10" t="s">
        <v>22</v>
      </c>
      <c r="B10" t="s">
        <v>4</v>
      </c>
      <c r="C10" s="18">
        <v>40909</v>
      </c>
      <c r="D10">
        <v>6.9</v>
      </c>
    </row>
    <row r="11" spans="1:4" x14ac:dyDescent="0.35">
      <c r="A11" t="s">
        <v>23</v>
      </c>
      <c r="B11" t="s">
        <v>4</v>
      </c>
      <c r="C11" s="18">
        <v>40909</v>
      </c>
      <c r="D11">
        <v>1.9550000000000001</v>
      </c>
    </row>
    <row r="12" spans="1:4" x14ac:dyDescent="0.35">
      <c r="A12" t="s">
        <v>24</v>
      </c>
      <c r="B12" t="s">
        <v>4</v>
      </c>
      <c r="C12" s="18">
        <v>40909</v>
      </c>
      <c r="D12">
        <v>0.85699999999999998</v>
      </c>
    </row>
    <row r="13" spans="1:4" x14ac:dyDescent="0.35">
      <c r="A13" t="s">
        <v>4</v>
      </c>
      <c r="B13" t="s">
        <v>4</v>
      </c>
      <c r="C13" s="18">
        <v>40909</v>
      </c>
      <c r="D13">
        <v>1</v>
      </c>
    </row>
    <row r="14" spans="1:4" x14ac:dyDescent="0.35">
      <c r="A14" t="s">
        <v>25</v>
      </c>
      <c r="B14" t="s">
        <v>4</v>
      </c>
      <c r="C14" s="18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FF8080"/>
  </sheetPr>
  <dimension ref="A1:C106"/>
  <sheetViews>
    <sheetView showGridLines="0" topLeftCell="A2" zoomScale="85" zoomScaleNormal="85" workbookViewId="0">
      <selection activeCell="A2" sqref="A2:C106"/>
    </sheetView>
  </sheetViews>
  <sheetFormatPr defaultColWidth="11.453125" defaultRowHeight="14.5" x14ac:dyDescent="0.35"/>
  <cols>
    <col min="1" max="1" width="10.453125" bestFit="1" customWidth="1"/>
    <col min="2" max="2" width="38.453125" bestFit="1" customWidth="1"/>
    <col min="3" max="3" width="12.453125" bestFit="1" customWidth="1"/>
  </cols>
  <sheetData>
    <row r="1" spans="1:3" x14ac:dyDescent="0.35">
      <c r="A1" t="s">
        <v>3</v>
      </c>
      <c r="B1" t="s">
        <v>52</v>
      </c>
      <c r="C1" s="18" t="s">
        <v>51</v>
      </c>
    </row>
    <row r="2" spans="1:3" x14ac:dyDescent="0.35">
      <c r="C2" s="18"/>
    </row>
    <row r="3" spans="1:3" x14ac:dyDescent="0.35">
      <c r="C3" s="18"/>
    </row>
    <row r="4" spans="1:3" x14ac:dyDescent="0.35">
      <c r="C4" s="18"/>
    </row>
    <row r="5" spans="1:3" x14ac:dyDescent="0.35">
      <c r="C5" s="18"/>
    </row>
    <row r="6" spans="1:3" x14ac:dyDescent="0.35">
      <c r="C6" s="18"/>
    </row>
    <row r="7" spans="1:3" x14ac:dyDescent="0.35">
      <c r="C7" s="18"/>
    </row>
    <row r="8" spans="1:3" x14ac:dyDescent="0.35">
      <c r="C8" s="18"/>
    </row>
    <row r="9" spans="1:3" x14ac:dyDescent="0.35">
      <c r="C9" s="18"/>
    </row>
    <row r="10" spans="1:3" x14ac:dyDescent="0.35">
      <c r="C10" s="18"/>
    </row>
    <row r="11" spans="1:3" x14ac:dyDescent="0.35">
      <c r="C11" s="18"/>
    </row>
    <row r="12" spans="1:3" x14ac:dyDescent="0.35">
      <c r="C12" s="18"/>
    </row>
    <row r="13" spans="1:3" x14ac:dyDescent="0.35">
      <c r="C13" s="18"/>
    </row>
    <row r="14" spans="1:3" x14ac:dyDescent="0.35">
      <c r="C14" s="18"/>
    </row>
    <row r="15" spans="1:3" x14ac:dyDescent="0.35">
      <c r="C15" s="18"/>
    </row>
    <row r="16" spans="1:3" x14ac:dyDescent="0.35">
      <c r="C16" s="18"/>
    </row>
    <row r="17" spans="3:3" x14ac:dyDescent="0.35">
      <c r="C17" s="18"/>
    </row>
    <row r="18" spans="3:3" x14ac:dyDescent="0.35">
      <c r="C18" s="18"/>
    </row>
    <row r="19" spans="3:3" x14ac:dyDescent="0.35">
      <c r="C19" s="18"/>
    </row>
    <row r="20" spans="3:3" x14ac:dyDescent="0.35">
      <c r="C20" s="18"/>
    </row>
    <row r="21" spans="3:3" x14ac:dyDescent="0.35">
      <c r="C21" s="18"/>
    </row>
    <row r="22" spans="3:3" x14ac:dyDescent="0.35">
      <c r="C22" s="18"/>
    </row>
    <row r="23" spans="3:3" x14ac:dyDescent="0.35">
      <c r="C23" s="18"/>
    </row>
    <row r="24" spans="3:3" x14ac:dyDescent="0.35">
      <c r="C24" s="18"/>
    </row>
    <row r="25" spans="3:3" x14ac:dyDescent="0.35">
      <c r="C25" s="18"/>
    </row>
    <row r="26" spans="3:3" x14ac:dyDescent="0.35">
      <c r="C26" s="18"/>
    </row>
    <row r="27" spans="3:3" x14ac:dyDescent="0.35">
      <c r="C27" s="18"/>
    </row>
    <row r="28" spans="3:3" x14ac:dyDescent="0.35">
      <c r="C28" s="18"/>
    </row>
    <row r="29" spans="3:3" x14ac:dyDescent="0.35">
      <c r="C29" s="18"/>
    </row>
    <row r="30" spans="3:3" x14ac:dyDescent="0.35">
      <c r="C30" s="18"/>
    </row>
    <row r="31" spans="3:3" x14ac:dyDescent="0.35">
      <c r="C31" s="18"/>
    </row>
    <row r="32" spans="3:3" x14ac:dyDescent="0.35">
      <c r="C32" s="18"/>
    </row>
    <row r="33" spans="3:3" x14ac:dyDescent="0.35">
      <c r="C33" s="18"/>
    </row>
    <row r="34" spans="3:3" x14ac:dyDescent="0.35">
      <c r="C34" s="18"/>
    </row>
    <row r="35" spans="3:3" x14ac:dyDescent="0.35">
      <c r="C35" s="18"/>
    </row>
    <row r="36" spans="3:3" x14ac:dyDescent="0.35">
      <c r="C36" s="18"/>
    </row>
    <row r="37" spans="3:3" x14ac:dyDescent="0.35">
      <c r="C37" s="18"/>
    </row>
    <row r="38" spans="3:3" x14ac:dyDescent="0.35">
      <c r="C38" s="18"/>
    </row>
    <row r="39" spans="3:3" x14ac:dyDescent="0.35">
      <c r="C39" s="18"/>
    </row>
    <row r="40" spans="3:3" x14ac:dyDescent="0.35">
      <c r="C40" s="18"/>
    </row>
    <row r="41" spans="3:3" x14ac:dyDescent="0.35">
      <c r="C41" s="18"/>
    </row>
    <row r="42" spans="3:3" x14ac:dyDescent="0.35">
      <c r="C42" s="18"/>
    </row>
    <row r="43" spans="3:3" x14ac:dyDescent="0.35">
      <c r="C43" s="18"/>
    </row>
    <row r="44" spans="3:3" x14ac:dyDescent="0.35">
      <c r="C44" s="18"/>
    </row>
    <row r="45" spans="3:3" x14ac:dyDescent="0.35">
      <c r="C45" s="18"/>
    </row>
    <row r="46" spans="3:3" x14ac:dyDescent="0.35">
      <c r="C46" s="18"/>
    </row>
    <row r="47" spans="3:3" x14ac:dyDescent="0.35">
      <c r="C47" s="18"/>
    </row>
    <row r="48" spans="3:3" x14ac:dyDescent="0.35">
      <c r="C48" s="18"/>
    </row>
    <row r="49" spans="3:3" x14ac:dyDescent="0.35">
      <c r="C49" s="18"/>
    </row>
    <row r="50" spans="3:3" x14ac:dyDescent="0.35">
      <c r="C50" s="18"/>
    </row>
    <row r="51" spans="3:3" x14ac:dyDescent="0.35">
      <c r="C51" s="18"/>
    </row>
    <row r="52" spans="3:3" x14ac:dyDescent="0.35">
      <c r="C52" s="18"/>
    </row>
    <row r="53" spans="3:3" x14ac:dyDescent="0.35">
      <c r="C53" s="18"/>
    </row>
    <row r="54" spans="3:3" x14ac:dyDescent="0.35">
      <c r="C54" s="18"/>
    </row>
    <row r="55" spans="3:3" x14ac:dyDescent="0.35">
      <c r="C55" s="18"/>
    </row>
    <row r="56" spans="3:3" x14ac:dyDescent="0.35">
      <c r="C56" s="18"/>
    </row>
    <row r="57" spans="3:3" x14ac:dyDescent="0.35">
      <c r="C57" s="18"/>
    </row>
    <row r="58" spans="3:3" x14ac:dyDescent="0.35">
      <c r="C58" s="18"/>
    </row>
    <row r="59" spans="3:3" x14ac:dyDescent="0.35">
      <c r="C59" s="18"/>
    </row>
    <row r="60" spans="3:3" x14ac:dyDescent="0.35">
      <c r="C60" s="18"/>
    </row>
    <row r="61" spans="3:3" x14ac:dyDescent="0.35">
      <c r="C61" s="18"/>
    </row>
    <row r="62" spans="3:3" x14ac:dyDescent="0.35">
      <c r="C62" s="18"/>
    </row>
    <row r="63" spans="3:3" x14ac:dyDescent="0.35">
      <c r="C63" s="18"/>
    </row>
    <row r="64" spans="3:3" x14ac:dyDescent="0.35">
      <c r="C64" s="18"/>
    </row>
    <row r="65" spans="3:3" x14ac:dyDescent="0.35">
      <c r="C65" s="18"/>
    </row>
    <row r="66" spans="3:3" x14ac:dyDescent="0.35">
      <c r="C66" s="18"/>
    </row>
    <row r="67" spans="3:3" x14ac:dyDescent="0.35">
      <c r="C67" s="18"/>
    </row>
    <row r="68" spans="3:3" x14ac:dyDescent="0.35">
      <c r="C68" s="18"/>
    </row>
    <row r="69" spans="3:3" x14ac:dyDescent="0.35">
      <c r="C69" s="18"/>
    </row>
    <row r="70" spans="3:3" x14ac:dyDescent="0.35">
      <c r="C70" s="18"/>
    </row>
    <row r="71" spans="3:3" x14ac:dyDescent="0.35">
      <c r="C71" s="18"/>
    </row>
    <row r="72" spans="3:3" x14ac:dyDescent="0.35">
      <c r="C72" s="18"/>
    </row>
    <row r="73" spans="3:3" x14ac:dyDescent="0.35">
      <c r="C73" s="18"/>
    </row>
    <row r="74" spans="3:3" x14ac:dyDescent="0.35">
      <c r="C74" s="18"/>
    </row>
    <row r="75" spans="3:3" x14ac:dyDescent="0.35">
      <c r="C75" s="18"/>
    </row>
    <row r="76" spans="3:3" x14ac:dyDescent="0.35">
      <c r="C76" s="18"/>
    </row>
    <row r="77" spans="3:3" x14ac:dyDescent="0.35">
      <c r="C77" s="18"/>
    </row>
    <row r="78" spans="3:3" x14ac:dyDescent="0.35">
      <c r="C78" s="18"/>
    </row>
    <row r="79" spans="3:3" x14ac:dyDescent="0.35">
      <c r="C79" s="18"/>
    </row>
    <row r="80" spans="3:3" x14ac:dyDescent="0.35">
      <c r="C80" s="18"/>
    </row>
    <row r="81" spans="3:3" x14ac:dyDescent="0.35">
      <c r="C81" s="18"/>
    </row>
    <row r="82" spans="3:3" x14ac:dyDescent="0.35">
      <c r="C82" s="18"/>
    </row>
    <row r="83" spans="3:3" x14ac:dyDescent="0.35">
      <c r="C83" s="18"/>
    </row>
    <row r="84" spans="3:3" x14ac:dyDescent="0.35">
      <c r="C84" s="18"/>
    </row>
    <row r="85" spans="3:3" x14ac:dyDescent="0.35">
      <c r="C85" s="18"/>
    </row>
    <row r="86" spans="3:3" x14ac:dyDescent="0.35">
      <c r="C86" s="18"/>
    </row>
    <row r="87" spans="3:3" x14ac:dyDescent="0.35">
      <c r="C87" s="18"/>
    </row>
    <row r="88" spans="3:3" x14ac:dyDescent="0.35">
      <c r="C88" s="18"/>
    </row>
    <row r="89" spans="3:3" x14ac:dyDescent="0.35">
      <c r="C89" s="18"/>
    </row>
    <row r="90" spans="3:3" x14ac:dyDescent="0.35">
      <c r="C90" s="18"/>
    </row>
    <row r="91" spans="3:3" x14ac:dyDescent="0.35">
      <c r="C91" s="18"/>
    </row>
    <row r="92" spans="3:3" x14ac:dyDescent="0.35">
      <c r="C92" s="18"/>
    </row>
    <row r="93" spans="3:3" x14ac:dyDescent="0.35">
      <c r="C93" s="18"/>
    </row>
    <row r="94" spans="3:3" x14ac:dyDescent="0.35">
      <c r="C94" s="18"/>
    </row>
    <row r="95" spans="3:3" x14ac:dyDescent="0.35">
      <c r="C95" s="18"/>
    </row>
    <row r="96" spans="3:3" x14ac:dyDescent="0.35">
      <c r="C96" s="18"/>
    </row>
    <row r="97" spans="3:3" x14ac:dyDescent="0.35">
      <c r="C97" s="18"/>
    </row>
    <row r="98" spans="3:3" x14ac:dyDescent="0.35">
      <c r="C98" s="18"/>
    </row>
    <row r="99" spans="3:3" x14ac:dyDescent="0.35">
      <c r="C99" s="18"/>
    </row>
    <row r="100" spans="3:3" x14ac:dyDescent="0.35">
      <c r="C100" s="18"/>
    </row>
    <row r="101" spans="3:3" x14ac:dyDescent="0.35">
      <c r="C101" s="18"/>
    </row>
    <row r="102" spans="3:3" x14ac:dyDescent="0.35">
      <c r="C102" s="18"/>
    </row>
    <row r="103" spans="3:3" x14ac:dyDescent="0.35">
      <c r="C103" s="18"/>
    </row>
    <row r="104" spans="3:3" x14ac:dyDescent="0.35">
      <c r="C104" s="18"/>
    </row>
    <row r="105" spans="3:3" x14ac:dyDescent="0.35">
      <c r="C105" s="18"/>
    </row>
    <row r="106" spans="3:3" x14ac:dyDescent="0.35">
      <c r="C106" s="1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1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81.81640625" bestFit="1" customWidth="1"/>
  </cols>
  <sheetData>
    <row r="1" spans="1:2" x14ac:dyDescent="0.35">
      <c r="A1" s="13" t="s">
        <v>29</v>
      </c>
      <c r="B1" s="13" t="s">
        <v>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55</v>
      </c>
      <c r="B1" t="s">
        <v>2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  <c r="M1" t="s">
        <v>66</v>
      </c>
      <c r="N1" t="s">
        <v>67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74</v>
      </c>
      <c r="V1" t="s">
        <v>75</v>
      </c>
      <c r="W1" t="s">
        <v>76</v>
      </c>
      <c r="X1" t="s">
        <v>77</v>
      </c>
      <c r="Y1" t="s">
        <v>78</v>
      </c>
      <c r="Z1" t="s">
        <v>79</v>
      </c>
      <c r="AA1" t="s">
        <v>80</v>
      </c>
      <c r="AB1" t="s">
        <v>81</v>
      </c>
      <c r="AC1" t="s">
        <v>82</v>
      </c>
      <c r="AD1" t="s">
        <v>83</v>
      </c>
      <c r="AE1" t="s">
        <v>84</v>
      </c>
      <c r="AF1" t="s">
        <v>85</v>
      </c>
      <c r="AG1" t="s">
        <v>86</v>
      </c>
    </row>
    <row r="2" spans="1:33" x14ac:dyDescent="0.35">
      <c r="A2" s="17"/>
      <c r="C2" s="17"/>
      <c r="D2" s="17"/>
      <c r="E2" s="17"/>
      <c r="F2" s="17"/>
      <c r="G2" s="17"/>
      <c r="H2" s="17"/>
      <c r="I2" s="17"/>
      <c r="L2" s="17"/>
      <c r="M2" s="17"/>
      <c r="N2" s="17"/>
      <c r="O2" s="17"/>
      <c r="P2" s="17"/>
      <c r="Q2" s="17"/>
      <c r="R2" s="17"/>
      <c r="S2" s="17"/>
      <c r="U2" s="17"/>
      <c r="V2" s="17"/>
      <c r="W2" s="17"/>
      <c r="X2" s="17"/>
      <c r="AA2" s="17"/>
      <c r="AE2" s="17"/>
      <c r="AF2" s="17"/>
    </row>
    <row r="3" spans="1:33" x14ac:dyDescent="0.35">
      <c r="D3" s="17"/>
      <c r="E3" s="17"/>
      <c r="G3" s="17"/>
      <c r="H3" s="17"/>
      <c r="L3" s="17"/>
      <c r="M3" s="17"/>
      <c r="N3" s="17"/>
      <c r="O3" s="17"/>
      <c r="Q3" s="17"/>
      <c r="R3" s="17"/>
      <c r="S3" s="17"/>
      <c r="U3" s="17"/>
    </row>
    <row r="4" spans="1:33" x14ac:dyDescent="0.35">
      <c r="D4" s="17"/>
      <c r="E4" s="17"/>
      <c r="G4" s="17"/>
      <c r="H4" s="17"/>
      <c r="L4" s="17"/>
      <c r="M4" s="17"/>
      <c r="N4" s="17"/>
      <c r="O4" s="17"/>
      <c r="Q4" s="17"/>
      <c r="R4" s="17"/>
      <c r="S4" s="17"/>
      <c r="U4" s="17"/>
    </row>
    <row r="5" spans="1:33" x14ac:dyDescent="0.35">
      <c r="D5" s="17"/>
      <c r="E5" s="17"/>
      <c r="G5" s="17"/>
      <c r="H5" s="17"/>
      <c r="L5" s="17"/>
      <c r="M5" s="17"/>
      <c r="N5" s="17"/>
      <c r="O5" s="17"/>
      <c r="Q5" s="17"/>
      <c r="R5" s="17"/>
      <c r="S5" s="17"/>
      <c r="U5" s="17"/>
    </row>
    <row r="6" spans="1:33" x14ac:dyDescent="0.35">
      <c r="D6" s="17"/>
      <c r="E6" s="17"/>
      <c r="G6" s="17"/>
      <c r="H6" s="17"/>
      <c r="L6" s="17"/>
      <c r="M6" s="17"/>
      <c r="N6" s="17"/>
      <c r="O6" s="17"/>
      <c r="Q6" s="17"/>
      <c r="R6" s="17"/>
      <c r="S6" s="17"/>
      <c r="U6" s="17"/>
    </row>
    <row r="7" spans="1:33" x14ac:dyDescent="0.35">
      <c r="D7" s="17"/>
      <c r="E7" s="17"/>
      <c r="G7" s="17"/>
      <c r="H7" s="17"/>
      <c r="L7" s="17"/>
      <c r="M7" s="17"/>
      <c r="N7" s="17"/>
      <c r="O7" s="17"/>
      <c r="Q7" s="17"/>
      <c r="R7" s="17"/>
      <c r="S7" s="17"/>
      <c r="U7" s="17"/>
    </row>
    <row r="8" spans="1:33" x14ac:dyDescent="0.35">
      <c r="D8" s="17"/>
      <c r="E8" s="17"/>
      <c r="G8" s="17"/>
      <c r="H8" s="17"/>
      <c r="L8" s="17"/>
      <c r="M8" s="17"/>
      <c r="N8" s="17"/>
      <c r="O8" s="17"/>
      <c r="Q8" s="17"/>
      <c r="R8" s="17"/>
      <c r="S8" s="17"/>
      <c r="U8" s="17"/>
    </row>
    <row r="9" spans="1:33" x14ac:dyDescent="0.35">
      <c r="D9" s="17"/>
      <c r="E9" s="17"/>
      <c r="G9" s="17"/>
      <c r="H9" s="17"/>
      <c r="L9" s="17"/>
      <c r="M9" s="17"/>
      <c r="N9" s="17"/>
      <c r="O9" s="17"/>
      <c r="Q9" s="17"/>
      <c r="R9" s="17"/>
      <c r="S9" s="17"/>
      <c r="U9" s="17"/>
    </row>
    <row r="10" spans="1:33" x14ac:dyDescent="0.35">
      <c r="D10" s="17"/>
      <c r="E10" s="17"/>
      <c r="G10" s="17"/>
      <c r="H10" s="17"/>
      <c r="L10" s="17"/>
      <c r="M10" s="17"/>
      <c r="N10" s="17"/>
      <c r="O10" s="17"/>
      <c r="Q10" s="17"/>
      <c r="R10" s="17"/>
      <c r="S10" s="17"/>
      <c r="U10" s="17"/>
    </row>
    <row r="11" spans="1:33" x14ac:dyDescent="0.35">
      <c r="D11" s="17"/>
      <c r="E11" s="17"/>
      <c r="G11" s="17"/>
      <c r="H11" s="17"/>
      <c r="L11" s="17"/>
      <c r="M11" s="17"/>
      <c r="N11" s="17"/>
      <c r="O11" s="17"/>
      <c r="Q11" s="17"/>
      <c r="R11" s="17"/>
      <c r="S11" s="17"/>
      <c r="U11" s="17"/>
    </row>
    <row r="12" spans="1:33" x14ac:dyDescent="0.35">
      <c r="D12" s="17"/>
      <c r="E12" s="17"/>
      <c r="G12" s="17"/>
      <c r="H12" s="17"/>
      <c r="L12" s="17"/>
      <c r="M12" s="17"/>
      <c r="N12" s="17"/>
      <c r="O12" s="17"/>
      <c r="Q12" s="17"/>
      <c r="R12" s="17"/>
      <c r="S12" s="17"/>
      <c r="U12" s="17"/>
    </row>
    <row r="13" spans="1:33" x14ac:dyDescent="0.35">
      <c r="D13" s="17"/>
      <c r="E13" s="17"/>
      <c r="G13" s="17"/>
      <c r="H13" s="17"/>
      <c r="L13" s="17"/>
      <c r="M13" s="17"/>
      <c r="N13" s="17"/>
      <c r="O13" s="17"/>
      <c r="Q13" s="17"/>
      <c r="R13" s="17"/>
      <c r="S13" s="17"/>
      <c r="U13" s="17"/>
    </row>
    <row r="14" spans="1:33" x14ac:dyDescent="0.35">
      <c r="D14" s="17"/>
      <c r="E14" s="17"/>
      <c r="G14" s="17"/>
      <c r="H14" s="17"/>
      <c r="L14" s="17"/>
      <c r="M14" s="17"/>
      <c r="N14" s="17"/>
      <c r="O14" s="17"/>
      <c r="Q14" s="17"/>
      <c r="R14" s="17"/>
      <c r="S14" s="17"/>
      <c r="U14" s="17"/>
    </row>
    <row r="15" spans="1:33" x14ac:dyDescent="0.35">
      <c r="D15" s="17"/>
      <c r="E15" s="17"/>
      <c r="G15" s="17"/>
      <c r="H15" s="17"/>
      <c r="L15" s="17"/>
      <c r="M15" s="17"/>
      <c r="N15" s="17"/>
      <c r="O15" s="17"/>
      <c r="Q15" s="17"/>
      <c r="R15" s="17"/>
      <c r="S15" s="17"/>
      <c r="U15" s="17"/>
    </row>
    <row r="16" spans="1:33" x14ac:dyDescent="0.35">
      <c r="D16" s="17"/>
      <c r="E16" s="17"/>
      <c r="G16" s="17"/>
      <c r="H16" s="17"/>
      <c r="L16" s="17"/>
      <c r="M16" s="17"/>
      <c r="N16" s="17"/>
      <c r="O16" s="17"/>
      <c r="Q16" s="17"/>
      <c r="R16" s="17"/>
      <c r="S16" s="17"/>
      <c r="U16" s="17"/>
    </row>
    <row r="17" spans="4:21" x14ac:dyDescent="0.35">
      <c r="D17" s="17"/>
      <c r="E17" s="17"/>
      <c r="G17" s="17"/>
      <c r="H17" s="17"/>
      <c r="L17" s="17"/>
      <c r="M17" s="17"/>
      <c r="N17" s="17"/>
      <c r="O17" s="17"/>
      <c r="Q17" s="17"/>
      <c r="R17" s="17"/>
      <c r="S17" s="17"/>
      <c r="U17" s="17"/>
    </row>
    <row r="18" spans="4:21" x14ac:dyDescent="0.35">
      <c r="D18" s="17"/>
      <c r="E18" s="17"/>
      <c r="G18" s="17"/>
      <c r="H18" s="17"/>
      <c r="L18" s="17"/>
      <c r="M18" s="17"/>
      <c r="N18" s="17"/>
      <c r="O18" s="17"/>
      <c r="Q18" s="17"/>
      <c r="R18" s="17"/>
      <c r="S18" s="17"/>
      <c r="U18" s="17"/>
    </row>
    <row r="19" spans="4:21" x14ac:dyDescent="0.35">
      <c r="D19" s="17"/>
      <c r="E19" s="17"/>
      <c r="G19" s="17"/>
      <c r="H19" s="17"/>
      <c r="L19" s="17"/>
      <c r="M19" s="17"/>
      <c r="N19" s="17"/>
      <c r="O19" s="17"/>
      <c r="Q19" s="17"/>
      <c r="R19" s="17"/>
      <c r="S19" s="17"/>
      <c r="U19" s="17"/>
    </row>
    <row r="20" spans="4:21" x14ac:dyDescent="0.35">
      <c r="D20" s="17"/>
      <c r="E20" s="17"/>
      <c r="G20" s="17"/>
      <c r="H20" s="17"/>
      <c r="L20" s="17"/>
      <c r="M20" s="17"/>
      <c r="N20" s="17"/>
      <c r="O20" s="17"/>
      <c r="Q20" s="17"/>
      <c r="R20" s="17"/>
      <c r="S20" s="17"/>
      <c r="U20" s="17"/>
    </row>
    <row r="21" spans="4:21" x14ac:dyDescent="0.35">
      <c r="D21" s="17"/>
      <c r="E21" s="17"/>
      <c r="G21" s="17"/>
      <c r="H21" s="17"/>
      <c r="L21" s="17"/>
      <c r="M21" s="17"/>
      <c r="N21" s="17"/>
      <c r="O21" s="17"/>
      <c r="Q21" s="17"/>
      <c r="R21" s="17"/>
      <c r="S21" s="17"/>
      <c r="U21" s="17"/>
    </row>
    <row r="22" spans="4:21" x14ac:dyDescent="0.35">
      <c r="D22" s="17"/>
      <c r="E22" s="17"/>
      <c r="G22" s="17"/>
      <c r="H22" s="17"/>
      <c r="L22" s="17"/>
      <c r="M22" s="17"/>
      <c r="N22" s="17"/>
      <c r="O22" s="17"/>
      <c r="Q22" s="17"/>
      <c r="R22" s="17"/>
      <c r="S22" s="17"/>
      <c r="U22" s="17"/>
    </row>
    <row r="23" spans="4:21" x14ac:dyDescent="0.35">
      <c r="D23" s="17"/>
      <c r="E23" s="17"/>
      <c r="G23" s="17"/>
      <c r="H23" s="17"/>
      <c r="L23" s="17"/>
      <c r="M23" s="17"/>
      <c r="N23" s="17"/>
      <c r="O23" s="17"/>
      <c r="Q23" s="17"/>
      <c r="R23" s="17"/>
      <c r="S23" s="17"/>
      <c r="U23" s="17"/>
    </row>
    <row r="24" spans="4:21" x14ac:dyDescent="0.35">
      <c r="D24" s="17"/>
      <c r="E24" s="17"/>
      <c r="G24" s="17"/>
      <c r="H24" s="17"/>
      <c r="L24" s="17"/>
      <c r="M24" s="17"/>
      <c r="N24" s="17"/>
      <c r="O24" s="17"/>
      <c r="Q24" s="17"/>
      <c r="R24" s="17"/>
      <c r="S24" s="17"/>
      <c r="U24" s="17"/>
    </row>
    <row r="25" spans="4:21" x14ac:dyDescent="0.35">
      <c r="D25" s="17"/>
      <c r="E25" s="17"/>
      <c r="G25" s="17"/>
      <c r="H25" s="17"/>
      <c r="L25" s="17"/>
      <c r="M25" s="17"/>
      <c r="N25" s="17"/>
      <c r="O25" s="17"/>
      <c r="Q25" s="17"/>
      <c r="R25" s="17"/>
      <c r="S25" s="17"/>
      <c r="U25" s="17"/>
    </row>
    <row r="26" spans="4:21" x14ac:dyDescent="0.35">
      <c r="D26" s="17"/>
      <c r="E26" s="17"/>
      <c r="G26" s="17"/>
      <c r="H26" s="17"/>
      <c r="L26" s="17"/>
      <c r="M26" s="17"/>
      <c r="N26" s="17"/>
      <c r="O26" s="17"/>
      <c r="Q26" s="17"/>
      <c r="R26" s="17"/>
      <c r="S26" s="17"/>
      <c r="U26" s="17"/>
    </row>
    <row r="27" spans="4:21" x14ac:dyDescent="0.35">
      <c r="D27" s="17"/>
      <c r="E27" s="17"/>
      <c r="G27" s="17"/>
      <c r="H27" s="17"/>
      <c r="L27" s="17"/>
      <c r="M27" s="17"/>
      <c r="N27" s="17"/>
      <c r="O27" s="17"/>
      <c r="Q27" s="17"/>
      <c r="R27" s="17"/>
      <c r="S27" s="17"/>
      <c r="U27" s="17"/>
    </row>
    <row r="28" spans="4:21" x14ac:dyDescent="0.35">
      <c r="D28" s="17"/>
      <c r="E28" s="17"/>
      <c r="G28" s="17"/>
      <c r="H28" s="17"/>
      <c r="L28" s="17"/>
      <c r="M28" s="17"/>
      <c r="N28" s="17"/>
      <c r="O28" s="17"/>
      <c r="Q28" s="17"/>
      <c r="R28" s="17"/>
      <c r="S28" s="17"/>
      <c r="U28" s="17"/>
    </row>
    <row r="29" spans="4:21" x14ac:dyDescent="0.35">
      <c r="D29" s="17"/>
      <c r="E29" s="17"/>
      <c r="G29" s="17"/>
      <c r="H29" s="17"/>
      <c r="L29" s="17"/>
      <c r="M29" s="17"/>
      <c r="N29" s="17"/>
      <c r="O29" s="17"/>
      <c r="Q29" s="17"/>
      <c r="R29" s="17"/>
      <c r="S29" s="17"/>
      <c r="U29" s="17"/>
    </row>
    <row r="30" spans="4:21" x14ac:dyDescent="0.35">
      <c r="D30" s="17"/>
      <c r="E30" s="17"/>
      <c r="G30" s="17"/>
      <c r="H30" s="17"/>
      <c r="L30" s="17"/>
      <c r="M30" s="17"/>
      <c r="N30" s="17"/>
      <c r="O30" s="17"/>
      <c r="Q30" s="17"/>
      <c r="R30" s="17"/>
      <c r="S30" s="17"/>
      <c r="U30" s="17"/>
    </row>
    <row r="31" spans="4:21" x14ac:dyDescent="0.35">
      <c r="D31" s="17"/>
      <c r="E31" s="17"/>
      <c r="G31" s="17"/>
      <c r="H31" s="17"/>
      <c r="L31" s="17"/>
      <c r="M31" s="17"/>
      <c r="N31" s="17"/>
      <c r="O31" s="17"/>
      <c r="Q31" s="17"/>
      <c r="R31" s="17"/>
      <c r="S31" s="17"/>
      <c r="U31" s="17"/>
    </row>
    <row r="32" spans="4:21" x14ac:dyDescent="0.35">
      <c r="D32" s="17"/>
      <c r="E32" s="17"/>
      <c r="G32" s="17"/>
      <c r="H32" s="17"/>
      <c r="L32" s="17"/>
      <c r="M32" s="17"/>
      <c r="N32" s="17"/>
      <c r="O32" s="17"/>
      <c r="Q32" s="17"/>
      <c r="R32" s="17"/>
      <c r="S32" s="17"/>
      <c r="U32" s="17"/>
    </row>
    <row r="33" spans="4:21" x14ac:dyDescent="0.35">
      <c r="D33" s="17"/>
      <c r="E33" s="17"/>
      <c r="G33" s="17"/>
      <c r="H33" s="17"/>
      <c r="L33" s="17"/>
      <c r="M33" s="17"/>
      <c r="N33" s="17"/>
      <c r="O33" s="17"/>
      <c r="Q33" s="17"/>
      <c r="R33" s="17"/>
      <c r="S33" s="17"/>
      <c r="U33" s="17"/>
    </row>
    <row r="34" spans="4:21" x14ac:dyDescent="0.35">
      <c r="D34" s="17"/>
      <c r="E34" s="17"/>
      <c r="G34" s="17"/>
      <c r="H34" s="17"/>
      <c r="L34" s="17"/>
      <c r="M34" s="17"/>
      <c r="N34" s="17"/>
      <c r="O34" s="17"/>
      <c r="Q34" s="17"/>
      <c r="R34" s="17"/>
      <c r="S34" s="17"/>
      <c r="U34" s="17"/>
    </row>
    <row r="35" spans="4:21" x14ac:dyDescent="0.35">
      <c r="D35" s="17"/>
      <c r="E35" s="17"/>
      <c r="G35" s="17"/>
      <c r="H35" s="17"/>
      <c r="L35" s="17"/>
      <c r="M35" s="17"/>
      <c r="N35" s="17"/>
      <c r="O35" s="17"/>
      <c r="Q35" s="17"/>
      <c r="R35" s="17"/>
      <c r="S35" s="17"/>
      <c r="U35" s="17"/>
    </row>
    <row r="36" spans="4:21" x14ac:dyDescent="0.35">
      <c r="D36" s="17"/>
      <c r="E36" s="17"/>
      <c r="G36" s="17"/>
      <c r="H36" s="17"/>
      <c r="L36" s="17"/>
      <c r="M36" s="17"/>
      <c r="N36" s="17"/>
      <c r="O36" s="17"/>
      <c r="Q36" s="17"/>
      <c r="R36" s="17"/>
      <c r="S36" s="17"/>
      <c r="U36" s="17"/>
    </row>
    <row r="37" spans="4:21" x14ac:dyDescent="0.35">
      <c r="D37" s="17"/>
      <c r="E37" s="17"/>
      <c r="G37" s="17"/>
      <c r="H37" s="17"/>
      <c r="L37" s="17"/>
      <c r="M37" s="17"/>
      <c r="N37" s="17"/>
      <c r="O37" s="17"/>
      <c r="Q37" s="17"/>
      <c r="R37" s="17"/>
      <c r="S37" s="17"/>
      <c r="U37" s="17"/>
    </row>
    <row r="38" spans="4:21" x14ac:dyDescent="0.35">
      <c r="D38" s="17"/>
      <c r="E38" s="17"/>
      <c r="G38" s="17"/>
      <c r="H38" s="17"/>
      <c r="L38" s="17"/>
      <c r="M38" s="17"/>
      <c r="N38" s="17"/>
      <c r="O38" s="17"/>
      <c r="Q38" s="17"/>
      <c r="R38" s="17"/>
      <c r="S38" s="17"/>
      <c r="U38" s="17"/>
    </row>
    <row r="39" spans="4:21" x14ac:dyDescent="0.35">
      <c r="D39" s="17"/>
      <c r="E39" s="17"/>
      <c r="G39" s="17"/>
      <c r="H39" s="17"/>
      <c r="L39" s="17"/>
      <c r="M39" s="17"/>
      <c r="N39" s="17"/>
      <c r="O39" s="17"/>
      <c r="Q39" s="17"/>
      <c r="R39" s="17"/>
      <c r="S39" s="17"/>
      <c r="U39" s="17"/>
    </row>
    <row r="40" spans="4:21" x14ac:dyDescent="0.35">
      <c r="D40" s="17"/>
      <c r="E40" s="17"/>
      <c r="G40" s="17"/>
      <c r="H40" s="17"/>
      <c r="L40" s="17"/>
      <c r="M40" s="17"/>
      <c r="N40" s="17"/>
      <c r="O40" s="17"/>
      <c r="Q40" s="17"/>
      <c r="R40" s="17"/>
      <c r="S40" s="17"/>
      <c r="U40" s="17"/>
    </row>
    <row r="41" spans="4:21" x14ac:dyDescent="0.35">
      <c r="D41" s="17"/>
      <c r="E41" s="17"/>
      <c r="G41" s="17"/>
      <c r="H41" s="17"/>
      <c r="L41" s="17"/>
      <c r="M41" s="17"/>
      <c r="N41" s="17"/>
      <c r="O41" s="17"/>
      <c r="Q41" s="17"/>
      <c r="R41" s="17"/>
      <c r="S41" s="17"/>
      <c r="U41" s="17"/>
    </row>
    <row r="42" spans="4:21" x14ac:dyDescent="0.35">
      <c r="D42" s="17"/>
      <c r="E42" s="17"/>
      <c r="G42" s="17"/>
      <c r="H42" s="17"/>
      <c r="L42" s="17"/>
      <c r="M42" s="17"/>
      <c r="N42" s="17"/>
      <c r="O42" s="17"/>
      <c r="Q42" s="17"/>
      <c r="R42" s="17"/>
      <c r="S42" s="17"/>
      <c r="U42" s="17"/>
    </row>
    <row r="43" spans="4:21" x14ac:dyDescent="0.35">
      <c r="D43" s="17"/>
      <c r="E43" s="17"/>
      <c r="G43" s="17"/>
      <c r="H43" s="17"/>
      <c r="L43" s="17"/>
      <c r="M43" s="17"/>
      <c r="N43" s="17"/>
      <c r="O43" s="17"/>
      <c r="Q43" s="17"/>
      <c r="R43" s="17"/>
      <c r="S43" s="17"/>
      <c r="U43" s="17"/>
    </row>
    <row r="44" spans="4:21" x14ac:dyDescent="0.35">
      <c r="D44" s="17"/>
      <c r="E44" s="17"/>
      <c r="G44" s="17"/>
      <c r="H44" s="17"/>
      <c r="L44" s="17"/>
      <c r="M44" s="17"/>
      <c r="N44" s="17"/>
      <c r="O44" s="17"/>
      <c r="Q44" s="17"/>
      <c r="R44" s="17"/>
      <c r="S44" s="17"/>
      <c r="U44" s="17"/>
    </row>
    <row r="45" spans="4:21" x14ac:dyDescent="0.35">
      <c r="D45" s="17"/>
      <c r="E45" s="17"/>
      <c r="G45" s="17"/>
      <c r="H45" s="17"/>
      <c r="L45" s="17"/>
      <c r="M45" s="17"/>
      <c r="N45" s="17"/>
      <c r="O45" s="17"/>
      <c r="Q45" s="17"/>
      <c r="R45" s="17"/>
      <c r="S45" s="17"/>
      <c r="U45" s="17"/>
    </row>
    <row r="46" spans="4:21" x14ac:dyDescent="0.35">
      <c r="D46" s="17"/>
      <c r="E46" s="17"/>
      <c r="G46" s="17"/>
      <c r="H46" s="17"/>
      <c r="L46" s="17"/>
      <c r="M46" s="17"/>
      <c r="N46" s="17"/>
      <c r="O46" s="17"/>
      <c r="Q46" s="17"/>
      <c r="R46" s="17"/>
      <c r="S46" s="17"/>
      <c r="U46" s="17"/>
    </row>
    <row r="47" spans="4:21" x14ac:dyDescent="0.35">
      <c r="D47" s="17"/>
      <c r="E47" s="17"/>
      <c r="G47" s="17"/>
      <c r="H47" s="17"/>
      <c r="L47" s="17"/>
      <c r="M47" s="17"/>
      <c r="N47" s="17"/>
      <c r="O47" s="17"/>
      <c r="Q47" s="17"/>
      <c r="R47" s="17"/>
      <c r="S47" s="17"/>
      <c r="U47" s="17"/>
    </row>
    <row r="48" spans="4:21" x14ac:dyDescent="0.35">
      <c r="D48" s="17"/>
      <c r="E48" s="17"/>
      <c r="G48" s="17"/>
      <c r="H48" s="17"/>
      <c r="L48" s="17"/>
      <c r="M48" s="17"/>
      <c r="N48" s="17"/>
      <c r="O48" s="17"/>
      <c r="Q48" s="17"/>
      <c r="R48" s="17"/>
      <c r="S48" s="17"/>
      <c r="U48" s="17"/>
    </row>
    <row r="49" spans="4:21" x14ac:dyDescent="0.35">
      <c r="D49" s="17"/>
      <c r="E49" s="17"/>
      <c r="G49" s="17"/>
      <c r="H49" s="17"/>
      <c r="L49" s="17"/>
      <c r="M49" s="17"/>
      <c r="N49" s="17"/>
      <c r="O49" s="17"/>
      <c r="Q49" s="17"/>
      <c r="R49" s="17"/>
      <c r="S49" s="17"/>
      <c r="U49" s="17"/>
    </row>
    <row r="50" spans="4:21" x14ac:dyDescent="0.35">
      <c r="D50" s="17"/>
      <c r="E50" s="17"/>
      <c r="G50" s="17"/>
      <c r="H50" s="17"/>
      <c r="L50" s="17"/>
      <c r="M50" s="17"/>
      <c r="N50" s="17"/>
      <c r="O50" s="17"/>
      <c r="Q50" s="17"/>
      <c r="R50" s="17"/>
      <c r="S50" s="17"/>
      <c r="U50" s="17"/>
    </row>
    <row r="51" spans="4:21" x14ac:dyDescent="0.35">
      <c r="D51" s="17"/>
      <c r="E51" s="17"/>
      <c r="G51" s="17"/>
      <c r="H51" s="17"/>
      <c r="L51" s="17"/>
      <c r="M51" s="17"/>
      <c r="N51" s="17"/>
      <c r="O51" s="17"/>
      <c r="Q51" s="17"/>
      <c r="R51" s="17"/>
      <c r="S51" s="17"/>
      <c r="U51" s="17"/>
    </row>
    <row r="52" spans="4:21" x14ac:dyDescent="0.35">
      <c r="D52" s="17"/>
      <c r="E52" s="17"/>
      <c r="G52" s="17"/>
      <c r="H52" s="17"/>
      <c r="L52" s="17"/>
      <c r="M52" s="17"/>
      <c r="N52" s="17"/>
      <c r="O52" s="17"/>
      <c r="Q52" s="17"/>
      <c r="R52" s="17"/>
      <c r="S52" s="17"/>
      <c r="U52" s="17"/>
    </row>
    <row r="53" spans="4:21" x14ac:dyDescent="0.35">
      <c r="D53" s="17"/>
      <c r="E53" s="17"/>
      <c r="G53" s="17"/>
      <c r="H53" s="17"/>
      <c r="L53" s="17"/>
      <c r="M53" s="17"/>
      <c r="N53" s="17"/>
      <c r="O53" s="17"/>
      <c r="Q53" s="17"/>
      <c r="R53" s="17"/>
      <c r="S53" s="17"/>
      <c r="U53" s="17"/>
    </row>
    <row r="54" spans="4:21" x14ac:dyDescent="0.35">
      <c r="D54" s="17"/>
      <c r="E54" s="17"/>
      <c r="G54" s="17"/>
      <c r="H54" s="17"/>
      <c r="L54" s="17"/>
      <c r="M54" s="17"/>
      <c r="N54" s="17"/>
      <c r="O54" s="17"/>
      <c r="Q54" s="17"/>
      <c r="R54" s="17"/>
      <c r="S54" s="17"/>
      <c r="U54" s="17"/>
    </row>
    <row r="55" spans="4:21" x14ac:dyDescent="0.35">
      <c r="D55" s="17"/>
      <c r="E55" s="17"/>
      <c r="G55" s="17"/>
      <c r="H55" s="17"/>
      <c r="L55" s="17"/>
      <c r="M55" s="17"/>
      <c r="N55" s="17"/>
      <c r="O55" s="17"/>
      <c r="Q55" s="17"/>
      <c r="R55" s="17"/>
      <c r="S55" s="17"/>
      <c r="U55" s="17"/>
    </row>
    <row r="56" spans="4:21" x14ac:dyDescent="0.35">
      <c r="D56" s="17"/>
      <c r="E56" s="17"/>
      <c r="G56" s="17"/>
      <c r="H56" s="17"/>
      <c r="L56" s="17"/>
      <c r="M56" s="17"/>
      <c r="N56" s="17"/>
      <c r="O56" s="17"/>
      <c r="Q56" s="17"/>
      <c r="R56" s="17"/>
      <c r="S56" s="17"/>
      <c r="U56" s="17"/>
    </row>
    <row r="57" spans="4:21" x14ac:dyDescent="0.35">
      <c r="D57" s="17"/>
      <c r="E57" s="17"/>
      <c r="G57" s="17"/>
      <c r="H57" s="17"/>
      <c r="L57" s="17"/>
      <c r="M57" s="17"/>
      <c r="N57" s="17"/>
      <c r="O57" s="17"/>
      <c r="Q57" s="17"/>
      <c r="R57" s="17"/>
      <c r="S57" s="17"/>
      <c r="U57" s="17"/>
    </row>
    <row r="58" spans="4:21" x14ac:dyDescent="0.35">
      <c r="D58" s="17"/>
      <c r="E58" s="17"/>
      <c r="G58" s="17"/>
      <c r="H58" s="17"/>
      <c r="L58" s="17"/>
      <c r="M58" s="17"/>
      <c r="N58" s="17"/>
      <c r="O58" s="17"/>
      <c r="Q58" s="17"/>
      <c r="R58" s="17"/>
      <c r="S58" s="17"/>
      <c r="U58" s="17"/>
    </row>
    <row r="59" spans="4:21" x14ac:dyDescent="0.35">
      <c r="D59" s="17"/>
      <c r="E59" s="17"/>
      <c r="G59" s="17"/>
      <c r="H59" s="17"/>
      <c r="L59" s="17"/>
      <c r="M59" s="17"/>
      <c r="N59" s="17"/>
      <c r="O59" s="17"/>
      <c r="Q59" s="17"/>
      <c r="R59" s="17"/>
      <c r="S59" s="17"/>
      <c r="U59" s="17"/>
    </row>
    <row r="60" spans="4:21" x14ac:dyDescent="0.35">
      <c r="D60" s="17"/>
      <c r="E60" s="17"/>
      <c r="G60" s="17"/>
      <c r="H60" s="17"/>
      <c r="L60" s="17"/>
      <c r="M60" s="17"/>
      <c r="N60" s="17"/>
      <c r="O60" s="17"/>
      <c r="Q60" s="17"/>
      <c r="R60" s="17"/>
      <c r="S60" s="17"/>
      <c r="U60" s="17"/>
    </row>
    <row r="61" spans="4:21" x14ac:dyDescent="0.35">
      <c r="D61" s="17"/>
      <c r="E61" s="17"/>
      <c r="G61" s="17"/>
      <c r="H61" s="17"/>
      <c r="L61" s="17"/>
      <c r="M61" s="17"/>
      <c r="N61" s="17"/>
      <c r="O61" s="17"/>
      <c r="Q61" s="17"/>
      <c r="R61" s="17"/>
      <c r="S61" s="17"/>
      <c r="U61" s="17"/>
    </row>
    <row r="62" spans="4:21" x14ac:dyDescent="0.35">
      <c r="D62" s="17"/>
      <c r="E62" s="17"/>
      <c r="G62" s="17"/>
      <c r="H62" s="17"/>
      <c r="L62" s="17"/>
      <c r="M62" s="17"/>
      <c r="N62" s="17"/>
      <c r="O62" s="17"/>
      <c r="Q62" s="17"/>
      <c r="R62" s="17"/>
      <c r="S62" s="17"/>
      <c r="U62" s="17"/>
    </row>
    <row r="63" spans="4:21" x14ac:dyDescent="0.35">
      <c r="D63" s="17"/>
      <c r="E63" s="17"/>
      <c r="G63" s="17"/>
      <c r="H63" s="17"/>
      <c r="L63" s="17"/>
      <c r="M63" s="17"/>
      <c r="N63" s="17"/>
      <c r="O63" s="17"/>
      <c r="Q63" s="17"/>
      <c r="R63" s="17"/>
      <c r="S63" s="17"/>
      <c r="U63" s="17"/>
    </row>
    <row r="64" spans="4:21" x14ac:dyDescent="0.35">
      <c r="D64" s="17"/>
      <c r="E64" s="17"/>
      <c r="G64" s="17"/>
      <c r="H64" s="17"/>
      <c r="L64" s="17"/>
      <c r="M64" s="17"/>
      <c r="N64" s="17"/>
      <c r="O64" s="17"/>
      <c r="Q64" s="17"/>
      <c r="R64" s="17"/>
      <c r="S64" s="17"/>
      <c r="U64" s="17"/>
    </row>
    <row r="65" spans="4:21" x14ac:dyDescent="0.35">
      <c r="D65" s="17"/>
      <c r="E65" s="17"/>
      <c r="G65" s="17"/>
      <c r="H65" s="17"/>
      <c r="L65" s="17"/>
      <c r="M65" s="17"/>
      <c r="N65" s="17"/>
      <c r="O65" s="17"/>
      <c r="Q65" s="17"/>
      <c r="R65" s="17"/>
      <c r="S65" s="17"/>
      <c r="U65" s="17"/>
    </row>
    <row r="66" spans="4:21" x14ac:dyDescent="0.35">
      <c r="D66" s="17"/>
      <c r="E66" s="17"/>
      <c r="G66" s="17"/>
      <c r="H66" s="17"/>
      <c r="L66" s="17"/>
      <c r="M66" s="17"/>
      <c r="N66" s="17"/>
      <c r="O66" s="17"/>
      <c r="Q66" s="17"/>
      <c r="R66" s="17"/>
      <c r="S66" s="17"/>
      <c r="U66" s="17"/>
    </row>
    <row r="67" spans="4:21" x14ac:dyDescent="0.35">
      <c r="D67" s="17"/>
      <c r="E67" s="17"/>
      <c r="G67" s="17"/>
      <c r="H67" s="17"/>
      <c r="L67" s="17"/>
      <c r="M67" s="17"/>
      <c r="N67" s="17"/>
      <c r="O67" s="17"/>
      <c r="Q67" s="17"/>
      <c r="R67" s="17"/>
      <c r="S67" s="17"/>
      <c r="U67" s="17"/>
    </row>
    <row r="68" spans="4:21" x14ac:dyDescent="0.35">
      <c r="D68" s="17"/>
      <c r="E68" s="17"/>
      <c r="G68" s="17"/>
      <c r="H68" s="17"/>
      <c r="L68" s="17"/>
      <c r="M68" s="17"/>
      <c r="N68" s="17"/>
      <c r="O68" s="17"/>
      <c r="Q68" s="17"/>
      <c r="R68" s="17"/>
      <c r="S68" s="17"/>
      <c r="U68" s="17"/>
    </row>
    <row r="69" spans="4:21" x14ac:dyDescent="0.35">
      <c r="D69" s="17"/>
      <c r="E69" s="17"/>
      <c r="G69" s="17"/>
      <c r="H69" s="17"/>
      <c r="L69" s="17"/>
      <c r="M69" s="17"/>
      <c r="N69" s="17"/>
      <c r="O69" s="17"/>
      <c r="Q69" s="17"/>
      <c r="R69" s="17"/>
      <c r="S69" s="17"/>
      <c r="U69" s="17"/>
    </row>
    <row r="70" spans="4:21" x14ac:dyDescent="0.35">
      <c r="D70" s="17"/>
      <c r="E70" s="17"/>
      <c r="G70" s="17"/>
      <c r="H70" s="17"/>
      <c r="L70" s="17"/>
      <c r="M70" s="17"/>
      <c r="N70" s="17"/>
      <c r="O70" s="17"/>
      <c r="Q70" s="17"/>
      <c r="R70" s="17"/>
      <c r="S70" s="17"/>
      <c r="U70" s="17"/>
    </row>
    <row r="71" spans="4:21" x14ac:dyDescent="0.35">
      <c r="D71" s="17"/>
      <c r="E71" s="17"/>
      <c r="G71" s="17"/>
      <c r="H71" s="17"/>
      <c r="L71" s="17"/>
      <c r="M71" s="17"/>
      <c r="N71" s="17"/>
      <c r="O71" s="17"/>
      <c r="Q71" s="17"/>
      <c r="R71" s="17"/>
      <c r="S71" s="17"/>
      <c r="U71" s="17"/>
    </row>
    <row r="72" spans="4:21" x14ac:dyDescent="0.35">
      <c r="D72" s="17"/>
      <c r="E72" s="17"/>
      <c r="G72" s="17"/>
      <c r="H72" s="17"/>
      <c r="L72" s="17"/>
      <c r="M72" s="17"/>
      <c r="N72" s="17"/>
      <c r="O72" s="17"/>
      <c r="Q72" s="17"/>
      <c r="R72" s="17"/>
      <c r="S72" s="17"/>
      <c r="U72" s="17"/>
    </row>
    <row r="73" spans="4:21" x14ac:dyDescent="0.35">
      <c r="D73" s="17"/>
      <c r="E73" s="17"/>
      <c r="G73" s="17"/>
      <c r="H73" s="17"/>
      <c r="L73" s="17"/>
      <c r="M73" s="17"/>
      <c r="N73" s="17"/>
      <c r="O73" s="17"/>
      <c r="Q73" s="17"/>
      <c r="R73" s="17"/>
      <c r="S73" s="17"/>
      <c r="U73" s="17"/>
    </row>
    <row r="74" spans="4:21" x14ac:dyDescent="0.35">
      <c r="D74" s="17"/>
      <c r="E74" s="17"/>
      <c r="G74" s="17"/>
      <c r="H74" s="17"/>
      <c r="L74" s="17"/>
      <c r="M74" s="17"/>
      <c r="N74" s="17"/>
      <c r="O74" s="17"/>
      <c r="Q74" s="17"/>
      <c r="R74" s="17"/>
      <c r="S74" s="17"/>
      <c r="U74" s="17"/>
    </row>
    <row r="75" spans="4:21" x14ac:dyDescent="0.35">
      <c r="D75" s="17"/>
      <c r="E75" s="17"/>
      <c r="G75" s="17"/>
      <c r="H75" s="17"/>
      <c r="L75" s="17"/>
      <c r="M75" s="17"/>
      <c r="N75" s="17"/>
      <c r="O75" s="17"/>
      <c r="Q75" s="17"/>
      <c r="R75" s="17"/>
      <c r="S75" s="17"/>
      <c r="U75" s="17"/>
    </row>
    <row r="76" spans="4:21" x14ac:dyDescent="0.35">
      <c r="D76" s="17"/>
      <c r="E76" s="17"/>
      <c r="G76" s="17"/>
      <c r="H76" s="17"/>
      <c r="L76" s="17"/>
      <c r="M76" s="17"/>
      <c r="N76" s="17"/>
      <c r="O76" s="17"/>
      <c r="Q76" s="17"/>
      <c r="R76" s="17"/>
      <c r="S76" s="17"/>
      <c r="U76" s="17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C5"/>
  <sheetViews>
    <sheetView showGridLines="0" zoomScale="85" zoomScaleNormal="85" workbookViewId="0"/>
  </sheetViews>
  <sheetFormatPr defaultColWidth="11.453125" defaultRowHeight="14.5" x14ac:dyDescent="0.35"/>
  <cols>
    <col min="1" max="2" width="11.26953125" bestFit="1" customWidth="1"/>
    <col min="3" max="3" width="18.81640625" bestFit="1" customWidth="1"/>
    <col min="5" max="5" width="14.453125" bestFit="1" customWidth="1"/>
    <col min="6" max="6" width="9.26953125" bestFit="1" customWidth="1"/>
  </cols>
  <sheetData>
    <row r="1" spans="1:3" x14ac:dyDescent="0.35">
      <c r="A1" t="s">
        <v>48</v>
      </c>
      <c r="B1" t="s">
        <v>47</v>
      </c>
      <c r="C1" t="s">
        <v>7</v>
      </c>
    </row>
    <row r="2" spans="1:3" x14ac:dyDescent="0.35">
      <c r="C2" t="s">
        <v>46</v>
      </c>
    </row>
    <row r="3" spans="1:3" x14ac:dyDescent="0.35">
      <c r="A3" t="s">
        <v>36</v>
      </c>
      <c r="B3" t="s">
        <v>45</v>
      </c>
      <c r="C3" t="s">
        <v>44</v>
      </c>
    </row>
    <row r="4" spans="1:3" x14ac:dyDescent="0.35">
      <c r="A4" t="s">
        <v>43</v>
      </c>
      <c r="B4" t="s">
        <v>42</v>
      </c>
      <c r="C4" t="s">
        <v>41</v>
      </c>
    </row>
    <row r="5" spans="1:3" x14ac:dyDescent="0.35">
      <c r="A5" t="s">
        <v>35</v>
      </c>
      <c r="B5" t="s">
        <v>40</v>
      </c>
      <c r="C5" t="s">
        <v>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G5"/>
  <sheetViews>
    <sheetView showGridLines="0" zoomScale="85" zoomScaleNormal="85" workbookViewId="0">
      <selection activeCell="C5" sqref="C5"/>
    </sheetView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7" ht="23.5" x14ac:dyDescent="0.55000000000000004">
      <c r="A1" s="14" t="s">
        <v>6</v>
      </c>
    </row>
    <row r="4" spans="1:7" x14ac:dyDescent="0.35">
      <c r="A4" s="24" t="s">
        <v>8</v>
      </c>
      <c r="B4" s="25" t="s">
        <v>11</v>
      </c>
      <c r="C4" s="26" t="s">
        <v>9</v>
      </c>
      <c r="E4" s="13"/>
      <c r="F4" s="15"/>
      <c r="G4" s="13"/>
    </row>
    <row r="5" spans="1:7" x14ac:dyDescent="0.35">
      <c r="A5" t="s">
        <v>5</v>
      </c>
      <c r="B5" s="12" t="s">
        <v>89</v>
      </c>
      <c r="C5" t="str">
        <f t="shared" ref="C5" si="0">B5</f>
        <v>Default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9"/>
  <sheetViews>
    <sheetView showGridLines="0" zoomScale="85" zoomScaleNormal="85" workbookViewId="0">
      <selection activeCell="A9" sqref="A9"/>
    </sheetView>
  </sheetViews>
  <sheetFormatPr defaultColWidth="11.453125" defaultRowHeight="14.5" x14ac:dyDescent="0.35"/>
  <cols>
    <col min="1" max="1" width="13.1796875" bestFit="1" customWidth="1"/>
    <col min="2" max="2" width="42.1796875" bestFit="1" customWidth="1"/>
  </cols>
  <sheetData>
    <row r="1" spans="1:2" ht="23.5" x14ac:dyDescent="0.55000000000000004">
      <c r="A1" s="14" t="s">
        <v>50</v>
      </c>
    </row>
    <row r="4" spans="1:2" x14ac:dyDescent="0.35">
      <c r="A4" t="s">
        <v>2</v>
      </c>
      <c r="B4" s="29">
        <v>26</v>
      </c>
    </row>
    <row r="5" spans="1:2" x14ac:dyDescent="0.35">
      <c r="A5" t="s">
        <v>1</v>
      </c>
      <c r="B5" s="29" t="s">
        <v>208</v>
      </c>
    </row>
    <row r="6" spans="1:2" x14ac:dyDescent="0.35">
      <c r="A6" t="s">
        <v>12</v>
      </c>
      <c r="B6" s="29" t="s">
        <v>197</v>
      </c>
    </row>
    <row r="7" spans="1:2" x14ac:dyDescent="0.35">
      <c r="A7" t="s">
        <v>13</v>
      </c>
      <c r="B7" s="29" t="s">
        <v>95</v>
      </c>
    </row>
    <row r="8" spans="1:2" x14ac:dyDescent="0.35">
      <c r="A8" t="s">
        <v>53</v>
      </c>
      <c r="B8" s="29" t="s">
        <v>208</v>
      </c>
    </row>
    <row r="9" spans="1:2" x14ac:dyDescent="0.35">
      <c r="B9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69"/>
  <sheetViews>
    <sheetView showGridLines="0" showRowColHeaders="0" zoomScale="85" zoomScaleNormal="85" workbookViewId="0">
      <selection activeCell="C3" sqref="C3"/>
    </sheetView>
  </sheetViews>
  <sheetFormatPr defaultColWidth="11" defaultRowHeight="15.5" x14ac:dyDescent="0.35"/>
  <cols>
    <col min="1" max="1" width="4.453125" style="8" customWidth="1"/>
    <col min="2" max="3" width="11" style="10"/>
    <col min="4" max="16384" width="11" style="8"/>
  </cols>
  <sheetData>
    <row r="2" spans="2:11" ht="17.5" x14ac:dyDescent="0.35">
      <c r="K2" s="9"/>
    </row>
    <row r="5" spans="2:11" x14ac:dyDescent="0.35">
      <c r="E5" s="10" t="s">
        <v>97</v>
      </c>
    </row>
    <row r="9" spans="2:11" ht="21" x14ac:dyDescent="0.5">
      <c r="B9" s="11" t="s">
        <v>98</v>
      </c>
      <c r="J9" s="19"/>
      <c r="K9" s="19" t="s">
        <v>99</v>
      </c>
    </row>
    <row r="10" spans="2:11" x14ac:dyDescent="0.35">
      <c r="B10" s="71" t="s">
        <v>213</v>
      </c>
    </row>
    <row r="11" spans="2:11" x14ac:dyDescent="0.35">
      <c r="B11" s="71" t="s">
        <v>214</v>
      </c>
    </row>
    <row r="12" spans="2:11" x14ac:dyDescent="0.35">
      <c r="B12" s="27" t="s">
        <v>215</v>
      </c>
    </row>
    <row r="13" spans="2:11" x14ac:dyDescent="0.35">
      <c r="B13" s="27" t="s">
        <v>216</v>
      </c>
    </row>
    <row r="14" spans="2:11" x14ac:dyDescent="0.35">
      <c r="B14" s="27" t="s">
        <v>217</v>
      </c>
    </row>
    <row r="15" spans="2:11" x14ac:dyDescent="0.35">
      <c r="B15" s="27" t="s">
        <v>218</v>
      </c>
    </row>
    <row r="18" spans="2:2" x14ac:dyDescent="0.35">
      <c r="B18" s="72" t="s">
        <v>219</v>
      </c>
    </row>
    <row r="19" spans="2:2" x14ac:dyDescent="0.35">
      <c r="B19" s="27" t="s">
        <v>220</v>
      </c>
    </row>
    <row r="20" spans="2:2" x14ac:dyDescent="0.35">
      <c r="B20" s="27" t="s">
        <v>221</v>
      </c>
    </row>
    <row r="21" spans="2:2" x14ac:dyDescent="0.35">
      <c r="B21" s="27" t="s">
        <v>222</v>
      </c>
    </row>
    <row r="22" spans="2:2" x14ac:dyDescent="0.35">
      <c r="B22" s="27" t="s">
        <v>223</v>
      </c>
    </row>
    <row r="24" spans="2:2" x14ac:dyDescent="0.35">
      <c r="B24" s="27"/>
    </row>
    <row r="25" spans="2:2" x14ac:dyDescent="0.35">
      <c r="B25" s="30"/>
    </row>
    <row r="36" spans="2:2" x14ac:dyDescent="0.35">
      <c r="B36" s="74" t="s">
        <v>226</v>
      </c>
    </row>
    <row r="53" spans="2:2" x14ac:dyDescent="0.35">
      <c r="B53" s="73" t="s">
        <v>224</v>
      </c>
    </row>
    <row r="69" spans="2:2" x14ac:dyDescent="0.35">
      <c r="B69" s="73" t="s">
        <v>225</v>
      </c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>
    <tabColor rgb="FFC00000"/>
    <pageSetUpPr fitToPage="1"/>
  </sheetPr>
  <dimension ref="A1:K43"/>
  <sheetViews>
    <sheetView showGridLines="0" zoomScale="85" workbookViewId="0">
      <pane xSplit="2" ySplit="16" topLeftCell="C17" activePane="bottomRight" state="frozen"/>
      <selection activeCell="C17" sqref="C17"/>
      <selection pane="topRight" activeCell="C17" sqref="C17"/>
      <selection pane="bottomLeft" activeCell="C17" sqref="C17"/>
      <selection pane="bottomRight" activeCell="C17" sqref="C17"/>
    </sheetView>
  </sheetViews>
  <sheetFormatPr defaultColWidth="11.453125" defaultRowHeight="12.5" x14ac:dyDescent="0.25"/>
  <cols>
    <col min="1" max="1" width="19.81640625" style="31" customWidth="1"/>
    <col min="2" max="2" width="14.453125" style="31" customWidth="1"/>
    <col min="3" max="3" width="12.453125" style="31" customWidth="1"/>
    <col min="4" max="4" width="11.26953125" style="31" customWidth="1"/>
    <col min="5" max="5" width="12.1796875" style="31" customWidth="1"/>
    <col min="6" max="6" width="10.7265625" style="31" customWidth="1"/>
    <col min="7" max="7" width="9.7265625" style="31" customWidth="1"/>
    <col min="8" max="8" width="10.453125" style="31" customWidth="1"/>
    <col min="9" max="9" width="8.453125" style="31" customWidth="1"/>
    <col min="10" max="11" width="9.1796875" style="31" customWidth="1"/>
    <col min="12" max="244" width="11.453125" style="31" customWidth="1"/>
    <col min="245" max="16384" width="11.453125" style="31"/>
  </cols>
  <sheetData>
    <row r="1" spans="1:11" ht="20" x14ac:dyDescent="0.4">
      <c r="A1" s="32"/>
    </row>
    <row r="3" spans="1:11" x14ac:dyDescent="0.25">
      <c r="A3" s="31">
        <f>Updated</f>
        <v>0</v>
      </c>
    </row>
    <row r="4" spans="1:11" ht="14.5" x14ac:dyDescent="0.35">
      <c r="A4"/>
      <c r="B4"/>
    </row>
    <row r="5" spans="1:11" ht="14.5" x14ac:dyDescent="0.35">
      <c r="A5"/>
      <c r="B5"/>
    </row>
    <row r="6" spans="1:11" ht="14.5" x14ac:dyDescent="0.35">
      <c r="A6" s="3" t="s">
        <v>38</v>
      </c>
      <c r="B6" s="1" t="s">
        <v>88</v>
      </c>
    </row>
    <row r="7" spans="1:11" ht="14.5" x14ac:dyDescent="0.35">
      <c r="A7" s="3" t="s">
        <v>210</v>
      </c>
      <c r="B7" s="1" t="s">
        <v>88</v>
      </c>
    </row>
    <row r="8" spans="1:11" ht="14.5" x14ac:dyDescent="0.35">
      <c r="A8" s="3" t="s">
        <v>108</v>
      </c>
      <c r="B8" s="1" t="s">
        <v>88</v>
      </c>
    </row>
    <row r="9" spans="1:11" ht="14.5" x14ac:dyDescent="0.35">
      <c r="A9" s="3" t="s">
        <v>166</v>
      </c>
      <c r="B9" s="1" t="s">
        <v>88</v>
      </c>
    </row>
    <row r="10" spans="1:11" ht="14.5" x14ac:dyDescent="0.35">
      <c r="A10" s="3" t="s">
        <v>104</v>
      </c>
      <c r="B10" s="1" t="s">
        <v>212</v>
      </c>
    </row>
    <row r="11" spans="1:11" ht="14.5" x14ac:dyDescent="0.35">
      <c r="A11" s="3" t="s">
        <v>103</v>
      </c>
      <c r="B11" s="1" t="s">
        <v>88</v>
      </c>
    </row>
    <row r="12" spans="1:11" ht="14.5" x14ac:dyDescent="0.35">
      <c r="A12" s="3" t="s">
        <v>162</v>
      </c>
      <c r="B12" s="1" t="s">
        <v>88</v>
      </c>
    </row>
    <row r="13" spans="1:11" ht="14.5" x14ac:dyDescent="0.35">
      <c r="A13" s="3" t="s">
        <v>115</v>
      </c>
      <c r="B13" s="1" t="s">
        <v>88</v>
      </c>
    </row>
    <row r="14" spans="1:11" ht="14.5" x14ac:dyDescent="0.35">
      <c r="A14" s="3" t="s">
        <v>119</v>
      </c>
      <c r="B14" s="1" t="s">
        <v>88</v>
      </c>
    </row>
    <row r="16" spans="1:11" ht="14.5" x14ac:dyDescent="0.35">
      <c r="A16" s="4" t="s">
        <v>207</v>
      </c>
      <c r="B16" s="4" t="s">
        <v>209</v>
      </c>
      <c r="C16" s="5" t="s">
        <v>198</v>
      </c>
      <c r="D16" s="6" t="s">
        <v>199</v>
      </c>
      <c r="E16" s="6" t="s">
        <v>200</v>
      </c>
      <c r="F16" s="6" t="s">
        <v>201</v>
      </c>
      <c r="G16" s="6" t="s">
        <v>202</v>
      </c>
      <c r="H16" s="6" t="s">
        <v>203</v>
      </c>
      <c r="I16" s="6" t="s">
        <v>204</v>
      </c>
      <c r="J16" s="20" t="s">
        <v>205</v>
      </c>
      <c r="K16"/>
    </row>
    <row r="17" spans="1:11" ht="14.5" x14ac:dyDescent="0.35">
      <c r="A17" s="68">
        <v>41275</v>
      </c>
      <c r="B17" s="2" t="s">
        <v>186</v>
      </c>
      <c r="C17" s="48">
        <v>0</v>
      </c>
      <c r="D17" s="51">
        <v>0</v>
      </c>
      <c r="E17" s="51">
        <v>0</v>
      </c>
      <c r="F17" s="51">
        <v>0</v>
      </c>
      <c r="G17" s="51">
        <v>0</v>
      </c>
      <c r="H17" s="51">
        <v>0</v>
      </c>
      <c r="I17" s="53"/>
      <c r="J17" s="56"/>
      <c r="K17"/>
    </row>
    <row r="18" spans="1:11" ht="14.5" x14ac:dyDescent="0.35">
      <c r="A18" s="70"/>
      <c r="B18" s="21"/>
      <c r="C18" s="50"/>
      <c r="D18" s="52"/>
      <c r="E18" s="52"/>
      <c r="F18" s="52"/>
      <c r="G18" s="52"/>
      <c r="H18" s="52"/>
      <c r="I18" s="55"/>
      <c r="J18" s="58"/>
      <c r="K18"/>
    </row>
    <row r="19" spans="1:11" ht="15" thickBot="1" x14ac:dyDescent="0.4">
      <c r="A19" s="69" t="s">
        <v>87</v>
      </c>
      <c r="B19" s="22"/>
      <c r="C19" s="49">
        <v>0</v>
      </c>
      <c r="D19" s="49">
        <v>0</v>
      </c>
      <c r="E19" s="49">
        <v>0</v>
      </c>
      <c r="F19" s="49">
        <v>0</v>
      </c>
      <c r="G19" s="49">
        <v>0</v>
      </c>
      <c r="H19" s="49">
        <v>0</v>
      </c>
      <c r="I19" s="54"/>
      <c r="J19" s="57"/>
      <c r="K19"/>
    </row>
    <row r="20" spans="1:11" ht="15" thickTop="1" x14ac:dyDescent="0.35">
      <c r="A20"/>
      <c r="B20"/>
      <c r="C20"/>
      <c r="D20"/>
      <c r="E20"/>
      <c r="F20"/>
      <c r="G20"/>
      <c r="H20"/>
      <c r="I20"/>
      <c r="J20"/>
    </row>
    <row r="21" spans="1:11" ht="15" thickTop="1" x14ac:dyDescent="0.35">
      <c r="A21"/>
      <c r="B21"/>
      <c r="C21"/>
      <c r="D21"/>
      <c r="E21"/>
      <c r="F21"/>
      <c r="G21"/>
      <c r="H21"/>
      <c r="I21"/>
      <c r="J21"/>
    </row>
    <row r="22" spans="1:11" ht="15" thickTop="1" x14ac:dyDescent="0.35">
      <c r="A22"/>
      <c r="B22"/>
      <c r="C22"/>
      <c r="D22"/>
      <c r="E22"/>
      <c r="F22"/>
      <c r="G22"/>
      <c r="H22"/>
      <c r="I22"/>
      <c r="J22"/>
    </row>
    <row r="23" spans="1:11" ht="15" thickBot="1" x14ac:dyDescent="0.4">
      <c r="A23"/>
      <c r="B23"/>
      <c r="C23"/>
      <c r="D23"/>
      <c r="E23"/>
      <c r="F23"/>
      <c r="G23"/>
      <c r="H23"/>
      <c r="I23"/>
      <c r="J23"/>
    </row>
    <row r="24" spans="1:11" ht="15" thickTop="1" x14ac:dyDescent="0.35">
      <c r="A24"/>
      <c r="B24"/>
      <c r="C24"/>
      <c r="D24"/>
      <c r="E24"/>
      <c r="F24"/>
      <c r="G24"/>
      <c r="H24"/>
      <c r="I24"/>
      <c r="J24"/>
    </row>
    <row r="25" spans="1:11" ht="14.5" x14ac:dyDescent="0.35">
      <c r="A25"/>
      <c r="B25"/>
      <c r="C25"/>
      <c r="D25"/>
      <c r="E25"/>
      <c r="F25"/>
      <c r="G25"/>
      <c r="H25"/>
      <c r="I25"/>
      <c r="J25"/>
    </row>
    <row r="26" spans="1:11" ht="14.5" x14ac:dyDescent="0.35">
      <c r="A26"/>
      <c r="B26"/>
      <c r="C26"/>
      <c r="D26"/>
      <c r="E26"/>
      <c r="F26"/>
      <c r="G26"/>
      <c r="H26"/>
      <c r="I26"/>
      <c r="J26"/>
    </row>
    <row r="27" spans="1:11" ht="14.5" x14ac:dyDescent="0.35">
      <c r="A27"/>
      <c r="B27"/>
      <c r="C27"/>
      <c r="D27"/>
      <c r="E27"/>
      <c r="F27"/>
      <c r="G27"/>
      <c r="H27"/>
      <c r="I27"/>
      <c r="J27"/>
    </row>
    <row r="28" spans="1:11" ht="14.5" x14ac:dyDescent="0.35">
      <c r="A28"/>
      <c r="B28"/>
      <c r="C28"/>
      <c r="D28"/>
      <c r="E28"/>
      <c r="F28"/>
      <c r="G28"/>
      <c r="H28"/>
      <c r="I28"/>
      <c r="J28"/>
    </row>
    <row r="29" spans="1:11" ht="15" thickBot="1" x14ac:dyDescent="0.4">
      <c r="A29"/>
      <c r="B29"/>
      <c r="C29"/>
      <c r="D29"/>
      <c r="E29"/>
      <c r="F29"/>
      <c r="G29"/>
      <c r="H29"/>
      <c r="I29"/>
      <c r="J29"/>
    </row>
    <row r="30" spans="1:11" ht="15" thickTop="1" x14ac:dyDescent="0.35">
      <c r="A30"/>
      <c r="B30"/>
      <c r="C30"/>
      <c r="D30"/>
      <c r="E30"/>
      <c r="F30"/>
      <c r="G30"/>
      <c r="H30"/>
      <c r="I30"/>
      <c r="J30"/>
    </row>
    <row r="31" spans="1:11" ht="14.5" x14ac:dyDescent="0.35">
      <c r="A31"/>
      <c r="B31"/>
      <c r="C31"/>
      <c r="D31"/>
      <c r="E31"/>
      <c r="F31"/>
      <c r="G31"/>
      <c r="H31"/>
      <c r="I31"/>
      <c r="J31"/>
    </row>
    <row r="32" spans="1:11" ht="14.5" x14ac:dyDescent="0.35">
      <c r="A32"/>
      <c r="B32"/>
      <c r="C32"/>
      <c r="D32"/>
      <c r="E32"/>
      <c r="F32"/>
      <c r="G32"/>
      <c r="H32"/>
      <c r="I32"/>
      <c r="J32"/>
    </row>
    <row r="33" spans="1:10" ht="14.5" x14ac:dyDescent="0.35">
      <c r="A33"/>
      <c r="B33"/>
      <c r="C33"/>
      <c r="D33"/>
      <c r="E33"/>
      <c r="F33"/>
      <c r="G33"/>
      <c r="H33"/>
      <c r="I33"/>
      <c r="J33"/>
    </row>
    <row r="34" spans="1:10" ht="14.5" x14ac:dyDescent="0.35">
      <c r="A34"/>
      <c r="B34"/>
      <c r="C34"/>
      <c r="D34"/>
      <c r="E34"/>
      <c r="F34"/>
      <c r="G34"/>
      <c r="H34"/>
      <c r="I34"/>
      <c r="J34"/>
    </row>
    <row r="35" spans="1:10" ht="15" thickBot="1" x14ac:dyDescent="0.4">
      <c r="A35"/>
      <c r="B35"/>
      <c r="C35"/>
      <c r="D35"/>
      <c r="E35"/>
      <c r="F35"/>
      <c r="G35"/>
      <c r="H35"/>
      <c r="I35"/>
      <c r="J35"/>
    </row>
    <row r="36" spans="1:10" ht="15" thickTop="1" x14ac:dyDescent="0.35">
      <c r="A36"/>
      <c r="B36"/>
      <c r="C36"/>
      <c r="D36"/>
      <c r="E36"/>
      <c r="F36"/>
      <c r="G36"/>
      <c r="H36"/>
      <c r="I36"/>
      <c r="J36"/>
    </row>
    <row r="37" spans="1:10" ht="14.5" x14ac:dyDescent="0.35">
      <c r="A37"/>
      <c r="B37"/>
      <c r="C37"/>
      <c r="D37"/>
      <c r="E37"/>
      <c r="F37"/>
      <c r="G37"/>
      <c r="H37"/>
      <c r="I37"/>
      <c r="J37"/>
    </row>
    <row r="38" spans="1:10" ht="14.5" x14ac:dyDescent="0.35">
      <c r="A38"/>
      <c r="B38"/>
      <c r="C38"/>
      <c r="D38"/>
      <c r="E38"/>
      <c r="F38"/>
      <c r="G38"/>
      <c r="H38"/>
      <c r="I38"/>
      <c r="J38"/>
    </row>
    <row r="39" spans="1:10" ht="14.5" x14ac:dyDescent="0.35">
      <c r="A39"/>
      <c r="B39"/>
      <c r="C39"/>
      <c r="D39"/>
      <c r="E39"/>
      <c r="F39"/>
      <c r="G39"/>
      <c r="H39"/>
      <c r="I39"/>
      <c r="J39"/>
    </row>
    <row r="40" spans="1:10" ht="15" thickBot="1" x14ac:dyDescent="0.4">
      <c r="A40"/>
      <c r="B40"/>
      <c r="C40"/>
      <c r="D40"/>
      <c r="E40"/>
      <c r="F40"/>
      <c r="G40"/>
      <c r="H40"/>
      <c r="I40"/>
      <c r="J40"/>
    </row>
    <row r="41" spans="1:10" ht="15" thickTop="1" x14ac:dyDescent="0.35">
      <c r="A41"/>
      <c r="B41"/>
      <c r="C41"/>
      <c r="D41"/>
      <c r="E41"/>
      <c r="F41"/>
      <c r="G41"/>
      <c r="H41"/>
      <c r="I41"/>
      <c r="J41"/>
    </row>
    <row r="42" spans="1:10" ht="15" thickBot="1" x14ac:dyDescent="0.4">
      <c r="A42"/>
      <c r="B42"/>
      <c r="C42"/>
      <c r="D42"/>
      <c r="E42"/>
      <c r="F42"/>
      <c r="G42"/>
      <c r="H42"/>
      <c r="I42"/>
      <c r="J42"/>
    </row>
    <row r="43" spans="1:10" ht="13" thickTop="1" x14ac:dyDescent="0.25"/>
  </sheetData>
  <pageMargins left="0.75" right="0.75" top="1" bottom="1" header="0.5" footer="0.5"/>
  <pageSetup paperSize="9" fitToHeight="0" orientation="landscape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C00000"/>
  </sheetPr>
  <dimension ref="A1:Y256"/>
  <sheetViews>
    <sheetView showGridLines="0" zoomScale="85" workbookViewId="0">
      <pane xSplit="1" ySplit="14" topLeftCell="B15" activePane="bottomRight" state="frozen"/>
      <selection activeCell="C17" sqref="C17"/>
      <selection pane="topRight" activeCell="C17" sqref="C17"/>
      <selection pane="bottomLeft" activeCell="C17" sqref="C17"/>
      <selection pane="bottomRight" activeCell="B15" sqref="B15"/>
    </sheetView>
  </sheetViews>
  <sheetFormatPr defaultColWidth="11.453125" defaultRowHeight="12.5" x14ac:dyDescent="0.25"/>
  <cols>
    <col min="1" max="1" width="41.26953125" style="31" customWidth="1"/>
    <col min="2" max="4" width="14.453125" style="31" customWidth="1"/>
    <col min="5" max="5" width="9.1796875" style="33" customWidth="1"/>
    <col min="6" max="6" width="8.81640625" style="33" customWidth="1"/>
    <col min="7" max="7" width="7.7265625" style="31" customWidth="1"/>
    <col min="8" max="8" width="6.453125" style="31" customWidth="1"/>
    <col min="9" max="9" width="5.7265625" style="31" customWidth="1"/>
    <col min="10" max="10" width="7.81640625" style="31" customWidth="1"/>
    <col min="11" max="12" width="5.7265625" style="31" customWidth="1"/>
    <col min="13" max="13" width="7.81640625" style="31" customWidth="1"/>
    <col min="14" max="15" width="4.1796875" style="31" customWidth="1"/>
    <col min="16" max="16" width="7.81640625" style="31" customWidth="1"/>
    <col min="17" max="18" width="3.1796875" style="31" customWidth="1"/>
    <col min="19" max="19" width="7.81640625" style="31" customWidth="1"/>
    <col min="20" max="21" width="4.1796875" style="31" customWidth="1"/>
    <col min="22" max="22" width="7.81640625" style="31" customWidth="1"/>
    <col min="23" max="24" width="5.7265625" style="31" customWidth="1"/>
    <col min="25" max="25" width="7.81640625" style="31" customWidth="1"/>
    <col min="26" max="28" width="6.453125" style="31" customWidth="1"/>
    <col min="29" max="16384" width="11.453125" style="31"/>
  </cols>
  <sheetData>
    <row r="1" spans="1:25" ht="20" x14ac:dyDescent="0.4">
      <c r="A1" s="32"/>
    </row>
    <row r="3" spans="1:25" x14ac:dyDescent="0.25">
      <c r="A3" s="31">
        <f>Updated</f>
        <v>0</v>
      </c>
    </row>
    <row r="4" spans="1:25" ht="14.5" x14ac:dyDescent="0.35">
      <c r="A4"/>
      <c r="B4"/>
    </row>
    <row r="5" spans="1:25" ht="14.5" x14ac:dyDescent="0.35">
      <c r="A5"/>
      <c r="B5"/>
    </row>
    <row r="6" spans="1:25" ht="14.5" x14ac:dyDescent="0.35">
      <c r="A6" s="3" t="s">
        <v>210</v>
      </c>
      <c r="B6" s="1" t="s">
        <v>88</v>
      </c>
    </row>
    <row r="7" spans="1:25" ht="14.5" x14ac:dyDescent="0.35">
      <c r="A7" s="3" t="s">
        <v>207</v>
      </c>
      <c r="B7" s="1" t="s">
        <v>88</v>
      </c>
      <c r="E7" s="31"/>
      <c r="F7" s="31"/>
    </row>
    <row r="8" spans="1:25" ht="14.5" x14ac:dyDescent="0.35">
      <c r="A8" s="3" t="s">
        <v>104</v>
      </c>
      <c r="B8" s="1" t="s">
        <v>88</v>
      </c>
      <c r="E8" s="31"/>
      <c r="F8" s="31"/>
    </row>
    <row r="9" spans="1:25" ht="14.5" x14ac:dyDescent="0.35">
      <c r="A9" s="3" t="s">
        <v>115</v>
      </c>
      <c r="B9" s="1" t="s">
        <v>88</v>
      </c>
      <c r="E9" s="31"/>
      <c r="F9" s="31"/>
    </row>
    <row r="10" spans="1:25" ht="14.5" x14ac:dyDescent="0.35">
      <c r="A10" s="3" t="s">
        <v>119</v>
      </c>
      <c r="B10" s="1" t="s">
        <v>88</v>
      </c>
      <c r="E10" s="31"/>
      <c r="F10" s="31"/>
    </row>
    <row r="11" spans="1:25" x14ac:dyDescent="0.25">
      <c r="E11" s="31"/>
      <c r="F11" s="31"/>
    </row>
    <row r="12" spans="1:25" ht="14.5" x14ac:dyDescent="0.35">
      <c r="A12" s="35"/>
      <c r="B12" s="35" t="s">
        <v>209</v>
      </c>
      <c r="C12" s="35" t="s">
        <v>94</v>
      </c>
      <c r="D12" s="35"/>
      <c r="E12" s="35"/>
      <c r="F12" s="35"/>
      <c r="G12" s="35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s="46" customFormat="1" ht="14.5" x14ac:dyDescent="0.35">
      <c r="A13" s="35"/>
      <c r="B13" s="36" t="s">
        <v>186</v>
      </c>
      <c r="C13" s="37"/>
      <c r="D13" s="37"/>
      <c r="E13" s="5" t="s">
        <v>93</v>
      </c>
      <c r="F13" s="5" t="s">
        <v>195</v>
      </c>
      <c r="G13" s="38" t="s">
        <v>92</v>
      </c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</row>
    <row r="14" spans="1:25" ht="15" thickBot="1" x14ac:dyDescent="0.4">
      <c r="A14" s="4" t="s">
        <v>166</v>
      </c>
      <c r="B14" s="5" t="s">
        <v>91</v>
      </c>
      <c r="C14" s="6" t="s">
        <v>196</v>
      </c>
      <c r="D14" s="6" t="s">
        <v>90</v>
      </c>
      <c r="E14" s="39"/>
      <c r="F14" s="39"/>
      <c r="G14" s="40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ht="14.5" x14ac:dyDescent="0.35">
      <c r="A15" s="2" t="s">
        <v>194</v>
      </c>
      <c r="B15" s="59">
        <v>0</v>
      </c>
      <c r="C15" s="51">
        <v>0</v>
      </c>
      <c r="D15" s="53"/>
      <c r="E15" s="48">
        <v>0</v>
      </c>
      <c r="F15" s="48">
        <v>0</v>
      </c>
      <c r="G15" s="66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ht="15" thickBot="1" x14ac:dyDescent="0.4">
      <c r="A16" s="7" t="s">
        <v>87</v>
      </c>
      <c r="B16" s="60">
        <v>0</v>
      </c>
      <c r="C16" s="49">
        <v>0</v>
      </c>
      <c r="D16" s="54"/>
      <c r="E16" s="49">
        <v>0</v>
      </c>
      <c r="F16" s="49">
        <v>0</v>
      </c>
      <c r="G16" s="5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ht="15" thickTop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ht="15" thickBot="1" x14ac:dyDescent="0.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ht="15" thickTop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ht="14.5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ht="15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ht="15" thickTop="1" x14ac:dyDescent="0.35">
      <c r="A25"/>
      <c r="B25"/>
      <c r="C25"/>
      <c r="D25"/>
      <c r="E25"/>
      <c r="F25"/>
      <c r="G25"/>
    </row>
    <row r="26" spans="1:25" ht="14.5" x14ac:dyDescent="0.35">
      <c r="A26"/>
      <c r="B26"/>
      <c r="C26"/>
      <c r="D26"/>
      <c r="E26"/>
      <c r="F26"/>
      <c r="G26"/>
    </row>
    <row r="27" spans="1:25" ht="14.5" x14ac:dyDescent="0.35">
      <c r="A27"/>
      <c r="B27"/>
      <c r="C27"/>
      <c r="D27"/>
      <c r="E27"/>
      <c r="F27"/>
      <c r="G27"/>
    </row>
    <row r="28" spans="1:25" ht="14.5" x14ac:dyDescent="0.35">
      <c r="A28"/>
      <c r="B28"/>
      <c r="C28"/>
      <c r="D28"/>
      <c r="E28"/>
      <c r="F28"/>
      <c r="G28"/>
    </row>
    <row r="29" spans="1:25" ht="14.5" x14ac:dyDescent="0.35">
      <c r="A29"/>
      <c r="B29"/>
      <c r="C29"/>
      <c r="D29"/>
      <c r="E29"/>
      <c r="F29"/>
      <c r="G29"/>
    </row>
    <row r="30" spans="1:25" ht="14.5" x14ac:dyDescent="0.35">
      <c r="A30"/>
      <c r="B30"/>
      <c r="C30"/>
      <c r="D30"/>
      <c r="E30"/>
      <c r="F30"/>
      <c r="G30"/>
    </row>
    <row r="31" spans="1:25" ht="14.5" x14ac:dyDescent="0.35">
      <c r="A31"/>
      <c r="B31"/>
      <c r="C31"/>
      <c r="D31"/>
      <c r="E31"/>
      <c r="F31"/>
      <c r="G31"/>
    </row>
    <row r="32" spans="1:25" ht="14.5" x14ac:dyDescent="0.35">
      <c r="A32"/>
      <c r="B32"/>
      <c r="C32"/>
      <c r="D32"/>
      <c r="E32"/>
      <c r="F32"/>
      <c r="G32"/>
    </row>
    <row r="33" spans="1:7" ht="14.5" x14ac:dyDescent="0.35">
      <c r="A33"/>
      <c r="B33"/>
      <c r="C33"/>
      <c r="D33"/>
      <c r="E33"/>
      <c r="F33"/>
      <c r="G33"/>
    </row>
    <row r="34" spans="1:7" ht="14.5" x14ac:dyDescent="0.35">
      <c r="A34"/>
      <c r="B34"/>
      <c r="C34"/>
      <c r="D34"/>
      <c r="E34"/>
      <c r="F34"/>
      <c r="G34"/>
    </row>
    <row r="35" spans="1:7" ht="14.5" x14ac:dyDescent="0.35">
      <c r="A35"/>
      <c r="B35"/>
      <c r="C35"/>
      <c r="D35"/>
      <c r="E35"/>
      <c r="F35"/>
      <c r="G35"/>
    </row>
    <row r="36" spans="1:7" ht="14.5" x14ac:dyDescent="0.35">
      <c r="A36"/>
      <c r="B36"/>
      <c r="C36"/>
      <c r="D36"/>
      <c r="E36"/>
      <c r="F36"/>
      <c r="G36"/>
    </row>
    <row r="37" spans="1:7" ht="15" thickBot="1" x14ac:dyDescent="0.4">
      <c r="A37"/>
      <c r="B37"/>
      <c r="C37"/>
      <c r="D37"/>
      <c r="E37"/>
      <c r="F37"/>
      <c r="G37"/>
    </row>
    <row r="38" spans="1:7" ht="15" thickTop="1" x14ac:dyDescent="0.35">
      <c r="A38"/>
      <c r="B38"/>
      <c r="C38"/>
      <c r="D38"/>
      <c r="E38"/>
      <c r="F38"/>
      <c r="G38"/>
    </row>
    <row r="39" spans="1:7" ht="14.5" x14ac:dyDescent="0.35">
      <c r="A39"/>
      <c r="B39"/>
      <c r="C39"/>
      <c r="D39"/>
      <c r="E39"/>
      <c r="F39"/>
      <c r="G39"/>
    </row>
    <row r="40" spans="1:7" ht="14.5" x14ac:dyDescent="0.35">
      <c r="A40"/>
      <c r="B40"/>
      <c r="C40"/>
      <c r="D40"/>
      <c r="E40"/>
      <c r="F40"/>
      <c r="G40"/>
    </row>
    <row r="41" spans="1:7" ht="14.5" x14ac:dyDescent="0.35">
      <c r="A41"/>
      <c r="B41"/>
      <c r="C41"/>
      <c r="D41"/>
      <c r="E41"/>
      <c r="F41"/>
      <c r="G41"/>
    </row>
    <row r="42" spans="1:7" ht="14.5" x14ac:dyDescent="0.35">
      <c r="A42"/>
      <c r="B42"/>
      <c r="C42"/>
      <c r="D42"/>
      <c r="E42"/>
      <c r="F42"/>
      <c r="G42"/>
    </row>
    <row r="43" spans="1:7" ht="14.5" x14ac:dyDescent="0.35">
      <c r="A43"/>
      <c r="B43"/>
      <c r="C43"/>
      <c r="D43"/>
      <c r="E43"/>
      <c r="F43"/>
      <c r="G43"/>
    </row>
    <row r="44" spans="1:7" ht="14.5" x14ac:dyDescent="0.35">
      <c r="A44"/>
      <c r="B44"/>
      <c r="C44"/>
      <c r="D44"/>
      <c r="E44"/>
      <c r="F44"/>
      <c r="G44"/>
    </row>
    <row r="45" spans="1:7" ht="14.5" x14ac:dyDescent="0.35">
      <c r="A45"/>
      <c r="B45"/>
      <c r="C45"/>
      <c r="D45"/>
      <c r="E45"/>
      <c r="F45"/>
      <c r="G45"/>
    </row>
    <row r="46" spans="1:7" ht="14.5" x14ac:dyDescent="0.35">
      <c r="A46"/>
      <c r="B46"/>
      <c r="C46"/>
      <c r="D46"/>
      <c r="E46"/>
      <c r="F46"/>
      <c r="G46"/>
    </row>
    <row r="47" spans="1:7" ht="14.5" x14ac:dyDescent="0.35">
      <c r="A47"/>
      <c r="B47"/>
      <c r="C47"/>
      <c r="D47"/>
      <c r="E47"/>
      <c r="F47"/>
      <c r="G47"/>
    </row>
    <row r="48" spans="1:7" ht="14.5" x14ac:dyDescent="0.35">
      <c r="A48"/>
      <c r="B48"/>
      <c r="C48"/>
      <c r="D48"/>
      <c r="E48"/>
      <c r="F48"/>
      <c r="G48"/>
    </row>
    <row r="49" spans="1:11" ht="14.5" x14ac:dyDescent="0.35">
      <c r="A49"/>
      <c r="B49"/>
      <c r="C49"/>
      <c r="D49"/>
      <c r="E49"/>
      <c r="F49"/>
      <c r="G49"/>
    </row>
    <row r="50" spans="1:11" ht="14.5" x14ac:dyDescent="0.35">
      <c r="A50"/>
      <c r="B50"/>
      <c r="C50"/>
      <c r="D50"/>
      <c r="E50"/>
      <c r="F50"/>
      <c r="G50"/>
    </row>
    <row r="51" spans="1:11" ht="14.5" x14ac:dyDescent="0.35">
      <c r="A51"/>
      <c r="B51"/>
      <c r="C51"/>
      <c r="D51"/>
      <c r="E51"/>
      <c r="F51"/>
      <c r="G51"/>
    </row>
    <row r="52" spans="1:11" ht="14.5" x14ac:dyDescent="0.35">
      <c r="A52"/>
      <c r="B52"/>
      <c r="C52"/>
      <c r="D52"/>
      <c r="E52"/>
      <c r="F52"/>
      <c r="G52"/>
    </row>
    <row r="53" spans="1:11" ht="14.5" x14ac:dyDescent="0.35">
      <c r="A53"/>
      <c r="B53"/>
      <c r="C53"/>
      <c r="D53"/>
      <c r="E53"/>
      <c r="F53"/>
      <c r="G53"/>
    </row>
    <row r="54" spans="1:11" ht="14.5" x14ac:dyDescent="0.35">
      <c r="A54"/>
      <c r="B54"/>
      <c r="C54"/>
      <c r="D54"/>
      <c r="E54"/>
      <c r="F54"/>
      <c r="G54"/>
    </row>
    <row r="55" spans="1:11" ht="14.5" x14ac:dyDescent="0.35">
      <c r="A55"/>
      <c r="B55"/>
      <c r="C55"/>
      <c r="D55"/>
      <c r="E55"/>
      <c r="F55"/>
      <c r="G55"/>
    </row>
    <row r="56" spans="1:11" ht="14.5" x14ac:dyDescent="0.35">
      <c r="A56"/>
      <c r="B56"/>
      <c r="C56"/>
      <c r="D56"/>
      <c r="E56"/>
      <c r="F56"/>
      <c r="G56"/>
    </row>
    <row r="57" spans="1:11" ht="14.5" x14ac:dyDescent="0.35">
      <c r="A57"/>
      <c r="B57"/>
      <c r="C57"/>
      <c r="D57"/>
      <c r="E57"/>
      <c r="F57"/>
      <c r="G57"/>
    </row>
    <row r="58" spans="1:11" ht="14.5" x14ac:dyDescent="0.35">
      <c r="A58"/>
      <c r="B58"/>
      <c r="C58"/>
      <c r="D58"/>
      <c r="E58"/>
      <c r="F58"/>
      <c r="G58"/>
    </row>
    <row r="59" spans="1:11" ht="14.5" x14ac:dyDescent="0.35">
      <c r="A59"/>
      <c r="B59"/>
      <c r="C59"/>
      <c r="D59"/>
      <c r="E59"/>
      <c r="F59"/>
      <c r="G59"/>
    </row>
    <row r="60" spans="1:11" ht="14.5" x14ac:dyDescent="0.35">
      <c r="A60"/>
      <c r="B60"/>
      <c r="C60"/>
      <c r="D60"/>
      <c r="E60"/>
      <c r="F60"/>
      <c r="G60"/>
    </row>
    <row r="61" spans="1:11" ht="14.5" x14ac:dyDescent="0.35">
      <c r="A61"/>
      <c r="B61"/>
      <c r="C61"/>
      <c r="D61"/>
      <c r="E61"/>
      <c r="F61"/>
      <c r="G61"/>
    </row>
    <row r="62" spans="1:11" ht="14.5" x14ac:dyDescent="0.35">
      <c r="A62"/>
      <c r="B62"/>
      <c r="C62"/>
      <c r="D62"/>
      <c r="E62"/>
      <c r="F62"/>
      <c r="G62"/>
      <c r="K62" s="34"/>
    </row>
    <row r="63" spans="1:11" ht="14.5" x14ac:dyDescent="0.35">
      <c r="A63"/>
      <c r="B63"/>
      <c r="C63"/>
      <c r="D63"/>
      <c r="E63"/>
      <c r="F63"/>
      <c r="G63"/>
      <c r="K63" s="34"/>
    </row>
    <row r="64" spans="1:11" ht="14.5" x14ac:dyDescent="0.35">
      <c r="A64"/>
      <c r="B64"/>
      <c r="C64"/>
      <c r="D64"/>
      <c r="E64"/>
      <c r="F64"/>
      <c r="G64"/>
      <c r="K64" s="34"/>
    </row>
    <row r="65" spans="1:11" ht="14.5" x14ac:dyDescent="0.35">
      <c r="A65"/>
      <c r="B65"/>
      <c r="C65"/>
      <c r="D65"/>
      <c r="E65"/>
      <c r="F65"/>
      <c r="G65"/>
      <c r="K65" s="34"/>
    </row>
    <row r="66" spans="1:11" ht="14.5" x14ac:dyDescent="0.35">
      <c r="A66"/>
      <c r="B66"/>
      <c r="C66"/>
      <c r="D66"/>
      <c r="E66"/>
      <c r="F66"/>
      <c r="G66"/>
    </row>
    <row r="67" spans="1:11" ht="14.5" x14ac:dyDescent="0.35">
      <c r="A67"/>
      <c r="B67"/>
      <c r="C67"/>
      <c r="D67"/>
      <c r="E67"/>
      <c r="F67"/>
      <c r="G67"/>
    </row>
    <row r="68" spans="1:11" ht="14.5" x14ac:dyDescent="0.35">
      <c r="A68"/>
      <c r="B68"/>
      <c r="C68"/>
      <c r="D68"/>
      <c r="E68"/>
      <c r="F68"/>
      <c r="G68"/>
    </row>
    <row r="69" spans="1:11" ht="14.5" x14ac:dyDescent="0.35">
      <c r="A69"/>
      <c r="B69"/>
      <c r="C69"/>
      <c r="D69"/>
      <c r="E69"/>
      <c r="F69"/>
      <c r="G69"/>
    </row>
    <row r="70" spans="1:11" ht="14.5" x14ac:dyDescent="0.35">
      <c r="A70"/>
      <c r="B70"/>
      <c r="C70"/>
      <c r="D70"/>
      <c r="E70"/>
      <c r="F70"/>
      <c r="G70"/>
    </row>
    <row r="71" spans="1:11" ht="14.5" x14ac:dyDescent="0.35">
      <c r="A71"/>
      <c r="B71"/>
      <c r="C71"/>
      <c r="D71"/>
      <c r="E71"/>
      <c r="F71"/>
      <c r="G71"/>
    </row>
    <row r="72" spans="1:11" ht="14.5" x14ac:dyDescent="0.35">
      <c r="A72"/>
      <c r="B72"/>
      <c r="C72"/>
      <c r="D72"/>
      <c r="E72"/>
      <c r="F72"/>
      <c r="G72"/>
    </row>
    <row r="73" spans="1:11" ht="14.5" x14ac:dyDescent="0.35">
      <c r="A73"/>
      <c r="B73"/>
      <c r="C73"/>
      <c r="D73"/>
      <c r="E73"/>
      <c r="F73"/>
      <c r="G73"/>
    </row>
    <row r="74" spans="1:11" ht="14.5" x14ac:dyDescent="0.35">
      <c r="A74"/>
      <c r="B74"/>
      <c r="C74"/>
      <c r="D74"/>
      <c r="E74"/>
      <c r="F74"/>
      <c r="G74"/>
    </row>
    <row r="75" spans="1:11" ht="14.5" x14ac:dyDescent="0.35">
      <c r="A75"/>
      <c r="B75"/>
      <c r="C75"/>
      <c r="D75"/>
      <c r="E75"/>
      <c r="F75"/>
      <c r="G75"/>
    </row>
    <row r="76" spans="1:11" ht="14.5" x14ac:dyDescent="0.35">
      <c r="A76"/>
      <c r="B76"/>
      <c r="C76"/>
      <c r="D76"/>
      <c r="E76"/>
      <c r="F76"/>
      <c r="G76"/>
    </row>
    <row r="77" spans="1:11" ht="14.5" x14ac:dyDescent="0.35">
      <c r="A77"/>
      <c r="B77"/>
      <c r="C77"/>
      <c r="D77"/>
      <c r="E77"/>
      <c r="F77"/>
      <c r="G77"/>
    </row>
    <row r="78" spans="1:11" ht="14.5" x14ac:dyDescent="0.35">
      <c r="A78"/>
      <c r="B78"/>
      <c r="C78"/>
      <c r="D78"/>
      <c r="E78"/>
      <c r="F78"/>
      <c r="G78"/>
    </row>
    <row r="79" spans="1:11" ht="14.5" x14ac:dyDescent="0.35">
      <c r="A79"/>
      <c r="B79"/>
      <c r="C79"/>
      <c r="D79"/>
      <c r="E79"/>
      <c r="F79"/>
      <c r="G79"/>
    </row>
    <row r="80" spans="1:11" ht="14.5" x14ac:dyDescent="0.35">
      <c r="A80"/>
      <c r="B80"/>
      <c r="C80"/>
      <c r="D80"/>
      <c r="E80"/>
      <c r="F80"/>
      <c r="G80"/>
    </row>
    <row r="81" spans="1:7" ht="14.5" x14ac:dyDescent="0.35">
      <c r="A81"/>
      <c r="B81"/>
      <c r="C81"/>
      <c r="D81"/>
      <c r="E81"/>
      <c r="F81"/>
      <c r="G81"/>
    </row>
    <row r="82" spans="1:7" ht="14.5" x14ac:dyDescent="0.35">
      <c r="A82"/>
      <c r="B82"/>
      <c r="C82"/>
      <c r="D82"/>
      <c r="E82"/>
      <c r="F82"/>
      <c r="G82"/>
    </row>
    <row r="83" spans="1:7" ht="14.5" x14ac:dyDescent="0.35">
      <c r="A83"/>
      <c r="B83"/>
      <c r="C83"/>
      <c r="D83"/>
      <c r="E83"/>
      <c r="F83"/>
      <c r="G83"/>
    </row>
    <row r="84" spans="1:7" ht="14.5" x14ac:dyDescent="0.35">
      <c r="A84"/>
      <c r="B84"/>
      <c r="C84"/>
      <c r="D84"/>
      <c r="E84"/>
      <c r="F84"/>
      <c r="G84"/>
    </row>
    <row r="85" spans="1:7" ht="14.5" x14ac:dyDescent="0.35">
      <c r="A85"/>
      <c r="B85"/>
      <c r="C85"/>
      <c r="D85"/>
      <c r="E85"/>
      <c r="F85"/>
      <c r="G85"/>
    </row>
    <row r="86" spans="1:7" ht="14.5" x14ac:dyDescent="0.35">
      <c r="A86"/>
      <c r="B86"/>
      <c r="C86"/>
      <c r="D86"/>
      <c r="E86"/>
      <c r="F86"/>
      <c r="G86"/>
    </row>
    <row r="87" spans="1:7" ht="14.5" x14ac:dyDescent="0.35">
      <c r="A87"/>
      <c r="B87"/>
      <c r="C87"/>
      <c r="D87"/>
      <c r="E87"/>
      <c r="F87"/>
      <c r="G87"/>
    </row>
    <row r="88" spans="1:7" ht="14.5" x14ac:dyDescent="0.35">
      <c r="A88"/>
      <c r="B88"/>
      <c r="C88"/>
      <c r="D88"/>
      <c r="E88"/>
      <c r="F88"/>
      <c r="G88"/>
    </row>
    <row r="89" spans="1:7" ht="14.5" x14ac:dyDescent="0.35">
      <c r="A89"/>
      <c r="B89"/>
      <c r="C89"/>
      <c r="D89"/>
      <c r="E89"/>
      <c r="F89"/>
      <c r="G89"/>
    </row>
    <row r="90" spans="1:7" ht="14.5" x14ac:dyDescent="0.35">
      <c r="A90"/>
      <c r="B90"/>
      <c r="C90"/>
      <c r="D90"/>
      <c r="E90"/>
      <c r="F90"/>
      <c r="G90"/>
    </row>
    <row r="91" spans="1:7" ht="14.5" x14ac:dyDescent="0.35">
      <c r="A91"/>
      <c r="B91"/>
      <c r="C91"/>
      <c r="D91"/>
      <c r="E91"/>
      <c r="F91"/>
      <c r="G91"/>
    </row>
    <row r="92" spans="1:7" ht="14.5" x14ac:dyDescent="0.35">
      <c r="A92"/>
      <c r="B92"/>
      <c r="C92"/>
      <c r="D92"/>
      <c r="E92"/>
      <c r="F92"/>
      <c r="G92"/>
    </row>
    <row r="93" spans="1:7" ht="14.5" x14ac:dyDescent="0.35">
      <c r="A93"/>
      <c r="B93"/>
      <c r="C93"/>
      <c r="D93"/>
      <c r="E93"/>
      <c r="F93"/>
      <c r="G93"/>
    </row>
    <row r="94" spans="1:7" ht="14.5" x14ac:dyDescent="0.35">
      <c r="A94"/>
      <c r="B94"/>
      <c r="C94"/>
      <c r="D94"/>
      <c r="E94"/>
      <c r="F94"/>
      <c r="G94"/>
    </row>
    <row r="95" spans="1:7" ht="14.5" x14ac:dyDescent="0.35">
      <c r="A95"/>
      <c r="B95"/>
      <c r="C95"/>
      <c r="D95"/>
      <c r="E95"/>
      <c r="F95"/>
      <c r="G95"/>
    </row>
    <row r="96" spans="1:7" ht="14.5" x14ac:dyDescent="0.35">
      <c r="A96"/>
      <c r="B96"/>
      <c r="C96"/>
      <c r="D96"/>
      <c r="E96"/>
      <c r="F96"/>
      <c r="G96"/>
    </row>
    <row r="97" spans="1:7" ht="14.5" x14ac:dyDescent="0.35">
      <c r="A97"/>
      <c r="B97"/>
      <c r="C97"/>
      <c r="D97"/>
      <c r="E97"/>
      <c r="F97"/>
      <c r="G97"/>
    </row>
    <row r="98" spans="1:7" ht="15" thickBot="1" x14ac:dyDescent="0.4">
      <c r="A98"/>
      <c r="B98"/>
      <c r="C98"/>
      <c r="D98"/>
      <c r="E98"/>
      <c r="F98"/>
      <c r="G98"/>
    </row>
    <row r="99" spans="1:7" ht="13" thickTop="1" x14ac:dyDescent="0.25">
      <c r="E99" s="31"/>
      <c r="F99" s="31"/>
    </row>
    <row r="100" spans="1:7" x14ac:dyDescent="0.25">
      <c r="E100" s="31"/>
      <c r="F100" s="31"/>
    </row>
    <row r="101" spans="1:7" x14ac:dyDescent="0.25">
      <c r="E101" s="31"/>
      <c r="F101" s="31"/>
    </row>
    <row r="102" spans="1:7" x14ac:dyDescent="0.25">
      <c r="E102" s="31"/>
      <c r="F102" s="31"/>
    </row>
    <row r="103" spans="1:7" x14ac:dyDescent="0.25">
      <c r="E103" s="31"/>
      <c r="F103" s="31"/>
    </row>
    <row r="104" spans="1:7" x14ac:dyDescent="0.25">
      <c r="E104" s="31"/>
      <c r="F104" s="31"/>
    </row>
    <row r="105" spans="1:7" x14ac:dyDescent="0.25">
      <c r="E105" s="31"/>
      <c r="F105" s="31"/>
    </row>
    <row r="106" spans="1:7" x14ac:dyDescent="0.25">
      <c r="E106" s="31"/>
      <c r="F106" s="31"/>
    </row>
    <row r="107" spans="1:7" x14ac:dyDescent="0.25">
      <c r="E107" s="31"/>
      <c r="F107" s="31"/>
    </row>
    <row r="108" spans="1:7" x14ac:dyDescent="0.25">
      <c r="E108" s="31"/>
      <c r="F108" s="31"/>
    </row>
    <row r="109" spans="1:7" x14ac:dyDescent="0.25">
      <c r="E109" s="31"/>
      <c r="F109" s="31"/>
    </row>
    <row r="110" spans="1:7" x14ac:dyDescent="0.25">
      <c r="E110" s="31"/>
      <c r="F110" s="31"/>
    </row>
    <row r="111" spans="1:7" x14ac:dyDescent="0.25">
      <c r="E111" s="31"/>
      <c r="F111" s="31"/>
    </row>
    <row r="112" spans="1:7" x14ac:dyDescent="0.25">
      <c r="E112" s="31"/>
      <c r="F112" s="31"/>
    </row>
    <row r="113" spans="5:6" x14ac:dyDescent="0.25">
      <c r="E113" s="31"/>
      <c r="F113" s="31"/>
    </row>
    <row r="114" spans="5:6" x14ac:dyDescent="0.25">
      <c r="E114" s="31"/>
      <c r="F114" s="31"/>
    </row>
    <row r="115" spans="5:6" x14ac:dyDescent="0.25">
      <c r="E115" s="31"/>
      <c r="F115" s="31"/>
    </row>
    <row r="116" spans="5:6" x14ac:dyDescent="0.25">
      <c r="E116" s="31"/>
      <c r="F116" s="31"/>
    </row>
    <row r="117" spans="5:6" x14ac:dyDescent="0.25">
      <c r="E117" s="31"/>
      <c r="F117" s="31"/>
    </row>
    <row r="118" spans="5:6" x14ac:dyDescent="0.25">
      <c r="E118" s="31"/>
      <c r="F118" s="31"/>
    </row>
    <row r="119" spans="5:6" x14ac:dyDescent="0.25">
      <c r="E119" s="31"/>
      <c r="F119" s="31"/>
    </row>
    <row r="120" spans="5:6" x14ac:dyDescent="0.25">
      <c r="E120" s="31"/>
      <c r="F120" s="31"/>
    </row>
    <row r="121" spans="5:6" x14ac:dyDescent="0.25">
      <c r="E121" s="31"/>
      <c r="F121" s="31"/>
    </row>
    <row r="122" spans="5:6" x14ac:dyDescent="0.25">
      <c r="E122" s="31"/>
      <c r="F122" s="31"/>
    </row>
    <row r="123" spans="5:6" x14ac:dyDescent="0.25">
      <c r="E123" s="31"/>
      <c r="F123" s="31"/>
    </row>
    <row r="124" spans="5:6" x14ac:dyDescent="0.25">
      <c r="E124" s="31"/>
      <c r="F124" s="31"/>
    </row>
    <row r="125" spans="5:6" x14ac:dyDescent="0.25">
      <c r="E125" s="31"/>
      <c r="F125" s="31"/>
    </row>
    <row r="126" spans="5:6" x14ac:dyDescent="0.25">
      <c r="E126" s="31"/>
      <c r="F126" s="31"/>
    </row>
    <row r="127" spans="5:6" x14ac:dyDescent="0.25">
      <c r="E127" s="31"/>
      <c r="F127" s="31"/>
    </row>
    <row r="128" spans="5:6" x14ac:dyDescent="0.25">
      <c r="E128" s="31"/>
      <c r="F128" s="31"/>
    </row>
    <row r="129" spans="5:6" x14ac:dyDescent="0.25">
      <c r="E129" s="31"/>
      <c r="F129" s="31"/>
    </row>
    <row r="130" spans="5:6" x14ac:dyDescent="0.25">
      <c r="E130" s="31"/>
      <c r="F130" s="31"/>
    </row>
    <row r="131" spans="5:6" x14ac:dyDescent="0.25">
      <c r="E131" s="31"/>
      <c r="F131" s="31"/>
    </row>
    <row r="132" spans="5:6" x14ac:dyDescent="0.25">
      <c r="E132" s="31"/>
      <c r="F132" s="31"/>
    </row>
    <row r="133" spans="5:6" x14ac:dyDescent="0.25">
      <c r="E133" s="31"/>
      <c r="F133" s="31"/>
    </row>
    <row r="134" spans="5:6" x14ac:dyDescent="0.25">
      <c r="E134" s="31"/>
      <c r="F134" s="31"/>
    </row>
    <row r="135" spans="5:6" x14ac:dyDescent="0.25">
      <c r="E135" s="31"/>
      <c r="F135" s="31"/>
    </row>
    <row r="136" spans="5:6" x14ac:dyDescent="0.25">
      <c r="E136" s="31"/>
      <c r="F136" s="31"/>
    </row>
    <row r="137" spans="5:6" x14ac:dyDescent="0.25">
      <c r="E137" s="31"/>
      <c r="F137" s="31"/>
    </row>
    <row r="138" spans="5:6" x14ac:dyDescent="0.25">
      <c r="E138" s="31"/>
      <c r="F138" s="31"/>
    </row>
    <row r="139" spans="5:6" x14ac:dyDescent="0.25">
      <c r="E139" s="31"/>
      <c r="F139" s="31"/>
    </row>
    <row r="140" spans="5:6" x14ac:dyDescent="0.25">
      <c r="E140" s="31"/>
      <c r="F140" s="31"/>
    </row>
    <row r="141" spans="5:6" x14ac:dyDescent="0.25">
      <c r="E141" s="31"/>
      <c r="F141" s="31"/>
    </row>
    <row r="142" spans="5:6" x14ac:dyDescent="0.25">
      <c r="E142" s="31"/>
      <c r="F142" s="31"/>
    </row>
    <row r="143" spans="5:6" x14ac:dyDescent="0.25">
      <c r="E143" s="31"/>
      <c r="F143" s="31"/>
    </row>
    <row r="144" spans="5:6" x14ac:dyDescent="0.25">
      <c r="E144" s="31"/>
      <c r="F144" s="31"/>
    </row>
    <row r="145" spans="5:6" x14ac:dyDescent="0.25">
      <c r="E145" s="31"/>
      <c r="F145" s="31"/>
    </row>
    <row r="146" spans="5:6" x14ac:dyDescent="0.25">
      <c r="E146" s="31"/>
      <c r="F146" s="31"/>
    </row>
    <row r="147" spans="5:6" x14ac:dyDescent="0.25">
      <c r="E147" s="31"/>
      <c r="F147" s="31"/>
    </row>
    <row r="148" spans="5:6" x14ac:dyDescent="0.25">
      <c r="E148" s="31"/>
      <c r="F148" s="31"/>
    </row>
    <row r="149" spans="5:6" x14ac:dyDescent="0.25">
      <c r="E149" s="31"/>
      <c r="F149" s="31"/>
    </row>
    <row r="150" spans="5:6" x14ac:dyDescent="0.25">
      <c r="E150" s="31"/>
      <c r="F150" s="31"/>
    </row>
    <row r="151" spans="5:6" x14ac:dyDescent="0.25">
      <c r="E151" s="31"/>
      <c r="F151" s="31"/>
    </row>
    <row r="152" spans="5:6" x14ac:dyDescent="0.25">
      <c r="E152" s="31"/>
      <c r="F152" s="31"/>
    </row>
    <row r="153" spans="5:6" x14ac:dyDescent="0.25">
      <c r="E153" s="31"/>
      <c r="F153" s="31"/>
    </row>
    <row r="154" spans="5:6" x14ac:dyDescent="0.25">
      <c r="E154" s="31"/>
      <c r="F154" s="31"/>
    </row>
    <row r="155" spans="5:6" x14ac:dyDescent="0.25">
      <c r="E155" s="31"/>
      <c r="F155" s="31"/>
    </row>
    <row r="156" spans="5:6" x14ac:dyDescent="0.25">
      <c r="E156" s="31"/>
      <c r="F156" s="31"/>
    </row>
    <row r="157" spans="5:6" x14ac:dyDescent="0.25">
      <c r="E157" s="31"/>
      <c r="F157" s="31"/>
    </row>
    <row r="158" spans="5:6" x14ac:dyDescent="0.25">
      <c r="E158" s="31"/>
      <c r="F158" s="31"/>
    </row>
    <row r="159" spans="5:6" x14ac:dyDescent="0.25">
      <c r="E159" s="31"/>
      <c r="F159" s="31"/>
    </row>
    <row r="160" spans="5:6" x14ac:dyDescent="0.25">
      <c r="E160" s="31"/>
      <c r="F160" s="31"/>
    </row>
    <row r="161" spans="5:6" x14ac:dyDescent="0.25">
      <c r="E161" s="31"/>
      <c r="F161" s="31"/>
    </row>
    <row r="162" spans="5:6" x14ac:dyDescent="0.25">
      <c r="E162" s="31"/>
      <c r="F162" s="31"/>
    </row>
    <row r="163" spans="5:6" x14ac:dyDescent="0.25">
      <c r="E163" s="31"/>
      <c r="F163" s="31"/>
    </row>
    <row r="164" spans="5:6" x14ac:dyDescent="0.25">
      <c r="E164" s="31"/>
      <c r="F164" s="31"/>
    </row>
    <row r="165" spans="5:6" x14ac:dyDescent="0.25">
      <c r="E165" s="31"/>
      <c r="F165" s="31"/>
    </row>
    <row r="166" spans="5:6" x14ac:dyDescent="0.25">
      <c r="E166" s="31"/>
      <c r="F166" s="31"/>
    </row>
    <row r="167" spans="5:6" x14ac:dyDescent="0.25">
      <c r="E167" s="31"/>
      <c r="F167" s="31"/>
    </row>
    <row r="168" spans="5:6" x14ac:dyDescent="0.25">
      <c r="E168" s="31"/>
      <c r="F168" s="31"/>
    </row>
    <row r="169" spans="5:6" x14ac:dyDescent="0.25">
      <c r="E169" s="31"/>
      <c r="F169" s="31"/>
    </row>
    <row r="170" spans="5:6" x14ac:dyDescent="0.25">
      <c r="E170" s="31"/>
      <c r="F170" s="31"/>
    </row>
    <row r="171" spans="5:6" x14ac:dyDescent="0.25">
      <c r="E171" s="31"/>
      <c r="F171" s="31"/>
    </row>
    <row r="172" spans="5:6" x14ac:dyDescent="0.25">
      <c r="E172" s="31"/>
      <c r="F172" s="31"/>
    </row>
    <row r="173" spans="5:6" x14ac:dyDescent="0.25">
      <c r="E173" s="31"/>
      <c r="F173" s="31"/>
    </row>
    <row r="174" spans="5:6" x14ac:dyDescent="0.25">
      <c r="E174" s="31"/>
      <c r="F174" s="31"/>
    </row>
    <row r="175" spans="5:6" x14ac:dyDescent="0.25">
      <c r="E175" s="31"/>
      <c r="F175" s="31"/>
    </row>
    <row r="176" spans="5:6" x14ac:dyDescent="0.25">
      <c r="E176" s="31"/>
      <c r="F176" s="31"/>
    </row>
    <row r="177" spans="5:6" x14ac:dyDescent="0.25">
      <c r="E177" s="31"/>
      <c r="F177" s="31"/>
    </row>
    <row r="178" spans="5:6" x14ac:dyDescent="0.25">
      <c r="E178" s="31"/>
      <c r="F178" s="31"/>
    </row>
    <row r="179" spans="5:6" x14ac:dyDescent="0.25">
      <c r="E179" s="31"/>
      <c r="F179" s="31"/>
    </row>
    <row r="180" spans="5:6" x14ac:dyDescent="0.25">
      <c r="E180" s="31"/>
      <c r="F180" s="31"/>
    </row>
    <row r="181" spans="5:6" x14ac:dyDescent="0.25">
      <c r="E181" s="31"/>
      <c r="F181" s="31"/>
    </row>
    <row r="182" spans="5:6" x14ac:dyDescent="0.25">
      <c r="E182" s="31"/>
      <c r="F182" s="31"/>
    </row>
    <row r="183" spans="5:6" x14ac:dyDescent="0.25">
      <c r="E183" s="31"/>
      <c r="F183" s="31"/>
    </row>
    <row r="184" spans="5:6" x14ac:dyDescent="0.25">
      <c r="E184" s="31"/>
      <c r="F184" s="31"/>
    </row>
    <row r="185" spans="5:6" x14ac:dyDescent="0.25">
      <c r="E185" s="31"/>
      <c r="F185" s="31"/>
    </row>
    <row r="186" spans="5:6" x14ac:dyDescent="0.25">
      <c r="E186" s="31"/>
      <c r="F186" s="31"/>
    </row>
    <row r="187" spans="5:6" x14ac:dyDescent="0.25">
      <c r="E187" s="31"/>
      <c r="F187" s="31"/>
    </row>
    <row r="188" spans="5:6" x14ac:dyDescent="0.25">
      <c r="E188" s="31"/>
      <c r="F188" s="31"/>
    </row>
    <row r="189" spans="5:6" x14ac:dyDescent="0.25">
      <c r="E189" s="31"/>
      <c r="F189" s="31"/>
    </row>
    <row r="190" spans="5:6" x14ac:dyDescent="0.25">
      <c r="E190" s="31"/>
      <c r="F190" s="31"/>
    </row>
    <row r="191" spans="5:6" x14ac:dyDescent="0.25">
      <c r="E191" s="31"/>
      <c r="F191" s="31"/>
    </row>
    <row r="192" spans="5:6" x14ac:dyDescent="0.25">
      <c r="E192" s="31"/>
      <c r="F192" s="31"/>
    </row>
    <row r="193" spans="5:6" x14ac:dyDescent="0.25">
      <c r="E193" s="31"/>
      <c r="F193" s="31"/>
    </row>
    <row r="194" spans="5:6" x14ac:dyDescent="0.25">
      <c r="E194" s="31"/>
      <c r="F194" s="31"/>
    </row>
    <row r="195" spans="5:6" x14ac:dyDescent="0.25">
      <c r="E195" s="31"/>
      <c r="F195" s="31"/>
    </row>
    <row r="196" spans="5:6" x14ac:dyDescent="0.25">
      <c r="E196" s="31"/>
      <c r="F196" s="31"/>
    </row>
    <row r="197" spans="5:6" x14ac:dyDescent="0.25">
      <c r="E197" s="31"/>
      <c r="F197" s="31"/>
    </row>
    <row r="198" spans="5:6" x14ac:dyDescent="0.25">
      <c r="E198" s="31"/>
      <c r="F198" s="31"/>
    </row>
    <row r="199" spans="5:6" x14ac:dyDescent="0.25">
      <c r="E199" s="31"/>
      <c r="F199" s="31"/>
    </row>
    <row r="200" spans="5:6" x14ac:dyDescent="0.25">
      <c r="E200" s="31"/>
      <c r="F200" s="31"/>
    </row>
    <row r="201" spans="5:6" x14ac:dyDescent="0.25">
      <c r="E201" s="31"/>
      <c r="F201" s="31"/>
    </row>
    <row r="202" spans="5:6" x14ac:dyDescent="0.25">
      <c r="E202" s="31"/>
      <c r="F202" s="31"/>
    </row>
    <row r="203" spans="5:6" x14ac:dyDescent="0.25">
      <c r="E203" s="31"/>
      <c r="F203" s="31"/>
    </row>
    <row r="204" spans="5:6" x14ac:dyDescent="0.25">
      <c r="E204" s="31"/>
      <c r="F204" s="31"/>
    </row>
    <row r="205" spans="5:6" x14ac:dyDescent="0.25">
      <c r="E205" s="31"/>
      <c r="F205" s="31"/>
    </row>
    <row r="206" spans="5:6" x14ac:dyDescent="0.25">
      <c r="E206" s="31"/>
      <c r="F206" s="31"/>
    </row>
    <row r="207" spans="5:6" x14ac:dyDescent="0.25">
      <c r="E207" s="31"/>
      <c r="F207" s="31"/>
    </row>
    <row r="208" spans="5:6" x14ac:dyDescent="0.25">
      <c r="E208" s="31"/>
      <c r="F208" s="31"/>
    </row>
    <row r="209" spans="5:6" x14ac:dyDescent="0.25">
      <c r="E209" s="31"/>
      <c r="F209" s="31"/>
    </row>
    <row r="210" spans="5:6" x14ac:dyDescent="0.25">
      <c r="E210" s="31"/>
      <c r="F210" s="31"/>
    </row>
    <row r="211" spans="5:6" x14ac:dyDescent="0.25">
      <c r="E211" s="31"/>
      <c r="F211" s="31"/>
    </row>
    <row r="212" spans="5:6" x14ac:dyDescent="0.25">
      <c r="E212" s="31"/>
      <c r="F212" s="31"/>
    </row>
    <row r="213" spans="5:6" x14ac:dyDescent="0.25">
      <c r="E213" s="31"/>
      <c r="F213" s="31"/>
    </row>
    <row r="214" spans="5:6" x14ac:dyDescent="0.25">
      <c r="E214" s="31"/>
      <c r="F214" s="31"/>
    </row>
    <row r="215" spans="5:6" x14ac:dyDescent="0.25">
      <c r="E215" s="31"/>
      <c r="F215" s="31"/>
    </row>
    <row r="216" spans="5:6" x14ac:dyDescent="0.25">
      <c r="E216" s="31"/>
      <c r="F216" s="31"/>
    </row>
    <row r="217" spans="5:6" x14ac:dyDescent="0.25">
      <c r="E217" s="31"/>
      <c r="F217" s="31"/>
    </row>
    <row r="218" spans="5:6" x14ac:dyDescent="0.25">
      <c r="E218" s="31"/>
      <c r="F218" s="31"/>
    </row>
    <row r="219" spans="5:6" x14ac:dyDescent="0.25">
      <c r="E219" s="31"/>
      <c r="F219" s="31"/>
    </row>
    <row r="220" spans="5:6" x14ac:dyDescent="0.25">
      <c r="E220" s="31"/>
      <c r="F220" s="31"/>
    </row>
    <row r="221" spans="5:6" x14ac:dyDescent="0.25">
      <c r="E221" s="31"/>
      <c r="F221" s="31"/>
    </row>
    <row r="222" spans="5:6" x14ac:dyDescent="0.25">
      <c r="E222" s="31"/>
      <c r="F222" s="31"/>
    </row>
    <row r="223" spans="5:6" x14ac:dyDescent="0.25">
      <c r="E223" s="31"/>
      <c r="F223" s="31"/>
    </row>
    <row r="224" spans="5:6" x14ac:dyDescent="0.25">
      <c r="E224" s="31"/>
      <c r="F224" s="31"/>
    </row>
    <row r="225" spans="5:6" x14ac:dyDescent="0.25">
      <c r="E225" s="31"/>
      <c r="F225" s="31"/>
    </row>
    <row r="226" spans="5:6" x14ac:dyDescent="0.25">
      <c r="E226" s="31"/>
      <c r="F226" s="31"/>
    </row>
    <row r="227" spans="5:6" x14ac:dyDescent="0.25">
      <c r="E227" s="31"/>
      <c r="F227" s="31"/>
    </row>
    <row r="228" spans="5:6" x14ac:dyDescent="0.25">
      <c r="E228" s="31"/>
      <c r="F228" s="31"/>
    </row>
    <row r="229" spans="5:6" x14ac:dyDescent="0.25">
      <c r="E229" s="31"/>
      <c r="F229" s="31"/>
    </row>
    <row r="230" spans="5:6" x14ac:dyDescent="0.25">
      <c r="E230" s="31"/>
      <c r="F230" s="31"/>
    </row>
    <row r="231" spans="5:6" x14ac:dyDescent="0.25">
      <c r="E231" s="31"/>
      <c r="F231" s="31"/>
    </row>
    <row r="232" spans="5:6" x14ac:dyDescent="0.25">
      <c r="E232" s="31"/>
      <c r="F232" s="31"/>
    </row>
    <row r="233" spans="5:6" x14ac:dyDescent="0.25">
      <c r="E233" s="31"/>
      <c r="F233" s="31"/>
    </row>
    <row r="234" spans="5:6" x14ac:dyDescent="0.25">
      <c r="E234" s="31"/>
      <c r="F234" s="31"/>
    </row>
    <row r="235" spans="5:6" x14ac:dyDescent="0.25">
      <c r="E235" s="31"/>
      <c r="F235" s="31"/>
    </row>
    <row r="236" spans="5:6" x14ac:dyDescent="0.25">
      <c r="E236" s="31"/>
      <c r="F236" s="31"/>
    </row>
    <row r="237" spans="5:6" x14ac:dyDescent="0.25">
      <c r="E237" s="31"/>
      <c r="F237" s="31"/>
    </row>
    <row r="238" spans="5:6" x14ac:dyDescent="0.25">
      <c r="E238" s="31"/>
      <c r="F238" s="31"/>
    </row>
    <row r="239" spans="5:6" x14ac:dyDescent="0.25">
      <c r="E239" s="31"/>
      <c r="F239" s="31"/>
    </row>
    <row r="240" spans="5:6" x14ac:dyDescent="0.25">
      <c r="E240" s="31"/>
      <c r="F240" s="31"/>
    </row>
    <row r="241" spans="5:6" x14ac:dyDescent="0.25">
      <c r="E241" s="31"/>
      <c r="F241" s="31"/>
    </row>
    <row r="242" spans="5:6" x14ac:dyDescent="0.25">
      <c r="E242" s="31"/>
      <c r="F242" s="31"/>
    </row>
    <row r="243" spans="5:6" x14ac:dyDescent="0.25">
      <c r="E243" s="31"/>
      <c r="F243" s="31"/>
    </row>
    <row r="244" spans="5:6" x14ac:dyDescent="0.25">
      <c r="E244" s="31"/>
      <c r="F244" s="31"/>
    </row>
    <row r="245" spans="5:6" x14ac:dyDescent="0.25">
      <c r="E245" s="31"/>
      <c r="F245" s="31"/>
    </row>
    <row r="246" spans="5:6" x14ac:dyDescent="0.25">
      <c r="E246" s="31"/>
      <c r="F246" s="31"/>
    </row>
    <row r="247" spans="5:6" x14ac:dyDescent="0.25">
      <c r="E247" s="31"/>
      <c r="F247" s="31"/>
    </row>
    <row r="248" spans="5:6" x14ac:dyDescent="0.25">
      <c r="E248" s="31"/>
      <c r="F248" s="31"/>
    </row>
    <row r="249" spans="5:6" x14ac:dyDescent="0.25">
      <c r="E249" s="31"/>
      <c r="F249" s="31"/>
    </row>
    <row r="250" spans="5:6" x14ac:dyDescent="0.25">
      <c r="E250" s="31"/>
      <c r="F250" s="31"/>
    </row>
    <row r="251" spans="5:6" x14ac:dyDescent="0.25">
      <c r="E251" s="31"/>
      <c r="F251" s="31"/>
    </row>
    <row r="252" spans="5:6" x14ac:dyDescent="0.25">
      <c r="E252" s="31"/>
      <c r="F252" s="31"/>
    </row>
    <row r="253" spans="5:6" x14ac:dyDescent="0.25">
      <c r="E253" s="31"/>
      <c r="F253" s="31"/>
    </row>
    <row r="254" spans="5:6" x14ac:dyDescent="0.25">
      <c r="E254" s="31"/>
      <c r="F254" s="31"/>
    </row>
    <row r="255" spans="5:6" x14ac:dyDescent="0.25">
      <c r="E255" s="31"/>
      <c r="F255" s="31"/>
    </row>
    <row r="256" spans="5:6" x14ac:dyDescent="0.25">
      <c r="E256" s="31"/>
      <c r="F256" s="31"/>
    </row>
  </sheetData>
  <pageMargins left="0.75" right="0.75" top="1" bottom="1" header="0.5" footer="0.5"/>
  <pageSetup paperSize="9" orientation="portrait" verticalDpi="300" r:id="rId2"/>
  <headerFooter alignWithMargins="0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C00000"/>
  </sheetPr>
  <dimension ref="A1:R255"/>
  <sheetViews>
    <sheetView showGridLines="0" tabSelected="1" zoomScale="85" workbookViewId="0">
      <pane xSplit="2" ySplit="13" topLeftCell="C14" activePane="bottomRight" state="frozen"/>
      <selection activeCell="C17" sqref="C17"/>
      <selection pane="topRight" activeCell="C17" sqref="C17"/>
      <selection pane="bottomLeft" activeCell="C17" sqref="C17"/>
      <selection pane="bottomRight" activeCell="C14" sqref="C14"/>
    </sheetView>
  </sheetViews>
  <sheetFormatPr defaultColWidth="11.453125" defaultRowHeight="12.5" x14ac:dyDescent="0.25"/>
  <cols>
    <col min="1" max="1" width="12.7265625" style="31" customWidth="1"/>
    <col min="2" max="2" width="41.26953125" style="31" customWidth="1"/>
    <col min="3" max="3" width="8.7265625" style="31" customWidth="1"/>
    <col min="4" max="4" width="8.81640625" style="31" customWidth="1"/>
    <col min="5" max="6" width="8.6328125" style="33" customWidth="1"/>
    <col min="7" max="7" width="8.81640625" style="31" customWidth="1"/>
    <col min="8" max="10" width="5.7265625" style="31" customWidth="1"/>
    <col min="11" max="12" width="4.81640625" style="31" customWidth="1"/>
    <col min="13" max="14" width="3.81640625" style="31" customWidth="1"/>
    <col min="15" max="16" width="4.81640625" style="31" customWidth="1"/>
    <col min="17" max="18" width="6.453125" style="31" customWidth="1"/>
    <col min="19" max="28" width="9.54296875" style="31" customWidth="1"/>
    <col min="29" max="29" width="20.54296875" style="31" bestFit="1" customWidth="1"/>
    <col min="30" max="16384" width="11.453125" style="31"/>
  </cols>
  <sheetData>
    <row r="1" spans="1:18" ht="20" x14ac:dyDescent="0.4">
      <c r="A1" s="32"/>
    </row>
    <row r="3" spans="1:18" x14ac:dyDescent="0.25">
      <c r="A3" s="31">
        <f>Updated</f>
        <v>0</v>
      </c>
    </row>
    <row r="4" spans="1:18" ht="14.5" x14ac:dyDescent="0.35">
      <c r="A4"/>
      <c r="B4"/>
    </row>
    <row r="5" spans="1:18" ht="14.5" x14ac:dyDescent="0.35">
      <c r="A5" s="3" t="s">
        <v>168</v>
      </c>
      <c r="B5" s="1" t="s">
        <v>88</v>
      </c>
    </row>
    <row r="6" spans="1:18" ht="14.5" x14ac:dyDescent="0.35">
      <c r="A6" s="3" t="s">
        <v>210</v>
      </c>
      <c r="B6" s="1" t="s">
        <v>88</v>
      </c>
    </row>
    <row r="7" spans="1:18" ht="14.5" x14ac:dyDescent="0.35">
      <c r="A7" s="3" t="s">
        <v>104</v>
      </c>
      <c r="B7" s="1" t="s">
        <v>88</v>
      </c>
      <c r="E7" s="31"/>
      <c r="F7" s="31"/>
    </row>
    <row r="8" spans="1:18" ht="14.5" x14ac:dyDescent="0.35">
      <c r="A8" s="3" t="s">
        <v>115</v>
      </c>
      <c r="B8" s="1" t="s">
        <v>88</v>
      </c>
      <c r="E8" s="31"/>
      <c r="F8" s="31"/>
    </row>
    <row r="9" spans="1:18" ht="14.5" x14ac:dyDescent="0.35">
      <c r="A9" s="3" t="s">
        <v>119</v>
      </c>
      <c r="B9" s="1" t="s">
        <v>88</v>
      </c>
      <c r="E9" s="31"/>
      <c r="F9" s="31"/>
    </row>
    <row r="10" spans="1:18" x14ac:dyDescent="0.25">
      <c r="E10" s="31"/>
      <c r="F10" s="31"/>
    </row>
    <row r="11" spans="1:18" ht="14.5" x14ac:dyDescent="0.35">
      <c r="A11" s="35"/>
      <c r="B11" s="35"/>
      <c r="C11" s="35" t="s">
        <v>209</v>
      </c>
      <c r="D11" s="35" t="s">
        <v>94</v>
      </c>
      <c r="E11" s="35"/>
      <c r="F11" s="35"/>
      <c r="G11"/>
      <c r="H11"/>
      <c r="I11"/>
      <c r="J11"/>
      <c r="K11"/>
      <c r="L11"/>
      <c r="M11"/>
      <c r="N11"/>
      <c r="O11"/>
      <c r="P11"/>
      <c r="Q11"/>
      <c r="R11"/>
    </row>
    <row r="12" spans="1:18" ht="176.5" customHeight="1" x14ac:dyDescent="0.35">
      <c r="A12" s="35"/>
      <c r="B12" s="35"/>
      <c r="C12" s="47" t="s">
        <v>186</v>
      </c>
      <c r="D12" s="62"/>
      <c r="E12" s="5" t="s">
        <v>93</v>
      </c>
      <c r="F12" s="38" t="s">
        <v>195</v>
      </c>
      <c r="G12"/>
      <c r="H12"/>
      <c r="I12"/>
      <c r="J12"/>
      <c r="K12"/>
      <c r="L12"/>
      <c r="M12"/>
      <c r="N12"/>
      <c r="O12"/>
      <c r="P12"/>
      <c r="Q12"/>
      <c r="R12"/>
    </row>
    <row r="13" spans="1:18" ht="14.5" x14ac:dyDescent="0.35">
      <c r="A13" s="4" t="s">
        <v>207</v>
      </c>
      <c r="B13" s="4" t="s">
        <v>166</v>
      </c>
      <c r="C13" s="5" t="s">
        <v>91</v>
      </c>
      <c r="D13" s="6" t="s">
        <v>196</v>
      </c>
      <c r="E13" s="39"/>
      <c r="F13" s="40"/>
      <c r="G13"/>
      <c r="H13"/>
      <c r="I13"/>
      <c r="J13"/>
      <c r="K13"/>
      <c r="L13"/>
      <c r="M13"/>
      <c r="N13"/>
      <c r="O13"/>
      <c r="P13"/>
      <c r="Q13"/>
      <c r="R13"/>
    </row>
    <row r="14" spans="1:18" ht="15" thickBot="1" x14ac:dyDescent="0.4">
      <c r="A14" s="68">
        <v>41275</v>
      </c>
      <c r="B14" s="2" t="s">
        <v>194</v>
      </c>
      <c r="C14" s="59">
        <v>0</v>
      </c>
      <c r="D14" s="51">
        <v>0</v>
      </c>
      <c r="E14" s="48">
        <v>0</v>
      </c>
      <c r="F14" s="63">
        <v>0</v>
      </c>
      <c r="G14"/>
      <c r="H14"/>
      <c r="I14"/>
      <c r="J14"/>
      <c r="K14"/>
      <c r="L14"/>
      <c r="M14"/>
      <c r="N14"/>
      <c r="O14"/>
      <c r="P14"/>
      <c r="Q14"/>
      <c r="R14"/>
    </row>
    <row r="15" spans="1:18" ht="14.5" x14ac:dyDescent="0.35">
      <c r="A15" s="70"/>
      <c r="B15" s="21"/>
      <c r="C15" s="61"/>
      <c r="D15" s="52"/>
      <c r="E15" s="50"/>
      <c r="F15" s="65"/>
      <c r="G15"/>
      <c r="H15"/>
      <c r="I15"/>
      <c r="J15"/>
      <c r="K15"/>
      <c r="L15"/>
      <c r="M15"/>
      <c r="N15"/>
      <c r="O15"/>
      <c r="P15"/>
      <c r="Q15"/>
      <c r="R15"/>
    </row>
    <row r="16" spans="1:18" ht="15" thickBot="1" x14ac:dyDescent="0.4">
      <c r="A16" s="69" t="s">
        <v>87</v>
      </c>
      <c r="B16" s="22"/>
      <c r="C16" s="60">
        <v>0</v>
      </c>
      <c r="D16" s="49">
        <v>0</v>
      </c>
      <c r="E16" s="49">
        <v>0</v>
      </c>
      <c r="F16" s="64">
        <v>0</v>
      </c>
      <c r="G16"/>
      <c r="H16"/>
      <c r="I16"/>
      <c r="J16"/>
      <c r="K16"/>
      <c r="L16"/>
      <c r="M16"/>
      <c r="N16"/>
      <c r="O16"/>
      <c r="P16"/>
      <c r="Q16"/>
      <c r="R16"/>
    </row>
    <row r="17" spans="1:18" ht="15" thickTop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ht="15" thickTop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ht="15" thickBot="1" x14ac:dyDescent="0.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5" thickTop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ht="15" thickBot="1" x14ac:dyDescent="0.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ht="15" thickTop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ht="14.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ht="14.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ht="15" thickBot="1" x14ac:dyDescent="0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ht="15" thickTop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ht="15" thickBot="1" x14ac:dyDescent="0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ht="15" thickTop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ht="15" thickBo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ht="15" thickTop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ht="15" thickBo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ht="15" thickTop="1" x14ac:dyDescent="0.35">
      <c r="A48"/>
      <c r="B48"/>
      <c r="C48"/>
      <c r="D48"/>
      <c r="E48"/>
      <c r="F48"/>
    </row>
    <row r="49" spans="1:6" ht="14.5" x14ac:dyDescent="0.35">
      <c r="A49"/>
      <c r="B49"/>
      <c r="C49"/>
      <c r="D49"/>
      <c r="E49"/>
      <c r="F49"/>
    </row>
    <row r="50" spans="1:6" ht="14.5" x14ac:dyDescent="0.35">
      <c r="A50"/>
      <c r="B50"/>
      <c r="C50"/>
      <c r="D50"/>
      <c r="E50"/>
      <c r="F50"/>
    </row>
    <row r="51" spans="1:6" ht="14.5" x14ac:dyDescent="0.35">
      <c r="A51"/>
      <c r="B51"/>
      <c r="C51"/>
      <c r="D51"/>
      <c r="E51"/>
      <c r="F51"/>
    </row>
    <row r="52" spans="1:6" ht="14.5" x14ac:dyDescent="0.35">
      <c r="A52"/>
      <c r="B52"/>
      <c r="C52"/>
      <c r="D52"/>
      <c r="E52"/>
      <c r="F52"/>
    </row>
    <row r="53" spans="1:6" ht="14.5" x14ac:dyDescent="0.35">
      <c r="A53"/>
      <c r="B53"/>
      <c r="C53"/>
      <c r="D53"/>
      <c r="E53"/>
      <c r="F53"/>
    </row>
    <row r="54" spans="1:6" ht="14.5" x14ac:dyDescent="0.35">
      <c r="A54"/>
      <c r="B54"/>
      <c r="C54"/>
      <c r="D54"/>
      <c r="E54"/>
      <c r="F54"/>
    </row>
    <row r="55" spans="1:6" ht="14.5" x14ac:dyDescent="0.35">
      <c r="A55"/>
      <c r="B55"/>
      <c r="C55"/>
      <c r="D55"/>
      <c r="E55"/>
      <c r="F55"/>
    </row>
    <row r="56" spans="1:6" ht="14.5" x14ac:dyDescent="0.35">
      <c r="A56"/>
      <c r="B56"/>
      <c r="C56"/>
      <c r="D56"/>
      <c r="E56"/>
      <c r="F56"/>
    </row>
    <row r="57" spans="1:6" ht="14.5" x14ac:dyDescent="0.35">
      <c r="A57"/>
      <c r="B57"/>
      <c r="C57"/>
      <c r="D57"/>
      <c r="E57"/>
      <c r="F57"/>
    </row>
    <row r="58" spans="1:6" ht="14.5" x14ac:dyDescent="0.35">
      <c r="A58"/>
      <c r="B58"/>
      <c r="C58"/>
      <c r="D58"/>
      <c r="E58"/>
      <c r="F58"/>
    </row>
    <row r="59" spans="1:6" ht="14.5" x14ac:dyDescent="0.35">
      <c r="A59"/>
      <c r="B59"/>
      <c r="C59"/>
      <c r="D59"/>
      <c r="E59"/>
      <c r="F59"/>
    </row>
    <row r="60" spans="1:6" ht="14.5" x14ac:dyDescent="0.35">
      <c r="A60"/>
      <c r="B60"/>
      <c r="C60"/>
      <c r="D60"/>
      <c r="E60"/>
      <c r="F60"/>
    </row>
    <row r="61" spans="1:6" ht="14.5" x14ac:dyDescent="0.35">
      <c r="A61"/>
      <c r="B61"/>
      <c r="C61"/>
      <c r="D61"/>
      <c r="E61"/>
      <c r="F61"/>
    </row>
    <row r="62" spans="1:6" ht="14.5" x14ac:dyDescent="0.35">
      <c r="A62"/>
      <c r="B62"/>
      <c r="C62"/>
      <c r="D62"/>
      <c r="E62"/>
      <c r="F62"/>
    </row>
    <row r="63" spans="1:6" ht="14.5" x14ac:dyDescent="0.35">
      <c r="A63"/>
      <c r="B63"/>
      <c r="C63"/>
      <c r="D63"/>
      <c r="E63"/>
      <c r="F63"/>
    </row>
    <row r="64" spans="1:6" ht="14.5" x14ac:dyDescent="0.35">
      <c r="A64"/>
      <c r="B64"/>
      <c r="C64"/>
      <c r="D64"/>
      <c r="E64"/>
      <c r="F64"/>
    </row>
    <row r="65" spans="1:6" ht="14.5" x14ac:dyDescent="0.35">
      <c r="A65"/>
      <c r="B65"/>
      <c r="C65"/>
      <c r="D65"/>
      <c r="E65"/>
      <c r="F65"/>
    </row>
    <row r="66" spans="1:6" ht="14.5" x14ac:dyDescent="0.35">
      <c r="A66"/>
      <c r="B66"/>
      <c r="C66"/>
      <c r="D66"/>
      <c r="E66"/>
      <c r="F66"/>
    </row>
    <row r="67" spans="1:6" ht="14.5" x14ac:dyDescent="0.35">
      <c r="A67"/>
      <c r="B67"/>
      <c r="C67"/>
      <c r="D67"/>
      <c r="E67"/>
      <c r="F67"/>
    </row>
    <row r="68" spans="1:6" ht="14.5" x14ac:dyDescent="0.35">
      <c r="A68"/>
      <c r="B68"/>
      <c r="C68"/>
      <c r="D68"/>
      <c r="E68"/>
      <c r="F68"/>
    </row>
    <row r="69" spans="1:6" ht="14.5" x14ac:dyDescent="0.35">
      <c r="A69"/>
      <c r="B69"/>
      <c r="C69"/>
      <c r="D69"/>
      <c r="E69"/>
      <c r="F69"/>
    </row>
    <row r="70" spans="1:6" ht="14.5" x14ac:dyDescent="0.35">
      <c r="A70"/>
      <c r="B70"/>
      <c r="C70"/>
      <c r="D70"/>
      <c r="E70"/>
      <c r="F70"/>
    </row>
    <row r="71" spans="1:6" ht="14.5" x14ac:dyDescent="0.35">
      <c r="A71"/>
      <c r="B71"/>
      <c r="C71"/>
      <c r="D71"/>
      <c r="E71"/>
      <c r="F71"/>
    </row>
    <row r="72" spans="1:6" ht="14.5" x14ac:dyDescent="0.35">
      <c r="A72"/>
      <c r="B72"/>
      <c r="C72"/>
      <c r="D72"/>
      <c r="E72"/>
      <c r="F72"/>
    </row>
    <row r="73" spans="1:6" ht="14.5" x14ac:dyDescent="0.35">
      <c r="A73"/>
      <c r="B73"/>
      <c r="C73"/>
      <c r="D73"/>
      <c r="E73"/>
      <c r="F73"/>
    </row>
    <row r="74" spans="1:6" ht="14.5" x14ac:dyDescent="0.35">
      <c r="A74"/>
      <c r="B74"/>
      <c r="C74"/>
      <c r="D74"/>
      <c r="E74"/>
      <c r="F74"/>
    </row>
    <row r="75" spans="1:6" ht="14.5" x14ac:dyDescent="0.35">
      <c r="A75"/>
      <c r="B75"/>
      <c r="C75"/>
      <c r="D75"/>
      <c r="E75"/>
      <c r="F75"/>
    </row>
    <row r="76" spans="1:6" ht="14.5" x14ac:dyDescent="0.35">
      <c r="A76"/>
      <c r="B76"/>
      <c r="C76"/>
      <c r="D76"/>
      <c r="E76"/>
      <c r="F76"/>
    </row>
    <row r="77" spans="1:6" ht="14.5" x14ac:dyDescent="0.35">
      <c r="A77"/>
      <c r="B77"/>
      <c r="C77"/>
      <c r="D77"/>
      <c r="E77"/>
      <c r="F77"/>
    </row>
    <row r="78" spans="1:6" ht="14.5" x14ac:dyDescent="0.35">
      <c r="A78"/>
      <c r="B78"/>
      <c r="C78"/>
      <c r="D78"/>
      <c r="E78"/>
      <c r="F78"/>
    </row>
    <row r="79" spans="1:6" ht="14.5" x14ac:dyDescent="0.35">
      <c r="A79"/>
      <c r="B79"/>
      <c r="C79"/>
      <c r="D79"/>
      <c r="E79"/>
      <c r="F79"/>
    </row>
    <row r="80" spans="1:6" ht="14.5" x14ac:dyDescent="0.35">
      <c r="A80"/>
      <c r="B80"/>
      <c r="C80"/>
      <c r="D80"/>
      <c r="E80"/>
      <c r="F80"/>
    </row>
    <row r="81" spans="1:6" ht="14.5" x14ac:dyDescent="0.35">
      <c r="A81"/>
      <c r="B81"/>
      <c r="C81"/>
      <c r="D81"/>
      <c r="E81"/>
      <c r="F81"/>
    </row>
    <row r="82" spans="1:6" ht="14.5" x14ac:dyDescent="0.35">
      <c r="A82"/>
      <c r="B82"/>
      <c r="C82"/>
      <c r="D82"/>
      <c r="E82"/>
      <c r="F82"/>
    </row>
    <row r="83" spans="1:6" ht="14.5" x14ac:dyDescent="0.35">
      <c r="A83"/>
      <c r="B83"/>
      <c r="C83"/>
      <c r="D83"/>
      <c r="E83"/>
      <c r="F83"/>
    </row>
    <row r="84" spans="1:6" ht="14.5" x14ac:dyDescent="0.35">
      <c r="A84"/>
      <c r="B84"/>
      <c r="C84"/>
      <c r="D84"/>
      <c r="E84"/>
      <c r="F84"/>
    </row>
    <row r="85" spans="1:6" ht="14.5" x14ac:dyDescent="0.35">
      <c r="A85"/>
      <c r="B85"/>
      <c r="C85"/>
      <c r="D85"/>
      <c r="E85"/>
      <c r="F85"/>
    </row>
    <row r="86" spans="1:6" ht="14.5" x14ac:dyDescent="0.35">
      <c r="A86"/>
      <c r="B86"/>
      <c r="C86"/>
      <c r="D86"/>
      <c r="E86"/>
      <c r="F86"/>
    </row>
    <row r="87" spans="1:6" ht="14.5" x14ac:dyDescent="0.35">
      <c r="A87"/>
      <c r="B87"/>
      <c r="C87"/>
      <c r="D87"/>
      <c r="E87"/>
      <c r="F87"/>
    </row>
    <row r="88" spans="1:6" ht="14.5" x14ac:dyDescent="0.35">
      <c r="A88"/>
      <c r="B88"/>
      <c r="C88"/>
      <c r="D88"/>
      <c r="E88"/>
      <c r="F88"/>
    </row>
    <row r="89" spans="1:6" ht="14.5" x14ac:dyDescent="0.35">
      <c r="A89"/>
      <c r="B89"/>
      <c r="C89"/>
      <c r="D89"/>
      <c r="E89"/>
      <c r="F89"/>
    </row>
    <row r="90" spans="1:6" ht="14.5" x14ac:dyDescent="0.35">
      <c r="A90"/>
      <c r="B90"/>
      <c r="C90"/>
      <c r="D90"/>
      <c r="E90"/>
      <c r="F90"/>
    </row>
    <row r="91" spans="1:6" ht="14.5" x14ac:dyDescent="0.35">
      <c r="A91"/>
      <c r="B91"/>
      <c r="C91"/>
      <c r="D91"/>
      <c r="E91"/>
      <c r="F91"/>
    </row>
    <row r="92" spans="1:6" ht="14.5" x14ac:dyDescent="0.35">
      <c r="A92"/>
      <c r="B92"/>
      <c r="C92"/>
      <c r="D92"/>
      <c r="E92"/>
      <c r="F92"/>
    </row>
    <row r="93" spans="1:6" ht="14.5" x14ac:dyDescent="0.35">
      <c r="A93"/>
      <c r="B93"/>
      <c r="C93"/>
      <c r="D93"/>
      <c r="E93"/>
      <c r="F93"/>
    </row>
    <row r="94" spans="1:6" ht="14.5" x14ac:dyDescent="0.35">
      <c r="A94"/>
      <c r="B94"/>
      <c r="C94"/>
      <c r="D94"/>
      <c r="E94"/>
      <c r="F94"/>
    </row>
    <row r="95" spans="1:6" ht="14.5" x14ac:dyDescent="0.35">
      <c r="A95"/>
      <c r="B95"/>
      <c r="C95"/>
      <c r="D95"/>
      <c r="E95"/>
      <c r="F95"/>
    </row>
    <row r="96" spans="1:6" ht="14.5" x14ac:dyDescent="0.35">
      <c r="A96"/>
      <c r="B96"/>
      <c r="C96"/>
      <c r="D96"/>
      <c r="E96"/>
      <c r="F96"/>
    </row>
    <row r="97" spans="1:6" ht="14.5" x14ac:dyDescent="0.35">
      <c r="A97"/>
      <c r="B97"/>
      <c r="C97"/>
      <c r="D97"/>
      <c r="E97"/>
      <c r="F97"/>
    </row>
    <row r="98" spans="1:6" ht="14.5" x14ac:dyDescent="0.35">
      <c r="A98"/>
      <c r="B98"/>
      <c r="C98"/>
      <c r="D98"/>
      <c r="E98"/>
      <c r="F98"/>
    </row>
    <row r="99" spans="1:6" ht="15" thickBot="1" x14ac:dyDescent="0.4">
      <c r="A99"/>
      <c r="B99"/>
      <c r="C99"/>
      <c r="D99"/>
      <c r="E99"/>
      <c r="F99"/>
    </row>
    <row r="100" spans="1:6" ht="15" thickTop="1" x14ac:dyDescent="0.35">
      <c r="A100"/>
      <c r="B100"/>
      <c r="C100"/>
      <c r="D100"/>
      <c r="E100"/>
      <c r="F100"/>
    </row>
    <row r="101" spans="1:6" ht="15" thickBot="1" x14ac:dyDescent="0.4">
      <c r="A101"/>
      <c r="B101"/>
      <c r="C101"/>
      <c r="D101"/>
      <c r="E101"/>
      <c r="F101"/>
    </row>
    <row r="102" spans="1:6" ht="13" thickTop="1" x14ac:dyDescent="0.25">
      <c r="E102" s="31"/>
      <c r="F102" s="31"/>
    </row>
    <row r="103" spans="1:6" x14ac:dyDescent="0.25">
      <c r="E103" s="31"/>
      <c r="F103" s="31"/>
    </row>
    <row r="104" spans="1:6" x14ac:dyDescent="0.25">
      <c r="E104" s="31"/>
      <c r="F104" s="31"/>
    </row>
    <row r="105" spans="1:6" x14ac:dyDescent="0.25">
      <c r="E105" s="31"/>
      <c r="F105" s="31"/>
    </row>
    <row r="106" spans="1:6" x14ac:dyDescent="0.25">
      <c r="E106" s="31"/>
      <c r="F106" s="31"/>
    </row>
    <row r="107" spans="1:6" x14ac:dyDescent="0.25">
      <c r="E107" s="31"/>
      <c r="F107" s="31"/>
    </row>
    <row r="108" spans="1:6" x14ac:dyDescent="0.25">
      <c r="E108" s="31"/>
      <c r="F108" s="31"/>
    </row>
    <row r="109" spans="1:6" x14ac:dyDescent="0.25">
      <c r="E109" s="31"/>
      <c r="F109" s="31"/>
    </row>
    <row r="110" spans="1:6" x14ac:dyDescent="0.25">
      <c r="E110" s="31"/>
      <c r="F110" s="31"/>
    </row>
    <row r="111" spans="1:6" x14ac:dyDescent="0.25">
      <c r="E111" s="31"/>
      <c r="F111" s="31"/>
    </row>
    <row r="112" spans="1:6" x14ac:dyDescent="0.25">
      <c r="E112" s="31"/>
      <c r="F112" s="31"/>
    </row>
    <row r="113" spans="5:6" x14ac:dyDescent="0.25">
      <c r="E113" s="31"/>
      <c r="F113" s="31"/>
    </row>
    <row r="114" spans="5:6" x14ac:dyDescent="0.25">
      <c r="E114" s="31"/>
      <c r="F114" s="31"/>
    </row>
    <row r="115" spans="5:6" x14ac:dyDescent="0.25">
      <c r="E115" s="31"/>
      <c r="F115" s="31"/>
    </row>
    <row r="116" spans="5:6" x14ac:dyDescent="0.25">
      <c r="E116" s="31"/>
      <c r="F116" s="31"/>
    </row>
    <row r="117" spans="5:6" x14ac:dyDescent="0.25">
      <c r="E117" s="31"/>
      <c r="F117" s="31"/>
    </row>
    <row r="118" spans="5:6" x14ac:dyDescent="0.25">
      <c r="E118" s="31"/>
      <c r="F118" s="31"/>
    </row>
    <row r="119" spans="5:6" x14ac:dyDescent="0.25">
      <c r="E119" s="31"/>
      <c r="F119" s="31"/>
    </row>
    <row r="120" spans="5:6" x14ac:dyDescent="0.25">
      <c r="E120" s="31"/>
      <c r="F120" s="31"/>
    </row>
    <row r="121" spans="5:6" x14ac:dyDescent="0.25">
      <c r="E121" s="31"/>
      <c r="F121" s="31"/>
    </row>
    <row r="122" spans="5:6" x14ac:dyDescent="0.25">
      <c r="E122" s="31"/>
      <c r="F122" s="31"/>
    </row>
    <row r="123" spans="5:6" x14ac:dyDescent="0.25">
      <c r="E123" s="31"/>
      <c r="F123" s="31"/>
    </row>
    <row r="124" spans="5:6" x14ac:dyDescent="0.25">
      <c r="E124" s="31"/>
      <c r="F124" s="31"/>
    </row>
    <row r="125" spans="5:6" x14ac:dyDescent="0.25">
      <c r="E125" s="31"/>
      <c r="F125" s="31"/>
    </row>
    <row r="126" spans="5:6" x14ac:dyDescent="0.25">
      <c r="E126" s="31"/>
      <c r="F126" s="31"/>
    </row>
    <row r="127" spans="5:6" x14ac:dyDescent="0.25">
      <c r="E127" s="31"/>
      <c r="F127" s="31"/>
    </row>
    <row r="128" spans="5:6" x14ac:dyDescent="0.25">
      <c r="E128" s="31"/>
      <c r="F128" s="31"/>
    </row>
    <row r="129" spans="5:6" x14ac:dyDescent="0.25">
      <c r="E129" s="31"/>
      <c r="F129" s="31"/>
    </row>
    <row r="130" spans="5:6" x14ac:dyDescent="0.25">
      <c r="E130" s="31"/>
      <c r="F130" s="31"/>
    </row>
    <row r="131" spans="5:6" x14ac:dyDescent="0.25">
      <c r="E131" s="31"/>
      <c r="F131" s="31"/>
    </row>
    <row r="132" spans="5:6" x14ac:dyDescent="0.25">
      <c r="E132" s="31"/>
      <c r="F132" s="31"/>
    </row>
    <row r="133" spans="5:6" x14ac:dyDescent="0.25">
      <c r="E133" s="31"/>
      <c r="F133" s="31"/>
    </row>
    <row r="134" spans="5:6" x14ac:dyDescent="0.25">
      <c r="E134" s="31"/>
      <c r="F134" s="31"/>
    </row>
    <row r="135" spans="5:6" x14ac:dyDescent="0.25">
      <c r="E135" s="31"/>
      <c r="F135" s="31"/>
    </row>
    <row r="136" spans="5:6" x14ac:dyDescent="0.25">
      <c r="E136" s="31"/>
      <c r="F136" s="31"/>
    </row>
    <row r="137" spans="5:6" x14ac:dyDescent="0.25">
      <c r="E137" s="31"/>
      <c r="F137" s="31"/>
    </row>
    <row r="138" spans="5:6" x14ac:dyDescent="0.25">
      <c r="E138" s="31"/>
      <c r="F138" s="31"/>
    </row>
    <row r="139" spans="5:6" x14ac:dyDescent="0.25">
      <c r="E139" s="31"/>
      <c r="F139" s="31"/>
    </row>
    <row r="140" spans="5:6" x14ac:dyDescent="0.25">
      <c r="E140" s="31"/>
      <c r="F140" s="31"/>
    </row>
    <row r="141" spans="5:6" x14ac:dyDescent="0.25">
      <c r="E141" s="31"/>
      <c r="F141" s="31"/>
    </row>
    <row r="142" spans="5:6" x14ac:dyDescent="0.25">
      <c r="E142" s="31"/>
      <c r="F142" s="31"/>
    </row>
    <row r="143" spans="5:6" x14ac:dyDescent="0.25">
      <c r="E143" s="31"/>
      <c r="F143" s="31"/>
    </row>
    <row r="144" spans="5:6" x14ac:dyDescent="0.25">
      <c r="E144" s="31"/>
      <c r="F144" s="31"/>
    </row>
    <row r="145" spans="5:6" x14ac:dyDescent="0.25">
      <c r="E145" s="31"/>
      <c r="F145" s="31"/>
    </row>
    <row r="146" spans="5:6" x14ac:dyDescent="0.25">
      <c r="E146" s="31"/>
      <c r="F146" s="31"/>
    </row>
    <row r="147" spans="5:6" x14ac:dyDescent="0.25">
      <c r="E147" s="31"/>
      <c r="F147" s="31"/>
    </row>
    <row r="148" spans="5:6" x14ac:dyDescent="0.25">
      <c r="E148" s="31"/>
      <c r="F148" s="31"/>
    </row>
    <row r="149" spans="5:6" x14ac:dyDescent="0.25">
      <c r="E149" s="31"/>
      <c r="F149" s="31"/>
    </row>
    <row r="150" spans="5:6" x14ac:dyDescent="0.25">
      <c r="E150" s="31"/>
      <c r="F150" s="31"/>
    </row>
    <row r="151" spans="5:6" x14ac:dyDescent="0.25">
      <c r="E151" s="31"/>
      <c r="F151" s="31"/>
    </row>
    <row r="152" spans="5:6" x14ac:dyDescent="0.25">
      <c r="E152" s="31"/>
      <c r="F152" s="31"/>
    </row>
    <row r="153" spans="5:6" x14ac:dyDescent="0.25">
      <c r="E153" s="31"/>
      <c r="F153" s="31"/>
    </row>
    <row r="154" spans="5:6" x14ac:dyDescent="0.25">
      <c r="E154" s="31"/>
      <c r="F154" s="31"/>
    </row>
    <row r="155" spans="5:6" x14ac:dyDescent="0.25">
      <c r="E155" s="31"/>
      <c r="F155" s="31"/>
    </row>
    <row r="156" spans="5:6" x14ac:dyDescent="0.25">
      <c r="E156" s="31"/>
      <c r="F156" s="31"/>
    </row>
    <row r="157" spans="5:6" x14ac:dyDescent="0.25">
      <c r="E157" s="31"/>
      <c r="F157" s="31"/>
    </row>
    <row r="158" spans="5:6" x14ac:dyDescent="0.25">
      <c r="E158" s="31"/>
      <c r="F158" s="31"/>
    </row>
    <row r="159" spans="5:6" x14ac:dyDescent="0.25">
      <c r="E159" s="31"/>
      <c r="F159" s="31"/>
    </row>
    <row r="160" spans="5:6" x14ac:dyDescent="0.25">
      <c r="E160" s="31"/>
      <c r="F160" s="31"/>
    </row>
    <row r="161" spans="5:6" x14ac:dyDescent="0.25">
      <c r="E161" s="31"/>
      <c r="F161" s="31"/>
    </row>
    <row r="162" spans="5:6" x14ac:dyDescent="0.25">
      <c r="E162" s="31"/>
      <c r="F162" s="31"/>
    </row>
    <row r="163" spans="5:6" x14ac:dyDescent="0.25">
      <c r="E163" s="31"/>
      <c r="F163" s="31"/>
    </row>
    <row r="164" spans="5:6" x14ac:dyDescent="0.25">
      <c r="E164" s="31"/>
      <c r="F164" s="31"/>
    </row>
    <row r="165" spans="5:6" x14ac:dyDescent="0.25">
      <c r="E165" s="31"/>
      <c r="F165" s="31"/>
    </row>
    <row r="166" spans="5:6" x14ac:dyDescent="0.25">
      <c r="E166" s="31"/>
      <c r="F166" s="31"/>
    </row>
    <row r="167" spans="5:6" x14ac:dyDescent="0.25">
      <c r="E167" s="31"/>
      <c r="F167" s="31"/>
    </row>
    <row r="168" spans="5:6" x14ac:dyDescent="0.25">
      <c r="E168" s="31"/>
      <c r="F168" s="31"/>
    </row>
    <row r="169" spans="5:6" x14ac:dyDescent="0.25">
      <c r="E169" s="31"/>
      <c r="F169" s="31"/>
    </row>
    <row r="170" spans="5:6" x14ac:dyDescent="0.25">
      <c r="E170" s="31"/>
      <c r="F170" s="31"/>
    </row>
    <row r="171" spans="5:6" x14ac:dyDescent="0.25">
      <c r="E171" s="31"/>
      <c r="F171" s="31"/>
    </row>
    <row r="172" spans="5:6" x14ac:dyDescent="0.25">
      <c r="E172" s="31"/>
      <c r="F172" s="31"/>
    </row>
    <row r="173" spans="5:6" x14ac:dyDescent="0.25">
      <c r="E173" s="31"/>
      <c r="F173" s="31"/>
    </row>
    <row r="174" spans="5:6" x14ac:dyDescent="0.25">
      <c r="E174" s="31"/>
      <c r="F174" s="31"/>
    </row>
    <row r="175" spans="5:6" x14ac:dyDescent="0.25">
      <c r="E175" s="31"/>
      <c r="F175" s="31"/>
    </row>
    <row r="176" spans="5:6" x14ac:dyDescent="0.25">
      <c r="E176" s="31"/>
      <c r="F176" s="31"/>
    </row>
    <row r="177" spans="5:6" x14ac:dyDescent="0.25">
      <c r="E177" s="31"/>
      <c r="F177" s="31"/>
    </row>
    <row r="178" spans="5:6" x14ac:dyDescent="0.25">
      <c r="E178" s="31"/>
      <c r="F178" s="31"/>
    </row>
    <row r="179" spans="5:6" x14ac:dyDescent="0.25">
      <c r="E179" s="31"/>
      <c r="F179" s="31"/>
    </row>
    <row r="180" spans="5:6" x14ac:dyDescent="0.25">
      <c r="E180" s="31"/>
      <c r="F180" s="31"/>
    </row>
    <row r="181" spans="5:6" x14ac:dyDescent="0.25">
      <c r="E181" s="31"/>
      <c r="F181" s="31"/>
    </row>
    <row r="182" spans="5:6" x14ac:dyDescent="0.25">
      <c r="E182" s="31"/>
      <c r="F182" s="31"/>
    </row>
    <row r="183" spans="5:6" x14ac:dyDescent="0.25">
      <c r="E183" s="31"/>
      <c r="F183" s="31"/>
    </row>
    <row r="184" spans="5:6" x14ac:dyDescent="0.25">
      <c r="E184" s="31"/>
      <c r="F184" s="31"/>
    </row>
    <row r="185" spans="5:6" x14ac:dyDescent="0.25">
      <c r="E185" s="31"/>
      <c r="F185" s="31"/>
    </row>
    <row r="186" spans="5:6" x14ac:dyDescent="0.25">
      <c r="E186" s="31"/>
      <c r="F186" s="31"/>
    </row>
    <row r="187" spans="5:6" x14ac:dyDescent="0.25">
      <c r="E187" s="31"/>
      <c r="F187" s="31"/>
    </row>
    <row r="188" spans="5:6" x14ac:dyDescent="0.25">
      <c r="E188" s="31"/>
      <c r="F188" s="31"/>
    </row>
    <row r="189" spans="5:6" x14ac:dyDescent="0.25">
      <c r="E189" s="31"/>
      <c r="F189" s="31"/>
    </row>
    <row r="190" spans="5:6" x14ac:dyDescent="0.25">
      <c r="E190" s="31"/>
      <c r="F190" s="31"/>
    </row>
    <row r="191" spans="5:6" x14ac:dyDescent="0.25">
      <c r="E191" s="31"/>
      <c r="F191" s="31"/>
    </row>
    <row r="192" spans="5:6" x14ac:dyDescent="0.25">
      <c r="E192" s="31"/>
      <c r="F192" s="31"/>
    </row>
    <row r="193" spans="5:6" x14ac:dyDescent="0.25">
      <c r="E193" s="31"/>
      <c r="F193" s="31"/>
    </row>
    <row r="194" spans="5:6" x14ac:dyDescent="0.25">
      <c r="E194" s="31"/>
      <c r="F194" s="31"/>
    </row>
    <row r="195" spans="5:6" x14ac:dyDescent="0.25">
      <c r="E195" s="31"/>
      <c r="F195" s="31"/>
    </row>
    <row r="196" spans="5:6" x14ac:dyDescent="0.25">
      <c r="E196" s="31"/>
      <c r="F196" s="31"/>
    </row>
    <row r="197" spans="5:6" x14ac:dyDescent="0.25">
      <c r="E197" s="31"/>
      <c r="F197" s="31"/>
    </row>
    <row r="198" spans="5:6" x14ac:dyDescent="0.25">
      <c r="E198" s="31"/>
      <c r="F198" s="31"/>
    </row>
    <row r="199" spans="5:6" x14ac:dyDescent="0.25">
      <c r="E199" s="31"/>
      <c r="F199" s="31"/>
    </row>
    <row r="200" spans="5:6" x14ac:dyDescent="0.25">
      <c r="E200" s="31"/>
      <c r="F200" s="31"/>
    </row>
    <row r="201" spans="5:6" x14ac:dyDescent="0.25">
      <c r="E201" s="31"/>
      <c r="F201" s="31"/>
    </row>
    <row r="202" spans="5:6" x14ac:dyDescent="0.25">
      <c r="E202" s="31"/>
      <c r="F202" s="31"/>
    </row>
    <row r="203" spans="5:6" x14ac:dyDescent="0.25">
      <c r="E203" s="31"/>
      <c r="F203" s="31"/>
    </row>
    <row r="204" spans="5:6" x14ac:dyDescent="0.25">
      <c r="E204" s="31"/>
      <c r="F204" s="31"/>
    </row>
    <row r="205" spans="5:6" x14ac:dyDescent="0.25">
      <c r="E205" s="31"/>
      <c r="F205" s="31"/>
    </row>
    <row r="206" spans="5:6" x14ac:dyDescent="0.25">
      <c r="E206" s="31"/>
      <c r="F206" s="31"/>
    </row>
    <row r="207" spans="5:6" x14ac:dyDescent="0.25">
      <c r="E207" s="31"/>
      <c r="F207" s="31"/>
    </row>
    <row r="208" spans="5:6" x14ac:dyDescent="0.25">
      <c r="E208" s="31"/>
      <c r="F208" s="31"/>
    </row>
    <row r="209" spans="5:6" x14ac:dyDescent="0.25">
      <c r="E209" s="31"/>
      <c r="F209" s="31"/>
    </row>
    <row r="210" spans="5:6" x14ac:dyDescent="0.25">
      <c r="E210" s="31"/>
      <c r="F210" s="31"/>
    </row>
    <row r="211" spans="5:6" x14ac:dyDescent="0.25">
      <c r="E211" s="31"/>
      <c r="F211" s="31"/>
    </row>
    <row r="212" spans="5:6" x14ac:dyDescent="0.25">
      <c r="E212" s="31"/>
      <c r="F212" s="31"/>
    </row>
    <row r="213" spans="5:6" x14ac:dyDescent="0.25">
      <c r="E213" s="31"/>
      <c r="F213" s="31"/>
    </row>
    <row r="214" spans="5:6" x14ac:dyDescent="0.25">
      <c r="E214" s="31"/>
      <c r="F214" s="31"/>
    </row>
    <row r="215" spans="5:6" x14ac:dyDescent="0.25">
      <c r="E215" s="31"/>
      <c r="F215" s="31"/>
    </row>
    <row r="216" spans="5:6" x14ac:dyDescent="0.25">
      <c r="E216" s="31"/>
      <c r="F216" s="31"/>
    </row>
    <row r="217" spans="5:6" x14ac:dyDescent="0.25">
      <c r="E217" s="31"/>
      <c r="F217" s="31"/>
    </row>
    <row r="218" spans="5:6" x14ac:dyDescent="0.25">
      <c r="E218" s="31"/>
      <c r="F218" s="31"/>
    </row>
    <row r="219" spans="5:6" x14ac:dyDescent="0.25">
      <c r="E219" s="31"/>
      <c r="F219" s="31"/>
    </row>
    <row r="220" spans="5:6" x14ac:dyDescent="0.25">
      <c r="E220" s="31"/>
      <c r="F220" s="31"/>
    </row>
    <row r="221" spans="5:6" x14ac:dyDescent="0.25">
      <c r="E221" s="31"/>
      <c r="F221" s="31"/>
    </row>
    <row r="222" spans="5:6" x14ac:dyDescent="0.25">
      <c r="E222" s="31"/>
      <c r="F222" s="31"/>
    </row>
    <row r="223" spans="5:6" x14ac:dyDescent="0.25">
      <c r="E223" s="31"/>
      <c r="F223" s="31"/>
    </row>
    <row r="224" spans="5:6" x14ac:dyDescent="0.25">
      <c r="E224" s="31"/>
      <c r="F224" s="31"/>
    </row>
    <row r="225" spans="5:6" x14ac:dyDescent="0.25">
      <c r="E225" s="31"/>
      <c r="F225" s="31"/>
    </row>
    <row r="226" spans="5:6" x14ac:dyDescent="0.25">
      <c r="E226" s="31"/>
      <c r="F226" s="31"/>
    </row>
    <row r="227" spans="5:6" x14ac:dyDescent="0.25">
      <c r="E227" s="31"/>
      <c r="F227" s="31"/>
    </row>
    <row r="228" spans="5:6" x14ac:dyDescent="0.25">
      <c r="E228" s="31"/>
      <c r="F228" s="31"/>
    </row>
    <row r="229" spans="5:6" x14ac:dyDescent="0.25">
      <c r="E229" s="31"/>
      <c r="F229" s="31"/>
    </row>
    <row r="230" spans="5:6" x14ac:dyDescent="0.25">
      <c r="E230" s="31"/>
      <c r="F230" s="31"/>
    </row>
    <row r="231" spans="5:6" x14ac:dyDescent="0.25">
      <c r="E231" s="31"/>
      <c r="F231" s="31"/>
    </row>
    <row r="232" spans="5:6" x14ac:dyDescent="0.25">
      <c r="E232" s="31"/>
      <c r="F232" s="31"/>
    </row>
    <row r="233" spans="5:6" x14ac:dyDescent="0.25">
      <c r="E233" s="31"/>
      <c r="F233" s="31"/>
    </row>
    <row r="234" spans="5:6" x14ac:dyDescent="0.25">
      <c r="E234" s="31"/>
      <c r="F234" s="31"/>
    </row>
    <row r="235" spans="5:6" x14ac:dyDescent="0.25">
      <c r="E235" s="31"/>
      <c r="F235" s="31"/>
    </row>
    <row r="236" spans="5:6" x14ac:dyDescent="0.25">
      <c r="E236" s="31"/>
      <c r="F236" s="31"/>
    </row>
    <row r="237" spans="5:6" x14ac:dyDescent="0.25">
      <c r="E237" s="31"/>
      <c r="F237" s="31"/>
    </row>
    <row r="238" spans="5:6" x14ac:dyDescent="0.25">
      <c r="E238" s="31"/>
      <c r="F238" s="31"/>
    </row>
    <row r="239" spans="5:6" x14ac:dyDescent="0.25">
      <c r="E239" s="31"/>
      <c r="F239" s="31"/>
    </row>
    <row r="240" spans="5:6" x14ac:dyDescent="0.25">
      <c r="E240" s="31"/>
      <c r="F240" s="31"/>
    </row>
    <row r="241" spans="5:6" x14ac:dyDescent="0.25">
      <c r="E241" s="31"/>
      <c r="F241" s="31"/>
    </row>
    <row r="242" spans="5:6" x14ac:dyDescent="0.25">
      <c r="E242" s="31"/>
      <c r="F242" s="31"/>
    </row>
    <row r="243" spans="5:6" x14ac:dyDescent="0.25">
      <c r="E243" s="31"/>
      <c r="F243" s="31"/>
    </row>
    <row r="244" spans="5:6" x14ac:dyDescent="0.25">
      <c r="E244" s="31"/>
      <c r="F244" s="31"/>
    </row>
    <row r="245" spans="5:6" x14ac:dyDescent="0.25">
      <c r="E245" s="31"/>
      <c r="F245" s="31"/>
    </row>
    <row r="246" spans="5:6" x14ac:dyDescent="0.25">
      <c r="E246" s="31"/>
      <c r="F246" s="31"/>
    </row>
    <row r="247" spans="5:6" x14ac:dyDescent="0.25">
      <c r="E247" s="31"/>
      <c r="F247" s="31"/>
    </row>
    <row r="248" spans="5:6" x14ac:dyDescent="0.25">
      <c r="E248" s="31"/>
      <c r="F248" s="31"/>
    </row>
    <row r="249" spans="5:6" x14ac:dyDescent="0.25">
      <c r="E249" s="31"/>
      <c r="F249" s="31"/>
    </row>
    <row r="250" spans="5:6" x14ac:dyDescent="0.25">
      <c r="E250" s="31"/>
      <c r="F250" s="31"/>
    </row>
    <row r="251" spans="5:6" x14ac:dyDescent="0.25">
      <c r="E251" s="31"/>
      <c r="F251" s="31"/>
    </row>
    <row r="252" spans="5:6" x14ac:dyDescent="0.25">
      <c r="E252" s="31"/>
      <c r="F252" s="31"/>
    </row>
    <row r="253" spans="5:6" x14ac:dyDescent="0.25">
      <c r="E253" s="31"/>
      <c r="F253" s="31"/>
    </row>
    <row r="254" spans="5:6" x14ac:dyDescent="0.25">
      <c r="E254" s="31"/>
      <c r="F254" s="31"/>
    </row>
    <row r="255" spans="5:6" x14ac:dyDescent="0.25">
      <c r="E255" s="31"/>
      <c r="F255" s="31"/>
    </row>
  </sheetData>
  <pageMargins left="0.75" right="0.75" top="1" bottom="1" header="0.5" footer="0.5"/>
  <pageSetup paperSize="9" orientation="portrait" verticalDpi="0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Database</vt:lpstr>
      <vt:lpstr>ExchangeRates</vt:lpstr>
      <vt:lpstr>OrderStatusComments</vt:lpstr>
      <vt:lpstr>Descriptions</vt:lpstr>
      <vt:lpstr>PvtTableDef</vt:lpstr>
      <vt:lpstr>LocalLists</vt:lpstr>
      <vt:lpstr>ReportOptions</vt:lpstr>
      <vt:lpstr>Version</vt:lpstr>
      <vt:lpstr>Rapport info</vt:lpstr>
      <vt:lpstr>Verdi</vt:lpstr>
      <vt:lpstr>Totalt</vt:lpstr>
      <vt:lpstr>Status per idag</vt:lpstr>
      <vt:lpstr>Currency</vt:lpstr>
      <vt:lpstr>FirstSheet</vt:lpstr>
      <vt:lpstr>FirstTable</vt:lpstr>
      <vt:lpstr>Last_Update</vt:lpstr>
      <vt:lpstr>Verdi!Print_Titles</vt:lpstr>
      <vt:lpstr>RecNum</vt:lpstr>
      <vt:lpstr>ReportCaption</vt:lpstr>
      <vt:lpstr>ReportID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2015-04-04T10:50:41Z</dcterms:modified>
</cp:coreProperties>
</file>