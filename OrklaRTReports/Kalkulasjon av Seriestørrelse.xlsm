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pivotTables/pivotTable3.xml" ContentType="application/vnd.openxmlformats-officedocument.spreadsheetml.pivotTable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codeName="ThisWorkbook" hidePivotFieldList="1"/>
  <workbookProtection workbookPassword="CB87" lockStructure="1"/>
  <bookViews>
    <workbookView xWindow="1530" yWindow="2880" windowWidth="17385" windowHeight="7380" tabRatio="934" firstSheet="11" activeTab="11"/>
  </bookViews>
  <sheets>
    <sheet name="Database" sheetId="9" state="hidden" r:id="rId1"/>
    <sheet name="Y111_Data" sheetId="34" state="hidden" r:id="rId2"/>
    <sheet name="ExchangeRates" sheetId="11" state="hidden" r:id="rId3"/>
    <sheet name="ProductHierarchyLevels" sheetId="22" state="hidden" r:id="rId4"/>
    <sheet name="CustomerHierarchyLevels" sheetId="23" state="hidden" r:id="rId5"/>
    <sheet name="Descriptions" sheetId="8" state="hidden" r:id="rId6"/>
    <sheet name="PvtTableDef" sheetId="33" state="hidden" r:id="rId7"/>
    <sheet name="LocalLists" sheetId="24" state="hidden" r:id="rId8"/>
    <sheet name="ReportOptions" sheetId="10" state="hidden" r:id="rId9"/>
    <sheet name="Version" sheetId="5" state="hidden" r:id="rId10"/>
    <sheet name="Pivot" sheetId="35" state="hidden" r:id="rId11"/>
    <sheet name="Rapport info" sheetId="1" r:id="rId12"/>
    <sheet name="Lot Sizes" sheetId="36" r:id="rId13"/>
    <sheet name="WC_Details" sheetId="37" r:id="rId14"/>
    <sheet name="All_Materials" sheetId="38" r:id="rId15"/>
  </sheets>
  <definedNames>
    <definedName name="CurrCO">'Lot Sizes'!$F$11</definedName>
    <definedName name="Currency">ReportOptions!$B$10</definedName>
    <definedName name="CustomerHierarchy">ReportOptions!$B$7</definedName>
    <definedName name="DataRange">'Lot Sizes'!$A$14:$E$608</definedName>
    <definedName name="FirstSheet">Version!$B$6</definedName>
    <definedName name="FirstTable">Version!$B$7</definedName>
    <definedName name="MaterialPrice">ReportOptions!$B$5</definedName>
    <definedName name="NewCO">'Lot Sizes'!$B$5</definedName>
    <definedName name="PasteStart">'Lot Sizes'!$A$14</definedName>
    <definedName name="_xlnm.Print_Area" localSheetId="12">'Lot Sizes'!$A$1:$N$38</definedName>
    <definedName name="_xlnm.Print_Titles" localSheetId="14">All_Materials!$10:$11</definedName>
    <definedName name="_xlnm.Print_Titles" localSheetId="13">WC_Details!$12:$12</definedName>
    <definedName name="ProductHierarchy">ReportOptions!$B$6</definedName>
    <definedName name="QuantityUnit">ReportOptions!$B$9</definedName>
    <definedName name="Query">'Lot Sizes'!#REF!</definedName>
    <definedName name="RecNum">'Rapport info'!$K$10</definedName>
    <definedName name="ReportCaption">Version!$B$8</definedName>
    <definedName name="ReportCaption1">Version!$B$9</definedName>
    <definedName name="ReportCaption2">Version!$B$10</definedName>
    <definedName name="ReportID">Version!$B$4</definedName>
    <definedName name="ReportType">"Special"</definedName>
    <definedName name="SalesValue">ReportOptions!$B$8</definedName>
    <definedName name="SapExlReportName">Version!$B$5</definedName>
    <definedName name="ShapeQuery" localSheetId="13">WC_Details!$C$13</definedName>
    <definedName name="Time_Used">'Rapport info'!$K$12</definedName>
    <definedName name="Updated">'Rapport info'!$K$11</definedName>
    <definedName name="WC_Name">Y111_Data!$BG$1</definedName>
  </definedNames>
  <calcPr calcId="145621"/>
  <pivotCaches>
    <pivotCache cacheId="299" r:id="rId16"/>
    <pivotCache cacheId="300" r:id="rId17"/>
  </pivotCaches>
</workbook>
</file>

<file path=xl/calcChain.xml><?xml version="1.0" encoding="utf-8"?>
<calcChain xmlns="http://schemas.openxmlformats.org/spreadsheetml/2006/main">
  <c r="AK2" i="9" l="1"/>
  <c r="AK3" i="9"/>
  <c r="AJ2" i="9" l="1"/>
  <c r="AJ3" i="9"/>
  <c r="AL2" i="9" l="1"/>
  <c r="AL3" i="9"/>
  <c r="AF2" i="9"/>
  <c r="AF3" i="9"/>
  <c r="AH2" i="9" l="1"/>
  <c r="AI2" i="9" s="1"/>
  <c r="AH3" i="9"/>
  <c r="AI3" i="9" s="1"/>
  <c r="AG2" i="9" l="1"/>
  <c r="AG3" i="9"/>
  <c r="A4" i="36" l="1"/>
  <c r="A2" i="37" l="1"/>
  <c r="A2" i="38"/>
  <c r="J578" i="36"/>
  <c r="F578" i="36"/>
  <c r="G578" i="36" s="1"/>
  <c r="H578" i="36" s="1"/>
  <c r="J577" i="36"/>
  <c r="F577" i="36"/>
  <c r="G577" i="36" s="1"/>
  <c r="H577" i="36" s="1"/>
  <c r="J576" i="36"/>
  <c r="F576" i="36"/>
  <c r="G576" i="36" s="1"/>
  <c r="H576" i="36" s="1"/>
  <c r="J575" i="36"/>
  <c r="F575" i="36"/>
  <c r="G575" i="36" s="1"/>
  <c r="H575" i="36" s="1"/>
  <c r="J574" i="36"/>
  <c r="F574" i="36"/>
  <c r="G574" i="36" s="1"/>
  <c r="H574" i="36" s="1"/>
  <c r="J573" i="36"/>
  <c r="F573" i="36"/>
  <c r="G573" i="36" s="1"/>
  <c r="H573" i="36" s="1"/>
  <c r="J572" i="36"/>
  <c r="F572" i="36"/>
  <c r="G572" i="36" s="1"/>
  <c r="H572" i="36" s="1"/>
  <c r="J571" i="36"/>
  <c r="F571" i="36"/>
  <c r="G571" i="36" s="1"/>
  <c r="H571" i="36" s="1"/>
  <c r="J570" i="36"/>
  <c r="F570" i="36"/>
  <c r="G570" i="36" s="1"/>
  <c r="H570" i="36" s="1"/>
  <c r="J569" i="36"/>
  <c r="F569" i="36"/>
  <c r="G569" i="36" s="1"/>
  <c r="H569" i="36" s="1"/>
  <c r="J568" i="36"/>
  <c r="F568" i="36"/>
  <c r="G568" i="36" s="1"/>
  <c r="H568" i="36" s="1"/>
  <c r="J567" i="36"/>
  <c r="F567" i="36"/>
  <c r="G567" i="36" s="1"/>
  <c r="H567" i="36" s="1"/>
  <c r="J566" i="36"/>
  <c r="F566" i="36"/>
  <c r="G566" i="36" s="1"/>
  <c r="H566" i="36" s="1"/>
  <c r="J565" i="36"/>
  <c r="F565" i="36"/>
  <c r="G565" i="36" s="1"/>
  <c r="H565" i="36" s="1"/>
  <c r="J564" i="36"/>
  <c r="F564" i="36"/>
  <c r="G564" i="36" s="1"/>
  <c r="H564" i="36" s="1"/>
  <c r="J563" i="36"/>
  <c r="F563" i="36"/>
  <c r="G563" i="36" s="1"/>
  <c r="H563" i="36" s="1"/>
  <c r="J562" i="36"/>
  <c r="F562" i="36"/>
  <c r="G562" i="36" s="1"/>
  <c r="H562" i="36" s="1"/>
  <c r="J561" i="36"/>
  <c r="F561" i="36"/>
  <c r="G561" i="36" s="1"/>
  <c r="H561" i="36" s="1"/>
  <c r="J560" i="36"/>
  <c r="F560" i="36"/>
  <c r="G560" i="36" s="1"/>
  <c r="H560" i="36" s="1"/>
  <c r="J559" i="36"/>
  <c r="F559" i="36"/>
  <c r="G559" i="36" s="1"/>
  <c r="H559" i="36" s="1"/>
  <c r="J558" i="36"/>
  <c r="F558" i="36"/>
  <c r="G558" i="36" s="1"/>
  <c r="H558" i="36" s="1"/>
  <c r="J557" i="36"/>
  <c r="F557" i="36"/>
  <c r="G557" i="36" s="1"/>
  <c r="H557" i="36" s="1"/>
  <c r="J556" i="36"/>
  <c r="F556" i="36"/>
  <c r="G556" i="36" s="1"/>
  <c r="H556" i="36" s="1"/>
  <c r="J555" i="36"/>
  <c r="F555" i="36"/>
  <c r="G555" i="36" s="1"/>
  <c r="H555" i="36" s="1"/>
  <c r="J554" i="36"/>
  <c r="F554" i="36"/>
  <c r="G554" i="36" s="1"/>
  <c r="H554" i="36" s="1"/>
  <c r="J553" i="36"/>
  <c r="F553" i="36"/>
  <c r="G553" i="36" s="1"/>
  <c r="H553" i="36" s="1"/>
  <c r="J552" i="36"/>
  <c r="F552" i="36"/>
  <c r="G552" i="36" s="1"/>
  <c r="H552" i="36" s="1"/>
  <c r="J551" i="36"/>
  <c r="F551" i="36"/>
  <c r="G551" i="36" s="1"/>
  <c r="H551" i="36" s="1"/>
  <c r="J550" i="36"/>
  <c r="F550" i="36"/>
  <c r="G550" i="36" s="1"/>
  <c r="H550" i="36" s="1"/>
  <c r="J549" i="36"/>
  <c r="F549" i="36"/>
  <c r="G549" i="36" s="1"/>
  <c r="H549" i="36" s="1"/>
  <c r="J548" i="36"/>
  <c r="F548" i="36"/>
  <c r="G548" i="36" s="1"/>
  <c r="H548" i="36" s="1"/>
  <c r="J547" i="36"/>
  <c r="F547" i="36"/>
  <c r="G547" i="36" s="1"/>
  <c r="H547" i="36" s="1"/>
  <c r="J546" i="36"/>
  <c r="F546" i="36"/>
  <c r="G546" i="36" s="1"/>
  <c r="H546" i="36" s="1"/>
  <c r="J545" i="36"/>
  <c r="F545" i="36"/>
  <c r="G545" i="36" s="1"/>
  <c r="H545" i="36" s="1"/>
  <c r="J544" i="36"/>
  <c r="F544" i="36"/>
  <c r="G544" i="36" s="1"/>
  <c r="H544" i="36" s="1"/>
  <c r="J543" i="36"/>
  <c r="F543" i="36"/>
  <c r="G543" i="36" s="1"/>
  <c r="H543" i="36" s="1"/>
  <c r="J542" i="36"/>
  <c r="F542" i="36"/>
  <c r="G542" i="36" s="1"/>
  <c r="H542" i="36" s="1"/>
  <c r="J541" i="36"/>
  <c r="F541" i="36"/>
  <c r="G541" i="36" s="1"/>
  <c r="H541" i="36" s="1"/>
  <c r="J540" i="36"/>
  <c r="F540" i="36"/>
  <c r="G540" i="36" s="1"/>
  <c r="H540" i="36" s="1"/>
  <c r="J539" i="36"/>
  <c r="F539" i="36"/>
  <c r="G539" i="36" s="1"/>
  <c r="H539" i="36" s="1"/>
  <c r="J538" i="36"/>
  <c r="F538" i="36"/>
  <c r="G538" i="36" s="1"/>
  <c r="H538" i="36" s="1"/>
  <c r="J537" i="36"/>
  <c r="F537" i="36"/>
  <c r="G537" i="36" s="1"/>
  <c r="H537" i="36" s="1"/>
  <c r="J536" i="36"/>
  <c r="F536" i="36"/>
  <c r="G536" i="36" s="1"/>
  <c r="H536" i="36" s="1"/>
  <c r="J535" i="36"/>
  <c r="F535" i="36"/>
  <c r="G535" i="36" s="1"/>
  <c r="H535" i="36" s="1"/>
  <c r="J534" i="36"/>
  <c r="F534" i="36"/>
  <c r="G534" i="36" s="1"/>
  <c r="H534" i="36" s="1"/>
  <c r="J533" i="36"/>
  <c r="F533" i="36"/>
  <c r="G533" i="36" s="1"/>
  <c r="H533" i="36" s="1"/>
  <c r="J532" i="36"/>
  <c r="F532" i="36"/>
  <c r="G532" i="36" s="1"/>
  <c r="H532" i="36" s="1"/>
  <c r="J531" i="36"/>
  <c r="F531" i="36"/>
  <c r="G531" i="36" s="1"/>
  <c r="H531" i="36" s="1"/>
  <c r="J530" i="36"/>
  <c r="F530" i="36"/>
  <c r="G530" i="36" s="1"/>
  <c r="H530" i="36" s="1"/>
  <c r="J529" i="36"/>
  <c r="F529" i="36"/>
  <c r="G529" i="36" s="1"/>
  <c r="H529" i="36" s="1"/>
  <c r="J528" i="36"/>
  <c r="F528" i="36"/>
  <c r="G528" i="36" s="1"/>
  <c r="H528" i="36" s="1"/>
  <c r="J527" i="36"/>
  <c r="F527" i="36"/>
  <c r="G527" i="36" s="1"/>
  <c r="H527" i="36" s="1"/>
  <c r="J526" i="36"/>
  <c r="F526" i="36"/>
  <c r="G526" i="36" s="1"/>
  <c r="H526" i="36" s="1"/>
  <c r="J525" i="36"/>
  <c r="F525" i="36"/>
  <c r="G525" i="36" s="1"/>
  <c r="H525" i="36" s="1"/>
  <c r="J524" i="36"/>
  <c r="F524" i="36"/>
  <c r="G524" i="36" s="1"/>
  <c r="H524" i="36" s="1"/>
  <c r="J523" i="36"/>
  <c r="F523" i="36"/>
  <c r="G523" i="36" s="1"/>
  <c r="H523" i="36" s="1"/>
  <c r="J522" i="36"/>
  <c r="F522" i="36"/>
  <c r="G522" i="36" s="1"/>
  <c r="H522" i="36" s="1"/>
  <c r="J521" i="36"/>
  <c r="F521" i="36"/>
  <c r="G521" i="36" s="1"/>
  <c r="H521" i="36" s="1"/>
  <c r="J520" i="36"/>
  <c r="F520" i="36"/>
  <c r="G520" i="36" s="1"/>
  <c r="H520" i="36" s="1"/>
  <c r="J519" i="36"/>
  <c r="F519" i="36"/>
  <c r="G519" i="36" s="1"/>
  <c r="H519" i="36" s="1"/>
  <c r="J518" i="36"/>
  <c r="F518" i="36"/>
  <c r="G518" i="36" s="1"/>
  <c r="H518" i="36" s="1"/>
  <c r="J517" i="36"/>
  <c r="F517" i="36"/>
  <c r="G517" i="36" s="1"/>
  <c r="H517" i="36" s="1"/>
  <c r="J516" i="36"/>
  <c r="F516" i="36"/>
  <c r="G516" i="36" s="1"/>
  <c r="H516" i="36" s="1"/>
  <c r="J515" i="36"/>
  <c r="F515" i="36"/>
  <c r="G515" i="36" s="1"/>
  <c r="H515" i="36" s="1"/>
  <c r="J514" i="36"/>
  <c r="F514" i="36"/>
  <c r="G514" i="36" s="1"/>
  <c r="H514" i="36" s="1"/>
  <c r="J513" i="36"/>
  <c r="F513" i="36"/>
  <c r="G513" i="36" s="1"/>
  <c r="H513" i="36" s="1"/>
  <c r="J512" i="36"/>
  <c r="F512" i="36"/>
  <c r="G512" i="36" s="1"/>
  <c r="H512" i="36" s="1"/>
  <c r="J511" i="36"/>
  <c r="F511" i="36"/>
  <c r="G511" i="36" s="1"/>
  <c r="H511" i="36" s="1"/>
  <c r="J510" i="36"/>
  <c r="F510" i="36"/>
  <c r="G510" i="36" s="1"/>
  <c r="H510" i="36" s="1"/>
  <c r="J509" i="36"/>
  <c r="F509" i="36"/>
  <c r="G509" i="36" s="1"/>
  <c r="H509" i="36" s="1"/>
  <c r="J508" i="36"/>
  <c r="F508" i="36"/>
  <c r="G508" i="36" s="1"/>
  <c r="H508" i="36" s="1"/>
  <c r="J507" i="36"/>
  <c r="F507" i="36"/>
  <c r="G507" i="36" s="1"/>
  <c r="H507" i="36" s="1"/>
  <c r="J506" i="36"/>
  <c r="F506" i="36"/>
  <c r="G506" i="36" s="1"/>
  <c r="H506" i="36" s="1"/>
  <c r="J505" i="36"/>
  <c r="F505" i="36"/>
  <c r="G505" i="36" s="1"/>
  <c r="H505" i="36" s="1"/>
  <c r="J504" i="36"/>
  <c r="F504" i="36"/>
  <c r="G504" i="36" s="1"/>
  <c r="H504" i="36" s="1"/>
  <c r="J503" i="36"/>
  <c r="F503" i="36"/>
  <c r="G503" i="36" s="1"/>
  <c r="H503" i="36" s="1"/>
  <c r="J502" i="36"/>
  <c r="F502" i="36"/>
  <c r="G502" i="36" s="1"/>
  <c r="H502" i="36" s="1"/>
  <c r="J501" i="36"/>
  <c r="F501" i="36"/>
  <c r="G501" i="36" s="1"/>
  <c r="H501" i="36" s="1"/>
  <c r="J500" i="36"/>
  <c r="F500" i="36"/>
  <c r="G500" i="36" s="1"/>
  <c r="H500" i="36" s="1"/>
  <c r="J499" i="36"/>
  <c r="F499" i="36"/>
  <c r="G499" i="36" s="1"/>
  <c r="H499" i="36" s="1"/>
  <c r="J498" i="36"/>
  <c r="F498" i="36"/>
  <c r="G498" i="36" s="1"/>
  <c r="H498" i="36" s="1"/>
  <c r="J497" i="36"/>
  <c r="F497" i="36"/>
  <c r="G497" i="36" s="1"/>
  <c r="H497" i="36" s="1"/>
  <c r="J496" i="36"/>
  <c r="F496" i="36"/>
  <c r="G496" i="36" s="1"/>
  <c r="H496" i="36" s="1"/>
  <c r="J495" i="36"/>
  <c r="F495" i="36"/>
  <c r="G495" i="36" s="1"/>
  <c r="H495" i="36" s="1"/>
  <c r="J494" i="36"/>
  <c r="F494" i="36"/>
  <c r="G494" i="36" s="1"/>
  <c r="H494" i="36" s="1"/>
  <c r="J493" i="36"/>
  <c r="F493" i="36"/>
  <c r="G493" i="36" s="1"/>
  <c r="H493" i="36" s="1"/>
  <c r="J492" i="36"/>
  <c r="F492" i="36"/>
  <c r="G492" i="36" s="1"/>
  <c r="H492" i="36" s="1"/>
  <c r="J491" i="36"/>
  <c r="F491" i="36"/>
  <c r="G491" i="36" s="1"/>
  <c r="H491" i="36" s="1"/>
  <c r="J490" i="36"/>
  <c r="F490" i="36"/>
  <c r="G490" i="36" s="1"/>
  <c r="H490" i="36" s="1"/>
  <c r="J489" i="36"/>
  <c r="F489" i="36"/>
  <c r="G489" i="36" s="1"/>
  <c r="H489" i="36" s="1"/>
  <c r="J488" i="36"/>
  <c r="F488" i="36"/>
  <c r="G488" i="36" s="1"/>
  <c r="H488" i="36" s="1"/>
  <c r="J487" i="36"/>
  <c r="F487" i="36"/>
  <c r="G487" i="36" s="1"/>
  <c r="H487" i="36" s="1"/>
  <c r="J486" i="36"/>
  <c r="F486" i="36"/>
  <c r="G486" i="36" s="1"/>
  <c r="H486" i="36" s="1"/>
  <c r="J485" i="36"/>
  <c r="F485" i="36"/>
  <c r="G485" i="36" s="1"/>
  <c r="H485" i="36" s="1"/>
  <c r="J484" i="36"/>
  <c r="F484" i="36"/>
  <c r="G484" i="36" s="1"/>
  <c r="H484" i="36" s="1"/>
  <c r="J483" i="36"/>
  <c r="F483" i="36"/>
  <c r="G483" i="36" s="1"/>
  <c r="H483" i="36" s="1"/>
  <c r="J482" i="36"/>
  <c r="F482" i="36"/>
  <c r="G482" i="36" s="1"/>
  <c r="H482" i="36" s="1"/>
  <c r="J481" i="36"/>
  <c r="F481" i="36"/>
  <c r="G481" i="36" s="1"/>
  <c r="H481" i="36" s="1"/>
  <c r="J480" i="36"/>
  <c r="F480" i="36"/>
  <c r="G480" i="36" s="1"/>
  <c r="H480" i="36" s="1"/>
  <c r="J479" i="36"/>
  <c r="F479" i="36"/>
  <c r="G479" i="36" s="1"/>
  <c r="H479" i="36" s="1"/>
  <c r="J478" i="36"/>
  <c r="F478" i="36"/>
  <c r="G478" i="36" s="1"/>
  <c r="H478" i="36" s="1"/>
  <c r="J477" i="36"/>
  <c r="F477" i="36"/>
  <c r="G477" i="36" s="1"/>
  <c r="H477" i="36" s="1"/>
  <c r="J476" i="36"/>
  <c r="F476" i="36"/>
  <c r="G476" i="36" s="1"/>
  <c r="H476" i="36" s="1"/>
  <c r="J475" i="36"/>
  <c r="F475" i="36"/>
  <c r="G475" i="36" s="1"/>
  <c r="H475" i="36" s="1"/>
  <c r="J474" i="36"/>
  <c r="F474" i="36"/>
  <c r="G474" i="36" s="1"/>
  <c r="H474" i="36" s="1"/>
  <c r="J473" i="36"/>
  <c r="F473" i="36"/>
  <c r="G473" i="36" s="1"/>
  <c r="H473" i="36" s="1"/>
  <c r="J472" i="36"/>
  <c r="F472" i="36"/>
  <c r="G472" i="36" s="1"/>
  <c r="H472" i="36" s="1"/>
  <c r="J471" i="36"/>
  <c r="F471" i="36"/>
  <c r="G471" i="36" s="1"/>
  <c r="H471" i="36" s="1"/>
  <c r="J470" i="36"/>
  <c r="F470" i="36"/>
  <c r="G470" i="36" s="1"/>
  <c r="H470" i="36" s="1"/>
  <c r="J469" i="36"/>
  <c r="F469" i="36"/>
  <c r="G469" i="36" s="1"/>
  <c r="H469" i="36" s="1"/>
  <c r="J468" i="36"/>
  <c r="F468" i="36"/>
  <c r="G468" i="36" s="1"/>
  <c r="H468" i="36" s="1"/>
  <c r="J467" i="36"/>
  <c r="F467" i="36"/>
  <c r="G467" i="36" s="1"/>
  <c r="H467" i="36" s="1"/>
  <c r="J466" i="36"/>
  <c r="F466" i="36"/>
  <c r="G466" i="36" s="1"/>
  <c r="H466" i="36" s="1"/>
  <c r="J465" i="36"/>
  <c r="F465" i="36"/>
  <c r="G465" i="36" s="1"/>
  <c r="H465" i="36" s="1"/>
  <c r="J464" i="36"/>
  <c r="F464" i="36"/>
  <c r="G464" i="36" s="1"/>
  <c r="H464" i="36" s="1"/>
  <c r="J463" i="36"/>
  <c r="F463" i="36"/>
  <c r="G463" i="36" s="1"/>
  <c r="H463" i="36" s="1"/>
  <c r="J462" i="36"/>
  <c r="F462" i="36"/>
  <c r="G462" i="36" s="1"/>
  <c r="H462" i="36" s="1"/>
  <c r="J461" i="36"/>
  <c r="F461" i="36"/>
  <c r="G461" i="36" s="1"/>
  <c r="H461" i="36" s="1"/>
  <c r="J460" i="36"/>
  <c r="F460" i="36"/>
  <c r="G460" i="36" s="1"/>
  <c r="H460" i="36" s="1"/>
  <c r="J459" i="36"/>
  <c r="F459" i="36"/>
  <c r="G459" i="36" s="1"/>
  <c r="H459" i="36" s="1"/>
  <c r="J458" i="36"/>
  <c r="F458" i="36"/>
  <c r="G458" i="36" s="1"/>
  <c r="H458" i="36" s="1"/>
  <c r="J457" i="36"/>
  <c r="F457" i="36"/>
  <c r="G457" i="36" s="1"/>
  <c r="H457" i="36" s="1"/>
  <c r="J456" i="36"/>
  <c r="F456" i="36"/>
  <c r="G456" i="36" s="1"/>
  <c r="H456" i="36" s="1"/>
  <c r="J455" i="36"/>
  <c r="F455" i="36"/>
  <c r="G455" i="36" s="1"/>
  <c r="H455" i="36" s="1"/>
  <c r="J454" i="36"/>
  <c r="F454" i="36"/>
  <c r="G454" i="36" s="1"/>
  <c r="H454" i="36" s="1"/>
  <c r="J453" i="36"/>
  <c r="F453" i="36"/>
  <c r="G453" i="36" s="1"/>
  <c r="H453" i="36" s="1"/>
  <c r="J452" i="36"/>
  <c r="F452" i="36"/>
  <c r="G452" i="36" s="1"/>
  <c r="H452" i="36" s="1"/>
  <c r="J451" i="36"/>
  <c r="F451" i="36"/>
  <c r="G451" i="36" s="1"/>
  <c r="H451" i="36" s="1"/>
  <c r="J450" i="36"/>
  <c r="F450" i="36"/>
  <c r="G450" i="36" s="1"/>
  <c r="H450" i="36" s="1"/>
  <c r="J449" i="36"/>
  <c r="F449" i="36"/>
  <c r="G449" i="36" s="1"/>
  <c r="H449" i="36" s="1"/>
  <c r="J448" i="36"/>
  <c r="F448" i="36"/>
  <c r="G448" i="36" s="1"/>
  <c r="H448" i="36" s="1"/>
  <c r="J447" i="36"/>
  <c r="F447" i="36"/>
  <c r="G447" i="36" s="1"/>
  <c r="H447" i="36" s="1"/>
  <c r="J446" i="36"/>
  <c r="F446" i="36"/>
  <c r="G446" i="36" s="1"/>
  <c r="H446" i="36" s="1"/>
  <c r="J445" i="36"/>
  <c r="F445" i="36"/>
  <c r="G445" i="36" s="1"/>
  <c r="H445" i="36" s="1"/>
  <c r="J444" i="36"/>
  <c r="F444" i="36"/>
  <c r="G444" i="36" s="1"/>
  <c r="H444" i="36" s="1"/>
  <c r="J443" i="36"/>
  <c r="F443" i="36"/>
  <c r="G443" i="36" s="1"/>
  <c r="H443" i="36" s="1"/>
  <c r="J442" i="36"/>
  <c r="F442" i="36"/>
  <c r="G442" i="36" s="1"/>
  <c r="H442" i="36" s="1"/>
  <c r="J441" i="36"/>
  <c r="F441" i="36"/>
  <c r="G441" i="36" s="1"/>
  <c r="H441" i="36" s="1"/>
  <c r="J440" i="36"/>
  <c r="F440" i="36"/>
  <c r="G440" i="36" s="1"/>
  <c r="H440" i="36" s="1"/>
  <c r="J439" i="36"/>
  <c r="F439" i="36"/>
  <c r="G439" i="36" s="1"/>
  <c r="H439" i="36" s="1"/>
  <c r="J438" i="36"/>
  <c r="F438" i="36"/>
  <c r="G438" i="36" s="1"/>
  <c r="H438" i="36" s="1"/>
  <c r="J437" i="36"/>
  <c r="F437" i="36"/>
  <c r="G437" i="36" s="1"/>
  <c r="H437" i="36" s="1"/>
  <c r="J436" i="36"/>
  <c r="F436" i="36"/>
  <c r="G436" i="36" s="1"/>
  <c r="H436" i="36" s="1"/>
  <c r="J435" i="36"/>
  <c r="F435" i="36"/>
  <c r="G435" i="36" s="1"/>
  <c r="H435" i="36" s="1"/>
  <c r="J434" i="36"/>
  <c r="F434" i="36"/>
  <c r="G434" i="36" s="1"/>
  <c r="H434" i="36" s="1"/>
  <c r="J433" i="36"/>
  <c r="F433" i="36"/>
  <c r="G433" i="36" s="1"/>
  <c r="H433" i="36" s="1"/>
  <c r="J432" i="36"/>
  <c r="F432" i="36"/>
  <c r="G432" i="36" s="1"/>
  <c r="H432" i="36" s="1"/>
  <c r="J431" i="36"/>
  <c r="F431" i="36"/>
  <c r="G431" i="36" s="1"/>
  <c r="H431" i="36" s="1"/>
  <c r="J430" i="36"/>
  <c r="F430" i="36"/>
  <c r="G430" i="36" s="1"/>
  <c r="H430" i="36" s="1"/>
  <c r="J429" i="36"/>
  <c r="F429" i="36"/>
  <c r="G429" i="36" s="1"/>
  <c r="H429" i="36" s="1"/>
  <c r="J428" i="36"/>
  <c r="F428" i="36"/>
  <c r="G428" i="36" s="1"/>
  <c r="H428" i="36" s="1"/>
  <c r="J427" i="36"/>
  <c r="F427" i="36"/>
  <c r="G427" i="36" s="1"/>
  <c r="H427" i="36" s="1"/>
  <c r="J426" i="36"/>
  <c r="F426" i="36"/>
  <c r="G426" i="36" s="1"/>
  <c r="H426" i="36" s="1"/>
  <c r="J425" i="36"/>
  <c r="F425" i="36"/>
  <c r="G425" i="36" s="1"/>
  <c r="H425" i="36" s="1"/>
  <c r="J424" i="36"/>
  <c r="F424" i="36"/>
  <c r="G424" i="36" s="1"/>
  <c r="H424" i="36" s="1"/>
  <c r="J423" i="36"/>
  <c r="F423" i="36"/>
  <c r="G423" i="36" s="1"/>
  <c r="H423" i="36" s="1"/>
  <c r="J422" i="36"/>
  <c r="F422" i="36"/>
  <c r="G422" i="36" s="1"/>
  <c r="H422" i="36" s="1"/>
  <c r="J421" i="36"/>
  <c r="F421" i="36"/>
  <c r="G421" i="36" s="1"/>
  <c r="H421" i="36" s="1"/>
  <c r="J420" i="36"/>
  <c r="F420" i="36"/>
  <c r="G420" i="36" s="1"/>
  <c r="H420" i="36" s="1"/>
  <c r="J419" i="36"/>
  <c r="F419" i="36"/>
  <c r="G419" i="36" s="1"/>
  <c r="H419" i="36" s="1"/>
  <c r="J418" i="36"/>
  <c r="F418" i="36"/>
  <c r="G418" i="36" s="1"/>
  <c r="H418" i="36" s="1"/>
  <c r="J417" i="36"/>
  <c r="F417" i="36"/>
  <c r="G417" i="36" s="1"/>
  <c r="H417" i="36" s="1"/>
  <c r="J416" i="36"/>
  <c r="F416" i="36"/>
  <c r="G416" i="36" s="1"/>
  <c r="H416" i="36" s="1"/>
  <c r="J415" i="36"/>
  <c r="F415" i="36"/>
  <c r="G415" i="36" s="1"/>
  <c r="H415" i="36" s="1"/>
  <c r="J414" i="36"/>
  <c r="F414" i="36"/>
  <c r="G414" i="36" s="1"/>
  <c r="H414" i="36" s="1"/>
  <c r="J413" i="36"/>
  <c r="F413" i="36"/>
  <c r="G413" i="36" s="1"/>
  <c r="H413" i="36" s="1"/>
  <c r="J412" i="36"/>
  <c r="F412" i="36"/>
  <c r="G412" i="36" s="1"/>
  <c r="H412" i="36" s="1"/>
  <c r="J411" i="36"/>
  <c r="F411" i="36"/>
  <c r="G411" i="36" s="1"/>
  <c r="H411" i="36" s="1"/>
  <c r="J410" i="36"/>
  <c r="F410" i="36"/>
  <c r="G410" i="36" s="1"/>
  <c r="H410" i="36" s="1"/>
  <c r="J409" i="36"/>
  <c r="F409" i="36"/>
  <c r="G409" i="36" s="1"/>
  <c r="H409" i="36" s="1"/>
  <c r="J408" i="36"/>
  <c r="F408" i="36"/>
  <c r="G408" i="36" s="1"/>
  <c r="H408" i="36" s="1"/>
  <c r="J407" i="36"/>
  <c r="F407" i="36"/>
  <c r="G407" i="36" s="1"/>
  <c r="H407" i="36" s="1"/>
  <c r="J406" i="36"/>
  <c r="F406" i="36"/>
  <c r="G406" i="36" s="1"/>
  <c r="H406" i="36" s="1"/>
  <c r="J405" i="36"/>
  <c r="F405" i="36"/>
  <c r="G405" i="36" s="1"/>
  <c r="H405" i="36" s="1"/>
  <c r="J404" i="36"/>
  <c r="F404" i="36"/>
  <c r="G404" i="36" s="1"/>
  <c r="H404" i="36" s="1"/>
  <c r="J403" i="36"/>
  <c r="F403" i="36"/>
  <c r="G403" i="36" s="1"/>
  <c r="H403" i="36" s="1"/>
  <c r="J402" i="36"/>
  <c r="F402" i="36"/>
  <c r="G402" i="36" s="1"/>
  <c r="H402" i="36" s="1"/>
  <c r="J401" i="36"/>
  <c r="F401" i="36"/>
  <c r="G401" i="36" s="1"/>
  <c r="H401" i="36" s="1"/>
  <c r="J400" i="36"/>
  <c r="F400" i="36"/>
  <c r="G400" i="36" s="1"/>
  <c r="H400" i="36" s="1"/>
  <c r="J399" i="36"/>
  <c r="F399" i="36"/>
  <c r="G399" i="36" s="1"/>
  <c r="H399" i="36" s="1"/>
  <c r="J398" i="36"/>
  <c r="F398" i="36"/>
  <c r="G398" i="36" s="1"/>
  <c r="H398" i="36" s="1"/>
  <c r="J397" i="36"/>
  <c r="F397" i="36"/>
  <c r="G397" i="36" s="1"/>
  <c r="H397" i="36" s="1"/>
  <c r="J396" i="36"/>
  <c r="F396" i="36"/>
  <c r="G396" i="36" s="1"/>
  <c r="H396" i="36" s="1"/>
  <c r="J395" i="36"/>
  <c r="F395" i="36"/>
  <c r="G395" i="36" s="1"/>
  <c r="H395" i="36" s="1"/>
  <c r="J394" i="36"/>
  <c r="F394" i="36"/>
  <c r="G394" i="36" s="1"/>
  <c r="H394" i="36" s="1"/>
  <c r="J393" i="36"/>
  <c r="F393" i="36"/>
  <c r="G393" i="36" s="1"/>
  <c r="H393" i="36" s="1"/>
  <c r="J392" i="36"/>
  <c r="F392" i="36"/>
  <c r="G392" i="36" s="1"/>
  <c r="H392" i="36" s="1"/>
  <c r="J391" i="36"/>
  <c r="F391" i="36"/>
  <c r="G391" i="36" s="1"/>
  <c r="H391" i="36" s="1"/>
  <c r="J390" i="36"/>
  <c r="F390" i="36"/>
  <c r="G390" i="36" s="1"/>
  <c r="H390" i="36" s="1"/>
  <c r="J389" i="36"/>
  <c r="F389" i="36"/>
  <c r="G389" i="36" s="1"/>
  <c r="H389" i="36" s="1"/>
  <c r="J388" i="36"/>
  <c r="F388" i="36"/>
  <c r="G388" i="36" s="1"/>
  <c r="H388" i="36" s="1"/>
  <c r="J387" i="36"/>
  <c r="F387" i="36"/>
  <c r="G387" i="36" s="1"/>
  <c r="H387" i="36" s="1"/>
  <c r="J386" i="36"/>
  <c r="F386" i="36"/>
  <c r="G386" i="36" s="1"/>
  <c r="H386" i="36" s="1"/>
  <c r="J385" i="36"/>
  <c r="F385" i="36"/>
  <c r="G385" i="36" s="1"/>
  <c r="H385" i="36" s="1"/>
  <c r="J384" i="36"/>
  <c r="F384" i="36"/>
  <c r="G384" i="36" s="1"/>
  <c r="H384" i="36" s="1"/>
  <c r="J383" i="36"/>
  <c r="F383" i="36"/>
  <c r="G383" i="36" s="1"/>
  <c r="H383" i="36" s="1"/>
  <c r="J382" i="36"/>
  <c r="F382" i="36"/>
  <c r="G382" i="36" s="1"/>
  <c r="H382" i="36" s="1"/>
  <c r="J381" i="36"/>
  <c r="F381" i="36"/>
  <c r="G381" i="36" s="1"/>
  <c r="H381" i="36" s="1"/>
  <c r="J380" i="36"/>
  <c r="F380" i="36"/>
  <c r="G380" i="36" s="1"/>
  <c r="H380" i="36" s="1"/>
  <c r="J379" i="36"/>
  <c r="F379" i="36"/>
  <c r="G379" i="36" s="1"/>
  <c r="H379" i="36" s="1"/>
  <c r="J378" i="36"/>
  <c r="F378" i="36"/>
  <c r="G378" i="36" s="1"/>
  <c r="H378" i="36" s="1"/>
  <c r="J377" i="36"/>
  <c r="F377" i="36"/>
  <c r="G377" i="36" s="1"/>
  <c r="H377" i="36" s="1"/>
  <c r="J376" i="36"/>
  <c r="F376" i="36"/>
  <c r="G376" i="36" s="1"/>
  <c r="H376" i="36" s="1"/>
  <c r="J375" i="36"/>
  <c r="F375" i="36"/>
  <c r="G375" i="36" s="1"/>
  <c r="H375" i="36" s="1"/>
  <c r="J374" i="36"/>
  <c r="F374" i="36"/>
  <c r="G374" i="36" s="1"/>
  <c r="H374" i="36" s="1"/>
  <c r="J373" i="36"/>
  <c r="F373" i="36"/>
  <c r="G373" i="36" s="1"/>
  <c r="H373" i="36" s="1"/>
  <c r="J372" i="36"/>
  <c r="F372" i="36"/>
  <c r="G372" i="36" s="1"/>
  <c r="H372" i="36" s="1"/>
  <c r="J371" i="36"/>
  <c r="F371" i="36"/>
  <c r="G371" i="36" s="1"/>
  <c r="H371" i="36" s="1"/>
  <c r="J370" i="36"/>
  <c r="F370" i="36"/>
  <c r="G370" i="36" s="1"/>
  <c r="H370" i="36" s="1"/>
  <c r="J369" i="36"/>
  <c r="F369" i="36"/>
  <c r="G369" i="36" s="1"/>
  <c r="H369" i="36" s="1"/>
  <c r="J368" i="36"/>
  <c r="F368" i="36"/>
  <c r="G368" i="36" s="1"/>
  <c r="H368" i="36" s="1"/>
  <c r="J367" i="36"/>
  <c r="F367" i="36"/>
  <c r="G367" i="36" s="1"/>
  <c r="H367" i="36" s="1"/>
  <c r="J366" i="36"/>
  <c r="F366" i="36"/>
  <c r="G366" i="36" s="1"/>
  <c r="H366" i="36" s="1"/>
  <c r="J365" i="36"/>
  <c r="F365" i="36"/>
  <c r="G365" i="36" s="1"/>
  <c r="H365" i="36" s="1"/>
  <c r="J364" i="36"/>
  <c r="F364" i="36"/>
  <c r="G364" i="36" s="1"/>
  <c r="H364" i="36" s="1"/>
  <c r="J363" i="36"/>
  <c r="F363" i="36"/>
  <c r="G363" i="36" s="1"/>
  <c r="H363" i="36" s="1"/>
  <c r="J362" i="36"/>
  <c r="F362" i="36"/>
  <c r="G362" i="36" s="1"/>
  <c r="H362" i="36" s="1"/>
  <c r="J361" i="36"/>
  <c r="F361" i="36"/>
  <c r="G361" i="36" s="1"/>
  <c r="H361" i="36" s="1"/>
  <c r="J360" i="36"/>
  <c r="F360" i="36"/>
  <c r="G360" i="36" s="1"/>
  <c r="H360" i="36" s="1"/>
  <c r="J359" i="36"/>
  <c r="F359" i="36"/>
  <c r="G359" i="36" s="1"/>
  <c r="H359" i="36" s="1"/>
  <c r="J358" i="36"/>
  <c r="F358" i="36"/>
  <c r="G358" i="36" s="1"/>
  <c r="H358" i="36" s="1"/>
  <c r="J357" i="36"/>
  <c r="F357" i="36"/>
  <c r="G357" i="36" s="1"/>
  <c r="H357" i="36" s="1"/>
  <c r="J356" i="36"/>
  <c r="F356" i="36"/>
  <c r="G356" i="36" s="1"/>
  <c r="H356" i="36" s="1"/>
  <c r="J355" i="36"/>
  <c r="F355" i="36"/>
  <c r="G355" i="36" s="1"/>
  <c r="H355" i="36" s="1"/>
  <c r="J354" i="36"/>
  <c r="F354" i="36"/>
  <c r="G354" i="36" s="1"/>
  <c r="H354" i="36" s="1"/>
  <c r="J353" i="36"/>
  <c r="F353" i="36"/>
  <c r="G353" i="36" s="1"/>
  <c r="H353" i="36" s="1"/>
  <c r="J352" i="36"/>
  <c r="F352" i="36"/>
  <c r="G352" i="36" s="1"/>
  <c r="H352" i="36" s="1"/>
  <c r="J351" i="36"/>
  <c r="F351" i="36"/>
  <c r="G351" i="36" s="1"/>
  <c r="H351" i="36" s="1"/>
  <c r="J350" i="36"/>
  <c r="F350" i="36"/>
  <c r="G350" i="36" s="1"/>
  <c r="H350" i="36" s="1"/>
  <c r="J349" i="36"/>
  <c r="F349" i="36"/>
  <c r="G349" i="36" s="1"/>
  <c r="H349" i="36" s="1"/>
  <c r="J348" i="36"/>
  <c r="F348" i="36"/>
  <c r="G348" i="36" s="1"/>
  <c r="H348" i="36" s="1"/>
  <c r="J347" i="36"/>
  <c r="F347" i="36"/>
  <c r="G347" i="36" s="1"/>
  <c r="H347" i="36" s="1"/>
  <c r="J346" i="36"/>
  <c r="F346" i="36"/>
  <c r="G346" i="36" s="1"/>
  <c r="H346" i="36" s="1"/>
  <c r="J345" i="36"/>
  <c r="F345" i="36"/>
  <c r="G345" i="36" s="1"/>
  <c r="H345" i="36" s="1"/>
  <c r="J344" i="36"/>
  <c r="F344" i="36"/>
  <c r="G344" i="36" s="1"/>
  <c r="H344" i="36" s="1"/>
  <c r="J343" i="36"/>
  <c r="F343" i="36"/>
  <c r="G343" i="36" s="1"/>
  <c r="H343" i="36" s="1"/>
  <c r="J342" i="36"/>
  <c r="F342" i="36"/>
  <c r="G342" i="36" s="1"/>
  <c r="H342" i="36" s="1"/>
  <c r="J341" i="36"/>
  <c r="F341" i="36"/>
  <c r="G341" i="36" s="1"/>
  <c r="H341" i="36" s="1"/>
  <c r="J340" i="36"/>
  <c r="F340" i="36"/>
  <c r="G340" i="36" s="1"/>
  <c r="H340" i="36" s="1"/>
  <c r="J339" i="36"/>
  <c r="F339" i="36"/>
  <c r="G339" i="36" s="1"/>
  <c r="H339" i="36" s="1"/>
  <c r="J338" i="36"/>
  <c r="F338" i="36"/>
  <c r="G338" i="36" s="1"/>
  <c r="H338" i="36" s="1"/>
  <c r="J337" i="36"/>
  <c r="F337" i="36"/>
  <c r="G337" i="36" s="1"/>
  <c r="H337" i="36" s="1"/>
  <c r="J336" i="36"/>
  <c r="F336" i="36"/>
  <c r="G336" i="36" s="1"/>
  <c r="H336" i="36" s="1"/>
  <c r="J335" i="36"/>
  <c r="F335" i="36"/>
  <c r="G335" i="36" s="1"/>
  <c r="H335" i="36" s="1"/>
  <c r="J334" i="36"/>
  <c r="F334" i="36"/>
  <c r="G334" i="36" s="1"/>
  <c r="H334" i="36" s="1"/>
  <c r="J333" i="36"/>
  <c r="F333" i="36"/>
  <c r="G333" i="36" s="1"/>
  <c r="H333" i="36" s="1"/>
  <c r="J332" i="36"/>
  <c r="F332" i="36"/>
  <c r="G332" i="36" s="1"/>
  <c r="H332" i="36" s="1"/>
  <c r="J331" i="36"/>
  <c r="F331" i="36"/>
  <c r="G331" i="36" s="1"/>
  <c r="H331" i="36" s="1"/>
  <c r="J330" i="36"/>
  <c r="F330" i="36"/>
  <c r="G330" i="36" s="1"/>
  <c r="H330" i="36" s="1"/>
  <c r="J329" i="36"/>
  <c r="F329" i="36"/>
  <c r="G329" i="36" s="1"/>
  <c r="H329" i="36" s="1"/>
  <c r="J328" i="36"/>
  <c r="F328" i="36"/>
  <c r="G328" i="36" s="1"/>
  <c r="H328" i="36" s="1"/>
  <c r="J327" i="36"/>
  <c r="F327" i="36"/>
  <c r="G327" i="36" s="1"/>
  <c r="H327" i="36" s="1"/>
  <c r="J326" i="36"/>
  <c r="F326" i="36"/>
  <c r="G326" i="36" s="1"/>
  <c r="H326" i="36" s="1"/>
  <c r="J325" i="36"/>
  <c r="F325" i="36"/>
  <c r="G325" i="36" s="1"/>
  <c r="H325" i="36" s="1"/>
  <c r="J324" i="36"/>
  <c r="F324" i="36"/>
  <c r="G324" i="36" s="1"/>
  <c r="H324" i="36" s="1"/>
  <c r="J323" i="36"/>
  <c r="F323" i="36"/>
  <c r="G323" i="36" s="1"/>
  <c r="H323" i="36" s="1"/>
  <c r="J322" i="36"/>
  <c r="F322" i="36"/>
  <c r="G322" i="36" s="1"/>
  <c r="H322" i="36" s="1"/>
  <c r="J321" i="36"/>
  <c r="F321" i="36"/>
  <c r="G321" i="36" s="1"/>
  <c r="H321" i="36" s="1"/>
  <c r="J320" i="36"/>
  <c r="F320" i="36"/>
  <c r="G320" i="36" s="1"/>
  <c r="H320" i="36" s="1"/>
  <c r="J319" i="36"/>
  <c r="F319" i="36"/>
  <c r="G319" i="36" s="1"/>
  <c r="H319" i="36" s="1"/>
  <c r="J318" i="36"/>
  <c r="F318" i="36"/>
  <c r="G318" i="36" s="1"/>
  <c r="H318" i="36" s="1"/>
  <c r="J317" i="36"/>
  <c r="F317" i="36"/>
  <c r="G317" i="36" s="1"/>
  <c r="H317" i="36" s="1"/>
  <c r="J316" i="36"/>
  <c r="F316" i="36"/>
  <c r="G316" i="36" s="1"/>
  <c r="H316" i="36" s="1"/>
  <c r="J315" i="36"/>
  <c r="F315" i="36"/>
  <c r="G315" i="36" s="1"/>
  <c r="H315" i="36" s="1"/>
  <c r="J314" i="36"/>
  <c r="F314" i="36"/>
  <c r="G314" i="36" s="1"/>
  <c r="H314" i="36" s="1"/>
  <c r="J313" i="36"/>
  <c r="F313" i="36"/>
  <c r="G313" i="36" s="1"/>
  <c r="H313" i="36" s="1"/>
  <c r="J312" i="36"/>
  <c r="F312" i="36"/>
  <c r="G312" i="36" s="1"/>
  <c r="H312" i="36" s="1"/>
  <c r="J311" i="36"/>
  <c r="F311" i="36"/>
  <c r="G311" i="36" s="1"/>
  <c r="H311" i="36" s="1"/>
  <c r="J310" i="36"/>
  <c r="F310" i="36"/>
  <c r="G310" i="36" s="1"/>
  <c r="H310" i="36" s="1"/>
  <c r="J309" i="36"/>
  <c r="F309" i="36"/>
  <c r="G309" i="36" s="1"/>
  <c r="H309" i="36" s="1"/>
  <c r="J308" i="36"/>
  <c r="F308" i="36"/>
  <c r="G308" i="36" s="1"/>
  <c r="H308" i="36" s="1"/>
  <c r="J307" i="36"/>
  <c r="F307" i="36"/>
  <c r="G307" i="36" s="1"/>
  <c r="H307" i="36" s="1"/>
  <c r="J306" i="36"/>
  <c r="F306" i="36"/>
  <c r="G306" i="36" s="1"/>
  <c r="H306" i="36" s="1"/>
  <c r="J305" i="36"/>
  <c r="F305" i="36"/>
  <c r="G305" i="36" s="1"/>
  <c r="H305" i="36" s="1"/>
  <c r="J304" i="36"/>
  <c r="F304" i="36"/>
  <c r="G304" i="36" s="1"/>
  <c r="H304" i="36" s="1"/>
  <c r="J303" i="36"/>
  <c r="F303" i="36"/>
  <c r="G303" i="36" s="1"/>
  <c r="H303" i="36" s="1"/>
  <c r="J302" i="36"/>
  <c r="F302" i="36"/>
  <c r="G302" i="36" s="1"/>
  <c r="H302" i="36" s="1"/>
  <c r="J301" i="36"/>
  <c r="F301" i="36"/>
  <c r="G301" i="36" s="1"/>
  <c r="H301" i="36" s="1"/>
  <c r="J300" i="36"/>
  <c r="F300" i="36"/>
  <c r="G300" i="36" s="1"/>
  <c r="H300" i="36" s="1"/>
  <c r="J299" i="36"/>
  <c r="F299" i="36"/>
  <c r="G299" i="36" s="1"/>
  <c r="H299" i="36" s="1"/>
  <c r="J298" i="36"/>
  <c r="F298" i="36"/>
  <c r="G298" i="36" s="1"/>
  <c r="H298" i="36" s="1"/>
  <c r="J297" i="36"/>
  <c r="F297" i="36"/>
  <c r="G297" i="36" s="1"/>
  <c r="H297" i="36" s="1"/>
  <c r="J296" i="36"/>
  <c r="F296" i="36"/>
  <c r="G296" i="36" s="1"/>
  <c r="H296" i="36" s="1"/>
  <c r="J295" i="36"/>
  <c r="F295" i="36"/>
  <c r="G295" i="36" s="1"/>
  <c r="H295" i="36" s="1"/>
  <c r="J294" i="36"/>
  <c r="F294" i="36"/>
  <c r="G294" i="36" s="1"/>
  <c r="H294" i="36" s="1"/>
  <c r="J293" i="36"/>
  <c r="F293" i="36"/>
  <c r="G293" i="36" s="1"/>
  <c r="H293" i="36" s="1"/>
  <c r="J292" i="36"/>
  <c r="F292" i="36"/>
  <c r="G292" i="36" s="1"/>
  <c r="H292" i="36" s="1"/>
  <c r="J291" i="36"/>
  <c r="F291" i="36"/>
  <c r="G291" i="36" s="1"/>
  <c r="H291" i="36" s="1"/>
  <c r="J290" i="36"/>
  <c r="F290" i="36"/>
  <c r="G290" i="36" s="1"/>
  <c r="H290" i="36" s="1"/>
  <c r="J289" i="36"/>
  <c r="F289" i="36"/>
  <c r="G289" i="36" s="1"/>
  <c r="H289" i="36" s="1"/>
  <c r="J288" i="36"/>
  <c r="F288" i="36"/>
  <c r="G288" i="36" s="1"/>
  <c r="H288" i="36" s="1"/>
  <c r="J287" i="36"/>
  <c r="F287" i="36"/>
  <c r="G287" i="36" s="1"/>
  <c r="H287" i="36" s="1"/>
  <c r="J286" i="36"/>
  <c r="F286" i="36"/>
  <c r="G286" i="36" s="1"/>
  <c r="H286" i="36" s="1"/>
  <c r="J285" i="36"/>
  <c r="F285" i="36"/>
  <c r="G285" i="36" s="1"/>
  <c r="H285" i="36" s="1"/>
  <c r="J284" i="36"/>
  <c r="F284" i="36"/>
  <c r="G284" i="36" s="1"/>
  <c r="H284" i="36" s="1"/>
  <c r="J283" i="36"/>
  <c r="F283" i="36"/>
  <c r="G283" i="36" s="1"/>
  <c r="H283" i="36" s="1"/>
  <c r="J282" i="36"/>
  <c r="F282" i="36"/>
  <c r="G282" i="36" s="1"/>
  <c r="H282" i="36" s="1"/>
  <c r="J281" i="36"/>
  <c r="F281" i="36"/>
  <c r="G281" i="36" s="1"/>
  <c r="H281" i="36" s="1"/>
  <c r="J280" i="36"/>
  <c r="F280" i="36"/>
  <c r="G280" i="36" s="1"/>
  <c r="H280" i="36" s="1"/>
  <c r="J279" i="36"/>
  <c r="F279" i="36"/>
  <c r="G279" i="36" s="1"/>
  <c r="H279" i="36" s="1"/>
  <c r="J278" i="36"/>
  <c r="F278" i="36"/>
  <c r="G278" i="36" s="1"/>
  <c r="H278" i="36" s="1"/>
  <c r="J277" i="36"/>
  <c r="F277" i="36"/>
  <c r="G277" i="36" s="1"/>
  <c r="H277" i="36" s="1"/>
  <c r="J276" i="36"/>
  <c r="F276" i="36"/>
  <c r="G276" i="36" s="1"/>
  <c r="H276" i="36" s="1"/>
  <c r="J275" i="36"/>
  <c r="F275" i="36"/>
  <c r="G275" i="36" s="1"/>
  <c r="H275" i="36" s="1"/>
  <c r="J274" i="36"/>
  <c r="F274" i="36"/>
  <c r="G274" i="36" s="1"/>
  <c r="H274" i="36" s="1"/>
  <c r="J273" i="36"/>
  <c r="F273" i="36"/>
  <c r="G273" i="36" s="1"/>
  <c r="H273" i="36" s="1"/>
  <c r="J272" i="36"/>
  <c r="F272" i="36"/>
  <c r="G272" i="36" s="1"/>
  <c r="H272" i="36" s="1"/>
  <c r="J271" i="36"/>
  <c r="F271" i="36"/>
  <c r="G271" i="36" s="1"/>
  <c r="H271" i="36" s="1"/>
  <c r="J270" i="36"/>
  <c r="F270" i="36"/>
  <c r="G270" i="36" s="1"/>
  <c r="H270" i="36" s="1"/>
  <c r="J269" i="36"/>
  <c r="F269" i="36"/>
  <c r="G269" i="36" s="1"/>
  <c r="H269" i="36" s="1"/>
  <c r="J268" i="36"/>
  <c r="F268" i="36"/>
  <c r="G268" i="36" s="1"/>
  <c r="H268" i="36" s="1"/>
  <c r="J267" i="36"/>
  <c r="F267" i="36"/>
  <c r="G267" i="36" s="1"/>
  <c r="H267" i="36" s="1"/>
  <c r="J266" i="36"/>
  <c r="F266" i="36"/>
  <c r="G266" i="36" s="1"/>
  <c r="H266" i="36" s="1"/>
  <c r="J265" i="36"/>
  <c r="F265" i="36"/>
  <c r="G265" i="36" s="1"/>
  <c r="H265" i="36" s="1"/>
  <c r="J264" i="36"/>
  <c r="F264" i="36"/>
  <c r="G264" i="36" s="1"/>
  <c r="H264" i="36" s="1"/>
  <c r="J263" i="36"/>
  <c r="F263" i="36"/>
  <c r="G263" i="36" s="1"/>
  <c r="H263" i="36" s="1"/>
  <c r="J262" i="36"/>
  <c r="F262" i="36"/>
  <c r="G262" i="36" s="1"/>
  <c r="H262" i="36" s="1"/>
  <c r="J261" i="36"/>
  <c r="F261" i="36"/>
  <c r="G261" i="36" s="1"/>
  <c r="H261" i="36" s="1"/>
  <c r="J260" i="36"/>
  <c r="F260" i="36"/>
  <c r="G260" i="36" s="1"/>
  <c r="H260" i="36" s="1"/>
  <c r="J259" i="36"/>
  <c r="F259" i="36"/>
  <c r="G259" i="36" s="1"/>
  <c r="H259" i="36" s="1"/>
  <c r="J258" i="36"/>
  <c r="F258" i="36"/>
  <c r="G258" i="36" s="1"/>
  <c r="H258" i="36" s="1"/>
  <c r="J257" i="36"/>
  <c r="F257" i="36"/>
  <c r="G257" i="36" s="1"/>
  <c r="H257" i="36" s="1"/>
  <c r="J256" i="36"/>
  <c r="F256" i="36"/>
  <c r="G256" i="36" s="1"/>
  <c r="H256" i="36" s="1"/>
  <c r="J255" i="36"/>
  <c r="F255" i="36"/>
  <c r="G255" i="36" s="1"/>
  <c r="H255" i="36" s="1"/>
  <c r="J254" i="36"/>
  <c r="F254" i="36"/>
  <c r="G254" i="36" s="1"/>
  <c r="H254" i="36" s="1"/>
  <c r="J253" i="36"/>
  <c r="F253" i="36"/>
  <c r="G253" i="36" s="1"/>
  <c r="H253" i="36" s="1"/>
  <c r="J252" i="36"/>
  <c r="F252" i="36"/>
  <c r="G252" i="36" s="1"/>
  <c r="H252" i="36" s="1"/>
  <c r="J251" i="36"/>
  <c r="F251" i="36"/>
  <c r="G251" i="36" s="1"/>
  <c r="H251" i="36" s="1"/>
  <c r="J250" i="36"/>
  <c r="F250" i="36"/>
  <c r="G250" i="36" s="1"/>
  <c r="H250" i="36" s="1"/>
  <c r="J249" i="36"/>
  <c r="F249" i="36"/>
  <c r="G249" i="36" s="1"/>
  <c r="H249" i="36" s="1"/>
  <c r="J248" i="36"/>
  <c r="F248" i="36"/>
  <c r="G248" i="36" s="1"/>
  <c r="H248" i="36" s="1"/>
  <c r="J247" i="36"/>
  <c r="F247" i="36"/>
  <c r="G247" i="36" s="1"/>
  <c r="H247" i="36" s="1"/>
  <c r="J246" i="36"/>
  <c r="F246" i="36"/>
  <c r="G246" i="36" s="1"/>
  <c r="H246" i="36" s="1"/>
  <c r="J245" i="36"/>
  <c r="F245" i="36"/>
  <c r="G245" i="36" s="1"/>
  <c r="H245" i="36" s="1"/>
  <c r="J244" i="36"/>
  <c r="F244" i="36"/>
  <c r="G244" i="36" s="1"/>
  <c r="H244" i="36" s="1"/>
  <c r="J243" i="36"/>
  <c r="F243" i="36"/>
  <c r="G243" i="36" s="1"/>
  <c r="H243" i="36" s="1"/>
  <c r="J242" i="36"/>
  <c r="F242" i="36"/>
  <c r="G242" i="36" s="1"/>
  <c r="H242" i="36" s="1"/>
  <c r="J241" i="36"/>
  <c r="F241" i="36"/>
  <c r="G241" i="36" s="1"/>
  <c r="H241" i="36" s="1"/>
  <c r="J240" i="36"/>
  <c r="F240" i="36"/>
  <c r="G240" i="36" s="1"/>
  <c r="H240" i="36" s="1"/>
  <c r="J239" i="36"/>
  <c r="F239" i="36"/>
  <c r="G239" i="36" s="1"/>
  <c r="H239" i="36" s="1"/>
  <c r="J238" i="36"/>
  <c r="F238" i="36"/>
  <c r="G238" i="36" s="1"/>
  <c r="H238" i="36" s="1"/>
  <c r="J237" i="36"/>
  <c r="F237" i="36"/>
  <c r="G237" i="36" s="1"/>
  <c r="H237" i="36" s="1"/>
  <c r="J236" i="36"/>
  <c r="F236" i="36"/>
  <c r="G236" i="36" s="1"/>
  <c r="H236" i="36" s="1"/>
  <c r="J235" i="36"/>
  <c r="F235" i="36"/>
  <c r="G235" i="36" s="1"/>
  <c r="H235" i="36" s="1"/>
  <c r="J234" i="36"/>
  <c r="F234" i="36"/>
  <c r="G234" i="36" s="1"/>
  <c r="H234" i="36" s="1"/>
  <c r="J233" i="36"/>
  <c r="F233" i="36"/>
  <c r="G233" i="36" s="1"/>
  <c r="H233" i="36" s="1"/>
  <c r="J232" i="36"/>
  <c r="F232" i="36"/>
  <c r="G232" i="36" s="1"/>
  <c r="H232" i="36" s="1"/>
  <c r="J231" i="36"/>
  <c r="F231" i="36"/>
  <c r="G231" i="36" s="1"/>
  <c r="H231" i="36" s="1"/>
  <c r="J230" i="36"/>
  <c r="F230" i="36"/>
  <c r="G230" i="36" s="1"/>
  <c r="H230" i="36" s="1"/>
  <c r="J229" i="36"/>
  <c r="F229" i="36"/>
  <c r="G229" i="36" s="1"/>
  <c r="H229" i="36" s="1"/>
  <c r="J228" i="36"/>
  <c r="F228" i="36"/>
  <c r="G228" i="36" s="1"/>
  <c r="H228" i="36" s="1"/>
  <c r="J227" i="36"/>
  <c r="F227" i="36"/>
  <c r="G227" i="36" s="1"/>
  <c r="H227" i="36" s="1"/>
  <c r="J226" i="36"/>
  <c r="F226" i="36"/>
  <c r="G226" i="36" s="1"/>
  <c r="H226" i="36" s="1"/>
  <c r="J225" i="36"/>
  <c r="F225" i="36"/>
  <c r="G225" i="36" s="1"/>
  <c r="H225" i="36" s="1"/>
  <c r="J224" i="36"/>
  <c r="F224" i="36"/>
  <c r="G224" i="36" s="1"/>
  <c r="H224" i="36" s="1"/>
  <c r="J223" i="36"/>
  <c r="F223" i="36"/>
  <c r="G223" i="36" s="1"/>
  <c r="H223" i="36" s="1"/>
  <c r="J222" i="36"/>
  <c r="F222" i="36"/>
  <c r="G222" i="36" s="1"/>
  <c r="H222" i="36" s="1"/>
  <c r="J221" i="36"/>
  <c r="F221" i="36"/>
  <c r="G221" i="36" s="1"/>
  <c r="H221" i="36" s="1"/>
  <c r="J220" i="36"/>
  <c r="F220" i="36"/>
  <c r="G220" i="36" s="1"/>
  <c r="H220" i="36" s="1"/>
  <c r="J219" i="36"/>
  <c r="F219" i="36"/>
  <c r="G219" i="36" s="1"/>
  <c r="H219" i="36" s="1"/>
  <c r="J218" i="36"/>
  <c r="F218" i="36"/>
  <c r="G218" i="36" s="1"/>
  <c r="H218" i="36" s="1"/>
  <c r="J217" i="36"/>
  <c r="F217" i="36"/>
  <c r="G217" i="36" s="1"/>
  <c r="H217" i="36" s="1"/>
  <c r="J216" i="36"/>
  <c r="F216" i="36"/>
  <c r="G216" i="36" s="1"/>
  <c r="H216" i="36" s="1"/>
  <c r="J215" i="36"/>
  <c r="F215" i="36"/>
  <c r="G215" i="36" s="1"/>
  <c r="H215" i="36" s="1"/>
  <c r="J214" i="36"/>
  <c r="F214" i="36"/>
  <c r="G214" i="36" s="1"/>
  <c r="H214" i="36" s="1"/>
  <c r="J213" i="36"/>
  <c r="F213" i="36"/>
  <c r="G213" i="36" s="1"/>
  <c r="H213" i="36" s="1"/>
  <c r="J212" i="36"/>
  <c r="F212" i="36"/>
  <c r="G212" i="36" s="1"/>
  <c r="H212" i="36" s="1"/>
  <c r="J211" i="36"/>
  <c r="F211" i="36"/>
  <c r="G211" i="36" s="1"/>
  <c r="H211" i="36" s="1"/>
  <c r="J210" i="36"/>
  <c r="F210" i="36"/>
  <c r="G210" i="36" s="1"/>
  <c r="H210" i="36" s="1"/>
  <c r="J209" i="36"/>
  <c r="F209" i="36"/>
  <c r="G209" i="36" s="1"/>
  <c r="H209" i="36" s="1"/>
  <c r="J208" i="36"/>
  <c r="F208" i="36"/>
  <c r="G208" i="36" s="1"/>
  <c r="H208" i="36" s="1"/>
  <c r="J207" i="36"/>
  <c r="F207" i="36"/>
  <c r="G207" i="36" s="1"/>
  <c r="H207" i="36" s="1"/>
  <c r="J206" i="36"/>
  <c r="F206" i="36"/>
  <c r="G206" i="36" s="1"/>
  <c r="H206" i="36" s="1"/>
  <c r="J205" i="36"/>
  <c r="F205" i="36"/>
  <c r="G205" i="36" s="1"/>
  <c r="H205" i="36" s="1"/>
  <c r="J204" i="36"/>
  <c r="F204" i="36"/>
  <c r="G204" i="36" s="1"/>
  <c r="H204" i="36" s="1"/>
  <c r="J203" i="36"/>
  <c r="F203" i="36"/>
  <c r="G203" i="36" s="1"/>
  <c r="H203" i="36" s="1"/>
  <c r="J202" i="36"/>
  <c r="F202" i="36"/>
  <c r="G202" i="36" s="1"/>
  <c r="H202" i="36" s="1"/>
  <c r="J201" i="36"/>
  <c r="F201" i="36"/>
  <c r="G201" i="36" s="1"/>
  <c r="H201" i="36" s="1"/>
  <c r="J200" i="36"/>
  <c r="F200" i="36"/>
  <c r="G200" i="36" s="1"/>
  <c r="H200" i="36" s="1"/>
  <c r="J199" i="36"/>
  <c r="F199" i="36"/>
  <c r="G199" i="36" s="1"/>
  <c r="H199" i="36" s="1"/>
  <c r="J198" i="36"/>
  <c r="F198" i="36"/>
  <c r="G198" i="36" s="1"/>
  <c r="H198" i="36" s="1"/>
  <c r="J197" i="36"/>
  <c r="F197" i="36"/>
  <c r="G197" i="36" s="1"/>
  <c r="H197" i="36" s="1"/>
  <c r="J196" i="36"/>
  <c r="F196" i="36"/>
  <c r="G196" i="36" s="1"/>
  <c r="H196" i="36" s="1"/>
  <c r="J195" i="36"/>
  <c r="F195" i="36"/>
  <c r="G195" i="36" s="1"/>
  <c r="H195" i="36" s="1"/>
  <c r="J194" i="36"/>
  <c r="F194" i="36"/>
  <c r="G194" i="36" s="1"/>
  <c r="H194" i="36" s="1"/>
  <c r="J193" i="36"/>
  <c r="F193" i="36"/>
  <c r="G193" i="36" s="1"/>
  <c r="H193" i="36" s="1"/>
  <c r="J192" i="36"/>
  <c r="F192" i="36"/>
  <c r="G192" i="36" s="1"/>
  <c r="H192" i="36" s="1"/>
  <c r="J191" i="36"/>
  <c r="F191" i="36"/>
  <c r="G191" i="36" s="1"/>
  <c r="H191" i="36" s="1"/>
  <c r="J190" i="36"/>
  <c r="F190" i="36"/>
  <c r="G190" i="36" s="1"/>
  <c r="H190" i="36" s="1"/>
  <c r="J189" i="36"/>
  <c r="F189" i="36"/>
  <c r="G189" i="36" s="1"/>
  <c r="H189" i="36" s="1"/>
  <c r="J188" i="36"/>
  <c r="F188" i="36"/>
  <c r="G188" i="36" s="1"/>
  <c r="H188" i="36" s="1"/>
  <c r="J187" i="36"/>
  <c r="F187" i="36"/>
  <c r="G187" i="36" s="1"/>
  <c r="H187" i="36" s="1"/>
  <c r="J186" i="36"/>
  <c r="F186" i="36"/>
  <c r="G186" i="36" s="1"/>
  <c r="H186" i="36" s="1"/>
  <c r="J185" i="36"/>
  <c r="F185" i="36"/>
  <c r="G185" i="36" s="1"/>
  <c r="H185" i="36" s="1"/>
  <c r="J184" i="36"/>
  <c r="F184" i="36"/>
  <c r="G184" i="36" s="1"/>
  <c r="H184" i="36" s="1"/>
  <c r="J183" i="36"/>
  <c r="F183" i="36"/>
  <c r="G183" i="36" s="1"/>
  <c r="H183" i="36" s="1"/>
  <c r="J182" i="36"/>
  <c r="F182" i="36"/>
  <c r="G182" i="36" s="1"/>
  <c r="H182" i="36" s="1"/>
  <c r="J181" i="36"/>
  <c r="F181" i="36"/>
  <c r="G181" i="36" s="1"/>
  <c r="H181" i="36" s="1"/>
  <c r="J180" i="36"/>
  <c r="F180" i="36"/>
  <c r="G180" i="36" s="1"/>
  <c r="H180" i="36" s="1"/>
  <c r="J179" i="36"/>
  <c r="F179" i="36"/>
  <c r="G179" i="36" s="1"/>
  <c r="H179" i="36" s="1"/>
  <c r="J178" i="36"/>
  <c r="F178" i="36"/>
  <c r="G178" i="36" s="1"/>
  <c r="H178" i="36" s="1"/>
  <c r="J177" i="36"/>
  <c r="F177" i="36"/>
  <c r="G177" i="36" s="1"/>
  <c r="H177" i="36" s="1"/>
  <c r="J176" i="36"/>
  <c r="F176" i="36"/>
  <c r="G176" i="36" s="1"/>
  <c r="H176" i="36" s="1"/>
  <c r="J175" i="36"/>
  <c r="F175" i="36"/>
  <c r="G175" i="36" s="1"/>
  <c r="H175" i="36" s="1"/>
  <c r="J174" i="36"/>
  <c r="F174" i="36"/>
  <c r="G174" i="36" s="1"/>
  <c r="H174" i="36" s="1"/>
  <c r="J173" i="36"/>
  <c r="F173" i="36"/>
  <c r="G173" i="36" s="1"/>
  <c r="H173" i="36" s="1"/>
  <c r="J172" i="36"/>
  <c r="F172" i="36"/>
  <c r="G172" i="36" s="1"/>
  <c r="H172" i="36" s="1"/>
  <c r="J171" i="36"/>
  <c r="F171" i="36"/>
  <c r="G171" i="36" s="1"/>
  <c r="H171" i="36" s="1"/>
  <c r="J170" i="36"/>
  <c r="F170" i="36"/>
  <c r="G170" i="36" s="1"/>
  <c r="H170" i="36" s="1"/>
  <c r="J169" i="36"/>
  <c r="F169" i="36"/>
  <c r="G169" i="36" s="1"/>
  <c r="H169" i="36" s="1"/>
  <c r="J168" i="36"/>
  <c r="F168" i="36"/>
  <c r="G168" i="36" s="1"/>
  <c r="H168" i="36" s="1"/>
  <c r="J167" i="36"/>
  <c r="F167" i="36"/>
  <c r="G167" i="36" s="1"/>
  <c r="H167" i="36" s="1"/>
  <c r="J166" i="36"/>
  <c r="F166" i="36"/>
  <c r="G166" i="36" s="1"/>
  <c r="H166" i="36" s="1"/>
  <c r="J165" i="36"/>
  <c r="F165" i="36"/>
  <c r="G165" i="36" s="1"/>
  <c r="H165" i="36" s="1"/>
  <c r="J164" i="36"/>
  <c r="F164" i="36"/>
  <c r="G164" i="36" s="1"/>
  <c r="H164" i="36" s="1"/>
  <c r="J163" i="36"/>
  <c r="F163" i="36"/>
  <c r="G163" i="36" s="1"/>
  <c r="H163" i="36" s="1"/>
  <c r="J162" i="36"/>
  <c r="F162" i="36"/>
  <c r="G162" i="36" s="1"/>
  <c r="H162" i="36" s="1"/>
  <c r="J161" i="36"/>
  <c r="F161" i="36"/>
  <c r="G161" i="36" s="1"/>
  <c r="H161" i="36" s="1"/>
  <c r="J160" i="36"/>
  <c r="F160" i="36"/>
  <c r="G160" i="36" s="1"/>
  <c r="H160" i="36" s="1"/>
  <c r="J159" i="36"/>
  <c r="F159" i="36"/>
  <c r="G159" i="36" s="1"/>
  <c r="H159" i="36" s="1"/>
  <c r="J158" i="36"/>
  <c r="F158" i="36"/>
  <c r="G158" i="36" s="1"/>
  <c r="H158" i="36" s="1"/>
  <c r="J157" i="36"/>
  <c r="F157" i="36"/>
  <c r="G157" i="36" s="1"/>
  <c r="H157" i="36" s="1"/>
  <c r="J156" i="36"/>
  <c r="F156" i="36"/>
  <c r="G156" i="36" s="1"/>
  <c r="H156" i="36" s="1"/>
  <c r="J155" i="36"/>
  <c r="F155" i="36"/>
  <c r="G155" i="36" s="1"/>
  <c r="H155" i="36" s="1"/>
  <c r="J154" i="36"/>
  <c r="F154" i="36"/>
  <c r="G154" i="36" s="1"/>
  <c r="H154" i="36" s="1"/>
  <c r="J153" i="36"/>
  <c r="F153" i="36"/>
  <c r="G153" i="36" s="1"/>
  <c r="H153" i="36" s="1"/>
  <c r="J152" i="36"/>
  <c r="F152" i="36"/>
  <c r="G152" i="36" s="1"/>
  <c r="H152" i="36" s="1"/>
  <c r="J151" i="36"/>
  <c r="F151" i="36"/>
  <c r="G151" i="36" s="1"/>
  <c r="H151" i="36" s="1"/>
  <c r="J150" i="36"/>
  <c r="F150" i="36"/>
  <c r="G150" i="36" s="1"/>
  <c r="H150" i="36" s="1"/>
  <c r="J149" i="36"/>
  <c r="F149" i="36"/>
  <c r="G149" i="36" s="1"/>
  <c r="H149" i="36" s="1"/>
  <c r="J148" i="36"/>
  <c r="F148" i="36"/>
  <c r="G148" i="36" s="1"/>
  <c r="H148" i="36" s="1"/>
  <c r="J147" i="36"/>
  <c r="F147" i="36"/>
  <c r="G147" i="36" s="1"/>
  <c r="H147" i="36" s="1"/>
  <c r="J146" i="36"/>
  <c r="F146" i="36"/>
  <c r="G146" i="36" s="1"/>
  <c r="H146" i="36" s="1"/>
  <c r="J145" i="36"/>
  <c r="F145" i="36"/>
  <c r="G145" i="36" s="1"/>
  <c r="H145" i="36" s="1"/>
  <c r="J144" i="36"/>
  <c r="F144" i="36"/>
  <c r="G144" i="36" s="1"/>
  <c r="H144" i="36" s="1"/>
  <c r="J143" i="36"/>
  <c r="F143" i="36"/>
  <c r="G143" i="36" s="1"/>
  <c r="H143" i="36" s="1"/>
  <c r="J142" i="36"/>
  <c r="F142" i="36"/>
  <c r="G142" i="36" s="1"/>
  <c r="H142" i="36" s="1"/>
  <c r="J141" i="36"/>
  <c r="F141" i="36"/>
  <c r="G141" i="36" s="1"/>
  <c r="H141" i="36" s="1"/>
  <c r="J140" i="36"/>
  <c r="F140" i="36"/>
  <c r="G140" i="36" s="1"/>
  <c r="H140" i="36" s="1"/>
  <c r="J139" i="36"/>
  <c r="F139" i="36"/>
  <c r="G139" i="36" s="1"/>
  <c r="H139" i="36" s="1"/>
  <c r="J138" i="36"/>
  <c r="F138" i="36"/>
  <c r="G138" i="36" s="1"/>
  <c r="H138" i="36" s="1"/>
  <c r="J137" i="36"/>
  <c r="F137" i="36"/>
  <c r="G137" i="36" s="1"/>
  <c r="H137" i="36" s="1"/>
  <c r="J136" i="36"/>
  <c r="F136" i="36"/>
  <c r="G136" i="36" s="1"/>
  <c r="H136" i="36" s="1"/>
  <c r="J135" i="36"/>
  <c r="F135" i="36"/>
  <c r="G135" i="36" s="1"/>
  <c r="H135" i="36" s="1"/>
  <c r="J134" i="36"/>
  <c r="F134" i="36"/>
  <c r="G134" i="36" s="1"/>
  <c r="H134" i="36" s="1"/>
  <c r="J133" i="36"/>
  <c r="F133" i="36"/>
  <c r="G133" i="36" s="1"/>
  <c r="H133" i="36" s="1"/>
  <c r="J132" i="36"/>
  <c r="F132" i="36"/>
  <c r="G132" i="36" s="1"/>
  <c r="H132" i="36" s="1"/>
  <c r="J131" i="36"/>
  <c r="F131" i="36"/>
  <c r="G131" i="36" s="1"/>
  <c r="H131" i="36" s="1"/>
  <c r="J130" i="36"/>
  <c r="F130" i="36"/>
  <c r="G130" i="36" s="1"/>
  <c r="H130" i="36" s="1"/>
  <c r="J129" i="36"/>
  <c r="F129" i="36"/>
  <c r="G129" i="36" s="1"/>
  <c r="H129" i="36" s="1"/>
  <c r="J128" i="36"/>
  <c r="F128" i="36"/>
  <c r="G128" i="36" s="1"/>
  <c r="H128" i="36" s="1"/>
  <c r="J127" i="36"/>
  <c r="F127" i="36"/>
  <c r="G127" i="36" s="1"/>
  <c r="H127" i="36" s="1"/>
  <c r="J126" i="36"/>
  <c r="F126" i="36"/>
  <c r="G126" i="36" s="1"/>
  <c r="H126" i="36" s="1"/>
  <c r="J125" i="36"/>
  <c r="F125" i="36"/>
  <c r="G125" i="36" s="1"/>
  <c r="H125" i="36" s="1"/>
  <c r="J124" i="36"/>
  <c r="F124" i="36"/>
  <c r="G124" i="36" s="1"/>
  <c r="H124" i="36" s="1"/>
  <c r="J123" i="36"/>
  <c r="F123" i="36"/>
  <c r="G123" i="36" s="1"/>
  <c r="H123" i="36" s="1"/>
  <c r="J122" i="36"/>
  <c r="F122" i="36"/>
  <c r="G122" i="36" s="1"/>
  <c r="H122" i="36" s="1"/>
  <c r="J121" i="36"/>
  <c r="F121" i="36"/>
  <c r="G121" i="36" s="1"/>
  <c r="H121" i="36" s="1"/>
  <c r="J120" i="36"/>
  <c r="F120" i="36"/>
  <c r="G120" i="36" s="1"/>
  <c r="H120" i="36" s="1"/>
  <c r="J119" i="36"/>
  <c r="F119" i="36"/>
  <c r="G119" i="36" s="1"/>
  <c r="H119" i="36" s="1"/>
  <c r="J118" i="36"/>
  <c r="F118" i="36"/>
  <c r="G118" i="36" s="1"/>
  <c r="H118" i="36" s="1"/>
  <c r="J117" i="36"/>
  <c r="F117" i="36"/>
  <c r="G117" i="36" s="1"/>
  <c r="H117" i="36" s="1"/>
  <c r="J116" i="36"/>
  <c r="F116" i="36"/>
  <c r="G116" i="36" s="1"/>
  <c r="H116" i="36" s="1"/>
  <c r="J115" i="36"/>
  <c r="F115" i="36"/>
  <c r="G115" i="36" s="1"/>
  <c r="H115" i="36" s="1"/>
  <c r="J114" i="36"/>
  <c r="F114" i="36"/>
  <c r="G114" i="36" s="1"/>
  <c r="H114" i="36" s="1"/>
  <c r="J113" i="36"/>
  <c r="F113" i="36"/>
  <c r="G113" i="36" s="1"/>
  <c r="H113" i="36" s="1"/>
  <c r="J112" i="36"/>
  <c r="F112" i="36"/>
  <c r="G112" i="36" s="1"/>
  <c r="H112" i="36" s="1"/>
  <c r="J111" i="36"/>
  <c r="F111" i="36"/>
  <c r="G111" i="36" s="1"/>
  <c r="H111" i="36" s="1"/>
  <c r="J110" i="36"/>
  <c r="F110" i="36"/>
  <c r="G110" i="36" s="1"/>
  <c r="H110" i="36" s="1"/>
  <c r="J109" i="36"/>
  <c r="F109" i="36"/>
  <c r="G109" i="36" s="1"/>
  <c r="H109" i="36" s="1"/>
  <c r="J108" i="36"/>
  <c r="F108" i="36"/>
  <c r="G108" i="36" s="1"/>
  <c r="H108" i="36" s="1"/>
  <c r="J107" i="36"/>
  <c r="F107" i="36"/>
  <c r="G107" i="36" s="1"/>
  <c r="H107" i="36" s="1"/>
  <c r="J106" i="36"/>
  <c r="F106" i="36"/>
  <c r="G106" i="36" s="1"/>
  <c r="H106" i="36" s="1"/>
  <c r="J105" i="36"/>
  <c r="F105" i="36"/>
  <c r="G105" i="36" s="1"/>
  <c r="H105" i="36" s="1"/>
  <c r="J104" i="36"/>
  <c r="F104" i="36"/>
  <c r="G104" i="36" s="1"/>
  <c r="H104" i="36" s="1"/>
  <c r="J103" i="36"/>
  <c r="F103" i="36"/>
  <c r="G103" i="36" s="1"/>
  <c r="H103" i="36" s="1"/>
  <c r="J102" i="36"/>
  <c r="F102" i="36"/>
  <c r="G102" i="36" s="1"/>
  <c r="H102" i="36" s="1"/>
  <c r="J101" i="36"/>
  <c r="F101" i="36"/>
  <c r="G101" i="36" s="1"/>
  <c r="H101" i="36" s="1"/>
  <c r="J100" i="36"/>
  <c r="F100" i="36"/>
  <c r="G100" i="36" s="1"/>
  <c r="H100" i="36" s="1"/>
  <c r="J99" i="36"/>
  <c r="F99" i="36"/>
  <c r="G99" i="36" s="1"/>
  <c r="H99" i="36" s="1"/>
  <c r="J98" i="36"/>
  <c r="F98" i="36"/>
  <c r="G98" i="36" s="1"/>
  <c r="H98" i="36" s="1"/>
  <c r="J97" i="36"/>
  <c r="F97" i="36"/>
  <c r="G97" i="36" s="1"/>
  <c r="H97" i="36" s="1"/>
  <c r="J96" i="36"/>
  <c r="F96" i="36"/>
  <c r="G96" i="36" s="1"/>
  <c r="H96" i="36" s="1"/>
  <c r="J95" i="36"/>
  <c r="F95" i="36"/>
  <c r="G95" i="36" s="1"/>
  <c r="H95" i="36" s="1"/>
  <c r="J94" i="36"/>
  <c r="F94" i="36"/>
  <c r="G94" i="36" s="1"/>
  <c r="H94" i="36" s="1"/>
  <c r="J93" i="36"/>
  <c r="F93" i="36"/>
  <c r="G93" i="36" s="1"/>
  <c r="H93" i="36" s="1"/>
  <c r="J92" i="36"/>
  <c r="F92" i="36"/>
  <c r="G92" i="36" s="1"/>
  <c r="H92" i="36" s="1"/>
  <c r="J91" i="36"/>
  <c r="F91" i="36"/>
  <c r="G91" i="36" s="1"/>
  <c r="H91" i="36" s="1"/>
  <c r="J90" i="36"/>
  <c r="F90" i="36"/>
  <c r="G90" i="36" s="1"/>
  <c r="H90" i="36" s="1"/>
  <c r="J89" i="36"/>
  <c r="F89" i="36"/>
  <c r="G89" i="36" s="1"/>
  <c r="H89" i="36" s="1"/>
  <c r="J88" i="36"/>
  <c r="F88" i="36"/>
  <c r="G88" i="36" s="1"/>
  <c r="H88" i="36" s="1"/>
  <c r="J87" i="36"/>
  <c r="F87" i="36"/>
  <c r="G87" i="36" s="1"/>
  <c r="H87" i="36" s="1"/>
  <c r="J86" i="36"/>
  <c r="F86" i="36"/>
  <c r="G86" i="36" s="1"/>
  <c r="H86" i="36" s="1"/>
  <c r="J85" i="36"/>
  <c r="F85" i="36"/>
  <c r="G85" i="36" s="1"/>
  <c r="H85" i="36" s="1"/>
  <c r="J84" i="36"/>
  <c r="F84" i="36"/>
  <c r="G84" i="36" s="1"/>
  <c r="H84" i="36" s="1"/>
  <c r="J83" i="36"/>
  <c r="F83" i="36"/>
  <c r="G83" i="36" s="1"/>
  <c r="H83" i="36" s="1"/>
  <c r="J82" i="36"/>
  <c r="F82" i="36"/>
  <c r="G82" i="36" s="1"/>
  <c r="H82" i="36" s="1"/>
  <c r="J81" i="36"/>
  <c r="F81" i="36"/>
  <c r="G81" i="36" s="1"/>
  <c r="H81" i="36" s="1"/>
  <c r="J80" i="36"/>
  <c r="F80" i="36"/>
  <c r="G80" i="36" s="1"/>
  <c r="H80" i="36" s="1"/>
  <c r="J79" i="36"/>
  <c r="F79" i="36"/>
  <c r="G79" i="36" s="1"/>
  <c r="H79" i="36" s="1"/>
  <c r="J78" i="36"/>
  <c r="F78" i="36"/>
  <c r="G78" i="36" s="1"/>
  <c r="H78" i="36" s="1"/>
  <c r="J77" i="36"/>
  <c r="F77" i="36"/>
  <c r="G77" i="36" s="1"/>
  <c r="H77" i="36" s="1"/>
  <c r="J76" i="36"/>
  <c r="F76" i="36"/>
  <c r="G76" i="36" s="1"/>
  <c r="H76" i="36" s="1"/>
  <c r="J75" i="36"/>
  <c r="F75" i="36"/>
  <c r="G75" i="36" s="1"/>
  <c r="H75" i="36" s="1"/>
  <c r="J74" i="36"/>
  <c r="F74" i="36"/>
  <c r="G74" i="36" s="1"/>
  <c r="H74" i="36" s="1"/>
  <c r="J73" i="36"/>
  <c r="F73" i="36"/>
  <c r="G73" i="36" s="1"/>
  <c r="H73" i="36" s="1"/>
  <c r="J72" i="36"/>
  <c r="F72" i="36"/>
  <c r="G72" i="36" s="1"/>
  <c r="H72" i="36" s="1"/>
  <c r="J71" i="36"/>
  <c r="F71" i="36"/>
  <c r="G71" i="36" s="1"/>
  <c r="H71" i="36" s="1"/>
  <c r="J70" i="36"/>
  <c r="F70" i="36"/>
  <c r="G70" i="36" s="1"/>
  <c r="H70" i="36" s="1"/>
  <c r="J69" i="36"/>
  <c r="F69" i="36"/>
  <c r="G69" i="36" s="1"/>
  <c r="H69" i="36" s="1"/>
  <c r="J68" i="36"/>
  <c r="F68" i="36"/>
  <c r="G68" i="36" s="1"/>
  <c r="H68" i="36" s="1"/>
  <c r="J67" i="36"/>
  <c r="F67" i="36"/>
  <c r="G67" i="36" s="1"/>
  <c r="H67" i="36" s="1"/>
  <c r="J66" i="36"/>
  <c r="F66" i="36"/>
  <c r="G66" i="36" s="1"/>
  <c r="H66" i="36" s="1"/>
  <c r="J65" i="36"/>
  <c r="F65" i="36"/>
  <c r="G65" i="36" s="1"/>
  <c r="H65" i="36" s="1"/>
  <c r="J64" i="36"/>
  <c r="F64" i="36"/>
  <c r="G64" i="36" s="1"/>
  <c r="H64" i="36" s="1"/>
  <c r="J63" i="36"/>
  <c r="F63" i="36"/>
  <c r="G63" i="36" s="1"/>
  <c r="H63" i="36" s="1"/>
  <c r="J62" i="36"/>
  <c r="F62" i="36"/>
  <c r="G62" i="36" s="1"/>
  <c r="H62" i="36" s="1"/>
  <c r="J61" i="36"/>
  <c r="F61" i="36"/>
  <c r="G61" i="36" s="1"/>
  <c r="H61" i="36" s="1"/>
  <c r="J60" i="36"/>
  <c r="F60" i="36"/>
  <c r="G60" i="36" s="1"/>
  <c r="H60" i="36" s="1"/>
  <c r="J59" i="36"/>
  <c r="F59" i="36"/>
  <c r="G59" i="36" s="1"/>
  <c r="H59" i="36" s="1"/>
  <c r="J58" i="36"/>
  <c r="F58" i="36"/>
  <c r="G58" i="36" s="1"/>
  <c r="H58" i="36" s="1"/>
  <c r="J57" i="36"/>
  <c r="F57" i="36"/>
  <c r="G57" i="36" s="1"/>
  <c r="H57" i="36" s="1"/>
  <c r="J56" i="36"/>
  <c r="F56" i="36"/>
  <c r="G56" i="36" s="1"/>
  <c r="H56" i="36" s="1"/>
  <c r="J55" i="36"/>
  <c r="F55" i="36"/>
  <c r="G55" i="36" s="1"/>
  <c r="H55" i="36" s="1"/>
  <c r="J54" i="36"/>
  <c r="F54" i="36"/>
  <c r="G54" i="36" s="1"/>
  <c r="H54" i="36" s="1"/>
  <c r="J53" i="36"/>
  <c r="F53" i="36"/>
  <c r="G53" i="36" s="1"/>
  <c r="H53" i="36" s="1"/>
  <c r="J52" i="36"/>
  <c r="F52" i="36"/>
  <c r="G52" i="36" s="1"/>
  <c r="H52" i="36" s="1"/>
  <c r="J51" i="36"/>
  <c r="F51" i="36"/>
  <c r="G51" i="36" s="1"/>
  <c r="H51" i="36" s="1"/>
  <c r="J50" i="36"/>
  <c r="F50" i="36"/>
  <c r="G50" i="36" s="1"/>
  <c r="H50" i="36" s="1"/>
  <c r="J49" i="36"/>
  <c r="F49" i="36"/>
  <c r="G49" i="36" s="1"/>
  <c r="H49" i="36" s="1"/>
  <c r="J48" i="36"/>
  <c r="F48" i="36"/>
  <c r="G48" i="36" s="1"/>
  <c r="H48" i="36" s="1"/>
  <c r="J47" i="36"/>
  <c r="F47" i="36"/>
  <c r="G47" i="36" s="1"/>
  <c r="H47" i="36" s="1"/>
  <c r="J46" i="36"/>
  <c r="F46" i="36"/>
  <c r="G46" i="36" s="1"/>
  <c r="H46" i="36" s="1"/>
  <c r="J45" i="36"/>
  <c r="F45" i="36"/>
  <c r="G45" i="36" s="1"/>
  <c r="H45" i="36" s="1"/>
  <c r="J44" i="36"/>
  <c r="F44" i="36"/>
  <c r="G44" i="36" s="1"/>
  <c r="H44" i="36" s="1"/>
  <c r="J43" i="36"/>
  <c r="F43" i="36"/>
  <c r="G43" i="36" s="1"/>
  <c r="H43" i="36" s="1"/>
  <c r="J42" i="36"/>
  <c r="F42" i="36"/>
  <c r="G42" i="36" s="1"/>
  <c r="H42" i="36" s="1"/>
  <c r="J41" i="36"/>
  <c r="F41" i="36"/>
  <c r="G41" i="36" s="1"/>
  <c r="H41" i="36" s="1"/>
  <c r="J40" i="36"/>
  <c r="F40" i="36"/>
  <c r="G40" i="36" s="1"/>
  <c r="H40" i="36" s="1"/>
  <c r="J39" i="36"/>
  <c r="F39" i="36"/>
  <c r="G39" i="36" s="1"/>
  <c r="H39" i="36" s="1"/>
  <c r="J38" i="36"/>
  <c r="F38" i="36"/>
  <c r="G38" i="36" s="1"/>
  <c r="H38" i="36" s="1"/>
  <c r="J37" i="36"/>
  <c r="F37" i="36"/>
  <c r="G37" i="36" s="1"/>
  <c r="H37" i="36" s="1"/>
  <c r="J36" i="36"/>
  <c r="F36" i="36"/>
  <c r="G36" i="36" s="1"/>
  <c r="H36" i="36" s="1"/>
  <c r="J35" i="36"/>
  <c r="F35" i="36"/>
  <c r="G35" i="36" s="1"/>
  <c r="H35" i="36" s="1"/>
  <c r="J34" i="36"/>
  <c r="F34" i="36"/>
  <c r="G34" i="36" s="1"/>
  <c r="H34" i="36" s="1"/>
  <c r="J33" i="36"/>
  <c r="F33" i="36"/>
  <c r="G33" i="36" s="1"/>
  <c r="H33" i="36" s="1"/>
  <c r="J32" i="36"/>
  <c r="F32" i="36"/>
  <c r="G32" i="36" s="1"/>
  <c r="H32" i="36" s="1"/>
  <c r="J31" i="36"/>
  <c r="F31" i="36"/>
  <c r="G31" i="36" s="1"/>
  <c r="H31" i="36" s="1"/>
  <c r="J30" i="36"/>
  <c r="F30" i="36"/>
  <c r="G30" i="36" s="1"/>
  <c r="H30" i="36" s="1"/>
  <c r="J29" i="36"/>
  <c r="F29" i="36"/>
  <c r="G29" i="36" s="1"/>
  <c r="H29" i="36" s="1"/>
  <c r="J28" i="36"/>
  <c r="F28" i="36"/>
  <c r="G28" i="36" s="1"/>
  <c r="H28" i="36" s="1"/>
  <c r="J27" i="36"/>
  <c r="F27" i="36"/>
  <c r="G27" i="36" s="1"/>
  <c r="H27" i="36" s="1"/>
  <c r="J26" i="36"/>
  <c r="F26" i="36"/>
  <c r="G26" i="36" s="1"/>
  <c r="H26" i="36" s="1"/>
  <c r="J25" i="36"/>
  <c r="F25" i="36"/>
  <c r="G25" i="36" s="1"/>
  <c r="H25" i="36" s="1"/>
  <c r="J24" i="36"/>
  <c r="F24" i="36"/>
  <c r="G24" i="36" s="1"/>
  <c r="H24" i="36" s="1"/>
  <c r="J23" i="36"/>
  <c r="F23" i="36"/>
  <c r="G23" i="36" s="1"/>
  <c r="H23" i="36" s="1"/>
  <c r="J22" i="36"/>
  <c r="F22" i="36"/>
  <c r="G22" i="36" s="1"/>
  <c r="H22" i="36" s="1"/>
  <c r="J21" i="36"/>
  <c r="F21" i="36"/>
  <c r="G21" i="36" s="1"/>
  <c r="H21" i="36" s="1"/>
  <c r="J20" i="36"/>
  <c r="F20" i="36"/>
  <c r="G20" i="36" s="1"/>
  <c r="H20" i="36" s="1"/>
  <c r="J19" i="36"/>
  <c r="F19" i="36"/>
  <c r="G19" i="36" s="1"/>
  <c r="H19" i="36" s="1"/>
  <c r="J18" i="36"/>
  <c r="F18" i="36"/>
  <c r="G18" i="36" s="1"/>
  <c r="H18" i="36" s="1"/>
  <c r="J17" i="36"/>
  <c r="F17" i="36"/>
  <c r="G17" i="36" s="1"/>
  <c r="H17" i="36" s="1"/>
  <c r="J16" i="36"/>
  <c r="F16" i="36"/>
  <c r="J15" i="36"/>
  <c r="F15" i="36"/>
  <c r="G15" i="36" s="1"/>
  <c r="H15" i="36" s="1"/>
  <c r="J14" i="36"/>
  <c r="F14" i="36"/>
  <c r="G14" i="36" s="1"/>
  <c r="H14" i="36" s="1"/>
  <c r="C11" i="36"/>
  <c r="B11" i="36"/>
  <c r="A1" i="35"/>
  <c r="BG1" i="34"/>
  <c r="B9" i="5" l="1"/>
  <c r="F11" i="36"/>
  <c r="J11" i="36"/>
  <c r="G16" i="36"/>
  <c r="BD3" i="34"/>
  <c r="BC3" i="34"/>
  <c r="BA3" i="34"/>
  <c r="BB3" i="34" s="1"/>
  <c r="BD2" i="34"/>
  <c r="BC2" i="34"/>
  <c r="BA2" i="34"/>
  <c r="BB2" i="34" s="1"/>
  <c r="K576" i="36" l="1"/>
  <c r="K572" i="36"/>
  <c r="K568" i="36"/>
  <c r="K564" i="36"/>
  <c r="K560" i="36"/>
  <c r="K556" i="36"/>
  <c r="K552" i="36"/>
  <c r="K578" i="36"/>
  <c r="K574" i="36"/>
  <c r="K570" i="36"/>
  <c r="K566" i="36"/>
  <c r="K562" i="36"/>
  <c r="K558" i="36"/>
  <c r="K554" i="36"/>
  <c r="K550" i="36"/>
  <c r="K546" i="36"/>
  <c r="K542" i="36"/>
  <c r="K538" i="36"/>
  <c r="K534" i="36"/>
  <c r="K577" i="36"/>
  <c r="K569" i="36"/>
  <c r="K561" i="36"/>
  <c r="K553" i="36"/>
  <c r="K547" i="36"/>
  <c r="K541" i="36"/>
  <c r="K536" i="36"/>
  <c r="K531" i="36"/>
  <c r="K527" i="36"/>
  <c r="K523" i="36"/>
  <c r="K519" i="36"/>
  <c r="K515" i="36"/>
  <c r="K511" i="36"/>
  <c r="K573" i="36"/>
  <c r="K565" i="36"/>
  <c r="K557" i="36"/>
  <c r="K549" i="36"/>
  <c r="K544" i="36"/>
  <c r="K539" i="36"/>
  <c r="K533" i="36"/>
  <c r="K529" i="36"/>
  <c r="K525" i="36"/>
  <c r="K521" i="36"/>
  <c r="K517" i="36"/>
  <c r="K513" i="36"/>
  <c r="K509" i="36"/>
  <c r="K505" i="36"/>
  <c r="K501" i="36"/>
  <c r="K497" i="36"/>
  <c r="K493" i="36"/>
  <c r="K489" i="36"/>
  <c r="K485" i="36"/>
  <c r="K481" i="36"/>
  <c r="K548" i="36"/>
  <c r="K537" i="36"/>
  <c r="K532" i="36"/>
  <c r="K528" i="36"/>
  <c r="K520" i="36"/>
  <c r="K512" i="36"/>
  <c r="K504" i="36"/>
  <c r="K499" i="36"/>
  <c r="K494" i="36"/>
  <c r="K488" i="36"/>
  <c r="K483" i="36"/>
  <c r="K478" i="36"/>
  <c r="K545" i="36"/>
  <c r="K540" i="36"/>
  <c r="K524" i="36"/>
  <c r="K516" i="36"/>
  <c r="K507" i="36"/>
  <c r="K502" i="36"/>
  <c r="K496" i="36"/>
  <c r="K491" i="36"/>
  <c r="K486" i="36"/>
  <c r="K480" i="36"/>
  <c r="K476" i="36"/>
  <c r="K472" i="36"/>
  <c r="K468" i="36"/>
  <c r="K464" i="36"/>
  <c r="K460" i="36"/>
  <c r="K456" i="36"/>
  <c r="K452" i="36"/>
  <c r="K448" i="36"/>
  <c r="K444" i="36"/>
  <c r="K440" i="36"/>
  <c r="K436" i="36"/>
  <c r="K432" i="36"/>
  <c r="K567" i="36"/>
  <c r="K551" i="36"/>
  <c r="K535" i="36"/>
  <c r="K508" i="36"/>
  <c r="K503" i="36"/>
  <c r="K492" i="36"/>
  <c r="K487" i="36"/>
  <c r="K475" i="36"/>
  <c r="K470" i="36"/>
  <c r="K465" i="36"/>
  <c r="K459" i="36"/>
  <c r="K454" i="36"/>
  <c r="K449" i="36"/>
  <c r="K443" i="36"/>
  <c r="K438" i="36"/>
  <c r="K433" i="36"/>
  <c r="K427" i="36"/>
  <c r="K423" i="36"/>
  <c r="K419" i="36"/>
  <c r="K415" i="36"/>
  <c r="K411" i="36"/>
  <c r="K407" i="36"/>
  <c r="K403" i="36"/>
  <c r="K399" i="36"/>
  <c r="K395" i="36"/>
  <c r="K391" i="36"/>
  <c r="K387" i="36"/>
  <c r="K575" i="36"/>
  <c r="K559" i="36"/>
  <c r="K543" i="36"/>
  <c r="K530" i="36"/>
  <c r="K526" i="36"/>
  <c r="K522" i="36"/>
  <c r="K518" i="36"/>
  <c r="K514" i="36"/>
  <c r="K510" i="36"/>
  <c r="K500" i="36"/>
  <c r="K495" i="36"/>
  <c r="K484" i="36"/>
  <c r="K479" i="36"/>
  <c r="K473" i="36"/>
  <c r="K467" i="36"/>
  <c r="K462" i="36"/>
  <c r="K457" i="36"/>
  <c r="K451" i="36"/>
  <c r="K446" i="36"/>
  <c r="K441" i="36"/>
  <c r="K435" i="36"/>
  <c r="K430" i="36"/>
  <c r="K429" i="36"/>
  <c r="K425" i="36"/>
  <c r="K421" i="36"/>
  <c r="K417" i="36"/>
  <c r="K413" i="36"/>
  <c r="K409" i="36"/>
  <c r="K405" i="36"/>
  <c r="K401" i="36"/>
  <c r="K397" i="36"/>
  <c r="K393" i="36"/>
  <c r="K389" i="36"/>
  <c r="K385" i="36"/>
  <c r="K381" i="36"/>
  <c r="K377" i="36"/>
  <c r="K373" i="36"/>
  <c r="K369" i="36"/>
  <c r="K365" i="36"/>
  <c r="K361" i="36"/>
  <c r="K357" i="36"/>
  <c r="K353" i="36"/>
  <c r="K349" i="36"/>
  <c r="K477" i="36"/>
  <c r="K461" i="36"/>
  <c r="K445" i="36"/>
  <c r="K426" i="36"/>
  <c r="K418" i="36"/>
  <c r="K410" i="36"/>
  <c r="K402" i="36"/>
  <c r="K394" i="36"/>
  <c r="K386" i="36"/>
  <c r="K380" i="36"/>
  <c r="K375" i="36"/>
  <c r="K370" i="36"/>
  <c r="K364" i="36"/>
  <c r="K359" i="36"/>
  <c r="K354" i="36"/>
  <c r="K348" i="36"/>
  <c r="K344" i="36"/>
  <c r="K340" i="36"/>
  <c r="K336" i="36"/>
  <c r="K332" i="36"/>
  <c r="K328" i="36"/>
  <c r="K324" i="36"/>
  <c r="K320" i="36"/>
  <c r="K316" i="36"/>
  <c r="K312" i="36"/>
  <c r="K308" i="36"/>
  <c r="K304" i="36"/>
  <c r="K300" i="36"/>
  <c r="K296" i="36"/>
  <c r="K292" i="36"/>
  <c r="K288" i="36"/>
  <c r="K284" i="36"/>
  <c r="K280" i="36"/>
  <c r="K276" i="36"/>
  <c r="K272" i="36"/>
  <c r="K268" i="36"/>
  <c r="K264" i="36"/>
  <c r="K260" i="36"/>
  <c r="K256" i="36"/>
  <c r="K252" i="36"/>
  <c r="K248" i="36"/>
  <c r="K469" i="36"/>
  <c r="K453" i="36"/>
  <c r="K437" i="36"/>
  <c r="K422" i="36"/>
  <c r="K414" i="36"/>
  <c r="K406" i="36"/>
  <c r="K398" i="36"/>
  <c r="K390" i="36"/>
  <c r="K383" i="36"/>
  <c r="K378" i="36"/>
  <c r="K372" i="36"/>
  <c r="K367" i="36"/>
  <c r="K362" i="36"/>
  <c r="K356" i="36"/>
  <c r="K351" i="36"/>
  <c r="K346" i="36"/>
  <c r="K342" i="36"/>
  <c r="K338" i="36"/>
  <c r="K334" i="36"/>
  <c r="K330" i="36"/>
  <c r="K326" i="36"/>
  <c r="K322" i="36"/>
  <c r="K318" i="36"/>
  <c r="K314" i="36"/>
  <c r="K310" i="36"/>
  <c r="K306" i="36"/>
  <c r="K302" i="36"/>
  <c r="K298" i="36"/>
  <c r="K294" i="36"/>
  <c r="K290" i="36"/>
  <c r="K286" i="36"/>
  <c r="K282" i="36"/>
  <c r="K278" i="36"/>
  <c r="K274" i="36"/>
  <c r="K270" i="36"/>
  <c r="K266" i="36"/>
  <c r="K262" i="36"/>
  <c r="K258" i="36"/>
  <c r="K254" i="36"/>
  <c r="K250" i="36"/>
  <c r="K246" i="36"/>
  <c r="K242" i="36"/>
  <c r="K238" i="36"/>
  <c r="K234" i="36"/>
  <c r="K230" i="36"/>
  <c r="K226" i="36"/>
  <c r="K222" i="36"/>
  <c r="K218" i="36"/>
  <c r="K376" i="36"/>
  <c r="K371" i="36"/>
  <c r="K360" i="36"/>
  <c r="K355" i="36"/>
  <c r="K339" i="36"/>
  <c r="K331" i="36"/>
  <c r="K323" i="36"/>
  <c r="K315" i="36"/>
  <c r="K307" i="36"/>
  <c r="K299" i="36"/>
  <c r="K291" i="36"/>
  <c r="K283" i="36"/>
  <c r="K275" i="36"/>
  <c r="K267" i="36"/>
  <c r="K259" i="36"/>
  <c r="K251" i="36"/>
  <c r="K243" i="36"/>
  <c r="K237" i="36"/>
  <c r="K232" i="36"/>
  <c r="K227" i="36"/>
  <c r="K221" i="36"/>
  <c r="K213" i="36"/>
  <c r="K209" i="36"/>
  <c r="K205" i="36"/>
  <c r="K201" i="36"/>
  <c r="K197" i="36"/>
  <c r="K193" i="36"/>
  <c r="K189" i="36"/>
  <c r="K185" i="36"/>
  <c r="K181" i="36"/>
  <c r="K177" i="36"/>
  <c r="K173" i="36"/>
  <c r="K169" i="36"/>
  <c r="K165" i="36"/>
  <c r="K161" i="36"/>
  <c r="K157" i="36"/>
  <c r="K153" i="36"/>
  <c r="K149" i="36"/>
  <c r="K145" i="36"/>
  <c r="K141" i="36"/>
  <c r="K137" i="36"/>
  <c r="K133" i="36"/>
  <c r="K129" i="36"/>
  <c r="K125" i="36"/>
  <c r="K121" i="36"/>
  <c r="K117" i="36"/>
  <c r="K113" i="36"/>
  <c r="K109" i="36"/>
  <c r="K105" i="36"/>
  <c r="K428" i="36"/>
  <c r="K424" i="36"/>
  <c r="K420" i="36"/>
  <c r="K416" i="36"/>
  <c r="K412" i="36"/>
  <c r="K408" i="36"/>
  <c r="K404" i="36"/>
  <c r="K400" i="36"/>
  <c r="K396" i="36"/>
  <c r="K392" i="36"/>
  <c r="K388" i="36"/>
  <c r="K384" i="36"/>
  <c r="K379" i="36"/>
  <c r="K368" i="36"/>
  <c r="K363" i="36"/>
  <c r="K352" i="36"/>
  <c r="K347" i="36"/>
  <c r="K343" i="36"/>
  <c r="K335" i="36"/>
  <c r="K327" i="36"/>
  <c r="K319" i="36"/>
  <c r="K311" i="36"/>
  <c r="K303" i="36"/>
  <c r="K295" i="36"/>
  <c r="K287" i="36"/>
  <c r="K279" i="36"/>
  <c r="K271" i="36"/>
  <c r="K263" i="36"/>
  <c r="K255" i="36"/>
  <c r="K245" i="36"/>
  <c r="K240" i="36"/>
  <c r="K235" i="36"/>
  <c r="K229" i="36"/>
  <c r="K224" i="36"/>
  <c r="K219" i="36"/>
  <c r="K215" i="36"/>
  <c r="K211" i="36"/>
  <c r="K207" i="36"/>
  <c r="K203" i="36"/>
  <c r="K199" i="36"/>
  <c r="K195" i="36"/>
  <c r="K191" i="36"/>
  <c r="K187" i="36"/>
  <c r="K183" i="36"/>
  <c r="K179" i="36"/>
  <c r="K175" i="36"/>
  <c r="K171" i="36"/>
  <c r="K167" i="36"/>
  <c r="K163" i="36"/>
  <c r="K159" i="36"/>
  <c r="K155" i="36"/>
  <c r="K151" i="36"/>
  <c r="K147" i="36"/>
  <c r="K143" i="36"/>
  <c r="K139" i="36"/>
  <c r="K135" i="36"/>
  <c r="K131" i="36"/>
  <c r="K127" i="36"/>
  <c r="K123" i="36"/>
  <c r="K119" i="36"/>
  <c r="K115" i="36"/>
  <c r="K111" i="36"/>
  <c r="K107" i="36"/>
  <c r="K103" i="36"/>
  <c r="K99" i="36"/>
  <c r="K95" i="36"/>
  <c r="K91" i="36"/>
  <c r="K87" i="36"/>
  <c r="K83" i="36"/>
  <c r="K79" i="36"/>
  <c r="K241" i="36"/>
  <c r="K236" i="36"/>
  <c r="K225" i="36"/>
  <c r="K220" i="36"/>
  <c r="K210" i="36"/>
  <c r="K202" i="36"/>
  <c r="K194" i="36"/>
  <c r="K186" i="36"/>
  <c r="K178" i="36"/>
  <c r="K170" i="36"/>
  <c r="K162" i="36"/>
  <c r="K154" i="36"/>
  <c r="K146" i="36"/>
  <c r="K138" i="36"/>
  <c r="K130" i="36"/>
  <c r="K122" i="36"/>
  <c r="K114" i="36"/>
  <c r="K106" i="36"/>
  <c r="K101" i="36"/>
  <c r="K96" i="36"/>
  <c r="K90" i="36"/>
  <c r="K85" i="36"/>
  <c r="K80" i="36"/>
  <c r="K73" i="36"/>
  <c r="K69" i="36"/>
  <c r="K65" i="36"/>
  <c r="K61" i="36"/>
  <c r="K57" i="36"/>
  <c r="K53" i="36"/>
  <c r="K49" i="36"/>
  <c r="K45" i="36"/>
  <c r="K41" i="36"/>
  <c r="K37" i="36"/>
  <c r="K33" i="36"/>
  <c r="K29" i="36"/>
  <c r="K25" i="36"/>
  <c r="K21" i="36"/>
  <c r="K17" i="36"/>
  <c r="K498" i="36"/>
  <c r="K482" i="36"/>
  <c r="K466" i="36"/>
  <c r="K463" i="36"/>
  <c r="K450" i="36"/>
  <c r="K447" i="36"/>
  <c r="K434" i="36"/>
  <c r="K431" i="36"/>
  <c r="K374" i="36"/>
  <c r="K358" i="36"/>
  <c r="K345" i="36"/>
  <c r="K341" i="36"/>
  <c r="K337" i="36"/>
  <c r="K333" i="36"/>
  <c r="K329" i="36"/>
  <c r="K325" i="36"/>
  <c r="K321" i="36"/>
  <c r="K317" i="36"/>
  <c r="K313" i="36"/>
  <c r="K309" i="36"/>
  <c r="K305" i="36"/>
  <c r="K301" i="36"/>
  <c r="K297" i="36"/>
  <c r="K293" i="36"/>
  <c r="K289" i="36"/>
  <c r="K285" i="36"/>
  <c r="K281" i="36"/>
  <c r="K277" i="36"/>
  <c r="K273" i="36"/>
  <c r="K269" i="36"/>
  <c r="K265" i="36"/>
  <c r="K261" i="36"/>
  <c r="K257" i="36"/>
  <c r="K253" i="36"/>
  <c r="K249" i="36"/>
  <c r="K239" i="36"/>
  <c r="K223" i="36"/>
  <c r="K212" i="36"/>
  <c r="K204" i="36"/>
  <c r="K196" i="36"/>
  <c r="K188" i="36"/>
  <c r="K180" i="36"/>
  <c r="K172" i="36"/>
  <c r="K164" i="36"/>
  <c r="K156" i="36"/>
  <c r="K148" i="36"/>
  <c r="K140" i="36"/>
  <c r="K132" i="36"/>
  <c r="K124" i="36"/>
  <c r="K116" i="36"/>
  <c r="K108" i="36"/>
  <c r="K102" i="36"/>
  <c r="K97" i="36"/>
  <c r="K92" i="36"/>
  <c r="K86" i="36"/>
  <c r="K81" i="36"/>
  <c r="K76" i="36"/>
  <c r="K72" i="36"/>
  <c r="K68" i="36"/>
  <c r="K64" i="36"/>
  <c r="K60" i="36"/>
  <c r="K56" i="36"/>
  <c r="K52" i="36"/>
  <c r="K48" i="36"/>
  <c r="K44" i="36"/>
  <c r="K40" i="36"/>
  <c r="K36" i="36"/>
  <c r="K32" i="36"/>
  <c r="K28" i="36"/>
  <c r="K24" i="36"/>
  <c r="K20" i="36"/>
  <c r="K563" i="36"/>
  <c r="K571" i="36"/>
  <c r="K506" i="36"/>
  <c r="K490" i="36"/>
  <c r="K474" i="36"/>
  <c r="K471" i="36"/>
  <c r="K247" i="36"/>
  <c r="K233" i="36"/>
  <c r="K231" i="36"/>
  <c r="K217" i="36"/>
  <c r="K216" i="36"/>
  <c r="K208" i="36"/>
  <c r="K200" i="36"/>
  <c r="K192" i="36"/>
  <c r="K184" i="36"/>
  <c r="K176" i="36"/>
  <c r="K168" i="36"/>
  <c r="K160" i="36"/>
  <c r="K244" i="36"/>
  <c r="K100" i="36"/>
  <c r="K84" i="36"/>
  <c r="K74" i="36"/>
  <c r="K66" i="36"/>
  <c r="K58" i="36"/>
  <c r="K50" i="36"/>
  <c r="K555" i="36"/>
  <c r="K442" i="36"/>
  <c r="K439" i="36"/>
  <c r="K366" i="36"/>
  <c r="K214" i="36"/>
  <c r="K206" i="36"/>
  <c r="K198" i="36"/>
  <c r="K190" i="36"/>
  <c r="K182" i="36"/>
  <c r="K174" i="36"/>
  <c r="K166" i="36"/>
  <c r="K158" i="36"/>
  <c r="K150" i="36"/>
  <c r="K142" i="36"/>
  <c r="K134" i="36"/>
  <c r="K126" i="36"/>
  <c r="K118" i="36"/>
  <c r="K110" i="36"/>
  <c r="K71" i="36"/>
  <c r="K63" i="36"/>
  <c r="K55" i="36"/>
  <c r="K47" i="36"/>
  <c r="K39" i="36"/>
  <c r="K31" i="36"/>
  <c r="K23" i="36"/>
  <c r="K19" i="36"/>
  <c r="K14" i="36"/>
  <c r="K228" i="36"/>
  <c r="K128" i="36"/>
  <c r="K93" i="36"/>
  <c r="K16" i="36"/>
  <c r="K18" i="36"/>
  <c r="K382" i="36"/>
  <c r="K152" i="36"/>
  <c r="K82" i="36"/>
  <c r="K62" i="36"/>
  <c r="K458" i="36"/>
  <c r="K455" i="36"/>
  <c r="K136" i="36"/>
  <c r="K104" i="36"/>
  <c r="K98" i="36"/>
  <c r="K94" i="36"/>
  <c r="K75" i="36"/>
  <c r="K67" i="36"/>
  <c r="K59" i="36"/>
  <c r="K51" i="36"/>
  <c r="K46" i="36"/>
  <c r="K43" i="36"/>
  <c r="K42" i="36"/>
  <c r="K30" i="36"/>
  <c r="K27" i="36"/>
  <c r="K26" i="36"/>
  <c r="K15" i="36"/>
  <c r="K350" i="36"/>
  <c r="K144" i="36"/>
  <c r="K112" i="36"/>
  <c r="K77" i="36"/>
  <c r="K120" i="36"/>
  <c r="K89" i="36"/>
  <c r="K88" i="36"/>
  <c r="K78" i="36"/>
  <c r="K70" i="36"/>
  <c r="K54" i="36"/>
  <c r="K38" i="36"/>
  <c r="K35" i="36"/>
  <c r="K34" i="36"/>
  <c r="K22" i="36"/>
  <c r="H16" i="36"/>
  <c r="H11" i="36" s="1"/>
  <c r="N10" i="36" s="1"/>
  <c r="G11" i="36"/>
  <c r="M10" i="36" s="1"/>
  <c r="Q4" i="23"/>
  <c r="Q5" i="23"/>
  <c r="Q6" i="23"/>
  <c r="R6" i="23" s="1"/>
  <c r="Q7" i="23"/>
  <c r="R7" i="23" s="1"/>
  <c r="Q8" i="23"/>
  <c r="R8" i="23" s="1"/>
  <c r="Q9" i="23"/>
  <c r="R9" i="23" s="1"/>
  <c r="S9" i="23" s="1"/>
  <c r="Q10" i="23"/>
  <c r="Q11" i="23"/>
  <c r="Q12" i="23"/>
  <c r="Q13" i="23"/>
  <c r="Q14" i="23"/>
  <c r="R14" i="23" s="1"/>
  <c r="Q15" i="23"/>
  <c r="R15" i="23" s="1"/>
  <c r="Q16" i="23"/>
  <c r="R16" i="23" s="1"/>
  <c r="Q17" i="23"/>
  <c r="R17" i="23" s="1"/>
  <c r="S17" i="23" s="1"/>
  <c r="Q18" i="23"/>
  <c r="Q19" i="23"/>
  <c r="Q20" i="23"/>
  <c r="Q21" i="23"/>
  <c r="Q22" i="23"/>
  <c r="R22" i="23" s="1"/>
  <c r="Q23" i="23"/>
  <c r="R23" i="23" s="1"/>
  <c r="S23" i="23" s="1"/>
  <c r="Q24" i="23"/>
  <c r="R24" i="23" s="1"/>
  <c r="S24" i="23" s="1"/>
  <c r="Q25" i="23"/>
  <c r="R25" i="23" s="1"/>
  <c r="S25" i="23" s="1"/>
  <c r="Q26" i="23"/>
  <c r="Q27" i="23"/>
  <c r="Q28" i="23"/>
  <c r="Q29" i="23"/>
  <c r="Q30" i="23"/>
  <c r="R30" i="23" s="1"/>
  <c r="Q31" i="23"/>
  <c r="R31" i="23" s="1"/>
  <c r="S31" i="23" s="1"/>
  <c r="Q32" i="23"/>
  <c r="Q33" i="23"/>
  <c r="R33" i="23" s="1"/>
  <c r="S33" i="23" s="1"/>
  <c r="Q34" i="23"/>
  <c r="Q35" i="23"/>
  <c r="Q36" i="23"/>
  <c r="Q37" i="23"/>
  <c r="Q38" i="23"/>
  <c r="R38" i="23" s="1"/>
  <c r="Q39" i="23"/>
  <c r="Q40" i="23"/>
  <c r="R40" i="23" s="1"/>
  <c r="S40" i="23" s="1"/>
  <c r="Q41" i="23"/>
  <c r="R41" i="23" s="1"/>
  <c r="S41" i="23" s="1"/>
  <c r="Q42" i="23"/>
  <c r="Q43" i="23"/>
  <c r="Q44" i="23"/>
  <c r="Q45" i="23"/>
  <c r="Q46" i="23"/>
  <c r="R46" i="23" s="1"/>
  <c r="Q47" i="23"/>
  <c r="Q48" i="23"/>
  <c r="Q49" i="23"/>
  <c r="R49" i="23" s="1"/>
  <c r="S49" i="23" s="1"/>
  <c r="Q50" i="23"/>
  <c r="Q51" i="23"/>
  <c r="Q52" i="23"/>
  <c r="Q53" i="23"/>
  <c r="Q54" i="23"/>
  <c r="R54" i="23" s="1"/>
  <c r="Q55" i="23"/>
  <c r="Q56" i="23"/>
  <c r="Q57" i="23"/>
  <c r="R57" i="23" s="1"/>
  <c r="S57" i="23" s="1"/>
  <c r="Q58" i="23"/>
  <c r="Q59" i="23"/>
  <c r="Q60" i="23"/>
  <c r="Q61" i="23"/>
  <c r="Q62" i="23"/>
  <c r="R62" i="23" s="1"/>
  <c r="Q63" i="23"/>
  <c r="R63" i="23" s="1"/>
  <c r="Q64" i="23"/>
  <c r="R64" i="23" s="1"/>
  <c r="S64" i="23" s="1"/>
  <c r="Q65" i="23"/>
  <c r="R65" i="23" s="1"/>
  <c r="S65" i="23" s="1"/>
  <c r="Q66" i="23"/>
  <c r="Q67" i="23"/>
  <c r="Q68" i="23"/>
  <c r="Q69" i="23"/>
  <c r="Q70" i="23"/>
  <c r="R70" i="23" s="1"/>
  <c r="Q71" i="23"/>
  <c r="R71" i="23" s="1"/>
  <c r="S71" i="23" s="1"/>
  <c r="Q72" i="23"/>
  <c r="R72" i="23" s="1"/>
  <c r="S72" i="23" s="1"/>
  <c r="Q73" i="23"/>
  <c r="R73" i="23" s="1"/>
  <c r="S73" i="23" s="1"/>
  <c r="Q74" i="23"/>
  <c r="Q75" i="23"/>
  <c r="Q76" i="23"/>
  <c r="Q77" i="23"/>
  <c r="Q78" i="23"/>
  <c r="R78" i="23" s="1"/>
  <c r="Q79" i="23"/>
  <c r="R79" i="23" s="1"/>
  <c r="S79" i="23" s="1"/>
  <c r="Q80" i="23"/>
  <c r="R80" i="23" s="1"/>
  <c r="S80" i="23" s="1"/>
  <c r="Q81" i="23"/>
  <c r="R81" i="23" s="1"/>
  <c r="S81" i="23" s="1"/>
  <c r="Q82" i="23"/>
  <c r="Q83" i="23"/>
  <c r="Q84" i="23"/>
  <c r="Q85" i="23"/>
  <c r="Q86" i="23"/>
  <c r="R86" i="23" s="1"/>
  <c r="Q87" i="23"/>
  <c r="Q88" i="23"/>
  <c r="R88" i="23" s="1"/>
  <c r="S88" i="23" s="1"/>
  <c r="Q89" i="23"/>
  <c r="R89" i="23" s="1"/>
  <c r="S89" i="23" s="1"/>
  <c r="Q90" i="23"/>
  <c r="Q91" i="23"/>
  <c r="Q92" i="23"/>
  <c r="Q93" i="23"/>
  <c r="Q94" i="23"/>
  <c r="R94" i="23" s="1"/>
  <c r="Q95" i="23"/>
  <c r="R95" i="23" s="1"/>
  <c r="S95" i="23" s="1"/>
  <c r="Q96" i="23"/>
  <c r="Q97" i="23"/>
  <c r="R97" i="23" s="1"/>
  <c r="S97" i="23" s="1"/>
  <c r="Q98" i="23"/>
  <c r="Q99" i="23"/>
  <c r="Q100" i="23"/>
  <c r="Q101" i="23"/>
  <c r="Q102" i="23"/>
  <c r="R102" i="23" s="1"/>
  <c r="Q103" i="23"/>
  <c r="Q104" i="23"/>
  <c r="R104" i="23" s="1"/>
  <c r="S104" i="23" s="1"/>
  <c r="Q105" i="23"/>
  <c r="R105" i="23" s="1"/>
  <c r="S105" i="23" s="1"/>
  <c r="Q106" i="23"/>
  <c r="Q107" i="23"/>
  <c r="Q108" i="23"/>
  <c r="Q109" i="23"/>
  <c r="Q110" i="23"/>
  <c r="R110" i="23" s="1"/>
  <c r="Q111" i="23"/>
  <c r="Q112" i="23"/>
  <c r="Q113" i="23"/>
  <c r="R113" i="23" s="1"/>
  <c r="S113" i="23" s="1"/>
  <c r="Q114" i="23"/>
  <c r="Q115" i="23"/>
  <c r="Q116" i="23"/>
  <c r="Q117" i="23"/>
  <c r="Q118" i="23"/>
  <c r="R118" i="23" s="1"/>
  <c r="Q119" i="23"/>
  <c r="Q120" i="23"/>
  <c r="Q121" i="23"/>
  <c r="R121" i="23" s="1"/>
  <c r="S121" i="23" s="1"/>
  <c r="Q122" i="23"/>
  <c r="Q123" i="23"/>
  <c r="Q124" i="23"/>
  <c r="Q125" i="23"/>
  <c r="Q126" i="23"/>
  <c r="R126" i="23" s="1"/>
  <c r="Q127" i="23"/>
  <c r="R127" i="23" s="1"/>
  <c r="S127" i="23" s="1"/>
  <c r="Q128" i="23"/>
  <c r="R128" i="23" s="1"/>
  <c r="S128" i="23" s="1"/>
  <c r="Q129" i="23"/>
  <c r="R129" i="23" s="1"/>
  <c r="S129" i="23" s="1"/>
  <c r="Q130" i="23"/>
  <c r="Q131" i="23"/>
  <c r="Q132" i="23"/>
  <c r="Q133" i="23"/>
  <c r="Q134" i="23"/>
  <c r="R134" i="23" s="1"/>
  <c r="Q135" i="23"/>
  <c r="R135" i="23" s="1"/>
  <c r="S135" i="23" s="1"/>
  <c r="Q136" i="23"/>
  <c r="R136" i="23" s="1"/>
  <c r="Q137" i="23"/>
  <c r="R137" i="23" s="1"/>
  <c r="S137" i="23" s="1"/>
  <c r="Q138" i="23"/>
  <c r="Q139" i="23"/>
  <c r="Q140" i="23"/>
  <c r="Q141" i="23"/>
  <c r="Q142" i="23"/>
  <c r="R142" i="23" s="1"/>
  <c r="Q143" i="23"/>
  <c r="R143" i="23" s="1"/>
  <c r="S143" i="23" s="1"/>
  <c r="Q144" i="23"/>
  <c r="R144" i="23" s="1"/>
  <c r="Q145" i="23"/>
  <c r="R145" i="23" s="1"/>
  <c r="S145" i="23" s="1"/>
  <c r="Q146" i="23"/>
  <c r="Q147" i="23"/>
  <c r="Q148" i="23"/>
  <c r="Q149" i="23"/>
  <c r="Q150" i="23"/>
  <c r="R150" i="23" s="1"/>
  <c r="Q151" i="23"/>
  <c r="Q152" i="23"/>
  <c r="R152" i="23" s="1"/>
  <c r="S152" i="23" s="1"/>
  <c r="Q153" i="23"/>
  <c r="R153" i="23" s="1"/>
  <c r="S153" i="23" s="1"/>
  <c r="Q154" i="23"/>
  <c r="Q155" i="23"/>
  <c r="Q156" i="23"/>
  <c r="Q157" i="23"/>
  <c r="Q158" i="23"/>
  <c r="R158" i="23" s="1"/>
  <c r="Q159" i="23"/>
  <c r="R159" i="23" s="1"/>
  <c r="S159" i="23" s="1"/>
  <c r="Q160" i="23"/>
  <c r="Q161" i="23"/>
  <c r="R161" i="23" s="1"/>
  <c r="S161" i="23" s="1"/>
  <c r="Q162" i="23"/>
  <c r="Q163" i="23"/>
  <c r="Q164" i="23"/>
  <c r="Q165" i="23"/>
  <c r="Q166" i="23"/>
  <c r="R166" i="23" s="1"/>
  <c r="Q167" i="23"/>
  <c r="Q168" i="23"/>
  <c r="R168" i="23" s="1"/>
  <c r="S168" i="23" s="1"/>
  <c r="Q169" i="23"/>
  <c r="R169" i="23" s="1"/>
  <c r="S169" i="23" s="1"/>
  <c r="Q170" i="23"/>
  <c r="Q171" i="23"/>
  <c r="Q172" i="23"/>
  <c r="Q173" i="23"/>
  <c r="Q174" i="23"/>
  <c r="R174" i="23" s="1"/>
  <c r="Q175" i="23"/>
  <c r="Q176" i="23"/>
  <c r="Q177" i="23"/>
  <c r="R177" i="23" s="1"/>
  <c r="Q178" i="23"/>
  <c r="Q179" i="23"/>
  <c r="Q180" i="23"/>
  <c r="Q181" i="23"/>
  <c r="Q182" i="23"/>
  <c r="R182" i="23" s="1"/>
  <c r="Q183" i="23"/>
  <c r="Q184" i="23"/>
  <c r="Q185" i="23"/>
  <c r="R185" i="23" s="1"/>
  <c r="S185" i="23" s="1"/>
  <c r="Q186" i="23"/>
  <c r="Q187" i="23"/>
  <c r="Q188" i="23"/>
  <c r="Q189" i="23"/>
  <c r="Q190" i="23"/>
  <c r="R190" i="23" s="1"/>
  <c r="Q191" i="23"/>
  <c r="R191" i="23" s="1"/>
  <c r="S191" i="23" s="1"/>
  <c r="Q192" i="23"/>
  <c r="R192" i="23" s="1"/>
  <c r="S192" i="23" s="1"/>
  <c r="Q193" i="23"/>
  <c r="R193" i="23" s="1"/>
  <c r="S193" i="23" s="1"/>
  <c r="Q194" i="23"/>
  <c r="Q195" i="23"/>
  <c r="Q196" i="23"/>
  <c r="Q197" i="23"/>
  <c r="Q198" i="23"/>
  <c r="R198" i="23" s="1"/>
  <c r="Q199" i="23"/>
  <c r="R199" i="23" s="1"/>
  <c r="S199" i="23" s="1"/>
  <c r="Q200" i="23"/>
  <c r="R200" i="23" s="1"/>
  <c r="S200" i="23" s="1"/>
  <c r="Q201" i="23"/>
  <c r="R201" i="23" s="1"/>
  <c r="Q202" i="23"/>
  <c r="Q203" i="23"/>
  <c r="Q204" i="23"/>
  <c r="Q205" i="23"/>
  <c r="Q206" i="23"/>
  <c r="R206" i="23" s="1"/>
  <c r="Q207" i="23"/>
  <c r="R207" i="23" s="1"/>
  <c r="S207" i="23" s="1"/>
  <c r="Q208" i="23"/>
  <c r="R208" i="23" s="1"/>
  <c r="S208" i="23" s="1"/>
  <c r="Q209" i="23"/>
  <c r="R209" i="23" s="1"/>
  <c r="S209" i="23" s="1"/>
  <c r="Q210" i="23"/>
  <c r="Q211" i="23"/>
  <c r="Q212" i="23"/>
  <c r="Q213" i="23"/>
  <c r="Q214" i="23"/>
  <c r="R214" i="23" s="1"/>
  <c r="Q215" i="23"/>
  <c r="Q216" i="23"/>
  <c r="R216" i="23" s="1"/>
  <c r="S216" i="23" s="1"/>
  <c r="Q217" i="23"/>
  <c r="R217" i="23" s="1"/>
  <c r="S217" i="23" s="1"/>
  <c r="Q218" i="23"/>
  <c r="Q219" i="23"/>
  <c r="Q220" i="23"/>
  <c r="Q221" i="23"/>
  <c r="Q222" i="23"/>
  <c r="R222" i="23" s="1"/>
  <c r="Q223" i="23"/>
  <c r="R223" i="23" s="1"/>
  <c r="S223" i="23" s="1"/>
  <c r="Q224" i="23"/>
  <c r="Q225" i="23"/>
  <c r="R225" i="23" s="1"/>
  <c r="S225" i="23" s="1"/>
  <c r="Q226" i="23"/>
  <c r="Q227" i="23"/>
  <c r="Q228" i="23"/>
  <c r="Q229" i="23"/>
  <c r="Q230" i="23"/>
  <c r="R230" i="23" s="1"/>
  <c r="Q231" i="23"/>
  <c r="Q232" i="23"/>
  <c r="R232" i="23" s="1"/>
  <c r="S232" i="23" s="1"/>
  <c r="Q233" i="23"/>
  <c r="Q234" i="23"/>
  <c r="Q235" i="23"/>
  <c r="Q236" i="23"/>
  <c r="Q237" i="23"/>
  <c r="Q238" i="23"/>
  <c r="R238" i="23" s="1"/>
  <c r="Q239" i="23"/>
  <c r="Q240" i="23"/>
  <c r="Q241" i="23"/>
  <c r="R241" i="23" s="1"/>
  <c r="S241" i="23" s="1"/>
  <c r="Q242" i="23"/>
  <c r="Q243" i="23"/>
  <c r="Q244" i="23"/>
  <c r="Q245" i="23"/>
  <c r="Q246" i="23"/>
  <c r="R246" i="23" s="1"/>
  <c r="Q247" i="23"/>
  <c r="Q248" i="23"/>
  <c r="Q249" i="23"/>
  <c r="R249" i="23" s="1"/>
  <c r="S249" i="23" s="1"/>
  <c r="Q250" i="23"/>
  <c r="Q251" i="23"/>
  <c r="Q252" i="23"/>
  <c r="Q253" i="23"/>
  <c r="Q254" i="23"/>
  <c r="R254" i="23" s="1"/>
  <c r="Q255" i="23"/>
  <c r="R255" i="23" s="1"/>
  <c r="S255" i="23" s="1"/>
  <c r="Q256" i="23"/>
  <c r="R256" i="23" s="1"/>
  <c r="S256" i="23" s="1"/>
  <c r="Q257" i="23"/>
  <c r="R257" i="23" s="1"/>
  <c r="Q258" i="23"/>
  <c r="Q259" i="23"/>
  <c r="Q260" i="23"/>
  <c r="Q261" i="23"/>
  <c r="Q262" i="23"/>
  <c r="R262" i="23" s="1"/>
  <c r="Q263" i="23"/>
  <c r="R263" i="23" s="1"/>
  <c r="S263" i="23" s="1"/>
  <c r="Q264" i="23"/>
  <c r="R264" i="23" s="1"/>
  <c r="S264" i="23" s="1"/>
  <c r="Q265" i="23"/>
  <c r="R265" i="23" s="1"/>
  <c r="S265" i="23" s="1"/>
  <c r="Q266" i="23"/>
  <c r="Q267" i="23"/>
  <c r="Q268" i="23"/>
  <c r="Q269" i="23"/>
  <c r="Q270" i="23"/>
  <c r="R270" i="23" s="1"/>
  <c r="Q271" i="23"/>
  <c r="R271" i="23" s="1"/>
  <c r="S271" i="23" s="1"/>
  <c r="Q272" i="23"/>
  <c r="R272" i="23" s="1"/>
  <c r="S272" i="23" s="1"/>
  <c r="Q273" i="23"/>
  <c r="R273" i="23" s="1"/>
  <c r="S273" i="23" s="1"/>
  <c r="Q274" i="23"/>
  <c r="Q275" i="23"/>
  <c r="Q276" i="23"/>
  <c r="Q277" i="23"/>
  <c r="Q278" i="23"/>
  <c r="R278" i="23" s="1"/>
  <c r="Q279" i="23"/>
  <c r="Q280" i="23"/>
  <c r="R280" i="23" s="1"/>
  <c r="S280" i="23" s="1"/>
  <c r="Q281" i="23"/>
  <c r="R281" i="23" s="1"/>
  <c r="S281" i="23" s="1"/>
  <c r="Q282" i="23"/>
  <c r="Q283" i="23"/>
  <c r="Q284" i="23"/>
  <c r="Q285" i="23"/>
  <c r="Q286" i="23"/>
  <c r="R286" i="23" s="1"/>
  <c r="Q287" i="23"/>
  <c r="R287" i="23" s="1"/>
  <c r="S287" i="23" s="1"/>
  <c r="Q288" i="23"/>
  <c r="Q289" i="23"/>
  <c r="R289" i="23" s="1"/>
  <c r="S289" i="23" s="1"/>
  <c r="Q290" i="23"/>
  <c r="Q291" i="23"/>
  <c r="Q292" i="23"/>
  <c r="Q293" i="23"/>
  <c r="Q294" i="23"/>
  <c r="R294" i="23" s="1"/>
  <c r="Q295" i="23"/>
  <c r="Q296" i="23"/>
  <c r="R296" i="23" s="1"/>
  <c r="S296" i="23" s="1"/>
  <c r="Q297" i="23"/>
  <c r="R297" i="23" s="1"/>
  <c r="S297" i="23" s="1"/>
  <c r="Q298" i="23"/>
  <c r="Q299" i="23"/>
  <c r="Q300" i="23"/>
  <c r="Q301" i="23"/>
  <c r="Q302" i="23"/>
  <c r="R302" i="23" s="1"/>
  <c r="Q303" i="23"/>
  <c r="Q304" i="23"/>
  <c r="Q305" i="23"/>
  <c r="R305" i="23" s="1"/>
  <c r="S305" i="23" s="1"/>
  <c r="Q306" i="23"/>
  <c r="Q307" i="23"/>
  <c r="Q308" i="23"/>
  <c r="Q309" i="23"/>
  <c r="Q310" i="23"/>
  <c r="R310" i="23" s="1"/>
  <c r="Q311" i="23"/>
  <c r="Q312" i="23"/>
  <c r="Q313" i="23"/>
  <c r="R313" i="23" s="1"/>
  <c r="S313" i="23" s="1"/>
  <c r="Q314" i="23"/>
  <c r="Q315" i="23"/>
  <c r="Q316" i="23"/>
  <c r="Q317" i="23"/>
  <c r="Q318" i="23"/>
  <c r="R318" i="23" s="1"/>
  <c r="Q319" i="23"/>
  <c r="R319" i="23" s="1"/>
  <c r="S319" i="23" s="1"/>
  <c r="Q320" i="23"/>
  <c r="R320" i="23" s="1"/>
  <c r="S320" i="23" s="1"/>
  <c r="Q321" i="23"/>
  <c r="R321" i="23" s="1"/>
  <c r="S321" i="23" s="1"/>
  <c r="Q322" i="23"/>
  <c r="Q323" i="23"/>
  <c r="Q324" i="23"/>
  <c r="Q325" i="23"/>
  <c r="Q326" i="23"/>
  <c r="R326" i="23" s="1"/>
  <c r="Q327" i="23"/>
  <c r="R327" i="23" s="1"/>
  <c r="S327" i="23" s="1"/>
  <c r="Q328" i="23"/>
  <c r="R328" i="23" s="1"/>
  <c r="S328" i="23" s="1"/>
  <c r="Q329" i="23"/>
  <c r="R329" i="23" s="1"/>
  <c r="S329" i="23" s="1"/>
  <c r="Q330" i="23"/>
  <c r="Q331" i="23"/>
  <c r="Q332" i="23"/>
  <c r="Q333" i="23"/>
  <c r="Q334" i="23"/>
  <c r="R334" i="23" s="1"/>
  <c r="Q335" i="23"/>
  <c r="R335" i="23" s="1"/>
  <c r="S335" i="23" s="1"/>
  <c r="Q336" i="23"/>
  <c r="R336" i="23" s="1"/>
  <c r="S336" i="23" s="1"/>
  <c r="Q337" i="23"/>
  <c r="R337" i="23" s="1"/>
  <c r="Q338" i="23"/>
  <c r="Q339" i="23"/>
  <c r="Q340" i="23"/>
  <c r="Q341" i="23"/>
  <c r="Q342" i="23"/>
  <c r="R342" i="23" s="1"/>
  <c r="Q343" i="23"/>
  <c r="Q344" i="23"/>
  <c r="R344" i="23" s="1"/>
  <c r="S344" i="23" s="1"/>
  <c r="Q345" i="23"/>
  <c r="R345" i="23" s="1"/>
  <c r="S345" i="23" s="1"/>
  <c r="Q346" i="23"/>
  <c r="Q347" i="23"/>
  <c r="Q348" i="23"/>
  <c r="Q349" i="23"/>
  <c r="Q350" i="23"/>
  <c r="R350" i="23" s="1"/>
  <c r="Q351" i="23"/>
  <c r="R351" i="23" s="1"/>
  <c r="S351" i="23" s="1"/>
  <c r="Q352" i="23"/>
  <c r="Q353" i="23"/>
  <c r="R353" i="23" s="1"/>
  <c r="S353" i="23" s="1"/>
  <c r="Q354" i="23"/>
  <c r="Q355" i="23"/>
  <c r="Q356" i="23"/>
  <c r="Q357" i="23"/>
  <c r="Q358" i="23"/>
  <c r="R358" i="23" s="1"/>
  <c r="Q359" i="23"/>
  <c r="Q360" i="23"/>
  <c r="R360" i="23" s="1"/>
  <c r="S360" i="23" s="1"/>
  <c r="Q361" i="23"/>
  <c r="R361" i="23" s="1"/>
  <c r="S361" i="23" s="1"/>
  <c r="Q362" i="23"/>
  <c r="Q363" i="23"/>
  <c r="Q364" i="23"/>
  <c r="Q365" i="23"/>
  <c r="Q366" i="23"/>
  <c r="R366" i="23" s="1"/>
  <c r="Q367" i="23"/>
  <c r="Q368" i="23"/>
  <c r="Q369" i="23"/>
  <c r="R369" i="23" s="1"/>
  <c r="S369" i="23" s="1"/>
  <c r="Q370" i="23"/>
  <c r="Q371" i="23"/>
  <c r="Q372" i="23"/>
  <c r="Q373" i="23"/>
  <c r="Q374" i="23"/>
  <c r="R374" i="23" s="1"/>
  <c r="Q375" i="23"/>
  <c r="Q376" i="23"/>
  <c r="Q377" i="23"/>
  <c r="R377" i="23" s="1"/>
  <c r="S377" i="23" s="1"/>
  <c r="Q378" i="23"/>
  <c r="Q379" i="23"/>
  <c r="Q380" i="23"/>
  <c r="Q381" i="23"/>
  <c r="Q382" i="23"/>
  <c r="R382" i="23" s="1"/>
  <c r="Q383" i="23"/>
  <c r="R383" i="23" s="1"/>
  <c r="S383" i="23" s="1"/>
  <c r="Q384" i="23"/>
  <c r="R384" i="23" s="1"/>
  <c r="S384" i="23" s="1"/>
  <c r="Q385" i="23"/>
  <c r="R385" i="23" s="1"/>
  <c r="S385" i="23" s="1"/>
  <c r="Q386" i="23"/>
  <c r="Q387" i="23"/>
  <c r="Q388" i="23"/>
  <c r="Q389" i="23"/>
  <c r="Q390" i="23"/>
  <c r="R390" i="23" s="1"/>
  <c r="Q391" i="23"/>
  <c r="R391" i="23" s="1"/>
  <c r="S391" i="23" s="1"/>
  <c r="Q392" i="23"/>
  <c r="R392" i="23" s="1"/>
  <c r="S392" i="23" s="1"/>
  <c r="Q393" i="23"/>
  <c r="R393" i="23" s="1"/>
  <c r="S393" i="23" s="1"/>
  <c r="Q394" i="23"/>
  <c r="Q395" i="23"/>
  <c r="Q396" i="23"/>
  <c r="Q397" i="23"/>
  <c r="Q398" i="23"/>
  <c r="R398" i="23" s="1"/>
  <c r="Q399" i="23"/>
  <c r="R399" i="23" s="1"/>
  <c r="S399" i="23" s="1"/>
  <c r="Q400" i="23"/>
  <c r="R400" i="23" s="1"/>
  <c r="S400" i="23" s="1"/>
  <c r="Q401" i="23"/>
  <c r="R401" i="23" s="1"/>
  <c r="S401" i="23" s="1"/>
  <c r="Q402" i="23"/>
  <c r="Q403" i="23"/>
  <c r="Q404" i="23"/>
  <c r="Q405" i="23"/>
  <c r="Q406" i="23"/>
  <c r="R406" i="23" s="1"/>
  <c r="Q407" i="23"/>
  <c r="Q408" i="23"/>
  <c r="R408" i="23" s="1"/>
  <c r="S408" i="23" s="1"/>
  <c r="Q409" i="23"/>
  <c r="R409" i="23" s="1"/>
  <c r="S409" i="23" s="1"/>
  <c r="Q410" i="23"/>
  <c r="Q411" i="23"/>
  <c r="Q412" i="23"/>
  <c r="Q413" i="23"/>
  <c r="Q414" i="23"/>
  <c r="R414" i="23" s="1"/>
  <c r="Q415" i="23"/>
  <c r="R415" i="23" s="1"/>
  <c r="S415" i="23" s="1"/>
  <c r="Q416" i="23"/>
  <c r="Q417" i="23"/>
  <c r="R417" i="23" s="1"/>
  <c r="S417" i="23" s="1"/>
  <c r="Q418" i="23"/>
  <c r="Q419" i="23"/>
  <c r="Q420" i="23"/>
  <c r="Q421" i="23"/>
  <c r="Q422" i="23"/>
  <c r="R422" i="23" s="1"/>
  <c r="Q423" i="23"/>
  <c r="Q424" i="23"/>
  <c r="R424" i="23" s="1"/>
  <c r="S424" i="23" s="1"/>
  <c r="Q425" i="23"/>
  <c r="R425" i="23" s="1"/>
  <c r="S425" i="23" s="1"/>
  <c r="Q426" i="23"/>
  <c r="Q427" i="23"/>
  <c r="Q428" i="23"/>
  <c r="Q429" i="23"/>
  <c r="Q430" i="23"/>
  <c r="R430" i="23" s="1"/>
  <c r="Q431" i="23"/>
  <c r="Q432" i="23"/>
  <c r="Q433" i="23"/>
  <c r="R433" i="23" s="1"/>
  <c r="Q434" i="23"/>
  <c r="Q435" i="23"/>
  <c r="Q436" i="23"/>
  <c r="Q437" i="23"/>
  <c r="Q438" i="23"/>
  <c r="R438" i="23" s="1"/>
  <c r="Q439" i="23"/>
  <c r="Q440" i="23"/>
  <c r="Q441" i="23"/>
  <c r="Q442" i="23"/>
  <c r="Q443" i="23"/>
  <c r="Q444" i="23"/>
  <c r="Q445" i="23"/>
  <c r="Q446" i="23"/>
  <c r="R446" i="23" s="1"/>
  <c r="Q447" i="23"/>
  <c r="R447" i="23" s="1"/>
  <c r="S447" i="23" s="1"/>
  <c r="Q448" i="23"/>
  <c r="R448" i="23" s="1"/>
  <c r="S448" i="23" s="1"/>
  <c r="Q449" i="23"/>
  <c r="R449" i="23" s="1"/>
  <c r="S449" i="23" s="1"/>
  <c r="Q450" i="23"/>
  <c r="Q451" i="23"/>
  <c r="Q452" i="23"/>
  <c r="Q453" i="23"/>
  <c r="Q454" i="23"/>
  <c r="R454" i="23" s="1"/>
  <c r="Q455" i="23"/>
  <c r="R455" i="23" s="1"/>
  <c r="S455" i="23" s="1"/>
  <c r="Q456" i="23"/>
  <c r="R456" i="23" s="1"/>
  <c r="S456" i="23" s="1"/>
  <c r="Q457" i="23"/>
  <c r="R457" i="23" s="1"/>
  <c r="Q458" i="23"/>
  <c r="Q459" i="23"/>
  <c r="Q460" i="23"/>
  <c r="Q461" i="23"/>
  <c r="Q462" i="23"/>
  <c r="R462" i="23" s="1"/>
  <c r="Q463" i="23"/>
  <c r="R463" i="23" s="1"/>
  <c r="S463" i="23" s="1"/>
  <c r="Q464" i="23"/>
  <c r="R464" i="23" s="1"/>
  <c r="S464" i="23" s="1"/>
  <c r="Q465" i="23"/>
  <c r="R465" i="23" s="1"/>
  <c r="S465" i="23" s="1"/>
  <c r="Q466" i="23"/>
  <c r="Q467" i="23"/>
  <c r="Q468" i="23"/>
  <c r="Q469" i="23"/>
  <c r="Q470" i="23"/>
  <c r="R470" i="23" s="1"/>
  <c r="Q471" i="23"/>
  <c r="Q472" i="23"/>
  <c r="R472" i="23" s="1"/>
  <c r="S472" i="23" s="1"/>
  <c r="Q473" i="23"/>
  <c r="R473" i="23" s="1"/>
  <c r="S473" i="23" s="1"/>
  <c r="Q474" i="23"/>
  <c r="Q475" i="23"/>
  <c r="Q476" i="23"/>
  <c r="Q477" i="23"/>
  <c r="Q478" i="23"/>
  <c r="R478" i="23" s="1"/>
  <c r="Q479" i="23"/>
  <c r="R479" i="23" s="1"/>
  <c r="S479" i="23" s="1"/>
  <c r="Q480" i="23"/>
  <c r="Q481" i="23"/>
  <c r="R481" i="23" s="1"/>
  <c r="S481" i="23" s="1"/>
  <c r="Q482" i="23"/>
  <c r="Q483" i="23"/>
  <c r="Q484" i="23"/>
  <c r="Q485" i="23"/>
  <c r="Q486" i="23"/>
  <c r="R486" i="23" s="1"/>
  <c r="Q487" i="23"/>
  <c r="Q488" i="23"/>
  <c r="R488" i="23" s="1"/>
  <c r="S488" i="23" s="1"/>
  <c r="Q489" i="23"/>
  <c r="R489" i="23" s="1"/>
  <c r="S489" i="23" s="1"/>
  <c r="Q490" i="23"/>
  <c r="Q491" i="23"/>
  <c r="Q492" i="23"/>
  <c r="Q493" i="23"/>
  <c r="Q494" i="23"/>
  <c r="R494" i="23" s="1"/>
  <c r="Q495" i="23"/>
  <c r="Q496" i="23"/>
  <c r="Q497" i="23"/>
  <c r="R497" i="23" s="1"/>
  <c r="S497" i="23" s="1"/>
  <c r="Q498" i="23"/>
  <c r="Q499" i="23"/>
  <c r="Q500" i="23"/>
  <c r="Q501" i="23"/>
  <c r="Q502" i="23"/>
  <c r="R502" i="23" s="1"/>
  <c r="Q503" i="23"/>
  <c r="Q504" i="23"/>
  <c r="Q505" i="23"/>
  <c r="R505" i="23" s="1"/>
  <c r="S505" i="23" s="1"/>
  <c r="Q506" i="23"/>
  <c r="Q507" i="23"/>
  <c r="Q508" i="23"/>
  <c r="Q509" i="23"/>
  <c r="Q510" i="23"/>
  <c r="R510" i="23" s="1"/>
  <c r="Q511" i="23"/>
  <c r="R511" i="23" s="1"/>
  <c r="S511" i="23" s="1"/>
  <c r="Q512" i="23"/>
  <c r="R512" i="23" s="1"/>
  <c r="S512" i="23" s="1"/>
  <c r="Q513" i="23"/>
  <c r="R513" i="23" s="1"/>
  <c r="Q514" i="23"/>
  <c r="Q515" i="23"/>
  <c r="Q516" i="23"/>
  <c r="Q517" i="23"/>
  <c r="Q518" i="23"/>
  <c r="R518" i="23" s="1"/>
  <c r="Q519" i="23"/>
  <c r="R519" i="23" s="1"/>
  <c r="S519" i="23" s="1"/>
  <c r="Q520" i="23"/>
  <c r="R520" i="23" s="1"/>
  <c r="S520" i="23" s="1"/>
  <c r="Q521" i="23"/>
  <c r="R521" i="23" s="1"/>
  <c r="S521" i="23" s="1"/>
  <c r="Q522" i="23"/>
  <c r="Q523" i="23"/>
  <c r="Q524" i="23"/>
  <c r="Q525" i="23"/>
  <c r="Q526" i="23"/>
  <c r="R526" i="23" s="1"/>
  <c r="Q527" i="23"/>
  <c r="R527" i="23" s="1"/>
  <c r="S527" i="23" s="1"/>
  <c r="Q528" i="23"/>
  <c r="R528" i="23" s="1"/>
  <c r="S528" i="23" s="1"/>
  <c r="Q529" i="23"/>
  <c r="R529" i="23" s="1"/>
  <c r="S529" i="23" s="1"/>
  <c r="Q530" i="23"/>
  <c r="Q531" i="23"/>
  <c r="Q532" i="23"/>
  <c r="Q533" i="23"/>
  <c r="Q534" i="23"/>
  <c r="R534" i="23" s="1"/>
  <c r="Q535" i="23"/>
  <c r="Q536" i="23"/>
  <c r="R536" i="23" s="1"/>
  <c r="S536" i="23" s="1"/>
  <c r="R4" i="23"/>
  <c r="S4" i="23" s="1"/>
  <c r="R5" i="23"/>
  <c r="R10" i="23"/>
  <c r="R11" i="23"/>
  <c r="R12" i="23"/>
  <c r="S12" i="23" s="1"/>
  <c r="R13" i="23"/>
  <c r="S13" i="23" s="1"/>
  <c r="R18" i="23"/>
  <c r="S18" i="23" s="1"/>
  <c r="R19" i="23"/>
  <c r="R20" i="23"/>
  <c r="R21" i="23"/>
  <c r="R26" i="23"/>
  <c r="R27" i="23"/>
  <c r="R28" i="23"/>
  <c r="S28" i="23" s="1"/>
  <c r="R29" i="23"/>
  <c r="S29" i="23" s="1"/>
  <c r="R32" i="23"/>
  <c r="S32" i="23" s="1"/>
  <c r="R34" i="23"/>
  <c r="R35" i="23"/>
  <c r="R36" i="23"/>
  <c r="R37" i="23"/>
  <c r="S37" i="23" s="1"/>
  <c r="R39" i="23"/>
  <c r="S39" i="23" s="1"/>
  <c r="R42" i="23"/>
  <c r="R43" i="23"/>
  <c r="R44" i="23"/>
  <c r="R45" i="23"/>
  <c r="R47" i="23"/>
  <c r="R48" i="23"/>
  <c r="S48" i="23" s="1"/>
  <c r="R50" i="23"/>
  <c r="S50" i="23" s="1"/>
  <c r="R51" i="23"/>
  <c r="R52" i="23"/>
  <c r="R53" i="23"/>
  <c r="R55" i="23"/>
  <c r="S55" i="23" s="1"/>
  <c r="R56" i="23"/>
  <c r="R58" i="23"/>
  <c r="R59" i="23"/>
  <c r="S59" i="23" s="1"/>
  <c r="R60" i="23"/>
  <c r="R61" i="23"/>
  <c r="R66" i="23"/>
  <c r="S66" i="23" s="1"/>
  <c r="R67" i="23"/>
  <c r="R68" i="23"/>
  <c r="S68" i="23" s="1"/>
  <c r="R69" i="23"/>
  <c r="R74" i="23"/>
  <c r="S74" i="23" s="1"/>
  <c r="R75" i="23"/>
  <c r="R76" i="23"/>
  <c r="R77" i="23"/>
  <c r="S77" i="23" s="1"/>
  <c r="R82" i="23"/>
  <c r="R83" i="23"/>
  <c r="S83" i="23" s="1"/>
  <c r="R84" i="23"/>
  <c r="R85" i="23"/>
  <c r="R87" i="23"/>
  <c r="S87" i="23" s="1"/>
  <c r="R90" i="23"/>
  <c r="R91" i="23"/>
  <c r="R92" i="23"/>
  <c r="S92" i="23" s="1"/>
  <c r="R93" i="23"/>
  <c r="R96" i="23"/>
  <c r="S96" i="23" s="1"/>
  <c r="R98" i="23"/>
  <c r="R99" i="23"/>
  <c r="R100" i="23"/>
  <c r="R101" i="23"/>
  <c r="S101" i="23" s="1"/>
  <c r="R103" i="23"/>
  <c r="S103" i="23" s="1"/>
  <c r="R106" i="23"/>
  <c r="R107" i="23"/>
  <c r="R108" i="23"/>
  <c r="R109" i="23"/>
  <c r="R111" i="23"/>
  <c r="R112" i="23"/>
  <c r="S112" i="23" s="1"/>
  <c r="R114" i="23"/>
  <c r="S114" i="23" s="1"/>
  <c r="R115" i="23"/>
  <c r="R116" i="23"/>
  <c r="R117" i="23"/>
  <c r="R119" i="23"/>
  <c r="S119" i="23" s="1"/>
  <c r="R120" i="23"/>
  <c r="R122" i="23"/>
  <c r="R123" i="23"/>
  <c r="S123" i="23" s="1"/>
  <c r="R124" i="23"/>
  <c r="R125" i="23"/>
  <c r="R130" i="23"/>
  <c r="S130" i="23" s="1"/>
  <c r="R131" i="23"/>
  <c r="R132" i="23"/>
  <c r="S132" i="23" s="1"/>
  <c r="R133" i="23"/>
  <c r="R138" i="23"/>
  <c r="S138" i="23" s="1"/>
  <c r="R139" i="23"/>
  <c r="R140" i="23"/>
  <c r="R141" i="23"/>
  <c r="S141" i="23" s="1"/>
  <c r="R146" i="23"/>
  <c r="R147" i="23"/>
  <c r="S147" i="23" s="1"/>
  <c r="R148" i="23"/>
  <c r="R149" i="23"/>
  <c r="R151" i="23"/>
  <c r="S151" i="23" s="1"/>
  <c r="R154" i="23"/>
  <c r="R155" i="23"/>
  <c r="S155" i="23" s="1"/>
  <c r="R156" i="23"/>
  <c r="R157" i="23"/>
  <c r="S157" i="23" s="1"/>
  <c r="R160" i="23"/>
  <c r="S160" i="23" s="1"/>
  <c r="R162" i="23"/>
  <c r="R163" i="23"/>
  <c r="S163" i="23" s="1"/>
  <c r="R164" i="23"/>
  <c r="R165" i="23"/>
  <c r="S165" i="23" s="1"/>
  <c r="R167" i="23"/>
  <c r="S167" i="23" s="1"/>
  <c r="R170" i="23"/>
  <c r="R171" i="23"/>
  <c r="R172" i="23"/>
  <c r="R173" i="23"/>
  <c r="S173" i="23" s="1"/>
  <c r="R175" i="23"/>
  <c r="S175" i="23" s="1"/>
  <c r="R176" i="23"/>
  <c r="S176" i="23" s="1"/>
  <c r="R178" i="23"/>
  <c r="S178" i="23" s="1"/>
  <c r="R179" i="23"/>
  <c r="R180" i="23"/>
  <c r="R181" i="23"/>
  <c r="S181" i="23" s="1"/>
  <c r="R183" i="23"/>
  <c r="S183" i="23" s="1"/>
  <c r="R184" i="23"/>
  <c r="S184" i="23" s="1"/>
  <c r="R186" i="23"/>
  <c r="R187" i="23"/>
  <c r="S187" i="23" s="1"/>
  <c r="R188" i="23"/>
  <c r="R189" i="23"/>
  <c r="R194" i="23"/>
  <c r="R195" i="23"/>
  <c r="R196" i="23"/>
  <c r="R197" i="23"/>
  <c r="R202" i="23"/>
  <c r="R203" i="23"/>
  <c r="S203" i="23" s="1"/>
  <c r="R204" i="23"/>
  <c r="R205" i="23"/>
  <c r="S205" i="23" s="1"/>
  <c r="R210" i="23"/>
  <c r="R211" i="23"/>
  <c r="S211" i="23" s="1"/>
  <c r="R212" i="23"/>
  <c r="R213" i="23"/>
  <c r="R215" i="23"/>
  <c r="S215" i="23" s="1"/>
  <c r="R218" i="23"/>
  <c r="R219" i="23"/>
  <c r="S219" i="23" s="1"/>
  <c r="R220" i="23"/>
  <c r="R221" i="23"/>
  <c r="S221" i="23" s="1"/>
  <c r="R224" i="23"/>
  <c r="S224" i="23" s="1"/>
  <c r="R226" i="23"/>
  <c r="R227" i="23"/>
  <c r="S227" i="23" s="1"/>
  <c r="R228" i="23"/>
  <c r="R229" i="23"/>
  <c r="S229" i="23" s="1"/>
  <c r="R231" i="23"/>
  <c r="S231" i="23" s="1"/>
  <c r="R233" i="23"/>
  <c r="S233" i="23" s="1"/>
  <c r="R234" i="23"/>
  <c r="R235" i="23"/>
  <c r="R236" i="23"/>
  <c r="R237" i="23"/>
  <c r="S237" i="23" s="1"/>
  <c r="R239" i="23"/>
  <c r="S239" i="23" s="1"/>
  <c r="R240" i="23"/>
  <c r="S240" i="23" s="1"/>
  <c r="R242" i="23"/>
  <c r="R243" i="23"/>
  <c r="R244" i="23"/>
  <c r="R245" i="23"/>
  <c r="S245" i="23" s="1"/>
  <c r="R247" i="23"/>
  <c r="S247" i="23" s="1"/>
  <c r="R248" i="23"/>
  <c r="S248" i="23" s="1"/>
  <c r="R250" i="23"/>
  <c r="R251" i="23"/>
  <c r="S251" i="23" s="1"/>
  <c r="R252" i="23"/>
  <c r="R253" i="23"/>
  <c r="R258" i="23"/>
  <c r="S258" i="23" s="1"/>
  <c r="R259" i="23"/>
  <c r="R260" i="23"/>
  <c r="R261" i="23"/>
  <c r="R266" i="23"/>
  <c r="R267" i="23"/>
  <c r="S267" i="23" s="1"/>
  <c r="R268" i="23"/>
  <c r="R269" i="23"/>
  <c r="S269" i="23" s="1"/>
  <c r="R274" i="23"/>
  <c r="R275" i="23"/>
  <c r="S275" i="23" s="1"/>
  <c r="R276" i="23"/>
  <c r="R277" i="23"/>
  <c r="R279" i="23"/>
  <c r="S279" i="23" s="1"/>
  <c r="R282" i="23"/>
  <c r="R283" i="23"/>
  <c r="S283" i="23" s="1"/>
  <c r="R284" i="23"/>
  <c r="R285" i="23"/>
  <c r="S285" i="23" s="1"/>
  <c r="R288" i="23"/>
  <c r="S288" i="23" s="1"/>
  <c r="R290" i="23"/>
  <c r="R291" i="23"/>
  <c r="S291" i="23" s="1"/>
  <c r="R292" i="23"/>
  <c r="R293" i="23"/>
  <c r="S293" i="23" s="1"/>
  <c r="R295" i="23"/>
  <c r="S295" i="23" s="1"/>
  <c r="R298" i="23"/>
  <c r="R299" i="23"/>
  <c r="R300" i="23"/>
  <c r="R301" i="23"/>
  <c r="S301" i="23" s="1"/>
  <c r="R303" i="23"/>
  <c r="S303" i="23" s="1"/>
  <c r="R304" i="23"/>
  <c r="S304" i="23" s="1"/>
  <c r="R306" i="23"/>
  <c r="S306" i="23" s="1"/>
  <c r="R307" i="23"/>
  <c r="R308" i="23"/>
  <c r="R309" i="23"/>
  <c r="S309" i="23" s="1"/>
  <c r="R311" i="23"/>
  <c r="S311" i="23" s="1"/>
  <c r="R312" i="23"/>
  <c r="S312" i="23" s="1"/>
  <c r="R314" i="23"/>
  <c r="R315" i="23"/>
  <c r="S315" i="23" s="1"/>
  <c r="R316" i="23"/>
  <c r="R317" i="23"/>
  <c r="R322" i="23"/>
  <c r="R323" i="23"/>
  <c r="R324" i="23"/>
  <c r="R325" i="23"/>
  <c r="R330" i="23"/>
  <c r="R331" i="23"/>
  <c r="S331" i="23" s="1"/>
  <c r="R332" i="23"/>
  <c r="R333" i="23"/>
  <c r="S333" i="23" s="1"/>
  <c r="R338" i="23"/>
  <c r="R339" i="23"/>
  <c r="S339" i="23" s="1"/>
  <c r="R340" i="23"/>
  <c r="R341" i="23"/>
  <c r="R343" i="23"/>
  <c r="S343" i="23" s="1"/>
  <c r="R346" i="23"/>
  <c r="R347" i="23"/>
  <c r="S347" i="23" s="1"/>
  <c r="R348" i="23"/>
  <c r="R349" i="23"/>
  <c r="S349" i="23" s="1"/>
  <c r="R352" i="23"/>
  <c r="S352" i="23" s="1"/>
  <c r="R354" i="23"/>
  <c r="R355" i="23"/>
  <c r="S355" i="23" s="1"/>
  <c r="R356" i="23"/>
  <c r="R357" i="23"/>
  <c r="S357" i="23" s="1"/>
  <c r="R359" i="23"/>
  <c r="S359" i="23" s="1"/>
  <c r="R362" i="23"/>
  <c r="R363" i="23"/>
  <c r="R364" i="23"/>
  <c r="R365" i="23"/>
  <c r="S365" i="23" s="1"/>
  <c r="R367" i="23"/>
  <c r="S367" i="23" s="1"/>
  <c r="R368" i="23"/>
  <c r="S368" i="23" s="1"/>
  <c r="R370" i="23"/>
  <c r="R371" i="23"/>
  <c r="R372" i="23"/>
  <c r="R373" i="23"/>
  <c r="S373" i="23" s="1"/>
  <c r="R375" i="23"/>
  <c r="S375" i="23" s="1"/>
  <c r="R376" i="23"/>
  <c r="S376" i="23" s="1"/>
  <c r="R378" i="23"/>
  <c r="R379" i="23"/>
  <c r="S379" i="23" s="1"/>
  <c r="R380" i="23"/>
  <c r="R381" i="23"/>
  <c r="R386" i="23"/>
  <c r="R387" i="23"/>
  <c r="R388" i="23"/>
  <c r="S388" i="23" s="1"/>
  <c r="R389" i="23"/>
  <c r="R394" i="23"/>
  <c r="R395" i="23"/>
  <c r="S395" i="23" s="1"/>
  <c r="R396" i="23"/>
  <c r="R397" i="23"/>
  <c r="S397" i="23" s="1"/>
  <c r="R402" i="23"/>
  <c r="R403" i="23"/>
  <c r="S403" i="23" s="1"/>
  <c r="R404" i="23"/>
  <c r="R405" i="23"/>
  <c r="R407" i="23"/>
  <c r="S407" i="23" s="1"/>
  <c r="R410" i="23"/>
  <c r="R411" i="23"/>
  <c r="S411" i="23" s="1"/>
  <c r="R412" i="23"/>
  <c r="R413" i="23"/>
  <c r="S413" i="23" s="1"/>
  <c r="R416" i="23"/>
  <c r="S416" i="23" s="1"/>
  <c r="R418" i="23"/>
  <c r="R419" i="23"/>
  <c r="S419" i="23" s="1"/>
  <c r="R420" i="23"/>
  <c r="R421" i="23"/>
  <c r="S421" i="23" s="1"/>
  <c r="R423" i="23"/>
  <c r="S423" i="23" s="1"/>
  <c r="R426" i="23"/>
  <c r="R427" i="23"/>
  <c r="R428" i="23"/>
  <c r="R429" i="23"/>
  <c r="S429" i="23" s="1"/>
  <c r="R431" i="23"/>
  <c r="S431" i="23" s="1"/>
  <c r="R432" i="23"/>
  <c r="S432" i="23" s="1"/>
  <c r="R434" i="23"/>
  <c r="S434" i="23" s="1"/>
  <c r="R435" i="23"/>
  <c r="R436" i="23"/>
  <c r="R437" i="23"/>
  <c r="S437" i="23" s="1"/>
  <c r="R439" i="23"/>
  <c r="S439" i="23" s="1"/>
  <c r="R440" i="23"/>
  <c r="S440" i="23" s="1"/>
  <c r="R441" i="23"/>
  <c r="S441" i="23" s="1"/>
  <c r="R442" i="23"/>
  <c r="R443" i="23"/>
  <c r="S443" i="23" s="1"/>
  <c r="R444" i="23"/>
  <c r="R445" i="23"/>
  <c r="R450" i="23"/>
  <c r="R451" i="23"/>
  <c r="R452" i="23"/>
  <c r="S452" i="23" s="1"/>
  <c r="R453" i="23"/>
  <c r="R458" i="23"/>
  <c r="R459" i="23"/>
  <c r="S459" i="23" s="1"/>
  <c r="R460" i="23"/>
  <c r="R461" i="23"/>
  <c r="S461" i="23" s="1"/>
  <c r="R466" i="23"/>
  <c r="R467" i="23"/>
  <c r="S467" i="23" s="1"/>
  <c r="R468" i="23"/>
  <c r="R469" i="23"/>
  <c r="R471" i="23"/>
  <c r="S471" i="23" s="1"/>
  <c r="R474" i="23"/>
  <c r="R475" i="23"/>
  <c r="S475" i="23" s="1"/>
  <c r="R476" i="23"/>
  <c r="R477" i="23"/>
  <c r="S477" i="23" s="1"/>
  <c r="R480" i="23"/>
  <c r="S480" i="23" s="1"/>
  <c r="R482" i="23"/>
  <c r="R483" i="23"/>
  <c r="S483" i="23" s="1"/>
  <c r="R484" i="23"/>
  <c r="R485" i="23"/>
  <c r="S485" i="23" s="1"/>
  <c r="R487" i="23"/>
  <c r="S487" i="23" s="1"/>
  <c r="R490" i="23"/>
  <c r="R491" i="23"/>
  <c r="R492" i="23"/>
  <c r="R493" i="23"/>
  <c r="S493" i="23" s="1"/>
  <c r="R495" i="23"/>
  <c r="S495" i="23" s="1"/>
  <c r="R496" i="23"/>
  <c r="S496" i="23" s="1"/>
  <c r="R498" i="23"/>
  <c r="R499" i="23"/>
  <c r="R500" i="23"/>
  <c r="R501" i="23"/>
  <c r="S501" i="23" s="1"/>
  <c r="R503" i="23"/>
  <c r="S503" i="23" s="1"/>
  <c r="R504" i="23"/>
  <c r="S504" i="23" s="1"/>
  <c r="R506" i="23"/>
  <c r="R507" i="23"/>
  <c r="S507" i="23" s="1"/>
  <c r="R508" i="23"/>
  <c r="R509" i="23"/>
  <c r="R514" i="23"/>
  <c r="S514" i="23" s="1"/>
  <c r="R515" i="23"/>
  <c r="R516" i="23"/>
  <c r="S516" i="23" s="1"/>
  <c r="R517" i="23"/>
  <c r="R522" i="23"/>
  <c r="R523" i="23"/>
  <c r="S523" i="23" s="1"/>
  <c r="R524" i="23"/>
  <c r="R525" i="23"/>
  <c r="S525" i="23" s="1"/>
  <c r="R530" i="23"/>
  <c r="R531" i="23"/>
  <c r="S531" i="23" s="1"/>
  <c r="R532" i="23"/>
  <c r="S532" i="23" s="1"/>
  <c r="R533" i="23"/>
  <c r="R535" i="23"/>
  <c r="S535" i="23" s="1"/>
  <c r="S5" i="23"/>
  <c r="S6" i="23"/>
  <c r="S7" i="23"/>
  <c r="S8" i="23"/>
  <c r="S10" i="23"/>
  <c r="S11" i="23"/>
  <c r="S14" i="23"/>
  <c r="S15" i="23"/>
  <c r="S16" i="23"/>
  <c r="S19" i="23"/>
  <c r="S20" i="23"/>
  <c r="S21" i="23"/>
  <c r="S22" i="23"/>
  <c r="S26" i="23"/>
  <c r="S27" i="23"/>
  <c r="S30" i="23"/>
  <c r="S34" i="23"/>
  <c r="S35" i="23"/>
  <c r="S36" i="23"/>
  <c r="S38" i="23"/>
  <c r="S42" i="23"/>
  <c r="S43" i="23"/>
  <c r="S44" i="23"/>
  <c r="S45" i="23"/>
  <c r="S46" i="23"/>
  <c r="S47" i="23"/>
  <c r="S51" i="23"/>
  <c r="S52" i="23"/>
  <c r="S53" i="23"/>
  <c r="S54" i="23"/>
  <c r="S56" i="23"/>
  <c r="S58" i="23"/>
  <c r="S60" i="23"/>
  <c r="S61" i="23"/>
  <c r="S62" i="23"/>
  <c r="S63" i="23"/>
  <c r="S67" i="23"/>
  <c r="S69" i="23"/>
  <c r="S70" i="23"/>
  <c r="S75" i="23"/>
  <c r="S76" i="23"/>
  <c r="S78" i="23"/>
  <c r="S82" i="23"/>
  <c r="S84" i="23"/>
  <c r="S85" i="23"/>
  <c r="S86" i="23"/>
  <c r="S90" i="23"/>
  <c r="S91" i="23"/>
  <c r="S93" i="23"/>
  <c r="S94" i="23"/>
  <c r="S98" i="23"/>
  <c r="S99" i="23"/>
  <c r="S100" i="23"/>
  <c r="S102" i="23"/>
  <c r="S106" i="23"/>
  <c r="S107" i="23"/>
  <c r="S108" i="23"/>
  <c r="S109" i="23"/>
  <c r="S110" i="23"/>
  <c r="S111" i="23"/>
  <c r="S115" i="23"/>
  <c r="S116" i="23"/>
  <c r="S117" i="23"/>
  <c r="S118" i="23"/>
  <c r="S120" i="23"/>
  <c r="S122" i="23"/>
  <c r="S124" i="23"/>
  <c r="S125" i="23"/>
  <c r="S126" i="23"/>
  <c r="S131" i="23"/>
  <c r="S133" i="23"/>
  <c r="S134" i="23"/>
  <c r="S136" i="23"/>
  <c r="S139" i="23"/>
  <c r="S140" i="23"/>
  <c r="S142" i="23"/>
  <c r="S144" i="23"/>
  <c r="S146" i="23"/>
  <c r="S148" i="23"/>
  <c r="S149" i="23"/>
  <c r="S150" i="23"/>
  <c r="S154" i="23"/>
  <c r="S156" i="23"/>
  <c r="S158" i="23"/>
  <c r="S162" i="23"/>
  <c r="S164" i="23"/>
  <c r="S166" i="23"/>
  <c r="S170" i="23"/>
  <c r="S171" i="23"/>
  <c r="S172" i="23"/>
  <c r="S174" i="23"/>
  <c r="S177" i="23"/>
  <c r="S179" i="23"/>
  <c r="S180" i="23"/>
  <c r="S182" i="23"/>
  <c r="S186" i="23"/>
  <c r="S188" i="23"/>
  <c r="S189" i="23"/>
  <c r="S190" i="23"/>
  <c r="S194" i="23"/>
  <c r="S195" i="23"/>
  <c r="S196" i="23"/>
  <c r="S197" i="23"/>
  <c r="S198" i="23"/>
  <c r="S201" i="23"/>
  <c r="S202" i="23"/>
  <c r="S204" i="23"/>
  <c r="S206" i="23"/>
  <c r="S210" i="23"/>
  <c r="S212" i="23"/>
  <c r="S213" i="23"/>
  <c r="S214" i="23"/>
  <c r="S218" i="23"/>
  <c r="S220" i="23"/>
  <c r="S222" i="23"/>
  <c r="S226" i="23"/>
  <c r="S228" i="23"/>
  <c r="S230" i="23"/>
  <c r="S234" i="23"/>
  <c r="S235" i="23"/>
  <c r="S236" i="23"/>
  <c r="S238" i="23"/>
  <c r="S242" i="23"/>
  <c r="S243" i="23"/>
  <c r="S244" i="23"/>
  <c r="S246" i="23"/>
  <c r="S250" i="23"/>
  <c r="S252" i="23"/>
  <c r="S253" i="23"/>
  <c r="S254" i="23"/>
  <c r="S257" i="23"/>
  <c r="S259" i="23"/>
  <c r="S260" i="23"/>
  <c r="S261" i="23"/>
  <c r="S262" i="23"/>
  <c r="S266" i="23"/>
  <c r="S268" i="23"/>
  <c r="S270" i="23"/>
  <c r="S274" i="23"/>
  <c r="S276" i="23"/>
  <c r="S277" i="23"/>
  <c r="S278" i="23"/>
  <c r="S282" i="23"/>
  <c r="S284" i="23"/>
  <c r="S286" i="23"/>
  <c r="S290" i="23"/>
  <c r="S292" i="23"/>
  <c r="S294" i="23"/>
  <c r="S298" i="23"/>
  <c r="S299" i="23"/>
  <c r="S300" i="23"/>
  <c r="S302" i="23"/>
  <c r="S307" i="23"/>
  <c r="S308" i="23"/>
  <c r="S310" i="23"/>
  <c r="S314" i="23"/>
  <c r="S316" i="23"/>
  <c r="S317" i="23"/>
  <c r="S318" i="23"/>
  <c r="S322" i="23"/>
  <c r="S323" i="23"/>
  <c r="S324" i="23"/>
  <c r="S325" i="23"/>
  <c r="S326" i="23"/>
  <c r="S330" i="23"/>
  <c r="S332" i="23"/>
  <c r="S334" i="23"/>
  <c r="S337" i="23"/>
  <c r="S338" i="23"/>
  <c r="S340" i="23"/>
  <c r="S341" i="23"/>
  <c r="S342" i="23"/>
  <c r="S346" i="23"/>
  <c r="S348" i="23"/>
  <c r="S350" i="23"/>
  <c r="S354" i="23"/>
  <c r="S356" i="23"/>
  <c r="S358" i="23"/>
  <c r="S362" i="23"/>
  <c r="S363" i="23"/>
  <c r="S364" i="23"/>
  <c r="S366" i="23"/>
  <c r="S370" i="23"/>
  <c r="S371" i="23"/>
  <c r="S372" i="23"/>
  <c r="S374" i="23"/>
  <c r="S378" i="23"/>
  <c r="S380" i="23"/>
  <c r="S381" i="23"/>
  <c r="S382" i="23"/>
  <c r="S386" i="23"/>
  <c r="S387" i="23"/>
  <c r="S389" i="23"/>
  <c r="S390" i="23"/>
  <c r="S394" i="23"/>
  <c r="S396" i="23"/>
  <c r="S398" i="23"/>
  <c r="S402" i="23"/>
  <c r="S404" i="23"/>
  <c r="S405" i="23"/>
  <c r="S406" i="23"/>
  <c r="S410" i="23"/>
  <c r="S412" i="23"/>
  <c r="S414" i="23"/>
  <c r="S418" i="23"/>
  <c r="S420" i="23"/>
  <c r="S422" i="23"/>
  <c r="S426" i="23"/>
  <c r="S427" i="23"/>
  <c r="S428" i="23"/>
  <c r="S430" i="23"/>
  <c r="S433" i="23"/>
  <c r="S435" i="23"/>
  <c r="S436" i="23"/>
  <c r="S438" i="23"/>
  <c r="S442" i="23"/>
  <c r="S444" i="23"/>
  <c r="S445" i="23"/>
  <c r="S446" i="23"/>
  <c r="S450" i="23"/>
  <c r="S451" i="23"/>
  <c r="S453" i="23"/>
  <c r="S454" i="23"/>
  <c r="S457" i="23"/>
  <c r="S458" i="23"/>
  <c r="S460" i="23"/>
  <c r="S462" i="23"/>
  <c r="S466" i="23"/>
  <c r="S468" i="23"/>
  <c r="S469" i="23"/>
  <c r="S470" i="23"/>
  <c r="S474" i="23"/>
  <c r="S476" i="23"/>
  <c r="S478" i="23"/>
  <c r="S482" i="23"/>
  <c r="S484" i="23"/>
  <c r="S486" i="23"/>
  <c r="S490" i="23"/>
  <c r="S491" i="23"/>
  <c r="S492" i="23"/>
  <c r="S494" i="23"/>
  <c r="S498" i="23"/>
  <c r="S499" i="23"/>
  <c r="S500" i="23"/>
  <c r="S502" i="23"/>
  <c r="S506" i="23"/>
  <c r="S508" i="23"/>
  <c r="S509" i="23"/>
  <c r="S510" i="23"/>
  <c r="S513" i="23"/>
  <c r="S515" i="23"/>
  <c r="S517" i="23"/>
  <c r="S518" i="23"/>
  <c r="S522" i="23"/>
  <c r="S524" i="23"/>
  <c r="S526" i="23"/>
  <c r="S530" i="23"/>
  <c r="S533" i="23"/>
  <c r="S534" i="23"/>
  <c r="M62" i="36" l="1"/>
  <c r="N62" i="36" s="1"/>
  <c r="I62" i="36"/>
  <c r="L62" i="36"/>
  <c r="M34" i="36"/>
  <c r="N34" i="36" s="1"/>
  <c r="I34" i="36"/>
  <c r="L34" i="36"/>
  <c r="M70" i="36"/>
  <c r="N70" i="36" s="1"/>
  <c r="I70" i="36"/>
  <c r="L70" i="36"/>
  <c r="L120" i="36"/>
  <c r="I120" i="36"/>
  <c r="M120" i="36"/>
  <c r="N120" i="36" s="1"/>
  <c r="L350" i="36"/>
  <c r="M350" i="36"/>
  <c r="N350" i="36" s="1"/>
  <c r="I350" i="36"/>
  <c r="M30" i="36"/>
  <c r="N30" i="36" s="1"/>
  <c r="I30" i="36"/>
  <c r="L30" i="36"/>
  <c r="M51" i="36"/>
  <c r="N51" i="36" s="1"/>
  <c r="I51" i="36"/>
  <c r="L51" i="36"/>
  <c r="L94" i="36"/>
  <c r="I94" i="36"/>
  <c r="M94" i="36"/>
  <c r="N94" i="36" s="1"/>
  <c r="L455" i="36"/>
  <c r="M455" i="36"/>
  <c r="N455" i="36" s="1"/>
  <c r="I455" i="36"/>
  <c r="L152" i="36"/>
  <c r="I152" i="36"/>
  <c r="M152" i="36"/>
  <c r="N152" i="36" s="1"/>
  <c r="M93" i="36"/>
  <c r="N93" i="36" s="1"/>
  <c r="I93" i="36"/>
  <c r="L93" i="36"/>
  <c r="M19" i="36"/>
  <c r="N19" i="36" s="1"/>
  <c r="I19" i="36"/>
  <c r="L19" i="36"/>
  <c r="M47" i="36"/>
  <c r="N47" i="36" s="1"/>
  <c r="I47" i="36"/>
  <c r="L47" i="36"/>
  <c r="L110" i="36"/>
  <c r="I110" i="36"/>
  <c r="M110" i="36"/>
  <c r="N110" i="36" s="1"/>
  <c r="L142" i="36"/>
  <c r="I142" i="36"/>
  <c r="M142" i="36"/>
  <c r="N142" i="36" s="1"/>
  <c r="L174" i="36"/>
  <c r="I174" i="36"/>
  <c r="M174" i="36"/>
  <c r="N174" i="36" s="1"/>
  <c r="L206" i="36"/>
  <c r="I206" i="36"/>
  <c r="M206" i="36"/>
  <c r="N206" i="36" s="1"/>
  <c r="M442" i="36"/>
  <c r="N442" i="36" s="1"/>
  <c r="I442" i="36"/>
  <c r="L442" i="36"/>
  <c r="M66" i="36"/>
  <c r="N66" i="36" s="1"/>
  <c r="I66" i="36"/>
  <c r="L66" i="36"/>
  <c r="M244" i="36"/>
  <c r="N244" i="36" s="1"/>
  <c r="I244" i="36"/>
  <c r="L244" i="36"/>
  <c r="L184" i="36"/>
  <c r="I184" i="36"/>
  <c r="M184" i="36"/>
  <c r="N184" i="36" s="1"/>
  <c r="L216" i="36"/>
  <c r="I216" i="36"/>
  <c r="M216" i="36"/>
  <c r="N216" i="36" s="1"/>
  <c r="L247" i="36"/>
  <c r="I247" i="36"/>
  <c r="M247" i="36"/>
  <c r="N247" i="36" s="1"/>
  <c r="L506" i="36"/>
  <c r="M506" i="36"/>
  <c r="N506" i="36" s="1"/>
  <c r="I506" i="36"/>
  <c r="L24" i="36"/>
  <c r="I24" i="36"/>
  <c r="M24" i="36"/>
  <c r="N24" i="36" s="1"/>
  <c r="L40" i="36"/>
  <c r="I40" i="36"/>
  <c r="M40" i="36"/>
  <c r="N40" i="36" s="1"/>
  <c r="L56" i="36"/>
  <c r="M56" i="36"/>
  <c r="N56" i="36" s="1"/>
  <c r="I56" i="36"/>
  <c r="L72" i="36"/>
  <c r="M72" i="36"/>
  <c r="N72" i="36" s="1"/>
  <c r="I72" i="36"/>
  <c r="L92" i="36"/>
  <c r="I92" i="36"/>
  <c r="M92" i="36"/>
  <c r="N92" i="36" s="1"/>
  <c r="L116" i="36"/>
  <c r="M116" i="36"/>
  <c r="N116" i="36" s="1"/>
  <c r="I116" i="36"/>
  <c r="L148" i="36"/>
  <c r="M148" i="36"/>
  <c r="N148" i="36" s="1"/>
  <c r="I148" i="36"/>
  <c r="L180" i="36"/>
  <c r="M180" i="36"/>
  <c r="N180" i="36" s="1"/>
  <c r="I180" i="36"/>
  <c r="L212" i="36"/>
  <c r="M212" i="36"/>
  <c r="N212" i="36" s="1"/>
  <c r="I212" i="36"/>
  <c r="L253" i="36"/>
  <c r="M253" i="36"/>
  <c r="N253" i="36" s="1"/>
  <c r="I253" i="36"/>
  <c r="L269" i="36"/>
  <c r="M269" i="36"/>
  <c r="N269" i="36" s="1"/>
  <c r="I269" i="36"/>
  <c r="L285" i="36"/>
  <c r="M285" i="36"/>
  <c r="N285" i="36" s="1"/>
  <c r="I285" i="36"/>
  <c r="L301" i="36"/>
  <c r="M301" i="36"/>
  <c r="N301" i="36" s="1"/>
  <c r="I301" i="36"/>
  <c r="L317" i="36"/>
  <c r="M317" i="36"/>
  <c r="N317" i="36" s="1"/>
  <c r="I317" i="36"/>
  <c r="L333" i="36"/>
  <c r="M333" i="36"/>
  <c r="N333" i="36" s="1"/>
  <c r="I333" i="36"/>
  <c r="L358" i="36"/>
  <c r="M358" i="36"/>
  <c r="N358" i="36" s="1"/>
  <c r="I358" i="36"/>
  <c r="L447" i="36"/>
  <c r="M447" i="36"/>
  <c r="N447" i="36" s="1"/>
  <c r="I447" i="36"/>
  <c r="L482" i="36"/>
  <c r="M482" i="36"/>
  <c r="N482" i="36" s="1"/>
  <c r="I482" i="36"/>
  <c r="M25" i="36"/>
  <c r="N25" i="36" s="1"/>
  <c r="I25" i="36"/>
  <c r="L25" i="36"/>
  <c r="M41" i="36"/>
  <c r="N41" i="36" s="1"/>
  <c r="I41" i="36"/>
  <c r="L41" i="36"/>
  <c r="I57" i="36"/>
  <c r="M57" i="36"/>
  <c r="N57" i="36" s="1"/>
  <c r="L57" i="36"/>
  <c r="I73" i="36"/>
  <c r="M73" i="36"/>
  <c r="N73" i="36" s="1"/>
  <c r="L73" i="36"/>
  <c r="I96" i="36"/>
  <c r="M96" i="36"/>
  <c r="N96" i="36" s="1"/>
  <c r="L96" i="36"/>
  <c r="L122" i="36"/>
  <c r="M122" i="36"/>
  <c r="N122" i="36" s="1"/>
  <c r="I122" i="36"/>
  <c r="L154" i="36"/>
  <c r="M154" i="36"/>
  <c r="N154" i="36" s="1"/>
  <c r="I154" i="36"/>
  <c r="L186" i="36"/>
  <c r="I186" i="36"/>
  <c r="M186" i="36"/>
  <c r="N186" i="36" s="1"/>
  <c r="M220" i="36"/>
  <c r="N220" i="36" s="1"/>
  <c r="I220" i="36"/>
  <c r="L220" i="36"/>
  <c r="L79" i="36"/>
  <c r="M79" i="36"/>
  <c r="N79" i="36" s="1"/>
  <c r="I79" i="36"/>
  <c r="L95" i="36"/>
  <c r="M95" i="36"/>
  <c r="N95" i="36" s="1"/>
  <c r="I95" i="36"/>
  <c r="M111" i="36"/>
  <c r="N111" i="36" s="1"/>
  <c r="I111" i="36"/>
  <c r="L111" i="36"/>
  <c r="M127" i="36"/>
  <c r="N127" i="36" s="1"/>
  <c r="I127" i="36"/>
  <c r="L127" i="36"/>
  <c r="M143" i="36"/>
  <c r="N143" i="36" s="1"/>
  <c r="I143" i="36"/>
  <c r="L143" i="36"/>
  <c r="M159" i="36"/>
  <c r="N159" i="36" s="1"/>
  <c r="I159" i="36"/>
  <c r="L159" i="36"/>
  <c r="M175" i="36"/>
  <c r="N175" i="36" s="1"/>
  <c r="I175" i="36"/>
  <c r="L175" i="36"/>
  <c r="M191" i="36"/>
  <c r="N191" i="36" s="1"/>
  <c r="I191" i="36"/>
  <c r="L191" i="36"/>
  <c r="M207" i="36"/>
  <c r="N207" i="36" s="1"/>
  <c r="I207" i="36"/>
  <c r="L207" i="36"/>
  <c r="M224" i="36"/>
  <c r="N224" i="36" s="1"/>
  <c r="I224" i="36"/>
  <c r="L224" i="36"/>
  <c r="L245" i="36"/>
  <c r="I245" i="36"/>
  <c r="M245" i="36"/>
  <c r="N245" i="36" s="1"/>
  <c r="L279" i="36"/>
  <c r="I279" i="36"/>
  <c r="M279" i="36"/>
  <c r="N279" i="36" s="1"/>
  <c r="L311" i="36"/>
  <c r="I311" i="36"/>
  <c r="M311" i="36"/>
  <c r="N311" i="36" s="1"/>
  <c r="L343" i="36"/>
  <c r="I343" i="36"/>
  <c r="M343" i="36"/>
  <c r="N343" i="36" s="1"/>
  <c r="L368" i="36"/>
  <c r="M368" i="36"/>
  <c r="N368" i="36" s="1"/>
  <c r="I368" i="36"/>
  <c r="L392" i="36"/>
  <c r="M392" i="36"/>
  <c r="N392" i="36" s="1"/>
  <c r="I392" i="36"/>
  <c r="L408" i="36"/>
  <c r="M408" i="36"/>
  <c r="N408" i="36" s="1"/>
  <c r="I408" i="36"/>
  <c r="L424" i="36"/>
  <c r="M424" i="36"/>
  <c r="N424" i="36" s="1"/>
  <c r="I424" i="36"/>
  <c r="M113" i="36"/>
  <c r="N113" i="36" s="1"/>
  <c r="I113" i="36"/>
  <c r="L113" i="36"/>
  <c r="M129" i="36"/>
  <c r="N129" i="36" s="1"/>
  <c r="I129" i="36"/>
  <c r="L129" i="36"/>
  <c r="M145" i="36"/>
  <c r="N145" i="36" s="1"/>
  <c r="I145" i="36"/>
  <c r="L145" i="36"/>
  <c r="M161" i="36"/>
  <c r="N161" i="36" s="1"/>
  <c r="I161" i="36"/>
  <c r="L161" i="36"/>
  <c r="M177" i="36"/>
  <c r="N177" i="36" s="1"/>
  <c r="I177" i="36"/>
  <c r="L177" i="36"/>
  <c r="M193" i="36"/>
  <c r="N193" i="36" s="1"/>
  <c r="I193" i="36"/>
  <c r="L193" i="36"/>
  <c r="M209" i="36"/>
  <c r="N209" i="36" s="1"/>
  <c r="I209" i="36"/>
  <c r="L209" i="36"/>
  <c r="M232" i="36"/>
  <c r="N232" i="36" s="1"/>
  <c r="I232" i="36"/>
  <c r="L232" i="36"/>
  <c r="L259" i="36"/>
  <c r="I259" i="36"/>
  <c r="M259" i="36"/>
  <c r="N259" i="36" s="1"/>
  <c r="L291" i="36"/>
  <c r="I291" i="36"/>
  <c r="M291" i="36"/>
  <c r="N291" i="36" s="1"/>
  <c r="L323" i="36"/>
  <c r="I323" i="36"/>
  <c r="M323" i="36"/>
  <c r="N323" i="36" s="1"/>
  <c r="L360" i="36"/>
  <c r="M360" i="36"/>
  <c r="N360" i="36" s="1"/>
  <c r="I360" i="36"/>
  <c r="M222" i="36"/>
  <c r="N222" i="36" s="1"/>
  <c r="I222" i="36"/>
  <c r="L222" i="36"/>
  <c r="M238" i="36"/>
  <c r="N238" i="36" s="1"/>
  <c r="I238" i="36"/>
  <c r="L238" i="36"/>
  <c r="M254" i="36"/>
  <c r="N254" i="36" s="1"/>
  <c r="I254" i="36"/>
  <c r="L254" i="36"/>
  <c r="M270" i="36"/>
  <c r="N270" i="36" s="1"/>
  <c r="I270" i="36"/>
  <c r="L270" i="36"/>
  <c r="M286" i="36"/>
  <c r="N286" i="36" s="1"/>
  <c r="I286" i="36"/>
  <c r="L286" i="36"/>
  <c r="M302" i="36"/>
  <c r="N302" i="36" s="1"/>
  <c r="I302" i="36"/>
  <c r="L302" i="36"/>
  <c r="M318" i="36"/>
  <c r="N318" i="36" s="1"/>
  <c r="I318" i="36"/>
  <c r="L318" i="36"/>
  <c r="M334" i="36"/>
  <c r="N334" i="36" s="1"/>
  <c r="I334" i="36"/>
  <c r="L334" i="36"/>
  <c r="M351" i="36"/>
  <c r="N351" i="36" s="1"/>
  <c r="I351" i="36"/>
  <c r="L351" i="36"/>
  <c r="L372" i="36"/>
  <c r="I372" i="36"/>
  <c r="M372" i="36"/>
  <c r="N372" i="36" s="1"/>
  <c r="L398" i="36"/>
  <c r="I398" i="36"/>
  <c r="M398" i="36"/>
  <c r="N398" i="36" s="1"/>
  <c r="L437" i="36"/>
  <c r="I437" i="36"/>
  <c r="M437" i="36"/>
  <c r="N437" i="36" s="1"/>
  <c r="M252" i="36"/>
  <c r="N252" i="36" s="1"/>
  <c r="I252" i="36"/>
  <c r="L252" i="36"/>
  <c r="M268" i="36"/>
  <c r="N268" i="36" s="1"/>
  <c r="I268" i="36"/>
  <c r="L268" i="36"/>
  <c r="M284" i="36"/>
  <c r="N284" i="36" s="1"/>
  <c r="I284" i="36"/>
  <c r="L284" i="36"/>
  <c r="M300" i="36"/>
  <c r="N300" i="36" s="1"/>
  <c r="I300" i="36"/>
  <c r="L300" i="36"/>
  <c r="M316" i="36"/>
  <c r="N316" i="36" s="1"/>
  <c r="I316" i="36"/>
  <c r="L316" i="36"/>
  <c r="M332" i="36"/>
  <c r="N332" i="36" s="1"/>
  <c r="I332" i="36"/>
  <c r="L332" i="36"/>
  <c r="L348" i="36"/>
  <c r="I348" i="36"/>
  <c r="M348" i="36"/>
  <c r="N348" i="36" s="1"/>
  <c r="M370" i="36"/>
  <c r="N370" i="36" s="1"/>
  <c r="I370" i="36"/>
  <c r="L370" i="36"/>
  <c r="L394" i="36"/>
  <c r="I394" i="36"/>
  <c r="M394" i="36"/>
  <c r="N394" i="36" s="1"/>
  <c r="L426" i="36"/>
  <c r="I426" i="36"/>
  <c r="M426" i="36"/>
  <c r="N426" i="36" s="1"/>
  <c r="M349" i="36"/>
  <c r="N349" i="36" s="1"/>
  <c r="L349" i="36"/>
  <c r="I349" i="36"/>
  <c r="M365" i="36"/>
  <c r="N365" i="36" s="1"/>
  <c r="L365" i="36"/>
  <c r="I365" i="36"/>
  <c r="M381" i="36"/>
  <c r="N381" i="36" s="1"/>
  <c r="L381" i="36"/>
  <c r="I381" i="36"/>
  <c r="M397" i="36"/>
  <c r="N397" i="36" s="1"/>
  <c r="I397" i="36"/>
  <c r="L397" i="36"/>
  <c r="M413" i="36"/>
  <c r="N413" i="36" s="1"/>
  <c r="I413" i="36"/>
  <c r="L413" i="36"/>
  <c r="M429" i="36"/>
  <c r="N429" i="36" s="1"/>
  <c r="I429" i="36"/>
  <c r="L429" i="36"/>
  <c r="M446" i="36"/>
  <c r="N446" i="36" s="1"/>
  <c r="I446" i="36"/>
  <c r="L446" i="36"/>
  <c r="L467" i="36"/>
  <c r="I467" i="36"/>
  <c r="M467" i="36"/>
  <c r="N467" i="36" s="1"/>
  <c r="M495" i="36"/>
  <c r="N495" i="36" s="1"/>
  <c r="I495" i="36"/>
  <c r="L495" i="36"/>
  <c r="L518" i="36"/>
  <c r="M518" i="36"/>
  <c r="N518" i="36" s="1"/>
  <c r="I518" i="36"/>
  <c r="L543" i="36"/>
  <c r="M543" i="36"/>
  <c r="N543" i="36" s="1"/>
  <c r="I543" i="36"/>
  <c r="M391" i="36"/>
  <c r="N391" i="36" s="1"/>
  <c r="I391" i="36"/>
  <c r="L391" i="36"/>
  <c r="M407" i="36"/>
  <c r="N407" i="36" s="1"/>
  <c r="I407" i="36"/>
  <c r="L407" i="36"/>
  <c r="M423" i="36"/>
  <c r="N423" i="36" s="1"/>
  <c r="I423" i="36"/>
  <c r="L423" i="36"/>
  <c r="L443" i="36"/>
  <c r="I443" i="36"/>
  <c r="M443" i="36"/>
  <c r="N443" i="36" s="1"/>
  <c r="M465" i="36"/>
  <c r="N465" i="36" s="1"/>
  <c r="I465" i="36"/>
  <c r="L465" i="36"/>
  <c r="L492" i="36"/>
  <c r="M492" i="36"/>
  <c r="N492" i="36" s="1"/>
  <c r="I492" i="36"/>
  <c r="L551" i="36"/>
  <c r="M551" i="36"/>
  <c r="N551" i="36" s="1"/>
  <c r="I551" i="36"/>
  <c r="I440" i="36"/>
  <c r="L440" i="36"/>
  <c r="M440" i="36"/>
  <c r="N440" i="36" s="1"/>
  <c r="I456" i="36"/>
  <c r="L456" i="36"/>
  <c r="M456" i="36"/>
  <c r="N456" i="36" s="1"/>
  <c r="I472" i="36"/>
  <c r="L472" i="36"/>
  <c r="M472" i="36"/>
  <c r="N472" i="36" s="1"/>
  <c r="M491" i="36"/>
  <c r="N491" i="36" s="1"/>
  <c r="I491" i="36"/>
  <c r="L491" i="36"/>
  <c r="L516" i="36"/>
  <c r="I516" i="36"/>
  <c r="M516" i="36"/>
  <c r="N516" i="36" s="1"/>
  <c r="M478" i="36"/>
  <c r="N478" i="36" s="1"/>
  <c r="I478" i="36"/>
  <c r="L478" i="36"/>
  <c r="M499" i="36"/>
  <c r="N499" i="36" s="1"/>
  <c r="I499" i="36"/>
  <c r="L499" i="36"/>
  <c r="L528" i="36"/>
  <c r="I528" i="36"/>
  <c r="M528" i="36"/>
  <c r="N528" i="36" s="1"/>
  <c r="M481" i="36"/>
  <c r="N481" i="36" s="1"/>
  <c r="L481" i="36"/>
  <c r="I481" i="36"/>
  <c r="M497" i="36"/>
  <c r="N497" i="36" s="1"/>
  <c r="L497" i="36"/>
  <c r="I497" i="36"/>
  <c r="M513" i="36"/>
  <c r="N513" i="36" s="1"/>
  <c r="I513" i="36"/>
  <c r="L513" i="36"/>
  <c r="M529" i="36"/>
  <c r="N529" i="36" s="1"/>
  <c r="I529" i="36"/>
  <c r="L529" i="36"/>
  <c r="L549" i="36"/>
  <c r="I549" i="36"/>
  <c r="M549" i="36"/>
  <c r="N549" i="36" s="1"/>
  <c r="M511" i="36"/>
  <c r="N511" i="36" s="1"/>
  <c r="I511" i="36"/>
  <c r="L511" i="36"/>
  <c r="M527" i="36"/>
  <c r="N527" i="36" s="1"/>
  <c r="I527" i="36"/>
  <c r="L527" i="36"/>
  <c r="M547" i="36"/>
  <c r="N547" i="36" s="1"/>
  <c r="I547" i="36"/>
  <c r="L547" i="36"/>
  <c r="L577" i="36"/>
  <c r="I577" i="36"/>
  <c r="M577" i="36"/>
  <c r="N577" i="36" s="1"/>
  <c r="L546" i="36"/>
  <c r="I546" i="36"/>
  <c r="M546" i="36"/>
  <c r="N546" i="36" s="1"/>
  <c r="M562" i="36"/>
  <c r="N562" i="36" s="1"/>
  <c r="I562" i="36"/>
  <c r="L562" i="36"/>
  <c r="M578" i="36"/>
  <c r="N578" i="36" s="1"/>
  <c r="I578" i="36"/>
  <c r="L578" i="36"/>
  <c r="M564" i="36"/>
  <c r="N564" i="36" s="1"/>
  <c r="I564" i="36"/>
  <c r="L564" i="36"/>
  <c r="M35" i="36"/>
  <c r="N35" i="36" s="1"/>
  <c r="I35" i="36"/>
  <c r="L35" i="36"/>
  <c r="L78" i="36"/>
  <c r="I78" i="36"/>
  <c r="M78" i="36"/>
  <c r="N78" i="36" s="1"/>
  <c r="M77" i="36"/>
  <c r="N77" i="36" s="1"/>
  <c r="I77" i="36"/>
  <c r="L77" i="36"/>
  <c r="M15" i="36"/>
  <c r="N15" i="36" s="1"/>
  <c r="I15" i="36"/>
  <c r="L15" i="36"/>
  <c r="M42" i="36"/>
  <c r="N42" i="36" s="1"/>
  <c r="I42" i="36"/>
  <c r="L42" i="36"/>
  <c r="M59" i="36"/>
  <c r="N59" i="36" s="1"/>
  <c r="I59" i="36"/>
  <c r="L59" i="36"/>
  <c r="L98" i="36"/>
  <c r="I98" i="36"/>
  <c r="M98" i="36"/>
  <c r="N98" i="36" s="1"/>
  <c r="M458" i="36"/>
  <c r="N458" i="36" s="1"/>
  <c r="I458" i="36"/>
  <c r="L458" i="36"/>
  <c r="L382" i="36"/>
  <c r="M382" i="36"/>
  <c r="N382" i="36" s="1"/>
  <c r="I382" i="36"/>
  <c r="L128" i="36"/>
  <c r="I128" i="36"/>
  <c r="M128" i="36"/>
  <c r="N128" i="36" s="1"/>
  <c r="M23" i="36"/>
  <c r="N23" i="36" s="1"/>
  <c r="I23" i="36"/>
  <c r="L23" i="36"/>
  <c r="M55" i="36"/>
  <c r="N55" i="36" s="1"/>
  <c r="I55" i="36"/>
  <c r="L55" i="36"/>
  <c r="L118" i="36"/>
  <c r="I118" i="36"/>
  <c r="M118" i="36"/>
  <c r="N118" i="36" s="1"/>
  <c r="L150" i="36"/>
  <c r="I150" i="36"/>
  <c r="M150" i="36"/>
  <c r="N150" i="36" s="1"/>
  <c r="L182" i="36"/>
  <c r="I182" i="36"/>
  <c r="M182" i="36"/>
  <c r="N182" i="36" s="1"/>
  <c r="L214" i="36"/>
  <c r="I214" i="36"/>
  <c r="M214" i="36"/>
  <c r="N214" i="36" s="1"/>
  <c r="L555" i="36"/>
  <c r="M555" i="36"/>
  <c r="N555" i="36" s="1"/>
  <c r="I555" i="36"/>
  <c r="M74" i="36"/>
  <c r="N74" i="36" s="1"/>
  <c r="I74" i="36"/>
  <c r="L74" i="36"/>
  <c r="L160" i="36"/>
  <c r="I160" i="36"/>
  <c r="M160" i="36"/>
  <c r="N160" i="36" s="1"/>
  <c r="L192" i="36"/>
  <c r="I192" i="36"/>
  <c r="M192" i="36"/>
  <c r="N192" i="36" s="1"/>
  <c r="L217" i="36"/>
  <c r="M217" i="36"/>
  <c r="N217" i="36" s="1"/>
  <c r="I217" i="36"/>
  <c r="L471" i="36"/>
  <c r="M471" i="36"/>
  <c r="N471" i="36" s="1"/>
  <c r="I471" i="36"/>
  <c r="L571" i="36"/>
  <c r="M571" i="36"/>
  <c r="N571" i="36" s="1"/>
  <c r="I571" i="36"/>
  <c r="L28" i="36"/>
  <c r="M28" i="36"/>
  <c r="N28" i="36" s="1"/>
  <c r="I28" i="36"/>
  <c r="L44" i="36"/>
  <c r="M44" i="36"/>
  <c r="N44" i="36" s="1"/>
  <c r="I44" i="36"/>
  <c r="L60" i="36"/>
  <c r="I60" i="36"/>
  <c r="M60" i="36"/>
  <c r="N60" i="36" s="1"/>
  <c r="L76" i="36"/>
  <c r="I76" i="36"/>
  <c r="M76" i="36"/>
  <c r="N76" i="36" s="1"/>
  <c r="M97" i="36"/>
  <c r="N97" i="36" s="1"/>
  <c r="I97" i="36"/>
  <c r="L97" i="36"/>
  <c r="L124" i="36"/>
  <c r="M124" i="36"/>
  <c r="N124" i="36" s="1"/>
  <c r="I124" i="36"/>
  <c r="L156" i="36"/>
  <c r="M156" i="36"/>
  <c r="N156" i="36" s="1"/>
  <c r="I156" i="36"/>
  <c r="L188" i="36"/>
  <c r="M188" i="36"/>
  <c r="N188" i="36" s="1"/>
  <c r="I188" i="36"/>
  <c r="L223" i="36"/>
  <c r="M223" i="36"/>
  <c r="N223" i="36" s="1"/>
  <c r="I223" i="36"/>
  <c r="L257" i="36"/>
  <c r="M257" i="36"/>
  <c r="N257" i="36" s="1"/>
  <c r="I257" i="36"/>
  <c r="L273" i="36"/>
  <c r="M273" i="36"/>
  <c r="N273" i="36" s="1"/>
  <c r="I273" i="36"/>
  <c r="L289" i="36"/>
  <c r="M289" i="36"/>
  <c r="N289" i="36" s="1"/>
  <c r="I289" i="36"/>
  <c r="L305" i="36"/>
  <c r="M305" i="36"/>
  <c r="N305" i="36" s="1"/>
  <c r="I305" i="36"/>
  <c r="L321" i="36"/>
  <c r="M321" i="36"/>
  <c r="N321" i="36" s="1"/>
  <c r="I321" i="36"/>
  <c r="L337" i="36"/>
  <c r="M337" i="36"/>
  <c r="N337" i="36" s="1"/>
  <c r="I337" i="36"/>
  <c r="L374" i="36"/>
  <c r="M374" i="36"/>
  <c r="N374" i="36" s="1"/>
  <c r="I374" i="36"/>
  <c r="M450" i="36"/>
  <c r="N450" i="36" s="1"/>
  <c r="I450" i="36"/>
  <c r="L450" i="36"/>
  <c r="L498" i="36"/>
  <c r="M498" i="36"/>
  <c r="N498" i="36" s="1"/>
  <c r="I498" i="36"/>
  <c r="L29" i="36"/>
  <c r="I29" i="36"/>
  <c r="M29" i="36"/>
  <c r="N29" i="36" s="1"/>
  <c r="L45" i="36"/>
  <c r="I45" i="36"/>
  <c r="M45" i="36"/>
  <c r="N45" i="36" s="1"/>
  <c r="L61" i="36"/>
  <c r="M61" i="36"/>
  <c r="N61" i="36" s="1"/>
  <c r="I61" i="36"/>
  <c r="I80" i="36"/>
  <c r="M80" i="36"/>
  <c r="N80" i="36" s="1"/>
  <c r="L80" i="36"/>
  <c r="M101" i="36"/>
  <c r="N101" i="36" s="1"/>
  <c r="I101" i="36"/>
  <c r="L101" i="36"/>
  <c r="L130" i="36"/>
  <c r="M130" i="36"/>
  <c r="N130" i="36" s="1"/>
  <c r="I130" i="36"/>
  <c r="L162" i="36"/>
  <c r="I162" i="36"/>
  <c r="M162" i="36"/>
  <c r="N162" i="36" s="1"/>
  <c r="L194" i="36"/>
  <c r="I194" i="36"/>
  <c r="M194" i="36"/>
  <c r="N194" i="36" s="1"/>
  <c r="L225" i="36"/>
  <c r="M225" i="36"/>
  <c r="N225" i="36" s="1"/>
  <c r="I225" i="36"/>
  <c r="I83" i="36"/>
  <c r="M83" i="36"/>
  <c r="N83" i="36" s="1"/>
  <c r="L83" i="36"/>
  <c r="I99" i="36"/>
  <c r="M99" i="36"/>
  <c r="N99" i="36" s="1"/>
  <c r="L99" i="36"/>
  <c r="M115" i="36"/>
  <c r="N115" i="36" s="1"/>
  <c r="I115" i="36"/>
  <c r="L115" i="36"/>
  <c r="M131" i="36"/>
  <c r="N131" i="36" s="1"/>
  <c r="I131" i="36"/>
  <c r="L131" i="36"/>
  <c r="M147" i="36"/>
  <c r="N147" i="36" s="1"/>
  <c r="I147" i="36"/>
  <c r="L147" i="36"/>
  <c r="M163" i="36"/>
  <c r="N163" i="36" s="1"/>
  <c r="I163" i="36"/>
  <c r="L163" i="36"/>
  <c r="M179" i="36"/>
  <c r="N179" i="36" s="1"/>
  <c r="I179" i="36"/>
  <c r="L179" i="36"/>
  <c r="M195" i="36"/>
  <c r="N195" i="36" s="1"/>
  <c r="I195" i="36"/>
  <c r="L195" i="36"/>
  <c r="M211" i="36"/>
  <c r="N211" i="36" s="1"/>
  <c r="I211" i="36"/>
  <c r="L211" i="36"/>
  <c r="L229" i="36"/>
  <c r="I229" i="36"/>
  <c r="M229" i="36"/>
  <c r="N229" i="36" s="1"/>
  <c r="L255" i="36"/>
  <c r="I255" i="36"/>
  <c r="M255" i="36"/>
  <c r="N255" i="36" s="1"/>
  <c r="L287" i="36"/>
  <c r="I287" i="36"/>
  <c r="M287" i="36"/>
  <c r="N287" i="36" s="1"/>
  <c r="L319" i="36"/>
  <c r="I319" i="36"/>
  <c r="M319" i="36"/>
  <c r="N319" i="36" s="1"/>
  <c r="M347" i="36"/>
  <c r="N347" i="36" s="1"/>
  <c r="I347" i="36"/>
  <c r="L347" i="36"/>
  <c r="M379" i="36"/>
  <c r="N379" i="36" s="1"/>
  <c r="I379" i="36"/>
  <c r="L379" i="36"/>
  <c r="L396" i="36"/>
  <c r="M396" i="36"/>
  <c r="N396" i="36" s="1"/>
  <c r="I396" i="36"/>
  <c r="L412" i="36"/>
  <c r="M412" i="36"/>
  <c r="N412" i="36" s="1"/>
  <c r="I412" i="36"/>
  <c r="L428" i="36"/>
  <c r="M428" i="36"/>
  <c r="N428" i="36" s="1"/>
  <c r="I428" i="36"/>
  <c r="M117" i="36"/>
  <c r="N117" i="36" s="1"/>
  <c r="I117" i="36"/>
  <c r="L117" i="36"/>
  <c r="M133" i="36"/>
  <c r="N133" i="36" s="1"/>
  <c r="I133" i="36"/>
  <c r="L133" i="36"/>
  <c r="M149" i="36"/>
  <c r="N149" i="36" s="1"/>
  <c r="I149" i="36"/>
  <c r="L149" i="36"/>
  <c r="M165" i="36"/>
  <c r="N165" i="36" s="1"/>
  <c r="I165" i="36"/>
  <c r="L165" i="36"/>
  <c r="M181" i="36"/>
  <c r="N181" i="36" s="1"/>
  <c r="I181" i="36"/>
  <c r="L181" i="36"/>
  <c r="M197" i="36"/>
  <c r="N197" i="36" s="1"/>
  <c r="I197" i="36"/>
  <c r="L197" i="36"/>
  <c r="M213" i="36"/>
  <c r="N213" i="36" s="1"/>
  <c r="I213" i="36"/>
  <c r="L213" i="36"/>
  <c r="L237" i="36"/>
  <c r="I237" i="36"/>
  <c r="M237" i="36"/>
  <c r="N237" i="36" s="1"/>
  <c r="L267" i="36"/>
  <c r="I267" i="36"/>
  <c r="M267" i="36"/>
  <c r="N267" i="36" s="1"/>
  <c r="L299" i="36"/>
  <c r="I299" i="36"/>
  <c r="M299" i="36"/>
  <c r="N299" i="36" s="1"/>
  <c r="L331" i="36"/>
  <c r="I331" i="36"/>
  <c r="M331" i="36"/>
  <c r="N331" i="36" s="1"/>
  <c r="M371" i="36"/>
  <c r="N371" i="36" s="1"/>
  <c r="I371" i="36"/>
  <c r="L371" i="36"/>
  <c r="L226" i="36"/>
  <c r="I226" i="36"/>
  <c r="M226" i="36"/>
  <c r="N226" i="36" s="1"/>
  <c r="L242" i="36"/>
  <c r="I242" i="36"/>
  <c r="M242" i="36"/>
  <c r="N242" i="36" s="1"/>
  <c r="M258" i="36"/>
  <c r="N258" i="36" s="1"/>
  <c r="I258" i="36"/>
  <c r="L258" i="36"/>
  <c r="M274" i="36"/>
  <c r="N274" i="36" s="1"/>
  <c r="I274" i="36"/>
  <c r="L274" i="36"/>
  <c r="M290" i="36"/>
  <c r="N290" i="36" s="1"/>
  <c r="I290" i="36"/>
  <c r="L290" i="36"/>
  <c r="M306" i="36"/>
  <c r="N306" i="36" s="1"/>
  <c r="I306" i="36"/>
  <c r="L306" i="36"/>
  <c r="M322" i="36"/>
  <c r="N322" i="36" s="1"/>
  <c r="I322" i="36"/>
  <c r="L322" i="36"/>
  <c r="M338" i="36"/>
  <c r="N338" i="36" s="1"/>
  <c r="I338" i="36"/>
  <c r="L338" i="36"/>
  <c r="L356" i="36"/>
  <c r="I356" i="36"/>
  <c r="M356" i="36"/>
  <c r="N356" i="36" s="1"/>
  <c r="M378" i="36"/>
  <c r="N378" i="36" s="1"/>
  <c r="I378" i="36"/>
  <c r="L378" i="36"/>
  <c r="L406" i="36"/>
  <c r="I406" i="36"/>
  <c r="M406" i="36"/>
  <c r="N406" i="36" s="1"/>
  <c r="L453" i="36"/>
  <c r="I453" i="36"/>
  <c r="M453" i="36"/>
  <c r="N453" i="36" s="1"/>
  <c r="M256" i="36"/>
  <c r="N256" i="36" s="1"/>
  <c r="I256" i="36"/>
  <c r="L256" i="36"/>
  <c r="M272" i="36"/>
  <c r="N272" i="36" s="1"/>
  <c r="I272" i="36"/>
  <c r="L272" i="36"/>
  <c r="M288" i="36"/>
  <c r="N288" i="36" s="1"/>
  <c r="I288" i="36"/>
  <c r="L288" i="36"/>
  <c r="M304" i="36"/>
  <c r="N304" i="36" s="1"/>
  <c r="I304" i="36"/>
  <c r="L304" i="36"/>
  <c r="M320" i="36"/>
  <c r="N320" i="36" s="1"/>
  <c r="I320" i="36"/>
  <c r="L320" i="36"/>
  <c r="M336" i="36"/>
  <c r="N336" i="36" s="1"/>
  <c r="I336" i="36"/>
  <c r="L336" i="36"/>
  <c r="M354" i="36"/>
  <c r="N354" i="36" s="1"/>
  <c r="I354" i="36"/>
  <c r="L354" i="36"/>
  <c r="M375" i="36"/>
  <c r="N375" i="36" s="1"/>
  <c r="I375" i="36"/>
  <c r="L375" i="36"/>
  <c r="L402" i="36"/>
  <c r="I402" i="36"/>
  <c r="M402" i="36"/>
  <c r="N402" i="36" s="1"/>
  <c r="L445" i="36"/>
  <c r="I445" i="36"/>
  <c r="M445" i="36"/>
  <c r="N445" i="36" s="1"/>
  <c r="L353" i="36"/>
  <c r="I353" i="36"/>
  <c r="M353" i="36"/>
  <c r="N353" i="36" s="1"/>
  <c r="L369" i="36"/>
  <c r="I369" i="36"/>
  <c r="M369" i="36"/>
  <c r="N369" i="36" s="1"/>
  <c r="M385" i="36"/>
  <c r="N385" i="36" s="1"/>
  <c r="I385" i="36"/>
  <c r="L385" i="36"/>
  <c r="M401" i="36"/>
  <c r="N401" i="36" s="1"/>
  <c r="I401" i="36"/>
  <c r="L401" i="36"/>
  <c r="M417" i="36"/>
  <c r="N417" i="36" s="1"/>
  <c r="I417" i="36"/>
  <c r="L417" i="36"/>
  <c r="M430" i="36"/>
  <c r="N430" i="36" s="1"/>
  <c r="I430" i="36"/>
  <c r="L430" i="36"/>
  <c r="L451" i="36"/>
  <c r="I451" i="36"/>
  <c r="M451" i="36"/>
  <c r="N451" i="36" s="1"/>
  <c r="M473" i="36"/>
  <c r="N473" i="36" s="1"/>
  <c r="I473" i="36"/>
  <c r="L473" i="36"/>
  <c r="L500" i="36"/>
  <c r="M500" i="36"/>
  <c r="N500" i="36" s="1"/>
  <c r="I500" i="36"/>
  <c r="L522" i="36"/>
  <c r="M522" i="36"/>
  <c r="N522" i="36" s="1"/>
  <c r="I522" i="36"/>
  <c r="L559" i="36"/>
  <c r="M559" i="36"/>
  <c r="N559" i="36" s="1"/>
  <c r="I559" i="36"/>
  <c r="M395" i="36"/>
  <c r="N395" i="36" s="1"/>
  <c r="I395" i="36"/>
  <c r="L395" i="36"/>
  <c r="M411" i="36"/>
  <c r="N411" i="36" s="1"/>
  <c r="I411" i="36"/>
  <c r="L411" i="36"/>
  <c r="M427" i="36"/>
  <c r="N427" i="36" s="1"/>
  <c r="I427" i="36"/>
  <c r="L427" i="36"/>
  <c r="M449" i="36"/>
  <c r="N449" i="36" s="1"/>
  <c r="I449" i="36"/>
  <c r="L449" i="36"/>
  <c r="M470" i="36"/>
  <c r="N470" i="36" s="1"/>
  <c r="I470" i="36"/>
  <c r="L470" i="36"/>
  <c r="M503" i="36"/>
  <c r="N503" i="36" s="1"/>
  <c r="I503" i="36"/>
  <c r="L503" i="36"/>
  <c r="L567" i="36"/>
  <c r="M567" i="36"/>
  <c r="N567" i="36" s="1"/>
  <c r="I567" i="36"/>
  <c r="M444" i="36"/>
  <c r="N444" i="36" s="1"/>
  <c r="I444" i="36"/>
  <c r="L444" i="36"/>
  <c r="M460" i="36"/>
  <c r="N460" i="36" s="1"/>
  <c r="I460" i="36"/>
  <c r="L460" i="36"/>
  <c r="M476" i="36"/>
  <c r="N476" i="36" s="1"/>
  <c r="I476" i="36"/>
  <c r="L476" i="36"/>
  <c r="L496" i="36"/>
  <c r="I496" i="36"/>
  <c r="M496" i="36"/>
  <c r="N496" i="36" s="1"/>
  <c r="L524" i="36"/>
  <c r="I524" i="36"/>
  <c r="M524" i="36"/>
  <c r="N524" i="36" s="1"/>
  <c r="M483" i="36"/>
  <c r="N483" i="36" s="1"/>
  <c r="I483" i="36"/>
  <c r="L483" i="36"/>
  <c r="L504" i="36"/>
  <c r="I504" i="36"/>
  <c r="M504" i="36"/>
  <c r="N504" i="36" s="1"/>
  <c r="M532" i="36"/>
  <c r="N532" i="36" s="1"/>
  <c r="I532" i="36"/>
  <c r="L532" i="36"/>
  <c r="I485" i="36"/>
  <c r="L485" i="36"/>
  <c r="M485" i="36"/>
  <c r="N485" i="36" s="1"/>
  <c r="I501" i="36"/>
  <c r="L501" i="36"/>
  <c r="M501" i="36"/>
  <c r="N501" i="36" s="1"/>
  <c r="M517" i="36"/>
  <c r="N517" i="36" s="1"/>
  <c r="I517" i="36"/>
  <c r="L517" i="36"/>
  <c r="L533" i="36"/>
  <c r="I533" i="36"/>
  <c r="M533" i="36"/>
  <c r="N533" i="36" s="1"/>
  <c r="L557" i="36"/>
  <c r="I557" i="36"/>
  <c r="M557" i="36"/>
  <c r="N557" i="36" s="1"/>
  <c r="M515" i="36"/>
  <c r="N515" i="36" s="1"/>
  <c r="I515" i="36"/>
  <c r="L515" i="36"/>
  <c r="M531" i="36"/>
  <c r="N531" i="36" s="1"/>
  <c r="I531" i="36"/>
  <c r="L531" i="36"/>
  <c r="L553" i="36"/>
  <c r="I553" i="36"/>
  <c r="M553" i="36"/>
  <c r="N553" i="36" s="1"/>
  <c r="M534" i="36"/>
  <c r="N534" i="36" s="1"/>
  <c r="I534" i="36"/>
  <c r="L534" i="36"/>
  <c r="M550" i="36"/>
  <c r="N550" i="36" s="1"/>
  <c r="I550" i="36"/>
  <c r="L550" i="36"/>
  <c r="M566" i="36"/>
  <c r="N566" i="36" s="1"/>
  <c r="I566" i="36"/>
  <c r="L566" i="36"/>
  <c r="M552" i="36"/>
  <c r="N552" i="36" s="1"/>
  <c r="I552" i="36"/>
  <c r="L552" i="36"/>
  <c r="M568" i="36"/>
  <c r="N568" i="36" s="1"/>
  <c r="I568" i="36"/>
  <c r="L568" i="36"/>
  <c r="M38" i="36"/>
  <c r="N38" i="36" s="1"/>
  <c r="I38" i="36"/>
  <c r="L38" i="36"/>
  <c r="M88" i="36"/>
  <c r="N88" i="36" s="1"/>
  <c r="I88" i="36"/>
  <c r="L88" i="36"/>
  <c r="L112" i="36"/>
  <c r="I112" i="36"/>
  <c r="M112" i="36"/>
  <c r="N112" i="36" s="1"/>
  <c r="M26" i="36"/>
  <c r="N26" i="36" s="1"/>
  <c r="I26" i="36"/>
  <c r="L26" i="36"/>
  <c r="M43" i="36"/>
  <c r="N43" i="36" s="1"/>
  <c r="I43" i="36"/>
  <c r="L43" i="36"/>
  <c r="M67" i="36"/>
  <c r="N67" i="36" s="1"/>
  <c r="I67" i="36"/>
  <c r="L67" i="36"/>
  <c r="L104" i="36"/>
  <c r="I104" i="36"/>
  <c r="M104" i="36"/>
  <c r="N104" i="36" s="1"/>
  <c r="M18" i="36"/>
  <c r="N18" i="36" s="1"/>
  <c r="I18" i="36"/>
  <c r="L18" i="36"/>
  <c r="M228" i="36"/>
  <c r="N228" i="36" s="1"/>
  <c r="I228" i="36"/>
  <c r="L228" i="36"/>
  <c r="M31" i="36"/>
  <c r="N31" i="36" s="1"/>
  <c r="I31" i="36"/>
  <c r="L31" i="36"/>
  <c r="M63" i="36"/>
  <c r="N63" i="36" s="1"/>
  <c r="I63" i="36"/>
  <c r="L63" i="36"/>
  <c r="L126" i="36"/>
  <c r="I126" i="36"/>
  <c r="M126" i="36"/>
  <c r="N126" i="36" s="1"/>
  <c r="L158" i="36"/>
  <c r="I158" i="36"/>
  <c r="M158" i="36"/>
  <c r="N158" i="36" s="1"/>
  <c r="L190" i="36"/>
  <c r="I190" i="36"/>
  <c r="M190" i="36"/>
  <c r="N190" i="36" s="1"/>
  <c r="L366" i="36"/>
  <c r="M366" i="36"/>
  <c r="N366" i="36" s="1"/>
  <c r="I366" i="36"/>
  <c r="M50" i="36"/>
  <c r="N50" i="36" s="1"/>
  <c r="I50" i="36"/>
  <c r="L50" i="36"/>
  <c r="M84" i="36"/>
  <c r="N84" i="36" s="1"/>
  <c r="I84" i="36"/>
  <c r="L84" i="36"/>
  <c r="L168" i="36"/>
  <c r="I168" i="36"/>
  <c r="M168" i="36"/>
  <c r="N168" i="36" s="1"/>
  <c r="L200" i="36"/>
  <c r="I200" i="36"/>
  <c r="M200" i="36"/>
  <c r="N200" i="36" s="1"/>
  <c r="L231" i="36"/>
  <c r="I231" i="36"/>
  <c r="M231" i="36"/>
  <c r="N231" i="36" s="1"/>
  <c r="M474" i="36"/>
  <c r="N474" i="36" s="1"/>
  <c r="I474" i="36"/>
  <c r="L474" i="36"/>
  <c r="L563" i="36"/>
  <c r="M563" i="36"/>
  <c r="N563" i="36" s="1"/>
  <c r="I563" i="36"/>
  <c r="L32" i="36"/>
  <c r="I32" i="36"/>
  <c r="M32" i="36"/>
  <c r="N32" i="36" s="1"/>
  <c r="L48" i="36"/>
  <c r="M48" i="36"/>
  <c r="N48" i="36" s="1"/>
  <c r="I48" i="36"/>
  <c r="L64" i="36"/>
  <c r="M64" i="36"/>
  <c r="N64" i="36" s="1"/>
  <c r="I64" i="36"/>
  <c r="M81" i="36"/>
  <c r="N81" i="36" s="1"/>
  <c r="I81" i="36"/>
  <c r="L81" i="36"/>
  <c r="L102" i="36"/>
  <c r="M102" i="36"/>
  <c r="N102" i="36" s="1"/>
  <c r="I102" i="36"/>
  <c r="L132" i="36"/>
  <c r="M132" i="36"/>
  <c r="N132" i="36" s="1"/>
  <c r="I132" i="36"/>
  <c r="L164" i="36"/>
  <c r="M164" i="36"/>
  <c r="N164" i="36" s="1"/>
  <c r="I164" i="36"/>
  <c r="L196" i="36"/>
  <c r="M196" i="36"/>
  <c r="N196" i="36" s="1"/>
  <c r="I196" i="36"/>
  <c r="L239" i="36"/>
  <c r="M239" i="36"/>
  <c r="N239" i="36" s="1"/>
  <c r="I239" i="36"/>
  <c r="L261" i="36"/>
  <c r="M261" i="36"/>
  <c r="N261" i="36" s="1"/>
  <c r="I261" i="36"/>
  <c r="L277" i="36"/>
  <c r="M277" i="36"/>
  <c r="N277" i="36" s="1"/>
  <c r="I277" i="36"/>
  <c r="L293" i="36"/>
  <c r="M293" i="36"/>
  <c r="N293" i="36" s="1"/>
  <c r="I293" i="36"/>
  <c r="L309" i="36"/>
  <c r="M309" i="36"/>
  <c r="N309" i="36" s="1"/>
  <c r="I309" i="36"/>
  <c r="L325" i="36"/>
  <c r="M325" i="36"/>
  <c r="N325" i="36" s="1"/>
  <c r="I325" i="36"/>
  <c r="L341" i="36"/>
  <c r="M341" i="36"/>
  <c r="N341" i="36" s="1"/>
  <c r="I341" i="36"/>
  <c r="L431" i="36"/>
  <c r="M431" i="36"/>
  <c r="N431" i="36" s="1"/>
  <c r="I431" i="36"/>
  <c r="L463" i="36"/>
  <c r="M463" i="36"/>
  <c r="N463" i="36" s="1"/>
  <c r="I463" i="36"/>
  <c r="I17" i="36"/>
  <c r="M17" i="36"/>
  <c r="N17" i="36" s="1"/>
  <c r="L17" i="36"/>
  <c r="M33" i="36"/>
  <c r="N33" i="36" s="1"/>
  <c r="L33" i="36"/>
  <c r="I33" i="36"/>
  <c r="I49" i="36"/>
  <c r="M49" i="36"/>
  <c r="N49" i="36" s="1"/>
  <c r="L49" i="36"/>
  <c r="I65" i="36"/>
  <c r="M65" i="36"/>
  <c r="N65" i="36" s="1"/>
  <c r="L65" i="36"/>
  <c r="M85" i="36"/>
  <c r="N85" i="36" s="1"/>
  <c r="I85" i="36"/>
  <c r="L85" i="36"/>
  <c r="L106" i="36"/>
  <c r="M106" i="36"/>
  <c r="N106" i="36" s="1"/>
  <c r="I106" i="36"/>
  <c r="L138" i="36"/>
  <c r="M138" i="36"/>
  <c r="N138" i="36" s="1"/>
  <c r="I138" i="36"/>
  <c r="L170" i="36"/>
  <c r="I170" i="36"/>
  <c r="M170" i="36"/>
  <c r="N170" i="36" s="1"/>
  <c r="L202" i="36"/>
  <c r="I202" i="36"/>
  <c r="M202" i="36"/>
  <c r="N202" i="36" s="1"/>
  <c r="M236" i="36"/>
  <c r="N236" i="36" s="1"/>
  <c r="I236" i="36"/>
  <c r="L236" i="36"/>
  <c r="I87" i="36"/>
  <c r="M87" i="36"/>
  <c r="N87" i="36" s="1"/>
  <c r="L87" i="36"/>
  <c r="I103" i="36"/>
  <c r="M103" i="36"/>
  <c r="N103" i="36" s="1"/>
  <c r="L103" i="36"/>
  <c r="M119" i="36"/>
  <c r="N119" i="36" s="1"/>
  <c r="I119" i="36"/>
  <c r="L119" i="36"/>
  <c r="M135" i="36"/>
  <c r="N135" i="36" s="1"/>
  <c r="I135" i="36"/>
  <c r="L135" i="36"/>
  <c r="M151" i="36"/>
  <c r="N151" i="36" s="1"/>
  <c r="I151" i="36"/>
  <c r="L151" i="36"/>
  <c r="M167" i="36"/>
  <c r="N167" i="36" s="1"/>
  <c r="I167" i="36"/>
  <c r="L167" i="36"/>
  <c r="M183" i="36"/>
  <c r="N183" i="36" s="1"/>
  <c r="I183" i="36"/>
  <c r="L183" i="36"/>
  <c r="M199" i="36"/>
  <c r="N199" i="36" s="1"/>
  <c r="I199" i="36"/>
  <c r="L199" i="36"/>
  <c r="M215" i="36"/>
  <c r="N215" i="36" s="1"/>
  <c r="I215" i="36"/>
  <c r="L215" i="36"/>
  <c r="M235" i="36"/>
  <c r="N235" i="36" s="1"/>
  <c r="I235" i="36"/>
  <c r="L235" i="36"/>
  <c r="L263" i="36"/>
  <c r="I263" i="36"/>
  <c r="M263" i="36"/>
  <c r="N263" i="36" s="1"/>
  <c r="L295" i="36"/>
  <c r="I295" i="36"/>
  <c r="M295" i="36"/>
  <c r="N295" i="36" s="1"/>
  <c r="L327" i="36"/>
  <c r="I327" i="36"/>
  <c r="M327" i="36"/>
  <c r="N327" i="36" s="1"/>
  <c r="L352" i="36"/>
  <c r="M352" i="36"/>
  <c r="N352" i="36" s="1"/>
  <c r="I352" i="36"/>
  <c r="L384" i="36"/>
  <c r="M384" i="36"/>
  <c r="N384" i="36" s="1"/>
  <c r="I384" i="36"/>
  <c r="L400" i="36"/>
  <c r="M400" i="36"/>
  <c r="N400" i="36" s="1"/>
  <c r="I400" i="36"/>
  <c r="L416" i="36"/>
  <c r="M416" i="36"/>
  <c r="N416" i="36" s="1"/>
  <c r="I416" i="36"/>
  <c r="M105" i="36"/>
  <c r="N105" i="36" s="1"/>
  <c r="I105" i="36"/>
  <c r="L105" i="36"/>
  <c r="M121" i="36"/>
  <c r="N121" i="36" s="1"/>
  <c r="I121" i="36"/>
  <c r="L121" i="36"/>
  <c r="M137" i="36"/>
  <c r="N137" i="36" s="1"/>
  <c r="I137" i="36"/>
  <c r="L137" i="36"/>
  <c r="M153" i="36"/>
  <c r="N153" i="36" s="1"/>
  <c r="I153" i="36"/>
  <c r="L153" i="36"/>
  <c r="M169" i="36"/>
  <c r="N169" i="36" s="1"/>
  <c r="I169" i="36"/>
  <c r="L169" i="36"/>
  <c r="M185" i="36"/>
  <c r="N185" i="36" s="1"/>
  <c r="I185" i="36"/>
  <c r="L185" i="36"/>
  <c r="M201" i="36"/>
  <c r="N201" i="36" s="1"/>
  <c r="I201" i="36"/>
  <c r="L201" i="36"/>
  <c r="L221" i="36"/>
  <c r="I221" i="36"/>
  <c r="M221" i="36"/>
  <c r="N221" i="36" s="1"/>
  <c r="M243" i="36"/>
  <c r="N243" i="36" s="1"/>
  <c r="I243" i="36"/>
  <c r="L243" i="36"/>
  <c r="L275" i="36"/>
  <c r="I275" i="36"/>
  <c r="M275" i="36"/>
  <c r="N275" i="36" s="1"/>
  <c r="L307" i="36"/>
  <c r="I307" i="36"/>
  <c r="M307" i="36"/>
  <c r="N307" i="36" s="1"/>
  <c r="L339" i="36"/>
  <c r="I339" i="36"/>
  <c r="M339" i="36"/>
  <c r="N339" i="36" s="1"/>
  <c r="L376" i="36"/>
  <c r="M376" i="36"/>
  <c r="N376" i="36" s="1"/>
  <c r="I376" i="36"/>
  <c r="M230" i="36"/>
  <c r="N230" i="36" s="1"/>
  <c r="L230" i="36"/>
  <c r="I230" i="36"/>
  <c r="M246" i="36"/>
  <c r="N246" i="36" s="1"/>
  <c r="L246" i="36"/>
  <c r="I246" i="36"/>
  <c r="M262" i="36"/>
  <c r="N262" i="36" s="1"/>
  <c r="I262" i="36"/>
  <c r="L262" i="36"/>
  <c r="M278" i="36"/>
  <c r="N278" i="36" s="1"/>
  <c r="I278" i="36"/>
  <c r="L278" i="36"/>
  <c r="M294" i="36"/>
  <c r="N294" i="36" s="1"/>
  <c r="I294" i="36"/>
  <c r="L294" i="36"/>
  <c r="M310" i="36"/>
  <c r="N310" i="36" s="1"/>
  <c r="I310" i="36"/>
  <c r="L310" i="36"/>
  <c r="M326" i="36"/>
  <c r="N326" i="36" s="1"/>
  <c r="I326" i="36"/>
  <c r="L326" i="36"/>
  <c r="M342" i="36"/>
  <c r="N342" i="36" s="1"/>
  <c r="I342" i="36"/>
  <c r="L342" i="36"/>
  <c r="M362" i="36"/>
  <c r="N362" i="36" s="1"/>
  <c r="I362" i="36"/>
  <c r="L362" i="36"/>
  <c r="M383" i="36"/>
  <c r="N383" i="36" s="1"/>
  <c r="I383" i="36"/>
  <c r="L383" i="36"/>
  <c r="L414" i="36"/>
  <c r="I414" i="36"/>
  <c r="M414" i="36"/>
  <c r="N414" i="36" s="1"/>
  <c r="L469" i="36"/>
  <c r="I469" i="36"/>
  <c r="M469" i="36"/>
  <c r="N469" i="36" s="1"/>
  <c r="M260" i="36"/>
  <c r="N260" i="36" s="1"/>
  <c r="I260" i="36"/>
  <c r="L260" i="36"/>
  <c r="M276" i="36"/>
  <c r="N276" i="36" s="1"/>
  <c r="I276" i="36"/>
  <c r="L276" i="36"/>
  <c r="M292" i="36"/>
  <c r="N292" i="36" s="1"/>
  <c r="I292" i="36"/>
  <c r="L292" i="36"/>
  <c r="M308" i="36"/>
  <c r="N308" i="36" s="1"/>
  <c r="I308" i="36"/>
  <c r="L308" i="36"/>
  <c r="M324" i="36"/>
  <c r="N324" i="36" s="1"/>
  <c r="I324" i="36"/>
  <c r="L324" i="36"/>
  <c r="M340" i="36"/>
  <c r="N340" i="36" s="1"/>
  <c r="I340" i="36"/>
  <c r="L340" i="36"/>
  <c r="M359" i="36"/>
  <c r="N359" i="36" s="1"/>
  <c r="I359" i="36"/>
  <c r="L359" i="36"/>
  <c r="L380" i="36"/>
  <c r="I380" i="36"/>
  <c r="M380" i="36"/>
  <c r="N380" i="36" s="1"/>
  <c r="L410" i="36"/>
  <c r="I410" i="36"/>
  <c r="M410" i="36"/>
  <c r="N410" i="36" s="1"/>
  <c r="L461" i="36"/>
  <c r="I461" i="36"/>
  <c r="M461" i="36"/>
  <c r="N461" i="36" s="1"/>
  <c r="M357" i="36"/>
  <c r="N357" i="36" s="1"/>
  <c r="I357" i="36"/>
  <c r="L357" i="36"/>
  <c r="M373" i="36"/>
  <c r="N373" i="36" s="1"/>
  <c r="I373" i="36"/>
  <c r="L373" i="36"/>
  <c r="M389" i="36"/>
  <c r="N389" i="36" s="1"/>
  <c r="I389" i="36"/>
  <c r="L389" i="36"/>
  <c r="M405" i="36"/>
  <c r="N405" i="36" s="1"/>
  <c r="I405" i="36"/>
  <c r="L405" i="36"/>
  <c r="M421" i="36"/>
  <c r="N421" i="36" s="1"/>
  <c r="I421" i="36"/>
  <c r="L421" i="36"/>
  <c r="L435" i="36"/>
  <c r="I435" i="36"/>
  <c r="M435" i="36"/>
  <c r="N435" i="36" s="1"/>
  <c r="M457" i="36"/>
  <c r="N457" i="36" s="1"/>
  <c r="I457" i="36"/>
  <c r="L457" i="36"/>
  <c r="M479" i="36"/>
  <c r="N479" i="36" s="1"/>
  <c r="I479" i="36"/>
  <c r="L479" i="36"/>
  <c r="L510" i="36"/>
  <c r="M510" i="36"/>
  <c r="N510" i="36" s="1"/>
  <c r="I510" i="36"/>
  <c r="L526" i="36"/>
  <c r="M526" i="36"/>
  <c r="N526" i="36" s="1"/>
  <c r="I526" i="36"/>
  <c r="L575" i="36"/>
  <c r="M575" i="36"/>
  <c r="N575" i="36" s="1"/>
  <c r="I575" i="36"/>
  <c r="M399" i="36"/>
  <c r="N399" i="36" s="1"/>
  <c r="I399" i="36"/>
  <c r="L399" i="36"/>
  <c r="M415" i="36"/>
  <c r="N415" i="36" s="1"/>
  <c r="I415" i="36"/>
  <c r="L415" i="36"/>
  <c r="M433" i="36"/>
  <c r="N433" i="36" s="1"/>
  <c r="I433" i="36"/>
  <c r="L433" i="36"/>
  <c r="M454" i="36"/>
  <c r="N454" i="36" s="1"/>
  <c r="I454" i="36"/>
  <c r="L454" i="36"/>
  <c r="L475" i="36"/>
  <c r="I475" i="36"/>
  <c r="M475" i="36"/>
  <c r="N475" i="36" s="1"/>
  <c r="L508" i="36"/>
  <c r="M508" i="36"/>
  <c r="N508" i="36" s="1"/>
  <c r="I508" i="36"/>
  <c r="L432" i="36"/>
  <c r="I432" i="36"/>
  <c r="M432" i="36"/>
  <c r="N432" i="36" s="1"/>
  <c r="L448" i="36"/>
  <c r="I448" i="36"/>
  <c r="M448" i="36"/>
  <c r="N448" i="36" s="1"/>
  <c r="L464" i="36"/>
  <c r="I464" i="36"/>
  <c r="M464" i="36"/>
  <c r="N464" i="36" s="1"/>
  <c r="L480" i="36"/>
  <c r="I480" i="36"/>
  <c r="M480" i="36"/>
  <c r="N480" i="36" s="1"/>
  <c r="M502" i="36"/>
  <c r="N502" i="36" s="1"/>
  <c r="I502" i="36"/>
  <c r="L502" i="36"/>
  <c r="M540" i="36"/>
  <c r="N540" i="36" s="1"/>
  <c r="I540" i="36"/>
  <c r="L540" i="36"/>
  <c r="L488" i="36"/>
  <c r="I488" i="36"/>
  <c r="M488" i="36"/>
  <c r="N488" i="36" s="1"/>
  <c r="L512" i="36"/>
  <c r="I512" i="36"/>
  <c r="M512" i="36"/>
  <c r="N512" i="36" s="1"/>
  <c r="L537" i="36"/>
  <c r="M537" i="36"/>
  <c r="N537" i="36" s="1"/>
  <c r="I537" i="36"/>
  <c r="M489" i="36"/>
  <c r="N489" i="36" s="1"/>
  <c r="I489" i="36"/>
  <c r="L489" i="36"/>
  <c r="M505" i="36"/>
  <c r="N505" i="36" s="1"/>
  <c r="I505" i="36"/>
  <c r="L505" i="36"/>
  <c r="M521" i="36"/>
  <c r="N521" i="36" s="1"/>
  <c r="I521" i="36"/>
  <c r="L521" i="36"/>
  <c r="M539" i="36"/>
  <c r="N539" i="36" s="1"/>
  <c r="I539" i="36"/>
  <c r="L539" i="36"/>
  <c r="L565" i="36"/>
  <c r="I565" i="36"/>
  <c r="M565" i="36"/>
  <c r="N565" i="36" s="1"/>
  <c r="M519" i="36"/>
  <c r="N519" i="36" s="1"/>
  <c r="I519" i="36"/>
  <c r="L519" i="36"/>
  <c r="M536" i="36"/>
  <c r="N536" i="36" s="1"/>
  <c r="I536" i="36"/>
  <c r="L536" i="36"/>
  <c r="L561" i="36"/>
  <c r="I561" i="36"/>
  <c r="M561" i="36"/>
  <c r="N561" i="36" s="1"/>
  <c r="I538" i="36"/>
  <c r="L538" i="36"/>
  <c r="M538" i="36"/>
  <c r="N538" i="36" s="1"/>
  <c r="M554" i="36"/>
  <c r="N554" i="36" s="1"/>
  <c r="I554" i="36"/>
  <c r="L554" i="36"/>
  <c r="M570" i="36"/>
  <c r="N570" i="36" s="1"/>
  <c r="I570" i="36"/>
  <c r="L570" i="36"/>
  <c r="M556" i="36"/>
  <c r="N556" i="36" s="1"/>
  <c r="I556" i="36"/>
  <c r="L556" i="36"/>
  <c r="M572" i="36"/>
  <c r="N572" i="36" s="1"/>
  <c r="I572" i="36"/>
  <c r="L572" i="36"/>
  <c r="M22" i="36"/>
  <c r="N22" i="36" s="1"/>
  <c r="I22" i="36"/>
  <c r="L22" i="36"/>
  <c r="M54" i="36"/>
  <c r="N54" i="36" s="1"/>
  <c r="I54" i="36"/>
  <c r="L54" i="36"/>
  <c r="M89" i="36"/>
  <c r="N89" i="36" s="1"/>
  <c r="I89" i="36"/>
  <c r="L89" i="36"/>
  <c r="L144" i="36"/>
  <c r="I144" i="36"/>
  <c r="M144" i="36"/>
  <c r="N144" i="36" s="1"/>
  <c r="M27" i="36"/>
  <c r="N27" i="36" s="1"/>
  <c r="I27" i="36"/>
  <c r="L27" i="36"/>
  <c r="M46" i="36"/>
  <c r="N46" i="36" s="1"/>
  <c r="I46" i="36"/>
  <c r="L46" i="36"/>
  <c r="M75" i="36"/>
  <c r="N75" i="36" s="1"/>
  <c r="I75" i="36"/>
  <c r="L75" i="36"/>
  <c r="L136" i="36"/>
  <c r="I136" i="36"/>
  <c r="M136" i="36"/>
  <c r="N136" i="36" s="1"/>
  <c r="L82" i="36"/>
  <c r="I82" i="36"/>
  <c r="M82" i="36"/>
  <c r="N82" i="36" s="1"/>
  <c r="L16" i="36"/>
  <c r="I16" i="36"/>
  <c r="M16" i="36"/>
  <c r="N16" i="36" s="1"/>
  <c r="K11" i="36"/>
  <c r="K10" i="36" s="1"/>
  <c r="I14" i="36"/>
  <c r="L14" i="36"/>
  <c r="M14" i="36"/>
  <c r="M39" i="36"/>
  <c r="N39" i="36" s="1"/>
  <c r="I39" i="36"/>
  <c r="L39" i="36"/>
  <c r="M71" i="36"/>
  <c r="N71" i="36" s="1"/>
  <c r="I71" i="36"/>
  <c r="L71" i="36"/>
  <c r="L134" i="36"/>
  <c r="I134" i="36"/>
  <c r="M134" i="36"/>
  <c r="N134" i="36" s="1"/>
  <c r="L166" i="36"/>
  <c r="I166" i="36"/>
  <c r="M166" i="36"/>
  <c r="N166" i="36" s="1"/>
  <c r="L198" i="36"/>
  <c r="I198" i="36"/>
  <c r="M198" i="36"/>
  <c r="N198" i="36" s="1"/>
  <c r="L439" i="36"/>
  <c r="M439" i="36"/>
  <c r="N439" i="36" s="1"/>
  <c r="I439" i="36"/>
  <c r="M58" i="36"/>
  <c r="N58" i="36" s="1"/>
  <c r="I58" i="36"/>
  <c r="L58" i="36"/>
  <c r="M100" i="36"/>
  <c r="N100" i="36" s="1"/>
  <c r="I100" i="36"/>
  <c r="L100" i="36"/>
  <c r="L176" i="36"/>
  <c r="I176" i="36"/>
  <c r="M176" i="36"/>
  <c r="N176" i="36" s="1"/>
  <c r="L208" i="36"/>
  <c r="I208" i="36"/>
  <c r="M208" i="36"/>
  <c r="N208" i="36" s="1"/>
  <c r="L233" i="36"/>
  <c r="M233" i="36"/>
  <c r="N233" i="36" s="1"/>
  <c r="I233" i="36"/>
  <c r="L490" i="36"/>
  <c r="M490" i="36"/>
  <c r="N490" i="36" s="1"/>
  <c r="I490" i="36"/>
  <c r="L20" i="36"/>
  <c r="I20" i="36"/>
  <c r="M20" i="36"/>
  <c r="N20" i="36" s="1"/>
  <c r="L36" i="36"/>
  <c r="I36" i="36"/>
  <c r="M36" i="36"/>
  <c r="N36" i="36" s="1"/>
  <c r="L52" i="36"/>
  <c r="I52" i="36"/>
  <c r="M52" i="36"/>
  <c r="N52" i="36" s="1"/>
  <c r="L68" i="36"/>
  <c r="I68" i="36"/>
  <c r="M68" i="36"/>
  <c r="N68" i="36" s="1"/>
  <c r="L86" i="36"/>
  <c r="M86" i="36"/>
  <c r="N86" i="36" s="1"/>
  <c r="I86" i="36"/>
  <c r="L108" i="36"/>
  <c r="M108" i="36"/>
  <c r="N108" i="36" s="1"/>
  <c r="I108" i="36"/>
  <c r="L140" i="36"/>
  <c r="M140" i="36"/>
  <c r="N140" i="36" s="1"/>
  <c r="I140" i="36"/>
  <c r="L172" i="36"/>
  <c r="M172" i="36"/>
  <c r="N172" i="36" s="1"/>
  <c r="I172" i="36"/>
  <c r="L204" i="36"/>
  <c r="M204" i="36"/>
  <c r="N204" i="36" s="1"/>
  <c r="I204" i="36"/>
  <c r="L249" i="36"/>
  <c r="M249" i="36"/>
  <c r="N249" i="36" s="1"/>
  <c r="I249" i="36"/>
  <c r="L265" i="36"/>
  <c r="M265" i="36"/>
  <c r="N265" i="36" s="1"/>
  <c r="I265" i="36"/>
  <c r="L281" i="36"/>
  <c r="M281" i="36"/>
  <c r="N281" i="36" s="1"/>
  <c r="I281" i="36"/>
  <c r="L297" i="36"/>
  <c r="M297" i="36"/>
  <c r="N297" i="36" s="1"/>
  <c r="I297" i="36"/>
  <c r="L313" i="36"/>
  <c r="M313" i="36"/>
  <c r="N313" i="36" s="1"/>
  <c r="I313" i="36"/>
  <c r="L329" i="36"/>
  <c r="M329" i="36"/>
  <c r="N329" i="36" s="1"/>
  <c r="I329" i="36"/>
  <c r="L345" i="36"/>
  <c r="M345" i="36"/>
  <c r="N345" i="36" s="1"/>
  <c r="I345" i="36"/>
  <c r="M434" i="36"/>
  <c r="N434" i="36" s="1"/>
  <c r="I434" i="36"/>
  <c r="L434" i="36"/>
  <c r="M466" i="36"/>
  <c r="N466" i="36" s="1"/>
  <c r="I466" i="36"/>
  <c r="L466" i="36"/>
  <c r="M21" i="36"/>
  <c r="N21" i="36" s="1"/>
  <c r="L21" i="36"/>
  <c r="I21" i="36"/>
  <c r="M37" i="36"/>
  <c r="N37" i="36" s="1"/>
  <c r="L37" i="36"/>
  <c r="I37" i="36"/>
  <c r="L53" i="36"/>
  <c r="M53" i="36"/>
  <c r="N53" i="36" s="1"/>
  <c r="I53" i="36"/>
  <c r="L69" i="36"/>
  <c r="M69" i="36"/>
  <c r="N69" i="36" s="1"/>
  <c r="I69" i="36"/>
  <c r="L90" i="36"/>
  <c r="M90" i="36"/>
  <c r="N90" i="36" s="1"/>
  <c r="I90" i="36"/>
  <c r="L114" i="36"/>
  <c r="M114" i="36"/>
  <c r="N114" i="36" s="1"/>
  <c r="I114" i="36"/>
  <c r="L146" i="36"/>
  <c r="M146" i="36"/>
  <c r="N146" i="36" s="1"/>
  <c r="I146" i="36"/>
  <c r="L178" i="36"/>
  <c r="I178" i="36"/>
  <c r="M178" i="36"/>
  <c r="N178" i="36" s="1"/>
  <c r="L210" i="36"/>
  <c r="I210" i="36"/>
  <c r="M210" i="36"/>
  <c r="N210" i="36" s="1"/>
  <c r="L241" i="36"/>
  <c r="M241" i="36"/>
  <c r="N241" i="36" s="1"/>
  <c r="I241" i="36"/>
  <c r="M91" i="36"/>
  <c r="N91" i="36" s="1"/>
  <c r="L91" i="36"/>
  <c r="I91" i="36"/>
  <c r="M107" i="36"/>
  <c r="N107" i="36" s="1"/>
  <c r="I107" i="36"/>
  <c r="L107" i="36"/>
  <c r="M123" i="36"/>
  <c r="N123" i="36" s="1"/>
  <c r="I123" i="36"/>
  <c r="L123" i="36"/>
  <c r="M139" i="36"/>
  <c r="N139" i="36" s="1"/>
  <c r="I139" i="36"/>
  <c r="L139" i="36"/>
  <c r="M155" i="36"/>
  <c r="N155" i="36" s="1"/>
  <c r="I155" i="36"/>
  <c r="L155" i="36"/>
  <c r="M171" i="36"/>
  <c r="N171" i="36" s="1"/>
  <c r="I171" i="36"/>
  <c r="L171" i="36"/>
  <c r="M187" i="36"/>
  <c r="N187" i="36" s="1"/>
  <c r="I187" i="36"/>
  <c r="L187" i="36"/>
  <c r="M203" i="36"/>
  <c r="N203" i="36" s="1"/>
  <c r="I203" i="36"/>
  <c r="L203" i="36"/>
  <c r="M219" i="36"/>
  <c r="N219" i="36" s="1"/>
  <c r="I219" i="36"/>
  <c r="L219" i="36"/>
  <c r="M240" i="36"/>
  <c r="N240" i="36" s="1"/>
  <c r="I240" i="36"/>
  <c r="L240" i="36"/>
  <c r="L271" i="36"/>
  <c r="I271" i="36"/>
  <c r="M271" i="36"/>
  <c r="N271" i="36" s="1"/>
  <c r="L303" i="36"/>
  <c r="I303" i="36"/>
  <c r="M303" i="36"/>
  <c r="N303" i="36" s="1"/>
  <c r="L335" i="36"/>
  <c r="I335" i="36"/>
  <c r="M335" i="36"/>
  <c r="N335" i="36" s="1"/>
  <c r="M363" i="36"/>
  <c r="N363" i="36" s="1"/>
  <c r="I363" i="36"/>
  <c r="L363" i="36"/>
  <c r="L388" i="36"/>
  <c r="M388" i="36"/>
  <c r="N388" i="36" s="1"/>
  <c r="I388" i="36"/>
  <c r="L404" i="36"/>
  <c r="M404" i="36"/>
  <c r="N404" i="36" s="1"/>
  <c r="I404" i="36"/>
  <c r="L420" i="36"/>
  <c r="M420" i="36"/>
  <c r="N420" i="36" s="1"/>
  <c r="I420" i="36"/>
  <c r="M109" i="36"/>
  <c r="N109" i="36" s="1"/>
  <c r="I109" i="36"/>
  <c r="L109" i="36"/>
  <c r="M125" i="36"/>
  <c r="N125" i="36" s="1"/>
  <c r="I125" i="36"/>
  <c r="L125" i="36"/>
  <c r="M141" i="36"/>
  <c r="N141" i="36" s="1"/>
  <c r="I141" i="36"/>
  <c r="L141" i="36"/>
  <c r="M157" i="36"/>
  <c r="N157" i="36" s="1"/>
  <c r="I157" i="36"/>
  <c r="L157" i="36"/>
  <c r="M173" i="36"/>
  <c r="N173" i="36" s="1"/>
  <c r="I173" i="36"/>
  <c r="L173" i="36"/>
  <c r="M189" i="36"/>
  <c r="N189" i="36" s="1"/>
  <c r="I189" i="36"/>
  <c r="L189" i="36"/>
  <c r="M205" i="36"/>
  <c r="N205" i="36" s="1"/>
  <c r="I205" i="36"/>
  <c r="L205" i="36"/>
  <c r="M227" i="36"/>
  <c r="N227" i="36" s="1"/>
  <c r="I227" i="36"/>
  <c r="L227" i="36"/>
  <c r="L251" i="36"/>
  <c r="I251" i="36"/>
  <c r="M251" i="36"/>
  <c r="N251" i="36" s="1"/>
  <c r="L283" i="36"/>
  <c r="I283" i="36"/>
  <c r="M283" i="36"/>
  <c r="N283" i="36" s="1"/>
  <c r="L315" i="36"/>
  <c r="I315" i="36"/>
  <c r="M315" i="36"/>
  <c r="N315" i="36" s="1"/>
  <c r="M355" i="36"/>
  <c r="N355" i="36" s="1"/>
  <c r="I355" i="36"/>
  <c r="L355" i="36"/>
  <c r="I218" i="36"/>
  <c r="L218" i="36"/>
  <c r="M218" i="36"/>
  <c r="N218" i="36" s="1"/>
  <c r="I234" i="36"/>
  <c r="L234" i="36"/>
  <c r="M234" i="36"/>
  <c r="N234" i="36" s="1"/>
  <c r="M250" i="36"/>
  <c r="N250" i="36" s="1"/>
  <c r="I250" i="36"/>
  <c r="L250" i="36"/>
  <c r="M266" i="36"/>
  <c r="N266" i="36" s="1"/>
  <c r="I266" i="36"/>
  <c r="L266" i="36"/>
  <c r="M282" i="36"/>
  <c r="N282" i="36" s="1"/>
  <c r="I282" i="36"/>
  <c r="L282" i="36"/>
  <c r="M298" i="36"/>
  <c r="N298" i="36" s="1"/>
  <c r="I298" i="36"/>
  <c r="L298" i="36"/>
  <c r="M314" i="36"/>
  <c r="N314" i="36" s="1"/>
  <c r="I314" i="36"/>
  <c r="L314" i="36"/>
  <c r="M330" i="36"/>
  <c r="N330" i="36" s="1"/>
  <c r="I330" i="36"/>
  <c r="L330" i="36"/>
  <c r="M346" i="36"/>
  <c r="N346" i="36" s="1"/>
  <c r="I346" i="36"/>
  <c r="L346" i="36"/>
  <c r="M367" i="36"/>
  <c r="N367" i="36" s="1"/>
  <c r="I367" i="36"/>
  <c r="L367" i="36"/>
  <c r="L390" i="36"/>
  <c r="I390" i="36"/>
  <c r="M390" i="36"/>
  <c r="N390" i="36" s="1"/>
  <c r="L422" i="36"/>
  <c r="I422" i="36"/>
  <c r="M422" i="36"/>
  <c r="N422" i="36" s="1"/>
  <c r="M248" i="36"/>
  <c r="N248" i="36" s="1"/>
  <c r="I248" i="36"/>
  <c r="L248" i="36"/>
  <c r="M264" i="36"/>
  <c r="N264" i="36" s="1"/>
  <c r="I264" i="36"/>
  <c r="L264" i="36"/>
  <c r="M280" i="36"/>
  <c r="N280" i="36" s="1"/>
  <c r="I280" i="36"/>
  <c r="L280" i="36"/>
  <c r="M296" i="36"/>
  <c r="N296" i="36" s="1"/>
  <c r="I296" i="36"/>
  <c r="L296" i="36"/>
  <c r="M312" i="36"/>
  <c r="N312" i="36" s="1"/>
  <c r="I312" i="36"/>
  <c r="L312" i="36"/>
  <c r="M328" i="36"/>
  <c r="N328" i="36" s="1"/>
  <c r="I328" i="36"/>
  <c r="L328" i="36"/>
  <c r="M344" i="36"/>
  <c r="N344" i="36" s="1"/>
  <c r="I344" i="36"/>
  <c r="L344" i="36"/>
  <c r="L364" i="36"/>
  <c r="I364" i="36"/>
  <c r="M364" i="36"/>
  <c r="N364" i="36" s="1"/>
  <c r="L386" i="36"/>
  <c r="I386" i="36"/>
  <c r="M386" i="36"/>
  <c r="N386" i="36" s="1"/>
  <c r="L418" i="36"/>
  <c r="I418" i="36"/>
  <c r="M418" i="36"/>
  <c r="N418" i="36" s="1"/>
  <c r="L477" i="36"/>
  <c r="I477" i="36"/>
  <c r="M477" i="36"/>
  <c r="N477" i="36" s="1"/>
  <c r="I361" i="36"/>
  <c r="L361" i="36"/>
  <c r="M361" i="36"/>
  <c r="N361" i="36" s="1"/>
  <c r="I377" i="36"/>
  <c r="L377" i="36"/>
  <c r="M377" i="36"/>
  <c r="N377" i="36" s="1"/>
  <c r="M393" i="36"/>
  <c r="N393" i="36" s="1"/>
  <c r="I393" i="36"/>
  <c r="L393" i="36"/>
  <c r="M409" i="36"/>
  <c r="N409" i="36" s="1"/>
  <c r="I409" i="36"/>
  <c r="L409" i="36"/>
  <c r="M425" i="36"/>
  <c r="N425" i="36" s="1"/>
  <c r="I425" i="36"/>
  <c r="L425" i="36"/>
  <c r="M441" i="36"/>
  <c r="N441" i="36" s="1"/>
  <c r="I441" i="36"/>
  <c r="L441" i="36"/>
  <c r="M462" i="36"/>
  <c r="N462" i="36" s="1"/>
  <c r="I462" i="36"/>
  <c r="L462" i="36"/>
  <c r="L484" i="36"/>
  <c r="M484" i="36"/>
  <c r="N484" i="36" s="1"/>
  <c r="I484" i="36"/>
  <c r="L514" i="36"/>
  <c r="M514" i="36"/>
  <c r="N514" i="36" s="1"/>
  <c r="I514" i="36"/>
  <c r="L530" i="36"/>
  <c r="M530" i="36"/>
  <c r="N530" i="36" s="1"/>
  <c r="I530" i="36"/>
  <c r="M387" i="36"/>
  <c r="N387" i="36" s="1"/>
  <c r="I387" i="36"/>
  <c r="L387" i="36"/>
  <c r="M403" i="36"/>
  <c r="N403" i="36" s="1"/>
  <c r="I403" i="36"/>
  <c r="L403" i="36"/>
  <c r="M419" i="36"/>
  <c r="N419" i="36" s="1"/>
  <c r="I419" i="36"/>
  <c r="L419" i="36"/>
  <c r="M438" i="36"/>
  <c r="N438" i="36" s="1"/>
  <c r="I438" i="36"/>
  <c r="L438" i="36"/>
  <c r="L459" i="36"/>
  <c r="I459" i="36"/>
  <c r="M459" i="36"/>
  <c r="N459" i="36" s="1"/>
  <c r="M487" i="36"/>
  <c r="N487" i="36" s="1"/>
  <c r="I487" i="36"/>
  <c r="L487" i="36"/>
  <c r="L535" i="36"/>
  <c r="M535" i="36"/>
  <c r="N535" i="36" s="1"/>
  <c r="I535" i="36"/>
  <c r="M436" i="36"/>
  <c r="N436" i="36" s="1"/>
  <c r="L436" i="36"/>
  <c r="I436" i="36"/>
  <c r="M452" i="36"/>
  <c r="N452" i="36" s="1"/>
  <c r="L452" i="36"/>
  <c r="I452" i="36"/>
  <c r="M468" i="36"/>
  <c r="N468" i="36" s="1"/>
  <c r="L468" i="36"/>
  <c r="I468" i="36"/>
  <c r="M486" i="36"/>
  <c r="N486" i="36" s="1"/>
  <c r="I486" i="36"/>
  <c r="L486" i="36"/>
  <c r="M507" i="36"/>
  <c r="N507" i="36" s="1"/>
  <c r="I507" i="36"/>
  <c r="L507" i="36"/>
  <c r="L545" i="36"/>
  <c r="M545" i="36"/>
  <c r="N545" i="36" s="1"/>
  <c r="I545" i="36"/>
  <c r="M494" i="36"/>
  <c r="N494" i="36" s="1"/>
  <c r="I494" i="36"/>
  <c r="L494" i="36"/>
  <c r="L520" i="36"/>
  <c r="I520" i="36"/>
  <c r="M520" i="36"/>
  <c r="N520" i="36" s="1"/>
  <c r="M548" i="36"/>
  <c r="N548" i="36" s="1"/>
  <c r="I548" i="36"/>
  <c r="L548" i="36"/>
  <c r="L493" i="36"/>
  <c r="I493" i="36"/>
  <c r="M493" i="36"/>
  <c r="N493" i="36" s="1"/>
  <c r="M509" i="36"/>
  <c r="N509" i="36" s="1"/>
  <c r="I509" i="36"/>
  <c r="L509" i="36"/>
  <c r="M525" i="36"/>
  <c r="N525" i="36" s="1"/>
  <c r="I525" i="36"/>
  <c r="L525" i="36"/>
  <c r="M544" i="36"/>
  <c r="N544" i="36" s="1"/>
  <c r="I544" i="36"/>
  <c r="L544" i="36"/>
  <c r="L573" i="36"/>
  <c r="I573" i="36"/>
  <c r="M573" i="36"/>
  <c r="N573" i="36" s="1"/>
  <c r="M523" i="36"/>
  <c r="N523" i="36" s="1"/>
  <c r="I523" i="36"/>
  <c r="L523" i="36"/>
  <c r="L541" i="36"/>
  <c r="I541" i="36"/>
  <c r="M541" i="36"/>
  <c r="N541" i="36" s="1"/>
  <c r="L569" i="36"/>
  <c r="I569" i="36"/>
  <c r="M569" i="36"/>
  <c r="N569" i="36" s="1"/>
  <c r="M542" i="36"/>
  <c r="N542" i="36" s="1"/>
  <c r="L542" i="36"/>
  <c r="I542" i="36"/>
  <c r="M558" i="36"/>
  <c r="N558" i="36" s="1"/>
  <c r="I558" i="36"/>
  <c r="L558" i="36"/>
  <c r="M574" i="36"/>
  <c r="N574" i="36" s="1"/>
  <c r="I574" i="36"/>
  <c r="L574" i="36"/>
  <c r="M560" i="36"/>
  <c r="N560" i="36" s="1"/>
  <c r="I560" i="36"/>
  <c r="L560" i="36"/>
  <c r="M576" i="36"/>
  <c r="N576" i="36" s="1"/>
  <c r="I576" i="36"/>
  <c r="L576" i="36"/>
  <c r="J8" i="10"/>
  <c r="J7" i="10"/>
  <c r="J6" i="10"/>
  <c r="C7" i="10" s="1"/>
  <c r="J5" i="10"/>
  <c r="C6" i="10"/>
  <c r="C5" i="10"/>
  <c r="C8" i="10"/>
  <c r="C9" i="10"/>
  <c r="N14" i="36" l="1"/>
  <c r="N11" i="36" s="1"/>
  <c r="M11" i="36"/>
  <c r="Q2" i="23"/>
  <c r="R2" i="23" s="1"/>
  <c r="S2" i="23" s="1"/>
  <c r="Q3" i="23"/>
  <c r="R3" i="23" s="1"/>
  <c r="S3" i="23" s="1"/>
  <c r="C7" i="36" l="1"/>
  <c r="C5" i="36"/>
  <c r="C10" i="10" l="1"/>
</calcChain>
</file>

<file path=xl/comments1.xml><?xml version="1.0" encoding="utf-8"?>
<comments xmlns="http://schemas.openxmlformats.org/spreadsheetml/2006/main">
  <authors>
    <author>Bjørn Tømmerbakk</author>
  </authors>
  <commentList>
    <comment ref="C4" authorId="0">
      <text>
        <r>
          <rPr>
            <sz val="8"/>
            <color indexed="81"/>
            <rFont val="Tahoma"/>
            <family val="2"/>
          </rPr>
          <t>Share of Total Stock Value in percent.</t>
        </r>
      </text>
    </comment>
    <comment ref="K10" authorId="0">
      <text>
        <r>
          <rPr>
            <sz val="8"/>
            <color indexed="81"/>
            <rFont val="Tahoma"/>
            <family val="2"/>
          </rPr>
          <t>Percent change in run cycle times.</t>
        </r>
      </text>
    </comment>
    <comment ref="M10" authorId="0">
      <text>
        <r>
          <rPr>
            <sz val="8"/>
            <color indexed="81"/>
            <rFont val="Tahoma"/>
            <family val="2"/>
          </rPr>
          <t>Percent change in Stock from Lot Size optimization and Lot Size change.</t>
        </r>
      </text>
    </comment>
    <comment ref="N10" authorId="0">
      <text>
        <r>
          <rPr>
            <sz val="8"/>
            <color indexed="81"/>
            <rFont val="Tahoma"/>
            <family val="2"/>
          </rPr>
          <t>Percent change in total stock, both from changed lot sizes and changed safety stock level.</t>
        </r>
      </text>
    </comment>
    <comment ref="A11" authorId="0">
      <text>
        <r>
          <rPr>
            <sz val="8"/>
            <color indexed="81"/>
            <rFont val="Tahoma"/>
            <family val="2"/>
          </rPr>
          <t>You can edit the current Material informations (new products etc.). When you change a cell, it becomes colored.</t>
        </r>
      </text>
    </comment>
  </commentList>
</comments>
</file>

<file path=xl/connections.xml><?xml version="1.0" encoding="utf-8"?>
<connections xmlns="http://schemas.openxmlformats.org/spreadsheetml/2006/main">
  <connection id="1" name="product" type="4" refreshedVersion="0" background="1">
    <webPr xml="1" sourceData="1" url="C:\Users\abottu\Desktop\product.xml" htmlTables="1" htmlFormat="all"/>
  </connection>
</connections>
</file>

<file path=xl/sharedStrings.xml><?xml version="1.0" encoding="utf-8"?>
<sst xmlns="http://schemas.openxmlformats.org/spreadsheetml/2006/main" count="5022" uniqueCount="1909">
  <si>
    <t>Material Name</t>
  </si>
  <si>
    <t>Report Features</t>
  </si>
  <si>
    <t xml:space="preserve">    Press F10 to launch Selection Screen</t>
  </si>
  <si>
    <t>ReportName</t>
  </si>
  <si>
    <t>ReportID</t>
  </si>
  <si>
    <t>Plnt</t>
  </si>
  <si>
    <t>Material</t>
  </si>
  <si>
    <t>BUn</t>
  </si>
  <si>
    <t>Material Description</t>
  </si>
  <si>
    <t>Total Stock</t>
  </si>
  <si>
    <t>Prc</t>
  </si>
  <si>
    <t>NOK</t>
  </si>
  <si>
    <t>NOA104</t>
  </si>
  <si>
    <t>NOA</t>
  </si>
  <si>
    <t>Currency</t>
  </si>
  <si>
    <t>Budget price this year</t>
  </si>
  <si>
    <t>Current calculated standard price</t>
  </si>
  <si>
    <t>This sheet is used to handle user selections in the ribbon group Options</t>
  </si>
  <si>
    <t>Description</t>
  </si>
  <si>
    <t>Ribbon options</t>
  </si>
  <si>
    <t>Value</t>
  </si>
  <si>
    <t>Moving</t>
  </si>
  <si>
    <t>Budget</t>
  </si>
  <si>
    <t>Standard</t>
  </si>
  <si>
    <t>Item tag</t>
  </si>
  <si>
    <t>Price for current stock (moving average)</t>
  </si>
  <si>
    <t>FirstSheet</t>
  </si>
  <si>
    <t>FirstTable</t>
  </si>
  <si>
    <t>AUD</t>
  </si>
  <si>
    <t>CAD</t>
  </si>
  <si>
    <t>CHF</t>
  </si>
  <si>
    <t>CZK</t>
  </si>
  <si>
    <t>DKK</t>
  </si>
  <si>
    <t>EUR</t>
  </si>
  <si>
    <t>GBP</t>
  </si>
  <si>
    <t>HUF</t>
  </si>
  <si>
    <t>JPY</t>
  </si>
  <si>
    <t>PLN</t>
  </si>
  <si>
    <t>SEK</t>
  </si>
  <si>
    <t>USD</t>
  </si>
  <si>
    <t>From</t>
  </si>
  <si>
    <t>To</t>
  </si>
  <si>
    <t>Valid from</t>
  </si>
  <si>
    <t>Profit Center</t>
  </si>
  <si>
    <t>Product hierarchy</t>
  </si>
  <si>
    <t>FieldName</t>
  </si>
  <si>
    <t>Plant</t>
  </si>
  <si>
    <t>Report Statistics</t>
  </si>
  <si>
    <t>QuantityUnit</t>
  </si>
  <si>
    <t>SalesValue</t>
  </si>
  <si>
    <t>CustomerHierarchy</t>
  </si>
  <si>
    <t>ProductHierarchy</t>
  </si>
  <si>
    <t>MaterialPrice</t>
  </si>
  <si>
    <t>Name 1</t>
  </si>
  <si>
    <t>SOrg.</t>
  </si>
  <si>
    <t>DChl</t>
  </si>
  <si>
    <t>Dv</t>
  </si>
  <si>
    <t>MS</t>
  </si>
  <si>
    <t>NOA108</t>
  </si>
  <si>
    <t>EX</t>
  </si>
  <si>
    <t>010010050003</t>
  </si>
  <si>
    <t>C</t>
  </si>
  <si>
    <t>A</t>
  </si>
  <si>
    <t>Andre</t>
  </si>
  <si>
    <t>010010050001</t>
  </si>
  <si>
    <t>Index</t>
  </si>
  <si>
    <t>Completely processed</t>
  </si>
  <si>
    <t>Completed</t>
  </si>
  <si>
    <t>Partially processed</t>
  </si>
  <si>
    <t>Started</t>
  </si>
  <si>
    <t>B</t>
  </si>
  <si>
    <t>Not yet processed</t>
  </si>
  <si>
    <t>Not started</t>
  </si>
  <si>
    <t>Not relevant</t>
  </si>
  <si>
    <t>Text</t>
  </si>
  <si>
    <t>DS1</t>
  </si>
  <si>
    <t>Number of the level in the pro</t>
  </si>
  <si>
    <t>Level3</t>
  </si>
  <si>
    <t>Level2</t>
  </si>
  <si>
    <t>Level1</t>
  </si>
  <si>
    <t>01</t>
  </si>
  <si>
    <t>Ingredienser</t>
  </si>
  <si>
    <t>01001</t>
  </si>
  <si>
    <t>01001001</t>
  </si>
  <si>
    <t>Ekstrakter</t>
  </si>
  <si>
    <t>Customer</t>
  </si>
  <si>
    <t>Valid to</t>
  </si>
  <si>
    <t>HgLvCust.</t>
  </si>
  <si>
    <t>HLSOr</t>
  </si>
  <si>
    <t>HLDCh</t>
  </si>
  <si>
    <t>HLDiv</t>
  </si>
  <si>
    <t>RNo</t>
  </si>
  <si>
    <t>Reb.</t>
  </si>
  <si>
    <t>HA</t>
  </si>
  <si>
    <t>Cty</t>
  </si>
  <si>
    <t>DO</t>
  </si>
  <si>
    <t>NO</t>
  </si>
  <si>
    <t>COOP Norden</t>
  </si>
  <si>
    <t>COOP OBS!</t>
  </si>
  <si>
    <t>This sheet contains report information used by the addin</t>
  </si>
  <si>
    <t>Sold To Party</t>
  </si>
  <si>
    <t>Regional</t>
  </si>
  <si>
    <t>National</t>
  </si>
  <si>
    <t>International</t>
  </si>
  <si>
    <t>Level</t>
  </si>
  <si>
    <t>Column</t>
  </si>
  <si>
    <t>Level 1</t>
  </si>
  <si>
    <t>Level 2</t>
  </si>
  <si>
    <t>Level 3</t>
  </si>
  <si>
    <t>Level 4</t>
  </si>
  <si>
    <t>Characters</t>
  </si>
  <si>
    <t>Product Hierarchy Level 1</t>
  </si>
  <si>
    <t>Product Hierarchy Level 2</t>
  </si>
  <si>
    <t>Product Hierarchy Level 3</t>
  </si>
  <si>
    <t>Product Hierarchy Level 4</t>
  </si>
  <si>
    <t>RE</t>
  </si>
  <si>
    <t>IN</t>
  </si>
  <si>
    <t>NOA109</t>
  </si>
  <si>
    <t>FS</t>
  </si>
  <si>
    <t>NOA102</t>
  </si>
  <si>
    <t>NOK102</t>
  </si>
  <si>
    <t>Sector</t>
  </si>
  <si>
    <t>Material Price</t>
  </si>
  <si>
    <t>ReportCaption</t>
  </si>
  <si>
    <t>020050030001</t>
  </si>
  <si>
    <t>Unil AS</t>
  </si>
  <si>
    <t>030010010003</t>
  </si>
  <si>
    <t>030010010002</t>
  </si>
  <si>
    <t>040030070001</t>
  </si>
  <si>
    <t>010010060003</t>
  </si>
  <si>
    <t>010010060005</t>
  </si>
  <si>
    <t>010010060004</t>
  </si>
  <si>
    <t>010010050002</t>
  </si>
  <si>
    <t>010010050004</t>
  </si>
  <si>
    <t>Nær Engros Levanger AS</t>
  </si>
  <si>
    <t>060030060002</t>
  </si>
  <si>
    <t>040050020099</t>
  </si>
  <si>
    <t>050020040001</t>
  </si>
  <si>
    <t>040040060003</t>
  </si>
  <si>
    <t>060030020004</t>
  </si>
  <si>
    <t>060030070001</t>
  </si>
  <si>
    <t>060030990002</t>
  </si>
  <si>
    <t>040040060001</t>
  </si>
  <si>
    <t>020030010001</t>
  </si>
  <si>
    <t>020030010002</t>
  </si>
  <si>
    <t>030030010003</t>
  </si>
  <si>
    <t>020030020005</t>
  </si>
  <si>
    <t>020010010007</t>
  </si>
  <si>
    <t>020030990006</t>
  </si>
  <si>
    <t>020030030001</t>
  </si>
  <si>
    <t>990990020001</t>
  </si>
  <si>
    <t>080010010005</t>
  </si>
  <si>
    <t>030040010003</t>
  </si>
  <si>
    <t>020040010001</t>
  </si>
  <si>
    <t>020040010002</t>
  </si>
  <si>
    <t>020040020004</t>
  </si>
  <si>
    <t>020050010001</t>
  </si>
  <si>
    <t>030040010002</t>
  </si>
  <si>
    <t>040040030001</t>
  </si>
  <si>
    <t>ServiceNord Engros AS</t>
  </si>
  <si>
    <t>030030010001</t>
  </si>
  <si>
    <t>060030060001</t>
  </si>
  <si>
    <t>040030040002</t>
  </si>
  <si>
    <t>020010010002</t>
  </si>
  <si>
    <t>020010010005</t>
  </si>
  <si>
    <t>020010010003</t>
  </si>
  <si>
    <t>990020030001</t>
  </si>
  <si>
    <t>040040010001</t>
  </si>
  <si>
    <t>040030010005</t>
  </si>
  <si>
    <t>040030010003</t>
  </si>
  <si>
    <t>050010010001</t>
  </si>
  <si>
    <t>Asko Norge AS</t>
  </si>
  <si>
    <t>Willys Agentur Engros AS</t>
  </si>
  <si>
    <t>Personalbutik Toro Arna.v/</t>
  </si>
  <si>
    <t>040050030001</t>
  </si>
  <si>
    <t>Nær Engros AS,  Namsos</t>
  </si>
  <si>
    <t>040030040001</t>
  </si>
  <si>
    <t>030040020099</t>
  </si>
  <si>
    <t>030040990099</t>
  </si>
  <si>
    <t>040050010001</t>
  </si>
  <si>
    <t>040040060002</t>
  </si>
  <si>
    <t>Måkestad Engros Øst A/S</t>
  </si>
  <si>
    <t>030040080003</t>
  </si>
  <si>
    <t>080010010002</t>
  </si>
  <si>
    <t>Asko Øst As</t>
  </si>
  <si>
    <t>040030990001</t>
  </si>
  <si>
    <t>060020010001</t>
  </si>
  <si>
    <t>060020020002</t>
  </si>
  <si>
    <t>040040020001</t>
  </si>
  <si>
    <t>090030010001</t>
  </si>
  <si>
    <t>Asko Rogaland As Avd. Skurve</t>
  </si>
  <si>
    <t>040050040001</t>
  </si>
  <si>
    <t>040050080001</t>
  </si>
  <si>
    <t>Asko Midt-Norge AS.Trondheim</t>
  </si>
  <si>
    <t>Nordnorsk Engros A/S</t>
  </si>
  <si>
    <t>Asko Drammen AS</t>
  </si>
  <si>
    <t>030020010001</t>
  </si>
  <si>
    <t>Vossafår</t>
  </si>
  <si>
    <t>Asko Hedmark AS  Avd. Brumunddal</t>
  </si>
  <si>
    <t>Arne Sjule A/S</t>
  </si>
  <si>
    <t>Rema Distribusjon Norge As, Langhus</t>
  </si>
  <si>
    <t>020040030002</t>
  </si>
  <si>
    <t>Asko Nord AS</t>
  </si>
  <si>
    <t>020990990001</t>
  </si>
  <si>
    <t>Rema Distr. Norge AS,  Vinterbro</t>
  </si>
  <si>
    <t>Asko Molde AS</t>
  </si>
  <si>
    <t>Rema Distr. Norge AS, Trondheim</t>
  </si>
  <si>
    <t>060020030002</t>
  </si>
  <si>
    <t>020040010003</t>
  </si>
  <si>
    <t>040020020005</t>
  </si>
  <si>
    <t>040020020004</t>
  </si>
  <si>
    <t>090010030001</t>
  </si>
  <si>
    <t>040040020005</t>
  </si>
  <si>
    <t>040040010002</t>
  </si>
  <si>
    <t>060020030001</t>
  </si>
  <si>
    <t>020040030001</t>
  </si>
  <si>
    <t>060020020001</t>
  </si>
  <si>
    <t>090010010001</t>
  </si>
  <si>
    <t>080010030002</t>
  </si>
  <si>
    <t>080010020099</t>
  </si>
  <si>
    <t>090020010001</t>
  </si>
  <si>
    <t>K. Ekrheim AS</t>
  </si>
  <si>
    <t>020010010009</t>
  </si>
  <si>
    <t>040020020003</t>
  </si>
  <si>
    <t>040020020002</t>
  </si>
  <si>
    <t>040030030001</t>
  </si>
  <si>
    <t>040030020002</t>
  </si>
  <si>
    <t>040020020001</t>
  </si>
  <si>
    <t>060010010002</t>
  </si>
  <si>
    <t>040040080001</t>
  </si>
  <si>
    <t>Måkestad Engros AS</t>
  </si>
  <si>
    <t>Asko Vestfold Telemark AS</t>
  </si>
  <si>
    <t>Asko Agder AS</t>
  </si>
  <si>
    <t>Asko Vest  AS</t>
  </si>
  <si>
    <t>020040030003</t>
  </si>
  <si>
    <t>060030020002</t>
  </si>
  <si>
    <t>060020010006</t>
  </si>
  <si>
    <t>040030020003</t>
  </si>
  <si>
    <t>Coop Norge Tromsø</t>
  </si>
  <si>
    <t>040050030002</t>
  </si>
  <si>
    <t>Ica Distribusjon A/s, Narvik</t>
  </si>
  <si>
    <t>060030050002</t>
  </si>
  <si>
    <t>Ica Distribusjon A/s, Tr.heim</t>
  </si>
  <si>
    <t>060020010005</t>
  </si>
  <si>
    <t>040040030002</t>
  </si>
  <si>
    <t>050020010001</t>
  </si>
  <si>
    <t>040030020001</t>
  </si>
  <si>
    <t>020010010004</t>
  </si>
  <si>
    <t>060020010003</t>
  </si>
  <si>
    <t>080010060002</t>
  </si>
  <si>
    <t>020040030004</t>
  </si>
  <si>
    <t>090010020001</t>
  </si>
  <si>
    <t>Bjørnulfs Engros AS</t>
  </si>
  <si>
    <t>Safari Engros AS</t>
  </si>
  <si>
    <t>040050010099</t>
  </si>
  <si>
    <t>040030040003</t>
  </si>
  <si>
    <t>080010060003</t>
  </si>
  <si>
    <t>050020020001</t>
  </si>
  <si>
    <t>040030030002</t>
  </si>
  <si>
    <t>040020020006</t>
  </si>
  <si>
    <t>040020020009</t>
  </si>
  <si>
    <t>990990010001</t>
  </si>
  <si>
    <t>Nær Engros Trondheim AS</t>
  </si>
  <si>
    <t>040030040005</t>
  </si>
  <si>
    <t>020030010003</t>
  </si>
  <si>
    <t>Ica Distribusjon A/s, Skårer</t>
  </si>
  <si>
    <t>Rema Distribusjon Norge As, Bergen</t>
  </si>
  <si>
    <t>Giørtz H.I. Sønner  AS</t>
  </si>
  <si>
    <t>Ica Distribusjon A/s, Bergen</t>
  </si>
  <si>
    <t>Coop Norge Bergen</t>
  </si>
  <si>
    <t>Asko Oppland As</t>
  </si>
  <si>
    <t>D. Danielsen A/S</t>
  </si>
  <si>
    <t>T.P. Engros A/S</t>
  </si>
  <si>
    <t>040030010001</t>
  </si>
  <si>
    <t>030010010004</t>
  </si>
  <si>
    <t>Rema Distr.  Norge As, Narvik</t>
  </si>
  <si>
    <t>020040010004</t>
  </si>
  <si>
    <t>Rema Distr. Norge AS, Stavanger</t>
  </si>
  <si>
    <t>Ica Distribusjon As Langhus</t>
  </si>
  <si>
    <t>040040020006</t>
  </si>
  <si>
    <t>Paul Nygaard A/S</t>
  </si>
  <si>
    <t>Coop Trondheim</t>
  </si>
  <si>
    <t>Coop Norge Stavanger</t>
  </si>
  <si>
    <t>Agder Grossisten AS</t>
  </si>
  <si>
    <t>Euro Supply Bergen AS Eksport</t>
  </si>
  <si>
    <t>Euro Supply Bergen AS</t>
  </si>
  <si>
    <t>Haugaland Storhusholdning AS</t>
  </si>
  <si>
    <t>Encon AS</t>
  </si>
  <si>
    <t>990020040001</t>
  </si>
  <si>
    <t>040030010004</t>
  </si>
  <si>
    <t>Coop Norge Oslo</t>
  </si>
  <si>
    <t>Bjørn Kristiansen AS</t>
  </si>
  <si>
    <t>Engrospartner AS</t>
  </si>
  <si>
    <t>Østfoldfrukt Mysen AS</t>
  </si>
  <si>
    <t>010010010001</t>
  </si>
  <si>
    <t>Kjøtt ekstrakt pulver</t>
  </si>
  <si>
    <t>010010010099</t>
  </si>
  <si>
    <t>Andre kjøtt ekstrakt pulver</t>
  </si>
  <si>
    <t>01001002</t>
  </si>
  <si>
    <t>HVP</t>
  </si>
  <si>
    <t>010010020001</t>
  </si>
  <si>
    <t>HVP flytende</t>
  </si>
  <si>
    <t>010010020002</t>
  </si>
  <si>
    <t>HVP pasta</t>
  </si>
  <si>
    <t>010010020003</t>
  </si>
  <si>
    <t>HVP pulver</t>
  </si>
  <si>
    <t>010010020099</t>
  </si>
  <si>
    <t>HVP Andre</t>
  </si>
  <si>
    <t>01001003</t>
  </si>
  <si>
    <t>Marine Ingredienser</t>
  </si>
  <si>
    <t>010010030001</t>
  </si>
  <si>
    <t>Marine pulvere</t>
  </si>
  <si>
    <t>010010030002</t>
  </si>
  <si>
    <t>Marine ekstrakter</t>
  </si>
  <si>
    <t>010010030099</t>
  </si>
  <si>
    <t>Marine Ingredienser andre</t>
  </si>
  <si>
    <t>01001004</t>
  </si>
  <si>
    <t>Granulater / Veg. Pulvere</t>
  </si>
  <si>
    <t>010010040001</t>
  </si>
  <si>
    <t>Gule erter hele</t>
  </si>
  <si>
    <t>010010040002</t>
  </si>
  <si>
    <t>Grønne erter hele</t>
  </si>
  <si>
    <t>010010040003</t>
  </si>
  <si>
    <t>Gult ertemel</t>
  </si>
  <si>
    <t>010010040004</t>
  </si>
  <si>
    <t>Grønt ertemel</t>
  </si>
  <si>
    <t>010010040099</t>
  </si>
  <si>
    <t>Granulater/ Veg.pulvere andre</t>
  </si>
  <si>
    <t>01001005</t>
  </si>
  <si>
    <t>Reaksjon Flavours</t>
  </si>
  <si>
    <t>Reaksjons flavour okse</t>
  </si>
  <si>
    <t>Reaksjons flavour kylling</t>
  </si>
  <si>
    <t>Reaksjons flavour kjøtt</t>
  </si>
  <si>
    <t>Reaksjons flavour svin</t>
  </si>
  <si>
    <t>010010050099</t>
  </si>
  <si>
    <t>Reaksjons flavour andre</t>
  </si>
  <si>
    <t>01001006</t>
  </si>
  <si>
    <t>Buljong &amp; Stocks</t>
  </si>
  <si>
    <t>010010060001</t>
  </si>
  <si>
    <t>Ind. Oksebuljong</t>
  </si>
  <si>
    <t>010010060002</t>
  </si>
  <si>
    <t>Ind. Kylling buljong</t>
  </si>
  <si>
    <t>Ind. Buljong annet kjøtt</t>
  </si>
  <si>
    <t>Ind. Buljong fisk &amp; skalldyr</t>
  </si>
  <si>
    <t>Ind. Grønnsakbuljong</t>
  </si>
  <si>
    <t>010010060099</t>
  </si>
  <si>
    <t>Ind. Buljon&amp; Stock andre</t>
  </si>
  <si>
    <t>01001007</t>
  </si>
  <si>
    <t>Kjøtt Ingredienser</t>
  </si>
  <si>
    <t>010010070001</t>
  </si>
  <si>
    <t>Oksepulver</t>
  </si>
  <si>
    <t>010010070002</t>
  </si>
  <si>
    <t>Kylling pulver</t>
  </si>
  <si>
    <t>010010070099</t>
  </si>
  <si>
    <t>Andre kjøtt ingredienser</t>
  </si>
  <si>
    <t>01001008</t>
  </si>
  <si>
    <t>Industrielle krydre</t>
  </si>
  <si>
    <t>010010080001</t>
  </si>
  <si>
    <t>Krydderblandinger</t>
  </si>
  <si>
    <t>010010080002</t>
  </si>
  <si>
    <t>Marinader flytende</t>
  </si>
  <si>
    <t>010010080003</t>
  </si>
  <si>
    <t>Marinader pulver</t>
  </si>
  <si>
    <t>010010080004</t>
  </si>
  <si>
    <t>Snack krydder</t>
  </si>
  <si>
    <t>010010080005</t>
  </si>
  <si>
    <t>Krydderaroma</t>
  </si>
  <si>
    <t>010010080006</t>
  </si>
  <si>
    <t>Hele krydre</t>
  </si>
  <si>
    <t>010010080007</t>
  </si>
  <si>
    <t>Prosess hjelpere</t>
  </si>
  <si>
    <t>010010080008</t>
  </si>
  <si>
    <t>Ind. pasta &amp; ris produkter</t>
  </si>
  <si>
    <t>010010080009</t>
  </si>
  <si>
    <t>Løk produkter</t>
  </si>
  <si>
    <t>010010080010</t>
  </si>
  <si>
    <t>Råvarer / skaffevarer</t>
  </si>
  <si>
    <t>010010080099</t>
  </si>
  <si>
    <t>Andre ind. Krydre</t>
  </si>
  <si>
    <t>01001099</t>
  </si>
  <si>
    <t>Andre Ingredienser</t>
  </si>
  <si>
    <t>010010990001</t>
  </si>
  <si>
    <t>Ind. Sauser</t>
  </si>
  <si>
    <t>010010990002</t>
  </si>
  <si>
    <t>Ind. Supper</t>
  </si>
  <si>
    <t>010010990003</t>
  </si>
  <si>
    <t>Spesial produkter ind</t>
  </si>
  <si>
    <t>010010990004</t>
  </si>
  <si>
    <t>Råvarer</t>
  </si>
  <si>
    <t>010010990005</t>
  </si>
  <si>
    <t>Ind. Stekt løk</t>
  </si>
  <si>
    <t>010010990099</t>
  </si>
  <si>
    <t>Andre Ind. Ingredienser</t>
  </si>
  <si>
    <t>02</t>
  </si>
  <si>
    <t>Smaksforsterkere</t>
  </si>
  <si>
    <t>02001</t>
  </si>
  <si>
    <t>Buljong</t>
  </si>
  <si>
    <t>02001001</t>
  </si>
  <si>
    <t>020010010001</t>
  </si>
  <si>
    <t>Buljong sterk</t>
  </si>
  <si>
    <t>Buljong kjøtt</t>
  </si>
  <si>
    <t>Buljong kylling</t>
  </si>
  <si>
    <t>Buljong vegetabils</t>
  </si>
  <si>
    <t>Buljong fisk</t>
  </si>
  <si>
    <t>020010010006</t>
  </si>
  <si>
    <t>Buljong saus</t>
  </si>
  <si>
    <t>Buljong andre</t>
  </si>
  <si>
    <t>020010010008</t>
  </si>
  <si>
    <t>Buljong vilt</t>
  </si>
  <si>
    <t>Buljong svin</t>
  </si>
  <si>
    <t>02001099</t>
  </si>
  <si>
    <t>Andre Buljong</t>
  </si>
  <si>
    <t>02002</t>
  </si>
  <si>
    <t>Stekt Løk</t>
  </si>
  <si>
    <t>02002001</t>
  </si>
  <si>
    <t>Tradisjonell Stekt Løk</t>
  </si>
  <si>
    <t>020020010001</t>
  </si>
  <si>
    <t>Klassisk stekt løk</t>
  </si>
  <si>
    <t>02002002</t>
  </si>
  <si>
    <t>Stekt Løk m/Aroma</t>
  </si>
  <si>
    <t>02002099</t>
  </si>
  <si>
    <t>Andre Stekt Løk</t>
  </si>
  <si>
    <t>02003</t>
  </si>
  <si>
    <t>Krydder</t>
  </si>
  <si>
    <t>02003001</t>
  </si>
  <si>
    <t>Tørt Krydder</t>
  </si>
  <si>
    <t>Enkelt krydder</t>
  </si>
  <si>
    <t>Krydderblanding</t>
  </si>
  <si>
    <t>Krydder kvern</t>
  </si>
  <si>
    <t>020030010004</t>
  </si>
  <si>
    <t>Vegeta - klassisk</t>
  </si>
  <si>
    <t>020030010005</t>
  </si>
  <si>
    <t>Vegeta - blandinger</t>
  </si>
  <si>
    <t>020030010006</t>
  </si>
  <si>
    <t>Garnello</t>
  </si>
  <si>
    <t>020030010007</t>
  </si>
  <si>
    <t>Spice Mixes Tex-Mex</t>
  </si>
  <si>
    <t>020030010008</t>
  </si>
  <si>
    <t>Horeca spice mixes</t>
  </si>
  <si>
    <t>02003002</t>
  </si>
  <si>
    <t>Flytende Krydder</t>
  </si>
  <si>
    <t>020030020001</t>
  </si>
  <si>
    <t>Suppekrydder</t>
  </si>
  <si>
    <t>020030020002</t>
  </si>
  <si>
    <t>Grill oljer</t>
  </si>
  <si>
    <t>020030020003</t>
  </si>
  <si>
    <t>Soyasaus</t>
  </si>
  <si>
    <t>020030020004</t>
  </si>
  <si>
    <t>Worchester</t>
  </si>
  <si>
    <t>Marinade</t>
  </si>
  <si>
    <t>020030020006</t>
  </si>
  <si>
    <t>Chilli saus</t>
  </si>
  <si>
    <t>020030020007</t>
  </si>
  <si>
    <t>Salatdressinger</t>
  </si>
  <si>
    <t>020030020099</t>
  </si>
  <si>
    <t>Andre flytende krydder</t>
  </si>
  <si>
    <t>02003003</t>
  </si>
  <si>
    <t>Konservert krydder</t>
  </si>
  <si>
    <t>Urter i Olje</t>
  </si>
  <si>
    <t>020030030002</t>
  </si>
  <si>
    <t>Hakket krydder</t>
  </si>
  <si>
    <t>02003099</t>
  </si>
  <si>
    <t>Andre Krydder</t>
  </si>
  <si>
    <t>020030990001</t>
  </si>
  <si>
    <t>Sitronsyre</t>
  </si>
  <si>
    <t>020030990002</t>
  </si>
  <si>
    <t>Glukose</t>
  </si>
  <si>
    <t>020030990003</t>
  </si>
  <si>
    <t>Hvitt Sukker</t>
  </si>
  <si>
    <t>020030990004</t>
  </si>
  <si>
    <t>Gelatin</t>
  </si>
  <si>
    <t>020030990005</t>
  </si>
  <si>
    <t>Fortykningsmiddel sylting</t>
  </si>
  <si>
    <t>Sukkerkulør</t>
  </si>
  <si>
    <t>020030990007</t>
  </si>
  <si>
    <t>Jevning</t>
  </si>
  <si>
    <t>020030990008</t>
  </si>
  <si>
    <t>Horeca roux</t>
  </si>
  <si>
    <t>02004</t>
  </si>
  <si>
    <t>Sauser</t>
  </si>
  <si>
    <t>02004001</t>
  </si>
  <si>
    <t>Middagssaus</t>
  </si>
  <si>
    <t>Kjøtt saus</t>
  </si>
  <si>
    <t>Fiske saus</t>
  </si>
  <si>
    <t>Kylling saus</t>
  </si>
  <si>
    <t>Andre middagssauser</t>
  </si>
  <si>
    <t>020040010005</t>
  </si>
  <si>
    <t>Horeca dinner sauces</t>
  </si>
  <si>
    <t>02004002</t>
  </si>
  <si>
    <t>Sauser Ferdige</t>
  </si>
  <si>
    <t>020040020001</t>
  </si>
  <si>
    <t>Kjøtt saus instant</t>
  </si>
  <si>
    <t>020040020002</t>
  </si>
  <si>
    <t>Fiske saus instant</t>
  </si>
  <si>
    <t>020040020003</t>
  </si>
  <si>
    <t>Kylling saus instant</t>
  </si>
  <si>
    <t>Andre sauser instant</t>
  </si>
  <si>
    <t>02004003</t>
  </si>
  <si>
    <t>Integrerte sauser</t>
  </si>
  <si>
    <t>Pizza sauser</t>
  </si>
  <si>
    <t>Pasta sauser</t>
  </si>
  <si>
    <t>Tradisjonell integrerte sauser</t>
  </si>
  <si>
    <t>Etniske integrerte sauser</t>
  </si>
  <si>
    <t>020040030005</t>
  </si>
  <si>
    <t>Andre integrerte sauser</t>
  </si>
  <si>
    <t>02004099</t>
  </si>
  <si>
    <t>Andre Sauser</t>
  </si>
  <si>
    <t>020040990001</t>
  </si>
  <si>
    <t>Andre sauser</t>
  </si>
  <si>
    <t>02005</t>
  </si>
  <si>
    <t>Dressing &amp; Dip</t>
  </si>
  <si>
    <t>02005001</t>
  </si>
  <si>
    <t>Dressing</t>
  </si>
  <si>
    <t>02005002</t>
  </si>
  <si>
    <t>Ketchup</t>
  </si>
  <si>
    <t>020050020001</t>
  </si>
  <si>
    <t>Ketchup klassisk</t>
  </si>
  <si>
    <t>020050020002</t>
  </si>
  <si>
    <t>Tomat pasta</t>
  </si>
  <si>
    <t>02005003</t>
  </si>
  <si>
    <t>Majones</t>
  </si>
  <si>
    <t>Majones klassisk</t>
  </si>
  <si>
    <t>02005004</t>
  </si>
  <si>
    <t>Sennep</t>
  </si>
  <si>
    <t>020050040001</t>
  </si>
  <si>
    <t>Sennep klassisk</t>
  </si>
  <si>
    <t>02005005</t>
  </si>
  <si>
    <t>Grill saus</t>
  </si>
  <si>
    <t>020050050001</t>
  </si>
  <si>
    <t>02005006</t>
  </si>
  <si>
    <t>Dip</t>
  </si>
  <si>
    <t>020050060001</t>
  </si>
  <si>
    <t>02005007</t>
  </si>
  <si>
    <t>balsamico</t>
  </si>
  <si>
    <t>020050070001</t>
  </si>
  <si>
    <t>Balsamico bianco</t>
  </si>
  <si>
    <t>020050070002</t>
  </si>
  <si>
    <t>Aceto balsamico</t>
  </si>
  <si>
    <t>02005099</t>
  </si>
  <si>
    <t>Andre Dressing &amp; Dip</t>
  </si>
  <si>
    <t>020050990001</t>
  </si>
  <si>
    <t>Grønnsakspasta</t>
  </si>
  <si>
    <t>02006</t>
  </si>
  <si>
    <t>oil</t>
  </si>
  <si>
    <t>02006001</t>
  </si>
  <si>
    <t>olive oil</t>
  </si>
  <si>
    <t>020060010001</t>
  </si>
  <si>
    <t>Extra virgin olive oil</t>
  </si>
  <si>
    <t>020060010002</t>
  </si>
  <si>
    <t>Sansa olive oil</t>
  </si>
  <si>
    <t>02099</t>
  </si>
  <si>
    <t>Andre Smaksforsterkere</t>
  </si>
  <si>
    <t>02099099</t>
  </si>
  <si>
    <t>Krutonger</t>
  </si>
  <si>
    <t>020990990002</t>
  </si>
  <si>
    <t>Andre smaksforsterkere</t>
  </si>
  <si>
    <t>03</t>
  </si>
  <si>
    <t>Salater</t>
  </si>
  <si>
    <t>03001</t>
  </si>
  <si>
    <t>03001001</t>
  </si>
  <si>
    <t>Potetsalat</t>
  </si>
  <si>
    <t>030010010001</t>
  </si>
  <si>
    <t>Marine Salater</t>
  </si>
  <si>
    <t>Kjøtt / Veg. Salater</t>
  </si>
  <si>
    <t>Fruktsalater</t>
  </si>
  <si>
    <t>030010010099</t>
  </si>
  <si>
    <t>Andre mb salater</t>
  </si>
  <si>
    <t>03001002</t>
  </si>
  <si>
    <t>03002</t>
  </si>
  <si>
    <t>Kjøttpålegg</t>
  </si>
  <si>
    <t>03002001</t>
  </si>
  <si>
    <t>03003</t>
  </si>
  <si>
    <t>Søte pålegg</t>
  </si>
  <si>
    <t>03003001</t>
  </si>
  <si>
    <t>Syltetøy / honning</t>
  </si>
  <si>
    <t>Syltetøy lavkalori</t>
  </si>
  <si>
    <t>030030010002</t>
  </si>
  <si>
    <t>Syltetøy</t>
  </si>
  <si>
    <t>Honning</t>
  </si>
  <si>
    <t>03003099</t>
  </si>
  <si>
    <t>Andre søte pålegg</t>
  </si>
  <si>
    <t>030030990099</t>
  </si>
  <si>
    <t>03004</t>
  </si>
  <si>
    <t>Marine pålegg</t>
  </si>
  <si>
    <t>03004001</t>
  </si>
  <si>
    <t>Sild</t>
  </si>
  <si>
    <t>030040010001</t>
  </si>
  <si>
    <t>Sild Hele</t>
  </si>
  <si>
    <t>Sild Filet</t>
  </si>
  <si>
    <t>Sild i Biter</t>
  </si>
  <si>
    <t>030040010004</t>
  </si>
  <si>
    <t>Kippers</t>
  </si>
  <si>
    <t>030040010005</t>
  </si>
  <si>
    <t>Sild Coctail</t>
  </si>
  <si>
    <t>03004002</t>
  </si>
  <si>
    <t>Makrell</t>
  </si>
  <si>
    <t>030040020001</t>
  </si>
  <si>
    <t>Makrell Filet</t>
  </si>
  <si>
    <t>Makrell Andre</t>
  </si>
  <si>
    <t>03004003</t>
  </si>
  <si>
    <t>Sardiner</t>
  </si>
  <si>
    <t>030040030001</t>
  </si>
  <si>
    <t>Baltiske sardiner</t>
  </si>
  <si>
    <t>030040030002</t>
  </si>
  <si>
    <t>Brisling sardiner</t>
  </si>
  <si>
    <t>030040030003</t>
  </si>
  <si>
    <t>Sild sardiner</t>
  </si>
  <si>
    <t>030040030004</t>
  </si>
  <si>
    <t>Skinn-/benløse sardiner</t>
  </si>
  <si>
    <t>03004004</t>
  </si>
  <si>
    <t>Tunfisk</t>
  </si>
  <si>
    <t>030040040001</t>
  </si>
  <si>
    <t>Tunfisk hel</t>
  </si>
  <si>
    <t>030040040002</t>
  </si>
  <si>
    <t>Tunfisk stykker</t>
  </si>
  <si>
    <t>030040040003</t>
  </si>
  <si>
    <t>Tunfisk filet</t>
  </si>
  <si>
    <t>030040040004</t>
  </si>
  <si>
    <t>Tunfisk m/aroma</t>
  </si>
  <si>
    <t>03004005</t>
  </si>
  <si>
    <t>Fiske salat</t>
  </si>
  <si>
    <t>030040050001</t>
  </si>
  <si>
    <t>030040050002</t>
  </si>
  <si>
    <t>Paprykarz</t>
  </si>
  <si>
    <t>030040050003</t>
  </si>
  <si>
    <t>Pasta</t>
  </si>
  <si>
    <t>03004006</t>
  </si>
  <si>
    <t>Torskeprodukter</t>
  </si>
  <si>
    <t>030040060001</t>
  </si>
  <si>
    <t>Torskelever</t>
  </si>
  <si>
    <t>030040060002</t>
  </si>
  <si>
    <t>Torskeleverpate</t>
  </si>
  <si>
    <t>030040060003</t>
  </si>
  <si>
    <t>Torskerogn</t>
  </si>
  <si>
    <t>030040060099</t>
  </si>
  <si>
    <t>Torsk andre</t>
  </si>
  <si>
    <t>03004007</t>
  </si>
  <si>
    <t>Laks</t>
  </si>
  <si>
    <t>030040070001</t>
  </si>
  <si>
    <t>Laksefilet</t>
  </si>
  <si>
    <t>030040070099</t>
  </si>
  <si>
    <t>Laks andre</t>
  </si>
  <si>
    <t>03004008</t>
  </si>
  <si>
    <t>Ansjos</t>
  </si>
  <si>
    <t>030040080001</t>
  </si>
  <si>
    <t>Ansjos flat</t>
  </si>
  <si>
    <t>030040080002</t>
  </si>
  <si>
    <t>Ansjos rullet</t>
  </si>
  <si>
    <t>03004009</t>
  </si>
  <si>
    <t>Kaviar</t>
  </si>
  <si>
    <t>030040090001</t>
  </si>
  <si>
    <t>03004010</t>
  </si>
  <si>
    <t>Crab-Sticks</t>
  </si>
  <si>
    <t>030040100001</t>
  </si>
  <si>
    <t>03004011</t>
  </si>
  <si>
    <t>Pate</t>
  </si>
  <si>
    <t>030040110001</t>
  </si>
  <si>
    <t>03004099</t>
  </si>
  <si>
    <t>Andre Sjømat</t>
  </si>
  <si>
    <t>030040990001</t>
  </si>
  <si>
    <t>Karpe</t>
  </si>
  <si>
    <t>030040990002</t>
  </si>
  <si>
    <t>Flyndre</t>
  </si>
  <si>
    <t>Andre sjømat</t>
  </si>
  <si>
    <t>03099</t>
  </si>
  <si>
    <t>Andre salater</t>
  </si>
  <si>
    <t>03099099</t>
  </si>
  <si>
    <t>Andre Salater</t>
  </si>
  <si>
    <t>030990990001</t>
  </si>
  <si>
    <t>Andre pålegg</t>
  </si>
  <si>
    <t>04</t>
  </si>
  <si>
    <t>Måltider</t>
  </si>
  <si>
    <t>04001</t>
  </si>
  <si>
    <t>* Kits</t>
  </si>
  <si>
    <t>04001001</t>
  </si>
  <si>
    <t>040010010001</t>
  </si>
  <si>
    <t>* Lasagne</t>
  </si>
  <si>
    <t>04002</t>
  </si>
  <si>
    <t>Suppe</t>
  </si>
  <si>
    <t>04002001</t>
  </si>
  <si>
    <t>* Middagssuppe</t>
  </si>
  <si>
    <t>040020010001</t>
  </si>
  <si>
    <t>* Tradisjonelle Supper</t>
  </si>
  <si>
    <t>04002002</t>
  </si>
  <si>
    <t>Middagssupper</t>
  </si>
  <si>
    <t>Kjøtt suppe</t>
  </si>
  <si>
    <t>Fiske suppe</t>
  </si>
  <si>
    <t>Kylling suppe</t>
  </si>
  <si>
    <t>Tomatsuppe</t>
  </si>
  <si>
    <t>Grønnsak suppe</t>
  </si>
  <si>
    <t>Belgfrukt suppe</t>
  </si>
  <si>
    <t>040020020007</t>
  </si>
  <si>
    <t>Gulasj</t>
  </si>
  <si>
    <t>040020020008</t>
  </si>
  <si>
    <t>Dumpling</t>
  </si>
  <si>
    <t>Kremet andre</t>
  </si>
  <si>
    <t>040020020010</t>
  </si>
  <si>
    <t>Andre Middags Supper</t>
  </si>
  <si>
    <t>04002003</t>
  </si>
  <si>
    <t>* Ferdig Supper</t>
  </si>
  <si>
    <t>040020030001</t>
  </si>
  <si>
    <t>* Konserverte Supper</t>
  </si>
  <si>
    <t>04002004</t>
  </si>
  <si>
    <t>Suppe basis</t>
  </si>
  <si>
    <t>040020040001</t>
  </si>
  <si>
    <t>Pastøse supper</t>
  </si>
  <si>
    <t>04002099</t>
  </si>
  <si>
    <t>Andre Supper</t>
  </si>
  <si>
    <t>040020990001</t>
  </si>
  <si>
    <t>Andre supper</t>
  </si>
  <si>
    <t>04003</t>
  </si>
  <si>
    <t>Tilbehør</t>
  </si>
  <si>
    <t>04003001</t>
  </si>
  <si>
    <t>Spagetti</t>
  </si>
  <si>
    <t>040030010002</t>
  </si>
  <si>
    <t>Makaroni</t>
  </si>
  <si>
    <t>Formet makaroni korte</t>
  </si>
  <si>
    <t>Formet makaroni lange</t>
  </si>
  <si>
    <t>Formet makaroni plater</t>
  </si>
  <si>
    <t>04003002</t>
  </si>
  <si>
    <t>Potetprodukter</t>
  </si>
  <si>
    <t>Potetstappe</t>
  </si>
  <si>
    <t>Gratinerte poteter</t>
  </si>
  <si>
    <t>Raspeballer / dumplings</t>
  </si>
  <si>
    <t>040030020004</t>
  </si>
  <si>
    <t>Dumpling andre</t>
  </si>
  <si>
    <t>040030020005</t>
  </si>
  <si>
    <t>Potet andre</t>
  </si>
  <si>
    <t>04003003</t>
  </si>
  <si>
    <t>Stuinger</t>
  </si>
  <si>
    <t>Stuinger andre</t>
  </si>
  <si>
    <t>04003004</t>
  </si>
  <si>
    <t>Ris</t>
  </si>
  <si>
    <t>Ris normal</t>
  </si>
  <si>
    <t>Ris hurtig</t>
  </si>
  <si>
    <t>Grøt ris (rundkornet)</t>
  </si>
  <si>
    <t>040030040004</t>
  </si>
  <si>
    <t>Ris m/aroma</t>
  </si>
  <si>
    <t>Ris etnisk</t>
  </si>
  <si>
    <t>040030040006</t>
  </si>
  <si>
    <t>Ris other</t>
  </si>
  <si>
    <t>04003005</t>
  </si>
  <si>
    <t>Belgfrukter</t>
  </si>
  <si>
    <t>040030050001</t>
  </si>
  <si>
    <t>Linser</t>
  </si>
  <si>
    <t>040030050002</t>
  </si>
  <si>
    <t>Bønner</t>
  </si>
  <si>
    <t>040030050003</t>
  </si>
  <si>
    <t>Erter</t>
  </si>
  <si>
    <t>040030050004</t>
  </si>
  <si>
    <t>Belgfrukter andre</t>
  </si>
  <si>
    <t>04003006</t>
  </si>
  <si>
    <t>Grønnsaker</t>
  </si>
  <si>
    <t>040030060001</t>
  </si>
  <si>
    <t>04003007</t>
  </si>
  <si>
    <t>Salat</t>
  </si>
  <si>
    <t>04003099</t>
  </si>
  <si>
    <t>Andre Tilbehør</t>
  </si>
  <si>
    <t>04004</t>
  </si>
  <si>
    <t>Middagsretter</t>
  </si>
  <si>
    <t>04004001</t>
  </si>
  <si>
    <t>Gryter</t>
  </si>
  <si>
    <t>Hermetiske Grønnsak- &amp; Kjøttretter</t>
  </si>
  <si>
    <t>040040010003</t>
  </si>
  <si>
    <t>Fix</t>
  </si>
  <si>
    <t>040040010004</t>
  </si>
  <si>
    <t>Saus</t>
  </si>
  <si>
    <t>040040010005</t>
  </si>
  <si>
    <t>Kits</t>
  </si>
  <si>
    <t>04004002</t>
  </si>
  <si>
    <t>Lasagne</t>
  </si>
  <si>
    <t>040040020002</t>
  </si>
  <si>
    <t>Mousaka</t>
  </si>
  <si>
    <t>040040020003</t>
  </si>
  <si>
    <t>Pizza kits</t>
  </si>
  <si>
    <t>040040020004</t>
  </si>
  <si>
    <t>Wrap kits</t>
  </si>
  <si>
    <t>Etniske andre kits</t>
  </si>
  <si>
    <t>Andre kits</t>
  </si>
  <si>
    <t>04004003</t>
  </si>
  <si>
    <t>Grøt</t>
  </si>
  <si>
    <t>Ris grøt</t>
  </si>
  <si>
    <t>Rømmegrøt</t>
  </si>
  <si>
    <t>040040030003</t>
  </si>
  <si>
    <t>Korn grøt</t>
  </si>
  <si>
    <t>040040030004</t>
  </si>
  <si>
    <t>Annen grøt</t>
  </si>
  <si>
    <t>04004004</t>
  </si>
  <si>
    <t>* Middagshermetikk</t>
  </si>
  <si>
    <t>04004005</t>
  </si>
  <si>
    <t>* Wraps</t>
  </si>
  <si>
    <t>04004006</t>
  </si>
  <si>
    <t>Hoved måltidsingrediens</t>
  </si>
  <si>
    <t>Fylt Pasta</t>
  </si>
  <si>
    <t>Fylte Ruller</t>
  </si>
  <si>
    <t>Fisk</t>
  </si>
  <si>
    <t>040040060004</t>
  </si>
  <si>
    <t>Kjøtt</t>
  </si>
  <si>
    <t>040040060005</t>
  </si>
  <si>
    <t>Kylling / Kalkun</t>
  </si>
  <si>
    <t>04004007</t>
  </si>
  <si>
    <t>Ris retter</t>
  </si>
  <si>
    <t>040040070001</t>
  </si>
  <si>
    <t>Risotto</t>
  </si>
  <si>
    <t>04004008</t>
  </si>
  <si>
    <t>Pasta retter</t>
  </si>
  <si>
    <t>Pastaretter</t>
  </si>
  <si>
    <t>04004099</t>
  </si>
  <si>
    <t>Andre Middagsretter</t>
  </si>
  <si>
    <t>040040990001</t>
  </si>
  <si>
    <t>* Ferdige Sauser m/kjøtt</t>
  </si>
  <si>
    <t>04005</t>
  </si>
  <si>
    <t>Komplette Middagsretter</t>
  </si>
  <si>
    <t>04005001</t>
  </si>
  <si>
    <t>Ovns basert komplette retter</t>
  </si>
  <si>
    <t>Andre ovnsbakte komplette retter</t>
  </si>
  <si>
    <t>04005002</t>
  </si>
  <si>
    <t>Panne baserte komplette retter</t>
  </si>
  <si>
    <t>040050020001</t>
  </si>
  <si>
    <t>040050020002</t>
  </si>
  <si>
    <t>Andre panne baserte måltider</t>
  </si>
  <si>
    <t>04005003</t>
  </si>
  <si>
    <t>Risgrøt</t>
  </si>
  <si>
    <t>04005004</t>
  </si>
  <si>
    <t>Gryteretter</t>
  </si>
  <si>
    <t>04005005</t>
  </si>
  <si>
    <t>Supper</t>
  </si>
  <si>
    <t>040050050001</t>
  </si>
  <si>
    <t>Kjøttsuppe</t>
  </si>
  <si>
    <t>040050050002</t>
  </si>
  <si>
    <t>040050050003</t>
  </si>
  <si>
    <t>040050050004</t>
  </si>
  <si>
    <t>04005008</t>
  </si>
  <si>
    <t>04006</t>
  </si>
  <si>
    <t>Frokostretter Basis</t>
  </si>
  <si>
    <t>04006001</t>
  </si>
  <si>
    <t>04099</t>
  </si>
  <si>
    <t>Andre Måltider</t>
  </si>
  <si>
    <t>04099001</t>
  </si>
  <si>
    <t>Spreads</t>
  </si>
  <si>
    <t>040990010001</t>
  </si>
  <si>
    <t>040990010002</t>
  </si>
  <si>
    <t>Lard</t>
  </si>
  <si>
    <t>05</t>
  </si>
  <si>
    <t>Desserer</t>
  </si>
  <si>
    <t>05001</t>
  </si>
  <si>
    <t>Dessert Tilbehør</t>
  </si>
  <si>
    <t>05001001</t>
  </si>
  <si>
    <t>Flytende Dessert Saus</t>
  </si>
  <si>
    <t>Dessert sauser</t>
  </si>
  <si>
    <t>05001099</t>
  </si>
  <si>
    <t>Andre Dessert Tilbehør</t>
  </si>
  <si>
    <t>050010990001</t>
  </si>
  <si>
    <t>Topping krem erstatning</t>
  </si>
  <si>
    <t>05002</t>
  </si>
  <si>
    <t>Dessert</t>
  </si>
  <si>
    <t>05002001</t>
  </si>
  <si>
    <t>Dessert Suppe</t>
  </si>
  <si>
    <t>Dessert suppe, kokt</t>
  </si>
  <si>
    <t>05002002</t>
  </si>
  <si>
    <t>Gele</t>
  </si>
  <si>
    <t>Tradisjonell Gele</t>
  </si>
  <si>
    <t>050020020002</t>
  </si>
  <si>
    <t>Instant Gele</t>
  </si>
  <si>
    <t>05002003</t>
  </si>
  <si>
    <t>Puddinger</t>
  </si>
  <si>
    <t>050020030001</t>
  </si>
  <si>
    <t>Tradisjonelle Puddinger</t>
  </si>
  <si>
    <t>050020030002</t>
  </si>
  <si>
    <t>Instant Puddinger</t>
  </si>
  <si>
    <t>05002004</t>
  </si>
  <si>
    <t>Mousse / fromasj</t>
  </si>
  <si>
    <t>Mousse, pisket</t>
  </si>
  <si>
    <t>05002005</t>
  </si>
  <si>
    <t>Kisiel</t>
  </si>
  <si>
    <t>050020050001</t>
  </si>
  <si>
    <t>Tradisjonell Kisiel</t>
  </si>
  <si>
    <t>050020050002</t>
  </si>
  <si>
    <t>Instant Kisiel</t>
  </si>
  <si>
    <t>05002099</t>
  </si>
  <si>
    <t>Andre Dessert Pulvere</t>
  </si>
  <si>
    <t>050020990001</t>
  </si>
  <si>
    <t>Piskede Toppings</t>
  </si>
  <si>
    <t>05003</t>
  </si>
  <si>
    <t>Andre Desserter</t>
  </si>
  <si>
    <t>05003099</t>
  </si>
  <si>
    <t>050030990001</t>
  </si>
  <si>
    <t>Bokshermetisk frukt</t>
  </si>
  <si>
    <t>050030990002</t>
  </si>
  <si>
    <t>Frukt kompott</t>
  </si>
  <si>
    <t>06</t>
  </si>
  <si>
    <t>Bake Produkter</t>
  </si>
  <si>
    <t>06001</t>
  </si>
  <si>
    <t>Bake Tilbehør</t>
  </si>
  <si>
    <t>06001001</t>
  </si>
  <si>
    <t>Kake Fyll / Toppinger</t>
  </si>
  <si>
    <t>060010010001</t>
  </si>
  <si>
    <t>Kake Fyll</t>
  </si>
  <si>
    <t>Kake Glasur</t>
  </si>
  <si>
    <t>060010010003</t>
  </si>
  <si>
    <t>Kake Dekor</t>
  </si>
  <si>
    <t>06001002</t>
  </si>
  <si>
    <t>Kake ingredienser</t>
  </si>
  <si>
    <t>060010020001</t>
  </si>
  <si>
    <t>Kake Aroma</t>
  </si>
  <si>
    <t>060010020002</t>
  </si>
  <si>
    <t>Vanilje Sukker</t>
  </si>
  <si>
    <t>060010020003</t>
  </si>
  <si>
    <t>Bake Pulver</t>
  </si>
  <si>
    <t>060010020004</t>
  </si>
  <si>
    <t>Natron</t>
  </si>
  <si>
    <t>060010020005</t>
  </si>
  <si>
    <t>Sukker med flavour</t>
  </si>
  <si>
    <t>06001003</t>
  </si>
  <si>
    <t>060010030001</t>
  </si>
  <si>
    <t>Gelatin Pulver</t>
  </si>
  <si>
    <t>06001099</t>
  </si>
  <si>
    <t>Andre Bake Tilbehør</t>
  </si>
  <si>
    <t>060010990001</t>
  </si>
  <si>
    <t>06002</t>
  </si>
  <si>
    <t>Bake Blandinger</t>
  </si>
  <si>
    <t>06002001</t>
  </si>
  <si>
    <t>Kake Blandinger</t>
  </si>
  <si>
    <t>Tradisjonelle Kakeblandinger</t>
  </si>
  <si>
    <t>060020010002</t>
  </si>
  <si>
    <t>Kake Kits</t>
  </si>
  <si>
    <t>Oste Kaker</t>
  </si>
  <si>
    <t>060020010004</t>
  </si>
  <si>
    <t>Karpatka</t>
  </si>
  <si>
    <t>Muffins</t>
  </si>
  <si>
    <t>Andre kake blandinger</t>
  </si>
  <si>
    <t>06002002</t>
  </si>
  <si>
    <t>Brødblandinger</t>
  </si>
  <si>
    <t>Brødblandinger traditonal</t>
  </si>
  <si>
    <t>Pizza bunn</t>
  </si>
  <si>
    <t>06002003</t>
  </si>
  <si>
    <t>Rører</t>
  </si>
  <si>
    <t>Vaffel rører</t>
  </si>
  <si>
    <t>Pannekake rører</t>
  </si>
  <si>
    <t>060020030003</t>
  </si>
  <si>
    <t>Andre rører</t>
  </si>
  <si>
    <t>06002099</t>
  </si>
  <si>
    <t>Andre Bakeblandinger</t>
  </si>
  <si>
    <t>060020990001</t>
  </si>
  <si>
    <t>Mel</t>
  </si>
  <si>
    <t>06003</t>
  </si>
  <si>
    <t>Ferdigbakst</t>
  </si>
  <si>
    <t>06003001</t>
  </si>
  <si>
    <t>Kjeks</t>
  </si>
  <si>
    <t>060030010001</t>
  </si>
  <si>
    <t>06003002</t>
  </si>
  <si>
    <t>Kaker</t>
  </si>
  <si>
    <t>060030020001</t>
  </si>
  <si>
    <t>Sandkaker</t>
  </si>
  <si>
    <t>Formkaker</t>
  </si>
  <si>
    <t>060030020003</t>
  </si>
  <si>
    <t>Småkaker</t>
  </si>
  <si>
    <t>Andre Kaker</t>
  </si>
  <si>
    <t>06003003</t>
  </si>
  <si>
    <t>Pannekake</t>
  </si>
  <si>
    <t>060030030001</t>
  </si>
  <si>
    <t>06003004</t>
  </si>
  <si>
    <t>Sukkerbrødkake</t>
  </si>
  <si>
    <t>060030040001</t>
  </si>
  <si>
    <t>Vanlig Sukkerbrødkake</t>
  </si>
  <si>
    <t>060030040002</t>
  </si>
  <si>
    <t>Kits Sukkerbrødkake</t>
  </si>
  <si>
    <t>06003005</t>
  </si>
  <si>
    <t>Lefse</t>
  </si>
  <si>
    <t>060030050001</t>
  </si>
  <si>
    <t>Tacos</t>
  </si>
  <si>
    <t>Tortillas / Wraps</t>
  </si>
  <si>
    <t>06003006</t>
  </si>
  <si>
    <t>Smurt lefse</t>
  </si>
  <si>
    <t>06003007</t>
  </si>
  <si>
    <t>Krem / Konfektkake</t>
  </si>
  <si>
    <t>060030070002</t>
  </si>
  <si>
    <t>Dessert pie cakes</t>
  </si>
  <si>
    <t>06003008</t>
  </si>
  <si>
    <t>Rullekake</t>
  </si>
  <si>
    <t>060030080001</t>
  </si>
  <si>
    <t>06003009</t>
  </si>
  <si>
    <t>060030090001</t>
  </si>
  <si>
    <t>06003099</t>
  </si>
  <si>
    <t>Andre Ferdigkaker</t>
  </si>
  <si>
    <t>060030990001</t>
  </si>
  <si>
    <t>Snack Cakes</t>
  </si>
  <si>
    <t>06099</t>
  </si>
  <si>
    <t>Andre Bake Produkter</t>
  </si>
  <si>
    <t>06099099</t>
  </si>
  <si>
    <t>060990990001</t>
  </si>
  <si>
    <t>Drops</t>
  </si>
  <si>
    <t>07</t>
  </si>
  <si>
    <t>Snacks</t>
  </si>
  <si>
    <t>07001</t>
  </si>
  <si>
    <t>Nøtter</t>
  </si>
  <si>
    <t>07001001</t>
  </si>
  <si>
    <t>Vanlige Peanøtter</t>
  </si>
  <si>
    <t>070010010001</t>
  </si>
  <si>
    <t>Urensede peanutter</t>
  </si>
  <si>
    <t>070010010002</t>
  </si>
  <si>
    <t>Saltet peanøtter</t>
  </si>
  <si>
    <t>070010010003</t>
  </si>
  <si>
    <t>Smakstilsatte peanøtter</t>
  </si>
  <si>
    <t>07001002</t>
  </si>
  <si>
    <t>Pistasje Nøtter</t>
  </si>
  <si>
    <t>070010020001</t>
  </si>
  <si>
    <t>Pistasje nøtter</t>
  </si>
  <si>
    <t>07001003</t>
  </si>
  <si>
    <t>Cashewi Nøtter</t>
  </si>
  <si>
    <t>070010030001</t>
  </si>
  <si>
    <t>Cahew nøtter</t>
  </si>
  <si>
    <t>07001099</t>
  </si>
  <si>
    <t>Andre Peanøtter</t>
  </si>
  <si>
    <t>070010990001</t>
  </si>
  <si>
    <t>Andre peanøtter</t>
  </si>
  <si>
    <t>07002</t>
  </si>
  <si>
    <t>Saltstenger</t>
  </si>
  <si>
    <t>07002001</t>
  </si>
  <si>
    <t>070020010001</t>
  </si>
  <si>
    <t>07002002</t>
  </si>
  <si>
    <t>Saltstenger m/Aroma</t>
  </si>
  <si>
    <t>070020020001</t>
  </si>
  <si>
    <t>Saltstenger m/Krydder</t>
  </si>
  <si>
    <t>070020020002</t>
  </si>
  <si>
    <t>Saltstenger m/Valmuefrø</t>
  </si>
  <si>
    <t>07002099</t>
  </si>
  <si>
    <t>Andre Saltstenger</t>
  </si>
  <si>
    <t>07099</t>
  </si>
  <si>
    <t>Andre Snacks</t>
  </si>
  <si>
    <t>07099099</t>
  </si>
  <si>
    <t>Potet chips</t>
  </si>
  <si>
    <t>070990990001</t>
  </si>
  <si>
    <t>Nachos</t>
  </si>
  <si>
    <t>08</t>
  </si>
  <si>
    <t>Sjømat KO</t>
  </si>
  <si>
    <t>08001</t>
  </si>
  <si>
    <t>Hermetisk Sjømat</t>
  </si>
  <si>
    <t>08001001</t>
  </si>
  <si>
    <t>080010010001</t>
  </si>
  <si>
    <t>080010010003</t>
  </si>
  <si>
    <t>Sild Stykker</t>
  </si>
  <si>
    <t>080010010004</t>
  </si>
  <si>
    <t>Sild Coctails</t>
  </si>
  <si>
    <t>08001002</t>
  </si>
  <si>
    <t>080010020001</t>
  </si>
  <si>
    <t>08001003</t>
  </si>
  <si>
    <t>080010030001</t>
  </si>
  <si>
    <t>Baltiske Sardiner</t>
  </si>
  <si>
    <t>Brisling Sardiner</t>
  </si>
  <si>
    <t>080010030003</t>
  </si>
  <si>
    <t>Silde Sardiner</t>
  </si>
  <si>
    <t>080010030004</t>
  </si>
  <si>
    <t>Skinn/Benløse Sardiner</t>
  </si>
  <si>
    <t>08001004</t>
  </si>
  <si>
    <t>080010040001</t>
  </si>
  <si>
    <t>Ren Tunfisk</t>
  </si>
  <si>
    <t>080010040002</t>
  </si>
  <si>
    <t>Blandet Tunfisk</t>
  </si>
  <si>
    <t>080010040003</t>
  </si>
  <si>
    <t>Lagvis Tunfisk</t>
  </si>
  <si>
    <t>080010040004</t>
  </si>
  <si>
    <t>Krydret Tunfisk</t>
  </si>
  <si>
    <t>08001005</t>
  </si>
  <si>
    <t>Fiskesalater</t>
  </si>
  <si>
    <t>080010050001</t>
  </si>
  <si>
    <t>Fiskesalat</t>
  </si>
  <si>
    <t>080010050002</t>
  </si>
  <si>
    <t>080010050003</t>
  </si>
  <si>
    <t>08001006</t>
  </si>
  <si>
    <t>080010060001</t>
  </si>
  <si>
    <t>Torskelever Pate</t>
  </si>
  <si>
    <t>080010060099</t>
  </si>
  <si>
    <t>Torsk Andre</t>
  </si>
  <si>
    <t>08001007</t>
  </si>
  <si>
    <t>080010070001</t>
  </si>
  <si>
    <t>080010070099</t>
  </si>
  <si>
    <t>Laks Andre</t>
  </si>
  <si>
    <t>08001008</t>
  </si>
  <si>
    <t>080010080001</t>
  </si>
  <si>
    <t>Flat Ansjos</t>
  </si>
  <si>
    <t>080010080002</t>
  </si>
  <si>
    <t>Rull Ansjos</t>
  </si>
  <si>
    <t>08001099</t>
  </si>
  <si>
    <t>080010990001</t>
  </si>
  <si>
    <t>080010990002</t>
  </si>
  <si>
    <t>080010990003</t>
  </si>
  <si>
    <t>Panga</t>
  </si>
  <si>
    <t>080010990099</t>
  </si>
  <si>
    <t>08002</t>
  </si>
  <si>
    <t>Kjølt Sjømat</t>
  </si>
  <si>
    <t>08002001</t>
  </si>
  <si>
    <t>080020010001</t>
  </si>
  <si>
    <t>080020010002</t>
  </si>
  <si>
    <t>Fiske pålegg</t>
  </si>
  <si>
    <t>080020010003</t>
  </si>
  <si>
    <t>Kaviar pålegg</t>
  </si>
  <si>
    <t>080020010004</t>
  </si>
  <si>
    <t>Annet fiske pålegg</t>
  </si>
  <si>
    <t>08099</t>
  </si>
  <si>
    <t>08099099</t>
  </si>
  <si>
    <t>09</t>
  </si>
  <si>
    <t>Snacking</t>
  </si>
  <si>
    <t>09001</t>
  </si>
  <si>
    <t>Snacking Måltid</t>
  </si>
  <si>
    <t>09001001</t>
  </si>
  <si>
    <t>Snacking Pasta</t>
  </si>
  <si>
    <t>09001002</t>
  </si>
  <si>
    <t>Snacking Ris</t>
  </si>
  <si>
    <t>09001003</t>
  </si>
  <si>
    <t>Snacking Potet</t>
  </si>
  <si>
    <t>09001004</t>
  </si>
  <si>
    <t>Snacking Andre</t>
  </si>
  <si>
    <t>09002</t>
  </si>
  <si>
    <t>Snacking Supper</t>
  </si>
  <si>
    <t>09002001</t>
  </si>
  <si>
    <t>09003</t>
  </si>
  <si>
    <t>Snacking Nudler</t>
  </si>
  <si>
    <t>09003001</t>
  </si>
  <si>
    <t>09004</t>
  </si>
  <si>
    <t>Snacking Søtt</t>
  </si>
  <si>
    <t>09004001</t>
  </si>
  <si>
    <t>090040010001</t>
  </si>
  <si>
    <t>99</t>
  </si>
  <si>
    <t>99002</t>
  </si>
  <si>
    <t>Drikker</t>
  </si>
  <si>
    <t>99002001</t>
  </si>
  <si>
    <t>Kaffe</t>
  </si>
  <si>
    <t>99002002</t>
  </si>
  <si>
    <t>Te</t>
  </si>
  <si>
    <t>990020020001</t>
  </si>
  <si>
    <t>Te i pose</t>
  </si>
  <si>
    <t>99002003</t>
  </si>
  <si>
    <t>Sjokoladedrikk</t>
  </si>
  <si>
    <t>99002004</t>
  </si>
  <si>
    <t>Fruktdrikk</t>
  </si>
  <si>
    <t>Solbærtoddy</t>
  </si>
  <si>
    <t>99002005</t>
  </si>
  <si>
    <t>Kalde Drikker</t>
  </si>
  <si>
    <t>990020050001</t>
  </si>
  <si>
    <t>Kalde Drikkeblandinger</t>
  </si>
  <si>
    <t>99002006</t>
  </si>
  <si>
    <t>Cereal Kaffe</t>
  </si>
  <si>
    <t>990020060001</t>
  </si>
  <si>
    <t>Cereal Kaffe Tradisjonell</t>
  </si>
  <si>
    <t>990020060002</t>
  </si>
  <si>
    <t>Anatol</t>
  </si>
  <si>
    <t>990020060003</t>
  </si>
  <si>
    <t>Andre Frokosdrikker</t>
  </si>
  <si>
    <t>990020060004</t>
  </si>
  <si>
    <t>Chicory</t>
  </si>
  <si>
    <t>99002007</t>
  </si>
  <si>
    <t>Tilsetning til drikke</t>
  </si>
  <si>
    <t>990020070001</t>
  </si>
  <si>
    <t>Tilsetning til kaffe</t>
  </si>
  <si>
    <t>99002099</t>
  </si>
  <si>
    <t>Andre Drikker</t>
  </si>
  <si>
    <t>99003</t>
  </si>
  <si>
    <t>Frokost Retter</t>
  </si>
  <si>
    <t>99003001</t>
  </si>
  <si>
    <t>Frokostblandinger</t>
  </si>
  <si>
    <t>990030010001</t>
  </si>
  <si>
    <t>Ferdige Frokostblandinger</t>
  </si>
  <si>
    <t>99003099</t>
  </si>
  <si>
    <t>Andre Frokostblandinger</t>
  </si>
  <si>
    <t>990030990001</t>
  </si>
  <si>
    <t>99090</t>
  </si>
  <si>
    <t>Non-core Biprodukter</t>
  </si>
  <si>
    <t>99090001</t>
  </si>
  <si>
    <t>Sjømat Biprodukter</t>
  </si>
  <si>
    <t>99091</t>
  </si>
  <si>
    <t>Non-core Ingredienser</t>
  </si>
  <si>
    <t>99091001</t>
  </si>
  <si>
    <t>Råmaterialer</t>
  </si>
  <si>
    <t>990910010001</t>
  </si>
  <si>
    <t>99091002</t>
  </si>
  <si>
    <t>Halvfabrikata</t>
  </si>
  <si>
    <t>990910020001</t>
  </si>
  <si>
    <t>99095</t>
  </si>
  <si>
    <t>Tilleggsprodukter</t>
  </si>
  <si>
    <t>99095001</t>
  </si>
  <si>
    <t>Paller</t>
  </si>
  <si>
    <t>990950010001</t>
  </si>
  <si>
    <t>99095002</t>
  </si>
  <si>
    <t>Reklamemateriale</t>
  </si>
  <si>
    <t>99095003</t>
  </si>
  <si>
    <t>Emballasje</t>
  </si>
  <si>
    <t>990950030001</t>
  </si>
  <si>
    <t>99099</t>
  </si>
  <si>
    <t>Andre Andre</t>
  </si>
  <si>
    <t>99099001</t>
  </si>
  <si>
    <t>Mat</t>
  </si>
  <si>
    <t>99099002</t>
  </si>
  <si>
    <t>Non-Food</t>
  </si>
  <si>
    <t>99099099</t>
  </si>
  <si>
    <t>COOP MEGA</t>
  </si>
  <si>
    <t>COOP PRIX</t>
  </si>
  <si>
    <t>COOP MARKED</t>
  </si>
  <si>
    <t>COOP ANNEN DAGLIGVARE</t>
  </si>
  <si>
    <t>COOP ØVRIGE/FELLES</t>
  </si>
  <si>
    <t>X</t>
  </si>
  <si>
    <t>ICA / Ahold international</t>
  </si>
  <si>
    <t>RIMI-BUTIKKENE</t>
  </si>
  <si>
    <t>ICA NORGE AS</t>
  </si>
  <si>
    <t>ICA ØVRIGE BUTIKKER</t>
  </si>
  <si>
    <t>LIVI NÆRKJØP</t>
  </si>
  <si>
    <t>SERVICE MAT NORD</t>
  </si>
  <si>
    <t>LIVI ASSOSIERTE</t>
  </si>
  <si>
    <t>ICA NÆR BUTIKKENE</t>
  </si>
  <si>
    <t>ICA RETT HJEM</t>
  </si>
  <si>
    <t>ICA BUTIKKENE</t>
  </si>
  <si>
    <t>MEKKA HAKON DETALJ REG. BERGEN</t>
  </si>
  <si>
    <t>HERKULES GRUPPEN</t>
  </si>
  <si>
    <t>MAXI</t>
  </si>
  <si>
    <t>FOKUS VEST HAKON GRUPPEN</t>
  </si>
  <si>
    <t>NETTO HAKON DET.REG NORD</t>
  </si>
  <si>
    <t>Norgesgruppen Internasional</t>
  </si>
  <si>
    <t>H.K. (HEDMARK KJØPM)</t>
  </si>
  <si>
    <t>ULTRA CENTRA</t>
  </si>
  <si>
    <t>BUNNPRIS</t>
  </si>
  <si>
    <t>CC MARTN AS</t>
  </si>
  <si>
    <t>PRICE CLUB NORGE AS</t>
  </si>
  <si>
    <t>DRAGESET SUPER SPAR AS</t>
  </si>
  <si>
    <t>SAFARI AS</t>
  </si>
  <si>
    <t>NORGESGRUPPEN ENKELTSTÅENDE</t>
  </si>
  <si>
    <t>BIKUBEN DRIFT AS</t>
  </si>
  <si>
    <t>MENY AS</t>
  </si>
  <si>
    <t>NÆRMAT</t>
  </si>
  <si>
    <t>EVENSEN &amp; LORENTZEN</t>
  </si>
  <si>
    <t>KJØPMANNSKJED. VEST</t>
  </si>
  <si>
    <t>KIWI NORGE AS</t>
  </si>
  <si>
    <t>SPAR ASSOSIERTE/ØVR.</t>
  </si>
  <si>
    <t>NÆRKJØPMENN UPROFILERTE</t>
  </si>
  <si>
    <t>SPAR BUTIKKENE</t>
  </si>
  <si>
    <t>BUTIKKRINGEN ØSTLANDET AS</t>
  </si>
  <si>
    <t>JOKER</t>
  </si>
  <si>
    <t>LØNNE</t>
  </si>
  <si>
    <t>AKA BUTIKKENE</t>
  </si>
  <si>
    <t>EUROSPAR BUTIKKENE</t>
  </si>
  <si>
    <t>NÆRBUTIKKEN</t>
  </si>
  <si>
    <t>FAKTA-KJEDEN</t>
  </si>
  <si>
    <t>SAFARI-BUTIKKENE</t>
  </si>
  <si>
    <t>FOKUS VEST A/L HORDALAND</t>
  </si>
  <si>
    <t>PRIMA</t>
  </si>
  <si>
    <t>HK KJEDEN HEDMARK KJØPMENN</t>
  </si>
  <si>
    <t>SERVICE BUTIKK H.K.</t>
  </si>
  <si>
    <t>REMA International</t>
  </si>
  <si>
    <t>REMA 1000 BUTIKKENE</t>
  </si>
  <si>
    <t>REMA STORMARKED</t>
  </si>
  <si>
    <t>REMA B-SORTIMENT FIKTIV</t>
  </si>
  <si>
    <t>OFFENTLIG SEKTOR</t>
  </si>
  <si>
    <t>OS - Fylkeskommuner</t>
  </si>
  <si>
    <t>ØSTFOLD FYLKESKOMMUNE</t>
  </si>
  <si>
    <t>AKERSHUS FYLKESKOMMUNE</t>
  </si>
  <si>
    <t>HEDMARK / OPPLAND FYLKESKOMMUNE</t>
  </si>
  <si>
    <t>BUSKERUD FYLKESKOMMUNE</t>
  </si>
  <si>
    <t>VESTFOLD FYLKESKOMMUNE</t>
  </si>
  <si>
    <t>TELEMARK FYLKESKOMMUNE</t>
  </si>
  <si>
    <t>AUST-AGDER FYLKESKOMMUNE</t>
  </si>
  <si>
    <t>VEST-AGDER FYLKESKOMMUNE</t>
  </si>
  <si>
    <t>ROGALAND FYLKESKOMMUNE</t>
  </si>
  <si>
    <t>HORDALAND FYLKESKOMMUNE</t>
  </si>
  <si>
    <t>SOGN OG FJORDANE FYLKESKOMMUNE</t>
  </si>
  <si>
    <t>MØRE OG ROMSDAL FYLKESKOMMUNE</t>
  </si>
  <si>
    <t>SØR-TRØNDELAG / NORD-TRØNDELAG FYLK</t>
  </si>
  <si>
    <t>NORDLAND FYLKESKOMMUNE</t>
  </si>
  <si>
    <t>TROMS FYLKESKOMMUNE</t>
  </si>
  <si>
    <t>FINNMARK FYLKESKOMMUNE</t>
  </si>
  <si>
    <t>HELSE NORD</t>
  </si>
  <si>
    <t>HELSE ØST</t>
  </si>
  <si>
    <t>HELSE SØR</t>
  </si>
  <si>
    <t>HELSE MIDT NORGE</t>
  </si>
  <si>
    <t>OS - Bykommuner</t>
  </si>
  <si>
    <t>FREDRIKSTAD KOMMUNE</t>
  </si>
  <si>
    <t>BERGEN KOMMUNE</t>
  </si>
  <si>
    <t>OSLO KOMMUNE</t>
  </si>
  <si>
    <t>KONGSVINGER KOMMUNE</t>
  </si>
  <si>
    <t>KONGSBERG KOMMUNE</t>
  </si>
  <si>
    <t>KRISTIANSAND KOMMUNE</t>
  </si>
  <si>
    <t>BODØ KOMMUNE</t>
  </si>
  <si>
    <t>OS - Div.institusjoner</t>
  </si>
  <si>
    <t>FENGSELSVESENET</t>
  </si>
  <si>
    <t>OS - Forsvaret</t>
  </si>
  <si>
    <t>FORSVARET ØST</t>
  </si>
  <si>
    <t>FORSVARET VEST</t>
  </si>
  <si>
    <t>FORSVARET TRØNDELAG</t>
  </si>
  <si>
    <t>FORSVARET NORD-NORGE</t>
  </si>
  <si>
    <t>Helse Vest</t>
  </si>
  <si>
    <t>KANTINEOPERATØRER OG CATERINGBEDRIF</t>
  </si>
  <si>
    <t>KC - Regionale kantiner</t>
  </si>
  <si>
    <t>CHALK GRUPPEN</t>
  </si>
  <si>
    <t>ISS CATERING, OSLO</t>
  </si>
  <si>
    <t>SODEXHO CATER</t>
  </si>
  <si>
    <t>ROARS KANTINETJENESTE A/S, OSLO</t>
  </si>
  <si>
    <t>GRESS-GRUPPEN</t>
  </si>
  <si>
    <t>GRØDEGÅRD</t>
  </si>
  <si>
    <t>SERVERINGSPARTNER</t>
  </si>
  <si>
    <t>AMICA AS</t>
  </si>
  <si>
    <t>GRESSGRUPPEN  GRESS NETT</t>
  </si>
  <si>
    <t>ELITE SERVICEPARTNER</t>
  </si>
  <si>
    <t>KANTINER, STUDENTSAMSKIPNADER OG SK</t>
  </si>
  <si>
    <t>KSS - Regionale kantiner</t>
  </si>
  <si>
    <t>KANTINEGRUPPEN NORGE</t>
  </si>
  <si>
    <t>MANPOWER</t>
  </si>
  <si>
    <t>NORSK HYDRO</t>
  </si>
  <si>
    <t>KANTINERINGEN</t>
  </si>
  <si>
    <t>PROCURO SERVICEPARTNER</t>
  </si>
  <si>
    <t>KSS - Lokale kantiner</t>
  </si>
  <si>
    <t>SAGA PETROLEUM 1 OG 2</t>
  </si>
  <si>
    <t>WILSERVICE</t>
  </si>
  <si>
    <t>KSS - Studentsamskipnaden</t>
  </si>
  <si>
    <t>STUDENTSAMSKIPNADENE I NORGE</t>
  </si>
  <si>
    <t>TRAFIKKSELSKAPER OG REDERIER</t>
  </si>
  <si>
    <t>TR - Rederier</t>
  </si>
  <si>
    <t>HURTIGRUTENE</t>
  </si>
  <si>
    <t>FYLKESBÅTANE I SOGN OG FJORDANE</t>
  </si>
  <si>
    <t>COLOR LINE</t>
  </si>
  <si>
    <t>HOTELL OG RESTAURANTER / KAFÈER</t>
  </si>
  <si>
    <t>HR - Regionale kjeder</t>
  </si>
  <si>
    <t>BEST WESTERN HOTELS NORWAY</t>
  </si>
  <si>
    <t>UMO CATERING</t>
  </si>
  <si>
    <t>KYSTEN RUNDT / NIRINGEN</t>
  </si>
  <si>
    <t>HAKON MENY INNKJØP A/S</t>
  </si>
  <si>
    <t>Servicegrossistene</t>
  </si>
  <si>
    <t>SAMKJØPSGRUPPEN A/S, TRONDHEIM</t>
  </si>
  <si>
    <t>BY THE WAY</t>
  </si>
  <si>
    <t>NORES A/L</t>
  </si>
  <si>
    <t>KINSARVIK FJORDHOTELL</t>
  </si>
  <si>
    <t>SERVERINGSRINGEN</t>
  </si>
  <si>
    <t>COOP AVTALEKUNDER MINDRE KJEDER</t>
  </si>
  <si>
    <t>GILBERG KJØTTOMSETNING</t>
  </si>
  <si>
    <t>REISELIVSCOMPAGNIET</t>
  </si>
  <si>
    <t>KRISTEN-NORGES INNKJØPSFELLESSKAP</t>
  </si>
  <si>
    <t>SCANDIC HOTEL</t>
  </si>
  <si>
    <t>FIRST HOTEL</t>
  </si>
  <si>
    <t>SYSTEMKJØP BA</t>
  </si>
  <si>
    <t>RBL INNKJØPSRING / FOS / NHRF</t>
  </si>
  <si>
    <t>KONSUMGRUPPEN</t>
  </si>
  <si>
    <t>CHOISE HOTELS</t>
  </si>
  <si>
    <t>NORGESGRUPPEN STORHUSHOLDNING INNKJ</t>
  </si>
  <si>
    <t>I.M.S. KJEDEN</t>
  </si>
  <si>
    <t>CE-KJEDEN</t>
  </si>
  <si>
    <t>KONSMO`S AGENTUR</t>
  </si>
  <si>
    <t>DE 3 STUER</t>
  </si>
  <si>
    <t>NORGESGRUPPEN  BUTIKKER</t>
  </si>
  <si>
    <t>BROBEKK / KJØRBEKK STORCASH</t>
  </si>
  <si>
    <t>ASKO KJELDSBERG STORCASH</t>
  </si>
  <si>
    <t>FORUS STORCASH</t>
  </si>
  <si>
    <t>ASKO HANNEVIK STORCASH</t>
  </si>
  <si>
    <t>STORCASH, ROGALAND</t>
  </si>
  <si>
    <t>HR - Lokale bedrifter</t>
  </si>
  <si>
    <t>BOLKESJØ TURSITHOTELL</t>
  </si>
  <si>
    <t>MYKLEGÅRD VEISERVICE</t>
  </si>
  <si>
    <t>KRISTIANSAND DYREPARK</t>
  </si>
  <si>
    <t>MULTI FOOD AS</t>
  </si>
  <si>
    <t>FAST FOOD / GATEKJØKKEN</t>
  </si>
  <si>
    <t>FG - Lokale bedrifter</t>
  </si>
  <si>
    <t>SNADDERKIOSKEN, KRISTIANSAND</t>
  </si>
  <si>
    <t>SKIPSHANDLERE, DIV KUNDER, GEBYRER</t>
  </si>
  <si>
    <t>Skipshandlere</t>
  </si>
  <si>
    <t>STEFFENSEN SKIPS A/S, ÅLESUND</t>
  </si>
  <si>
    <t>NORSK OFFSHORE, KRÆMER &amp; GIERTSEN</t>
  </si>
  <si>
    <t>NORSK OFFSHORE, FRED.HANSEN &amp; KAADA</t>
  </si>
  <si>
    <t>NORSK OFFSHORE, D.DANIELSEN</t>
  </si>
  <si>
    <t>NORSK OFFSHORE, TP ENGROS</t>
  </si>
  <si>
    <t>NORSK OFFSHORE, SAFARI ENGROS DA</t>
  </si>
  <si>
    <t>EURO SUPPLY</t>
  </si>
  <si>
    <t>SJUR LOTHE SKIPSHANDEL</t>
  </si>
  <si>
    <t>NORSK OFFSHORE, TORGERSEN</t>
  </si>
  <si>
    <t>NORSK OFFSHORE, P. NYGAARD</t>
  </si>
  <si>
    <t>NORSK OFFSHORE, ASKO HANNEVIK</t>
  </si>
  <si>
    <t>NORSK OFFSHORE, ASKO ROGALAND</t>
  </si>
  <si>
    <t>NORSK OFFSHORE, DANCERT KROHN A.S.</t>
  </si>
  <si>
    <t>NORSK OFFSHORE, ASKO KJELDSBERG</t>
  </si>
  <si>
    <t>GIERTSEN (Asko Nord)</t>
  </si>
  <si>
    <t>Diverse kunder, gebyrer og varestat</t>
  </si>
  <si>
    <t>DIVERSE KUNDER</t>
  </si>
  <si>
    <t>ICA Supermarked</t>
  </si>
  <si>
    <t>ICA Nær</t>
  </si>
  <si>
    <t>Bergen Kokkenes Mesterlaug</t>
  </si>
  <si>
    <t>Multi Food As</t>
  </si>
  <si>
    <t>Andre Norge</t>
  </si>
  <si>
    <t>Andre Norden</t>
  </si>
  <si>
    <t>Smart Club Norge</t>
  </si>
  <si>
    <t>Smart Club Norden</t>
  </si>
  <si>
    <t>Color line Norge</t>
  </si>
  <si>
    <t>Color Line international</t>
  </si>
  <si>
    <t>Grossistringen Norge</t>
  </si>
  <si>
    <t>Grossistringen international</t>
  </si>
  <si>
    <t>Europris Norge</t>
  </si>
  <si>
    <t>Europris International</t>
  </si>
  <si>
    <t>COOP Norge</t>
  </si>
  <si>
    <t>ICA Norge</t>
  </si>
  <si>
    <t>Menigo FS Norge</t>
  </si>
  <si>
    <t>Norgesgruppen Norge</t>
  </si>
  <si>
    <t>REMA Norge</t>
  </si>
  <si>
    <t>Lidl Norge</t>
  </si>
  <si>
    <t>LIDL International</t>
  </si>
  <si>
    <t>Andre Øst</t>
  </si>
  <si>
    <t>Andre Nord</t>
  </si>
  <si>
    <t>Smart Club East</t>
  </si>
  <si>
    <t>Smart Club West</t>
  </si>
  <si>
    <t>Color Line Øst</t>
  </si>
  <si>
    <t>Color Line Vest</t>
  </si>
  <si>
    <t>Grossistringen Øst</t>
  </si>
  <si>
    <t>Grossistringen Vest</t>
  </si>
  <si>
    <t>Europris Øst</t>
  </si>
  <si>
    <t>Europris Vest</t>
  </si>
  <si>
    <t>COOP ØST</t>
  </si>
  <si>
    <t>COOP Vest</t>
  </si>
  <si>
    <t>COOP Nord</t>
  </si>
  <si>
    <t>ICA Distr ØST</t>
  </si>
  <si>
    <t>ICA Distr Vest</t>
  </si>
  <si>
    <t>ICA Distr Nord</t>
  </si>
  <si>
    <t>Menigo FS Øst</t>
  </si>
  <si>
    <t>Menigo FS Vest</t>
  </si>
  <si>
    <t>Menigo FS Nord</t>
  </si>
  <si>
    <t>NG ØST</t>
  </si>
  <si>
    <t>NG Vest</t>
  </si>
  <si>
    <t>NG Nord</t>
  </si>
  <si>
    <t>REMA ØST</t>
  </si>
  <si>
    <t>REMA Vest</t>
  </si>
  <si>
    <t>REMA Nord</t>
  </si>
  <si>
    <t>LIDL Øst</t>
  </si>
  <si>
    <t>LIDL Vest</t>
  </si>
  <si>
    <t>LIDL Nord</t>
  </si>
  <si>
    <t>Coop Norge Handel AS</t>
  </si>
  <si>
    <t>Sjur Lothe Skipsh. AS KONKURS MARS</t>
  </si>
  <si>
    <t>Selboe &amp; Aasebø AS</t>
  </si>
  <si>
    <t>Østlandets Engros AS</t>
  </si>
  <si>
    <t>ICA Norge AS Logistikk</t>
  </si>
  <si>
    <t>Menigo Foodservice avd. Trondheim.</t>
  </si>
  <si>
    <t>Menigo Foodservice, avd. Oslo</t>
  </si>
  <si>
    <t>Menigo Foodservice, avd. Bergen</t>
  </si>
  <si>
    <t>Ica Meny Sør A/s Kristians.</t>
  </si>
  <si>
    <t>Menigo Foodservice Norge AS</t>
  </si>
  <si>
    <t>Asko Vest AS, avd. Storhusholdning</t>
  </si>
  <si>
    <t>Lidl Norge NUF</t>
  </si>
  <si>
    <t>Rema Distr. Norge AS, Molde</t>
  </si>
  <si>
    <t>Smart Club Alnabru (Coop)</t>
  </si>
  <si>
    <t>Smart Club  Trondheim (Coop)</t>
  </si>
  <si>
    <t>Smart Club Råde (Coop)</t>
  </si>
  <si>
    <t>Smart Club Slependen (Coop)</t>
  </si>
  <si>
    <t>Helios Distribusjon AS Konk. mai 08</t>
  </si>
  <si>
    <t>Pals  A/S</t>
  </si>
  <si>
    <t>Konsmos Agentur v/Finn Konsmo</t>
  </si>
  <si>
    <t>Jonassen &amp; Compani A/s</t>
  </si>
  <si>
    <t>Matglede As</t>
  </si>
  <si>
    <t>Handelshuset Nærbakst As</t>
  </si>
  <si>
    <t>Kristiania Brød Gourmet AS</t>
  </si>
  <si>
    <t>Kraemer Maritime Vest AS</t>
  </si>
  <si>
    <t>Henskjold H.I., Eftf. As</t>
  </si>
  <si>
    <t>Solberg &amp; Hansen As</t>
  </si>
  <si>
    <t>Alna Margarinfabrik  As</t>
  </si>
  <si>
    <t>Matpartner As</t>
  </si>
  <si>
    <t>Personalbutikk Denja</t>
  </si>
  <si>
    <t>Personalbutikk Rieber Elverum</t>
  </si>
  <si>
    <t>Bakers National</t>
  </si>
  <si>
    <t>Bakers International</t>
  </si>
  <si>
    <t>Nortura Nasjonal</t>
  </si>
  <si>
    <t>Nortura Internasjonal</t>
  </si>
  <si>
    <t>Findus National</t>
  </si>
  <si>
    <t>Findus International</t>
  </si>
  <si>
    <t>Krone/Finsbråten National</t>
  </si>
  <si>
    <t>Krone/Finsbråten Int. Dummy</t>
  </si>
  <si>
    <t>Mills National</t>
  </si>
  <si>
    <t>Mills International</t>
  </si>
  <si>
    <t>NOPO National</t>
  </si>
  <si>
    <t>NOPO International</t>
  </si>
  <si>
    <t>Orkla National</t>
  </si>
  <si>
    <t>ORKLA International</t>
  </si>
  <si>
    <t>GRILSTAD National</t>
  </si>
  <si>
    <t>GRILSTAD Internationl</t>
  </si>
  <si>
    <t>Tine National</t>
  </si>
  <si>
    <t>TINE International</t>
  </si>
  <si>
    <t>Trønder/Jær National</t>
  </si>
  <si>
    <t>Trønder/Jær International</t>
  </si>
  <si>
    <t>Bakers Regional</t>
  </si>
  <si>
    <t>Findus Regional</t>
  </si>
  <si>
    <t>Krone/Finsbråten Regional</t>
  </si>
  <si>
    <t>Mills Regional</t>
  </si>
  <si>
    <t>NOPO Regional</t>
  </si>
  <si>
    <t>GRILSTAD Regional</t>
  </si>
  <si>
    <t>Tine Reginonal</t>
  </si>
  <si>
    <t>Trønder/Jær regional</t>
  </si>
  <si>
    <t>Singsås Bakeri AS</t>
  </si>
  <si>
    <t>Bakers avd. Berthas Bakeri</t>
  </si>
  <si>
    <t>Nortura SA Sogndal</t>
  </si>
  <si>
    <t>Nortura SA Lillehammer</t>
  </si>
  <si>
    <t>Nortura BA avd. Tønsberg</t>
  </si>
  <si>
    <t>Nortura BA avd. Forus</t>
  </si>
  <si>
    <t>Nortura BA avd. Trondheim</t>
  </si>
  <si>
    <t>Nortura BA Avd. Bardufoss</t>
  </si>
  <si>
    <t>Nortura BA avd. Rudshøgda</t>
  </si>
  <si>
    <t>Nortura SA Tynset</t>
  </si>
  <si>
    <t>Nortura BA avd. Gol</t>
  </si>
  <si>
    <t>Nortura BA   Avd. Eidsvåg</t>
  </si>
  <si>
    <t>Nortura BA avd. Sarpsborg</t>
  </si>
  <si>
    <t>Terina As, avd.  Namsos</t>
  </si>
  <si>
    <t>Nortura BA  avd. Harstad</t>
  </si>
  <si>
    <t>Gro Industrier AS Avd. Brummundal</t>
  </si>
  <si>
    <t>Gro Industrier As</t>
  </si>
  <si>
    <t>Gro Industr. Avd Grimstad</t>
  </si>
  <si>
    <t>Gro Industrier Avd. Lier</t>
  </si>
  <si>
    <t>Krone Kjøttprodukter AS</t>
  </si>
  <si>
    <t>Finsbråten As</t>
  </si>
  <si>
    <t>Mills Da Oslo</t>
  </si>
  <si>
    <t>Mills DA Drammen</t>
  </si>
  <si>
    <t>Mills Da  Avd. Lillehammer</t>
  </si>
  <si>
    <t>Hoff Norske Potetindustri SA Avd. S</t>
  </si>
  <si>
    <t>Hoff SA</t>
  </si>
  <si>
    <t>Hoff Sundnes Brenneri</t>
  </si>
  <si>
    <t>Stabburet A/S, Råbekken</t>
  </si>
  <si>
    <t>Stabburet A/s Stranda Kyrkjegt.</t>
  </si>
  <si>
    <t>Stabburet As Idun</t>
  </si>
  <si>
    <t>Stabburet Brumunddal</t>
  </si>
  <si>
    <t>Stabburet As Avd. Gressvig</t>
  </si>
  <si>
    <t>Stabburet AS Vigrestad</t>
  </si>
  <si>
    <t>Spis AS, Avd. Gjøvik</t>
  </si>
  <si>
    <t>Spis Oppdal AS</t>
  </si>
  <si>
    <t>Spis As Brumunddal</t>
  </si>
  <si>
    <t>Tine Meieriet Øst Ba</t>
  </si>
  <si>
    <t>Tine Midt-Norge Elnesvågen</t>
  </si>
  <si>
    <t>Tine Meieriet Vest BA</t>
  </si>
  <si>
    <t>Tine Meieriet Nord BA</t>
  </si>
  <si>
    <t>Trønderkylling As</t>
  </si>
  <si>
    <t>Nestle National</t>
  </si>
  <si>
    <t>Nestle International</t>
  </si>
  <si>
    <t>IFF National</t>
  </si>
  <si>
    <t>Campbell National</t>
  </si>
  <si>
    <t>Campbell International</t>
  </si>
  <si>
    <t>Dera National</t>
  </si>
  <si>
    <t>DERA International</t>
  </si>
  <si>
    <t>Heinz National</t>
  </si>
  <si>
    <t>Heinz International</t>
  </si>
  <si>
    <t>Givaudan National</t>
  </si>
  <si>
    <t>Givaudan International</t>
  </si>
  <si>
    <t>Symrise National</t>
  </si>
  <si>
    <t>Symrise International</t>
  </si>
  <si>
    <t>Hügli National</t>
  </si>
  <si>
    <t>Hügli International</t>
  </si>
  <si>
    <t>Saarioinen National</t>
  </si>
  <si>
    <t>Saarioinen International</t>
  </si>
  <si>
    <t>EAC National</t>
  </si>
  <si>
    <t>EAC International</t>
  </si>
  <si>
    <t>Blinken Foredling A/s</t>
  </si>
  <si>
    <t>Kerry/Mastertaste International</t>
  </si>
  <si>
    <t>Kraft National</t>
  </si>
  <si>
    <t>Kraft International</t>
  </si>
  <si>
    <t>Gallina Blanca/Pasa National</t>
  </si>
  <si>
    <t>Gallina Blanca/Pasa International</t>
  </si>
  <si>
    <t>Nestle Regional</t>
  </si>
  <si>
    <t>Campbell Regional</t>
  </si>
  <si>
    <t>Dera Regional</t>
  </si>
  <si>
    <t>Heinz Regional</t>
  </si>
  <si>
    <t>Givaudan Regional</t>
  </si>
  <si>
    <t>Symrise Regional</t>
  </si>
  <si>
    <t>Hügli Regional</t>
  </si>
  <si>
    <t>Saarioinen Regional</t>
  </si>
  <si>
    <t>EAC Regional</t>
  </si>
  <si>
    <t>Kerry/Mastertaste Regional</t>
  </si>
  <si>
    <t>Kraft Regional</t>
  </si>
  <si>
    <t>Gallina Blanca/Pasa Regional</t>
  </si>
  <si>
    <t>SK</t>
  </si>
  <si>
    <t>Nestle Slovensko S.r.o.</t>
  </si>
  <si>
    <t>AT</t>
  </si>
  <si>
    <t>Nestle Østerreich Gmbh</t>
  </si>
  <si>
    <t>BR</t>
  </si>
  <si>
    <t>Nestle Brasil Ltda</t>
  </si>
  <si>
    <t>NL</t>
  </si>
  <si>
    <t>IFF Intr. Flavours &amp; Fragrance</t>
  </si>
  <si>
    <t>AU</t>
  </si>
  <si>
    <t>Iff (Australia) Pty Ltd.</t>
  </si>
  <si>
    <t>CN</t>
  </si>
  <si>
    <t>IFF (China) Ltd.</t>
  </si>
  <si>
    <t>PH</t>
  </si>
  <si>
    <t>Iff (Philippines) Inc.</t>
  </si>
  <si>
    <t>SE</t>
  </si>
  <si>
    <t>IFF Norden AB</t>
  </si>
  <si>
    <t>BE</t>
  </si>
  <si>
    <t>Campbell Foods Belgium Nv</t>
  </si>
  <si>
    <t>Dera Food Technology</t>
  </si>
  <si>
    <t>CZ</t>
  </si>
  <si>
    <t>Dera Czech Production s.r.o.</t>
  </si>
  <si>
    <t>Heinz Belgium  H. J.</t>
  </si>
  <si>
    <t>H. J. Heinz BV</t>
  </si>
  <si>
    <t>Givaudan do Brasil Ltda</t>
  </si>
  <si>
    <t>CH</t>
  </si>
  <si>
    <t>Givaudan Schweiz AG</t>
  </si>
  <si>
    <t>Givaudan Roure B.v.</t>
  </si>
  <si>
    <t>SG</t>
  </si>
  <si>
    <t>Symrise Asia Pacific Pte Ltd.</t>
  </si>
  <si>
    <t>Symrise Shanghai Ltd.</t>
  </si>
  <si>
    <t>DE</t>
  </si>
  <si>
    <t>Symrise Gmbh &amp; Co. Kg.</t>
  </si>
  <si>
    <t>Hügli Nahrmittel Ag</t>
  </si>
  <si>
    <t>HÜGLI FOOD s.r.o.</t>
  </si>
  <si>
    <t>FI</t>
  </si>
  <si>
    <t>Ruoka - Saarioinen Oy</t>
  </si>
  <si>
    <t>Saarioisten Sailyke Oy</t>
  </si>
  <si>
    <t>ID</t>
  </si>
  <si>
    <t>PT. EAC Indonesia</t>
  </si>
  <si>
    <t>MY</t>
  </si>
  <si>
    <t>EAC Industrial Ingredients Sdn Bhd</t>
  </si>
  <si>
    <t>VN</t>
  </si>
  <si>
    <t>Nam Giang Comm. and Services Ltd.,C</t>
  </si>
  <si>
    <t>Kerry Ingredients BV</t>
  </si>
  <si>
    <t>US</t>
  </si>
  <si>
    <t>Mastertaste</t>
  </si>
  <si>
    <t>IT</t>
  </si>
  <si>
    <t>Kerry Ingredients&amp;Flavours Italia S</t>
  </si>
  <si>
    <t>LT</t>
  </si>
  <si>
    <t>AB Kraft Foods Lietuva</t>
  </si>
  <si>
    <t>UA</t>
  </si>
  <si>
    <t>CJSJ Kraft Foods Ukraina</t>
  </si>
  <si>
    <t>ES</t>
  </si>
  <si>
    <t>Gallina Blanca S.a.</t>
  </si>
  <si>
    <t>Pasa  Preparados Alimenticios S.a.</t>
  </si>
  <si>
    <t>Hussalg / Kantine Elverum</t>
  </si>
  <si>
    <t>Hussalg / Kantine Norge</t>
  </si>
  <si>
    <t>Hussalg / Kantine Larvik</t>
  </si>
  <si>
    <t>Hussalg / Kantine Arna</t>
  </si>
  <si>
    <t>Kantine Toro Arna</t>
  </si>
  <si>
    <t>Kantine  Rieber Elverum</t>
  </si>
  <si>
    <t>Norsk Storkjøkken Engros As Avd.fle</t>
  </si>
  <si>
    <t>Norsk Storkj. Engr.  Avd Holmefjord</t>
  </si>
  <si>
    <t>Storkjøkken Grossisten Vestfold As</t>
  </si>
  <si>
    <t>Carl Evensen Eftf. AS</t>
  </si>
  <si>
    <t>Gilberg Engros Menypartner As</t>
  </si>
  <si>
    <t>Matkammeret As</t>
  </si>
  <si>
    <t>Kantine  Nøstegt. 58</t>
  </si>
  <si>
    <t>Idun Industri As Skjetten</t>
  </si>
  <si>
    <t>Nortura BA avd. Haugesund</t>
  </si>
  <si>
    <t>Spis Hemsedal AS</t>
  </si>
  <si>
    <t>Symrise Aromas e Fragrâncias Ltda</t>
  </si>
  <si>
    <t>Nestle Philippines Inc.</t>
  </si>
  <si>
    <t>Campbell Soup Sweden AB</t>
  </si>
  <si>
    <t>Spis AS avd. Vest</t>
  </si>
  <si>
    <t>Nestle Venray B.v.</t>
  </si>
  <si>
    <t>Scan National</t>
  </si>
  <si>
    <t>Scan International</t>
  </si>
  <si>
    <t>Scan Regional</t>
  </si>
  <si>
    <t>Scan AB</t>
  </si>
  <si>
    <t>Smart Club. Ekspress Kolbotn(Coop)</t>
  </si>
  <si>
    <t>Kantine Bøe Lefsebakeri</t>
  </si>
  <si>
    <t>Europris A/S</t>
  </si>
  <si>
    <t>ICA  Sør</t>
  </si>
  <si>
    <t>REMA Sør</t>
  </si>
  <si>
    <t>NG Sør</t>
  </si>
  <si>
    <t>COOP Sør</t>
  </si>
  <si>
    <t>Asko Rogaland AS, Avd. Forus</t>
  </si>
  <si>
    <t>Ica Distribusjon A/s, Arendal</t>
  </si>
  <si>
    <t>Smart Club Express Bislett (Coop)</t>
  </si>
  <si>
    <t>Kantine Rieber Denja</t>
  </si>
  <si>
    <t>Smart Club Eks. Skedsmokorset(Coop)</t>
  </si>
  <si>
    <t>Stabburet Rygge</t>
  </si>
  <si>
    <t>Nortura Hærland</t>
  </si>
  <si>
    <t>Stjernekylling AS</t>
  </si>
  <si>
    <t>Tine Meierriet Øst Trysil</t>
  </si>
  <si>
    <t>Nortura avd. Revetal</t>
  </si>
  <si>
    <t>Findus Norge AS</t>
  </si>
  <si>
    <t>Findus Norge AS avd. Larvik</t>
  </si>
  <si>
    <t>Nortura Rakkestad</t>
  </si>
  <si>
    <t>Asko Øst AS GLNR 7080000995189</t>
  </si>
  <si>
    <t>Grilstad AS Avd. Gjøvik</t>
  </si>
  <si>
    <t>Grilstad AS</t>
  </si>
  <si>
    <t>Asko Sentrallager AS</t>
  </si>
  <si>
    <t>Sunnmøre Engros As</t>
  </si>
  <si>
    <t>Orkla Regional</t>
  </si>
  <si>
    <t>Tine SA</t>
  </si>
  <si>
    <t>Furuset Engros AS</t>
  </si>
  <si>
    <t>SG Øst</t>
  </si>
  <si>
    <t>Servicegrossistene Nasjonal</t>
  </si>
  <si>
    <t>Service grosisstene International</t>
  </si>
  <si>
    <t>IFF Regional</t>
  </si>
  <si>
    <t>IFF International</t>
  </si>
  <si>
    <t>Andre Vest</t>
  </si>
  <si>
    <t>Nortura Regional</t>
  </si>
  <si>
    <t>SG Vest</t>
  </si>
  <si>
    <t>Saarioinen Oy</t>
  </si>
  <si>
    <t>Staples Norway</t>
  </si>
  <si>
    <t>Staples International</t>
  </si>
  <si>
    <t>Emo AS</t>
  </si>
  <si>
    <t>Staples Nordic AS</t>
  </si>
  <si>
    <t>Spesialgrossisten(NSG)Internasjonal</t>
  </si>
  <si>
    <t>Spesialgrossisten(NSG)Norge</t>
  </si>
  <si>
    <t>Agenter Smaks salater Norge</t>
  </si>
  <si>
    <t>Agenter Smaks salater Internasjonal</t>
  </si>
  <si>
    <t>Spesialgrossisten Slyngstadli AS</t>
  </si>
  <si>
    <t>Spesialgros. Slyngstadli  Måløy</t>
  </si>
  <si>
    <t>Tor Hodnes Eftf. AS</t>
  </si>
  <si>
    <t>Spesialgrossisten Troye  As</t>
  </si>
  <si>
    <t>Spesialgrossisten Årheim AS</t>
  </si>
  <si>
    <t>UNIL NORGE</t>
  </si>
  <si>
    <t>UNIL Internasjonal</t>
  </si>
  <si>
    <t>UserID</t>
  </si>
  <si>
    <t>VariantID</t>
  </si>
  <si>
    <t>SheetName</t>
  </si>
  <si>
    <t>TableName</t>
  </si>
  <si>
    <t>Seq</t>
  </si>
  <si>
    <t>PivotElement</t>
  </si>
  <si>
    <t>SourceName</t>
  </si>
  <si>
    <t>ColumnGrand</t>
  </si>
  <si>
    <t>RowGrand</t>
  </si>
  <si>
    <t>DisplayErrorString</t>
  </si>
  <si>
    <t>TableStart</t>
  </si>
  <si>
    <t>FieldList</t>
  </si>
  <si>
    <t>MissingItems</t>
  </si>
  <si>
    <t>SaveData</t>
  </si>
  <si>
    <t>ShowDrillIndicators</t>
  </si>
  <si>
    <t>Caption</t>
  </si>
  <si>
    <t>Name</t>
  </si>
  <si>
    <t>NumberFormat</t>
  </si>
  <si>
    <t>Orientation</t>
  </si>
  <si>
    <t>Formula</t>
  </si>
  <si>
    <t>CurrentPage</t>
  </si>
  <si>
    <t>CpSourceName</t>
  </si>
  <si>
    <t>PivotItems</t>
  </si>
  <si>
    <t>Visible</t>
  </si>
  <si>
    <t>AutoSortOrder</t>
  </si>
  <si>
    <t>AutoSortField</t>
  </si>
  <si>
    <t>SubTotals</t>
  </si>
  <si>
    <t>Function</t>
  </si>
  <si>
    <t>Calculation</t>
  </si>
  <si>
    <t>BaseField</t>
  </si>
  <si>
    <t>BaseItem</t>
  </si>
  <si>
    <t>Position</t>
  </si>
  <si>
    <t>(All)</t>
  </si>
  <si>
    <t>Gross</t>
  </si>
  <si>
    <t>Default</t>
  </si>
  <si>
    <t>NOAR</t>
  </si>
  <si>
    <t>Ver.</t>
  </si>
  <si>
    <t>TLType</t>
  </si>
  <si>
    <t>Group</t>
  </si>
  <si>
    <t>GrC</t>
  </si>
  <si>
    <t>Prod.Vers.Locked</t>
  </si>
  <si>
    <t>Node</t>
  </si>
  <si>
    <t>Counter</t>
  </si>
  <si>
    <t>ObjectID</t>
  </si>
  <si>
    <t>Work ctr</t>
  </si>
  <si>
    <t>Clt</t>
  </si>
  <si>
    <t>Typ</t>
  </si>
  <si>
    <t>MRPC</t>
  </si>
  <si>
    <t>MRPpr</t>
  </si>
  <si>
    <t>Pl</t>
  </si>
  <si>
    <t>LS</t>
  </si>
  <si>
    <t>PrCtr</t>
  </si>
  <si>
    <t>Costing Lot Size</t>
  </si>
  <si>
    <t>Prof.</t>
  </si>
  <si>
    <t>Short description</t>
  </si>
  <si>
    <t>Valid from2</t>
  </si>
  <si>
    <t>00.00.0000</t>
  </si>
  <si>
    <t>ZD</t>
  </si>
  <si>
    <t>A001</t>
  </si>
  <si>
    <t>ST</t>
  </si>
  <si>
    <t>Work Center</t>
  </si>
  <si>
    <t>Default_Test</t>
  </si>
  <si>
    <t>WC</t>
  </si>
  <si>
    <t>Plnd order</t>
  </si>
  <si>
    <t>PrPn</t>
  </si>
  <si>
    <t>Procurement proposal type</t>
  </si>
  <si>
    <t>Ord.quantity</t>
  </si>
  <si>
    <t>Reqmt Qty</t>
  </si>
  <si>
    <t>PlPl</t>
  </si>
  <si>
    <t>Part. lot qty</t>
  </si>
  <si>
    <t>Scrap</t>
  </si>
  <si>
    <t>PSc</t>
  </si>
  <si>
    <t>OrderStart</t>
  </si>
  <si>
    <t>Total Value</t>
  </si>
  <si>
    <t>Crcy</t>
  </si>
  <si>
    <t>MovAvgPrice</t>
  </si>
  <si>
    <t>Standard price</t>
  </si>
  <si>
    <t>per</t>
  </si>
  <si>
    <t>Crt Plan Price</t>
  </si>
  <si>
    <t>BUn2</t>
  </si>
  <si>
    <t>BUn3</t>
  </si>
  <si>
    <t>BUn4</t>
  </si>
  <si>
    <t>BUn5</t>
  </si>
  <si>
    <t>Valid from6</t>
  </si>
  <si>
    <t>BUn7</t>
  </si>
  <si>
    <t>Crcy8</t>
  </si>
  <si>
    <t>Crcy9</t>
  </si>
  <si>
    <t>Crcy10</t>
  </si>
  <si>
    <t>LA</t>
  </si>
  <si>
    <t>Bearnaisesaus Økonomi 4ps 12esk</t>
  </si>
  <si>
    <t>Maskin T - Messanin B</t>
  </si>
  <si>
    <t>Price</t>
  </si>
  <si>
    <t>Material Number</t>
  </si>
  <si>
    <t>Production Version To Be Costed</t>
  </si>
  <si>
    <t>Deletion date</t>
  </si>
  <si>
    <t>Valid-From Date</t>
  </si>
  <si>
    <t>Task List Type</t>
  </si>
  <si>
    <t>Key for Task List Group</t>
  </si>
  <si>
    <t>Group Counter</t>
  </si>
  <si>
    <t>Production version is locked</t>
  </si>
  <si>
    <t>Number of the task list node</t>
  </si>
  <si>
    <t>Internal counter</t>
  </si>
  <si>
    <t>Object ID</t>
  </si>
  <si>
    <t>Work center</t>
  </si>
  <si>
    <t>Flag Material for Deletion at Client Level</t>
  </si>
  <si>
    <t>Material description in upper case for matchcodes</t>
  </si>
  <si>
    <t>Cross-Plant Material Status</t>
  </si>
  <si>
    <t>Object types of the CIM resource</t>
  </si>
  <si>
    <t>MRP Controller (Materials Planner)</t>
  </si>
  <si>
    <t>Material: MRP profile</t>
  </si>
  <si>
    <t>Flag Material for Deletion at Plant Level</t>
  </si>
  <si>
    <t>Lot size (materials planning)</t>
  </si>
  <si>
    <t>Production scheduler</t>
  </si>
  <si>
    <t>Lot Size for Product Costing</t>
  </si>
  <si>
    <t>Base Unit of Measure</t>
  </si>
  <si>
    <t>Range of coverage profile</t>
  </si>
  <si>
    <t>Per.block</t>
  </si>
  <si>
    <t>Fiscal year/period block</t>
  </si>
  <si>
    <t>Quantity</t>
  </si>
  <si>
    <t>Budget Quantity in BUM</t>
  </si>
  <si>
    <t>Total Valuated Stock</t>
  </si>
  <si>
    <t>Value of Total Valuated Stock</t>
  </si>
  <si>
    <t>Currency of the data record</t>
  </si>
  <si>
    <t>Moving Average Price/Periodic Unit Price</t>
  </si>
  <si>
    <t>Comparison price unit</t>
  </si>
  <si>
    <t>Current Planned Price</t>
  </si>
  <si>
    <t>Budget quantity x moving average price</t>
  </si>
  <si>
    <t>Work Center Number and Description</t>
  </si>
  <si>
    <t>Material Number and Description</t>
  </si>
  <si>
    <t>Test if the material had the actual work center as it's default resource</t>
  </si>
  <si>
    <t>Items</t>
  </si>
  <si>
    <t>Counter of Pivot Table Items behind the row summary (Double Click to view all Items)</t>
  </si>
  <si>
    <t>- Optimizes your lot sizes on chosen Work Center.</t>
  </si>
  <si>
    <t>- Get typically between 5-10 % lower stock values with the same number of</t>
  </si>
  <si>
    <t xml:space="preserve">  change overs in the production.</t>
  </si>
  <si>
    <t>- Simulate changes in number of change overs and coverage profile (safety stock).</t>
  </si>
  <si>
    <t>- For persons in charge of maintaining lot sizes, an automatic SAP update is possible.</t>
  </si>
  <si>
    <t>- When adding new products to a work center lot size optimization, please</t>
  </si>
  <si>
    <t xml:space="preserve">  remember to create proper production versions in SAP.</t>
  </si>
  <si>
    <t>- This optimized lot size calculation is developed in Rieber, and not commonly known.</t>
  </si>
  <si>
    <t xml:space="preserve">  This file should therefor not be distributed to anyone not employed in Rieber.</t>
  </si>
  <si>
    <t>Sum av Ord.quantity</t>
  </si>
  <si>
    <t>Sum av Value</t>
  </si>
  <si>
    <t xml:space="preserve">LS </t>
  </si>
  <si>
    <t xml:space="preserve">Lot Size </t>
  </si>
  <si>
    <t>000900 Bearnaisesaus Økonomi 4ps 12esk</t>
  </si>
  <si>
    <t>Share</t>
  </si>
  <si>
    <t>Set new number of Change Overs</t>
  </si>
  <si>
    <t>Estimate Current Safety Stock</t>
  </si>
  <si>
    <t>Set new Safety Stock</t>
  </si>
  <si>
    <t>Totals</t>
  </si>
  <si>
    <t>Budget Quantity</t>
  </si>
  <si>
    <t>Standard  Budget Stock Price Value</t>
  </si>
  <si>
    <t>Current Lot Size Work Days</t>
  </si>
  <si>
    <t>Costing Lot Size PCEs</t>
  </si>
  <si>
    <t>Calcuated number of  Change Overs</t>
  </si>
  <si>
    <t>Avgerage Lot Size Stock Value</t>
  </si>
  <si>
    <t>Avgerage Total Stock Value</t>
  </si>
  <si>
    <t>New Lot Size WD</t>
  </si>
  <si>
    <t>Temp1</t>
  </si>
  <si>
    <t>New Change Overs</t>
  </si>
  <si>
    <t>New Costing Lot Size PCEs</t>
  </si>
  <si>
    <t>New Avgerage Lot Size Stock Value</t>
  </si>
  <si>
    <t>New Avgerage Total Stock Value</t>
  </si>
  <si>
    <t xml:space="preserve">Value </t>
  </si>
  <si>
    <t xml:space="preserve">Total Stock </t>
  </si>
  <si>
    <t xml:space="preserve">Total Value </t>
  </si>
  <si>
    <t xml:space="preserve">MovAvgPrice </t>
  </si>
  <si>
    <t xml:space="preserve">Crt Plan Price </t>
  </si>
  <si>
    <t>All Materials and Work Centers for selected Material Type</t>
  </si>
  <si>
    <t>Data</t>
  </si>
  <si>
    <t>Version</t>
  </si>
  <si>
    <t>Lot Size</t>
  </si>
  <si>
    <t xml:space="preserve">Costing Lot Size </t>
  </si>
  <si>
    <t xml:space="preserve">Prof. </t>
  </si>
  <si>
    <t>Default Total</t>
  </si>
  <si>
    <t>Rieber Optimized Lot Size Calculation</t>
  </si>
  <si>
    <t>Lot Sizes</t>
  </si>
  <si>
    <t>ReportCaption1</t>
  </si>
  <si>
    <t>ReportCaption2</t>
  </si>
  <si>
    <t>Språktekst</t>
  </si>
  <si>
    <t>Materialtekst</t>
  </si>
  <si>
    <t>Materialtypetekst</t>
  </si>
  <si>
    <t>Fabrikktekst</t>
  </si>
  <si>
    <t>PI</t>
  </si>
  <si>
    <t>Mtyp</t>
  </si>
  <si>
    <t>23.03.2007</t>
  </si>
  <si>
    <t>31.12.9999</t>
  </si>
  <si>
    <t>P3</t>
  </si>
  <si>
    <t>Norsk</t>
  </si>
  <si>
    <t>Hverdagsfavoritter Nugatti Max</t>
  </si>
  <si>
    <t>Ferdigvare OFN Pricat</t>
  </si>
  <si>
    <t>Råbekken</t>
  </si>
  <si>
    <t>N/50001541/1</t>
  </si>
  <si>
    <t>N</t>
  </si>
  <si>
    <t>Hold-It og Toast</t>
  </si>
  <si>
    <t>5959/FR00/FR01</t>
  </si>
  <si>
    <t>Ikke tilordnet</t>
  </si>
  <si>
    <t>Hverdagsfavoritt Linje</t>
  </si>
  <si>
    <t>Konvertering</t>
  </si>
  <si>
    <t>ZFER</t>
  </si>
  <si>
    <t>N/50001541/2</t>
  </si>
  <si>
    <t>Flowpack 2604</t>
  </si>
  <si>
    <t>FR00</t>
  </si>
  <si>
    <t>FR00/FR6021</t>
  </si>
  <si>
    <t>FR00/FR6002</t>
  </si>
  <si>
    <t>Wctekst</t>
  </si>
  <si>
    <t>Språk</t>
  </si>
  <si>
    <t>WCKode</t>
  </si>
  <si>
    <t>5959 Hverdagsfavoritter Nugatti Max</t>
  </si>
  <si>
    <t>FR6021 Hverdagsfavoritt Linje</t>
  </si>
  <si>
    <t>FR6002 Flowpack 2604</t>
  </si>
  <si>
    <t>Optional</t>
  </si>
  <si>
    <t>OrgProf.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</si>
</sst>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#,##0.0\ %;[Red]\-#,##0.0\ %"/>
    <numFmt numFmtId="165" formatCode="#,##0\ %;[Red]\-#,##0\ %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222222"/>
      <name val="Arial"/>
      <family val="2"/>
    </font>
    <font>
      <b/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indexed="8"/>
      <name val="Arial"/>
      <family val="2"/>
    </font>
    <font>
      <b/>
      <i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name val="Arial"/>
      <family val="2"/>
    </font>
    <font>
      <b/>
      <sz val="10"/>
      <name val="Arial"/>
      <family val="2"/>
    </font>
    <font>
      <b/>
      <sz val="10"/>
      <color indexed="52"/>
      <name val="Arial"/>
      <family val="2"/>
    </font>
    <font>
      <sz val="10"/>
      <color indexed="17"/>
      <name val="Arial"/>
      <family val="2"/>
    </font>
    <font>
      <sz val="10"/>
      <color indexed="62"/>
      <name val="Arial"/>
      <family val="2"/>
    </font>
    <font>
      <sz val="10"/>
      <color indexed="52"/>
      <name val="Arial"/>
      <family val="2"/>
    </font>
    <font>
      <sz val="11"/>
      <color indexed="8"/>
      <name val="Calibri"/>
      <family val="2"/>
    </font>
    <font>
      <sz val="10"/>
      <color indexed="10"/>
      <name val="Arial"/>
      <family val="2"/>
    </font>
    <font>
      <sz val="8"/>
      <color indexed="81"/>
      <name val="Tahoma"/>
      <family val="2"/>
    </font>
  </fonts>
  <fills count="14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indexed="22"/>
      </patternFill>
    </fill>
    <fill>
      <patternFill patternType="solid">
        <fgColor indexed="42"/>
      </patternFill>
    </fill>
    <fill>
      <patternFill patternType="solid">
        <fgColor indexed="47"/>
      </patternFill>
    </fill>
    <fill>
      <patternFill patternType="solid">
        <fgColor indexed="26"/>
      </patternFill>
    </fill>
    <fill>
      <patternFill patternType="solid">
        <fgColor indexed="5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</fills>
  <borders count="32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64"/>
      </top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/>
      <right/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5"/>
      </left>
      <right/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5"/>
      </left>
      <right/>
      <top style="thin">
        <color indexed="64"/>
      </top>
      <bottom style="thick">
        <color indexed="64"/>
      </bottom>
      <diagonal/>
    </border>
    <border>
      <left style="thin">
        <color indexed="8"/>
      </left>
      <right/>
      <top style="thin">
        <color indexed="64"/>
      </top>
      <bottom style="thick">
        <color indexed="64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9"/>
      </left>
      <right/>
      <top style="thin">
        <color indexed="9"/>
      </top>
      <bottom style="thin">
        <color indexed="63"/>
      </bottom>
      <diagonal/>
    </border>
    <border>
      <left/>
      <right/>
      <top style="thin">
        <color indexed="9"/>
      </top>
      <bottom style="thin">
        <color indexed="63"/>
      </bottom>
      <diagonal/>
    </border>
    <border>
      <left style="thin">
        <color indexed="9"/>
      </left>
      <right style="thin">
        <color indexed="63"/>
      </right>
      <top style="thin">
        <color indexed="9"/>
      </top>
      <bottom style="thin">
        <color indexed="63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/>
      <right style="thin">
        <color indexed="9"/>
      </right>
      <top/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9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/>
      <top/>
      <bottom style="thin">
        <color indexed="8"/>
      </bottom>
      <diagonal/>
    </border>
    <border>
      <left style="thin">
        <color indexed="65"/>
      </left>
      <right/>
      <top style="thin">
        <color indexed="8"/>
      </top>
      <bottom style="thin">
        <color indexed="8"/>
      </bottom>
      <diagonal/>
    </border>
    <border>
      <left style="thin">
        <color indexed="65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 style="thin">
        <color indexed="8"/>
      </bottom>
      <diagonal/>
    </border>
  </borders>
  <cellStyleXfs count="13">
    <xf numFmtId="0" fontId="0" fillId="0" borderId="0"/>
    <xf numFmtId="0" fontId="7" fillId="0" borderId="0"/>
    <xf numFmtId="0" fontId="8" fillId="0" borderId="0"/>
    <xf numFmtId="0" fontId="7" fillId="0" borderId="0"/>
    <xf numFmtId="0" fontId="7" fillId="0" borderId="0"/>
    <xf numFmtId="0" fontId="7" fillId="0" borderId="0"/>
    <xf numFmtId="0" fontId="6" fillId="0" borderId="0"/>
    <xf numFmtId="0" fontId="13" fillId="6" borderId="17" applyNumberFormat="0" applyAlignment="0" applyProtection="0"/>
    <xf numFmtId="0" fontId="14" fillId="7" borderId="0" applyNumberFormat="0" applyBorder="0" applyAlignment="0" applyProtection="0"/>
    <xf numFmtId="0" fontId="15" fillId="8" borderId="17" applyNumberFormat="0" applyAlignment="0" applyProtection="0"/>
    <xf numFmtId="0" fontId="16" fillId="0" borderId="18" applyNumberFormat="0" applyFill="0" applyAlignment="0" applyProtection="0"/>
    <xf numFmtId="0" fontId="17" fillId="9" borderId="19" applyNumberFormat="0" applyFont="0" applyAlignment="0" applyProtection="0"/>
    <xf numFmtId="0" fontId="18" fillId="0" borderId="0" applyNumberFormat="0" applyFill="0" applyBorder="0" applyAlignment="0" applyProtection="0"/>
  </cellStyleXfs>
  <cellXfs count="101">
    <xf numFmtId="0" fontId="0" fillId="0" borderId="0" xfId="0"/>
    <xf numFmtId="0" fontId="0" fillId="0" borderId="1" xfId="0" applyBorder="1"/>
    <xf numFmtId="0" fontId="0" fillId="0" borderId="4" xfId="0" applyBorder="1"/>
    <xf numFmtId="38" fontId="0" fillId="0" borderId="3" xfId="0" applyNumberFormat="1" applyBorder="1" applyAlignment="1">
      <alignment horizontal="right"/>
    </xf>
    <xf numFmtId="38" fontId="0" fillId="0" borderId="4" xfId="0" applyNumberFormat="1" applyBorder="1" applyAlignment="1">
      <alignment horizontal="right"/>
    </xf>
    <xf numFmtId="0" fontId="0" fillId="0" borderId="1" xfId="0" pivotButton="1" applyBorder="1"/>
    <xf numFmtId="0" fontId="1" fillId="0" borderId="2" xfId="0" applyFont="1" applyBorder="1"/>
    <xf numFmtId="0" fontId="1" fillId="0" borderId="3" xfId="0" applyFont="1" applyBorder="1" applyAlignment="1">
      <alignment horizontal="right"/>
    </xf>
    <xf numFmtId="0" fontId="1" fillId="0" borderId="4" xfId="0" applyFont="1" applyBorder="1" applyAlignment="1">
      <alignment horizontal="right"/>
    </xf>
    <xf numFmtId="0" fontId="0" fillId="0" borderId="0" xfId="0" applyFill="1"/>
    <xf numFmtId="0" fontId="2" fillId="0" borderId="0" xfId="0" applyFont="1" applyFill="1"/>
    <xf numFmtId="0" fontId="4" fillId="0" borderId="0" xfId="0" applyFont="1" applyFill="1"/>
    <xf numFmtId="0" fontId="3" fillId="0" borderId="0" xfId="0" applyFont="1" applyFill="1"/>
    <xf numFmtId="0" fontId="0" fillId="3" borderId="0" xfId="0" applyFill="1"/>
    <xf numFmtId="0" fontId="1" fillId="0" borderId="0" xfId="0" applyFont="1"/>
    <xf numFmtId="0" fontId="5" fillId="0" borderId="0" xfId="0" applyFont="1"/>
    <xf numFmtId="0" fontId="1" fillId="0" borderId="0" xfId="0" applyFont="1" applyAlignment="1">
      <alignment horizontal="right"/>
    </xf>
    <xf numFmtId="49" fontId="1" fillId="0" borderId="0" xfId="0" applyNumberFormat="1" applyFont="1"/>
    <xf numFmtId="49" fontId="0" fillId="0" borderId="0" xfId="0" applyNumberFormat="1"/>
    <xf numFmtId="14" fontId="0" fillId="0" borderId="0" xfId="0" applyNumberFormat="1"/>
    <xf numFmtId="0" fontId="1" fillId="0" borderId="0" xfId="0" applyFont="1" applyFill="1"/>
    <xf numFmtId="0" fontId="1" fillId="0" borderId="4" xfId="0" applyFont="1" applyBorder="1"/>
    <xf numFmtId="38" fontId="0" fillId="0" borderId="9" xfId="0" applyNumberFormat="1" applyBorder="1" applyAlignment="1">
      <alignment horizontal="right"/>
    </xf>
    <xf numFmtId="0" fontId="1" fillId="0" borderId="9" xfId="0" applyFont="1" applyBorder="1" applyAlignment="1">
      <alignment horizontal="right"/>
    </xf>
    <xf numFmtId="0" fontId="1" fillId="2" borderId="10" xfId="0" applyFont="1" applyFill="1" applyBorder="1"/>
    <xf numFmtId="0" fontId="1" fillId="5" borderId="0" xfId="0" applyFont="1" applyFill="1"/>
    <xf numFmtId="0" fontId="1" fillId="0" borderId="11" xfId="0" applyFont="1" applyBorder="1"/>
    <xf numFmtId="0" fontId="1" fillId="0" borderId="11" xfId="0" applyFont="1" applyBorder="1" applyAlignment="1"/>
    <xf numFmtId="0" fontId="1" fillId="0" borderId="11" xfId="0" applyFont="1" applyBorder="1" applyAlignment="1">
      <alignment horizontal="right"/>
    </xf>
    <xf numFmtId="0" fontId="4" fillId="0" borderId="0" xfId="0" quotePrefix="1" applyFont="1" applyFill="1"/>
    <xf numFmtId="0" fontId="0" fillId="0" borderId="0" xfId="0" applyNumberFormat="1"/>
    <xf numFmtId="0" fontId="9" fillId="2" borderId="12" xfId="0" applyFont="1" applyFill="1" applyBorder="1"/>
    <xf numFmtId="38" fontId="9" fillId="2" borderId="13" xfId="0" applyNumberFormat="1" applyFont="1" applyFill="1" applyBorder="1" applyAlignment="1">
      <alignment horizontal="right"/>
    </xf>
    <xf numFmtId="38" fontId="9" fillId="2" borderId="6" xfId="0" applyNumberFormat="1" applyFont="1" applyFill="1" applyBorder="1" applyAlignment="1">
      <alignment horizontal="right"/>
    </xf>
    <xf numFmtId="0" fontId="9" fillId="2" borderId="5" xfId="0" applyFont="1" applyFill="1" applyBorder="1"/>
    <xf numFmtId="38" fontId="9" fillId="2" borderId="7" xfId="0" applyNumberFormat="1" applyFont="1" applyFill="1" applyBorder="1" applyAlignment="1">
      <alignment horizontal="right"/>
    </xf>
    <xf numFmtId="0" fontId="0" fillId="3" borderId="0" xfId="0" applyFill="1" applyAlignment="1">
      <alignment horizontal="left"/>
    </xf>
    <xf numFmtId="0" fontId="10" fillId="0" borderId="0" xfId="0" applyFont="1" applyFill="1"/>
    <xf numFmtId="0" fontId="4" fillId="0" borderId="0" xfId="0" applyFont="1" applyFill="1" applyAlignment="1">
      <alignment horizontal="left"/>
    </xf>
    <xf numFmtId="0" fontId="0" fillId="5" borderId="0" xfId="0" applyFill="1"/>
    <xf numFmtId="14" fontId="7" fillId="0" borderId="0" xfId="0" applyNumberFormat="1" applyFont="1"/>
    <xf numFmtId="0" fontId="1" fillId="0" borderId="0" xfId="0" applyFont="1" applyBorder="1"/>
    <xf numFmtId="0" fontId="0" fillId="0" borderId="0" xfId="0" applyBorder="1"/>
    <xf numFmtId="0" fontId="0" fillId="0" borderId="0" xfId="0" applyFont="1" applyFill="1"/>
    <xf numFmtId="0" fontId="0" fillId="0" borderId="0" xfId="0" applyNumberFormat="1" applyFont="1" applyFill="1"/>
    <xf numFmtId="14" fontId="0" fillId="0" borderId="0" xfId="0" applyNumberFormat="1" applyFont="1" applyFill="1"/>
    <xf numFmtId="38" fontId="0" fillId="0" borderId="0" xfId="0" applyNumberFormat="1" applyFont="1" applyFill="1"/>
    <xf numFmtId="0" fontId="7" fillId="0" borderId="0" xfId="1"/>
    <xf numFmtId="0" fontId="11" fillId="0" borderId="0" xfId="1" applyFont="1"/>
    <xf numFmtId="0" fontId="12" fillId="10" borderId="20" xfId="1" applyFont="1" applyFill="1" applyBorder="1"/>
    <xf numFmtId="0" fontId="12" fillId="10" borderId="21" xfId="1" applyFont="1" applyFill="1" applyBorder="1"/>
    <xf numFmtId="0" fontId="12" fillId="10" borderId="22" xfId="1" applyFont="1" applyFill="1" applyBorder="1" applyAlignment="1">
      <alignment horizontal="right"/>
    </xf>
    <xf numFmtId="0" fontId="7" fillId="11" borderId="23" xfId="1" applyFill="1" applyBorder="1" applyAlignment="1" applyProtection="1"/>
    <xf numFmtId="38" fontId="7" fillId="12" borderId="24" xfId="1" applyNumberFormat="1" applyFill="1" applyBorder="1" applyAlignment="1" applyProtection="1">
      <protection locked="0"/>
    </xf>
    <xf numFmtId="165" fontId="7" fillId="11" borderId="25" xfId="1" applyNumberFormat="1" applyFill="1" applyBorder="1"/>
    <xf numFmtId="0" fontId="7" fillId="11" borderId="26" xfId="1" applyFill="1" applyBorder="1" applyAlignment="1" applyProtection="1"/>
    <xf numFmtId="0" fontId="7" fillId="12" borderId="24" xfId="1" applyFill="1" applyBorder="1" applyAlignment="1" applyProtection="1">
      <protection locked="0"/>
    </xf>
    <xf numFmtId="0" fontId="7" fillId="12" borderId="27" xfId="1" applyFill="1" applyBorder="1" applyAlignment="1" applyProtection="1">
      <protection locked="0"/>
    </xf>
    <xf numFmtId="164" fontId="12" fillId="11" borderId="25" xfId="1" applyNumberFormat="1" applyFont="1" applyFill="1" applyBorder="1"/>
    <xf numFmtId="0" fontId="12" fillId="10" borderId="25" xfId="1" applyFont="1" applyFill="1" applyBorder="1"/>
    <xf numFmtId="38" fontId="12" fillId="11" borderId="25" xfId="1" applyNumberFormat="1" applyFont="1" applyFill="1" applyBorder="1"/>
    <xf numFmtId="0" fontId="12" fillId="11" borderId="25" xfId="1" applyFont="1" applyFill="1" applyBorder="1"/>
    <xf numFmtId="0" fontId="12" fillId="0" borderId="0" xfId="1" applyFont="1"/>
    <xf numFmtId="0" fontId="12" fillId="11" borderId="28" xfId="1" applyFont="1" applyFill="1" applyBorder="1"/>
    <xf numFmtId="0" fontId="12" fillId="11" borderId="11" xfId="1" applyFont="1" applyFill="1" applyBorder="1" applyAlignment="1">
      <alignment horizontal="right" wrapText="1"/>
    </xf>
    <xf numFmtId="0" fontId="12" fillId="13" borderId="11" xfId="1" applyFont="1" applyFill="1" applyBorder="1" applyAlignment="1">
      <alignment horizontal="right" wrapText="1"/>
    </xf>
    <xf numFmtId="0" fontId="7" fillId="0" borderId="0" xfId="1" applyAlignment="1">
      <alignment wrapText="1"/>
    </xf>
    <xf numFmtId="38" fontId="7" fillId="0" borderId="0" xfId="1" applyNumberFormat="1" applyBorder="1" applyAlignment="1" applyProtection="1">
      <alignment horizontal="right"/>
      <protection hidden="1"/>
    </xf>
    <xf numFmtId="0" fontId="7" fillId="0" borderId="0" xfId="1" applyProtection="1">
      <protection hidden="1"/>
    </xf>
    <xf numFmtId="38" fontId="7" fillId="0" borderId="0" xfId="1" applyNumberFormat="1" applyProtection="1">
      <protection hidden="1"/>
    </xf>
    <xf numFmtId="0" fontId="7" fillId="0" borderId="0" xfId="1" applyFill="1" applyProtection="1">
      <protection hidden="1"/>
    </xf>
    <xf numFmtId="38" fontId="7" fillId="0" borderId="0" xfId="1" applyNumberFormat="1"/>
    <xf numFmtId="0" fontId="0" fillId="0" borderId="3" xfId="0" applyBorder="1"/>
    <xf numFmtId="0" fontId="0" fillId="0" borderId="9" xfId="0" applyBorder="1"/>
    <xf numFmtId="0" fontId="0" fillId="0" borderId="8" xfId="0" applyBorder="1"/>
    <xf numFmtId="0" fontId="0" fillId="0" borderId="15" xfId="0" applyBorder="1"/>
    <xf numFmtId="14" fontId="1" fillId="0" borderId="4" xfId="0" applyNumberFormat="1" applyFont="1" applyBorder="1"/>
    <xf numFmtId="38" fontId="0" fillId="0" borderId="15" xfId="0" applyNumberFormat="1" applyBorder="1" applyAlignment="1">
      <alignment horizontal="right"/>
    </xf>
    <xf numFmtId="38" fontId="0" fillId="0" borderId="16" xfId="0" applyNumberFormat="1" applyBorder="1" applyAlignment="1">
      <alignment horizontal="right"/>
    </xf>
    <xf numFmtId="0" fontId="0" fillId="4" borderId="15" xfId="0" applyFill="1" applyBorder="1"/>
    <xf numFmtId="0" fontId="0" fillId="4" borderId="29" xfId="0" applyFill="1" applyBorder="1"/>
    <xf numFmtId="38" fontId="0" fillId="4" borderId="15" xfId="0" applyNumberFormat="1" applyFill="1" applyBorder="1" applyAlignment="1">
      <alignment horizontal="right"/>
    </xf>
    <xf numFmtId="38" fontId="0" fillId="4" borderId="16" xfId="0" applyNumberFormat="1" applyFill="1" applyBorder="1" applyAlignment="1">
      <alignment horizontal="right"/>
    </xf>
    <xf numFmtId="38" fontId="0" fillId="0" borderId="4" xfId="0" applyNumberFormat="1" applyBorder="1"/>
    <xf numFmtId="38" fontId="0" fillId="0" borderId="14" xfId="0" applyNumberFormat="1" applyBorder="1"/>
    <xf numFmtId="38" fontId="0" fillId="0" borderId="14" xfId="0" applyNumberFormat="1" applyBorder="1" applyAlignment="1">
      <alignment horizontal="right"/>
    </xf>
    <xf numFmtId="38" fontId="0" fillId="4" borderId="14" xfId="0" applyNumberFormat="1" applyFill="1" applyBorder="1" applyAlignment="1">
      <alignment horizontal="right"/>
    </xf>
    <xf numFmtId="0" fontId="0" fillId="0" borderId="3" xfId="0" pivotButton="1" applyBorder="1"/>
    <xf numFmtId="0" fontId="0" fillId="0" borderId="30" xfId="0" applyBorder="1"/>
    <xf numFmtId="0" fontId="0" fillId="0" borderId="3" xfId="0" applyNumberFormat="1" applyBorder="1"/>
    <xf numFmtId="0" fontId="0" fillId="0" borderId="4" xfId="0" applyNumberFormat="1" applyBorder="1"/>
    <xf numFmtId="0" fontId="0" fillId="0" borderId="9" xfId="0" applyNumberFormat="1" applyBorder="1"/>
    <xf numFmtId="0" fontId="0" fillId="0" borderId="15" xfId="0" applyNumberFormat="1" applyBorder="1"/>
    <xf numFmtId="0" fontId="0" fillId="0" borderId="14" xfId="0" applyNumberFormat="1" applyBorder="1"/>
    <xf numFmtId="0" fontId="0" fillId="0" borderId="16" xfId="0" applyNumberFormat="1" applyBorder="1"/>
    <xf numFmtId="0" fontId="0" fillId="0" borderId="14" xfId="0" applyBorder="1"/>
    <xf numFmtId="0" fontId="1" fillId="0" borderId="0" xfId="0" applyNumberFormat="1" applyFont="1"/>
    <xf numFmtId="1" fontId="1" fillId="0" borderId="0" xfId="0" applyNumberFormat="1" applyFont="1"/>
    <xf numFmtId="1" fontId="0" fillId="0" borderId="0" xfId="0" applyNumberFormat="1" applyFont="1" applyFill="1"/>
    <xf numFmtId="1" fontId="0" fillId="0" borderId="0" xfId="0" applyNumberFormat="1"/>
    <xf numFmtId="0" fontId="0" fillId="0" borderId="31" xfId="0" applyBorder="1"/>
  </cellXfs>
  <cellStyles count="13">
    <cellStyle name="Beregning" xfId="7"/>
    <cellStyle name="God" xfId="8"/>
    <cellStyle name="Inndata" xfId="9"/>
    <cellStyle name="Koblet celle" xfId="10"/>
    <cellStyle name="Merknad" xfId="11"/>
    <cellStyle name="Min stil" xfId="2"/>
    <cellStyle name="Normal" xfId="0" builtinId="0"/>
    <cellStyle name="Normal 2" xfId="1"/>
    <cellStyle name="Normal 2 2" xfId="3"/>
    <cellStyle name="Normal 2_MultiSelect" xfId="4"/>
    <cellStyle name="Normal 3" xfId="5"/>
    <cellStyle name="Normal 4" xfId="6"/>
    <cellStyle name="Varseltekst" xfId="12"/>
  </cellStyles>
  <dxfs count="96">
    <dxf>
      <numFmt numFmtId="6" formatCode="#,##0;[Red]\-#,##0"/>
    </dxf>
    <dxf>
      <numFmt numFmtId="6" formatCode="#,##0;[Red]\-#,##0"/>
    </dxf>
    <dxf>
      <numFmt numFmtId="6" formatCode="#,##0;[Red]\-#,##0"/>
    </dxf>
    <dxf>
      <numFmt numFmtId="6" formatCode="#,##0;[Red]\-#,##0"/>
    </dxf>
    <dxf>
      <numFmt numFmtId="6" formatCode="#,##0;[Red]\-#,##0"/>
    </dxf>
    <dxf>
      <numFmt numFmtId="6" formatCode="#,##0;[Red]\-#,##0"/>
    </dxf>
    <dxf>
      <numFmt numFmtId="6" formatCode="#,##0;[Red]\-#,##0"/>
    </dxf>
    <dxf>
      <numFmt numFmtId="6" formatCode="#,##0;[Red]\-#,##0"/>
    </dxf>
    <dxf>
      <numFmt numFmtId="6" formatCode="#,##0;[Red]\-#,##0"/>
    </dxf>
    <dxf>
      <numFmt numFmtId="6" formatCode="#,##0;[Red]\-#,##0"/>
    </dxf>
    <dxf>
      <numFmt numFmtId="6" formatCode="#,##0;[Red]\-#,##0"/>
    </dxf>
    <dxf>
      <numFmt numFmtId="6" formatCode="#,##0;[Red]\-#,##0"/>
    </dxf>
    <dxf>
      <fill>
        <patternFill patternType="none">
          <fgColor indexed="64"/>
          <bgColor indexed="65"/>
        </patternFill>
      </fill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numFmt numFmtId="6" formatCode="#,##0;[Red]\-#,##0"/>
      <fill>
        <patternFill patternType="none">
          <fgColor indexed="64"/>
          <bgColor indexed="65"/>
        </patternFill>
      </fill>
    </dxf>
    <dxf>
      <numFmt numFmtId="6" formatCode="#,##0;[Red]\-#,##0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19" formatCode="dd/mm/yyyy"/>
    </dxf>
    <dxf>
      <numFmt numFmtId="30" formatCode="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colors>
    <mruColors>
      <color rgb="FFFFFF99"/>
      <color rgb="FFFF8080"/>
      <color rgb="FFFF6600"/>
      <color rgb="FFFFCC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xmlMaps.xml><?xml version="1.0" encoding="utf-8"?>
<MapInfo xmlns="http://schemas.openxmlformats.org/spreadsheetml/2006/main" SelectionNamespaces="">
  <Schema ID="Schema1">
    <xsd:schema xmlns:xsd="http://www.w3.org/2001/XMLSchema" xmlns="">
      <xsd:element nillable="true" name="XtraSerializer">
        <xsd:complexType>
          <xsd:sequence minOccurs="0">
            <xsd:element minOccurs="0" maxOccurs="unbounded" nillable="true" name="property" form="unqualified">
              <xsd:complexType>
                <xsd:sequence minOccurs="0">
                  <xsd:element minOccurs="0" maxOccurs="unbounded" nillable="true" name="property" form="unqualified">
                    <xsd:complexType>
                      <xsd:attribute name="Seq" form="unqualified" type="xsd:integer"/>
                      <xsd:attribute name="PivotElement" form="unqualified" type="xsd:string"/>
                      <xsd:attribute name="SourceName" form="unqualified" type="xsd:string"/>
                      <xsd:attribute name="ColumnGrand" form="unqualified" type="xsd:integer"/>
                      <xsd:attribute name="RowGrand" form="unqualified" type="xsd:integer"/>
                      <xsd:attribute name="DisplayErrorString" form="unqualified" type="xsd:integer"/>
                      <xsd:attribute name="TableStart" form="unqualified" type="xsd:string"/>
                      <xsd:attribute name="FieldList" form="unqualified" type="xsd:integer"/>
                      <xsd:attribute name="MissingItems" form="unqualified" type="xsd:string"/>
                      <xsd:attribute name="SaveData" form="unqualified" type="xsd:string"/>
                      <xsd:attribute name="ShowDrillIndicators" form="unqualified" type="xsd:string"/>
                      <xsd:attribute name="Caption" form="unqualified" type="xsd:string"/>
                      <xsd:attribute name="Name" form="unqualified" type="xsd:string"/>
                      <xsd:attribute name="NumberFormat" form="unqualified" type="xsd:string"/>
                      <xsd:attribute name="Orientation" form="unqualified" type="xsd:integer"/>
                      <xsd:attribute name="Formula" form="unqualified" type="xsd:string"/>
                      <xsd:attribute name="CurrentPage" form="unqualified" type="xsd:string"/>
                      <xsd:attribute name="CpSourceName" form="unqualified" type="xsd:string"/>
                      <xsd:attribute name="PivotItems" form="unqualified" type="xsd:string"/>
                      <xsd:attribute name="Visible" form="unqualified" type="xsd:integer"/>
                      <xsd:attribute name="AutoSortOrder" form="unqualified" type="xsd:integer"/>
                      <xsd:attribute name="AutoSortField" form="unqualified" type="xsd:string"/>
                      <xsd:attribute name="SubTotals" form="unqualified" type="xsd:integer"/>
                      <xsd:attribute name="Function" form="unqualified" type="xsd:integer"/>
                      <xsd:attribute name="Calculation" form="unqualified" type="xsd:integer"/>
                      <xsd:attribute name="BaseField" form="unqualified" type="xsd:string"/>
                      <xsd:attribute name="BaseItem" form="unqualified" type="xsd:string"/>
                      <xsd:attribute name="Position" form="unqualified" type="xsd:integer"/>
                    </xsd:complexType>
                  </xsd:element>
                </xsd:sequence>
                <xsd:attribute name="SheetName" form="unqualified" type="xsd:string"/>
                <xsd:attribute name="TableName" form="unqualified" type="xsd:string"/>
              </xsd:complexType>
            </xsd:element>
          </xsd:sequence>
          <xsd:attribute name="UserID" form="unqualified" type="xsd:integer"/>
          <xsd:attribute name="ReportID" form="unqualified" type="xsd:integer"/>
          <xsd:attribute name="VariantID" form="unqualified" type="xsd:integer"/>
        </xsd:complexType>
      </xsd:element>
    </xsd:schema>
  </Schema>
  <Map ID="1" Name="XtraSerializer_Map" RootElement="XtraSerializer" SchemaID="Schema1" ShowImportExportValidationErrors="false" AutoFit="true" Append="false" PreserveSortAFLayout="true" PreserveFormat="true">
    <DataBinding FileBinding="true" ConnectionID="1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2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1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xmlMaps" Target="xmlMaps.xml"/><Relationship Id="rId10" Type="http://schemas.openxmlformats.org/officeDocument/2006/relationships/worksheet" Target="worksheets/sheet10.xml"/><Relationship Id="rId19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openxmlformats.org/officeDocument/2006/relationships/image" Target="../media/image3.png"/><Relationship Id="rId1" Type="http://schemas.openxmlformats.org/officeDocument/2006/relationships/image" Target="../media/image2.jpeg"/><Relationship Id="rId5" Type="http://schemas.openxmlformats.org/officeDocument/2006/relationships/image" Target="../media/image6.png"/><Relationship Id="rId4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534818</xdr:colOff>
      <xdr:row>0</xdr:row>
      <xdr:rowOff>17253</xdr:rowOff>
    </xdr:from>
    <xdr:to>
      <xdr:col>13</xdr:col>
      <xdr:colOff>51739</xdr:colOff>
      <xdr:row>5</xdr:row>
      <xdr:rowOff>117847</xdr:rowOff>
    </xdr:to>
    <xdr:pic>
      <xdr:nvPicPr>
        <xdr:cNvPr id="8" name="rg_hi" descr="http://t3.gstatic.com/images?q=tbn:ANd9GcQtQRh3WNbHXelD8uBGAaob0YpZAxhzS2M51ZxoGfQPiYX8pc6WXw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clrChange>
            <a:clrFrom>
              <a:srgbClr val="F7F9F8"/>
            </a:clrFrom>
            <a:clrTo>
              <a:srgbClr val="F7F9F8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 l="51981"/>
        <a:stretch/>
      </xdr:blipFill>
      <xdr:spPr bwMode="auto">
        <a:xfrm>
          <a:off x="6909739" y="17253"/>
          <a:ext cx="2553419" cy="1161643"/>
        </a:xfrm>
        <a:prstGeom prst="rect">
          <a:avLst/>
        </a:prstGeom>
        <a:noFill/>
        <a:effectLst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276045</xdr:colOff>
      <xdr:row>10</xdr:row>
      <xdr:rowOff>0</xdr:rowOff>
    </xdr:from>
    <xdr:to>
      <xdr:col>9</xdr:col>
      <xdr:colOff>69336</xdr:colOff>
      <xdr:row>22</xdr:row>
      <xdr:rowOff>172674</xdr:rowOff>
    </xdr:to>
    <xdr:pic macro="[0]!ShowDialog2">
      <xdr:nvPicPr>
        <xdr:cNvPr id="11" name="Dialog1" hidden="1"/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874"/>
        <a:stretch/>
      </xdr:blipFill>
      <xdr:spPr>
        <a:xfrm>
          <a:off x="577970" y="2001328"/>
          <a:ext cx="5866287" cy="2657081"/>
        </a:xfrm>
        <a:prstGeom prst="rect">
          <a:avLst/>
        </a:prstGeom>
      </xdr:spPr>
    </xdr:pic>
    <xdr:clientData/>
  </xdr:twoCellAnchor>
  <xdr:twoCellAnchor editAs="absolute">
    <xdr:from>
      <xdr:col>4</xdr:col>
      <xdr:colOff>34523</xdr:colOff>
      <xdr:row>1</xdr:row>
      <xdr:rowOff>103508</xdr:rowOff>
    </xdr:from>
    <xdr:to>
      <xdr:col>11</xdr:col>
      <xdr:colOff>728382</xdr:colOff>
      <xdr:row>4</xdr:row>
      <xdr:rowOff>25866</xdr:rowOff>
    </xdr:to>
    <xdr:sp macro="" textlink="SapExlReportName">
      <xdr:nvSpPr>
        <xdr:cNvPr id="6" name="Avrundet rektangel 5"/>
        <xdr:cNvSpPr/>
      </xdr:nvSpPr>
      <xdr:spPr>
        <a:xfrm>
          <a:off x="2511023" y="305214"/>
          <a:ext cx="5792535" cy="549887"/>
        </a:xfrm>
        <a:prstGeom prst="roundRect">
          <a:avLst/>
        </a:prstGeom>
        <a:noFill/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DCA6C1DD-5C5D-43ED-BE6D-08873DDC9305}" type="TxLink">
            <a:rPr lang="nb-NO" sz="2800" b="1">
              <a:solidFill>
                <a:sysClr val="windowText" lastClr="000000"/>
              </a:solidFill>
            </a:rPr>
            <a:pPr algn="l"/>
            <a:t>Rieber Optimized Lot Size Calculation</a:t>
          </a:fld>
          <a:endParaRPr lang="nb-NO" sz="2800" b="1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9</xdr:col>
      <xdr:colOff>629710</xdr:colOff>
      <xdr:row>12</xdr:row>
      <xdr:rowOff>146688</xdr:rowOff>
    </xdr:from>
    <xdr:to>
      <xdr:col>12</xdr:col>
      <xdr:colOff>250147</xdr:colOff>
      <xdr:row>20</xdr:row>
      <xdr:rowOff>41912</xdr:rowOff>
    </xdr:to>
    <xdr:pic>
      <xdr:nvPicPr>
        <xdr:cNvPr id="7" name="rg_hi" descr="http://t3.gstatic.com/images?q=tbn:ANd9GcRPfCwrdcK6Fv69l56iSLixO0g0ZmUqZbolC8jj5wXneiz7okam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04631" y="2717360"/>
          <a:ext cx="1897810" cy="155149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4</xdr:col>
      <xdr:colOff>707367</xdr:colOff>
      <xdr:row>5</xdr:row>
      <xdr:rowOff>112126</xdr:rowOff>
    </xdr:from>
    <xdr:to>
      <xdr:col>9</xdr:col>
      <xdr:colOff>457395</xdr:colOff>
      <xdr:row>23</xdr:row>
      <xdr:rowOff>26065</xdr:rowOff>
    </xdr:to>
    <xdr:pic macro="[0]!HideDialog2">
      <xdr:nvPicPr>
        <xdr:cNvPr id="9" name="Dialog2" hidden="1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286665" y="1173175"/>
          <a:ext cx="3545651" cy="3700935"/>
        </a:xfrm>
        <a:prstGeom prst="rect">
          <a:avLst/>
        </a:prstGeom>
      </xdr:spPr>
    </xdr:pic>
    <xdr:clientData/>
  </xdr:twoCellAnchor>
  <xdr:twoCellAnchor editAs="oneCell">
    <xdr:from>
      <xdr:col>6</xdr:col>
      <xdr:colOff>8627</xdr:colOff>
      <xdr:row>7</xdr:row>
      <xdr:rowOff>103516</xdr:rowOff>
    </xdr:from>
    <xdr:to>
      <xdr:col>10</xdr:col>
      <xdr:colOff>457392</xdr:colOff>
      <xdr:row>23</xdr:row>
      <xdr:rowOff>26059</xdr:rowOff>
    </xdr:to>
    <xdr:pic macro="[0]!HideDialog3">
      <xdr:nvPicPr>
        <xdr:cNvPr id="10" name="Dialog3" hidden="1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4106174" y="1449237"/>
          <a:ext cx="3485263" cy="3295471"/>
        </a:xfrm>
        <a:prstGeom prst="rect">
          <a:avLst/>
        </a:prstGeom>
      </xdr:spPr>
    </xdr:pic>
    <xdr:clientData/>
  </xdr:twoCellAnchor>
  <xdr:twoCellAnchor editAs="absolute">
    <xdr:from>
      <xdr:col>0</xdr:col>
      <xdr:colOff>280147</xdr:colOff>
      <xdr:row>1</xdr:row>
      <xdr:rowOff>33613</xdr:rowOff>
    </xdr:from>
    <xdr:to>
      <xdr:col>3</xdr:col>
      <xdr:colOff>590703</xdr:colOff>
      <xdr:row>5</xdr:row>
      <xdr:rowOff>82499</xdr:rowOff>
    </xdr:to>
    <xdr:sp macro="" textlink="">
      <xdr:nvSpPr>
        <xdr:cNvPr id="12" name="Avrundet rektangel 2"/>
        <xdr:cNvSpPr/>
      </xdr:nvSpPr>
      <xdr:spPr>
        <a:xfrm>
          <a:off x="280147" y="235319"/>
          <a:ext cx="2058674" cy="878121"/>
        </a:xfrm>
        <a:prstGeom prst="roundRect">
          <a:avLst/>
        </a:prstGeom>
        <a:gradFill flip="none" rotWithShape="1">
          <a:gsLst>
            <a:gs pos="0">
              <a:schemeClr val="bg1">
                <a:lumMod val="85000"/>
              </a:schemeClr>
            </a:gs>
            <a:gs pos="100000">
              <a:schemeClr val="bg1"/>
            </a:gs>
          </a:gsLst>
          <a:lin ang="2700000" scaled="1"/>
          <a:tileRect/>
        </a:gradFill>
        <a:ln>
          <a:noFill/>
        </a:ln>
        <a:effectLst>
          <a:outerShdw blurRad="50800" dist="38100" dir="2700000" sx="102000" sy="102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>
          <a:spAutoFit/>
        </a:bodyPr>
        <a:lstStyle/>
        <a:p>
          <a:pPr algn="l"/>
          <a:r>
            <a:rPr lang="nb-NO" sz="2800" b="1">
              <a:solidFill>
                <a:schemeClr val="accent2"/>
              </a:solidFill>
            </a:rPr>
            <a:t>SapExl</a:t>
          </a:r>
          <a:endParaRPr lang="nb-NO" sz="2400" b="1">
            <a:solidFill>
              <a:schemeClr val="accent2"/>
            </a:solidFill>
          </a:endParaRPr>
        </a:p>
        <a:p>
          <a:pPr algn="l"/>
          <a:r>
            <a:rPr lang="nb-NO" sz="1600" b="1">
              <a:solidFill>
                <a:schemeClr val="accent2"/>
              </a:solidFill>
            </a:rPr>
            <a:t>Reporting &amp; Analysis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0</xdr:colOff>
      <xdr:row>3</xdr:row>
      <xdr:rowOff>0</xdr:rowOff>
    </xdr:from>
    <xdr:ext cx="2868607" cy="495123"/>
    <xdr:sp macro="" textlink="">
      <xdr:nvSpPr>
        <xdr:cNvPr id="5" name="Text Box 7"/>
        <xdr:cNvSpPr txBox="1">
          <a:spLocks noChangeArrowheads="1"/>
        </xdr:cNvSpPr>
      </xdr:nvSpPr>
      <xdr:spPr bwMode="auto">
        <a:xfrm>
          <a:off x="4504765" y="571500"/>
          <a:ext cx="2868607" cy="49512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nb-NO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This file is strictly confidential, and must NOT </a:t>
          </a:r>
        </a:p>
        <a:p>
          <a:pPr algn="l" rtl="0">
            <a:defRPr sz="1000"/>
          </a:pPr>
          <a:r>
            <a:rPr lang="nb-NO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be distributed or made available to anyone not </a:t>
          </a:r>
        </a:p>
        <a:p>
          <a:pPr algn="l" rtl="0">
            <a:defRPr sz="1000"/>
          </a:pPr>
          <a:r>
            <a:rPr lang="nb-NO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employed in Rieber &amp; Son ASA.</a:t>
          </a:r>
        </a:p>
      </xdr:txBody>
    </xdr:sp>
    <xdr:clientData/>
  </xdr:oneCellAnchor>
  <xdr:oneCellAnchor>
    <xdr:from>
      <xdr:col>0</xdr:col>
      <xdr:colOff>11206</xdr:colOff>
      <xdr:row>0</xdr:row>
      <xdr:rowOff>56030</xdr:rowOff>
    </xdr:from>
    <xdr:ext cx="3358612" cy="277097"/>
    <xdr:sp macro="" textlink="ReportCaption">
      <xdr:nvSpPr>
        <xdr:cNvPr id="3" name="Avrundet rektangel 1"/>
        <xdr:cNvSpPr/>
      </xdr:nvSpPr>
      <xdr:spPr>
        <a:xfrm>
          <a:off x="11206" y="56030"/>
          <a:ext cx="3358612" cy="277097"/>
        </a:xfrm>
        <a:prstGeom prst="roundRect">
          <a:avLst/>
        </a:prstGeom>
        <a:gradFill flip="none" rotWithShape="1">
          <a:gsLst>
            <a:gs pos="0">
              <a:schemeClr val="bg1">
                <a:lumMod val="85000"/>
              </a:schemeClr>
            </a:gs>
            <a:gs pos="100000">
              <a:schemeClr val="bg1"/>
            </a:gs>
          </a:gsLst>
          <a:lin ang="2700000" scaled="1"/>
          <a:tileRect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tIns="0" bIns="0" rtlCol="0" anchor="t">
          <a:spAutoFit/>
        </a:bodyPr>
        <a:lstStyle/>
        <a:p>
          <a:pPr algn="l"/>
          <a:fld id="{34B7FD16-6814-490C-A917-A48DE17D05C8}" type="TxLink">
            <a:rPr lang="nb-NO" sz="1600" b="1" i="0" u="none" strike="noStrike">
              <a:solidFill>
                <a:srgbClr val="C00000"/>
              </a:solidFill>
              <a:latin typeface="Calibri"/>
            </a:rPr>
            <a:pPr algn="l"/>
            <a:t>Rieber Optimized Lot Size Calculation</a:t>
          </a:fld>
          <a:endParaRPr lang="nb-NO" sz="1600" b="1">
            <a:solidFill>
              <a:srgbClr val="C00000"/>
            </a:solidFill>
          </a:endParaRP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11203</xdr:colOff>
      <xdr:row>0</xdr:row>
      <xdr:rowOff>56030</xdr:rowOff>
    </xdr:from>
    <xdr:ext cx="4806637" cy="277097"/>
    <xdr:sp macro="" textlink="ReportCaption1">
      <xdr:nvSpPr>
        <xdr:cNvPr id="3" name="Avrundet rektangel 1"/>
        <xdr:cNvSpPr/>
      </xdr:nvSpPr>
      <xdr:spPr>
        <a:xfrm>
          <a:off x="11203" y="56030"/>
          <a:ext cx="4806637" cy="277097"/>
        </a:xfrm>
        <a:prstGeom prst="roundRect">
          <a:avLst/>
        </a:prstGeom>
        <a:gradFill flip="none" rotWithShape="1">
          <a:gsLst>
            <a:gs pos="0">
              <a:schemeClr val="bg1">
                <a:lumMod val="85000"/>
              </a:schemeClr>
            </a:gs>
            <a:gs pos="100000">
              <a:schemeClr val="bg1"/>
            </a:gs>
          </a:gsLst>
          <a:lin ang="2700000" scaled="1"/>
          <a:tileRect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tIns="0" bIns="0" rtlCol="0" anchor="t">
          <a:spAutoFit/>
        </a:bodyPr>
        <a:lstStyle/>
        <a:p>
          <a:pPr algn="l"/>
          <a:fld id="{F1C522E0-8635-4AE9-9064-A4E2808C8E83}" type="TxLink">
            <a:rPr lang="en-US" sz="1600" b="1" i="0" u="none" strike="noStrike">
              <a:solidFill>
                <a:srgbClr val="C00000"/>
              </a:solidFill>
              <a:latin typeface="Calibri"/>
            </a:rPr>
            <a:pPr algn="l"/>
            <a:t>Materials on Work Center 3115 Maskin T - Messanin B</a:t>
          </a:fld>
          <a:endParaRPr lang="nb-NO" sz="2400" b="1">
            <a:solidFill>
              <a:srgbClr val="C00000"/>
            </a:solidFill>
          </a:endParaRPr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11206</xdr:colOff>
      <xdr:row>0</xdr:row>
      <xdr:rowOff>56030</xdr:rowOff>
    </xdr:from>
    <xdr:ext cx="5132880" cy="277097"/>
    <xdr:sp macro="" textlink="ReportCaption2">
      <xdr:nvSpPr>
        <xdr:cNvPr id="2" name="Avrundet rektangel 1"/>
        <xdr:cNvSpPr/>
      </xdr:nvSpPr>
      <xdr:spPr>
        <a:xfrm>
          <a:off x="11206" y="56030"/>
          <a:ext cx="5132880" cy="277097"/>
        </a:xfrm>
        <a:prstGeom prst="roundRect">
          <a:avLst/>
        </a:prstGeom>
        <a:gradFill flip="none" rotWithShape="1">
          <a:gsLst>
            <a:gs pos="0">
              <a:schemeClr val="bg1">
                <a:lumMod val="85000"/>
              </a:schemeClr>
            </a:gs>
            <a:gs pos="100000">
              <a:schemeClr val="bg1"/>
            </a:gs>
          </a:gsLst>
          <a:lin ang="2700000" scaled="1"/>
          <a:tileRect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tIns="0" bIns="0" rtlCol="0" anchor="t">
          <a:spAutoFit/>
        </a:bodyPr>
        <a:lstStyle/>
        <a:p>
          <a:pPr algn="l"/>
          <a:fld id="{50630007-AF8C-4CF6-AB6A-8BA1650E66F5}" type="TxLink">
            <a:rPr lang="en-US" sz="1600" b="1" i="0" u="none" strike="noStrike">
              <a:solidFill>
                <a:srgbClr val="C00000"/>
              </a:solidFill>
              <a:latin typeface="Calibri"/>
            </a:rPr>
            <a:pPr algn="l"/>
            <a:t>All Materials and Work Centers for selected Material Type</a:t>
          </a:fld>
          <a:endParaRPr lang="nb-NO" sz="3600" b="1">
            <a:solidFill>
              <a:srgbClr val="C00000"/>
            </a:solidFill>
          </a:endParaRPr>
        </a:p>
      </xdr:txBody>
    </xdr:sp>
    <xdr:clientData/>
  </xdr:one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nil Kumar Bottu" refreshedDate="42084.03918900463" createdVersion="4" refreshedVersion="4" minRefreshableVersion="3" recordCount="2">
  <cacheSource type="worksheet">
    <worksheetSource name="DefaultGroups"/>
  </cacheSource>
  <cacheFields count="57">
    <cacheField name="Plnd order" numFmtId="0">
      <sharedItems containsSemiMixedTypes="0" containsString="0" containsNumber="1" containsInteger="1" minValue="76146397" maxValue="76146398"/>
    </cacheField>
    <cacheField name="PrPn" numFmtId="0">
      <sharedItems/>
    </cacheField>
    <cacheField name="Procurement proposal type" numFmtId="0">
      <sharedItems/>
    </cacheField>
    <cacheField name="Ord.quantity" numFmtId="0">
      <sharedItems containsSemiMixedTypes="0" containsString="0" containsNumber="1" containsInteger="1" minValue="2078710" maxValue="2207290"/>
    </cacheField>
    <cacheField name="BUn" numFmtId="0">
      <sharedItems count="1">
        <s v="ST"/>
      </sharedItems>
    </cacheField>
    <cacheField name="Reqmt Qty" numFmtId="0">
      <sharedItems containsSemiMixedTypes="0" containsString="0" containsNumber="1" containsInteger="1" minValue="0" maxValue="0"/>
    </cacheField>
    <cacheField name="BUn2" numFmtId="0">
      <sharedItems/>
    </cacheField>
    <cacheField name="PlPl" numFmtId="0">
      <sharedItems/>
    </cacheField>
    <cacheField name="Part. lot qty" numFmtId="0">
      <sharedItems containsSemiMixedTypes="0" containsString="0" containsNumber="1" containsInteger="1" minValue="0" maxValue="0"/>
    </cacheField>
    <cacheField name="BUn3" numFmtId="0">
      <sharedItems/>
    </cacheField>
    <cacheField name="Scrap" numFmtId="0">
      <sharedItems containsSemiMixedTypes="0" containsString="0" containsNumber="1" containsInteger="1" minValue="0" maxValue="0"/>
    </cacheField>
    <cacheField name="BUn4" numFmtId="0">
      <sharedItems/>
    </cacheField>
    <cacheField name="PSc" numFmtId="0">
      <sharedItems containsSemiMixedTypes="0" containsString="0" containsNumber="1" containsInteger="1" minValue="212" maxValue="212"/>
    </cacheField>
    <cacheField name="OrderStart" numFmtId="14">
      <sharedItems containsSemiMixedTypes="0" containsNonDate="0" containsDate="1" containsString="0" minDate="2011-12-05T00:00:00" maxDate="2012-05-05T00:00:00"/>
    </cacheField>
    <cacheField name="Material" numFmtId="1">
      <sharedItems containsSemiMixedTypes="0" containsString="0" containsNumber="1" containsInteger="1" minValue="900" maxValue="900"/>
    </cacheField>
    <cacheField name="Plnt" numFmtId="0">
      <sharedItems/>
    </cacheField>
    <cacheField name="Ver." numFmtId="0">
      <sharedItems containsSemiMixedTypes="0" containsString="0" containsNumber="1" containsInteger="1" minValue="3" maxValue="3" count="1">
        <n v="3"/>
      </sharedItems>
    </cacheField>
    <cacheField name="Valid to" numFmtId="14">
      <sharedItems containsSemiMixedTypes="0" containsNonDate="0" containsDate="1" containsString="0" minDate="9999-12-31T00:00:00" maxDate="1899-12-30T00:00:00"/>
    </cacheField>
    <cacheField name="Valid from" numFmtId="14">
      <sharedItems containsSemiMixedTypes="0" containsNonDate="0" containsDate="1" containsString="0" minDate="2011-11-21T00:00:00" maxDate="2011-11-22T00:00:00" count="1">
        <d v="2011-11-21T00:00:00"/>
      </sharedItems>
    </cacheField>
    <cacheField name="TLType" numFmtId="0">
      <sharedItems containsSemiMixedTypes="0" containsString="0" containsNumber="1" containsInteger="1" minValue="2" maxValue="2" count="1">
        <n v="2"/>
      </sharedItems>
    </cacheField>
    <cacheField name="Group" numFmtId="0">
      <sharedItems containsSemiMixedTypes="0" containsString="0" containsNumber="1" containsInteger="1" minValue="50007958" maxValue="50007958" count="1">
        <n v="50007958"/>
      </sharedItems>
    </cacheField>
    <cacheField name="GrC" numFmtId="0">
      <sharedItems containsSemiMixedTypes="0" containsString="0" containsNumber="1" containsInteger="1" minValue="1" maxValue="1"/>
    </cacheField>
    <cacheField name="Prod.Vers.Locked" numFmtId="0">
      <sharedItems containsNonDate="0" containsString="0" containsBlank="1"/>
    </cacheField>
    <cacheField name="Clt" numFmtId="0">
      <sharedItems containsNonDate="0" containsString="0" containsBlank="1" count="1">
        <m/>
      </sharedItems>
    </cacheField>
    <cacheField name="Pl" numFmtId="0">
      <sharedItems containsNonDate="0" containsString="0" containsBlank="1"/>
    </cacheField>
    <cacheField name="MS" numFmtId="0">
      <sharedItems containsNonDate="0" containsString="0" containsBlank="1" count="1">
        <m/>
      </sharedItems>
    </cacheField>
    <cacheField name="MRPpr" numFmtId="0">
      <sharedItems/>
    </cacheField>
    <cacheField name="Typ" numFmtId="0">
      <sharedItems count="1">
        <s v="ZD"/>
      </sharedItems>
    </cacheField>
    <cacheField name="MRPC" numFmtId="0">
      <sharedItems containsSemiMixedTypes="0" containsString="0" containsNumber="1" containsInteger="1" minValue="600" maxValue="600" count="1">
        <n v="600"/>
      </sharedItems>
    </cacheField>
    <cacheField name="LS" numFmtId="0">
      <sharedItems containsSemiMixedTypes="0" containsString="0" containsNumber="1" containsInteger="1" minValue="7" maxValue="7"/>
    </cacheField>
    <cacheField name="PrCtr" numFmtId="0">
      <sharedItems containsSemiMixedTypes="0" containsString="0" containsNumber="1" containsInteger="1" minValue="502" maxValue="502"/>
    </cacheField>
    <cacheField name="Costing Lot Size" numFmtId="0">
      <sharedItems containsSemiMixedTypes="0" containsString="0" containsNumber="1" containsInteger="1" minValue="191374" maxValue="191374"/>
    </cacheField>
    <cacheField name="BUn5" numFmtId="0">
      <sharedItems/>
    </cacheField>
    <cacheField name="Prof." numFmtId="0">
      <sharedItems containsNonDate="0" containsString="0" containsBlank="1"/>
    </cacheField>
    <cacheField name="Valid from6" numFmtId="0">
      <sharedItems/>
    </cacheField>
    <cacheField name="Material Description" numFmtId="0">
      <sharedItems/>
    </cacheField>
    <cacheField name="Node" numFmtId="0">
      <sharedItems containsSemiMixedTypes="0" containsString="0" containsNumber="1" containsInteger="1" minValue="1" maxValue="1" count="1">
        <n v="1"/>
      </sharedItems>
    </cacheField>
    <cacheField name="Counter" numFmtId="0">
      <sharedItems containsSemiMixedTypes="0" containsString="0" containsNumber="1" containsInteger="1" minValue="1" maxValue="1"/>
    </cacheField>
    <cacheField name="Total Stock" numFmtId="0">
      <sharedItems containsSemiMixedTypes="0" containsString="0" containsNumber="1" containsInteger="1" minValue="1018176" maxValue="1018176"/>
    </cacheField>
    <cacheField name="BUn7" numFmtId="0">
      <sharedItems/>
    </cacheField>
    <cacheField name="Total Value" numFmtId="0">
      <sharedItems containsSemiMixedTypes="0" containsString="0" containsNumber="1" minValue="1871967.38" maxValue="1871967.38"/>
    </cacheField>
    <cacheField name="Crcy" numFmtId="0">
      <sharedItems containsNonDate="0" containsString="0" containsBlank="1"/>
    </cacheField>
    <cacheField name="MovAvgPrice" numFmtId="0">
      <sharedItems containsSemiMixedTypes="0" containsString="0" containsNumber="1" minValue="1671.92" maxValue="1671.92"/>
    </cacheField>
    <cacheField name="Crcy8" numFmtId="0">
      <sharedItems containsNonDate="0" containsString="0" containsBlank="1"/>
    </cacheField>
    <cacheField name="Standard price" numFmtId="0">
      <sharedItems containsSemiMixedTypes="0" containsString="0" containsNumber="1" minValue="1838.55" maxValue="1838.55"/>
    </cacheField>
    <cacheField name="Crcy9" numFmtId="0">
      <sharedItems containsNonDate="0" containsString="0" containsBlank="1"/>
    </cacheField>
    <cacheField name="per" numFmtId="0">
      <sharedItems containsSemiMixedTypes="0" containsString="0" containsNumber="1" containsInteger="1" minValue="1000" maxValue="1000"/>
    </cacheField>
    <cacheField name="Crt Plan Price" numFmtId="0">
      <sharedItems containsSemiMixedTypes="0" containsString="0" containsNumber="1" minValue="1838.55" maxValue="1838.55"/>
    </cacheField>
    <cacheField name="Crcy10" numFmtId="0">
      <sharedItems containsNonDate="0" containsString="0" containsBlank="1"/>
    </cacheField>
    <cacheField name="ObjectID" numFmtId="0">
      <sharedItems containsSemiMixedTypes="0" containsString="0" containsNumber="1" containsInteger="1" minValue="10000689" maxValue="10000689"/>
    </cacheField>
    <cacheField name="Work ctr" numFmtId="0">
      <sharedItems containsSemiMixedTypes="0" containsString="0" containsNumber="1" containsInteger="1" minValue="3115" maxValue="3115"/>
    </cacheField>
    <cacheField name="Short description" numFmtId="0">
      <sharedItems/>
    </cacheField>
    <cacheField name="Price" numFmtId="0">
      <sharedItems containsSemiMixedTypes="0" containsString="0" containsNumber="1" minValue="1838.55" maxValue="1838.55"/>
    </cacheField>
    <cacheField name="Value" numFmtId="38">
      <sharedItems containsSemiMixedTypes="0" containsString="0" containsNumber="1" minValue="3821812.2705000001" maxValue="4058213.0295000002"/>
    </cacheField>
    <cacheField name="Work Center" numFmtId="38">
      <sharedItems/>
    </cacheField>
    <cacheField name="Material Name" numFmtId="0">
      <sharedItems count="1">
        <s v="000900 Bearnaisesaus Økonomi 4ps 12esk"/>
      </sharedItems>
    </cacheField>
    <cacheField name="Default_Test" numFmtId="0">
      <sharedItems count="1">
        <s v="Default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Anil Kumar Bottu" refreshedDate="42086.627237152781" createdVersion="4" refreshedVersion="4" minRefreshableVersion="3" recordCount="2">
  <cacheSource type="worksheet">
    <worksheetSource name="SapExlData"/>
  </cacheSource>
  <cacheFields count="38">
    <cacheField name="MS" numFmtId="0">
      <sharedItems containsSemiMixedTypes="0" containsString="0" containsNumber="1" containsInteger="1" minValue="10" maxValue="10"/>
    </cacheField>
    <cacheField name="Valid from" numFmtId="0">
      <sharedItems/>
    </cacheField>
    <cacheField name="Valid to" numFmtId="0">
      <sharedItems/>
    </cacheField>
    <cacheField name="Clt" numFmtId="14">
      <sharedItems/>
    </cacheField>
    <cacheField name="Typ" numFmtId="14">
      <sharedItems/>
    </cacheField>
    <cacheField name="Språktekst" numFmtId="0">
      <sharedItems/>
    </cacheField>
    <cacheField name="Materialtekst" numFmtId="0">
      <sharedItems/>
    </cacheField>
    <cacheField name="Materialtypetekst" numFmtId="0">
      <sharedItems/>
    </cacheField>
    <cacheField name="Fabrikktekst" numFmtId="0">
      <sharedItems/>
    </cacheField>
    <cacheField name="Node" numFmtId="0">
      <sharedItems/>
    </cacheField>
    <cacheField name="TLType" numFmtId="0">
      <sharedItems containsMixedTypes="1" containsNumber="1" containsInteger="1" minValue="2" maxValue="2" count="2">
        <s v="N"/>
        <n v="2" u="1"/>
      </sharedItems>
    </cacheField>
    <cacheField name="Group" numFmtId="0">
      <sharedItems containsSemiMixedTypes="0" containsString="0" containsNumber="1" containsInteger="1" minValue="50001541" maxValue="50001541"/>
    </cacheField>
    <cacheField name="PrCtr" numFmtId="0">
      <sharedItems containsMixedTypes="1" containsNumber="1" containsInteger="1" minValue="500" maxValue="500" count="2">
        <s v="Hold-It og Toast"/>
        <n v="500" u="1"/>
      </sharedItems>
    </cacheField>
    <cacheField name="Version" numFmtId="0">
      <sharedItems/>
    </cacheField>
    <cacheField name="MRPpr" numFmtId="0">
      <sharedItems/>
    </cacheField>
    <cacheField name="Wctekst" numFmtId="0">
      <sharedItems/>
    </cacheField>
    <cacheField name="MRPC" numFmtId="0">
      <sharedItems/>
    </cacheField>
    <cacheField name="GrC" numFmtId="0">
      <sharedItems containsSemiMixedTypes="0" containsString="0" containsNumber="1" containsInteger="1" minValue="2" maxValue="2"/>
    </cacheField>
    <cacheField name="ObjectID" numFmtId="0">
      <sharedItems containsSemiMixedTypes="0" containsString="0" containsNumber="1" containsInteger="1" minValue="1" maxValue="1"/>
    </cacheField>
    <cacheField name="PI" numFmtId="0">
      <sharedItems/>
    </cacheField>
    <cacheField name="LS" numFmtId="0">
      <sharedItems/>
    </cacheField>
    <cacheField name="Prod.Vers.Locked" numFmtId="0">
      <sharedItems/>
    </cacheField>
    <cacheField name="Valid from2" numFmtId="0">
      <sharedItems containsNonDate="0" containsString="0" containsBlank="1"/>
    </cacheField>
    <cacheField name="OrgProf." numFmtId="0">
      <sharedItems/>
    </cacheField>
    <cacheField name="Språk" numFmtId="0">
      <sharedItems/>
    </cacheField>
    <cacheField name="Material" numFmtId="0">
      <sharedItems containsSemiMixedTypes="0" containsString="0" containsNumber="1" containsInteger="1" minValue="5959" maxValue="5959"/>
    </cacheField>
    <cacheField name="Mtyp" numFmtId="0">
      <sharedItems/>
    </cacheField>
    <cacheField name="Plnt" numFmtId="0">
      <sharedItems/>
    </cacheField>
    <cacheField name="WCKode" numFmtId="0">
      <sharedItems/>
    </cacheField>
    <cacheField name="Costing Lot Size" numFmtId="0">
      <sharedItems containsSemiMixedTypes="0" containsString="0" containsNumber="1" containsInteger="1" minValue="1000" maxValue="1000"/>
    </cacheField>
    <cacheField name="Counter" numFmtId="0">
      <sharedItems containsSemiMixedTypes="0" containsString="0" containsNumber="1" containsInteger="1" minValue="1" maxValue="2"/>
    </cacheField>
    <cacheField name="Work Center" numFmtId="0">
      <sharedItems count="3">
        <s v="FR6021 Hverdagsfavoritt Linje"/>
        <s v="FR6002 Flowpack 2604"/>
        <s v="3302 Zewathener-pakkelinje- Me" u="1"/>
      </sharedItems>
    </cacheField>
    <cacheField name="Material Name" numFmtId="0">
      <sharedItems count="3">
        <s v="5959 Hverdagsfavoritter Nugatti Max"/>
        <s v="000016 Grønnsakbuljong   2/3kg-250l" u="1"/>
        <s v="000009 Meat Stock Powder  20kg" u="1"/>
      </sharedItems>
    </cacheField>
    <cacheField name="Default_Test" numFmtId="0">
      <sharedItems count="2">
        <s v="Default"/>
        <s v="Optional"/>
      </sharedItems>
    </cacheField>
    <cacheField name="Index" numFmtId="0">
      <sharedItems/>
    </cacheField>
    <cacheField name="Ver." numFmtId="0">
      <sharedItems containsSemiMixedTypes="0" containsString="0" containsNumber="1" containsInteger="1" minValue="5959" maxValue="5959"/>
    </cacheField>
    <cacheField name="Prof." numFmtId="0">
      <sharedItems/>
    </cacheField>
    <cacheField name="WC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">
  <r>
    <n v="76146397"/>
    <s v="NOAR"/>
    <s v="LA"/>
    <n v="2078710"/>
    <x v="0"/>
    <n v="0"/>
    <s v="ST"/>
    <s v="NOAR"/>
    <n v="0"/>
    <s v="ST"/>
    <n v="0"/>
    <s v="ST"/>
    <n v="212"/>
    <d v="2011-12-05T00:00:00"/>
    <n v="900"/>
    <s v="NOAR"/>
    <x v="0"/>
    <d v="9999-12-31T00:00:00"/>
    <x v="0"/>
    <x v="0"/>
    <x v="0"/>
    <n v="1"/>
    <m/>
    <x v="0"/>
    <m/>
    <x v="0"/>
    <s v="A001"/>
    <x v="0"/>
    <x v="0"/>
    <n v="7"/>
    <n v="502"/>
    <n v="191374"/>
    <s v="ST"/>
    <m/>
    <s v="00.00.0000"/>
    <s v="Bearnaisesaus Økonomi 4ps 12esk"/>
    <x v="0"/>
    <n v="1"/>
    <n v="1018176"/>
    <s v="ST"/>
    <n v="1871967.38"/>
    <m/>
    <n v="1671.92"/>
    <m/>
    <n v="1838.55"/>
    <m/>
    <n v="1000"/>
    <n v="1838.55"/>
    <m/>
    <n v="10000689"/>
    <n v="3115"/>
    <s v="Maskin T - Messanin B"/>
    <n v="1838.55"/>
    <n v="3821812.2705000001"/>
    <s v="3115 Maskin T - Messanin B"/>
    <x v="0"/>
    <x v="0"/>
  </r>
  <r>
    <n v="76146398"/>
    <s v="NOAR"/>
    <s v="LA"/>
    <n v="2207290"/>
    <x v="0"/>
    <n v="0"/>
    <s v="ST"/>
    <s v="NOAR"/>
    <n v="0"/>
    <s v="ST"/>
    <n v="0"/>
    <s v="ST"/>
    <n v="212"/>
    <d v="2012-05-04T00:00:00"/>
    <n v="900"/>
    <s v="NOAR"/>
    <x v="0"/>
    <d v="9999-12-31T00:00:00"/>
    <x v="0"/>
    <x v="0"/>
    <x v="0"/>
    <n v="1"/>
    <m/>
    <x v="0"/>
    <m/>
    <x v="0"/>
    <s v="A001"/>
    <x v="0"/>
    <x v="0"/>
    <n v="7"/>
    <n v="502"/>
    <n v="191374"/>
    <s v="ST"/>
    <m/>
    <s v="00.00.0000"/>
    <s v="Bearnaisesaus Økonomi 4ps 12esk"/>
    <x v="0"/>
    <n v="1"/>
    <n v="1018176"/>
    <s v="ST"/>
    <n v="1871967.38"/>
    <m/>
    <n v="1671.92"/>
    <m/>
    <n v="1838.55"/>
    <m/>
    <n v="1000"/>
    <n v="1838.55"/>
    <m/>
    <n v="10000689"/>
    <n v="3115"/>
    <s v="Maskin T - Messanin B"/>
    <n v="1838.55"/>
    <n v="4058213.0295000002"/>
    <s v="3115 Maskin T - Messanin B"/>
    <x v="0"/>
    <x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">
  <r>
    <n v="10"/>
    <s v="23.03.2007"/>
    <s v="31.12.9999"/>
    <s v="X"/>
    <s v="P3"/>
    <s v="Norsk"/>
    <s v="Hverdagsfavoritter Nugatti Max"/>
    <s v="Ferdigvare OFN Pricat"/>
    <s v="Råbekken"/>
    <s v="N/50001541/1"/>
    <x v="0"/>
    <n v="50001541"/>
    <x v="0"/>
    <s v="5959/FR00/FR01"/>
    <s v="Ikke tilordnet"/>
    <s v="Hverdagsfavoritt Linje"/>
    <s v="Konvertering"/>
    <n v="2"/>
    <n v="1"/>
    <s v="X"/>
    <s v="EX"/>
    <s v="Ikke tilordnet"/>
    <m/>
    <s v="Ikke tilordnet"/>
    <s v="NO"/>
    <n v="5959"/>
    <s v="ZFER"/>
    <s v="FR00"/>
    <s v="FR00/FR6021"/>
    <n v="1000"/>
    <n v="1"/>
    <x v="0"/>
    <x v="0"/>
    <x v="0"/>
    <s v="5959 Default5959"/>
    <n v="5959"/>
    <s v=""/>
    <s v="FR6021"/>
  </r>
  <r>
    <n v="10"/>
    <s v="23.03.2007"/>
    <s v="31.12.9999"/>
    <s v="X"/>
    <s v="P3"/>
    <s v="Norsk"/>
    <s v="Hverdagsfavoritter Nugatti Max"/>
    <s v="Ferdigvare OFN Pricat"/>
    <s v="Råbekken"/>
    <s v="N/50001541/2"/>
    <x v="0"/>
    <n v="50001541"/>
    <x v="0"/>
    <s v="5959/FR00/FR01"/>
    <s v="Ikke tilordnet"/>
    <s v="Flowpack 2604"/>
    <s v="Konvertering"/>
    <n v="2"/>
    <n v="1"/>
    <s v="X"/>
    <s v="EX"/>
    <s v="Ikke tilordnet"/>
    <m/>
    <s v="Ikke tilordnet"/>
    <s v="NO"/>
    <n v="5959"/>
    <s v="ZFER"/>
    <s v="FR00"/>
    <s v="FR00/FR6002"/>
    <n v="1000"/>
    <n v="2"/>
    <x v="1"/>
    <x v="0"/>
    <x v="1"/>
    <s v="5959 Optional5959"/>
    <n v="5959"/>
    <s v=""/>
    <s v="FR600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ell1" cacheId="299" autoFormatId="4109" applyNumberFormats="1" applyBorderFormats="1" applyFontFormats="1" applyPatternFormats="1" applyAlignmentFormats="1" applyWidthHeightFormats="1" dataCaption="Data" showError="1" updatedVersion="4" minRefreshableVersion="3" asteriskTotals="1" showMemberPropertyTips="0" useAutoFormatting="1" rowGrandTotals="0" itemPrintTitles="1" createdVersion="3" indent="0" compact="0" compactData="0" gridDropZones="1">
  <location ref="A8:E9" firstHeaderRow="0" firstDataRow="1" firstDataCol="1" rowPageCount="1" colPageCount="1"/>
  <pivotFields count="57"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dataField="1"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numFmtId="14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numFmtId="14" outline="0" subtotalTop="0" showAll="0" includeNewItemsInFilter="1"/>
    <pivotField compact="0" numFmtId="14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dataField="1" compact="0" outline="0" subtotalTop="0" showAll="0" includeNewItemsInFilter="1"/>
    <pivotField compact="0" outline="0" subtotalTop="0" showAll="0" includeNewItemsInFilter="1"/>
    <pivotField dataField="1"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howAll="0" defaultSubtotal="0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howAll="0" defaultSubtotal="0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howAll="0" defaultSubtotal="0"/>
    <pivotField compact="0" outline="0" subtotalTop="0" showAll="0" includeNewItemsInFilter="1"/>
    <pivotField compact="0" outline="0" showAll="0" defaultSubtotal="0"/>
    <pivotField compact="0" outline="0" subtotalTop="0" showAll="0" includeNewItemsInFilter="1"/>
    <pivotField compact="0" outline="0" subtotalTop="0" showAll="0" includeNewItemsInFilter="1"/>
    <pivotField compact="0" outline="0" showAll="0" defaultSubtotal="0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dataField="1" compact="0" numFmtId="38" outline="0" subtotalTop="0" showAll="0" includeNewItemsInFilter="1"/>
    <pivotField compact="0" outline="0" subtotalTop="0" showAll="0" includeNewItemsInFilter="1"/>
    <pivotField axis="axisRow" compact="0" outline="0" subtotalTop="0" showAll="0" includeNewItemsInFilter="1" sortType="descending">
      <items count="2">
        <item x="0"/>
        <item t="default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axis="axisPage" compact="0" outline="0" subtotalTop="0" showAll="0" includeNewItemsInFilter="1">
      <items count="2">
        <item x="0"/>
        <item t="default"/>
      </items>
    </pivotField>
  </pivotFields>
  <rowFields count="1">
    <field x="55"/>
  </rowFields>
  <rowItems count="1">
    <i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pageFields count="1">
    <pageField fld="56" item="0" hier="0"/>
  </pageFields>
  <dataFields count="4">
    <dataField name="Sum av Ord.quantity" fld="3" baseField="0" baseItem="0" numFmtId="38"/>
    <dataField name="Sum av Value" fld="53" baseField="0" baseItem="0" numFmtId="38"/>
    <dataField name="LS " fld="29" subtotal="average" baseField="0" baseItem="0" numFmtId="38"/>
    <dataField name="Lot Size " fld="31" subtotal="average" baseField="0" baseItem="0" numFmtId="38"/>
  </dataFields>
  <formats count="4">
    <format dxfId="11">
      <pivotArea outline="0" fieldPosition="0">
        <references count="1">
          <reference field="4294967294" count="1" selected="0">
            <x v="1"/>
          </reference>
        </references>
      </pivotArea>
    </format>
    <format dxfId="10">
      <pivotArea outline="0" fieldPosition="0">
        <references count="1">
          <reference field="4294967294" count="1" selected="0">
            <x v="2"/>
          </reference>
        </references>
      </pivotArea>
    </format>
    <format dxfId="9">
      <pivotArea outline="0" fieldPosition="0">
        <references count="1">
          <reference field="4294967294" count="1" selected="0">
            <x v="3"/>
          </reference>
        </references>
      </pivotArea>
    </format>
    <format dxfId="8">
      <pivotArea outline="0" fieldPosition="0">
        <references count="1">
          <reference field="4294967294" count="1" selected="0">
            <x v="0"/>
          </reference>
        </references>
      </pivotArea>
    </format>
  </formats>
  <pivotTableStyleInfo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Pivottabell1" cacheId="299" autoFormatId="4109" applyNumberFormats="1" applyBorderFormats="1" applyFontFormats="1" applyPatternFormats="1" applyAlignmentFormats="1" applyWidthHeightFormats="1" dataCaption="Data" showError="1" updatedVersion="4" minRefreshableVersion="3" asteriskTotals="1" showMemberPropertyTips="0" useAutoFormatting="1" rowGrandTotals="0" itemPrintTitles="1" createdVersion="3" indent="0" compact="0" compactData="0" gridDropZones="1">
  <location ref="A12:O15" firstHeaderRow="0" firstDataRow="1" firstDataCol="7" rowPageCount="5" colPageCount="1"/>
  <pivotFields count="57"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dataField="1" compact="0" outline="0" subtotalTop="0" showAll="0" includeNewItemsInFilter="1"/>
    <pivotField axis="axisPage" compact="0" outline="0" subtotalTop="0" showAll="0" includeNewItemsInFilter="1">
      <items count="2">
        <item x="0"/>
        <item t="default"/>
      </items>
    </pivotField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numFmtId="14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axis="axisRow" compact="0" outline="0" subtotalTop="0" showAll="0" includeNewItemsInFilter="1" defaultSubtotal="0">
      <items count="1">
        <item x="0"/>
      </items>
    </pivotField>
    <pivotField compact="0" numFmtId="14" outline="0" subtotalTop="0" showAll="0" includeNewItemsInFilter="1"/>
    <pivotField axis="axisRow" compact="0" numFmtId="14" outline="0" subtotalTop="0" showAll="0" includeNewItemsInFilter="1" defaultSubtotal="0">
      <items count="1">
        <item x="0"/>
      </items>
    </pivotField>
    <pivotField axis="axisPage" compact="0" outline="0" subtotalTop="0" showAll="0" includeNewItemsInFilter="1">
      <items count="2">
        <item x="0"/>
        <item t="default"/>
      </items>
    </pivotField>
    <pivotField axis="axisRow" compact="0" outline="0" subtotalTop="0" showAll="0" includeNewItemsInFilter="1" defaultSubtotal="0">
      <items count="1">
        <item x="0"/>
      </items>
    </pivotField>
    <pivotField compact="0" outline="0" subtotalTop="0" showAll="0" includeNewItemsInFilter="1"/>
    <pivotField compact="0" outline="0" subtotalTop="0" showAll="0" includeNewItemsInFilter="1"/>
    <pivotField axis="axisPage" compact="0" outline="0" subtotalTop="0" showAll="0" includeNewItemsInFilter="1">
      <items count="2">
        <item x="0"/>
        <item t="default"/>
      </items>
    </pivotField>
    <pivotField compact="0" outline="0" subtotalTop="0" showAll="0" includeNewItemsInFilter="1"/>
    <pivotField axis="axisPage" compact="0" outline="0" subtotalTop="0" showAll="0" includeNewItemsInFilter="1">
      <items count="2">
        <item x="0"/>
        <item t="default"/>
      </items>
    </pivotField>
    <pivotField compact="0" outline="0" subtotalTop="0" showAll="0" includeNewItemsInFilter="1"/>
    <pivotField axis="axisRow" compact="0" outline="0" subtotalTop="0" showAll="0" includeNewItemsInFilter="1">
      <items count="2">
        <item x="0"/>
        <item t="default"/>
      </items>
    </pivotField>
    <pivotField axis="axisPage" compact="0" outline="0" subtotalTop="0" showAll="0" includeNewItemsInFilter="1">
      <items count="2">
        <item x="0"/>
        <item t="default"/>
      </items>
    </pivotField>
    <pivotField dataField="1" compact="0" outline="0" subtotalTop="0" showAll="0" includeNewItemsInFilter="1"/>
    <pivotField compact="0" outline="0" subtotalTop="0" showAll="0" includeNewItemsInFilter="1"/>
    <pivotField dataField="1"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howAll="0" defaultSubtotal="0"/>
    <pivotField compact="0" outline="0" subtotalTop="0" showAll="0" includeNewItemsInFilter="1"/>
    <pivotField axis="axisRow" compact="0" outline="0" subtotalTop="0" showAll="0" includeNewItemsInFilter="1" defaultSubtotal="0">
      <items count="1">
        <item x="0"/>
      </items>
    </pivotField>
    <pivotField compact="0" outline="0" subtotalTop="0" showAll="0" includeNewItemsInFilter="1"/>
    <pivotField dataField="1" compact="0" outline="0" subtotalTop="0" showAll="0" includeNewItemsInFilter="1"/>
    <pivotField compact="0" outline="0" showAll="0" defaultSubtotal="0"/>
    <pivotField dataField="1" compact="0" outline="0" subtotalTop="0" showAll="0" includeNewItemsInFilter="1"/>
    <pivotField compact="0" outline="0" subtotalTop="0" showAll="0" includeNewItemsInFilter="1"/>
    <pivotField dataField="1" compact="0" outline="0" subtotalTop="0" showAll="0" includeNewItemsInFilter="1"/>
    <pivotField compact="0" outline="0" showAll="0" defaultSubtotal="0"/>
    <pivotField compact="0" outline="0" subtotalTop="0" showAll="0" includeNewItemsInFilter="1"/>
    <pivotField compact="0" outline="0" showAll="0" defaultSubtotal="0"/>
    <pivotField compact="0" outline="0" subtotalTop="0" showAll="0" includeNewItemsInFilter="1"/>
    <pivotField dataField="1" compact="0" outline="0" subtotalTop="0" showAll="0" includeNewItemsInFilter="1"/>
    <pivotField compact="0" outline="0" showAll="0" defaultSubtotal="0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dataField="1" compact="0" numFmtId="38" outline="0" subtotalTop="0" showAll="0" includeNewItemsInFilter="1"/>
    <pivotField compact="0" outline="0" subtotalTop="0" showAll="0" includeNewItemsInFilter="1"/>
    <pivotField axis="axisRow" compact="0" outline="0" subtotalTop="0" showAll="0" includeNewItemsInFilter="1" sortType="descending" defaultSubtotal="0">
      <items count="1">
        <item x="0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axis="axisRow" compact="0" outline="0" subtotalTop="0" showAll="0" insertBlankRow="1" includeNewItemsInFilter="1">
      <items count="2">
        <item x="0"/>
        <item t="default"/>
      </items>
    </pivotField>
  </pivotFields>
  <rowFields count="7">
    <field x="56"/>
    <field x="55"/>
    <field x="16"/>
    <field x="36"/>
    <field x="20"/>
    <field x="18"/>
    <field x="27"/>
  </rowFields>
  <rowItems count="3">
    <i>
      <x/>
      <x/>
      <x/>
      <x/>
      <x/>
      <x/>
      <x/>
    </i>
    <i t="default">
      <x/>
    </i>
    <i t="blank">
      <x/>
    </i>
  </rowItems>
  <colFields count="1">
    <field x="-2"/>
  </colFields>
  <colItems count="8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</colItems>
  <pageFields count="5">
    <pageField fld="28" hier="0"/>
    <pageField fld="25" hier="0"/>
    <pageField fld="4" hier="0"/>
    <pageField fld="19" hier="0"/>
    <pageField fld="23" hier="0"/>
  </pageFields>
  <dataFields count="8">
    <dataField name="Sum av Ord.quantity" fld="3" baseField="0" baseItem="0" numFmtId="38"/>
    <dataField name="Value " fld="53" baseField="0" baseItem="0" numFmtId="38"/>
    <dataField name="LS " fld="29" subtotal="average" baseField="0" baseItem="0" numFmtId="38"/>
    <dataField name="Lot Size " fld="31" subtotal="average" baseField="0" baseItem="0" numFmtId="38"/>
    <dataField name="Total Stock " fld="38" subtotal="average" baseField="0" baseItem="0" numFmtId="38"/>
    <dataField name="Total Value " fld="40" subtotal="average" baseField="0" baseItem="0" numFmtId="38"/>
    <dataField name="MovAvgPrice " fld="42" subtotal="average" baseField="0" baseItem="0" numFmtId="38"/>
    <dataField name="Crt Plan Price " fld="47" subtotal="average" baseField="0" baseItem="0" numFmtId="38"/>
  </dataFields>
  <formats count="8">
    <format dxfId="7">
      <pivotArea outline="0" fieldPosition="0">
        <references count="1">
          <reference field="4294967294" count="1" selected="0">
            <x v="1"/>
          </reference>
        </references>
      </pivotArea>
    </format>
    <format dxfId="6">
      <pivotArea outline="0" fieldPosition="0">
        <references count="1">
          <reference field="4294967294" count="1" selected="0">
            <x v="2"/>
          </reference>
        </references>
      </pivotArea>
    </format>
    <format dxfId="5">
      <pivotArea outline="0" fieldPosition="0">
        <references count="1">
          <reference field="4294967294" count="1" selected="0">
            <x v="3"/>
          </reference>
        </references>
      </pivotArea>
    </format>
    <format dxfId="4">
      <pivotArea outline="0" fieldPosition="0">
        <references count="1">
          <reference field="4294967294" count="1">
            <x v="4"/>
          </reference>
        </references>
      </pivotArea>
    </format>
    <format dxfId="3">
      <pivotArea outline="0" fieldPosition="0">
        <references count="1">
          <reference field="4294967294" count="1">
            <x v="5"/>
          </reference>
        </references>
      </pivotArea>
    </format>
    <format dxfId="2">
      <pivotArea outline="0" fieldPosition="0">
        <references count="1">
          <reference field="4294967294" count="1">
            <x v="6"/>
          </reference>
        </references>
      </pivotArea>
    </format>
    <format dxfId="1">
      <pivotArea outline="0" fieldPosition="0">
        <references count="1">
          <reference field="4294967294" count="1">
            <x v="7"/>
          </reference>
        </references>
      </pivotArea>
    </format>
    <format dxfId="0">
      <pivotArea outline="0" fieldPosition="0">
        <references count="1">
          <reference field="4294967294" count="1" selected="0">
            <x v="0"/>
          </reference>
        </references>
      </pivotArea>
    </format>
  </formats>
  <pivotTableStyleInfo showRowHeaders="1" showColHeaders="1" showRowStripes="0" showColStripes="0" showLastColumn="1"/>
</pivotTableDefinition>
</file>

<file path=xl/pivotTables/pivotTable3.xml><?xml version="1.0" encoding="utf-8"?>
<pivotTableDefinition xmlns="http://schemas.openxmlformats.org/spreadsheetml/2006/main" name="Pivottabell1" cacheId="300" applyNumberFormats="0" applyBorderFormats="0" applyFontFormats="0" applyPatternFormats="0" applyAlignmentFormats="0" applyWidthHeightFormats="1" dataCaption="Data" showError="1" updatedVersion="4" minRefreshableVersion="3" asteriskTotals="1" showMemberPropertyTips="0" useAutoFormatting="1" rowGrandTotals="0" itemPrintTitles="1" createdVersion="3" indent="0" compact="0" compactData="0" gridDropZones="1">
  <location ref="A10:I13" firstHeaderRow="1" firstDataRow="2" firstDataCol="4" rowPageCount="1" colPageCount="1"/>
  <pivotFields count="38">
    <pivotField compact="0" outline="0" subtotalTop="0" showAll="0" includeNewItemsInFilter="1"/>
    <pivotField compact="0" numFmtId="14" outline="0" subtotalTop="0" showAll="0" includeNewItemsInFilter="1"/>
    <pivotField compact="0" numFmtId="14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ubtotalTop="0" showAll="0" includeNewItemsInFilter="1"/>
    <pivotField axis="axisPage" compact="0" outline="0" subtotalTop="0" showAll="0" includeNewItemsInFilter="1">
      <items count="3">
        <item m="1" x="1"/>
        <item x="0"/>
        <item t="default"/>
      </items>
    </pivotField>
    <pivotField compact="0" outline="0" subtotalTop="0" showAll="0" includeNewItemsInFilter="1"/>
    <pivotField axis="axisRow" compact="0" outline="0" subtotalTop="0" showAll="0" includeNewItemsInFilter="1" defaultSubtotal="0">
      <items count="2">
        <item m="1" x="1"/>
        <item x="0"/>
      </items>
    </pivotField>
    <pivotField name="Version2" compact="0" outline="0" showAll="0" defaultSubtotal="0"/>
    <pivotField compact="0" outline="0" subtotalTop="0" showAll="0" includeNewItemsInFilter="1"/>
    <pivotField compact="0" outline="0" showAll="0" defaultSubtotal="0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howAll="0" defaultSubtotal="0"/>
    <pivotField dataField="1"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howAll="0" defaultSubtotal="0"/>
    <pivotField compact="0" outline="0" showAll="0" defaultSubtotal="0"/>
    <pivotField compact="0" outline="0" subtotalTop="0" showAll="0" includeNewItemsInFilter="1"/>
    <pivotField compact="0" outline="0" showAll="0" defaultSubtotal="0"/>
    <pivotField compact="0" outline="0" subtotalTop="0" showAll="0" includeNewItemsInFilter="1"/>
    <pivotField compact="0" outline="0" showAll="0" defaultSubtotal="0"/>
    <pivotField dataField="1" compact="0" outline="0" subtotalTop="0" showAll="0" includeNewItemsInFilter="1"/>
    <pivotField compact="0" outline="0" subtotalTop="0" showAll="0" includeNewItemsInFilter="1"/>
    <pivotField axis="axisRow" compact="0" outline="0" subtotalTop="0" showAll="0" includeNewItemsInFilter="1" sortType="ascending" rankBy="0" defaultSubtotal="0">
      <items count="3">
        <item m="1" x="2"/>
        <item x="0"/>
        <item x="1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Row" compact="0" outline="0" subtotalTop="0" showAll="0" includeNewItemsInFilter="1" sortType="ascending" rankBy="0" defaultSubtotal="0">
      <items count="3">
        <item m="1" x="2"/>
        <item m="1" x="1"/>
        <item x="0"/>
      </items>
    </pivotField>
    <pivotField axis="axisRow" compact="0" outline="0" subtotalTop="0" showAll="0" includeNewItemsInFilter="1">
      <items count="3">
        <item x="0"/>
        <item x="1"/>
        <item t="default"/>
      </items>
    </pivotField>
    <pivotField dataField="1" compact="0" outline="0" subtotalTop="0" showAll="0" includeNewItemsInFilter="1"/>
    <pivotField dataField="1" compact="0" outline="0" subtotalTop="0" showAll="0" includeNewItemsInFilter="1"/>
    <pivotField dataField="1" compact="0" outline="0" subtotalTop="0" showAll="0" includeNewItemsInFilter="1"/>
    <pivotField compact="0" outline="0" subtotalTop="0" showAll="0" includeNewItemsInFilter="1"/>
  </pivotFields>
  <rowFields count="4">
    <field x="32"/>
    <field x="31"/>
    <field x="12"/>
    <field x="33"/>
  </rowFields>
  <rowItems count="2">
    <i>
      <x v="2"/>
      <x v="1"/>
      <x v="1"/>
      <x/>
    </i>
    <i r="1">
      <x v="2"/>
      <x v="1"/>
      <x v="1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pageFields count="1">
    <pageField fld="10" hier="0"/>
  </pageFields>
  <dataFields count="5">
    <dataField name="Version" fld="35" subtotal="average" baseField="0" baseItem="0"/>
    <dataField name="Lot Size" fld="20" subtotal="average" baseField="0" baseItem="0"/>
    <dataField name="Costing Lot Size " fld="29" subtotal="average" baseField="0" baseItem="0" numFmtId="38"/>
    <dataField name="Prof. " fld="36" subtotal="average" baseField="0" baseItem="0"/>
    <dataField name="Items" fld="34" subtotal="count" baseField="0" baseItem="0"/>
  </dataFields>
  <pivotTableStyleInfo showRowHeaders="1" showColHeaders="1" showRowStripes="0" showColStripes="0" showLastColumn="1"/>
</pivotTableDefinition>
</file>

<file path=xl/tables/table1.xml><?xml version="1.0" encoding="utf-8"?>
<table xmlns="http://schemas.openxmlformats.org/spreadsheetml/2006/main" id="1" name="SapExlData" displayName="SapExlData" ref="A1:AL3" totalsRowShown="0" headerRowDxfId="95">
  <autoFilter ref="A1:AL3"/>
  <tableColumns count="38">
    <tableColumn id="1" name="MS" dataDxfId="94"/>
    <tableColumn id="2" name="Valid from"/>
    <tableColumn id="3" name="Valid to"/>
    <tableColumn id="4" name="Clt"/>
    <tableColumn id="5" name="Typ" dataDxfId="93"/>
    <tableColumn id="6" name="Språktekst"/>
    <tableColumn id="7" name="Materialtekst"/>
    <tableColumn id="8" name="Materialtypetekst"/>
    <tableColumn id="9" name="Fabrikktekst"/>
    <tableColumn id="10" name="Node"/>
    <tableColumn id="11" name="TLType"/>
    <tableColumn id="12" name="Group"/>
    <tableColumn id="13" name="PrCtr"/>
    <tableColumn id="14" name="Version"/>
    <tableColumn id="15" name="MRPpr" dataDxfId="92"/>
    <tableColumn id="16" name="Wctekst"/>
    <tableColumn id="17" name="MRPC"/>
    <tableColumn id="18" name="GrC"/>
    <tableColumn id="19" name="ObjectID"/>
    <tableColumn id="20" name="PI"/>
    <tableColumn id="21" name="LS"/>
    <tableColumn id="22" name="Prod.Vers.Locked"/>
    <tableColumn id="23" name="Valid from2"/>
    <tableColumn id="24" name="OrgProf."/>
    <tableColumn id="25" name="Språk"/>
    <tableColumn id="26" name="Material"/>
    <tableColumn id="27" name="Mtyp"/>
    <tableColumn id="28" name="Plnt"/>
    <tableColumn id="29" name="WCKode"/>
    <tableColumn id="30" name="Costing Lot Size"/>
    <tableColumn id="31" name="Counter"/>
    <tableColumn id="32" name="Work Center" dataDxfId="91">
      <calculatedColumnFormula>RIGHT(SapExlData[WCKode],LEN(SapExlData[WCKode])-5)&amp;" "&amp;SapExlData[Wctekst]</calculatedColumnFormula>
    </tableColumn>
    <tableColumn id="33" name="Material Name" dataDxfId="90">
      <calculatedColumnFormula>SapExlData[Material]&amp;" "&amp;SapExlData[Materialtekst]</calculatedColumnFormula>
    </tableColumn>
    <tableColumn id="34" name="Default_Test" dataDxfId="89">
      <calculatedColumnFormula>IF(Z2&lt;&gt;Z1,"Default","Optional")</calculatedColumnFormula>
    </tableColumn>
    <tableColumn id="35" name="Index" dataDxfId="88">
      <calculatedColumnFormula>SapExlData[Material]&amp;" "&amp;AH2&amp;LEFT(SapExlData[Version],LEN(SapExlData[Version])-10)</calculatedColumnFormula>
    </tableColumn>
    <tableColumn id="38" name="Ver." dataDxfId="87">
      <calculatedColumnFormula>INT(LEFT(SapExlData[Version],4))</calculatedColumnFormula>
    </tableColumn>
    <tableColumn id="37" name="Prof." dataDxfId="86">
      <calculatedColumnFormula>IF(ISERROR(INT(SapExlData[OrgProf.])),"",SapExlData[OrgProf.])</calculatedColumnFormula>
    </tableColumn>
    <tableColumn id="36" name="WC" dataDxfId="85">
      <calculatedColumnFormula>RIGHT(SapExlData[WCKode],LEN(SapExlData[WCKode])-5)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3" name="DefaultGroups" displayName="DefaultGroups" ref="A1:BE3" totalsRowShown="0" headerRowDxfId="84">
  <autoFilter ref="A1:BE3"/>
  <tableColumns count="57">
    <tableColumn id="1" name="Plnd order" dataDxfId="83"/>
    <tableColumn id="2" name="PrPn" dataDxfId="82"/>
    <tableColumn id="3" name="Procurement proposal type" dataDxfId="81"/>
    <tableColumn id="4" name="Ord.quantity" dataDxfId="80"/>
    <tableColumn id="5" name="BUn" dataDxfId="79"/>
    <tableColumn id="6" name="Reqmt Qty" dataDxfId="78"/>
    <tableColumn id="7" name="BUn2" dataDxfId="77"/>
    <tableColumn id="8" name="PlPl" dataDxfId="76"/>
    <tableColumn id="9" name="Part. lot qty" dataDxfId="75"/>
    <tableColumn id="10" name="BUn3" dataDxfId="74"/>
    <tableColumn id="11" name="Scrap" dataDxfId="73"/>
    <tableColumn id="12" name="BUn4" dataDxfId="72"/>
    <tableColumn id="13" name="PSc" dataDxfId="71"/>
    <tableColumn id="14" name="OrderStart" dataDxfId="70"/>
    <tableColumn id="15" name="Material" dataDxfId="69"/>
    <tableColumn id="16" name="Plnt" dataDxfId="68"/>
    <tableColumn id="17" name="Ver." dataDxfId="67"/>
    <tableColumn id="18" name="Valid to" dataDxfId="66"/>
    <tableColumn id="19" name="Valid from" dataDxfId="65"/>
    <tableColumn id="20" name="TLType" dataDxfId="64"/>
    <tableColumn id="21" name="Group" dataDxfId="63"/>
    <tableColumn id="22" name="GrC" dataDxfId="62"/>
    <tableColumn id="23" name="Prod.Vers.Locked" dataDxfId="61"/>
    <tableColumn id="24" name="Clt" dataDxfId="60"/>
    <tableColumn id="25" name="Pl" dataDxfId="59"/>
    <tableColumn id="26" name="MS" dataDxfId="58"/>
    <tableColumn id="56" name="MRPpr" dataDxfId="57"/>
    <tableColumn id="55" name="Typ" dataDxfId="56"/>
    <tableColumn id="54" name="MRPC" dataDxfId="55"/>
    <tableColumn id="53" name="LS" dataDxfId="54"/>
    <tableColumn id="52" name="PrCtr" dataDxfId="53"/>
    <tableColumn id="51" name="Costing Lot Size" dataDxfId="52"/>
    <tableColumn id="50" name="BUn5" dataDxfId="51"/>
    <tableColumn id="49" name="Prof." dataDxfId="50"/>
    <tableColumn id="48" name="Valid from6" dataDxfId="49"/>
    <tableColumn id="47" name="Material Description" dataDxfId="48"/>
    <tableColumn id="46" name="Node" dataDxfId="47"/>
    <tableColumn id="45" name="Counter" dataDxfId="46"/>
    <tableColumn id="44" name="Total Stock" dataDxfId="45"/>
    <tableColumn id="43" name="BUn7" dataDxfId="44"/>
    <tableColumn id="42" name="Total Value" dataDxfId="43"/>
    <tableColumn id="41" name="Crcy" dataDxfId="42"/>
    <tableColumn id="40" name="MovAvgPrice" dataDxfId="41"/>
    <tableColumn id="39" name="Crcy8" dataDxfId="40"/>
    <tableColumn id="38" name="Standard price" dataDxfId="39"/>
    <tableColumn id="37" name="Crcy9" dataDxfId="38"/>
    <tableColumn id="31" name="per" dataDxfId="37"/>
    <tableColumn id="30" name="Crt Plan Price" dataDxfId="36"/>
    <tableColumn id="29" name="Crcy10" dataDxfId="35"/>
    <tableColumn id="28" name="ObjectID" dataDxfId="34"/>
    <tableColumn id="58" name="Work ctr" dataDxfId="33"/>
    <tableColumn id="57" name="Short description" dataDxfId="32"/>
    <tableColumn id="32" name="Price" dataDxfId="31">
      <calculatedColumnFormula>IF(AS2=0,AV2,AS2)</calculatedColumnFormula>
    </tableColumn>
    <tableColumn id="33" name="Value" dataDxfId="30">
      <calculatedColumnFormula>BA2*D2/AU2</calculatedColumnFormula>
    </tableColumn>
    <tableColumn id="34" name="Work Center" dataDxfId="29">
      <calculatedColumnFormula>TEXT(AY2,"0000")&amp;" "&amp;AZ2</calculatedColumnFormula>
    </tableColumn>
    <tableColumn id="35" name="Material Name" dataDxfId="28">
      <calculatedColumnFormula>TEXT(O2,"000000")&amp;" "&amp;AJ2</calculatedColumnFormula>
    </tableColumn>
    <tableColumn id="36" name="Default_Test" dataDxfId="2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ExchangeRates" displayName="ExchangeRates" ref="A1:D14" totalsRowShown="0" headerRowDxfId="26">
  <autoFilter ref="A1:D14"/>
  <tableColumns count="4">
    <tableColumn id="1" name="From"/>
    <tableColumn id="2" name="To"/>
    <tableColumn id="3" name="Valid from" dataDxfId="25"/>
    <tableColumn id="4" name="Value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6" name="ProductHierarchyLevels" displayName="ProductHierarchyLevels" ref="A1:C561" totalsRowShown="0">
  <autoFilter ref="A1:C561"/>
  <tableColumns count="3">
    <tableColumn id="1" name="Product hierarchy"/>
    <tableColumn id="2" name="Number of the level in the pro"/>
    <tableColumn id="3" name="Description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7" name="CustomerHierarchyLevels" displayName="CustomerHierarchyLevels" ref="A1:S536" totalsRowShown="0">
  <autoFilter ref="A1:S536"/>
  <tableColumns count="19">
    <tableColumn id="1" name="Customer"/>
    <tableColumn id="2" name="SOrg."/>
    <tableColumn id="3" name="DChl"/>
    <tableColumn id="4" name="Dv"/>
    <tableColumn id="5" name="Valid from"/>
    <tableColumn id="6" name="Valid to"/>
    <tableColumn id="7" name="HgLvCust."/>
    <tableColumn id="8" name="HLSOr"/>
    <tableColumn id="9" name="HLDCh"/>
    <tableColumn id="10" name="HLDiv"/>
    <tableColumn id="11" name="RNo"/>
    <tableColumn id="12" name="Reb."/>
    <tableColumn id="13" name="Prc"/>
    <tableColumn id="14" name="HA"/>
    <tableColumn id="15" name="Cty"/>
    <tableColumn id="16" name="Name 1"/>
    <tableColumn id="17" name="Level1" dataDxfId="24">
      <calculatedColumnFormula>IF(CustomerHierarchyLevels[[#This Row],[HgLvCust.]]=0,CustomerHierarchyLevels[[#This Row],[Customer]],CustomerHierarchyLevels[[#This Row],[HgLvCust.]])</calculatedColumnFormula>
    </tableColumn>
    <tableColumn id="18" name="Level2" dataDxfId="23">
      <calculatedColumnFormula>IF(VLOOKUP(CustomerHierarchyLevels[[#This Row],[Level1]],CustomerHierarchyLevels[],7,FALSE)=0,CustomerHierarchyLevels[[#This Row],[Level1]],VLOOKUP(CustomerHierarchyLevels[[#This Row],[Level1]],CustomerHierarchyLevels[],7,FALSE))</calculatedColumnFormula>
    </tableColumn>
    <tableColumn id="19" name="Level3" dataDxfId="22">
      <calculatedColumnFormula>IF(VLOOKUP(CustomerHierarchyLevels[[#This Row],[Level2]],CustomerHierarchyLevels[],7,FALSE)=0,CustomerHierarchyLevels[[#This Row],[Level2]],VLOOKUP(CustomerHierarchyLevels[[#This Row],[Level2]],CustomerHierarchyLevels[],7,FALSE))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3" name="Descriptions" displayName="Descriptions" ref="A1:B82" totalsRowShown="0" headerRowDxfId="21">
  <autoFilter ref="A1:B82"/>
  <tableColumns count="2">
    <tableColumn id="1" name="FieldName"/>
    <tableColumn id="2" name="Description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5" name="PvtTableDef" displayName="PvtTableDef" ref="A1:AG2" tableType="xml" insertRow="1" totalsRowShown="0" connectionId="1">
  <autoFilter ref="A1:AG2"/>
  <tableColumns count="33">
    <tableColumn id="1" uniqueName="UserID" name="UserID" dataDxfId="20">
      <xmlColumnPr mapId="1" xpath="/XtraSerializer/@UserID" xmlDataType="integer"/>
    </tableColumn>
    <tableColumn id="2" uniqueName="ReportID" name="ReportID">
      <xmlColumnPr mapId="1" xpath="/XtraSerializer/@ReportID" xmlDataType="integer"/>
    </tableColumn>
    <tableColumn id="3" uniqueName="VariantID" name="VariantID" dataDxfId="19">
      <xmlColumnPr mapId="1" xpath="/XtraSerializer/@VariantID" xmlDataType="integer"/>
    </tableColumn>
    <tableColumn id="4" uniqueName="SheetName" name="SheetName" dataDxfId="18">
      <xmlColumnPr mapId="1" xpath="/XtraSerializer/property/@SheetName" xmlDataType="string"/>
    </tableColumn>
    <tableColumn id="5" uniqueName="TableName" name="TableName" dataDxfId="17">
      <xmlColumnPr mapId="1" xpath="/XtraSerializer/property/@TableName" xmlDataType="string"/>
    </tableColumn>
    <tableColumn id="6" uniqueName="Seq" name="Seq" dataDxfId="16">
      <xmlColumnPr mapId="1" xpath="/XtraSerializer/property/property/@Seq" xmlDataType="integer"/>
    </tableColumn>
    <tableColumn id="7" uniqueName="PivotElement" name="PivotElement">
      <xmlColumnPr mapId="1" xpath="/XtraSerializer/property/property/@PivotElement" xmlDataType="string"/>
    </tableColumn>
    <tableColumn id="8" uniqueName="SourceName" name="SourceName">
      <xmlColumnPr mapId="1" xpath="/XtraSerializer/property/property/@SourceName" xmlDataType="string"/>
    </tableColumn>
    <tableColumn id="9" uniqueName="ColumnGrand" name="ColumnGrand" dataDxfId="15">
      <xmlColumnPr mapId="1" xpath="/XtraSerializer/property/property/@ColumnGrand" xmlDataType="integer"/>
    </tableColumn>
    <tableColumn id="10" uniqueName="RowGrand" name="RowGrand">
      <xmlColumnPr mapId="1" xpath="/XtraSerializer/property/property/@RowGrand" xmlDataType="integer"/>
    </tableColumn>
    <tableColumn id="11" uniqueName="DisplayErrorString" name="DisplayErrorString">
      <xmlColumnPr mapId="1" xpath="/XtraSerializer/property/property/@DisplayErrorString" xmlDataType="integer"/>
    </tableColumn>
    <tableColumn id="12" uniqueName="TableStart" name="TableStart">
      <xmlColumnPr mapId="1" xpath="/XtraSerializer/property/property/@TableStart" xmlDataType="string"/>
    </tableColumn>
    <tableColumn id="13" uniqueName="FieldList" name="FieldList" dataDxfId="14">
      <xmlColumnPr mapId="1" xpath="/XtraSerializer/property/property/@FieldList" xmlDataType="integer"/>
    </tableColumn>
    <tableColumn id="14" uniqueName="MissingItems" name="MissingItems" dataDxfId="13">
      <xmlColumnPr mapId="1" xpath="/XtraSerializer/property/property/@MissingItems" xmlDataType="string"/>
    </tableColumn>
    <tableColumn id="15" uniqueName="SaveData" name="SaveData">
      <xmlColumnPr mapId="1" xpath="/XtraSerializer/property/property/@SaveData" xmlDataType="string"/>
    </tableColumn>
    <tableColumn id="16" uniqueName="ShowDrillIndicators" name="ShowDrillIndicators">
      <xmlColumnPr mapId="1" xpath="/XtraSerializer/property/property/@ShowDrillIndicators" xmlDataType="string"/>
    </tableColumn>
    <tableColumn id="17" uniqueName="Caption" name="Caption">
      <xmlColumnPr mapId="1" xpath="/XtraSerializer/property/property/@Caption" xmlDataType="string"/>
    </tableColumn>
    <tableColumn id="18" uniqueName="Name" name="Name">
      <xmlColumnPr mapId="1" xpath="/XtraSerializer/property/property/@Name" xmlDataType="string"/>
    </tableColumn>
    <tableColumn id="19" uniqueName="NumberFormat" name="NumberFormat">
      <xmlColumnPr mapId="1" xpath="/XtraSerializer/property/property/@NumberFormat" xmlDataType="string"/>
    </tableColumn>
    <tableColumn id="20" uniqueName="Orientation" name="Orientation">
      <xmlColumnPr mapId="1" xpath="/XtraSerializer/property/property/@Orientation" xmlDataType="integer"/>
    </tableColumn>
    <tableColumn id="21" uniqueName="Formula" name="Formula">
      <xmlColumnPr mapId="1" xpath="/XtraSerializer/property/property/@Formula" xmlDataType="string"/>
    </tableColumn>
    <tableColumn id="22" uniqueName="CurrentPage" name="CurrentPage">
      <xmlColumnPr mapId="1" xpath="/XtraSerializer/property/property/@CurrentPage" xmlDataType="string"/>
    </tableColumn>
    <tableColumn id="23" uniqueName="CpSourceName" name="CpSourceName">
      <xmlColumnPr mapId="1" xpath="/XtraSerializer/property/property/@CpSourceName" xmlDataType="string"/>
    </tableColumn>
    <tableColumn id="24" uniqueName="PivotItems" name="PivotItems">
      <xmlColumnPr mapId="1" xpath="/XtraSerializer/property/property/@PivotItems" xmlDataType="string"/>
    </tableColumn>
    <tableColumn id="25" uniqueName="Visible" name="Visible">
      <xmlColumnPr mapId="1" xpath="/XtraSerializer/property/property/@Visible" xmlDataType="integer"/>
    </tableColumn>
    <tableColumn id="26" uniqueName="AutoSortOrder" name="AutoSortOrder">
      <xmlColumnPr mapId="1" xpath="/XtraSerializer/property/property/@AutoSortOrder" xmlDataType="integer"/>
    </tableColumn>
    <tableColumn id="27" uniqueName="AutoSortField" name="AutoSortField">
      <xmlColumnPr mapId="1" xpath="/XtraSerializer/property/property/@AutoSortField" xmlDataType="string"/>
    </tableColumn>
    <tableColumn id="28" uniqueName="SubTotals" name="SubTotals">
      <xmlColumnPr mapId="1" xpath="/XtraSerializer/property/property/@SubTotals" xmlDataType="integer"/>
    </tableColumn>
    <tableColumn id="29" uniqueName="Function" name="Function">
      <xmlColumnPr mapId="1" xpath="/XtraSerializer/property/property/@Function" xmlDataType="integer"/>
    </tableColumn>
    <tableColumn id="30" uniqueName="Calculation" name="Calculation">
      <xmlColumnPr mapId="1" xpath="/XtraSerializer/property/property/@Calculation" xmlDataType="integer"/>
    </tableColumn>
    <tableColumn id="31" uniqueName="BaseField" name="BaseField">
      <xmlColumnPr mapId="1" xpath="/XtraSerializer/property/property/@BaseField" xmlDataType="string"/>
    </tableColumn>
    <tableColumn id="32" uniqueName="BaseItem" name="BaseItem">
      <xmlColumnPr mapId="1" xpath="/XtraSerializer/property/property/@BaseItem" xmlDataType="string"/>
    </tableColumn>
    <tableColumn id="33" uniqueName="Position" name="Position">
      <xmlColumnPr mapId="1" xpath="/XtraSerializer/property/property/@Position" xmlDataType="integer"/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8" name="tOrderStatusCodes" displayName="tOrderStatusCodes" ref="A1:C5" totalsRowShown="0">
  <autoFilter ref="A1:C5"/>
  <tableColumns count="3">
    <tableColumn id="1" name="DS1"/>
    <tableColumn id="2" name="Text"/>
    <tableColumn id="3" name="Descriptio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Sectors" displayName="tSectors" ref="E1:F6" totalsRowShown="0">
  <autoFilter ref="E1:F6"/>
  <tableColumns count="2">
    <tableColumn id="1" name="Profit Center"/>
    <tableColumn id="2" name="Sector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MaterialPrice" displayName="tMaterialPrice" ref="E4:G7" totalsRowShown="0">
  <autoFilter ref="E4:G7"/>
  <tableColumns count="3">
    <tableColumn id="1" name="Material Price" dataDxfId="12"/>
    <tableColumn id="2" name="Value"/>
    <tableColumn id="3" name="Description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10" name="tCustomerLevel" displayName="tCustomerLevel" ref="I4:K8" totalsRowShown="0">
  <autoFilter ref="I4:K8"/>
  <tableColumns count="3">
    <tableColumn id="1" name="Level"/>
    <tableColumn id="3" name="Column"/>
    <tableColumn id="2" name="Description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11" name="tProductHierarchyLevel" displayName="tProductHierarchyLevel" ref="M4:O8" totalsRowShown="0">
  <autoFilter ref="M4:O8"/>
  <tableColumns count="3">
    <tableColumn id="1" name="Level"/>
    <tableColumn id="2" name="Characters"/>
    <tableColumn id="3" name="Descriptio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gradFill flip="none" rotWithShape="1">
          <a:gsLst>
            <a:gs pos="0">
              <a:schemeClr val="bg1">
                <a:lumMod val="85000"/>
              </a:schemeClr>
            </a:gs>
            <a:gs pos="100000">
              <a:schemeClr val="bg1"/>
            </a:gs>
          </a:gsLst>
          <a:lin ang="2700000" scaled="1"/>
          <a:tileRect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a:spPr>
      <a:bodyPr vertOverflow="clip" horzOverflow="clip" wrap="none" tIns="0" bIns="0" rtlCol="0" anchor="t">
        <a:spAutoFit/>
      </a:bodyPr>
      <a:lstStyle>
        <a:defPPr algn="l">
          <a:defRPr sz="1600" b="1" i="0" u="none" strike="noStrike">
            <a:solidFill>
              <a:srgbClr val="C00000"/>
            </a:solidFill>
            <a:latin typeface="Calibri"/>
          </a:defRPr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table" Target="../tables/table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table" Target="../tables/table11.xml"/><Relationship Id="rId1" Type="http://schemas.openxmlformats.org/officeDocument/2006/relationships/table" Target="../tables/table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6">
    <tabColor rgb="FFFF8080"/>
  </sheetPr>
  <dimension ref="A1:AL3"/>
  <sheetViews>
    <sheetView showGridLines="0" zoomScale="85" zoomScaleNormal="85" workbookViewId="0">
      <pane ySplit="1" topLeftCell="A2" activePane="bottomLeft" state="frozen"/>
      <selection pane="bottomLeft" activeCell="A2" sqref="A2"/>
    </sheetView>
  </sheetViews>
  <sheetFormatPr defaultColWidth="11.42578125" defaultRowHeight="15" x14ac:dyDescent="0.25"/>
  <cols>
    <col min="1" max="1" width="6.5703125" bestFit="1" customWidth="1"/>
    <col min="2" max="2" width="12.5703125" bestFit="1" customWidth="1"/>
    <col min="3" max="3" width="10.28515625" bestFit="1" customWidth="1"/>
    <col min="4" max="4" width="6" bestFit="1" customWidth="1"/>
    <col min="5" max="5" width="6.85546875" bestFit="1" customWidth="1"/>
    <col min="6" max="6" width="12.7109375" bestFit="1" customWidth="1"/>
    <col min="7" max="7" width="30.28515625" bestFit="1" customWidth="1"/>
    <col min="8" max="8" width="20.85546875" bestFit="1" customWidth="1"/>
    <col min="9" max="9" width="14.28515625" bestFit="1" customWidth="1"/>
    <col min="10" max="10" width="13.42578125" bestFit="1" customWidth="1"/>
    <col min="11" max="11" width="9.7109375" bestFit="1" customWidth="1"/>
    <col min="12" max="12" width="9.28515625" bestFit="1" customWidth="1"/>
    <col min="13" max="13" width="16" bestFit="1" customWidth="1"/>
    <col min="14" max="14" width="15.42578125" bestFit="1" customWidth="1"/>
    <col min="15" max="15" width="13.7109375" bestFit="1" customWidth="1"/>
    <col min="16" max="16" width="21.28515625" bestFit="1" customWidth="1"/>
    <col min="17" max="17" width="12.5703125" bestFit="1" customWidth="1"/>
    <col min="18" max="18" width="6.85546875" customWidth="1"/>
    <col min="19" max="19" width="11" bestFit="1" customWidth="1"/>
    <col min="20" max="20" width="5.28515625" bestFit="1" customWidth="1"/>
    <col min="21" max="21" width="5.7109375" bestFit="1" customWidth="1"/>
    <col min="22" max="22" width="18.85546875" bestFit="1" customWidth="1"/>
    <col min="23" max="23" width="13.5703125" bestFit="1" customWidth="1"/>
    <col min="24" max="24" width="13.7109375" bestFit="1" customWidth="1"/>
    <col min="25" max="25" width="11.85546875" bestFit="1" customWidth="1"/>
    <col min="26" max="26" width="10.85546875" bestFit="1" customWidth="1"/>
    <col min="27" max="27" width="8.140625" bestFit="1" customWidth="1"/>
    <col min="28" max="28" width="7" bestFit="1" customWidth="1"/>
    <col min="29" max="29" width="12.42578125" bestFit="1" customWidth="1"/>
    <col min="30" max="30" width="17.140625" bestFit="1" customWidth="1"/>
    <col min="31" max="31" width="10.42578125" bestFit="1" customWidth="1"/>
    <col min="32" max="32" width="31.85546875" bestFit="1" customWidth="1"/>
    <col min="33" max="33" width="35" bestFit="1" customWidth="1"/>
    <col min="34" max="34" width="14.5703125" bestFit="1" customWidth="1"/>
    <col min="35" max="35" width="28.5703125" bestFit="1" customWidth="1"/>
    <col min="36" max="36" width="11.140625" bestFit="1" customWidth="1"/>
    <col min="37" max="37" width="11.140625" customWidth="1"/>
    <col min="38" max="38" width="16" bestFit="1" customWidth="1"/>
  </cols>
  <sheetData>
    <row r="1" spans="1:38" s="14" customFormat="1" x14ac:dyDescent="0.25">
      <c r="A1" s="17" t="s">
        <v>57</v>
      </c>
      <c r="B1" s="14" t="s">
        <v>42</v>
      </c>
      <c r="C1" s="14" t="s">
        <v>86</v>
      </c>
      <c r="D1" s="14" t="s">
        <v>1740</v>
      </c>
      <c r="E1" s="14" t="s">
        <v>1741</v>
      </c>
      <c r="F1" s="14" t="s">
        <v>1875</v>
      </c>
      <c r="G1" s="14" t="s">
        <v>1876</v>
      </c>
      <c r="H1" s="14" t="s">
        <v>1877</v>
      </c>
      <c r="I1" s="14" t="s">
        <v>1878</v>
      </c>
      <c r="J1" s="14" t="s">
        <v>1736</v>
      </c>
      <c r="K1" s="14" t="s">
        <v>1732</v>
      </c>
      <c r="L1" s="14" t="s">
        <v>1733</v>
      </c>
      <c r="M1" s="14" t="s">
        <v>1746</v>
      </c>
      <c r="N1" s="14" t="s">
        <v>1866</v>
      </c>
      <c r="O1" s="14" t="s">
        <v>1743</v>
      </c>
      <c r="P1" s="14" t="s">
        <v>1901</v>
      </c>
      <c r="Q1" s="14" t="s">
        <v>1742</v>
      </c>
      <c r="R1" s="14" t="s">
        <v>1734</v>
      </c>
      <c r="S1" s="14" t="s">
        <v>1738</v>
      </c>
      <c r="T1" s="14" t="s">
        <v>1879</v>
      </c>
      <c r="U1" s="14" t="s">
        <v>1745</v>
      </c>
      <c r="V1" s="14" t="s">
        <v>1735</v>
      </c>
      <c r="W1" s="14" t="s">
        <v>1750</v>
      </c>
      <c r="X1" s="14" t="s">
        <v>1908</v>
      </c>
      <c r="Y1" s="14" t="s">
        <v>1902</v>
      </c>
      <c r="Z1" s="14" t="s">
        <v>6</v>
      </c>
      <c r="AA1" s="14" t="s">
        <v>1880</v>
      </c>
      <c r="AB1" s="14" t="s">
        <v>5</v>
      </c>
      <c r="AC1" s="14" t="s">
        <v>1903</v>
      </c>
      <c r="AD1" s="14" t="s">
        <v>1747</v>
      </c>
      <c r="AE1" s="14" t="s">
        <v>1737</v>
      </c>
      <c r="AF1" s="25" t="s">
        <v>1755</v>
      </c>
      <c r="AG1" s="25" t="s">
        <v>0</v>
      </c>
      <c r="AH1" s="25" t="s">
        <v>1756</v>
      </c>
      <c r="AI1" s="25" t="s">
        <v>65</v>
      </c>
      <c r="AJ1" s="25" t="s">
        <v>1731</v>
      </c>
      <c r="AK1" s="25" t="s">
        <v>1748</v>
      </c>
      <c r="AL1" s="25" t="s">
        <v>1757</v>
      </c>
    </row>
    <row r="2" spans="1:38" x14ac:dyDescent="0.25">
      <c r="A2">
        <v>10</v>
      </c>
      <c r="B2" t="s">
        <v>1881</v>
      </c>
      <c r="C2" t="s">
        <v>1882</v>
      </c>
      <c r="D2" s="40" t="s">
        <v>1200</v>
      </c>
      <c r="E2" s="19" t="s">
        <v>1883</v>
      </c>
      <c r="F2" t="s">
        <v>1884</v>
      </c>
      <c r="G2" t="s">
        <v>1885</v>
      </c>
      <c r="H2" t="s">
        <v>1886</v>
      </c>
      <c r="I2" t="s">
        <v>1887</v>
      </c>
      <c r="J2" t="s">
        <v>1888</v>
      </c>
      <c r="K2" t="s">
        <v>1889</v>
      </c>
      <c r="L2">
        <v>50001541</v>
      </c>
      <c r="M2" t="s">
        <v>1890</v>
      </c>
      <c r="N2" t="s">
        <v>1891</v>
      </c>
      <c r="O2" t="s">
        <v>1892</v>
      </c>
      <c r="P2" t="s">
        <v>1893</v>
      </c>
      <c r="Q2" t="s">
        <v>1894</v>
      </c>
      <c r="R2">
        <v>2</v>
      </c>
      <c r="S2">
        <v>1</v>
      </c>
      <c r="T2" t="s">
        <v>1200</v>
      </c>
      <c r="U2" t="s">
        <v>59</v>
      </c>
      <c r="V2" t="s">
        <v>1892</v>
      </c>
      <c r="X2" t="s">
        <v>1892</v>
      </c>
      <c r="Y2" t="s">
        <v>96</v>
      </c>
      <c r="Z2">
        <v>5959</v>
      </c>
      <c r="AA2" t="s">
        <v>1895</v>
      </c>
      <c r="AB2" t="s">
        <v>1898</v>
      </c>
      <c r="AC2" t="s">
        <v>1899</v>
      </c>
      <c r="AD2">
        <v>1000</v>
      </c>
      <c r="AE2">
        <v>1</v>
      </c>
      <c r="AF2" t="str">
        <f>RIGHT(SapExlData[WCKode],LEN(SapExlData[WCKode])-5)&amp;" "&amp;SapExlData[Wctekst]</f>
        <v>FR6021 Hverdagsfavoritt Linje</v>
      </c>
      <c r="AG2" t="str">
        <f>SapExlData[Material]&amp;" "&amp;SapExlData[Materialtekst]</f>
        <v>5959 Hverdagsfavoritter Nugatti Max</v>
      </c>
      <c r="AH2" t="str">
        <f t="shared" ref="AH2:AH3" si="0">IF(Z2&lt;&gt;Z1,"Default","Optional")</f>
        <v>Default</v>
      </c>
      <c r="AI2" t="str">
        <f>SapExlData[Material]&amp;" "&amp;AH2&amp;LEFT(SapExlData[Version],LEN(SapExlData[Version])-10)</f>
        <v>5959 Default5959</v>
      </c>
      <c r="AJ2">
        <f>INT(LEFT(SapExlData[Version],4))</f>
        <v>5959</v>
      </c>
      <c r="AK2" t="str">
        <f>IF(ISERROR(INT(SapExlData[OrgProf.])),"",SapExlData[OrgProf.])</f>
        <v/>
      </c>
      <c r="AL2" t="str">
        <f>RIGHT(SapExlData[WCKode],LEN(SapExlData[WCKode])-5)</f>
        <v>FR6021</v>
      </c>
    </row>
    <row r="3" spans="1:38" x14ac:dyDescent="0.25">
      <c r="A3">
        <v>10</v>
      </c>
      <c r="B3" t="s">
        <v>1881</v>
      </c>
      <c r="C3" t="s">
        <v>1882</v>
      </c>
      <c r="D3" s="19" t="s">
        <v>1200</v>
      </c>
      <c r="E3" s="19" t="s">
        <v>1883</v>
      </c>
      <c r="F3" t="s">
        <v>1884</v>
      </c>
      <c r="G3" t="s">
        <v>1885</v>
      </c>
      <c r="H3" t="s">
        <v>1886</v>
      </c>
      <c r="I3" t="s">
        <v>1887</v>
      </c>
      <c r="J3" t="s">
        <v>1896</v>
      </c>
      <c r="K3" t="s">
        <v>1889</v>
      </c>
      <c r="L3">
        <v>50001541</v>
      </c>
      <c r="M3" t="s">
        <v>1890</v>
      </c>
      <c r="N3" t="s">
        <v>1891</v>
      </c>
      <c r="O3" t="s">
        <v>1892</v>
      </c>
      <c r="P3" t="s">
        <v>1897</v>
      </c>
      <c r="Q3" t="s">
        <v>1894</v>
      </c>
      <c r="R3">
        <v>2</v>
      </c>
      <c r="S3">
        <v>1</v>
      </c>
      <c r="T3" t="s">
        <v>1200</v>
      </c>
      <c r="U3" t="s">
        <v>59</v>
      </c>
      <c r="V3" t="s">
        <v>1892</v>
      </c>
      <c r="X3" t="s">
        <v>1892</v>
      </c>
      <c r="Y3" t="s">
        <v>96</v>
      </c>
      <c r="Z3">
        <v>5959</v>
      </c>
      <c r="AA3" t="s">
        <v>1895</v>
      </c>
      <c r="AB3" t="s">
        <v>1898</v>
      </c>
      <c r="AC3" t="s">
        <v>1900</v>
      </c>
      <c r="AD3">
        <v>1000</v>
      </c>
      <c r="AE3">
        <v>2</v>
      </c>
      <c r="AF3" t="str">
        <f>RIGHT(SapExlData[WCKode],LEN(SapExlData[WCKode])-5)&amp;" "&amp;SapExlData[Wctekst]</f>
        <v>FR6002 Flowpack 2604</v>
      </c>
      <c r="AG3" t="str">
        <f>SapExlData[Material]&amp;" "&amp;SapExlData[Materialtekst]</f>
        <v>5959 Hverdagsfavoritter Nugatti Max</v>
      </c>
      <c r="AH3" t="str">
        <f t="shared" si="0"/>
        <v>Optional</v>
      </c>
      <c r="AI3" t="str">
        <f>SapExlData[Material]&amp;" "&amp;AH3&amp;LEFT(SapExlData[Version],LEN(SapExlData[Version])-10)</f>
        <v>5959 Optional5959</v>
      </c>
      <c r="AJ3">
        <f>INT(LEFT(SapExlData[Version],4))</f>
        <v>5959</v>
      </c>
      <c r="AK3" t="str">
        <f>IF(ISERROR(INT(SapExlData[OrgProf.])),"",SapExlData[OrgProf.])</f>
        <v/>
      </c>
      <c r="AL3" t="str">
        <f>RIGHT(SapExlData[WCKode],LEN(SapExlData[WCKode])-5)</f>
        <v>FR6002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8080"/>
  </sheetPr>
  <dimension ref="A1:BG3"/>
  <sheetViews>
    <sheetView showGridLines="0" zoomScale="85" zoomScaleNormal="85" workbookViewId="0">
      <pane ySplit="1" topLeftCell="A2" activePane="bottomLeft" state="frozen"/>
      <selection pane="bottomLeft" activeCell="A2" sqref="A2"/>
    </sheetView>
  </sheetViews>
  <sheetFormatPr defaultColWidth="11.42578125" defaultRowHeight="15" x14ac:dyDescent="0.25"/>
  <cols>
    <col min="1" max="1" width="12.5703125" style="30" customWidth="1"/>
    <col min="2" max="2" width="7.5703125" customWidth="1"/>
    <col min="3" max="3" width="28" customWidth="1"/>
    <col min="4" max="4" width="14.5703125" bestFit="1" customWidth="1"/>
    <col min="5" max="5" width="7.42578125" customWidth="1"/>
    <col min="6" max="6" width="12.85546875" customWidth="1"/>
    <col min="7" max="7" width="8.42578125" customWidth="1"/>
    <col min="8" max="8" width="6.85546875" customWidth="1"/>
    <col min="9" max="9" width="13.5703125" customWidth="1"/>
    <col min="10" max="12" width="8.42578125" customWidth="1"/>
    <col min="13" max="13" width="6.7109375" customWidth="1"/>
    <col min="14" max="14" width="12.5703125" customWidth="1"/>
    <col min="15" max="15" width="10.85546875" style="99" customWidth="1"/>
    <col min="16" max="16" width="7" customWidth="1"/>
    <col min="17" max="17" width="7.140625" customWidth="1"/>
    <col min="18" max="18" width="10.28515625" customWidth="1"/>
    <col min="19" max="19" width="12.5703125" bestFit="1" customWidth="1"/>
    <col min="20" max="20" width="9.7109375" bestFit="1" customWidth="1"/>
    <col min="21" max="21" width="8.85546875" customWidth="1"/>
    <col min="22" max="22" width="6.85546875" customWidth="1"/>
    <col min="23" max="23" width="18.85546875" bestFit="1" customWidth="1"/>
    <col min="24" max="24" width="6" customWidth="1"/>
    <col min="25" max="25" width="5.28515625" customWidth="1"/>
    <col min="26" max="26" width="6.5703125" customWidth="1"/>
    <col min="27" max="27" width="9.42578125" customWidth="1"/>
    <col min="28" max="28" width="6.85546875" customWidth="1"/>
    <col min="29" max="29" width="8.7109375" customWidth="1"/>
    <col min="30" max="30" width="5.7109375" customWidth="1"/>
    <col min="31" max="31" width="7.85546875" customWidth="1"/>
    <col min="32" max="32" width="17.140625" customWidth="1"/>
    <col min="33" max="33" width="8.42578125" customWidth="1"/>
    <col min="34" max="34" width="7.7109375" customWidth="1"/>
    <col min="35" max="35" width="13.5703125" customWidth="1"/>
    <col min="36" max="36" width="21.7109375" customWidth="1"/>
    <col min="37" max="37" width="8.140625" customWidth="1"/>
    <col min="38" max="38" width="10.42578125" customWidth="1"/>
    <col min="39" max="39" width="13.140625" customWidth="1"/>
    <col min="40" max="40" width="8.42578125" customWidth="1"/>
    <col min="41" max="41" width="13.28515625" customWidth="1"/>
    <col min="42" max="42" width="7.42578125" customWidth="1"/>
    <col min="43" max="43" width="15" customWidth="1"/>
    <col min="44" max="44" width="8.42578125" customWidth="1"/>
    <col min="45" max="45" width="16.140625" customWidth="1"/>
    <col min="46" max="46" width="8.42578125" customWidth="1"/>
    <col min="47" max="47" width="6.5703125" customWidth="1"/>
    <col min="48" max="48" width="15" customWidth="1"/>
    <col min="49" max="49" width="9.42578125" customWidth="1"/>
    <col min="50" max="51" width="11" style="42" customWidth="1"/>
    <col min="52" max="52" width="18.5703125" style="42" customWidth="1"/>
    <col min="53" max="53" width="8.140625" bestFit="1" customWidth="1"/>
    <col min="54" max="54" width="9.28515625" bestFit="1" customWidth="1"/>
    <col min="55" max="55" width="14.5703125" bestFit="1" customWidth="1"/>
    <col min="56" max="56" width="40.85546875" bestFit="1" customWidth="1"/>
    <col min="57" max="57" width="14.5703125" bestFit="1" customWidth="1"/>
  </cols>
  <sheetData>
    <row r="1" spans="1:59" s="14" customFormat="1" x14ac:dyDescent="0.25">
      <c r="A1" s="96" t="s">
        <v>1758</v>
      </c>
      <c r="B1" s="14" t="s">
        <v>1759</v>
      </c>
      <c r="C1" s="14" t="s">
        <v>1760</v>
      </c>
      <c r="D1" s="14" t="s">
        <v>1761</v>
      </c>
      <c r="E1" s="14" t="s">
        <v>7</v>
      </c>
      <c r="F1" s="14" t="s">
        <v>1762</v>
      </c>
      <c r="G1" s="14" t="s">
        <v>1774</v>
      </c>
      <c r="H1" s="14" t="s">
        <v>1763</v>
      </c>
      <c r="I1" s="14" t="s">
        <v>1764</v>
      </c>
      <c r="J1" s="14" t="s">
        <v>1775</v>
      </c>
      <c r="K1" s="14" t="s">
        <v>1765</v>
      </c>
      <c r="L1" s="14" t="s">
        <v>1776</v>
      </c>
      <c r="M1" s="14" t="s">
        <v>1766</v>
      </c>
      <c r="N1" s="14" t="s">
        <v>1767</v>
      </c>
      <c r="O1" s="97" t="s">
        <v>6</v>
      </c>
      <c r="P1" s="14" t="s">
        <v>5</v>
      </c>
      <c r="Q1" s="14" t="s">
        <v>1731</v>
      </c>
      <c r="R1" s="14" t="s">
        <v>86</v>
      </c>
      <c r="S1" s="14" t="s">
        <v>42</v>
      </c>
      <c r="T1" s="14" t="s">
        <v>1732</v>
      </c>
      <c r="U1" s="14" t="s">
        <v>1733</v>
      </c>
      <c r="V1" s="14" t="s">
        <v>1734</v>
      </c>
      <c r="W1" s="14" t="s">
        <v>1735</v>
      </c>
      <c r="X1" s="14" t="s">
        <v>1740</v>
      </c>
      <c r="Y1" s="14" t="s">
        <v>1744</v>
      </c>
      <c r="Z1" s="14" t="s">
        <v>57</v>
      </c>
      <c r="AA1" s="14" t="s">
        <v>1743</v>
      </c>
      <c r="AB1" s="14" t="s">
        <v>1741</v>
      </c>
      <c r="AC1" s="14" t="s">
        <v>1742</v>
      </c>
      <c r="AD1" s="14" t="s">
        <v>1745</v>
      </c>
      <c r="AE1" s="14" t="s">
        <v>1746</v>
      </c>
      <c r="AF1" s="14" t="s">
        <v>1747</v>
      </c>
      <c r="AG1" s="14" t="s">
        <v>1777</v>
      </c>
      <c r="AH1" s="14" t="s">
        <v>1748</v>
      </c>
      <c r="AI1" s="14" t="s">
        <v>1778</v>
      </c>
      <c r="AJ1" s="14" t="s">
        <v>8</v>
      </c>
      <c r="AK1" s="14" t="s">
        <v>1736</v>
      </c>
      <c r="AL1" s="14" t="s">
        <v>1737</v>
      </c>
      <c r="AM1" s="14" t="s">
        <v>9</v>
      </c>
      <c r="AN1" s="14" t="s">
        <v>1779</v>
      </c>
      <c r="AO1" s="14" t="s">
        <v>1768</v>
      </c>
      <c r="AP1" s="14" t="s">
        <v>1769</v>
      </c>
      <c r="AQ1" s="14" t="s">
        <v>1770</v>
      </c>
      <c r="AR1" s="14" t="s">
        <v>1780</v>
      </c>
      <c r="AS1" s="14" t="s">
        <v>1771</v>
      </c>
      <c r="AT1" s="14" t="s">
        <v>1781</v>
      </c>
      <c r="AU1" s="14" t="s">
        <v>1772</v>
      </c>
      <c r="AV1" s="14" t="s">
        <v>1773</v>
      </c>
      <c r="AW1" s="14" t="s">
        <v>1782</v>
      </c>
      <c r="AX1" s="41" t="s">
        <v>1738</v>
      </c>
      <c r="AY1" s="41" t="s">
        <v>1739</v>
      </c>
      <c r="AZ1" s="41" t="s">
        <v>1749</v>
      </c>
      <c r="BA1" s="25" t="s">
        <v>1786</v>
      </c>
      <c r="BB1" s="25" t="s">
        <v>20</v>
      </c>
      <c r="BC1" s="25" t="s">
        <v>1755</v>
      </c>
      <c r="BD1" s="25" t="s">
        <v>0</v>
      </c>
      <c r="BE1" s="25" t="s">
        <v>1756</v>
      </c>
      <c r="BG1" t="str">
        <f ca="1">OFFSET(AY1,1,0)&amp;" "&amp;OFFSET(AZ1,1,0)</f>
        <v>3115 Maskin T - Messanin B</v>
      </c>
    </row>
    <row r="2" spans="1:59" x14ac:dyDescent="0.25">
      <c r="A2" s="44">
        <v>76146397</v>
      </c>
      <c r="B2" s="43" t="s">
        <v>1730</v>
      </c>
      <c r="C2" s="43" t="s">
        <v>1783</v>
      </c>
      <c r="D2" s="44">
        <v>2078710</v>
      </c>
      <c r="E2" s="44" t="s">
        <v>1754</v>
      </c>
      <c r="F2" s="43">
        <v>0</v>
      </c>
      <c r="G2" s="43" t="s">
        <v>1754</v>
      </c>
      <c r="H2" s="43" t="s">
        <v>1730</v>
      </c>
      <c r="I2" s="43">
        <v>0</v>
      </c>
      <c r="J2" s="43" t="s">
        <v>1754</v>
      </c>
      <c r="K2" s="43">
        <v>0</v>
      </c>
      <c r="L2" s="43" t="s">
        <v>1754</v>
      </c>
      <c r="M2" s="43">
        <v>212</v>
      </c>
      <c r="N2" s="45">
        <v>40882</v>
      </c>
      <c r="O2" s="98">
        <v>900</v>
      </c>
      <c r="P2" s="43" t="s">
        <v>1730</v>
      </c>
      <c r="Q2" s="43">
        <v>3</v>
      </c>
      <c r="R2" s="45">
        <v>2958465</v>
      </c>
      <c r="S2" s="45">
        <v>40868</v>
      </c>
      <c r="T2" s="43">
        <v>2</v>
      </c>
      <c r="U2" s="43">
        <v>50007958</v>
      </c>
      <c r="V2" s="43">
        <v>1</v>
      </c>
      <c r="W2" s="43"/>
      <c r="X2" s="43"/>
      <c r="Y2" s="44"/>
      <c r="Z2" s="44"/>
      <c r="AA2" s="43" t="s">
        <v>1753</v>
      </c>
      <c r="AB2" s="44" t="s">
        <v>1752</v>
      </c>
      <c r="AC2" s="43">
        <v>600</v>
      </c>
      <c r="AD2" s="43">
        <v>7</v>
      </c>
      <c r="AE2" s="43">
        <v>502</v>
      </c>
      <c r="AF2" s="43">
        <v>191374</v>
      </c>
      <c r="AG2" s="43" t="s">
        <v>1754</v>
      </c>
      <c r="AH2" s="43"/>
      <c r="AI2" s="43" t="s">
        <v>1751</v>
      </c>
      <c r="AJ2" s="43" t="s">
        <v>1784</v>
      </c>
      <c r="AK2" s="43">
        <v>1</v>
      </c>
      <c r="AL2" s="43">
        <v>1</v>
      </c>
      <c r="AM2" s="43">
        <v>1018176</v>
      </c>
      <c r="AN2" s="43" t="s">
        <v>1754</v>
      </c>
      <c r="AO2" s="43">
        <v>1871967.38</v>
      </c>
      <c r="AP2" s="43"/>
      <c r="AQ2" s="43">
        <v>1671.92</v>
      </c>
      <c r="AR2" s="43"/>
      <c r="AS2" s="43">
        <v>1838.55</v>
      </c>
      <c r="AT2" s="43"/>
      <c r="AU2" s="43">
        <v>1000</v>
      </c>
      <c r="AV2" s="43">
        <v>1838.55</v>
      </c>
      <c r="AW2" s="43"/>
      <c r="AX2" s="43">
        <v>10000689</v>
      </c>
      <c r="AY2" s="43">
        <v>3115</v>
      </c>
      <c r="AZ2" s="43" t="s">
        <v>1785</v>
      </c>
      <c r="BA2" s="43">
        <f>IF(AS2=0,AV2,AS2)</f>
        <v>1838.55</v>
      </c>
      <c r="BB2" s="46">
        <f>BA2*D2/AU2</f>
        <v>3821812.2705000001</v>
      </c>
      <c r="BC2" s="46" t="str">
        <f>TEXT(AY2,"0000")&amp;" "&amp;AZ2</f>
        <v>3115 Maskin T - Messanin B</v>
      </c>
      <c r="BD2" s="43" t="str">
        <f>TEXT(O2,"000000")&amp;" "&amp;AJ2</f>
        <v>000900 Bearnaisesaus Økonomi 4ps 12esk</v>
      </c>
      <c r="BE2" s="43" t="s">
        <v>1729</v>
      </c>
    </row>
    <row r="3" spans="1:59" x14ac:dyDescent="0.25">
      <c r="A3" s="44">
        <v>76146398</v>
      </c>
      <c r="B3" s="43" t="s">
        <v>1730</v>
      </c>
      <c r="C3" s="43" t="s">
        <v>1783</v>
      </c>
      <c r="D3" s="44">
        <v>2207290</v>
      </c>
      <c r="E3" s="44" t="s">
        <v>1754</v>
      </c>
      <c r="F3" s="43">
        <v>0</v>
      </c>
      <c r="G3" s="43" t="s">
        <v>1754</v>
      </c>
      <c r="H3" s="43" t="s">
        <v>1730</v>
      </c>
      <c r="I3" s="43">
        <v>0</v>
      </c>
      <c r="J3" s="43" t="s">
        <v>1754</v>
      </c>
      <c r="K3" s="43">
        <v>0</v>
      </c>
      <c r="L3" s="43" t="s">
        <v>1754</v>
      </c>
      <c r="M3" s="43">
        <v>212</v>
      </c>
      <c r="N3" s="45">
        <v>41033</v>
      </c>
      <c r="O3" s="98">
        <v>900</v>
      </c>
      <c r="P3" s="43" t="s">
        <v>1730</v>
      </c>
      <c r="Q3" s="43">
        <v>3</v>
      </c>
      <c r="R3" s="45">
        <v>2958465</v>
      </c>
      <c r="S3" s="45">
        <v>40868</v>
      </c>
      <c r="T3" s="43">
        <v>2</v>
      </c>
      <c r="U3" s="43">
        <v>50007958</v>
      </c>
      <c r="V3" s="43">
        <v>1</v>
      </c>
      <c r="W3" s="43"/>
      <c r="X3" s="43"/>
      <c r="Y3" s="44"/>
      <c r="Z3" s="44"/>
      <c r="AA3" s="43" t="s">
        <v>1753</v>
      </c>
      <c r="AB3" s="44" t="s">
        <v>1752</v>
      </c>
      <c r="AC3" s="43">
        <v>600</v>
      </c>
      <c r="AD3" s="43">
        <v>7</v>
      </c>
      <c r="AE3" s="43">
        <v>502</v>
      </c>
      <c r="AF3" s="43">
        <v>191374</v>
      </c>
      <c r="AG3" s="43" t="s">
        <v>1754</v>
      </c>
      <c r="AH3" s="43"/>
      <c r="AI3" s="43" t="s">
        <v>1751</v>
      </c>
      <c r="AJ3" s="43" t="s">
        <v>1784</v>
      </c>
      <c r="AK3" s="43">
        <v>1</v>
      </c>
      <c r="AL3" s="43">
        <v>1</v>
      </c>
      <c r="AM3" s="43">
        <v>1018176</v>
      </c>
      <c r="AN3" s="43" t="s">
        <v>1754</v>
      </c>
      <c r="AO3" s="43">
        <v>1871967.38</v>
      </c>
      <c r="AP3" s="43"/>
      <c r="AQ3" s="43">
        <v>1671.92</v>
      </c>
      <c r="AR3" s="43"/>
      <c r="AS3" s="43">
        <v>1838.55</v>
      </c>
      <c r="AT3" s="43"/>
      <c r="AU3" s="43">
        <v>1000</v>
      </c>
      <c r="AV3" s="43">
        <v>1838.55</v>
      </c>
      <c r="AW3" s="43"/>
      <c r="AX3" s="43">
        <v>10000689</v>
      </c>
      <c r="AY3" s="43">
        <v>3115</v>
      </c>
      <c r="AZ3" s="43" t="s">
        <v>1785</v>
      </c>
      <c r="BA3" s="43">
        <f t="shared" ref="BA3" si="0">IF(AS3=0,AV3,AS3)</f>
        <v>1838.55</v>
      </c>
      <c r="BB3" s="46">
        <f t="shared" ref="BB3" si="1">BA3*D3/AU3</f>
        <v>4058213.0295000002</v>
      </c>
      <c r="BC3" s="46" t="str">
        <f t="shared" ref="BC3" si="2">TEXT(AY3,"0000")&amp;" "&amp;AZ3</f>
        <v>3115 Maskin T - Messanin B</v>
      </c>
      <c r="BD3" s="43" t="str">
        <f t="shared" ref="BD3" si="3">TEXT(O3,"000000")&amp;" "&amp;AJ3</f>
        <v>000900 Bearnaisesaus Økonomi 4ps 12esk</v>
      </c>
      <c r="BE3" s="43" t="s">
        <v>1729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8">
    <tabColor rgb="FFFF8080"/>
  </sheetPr>
  <dimension ref="A1:D14"/>
  <sheetViews>
    <sheetView showGridLines="0" zoomScale="85" zoomScaleNormal="85" workbookViewId="0"/>
  </sheetViews>
  <sheetFormatPr defaultColWidth="11.42578125" defaultRowHeight="15" x14ac:dyDescent="0.25"/>
  <cols>
    <col min="1" max="1" width="8.140625" bestFit="1" customWidth="1"/>
    <col min="2" max="2" width="5.85546875" bestFit="1" customWidth="1"/>
    <col min="3" max="3" width="12.42578125" bestFit="1" customWidth="1"/>
    <col min="4" max="4" width="8.42578125" bestFit="1" customWidth="1"/>
  </cols>
  <sheetData>
    <row r="1" spans="1:4" x14ac:dyDescent="0.25">
      <c r="A1" s="14" t="s">
        <v>40</v>
      </c>
      <c r="B1" s="14" t="s">
        <v>41</v>
      </c>
      <c r="C1" s="14" t="s">
        <v>42</v>
      </c>
      <c r="D1" s="14" t="s">
        <v>20</v>
      </c>
    </row>
    <row r="2" spans="1:4" x14ac:dyDescent="0.25">
      <c r="A2" t="s">
        <v>28</v>
      </c>
      <c r="B2" t="s">
        <v>11</v>
      </c>
      <c r="C2" s="19">
        <v>40909</v>
      </c>
      <c r="D2">
        <v>5.68</v>
      </c>
    </row>
    <row r="3" spans="1:4" x14ac:dyDescent="0.25">
      <c r="A3" t="s">
        <v>29</v>
      </c>
      <c r="B3" t="s">
        <v>11</v>
      </c>
      <c r="C3" s="19">
        <v>40909</v>
      </c>
      <c r="D3">
        <v>5.69</v>
      </c>
    </row>
    <row r="4" spans="1:4" x14ac:dyDescent="0.25">
      <c r="A4" t="s">
        <v>30</v>
      </c>
      <c r="B4" t="s">
        <v>11</v>
      </c>
      <c r="C4" s="19">
        <v>40909</v>
      </c>
      <c r="D4">
        <v>6.61</v>
      </c>
    </row>
    <row r="5" spans="1:4" x14ac:dyDescent="0.25">
      <c r="A5" t="s">
        <v>31</v>
      </c>
      <c r="B5" t="s">
        <v>11</v>
      </c>
      <c r="C5" s="19">
        <v>40909</v>
      </c>
      <c r="D5">
        <v>0.32900000000000001</v>
      </c>
    </row>
    <row r="6" spans="1:4" x14ac:dyDescent="0.25">
      <c r="A6" t="s">
        <v>32</v>
      </c>
      <c r="B6" t="s">
        <v>11</v>
      </c>
      <c r="C6" s="19">
        <v>40909</v>
      </c>
      <c r="D6">
        <v>1.0660000000000001</v>
      </c>
    </row>
    <row r="7" spans="1:4" x14ac:dyDescent="0.25">
      <c r="A7" t="s">
        <v>33</v>
      </c>
      <c r="B7" t="s">
        <v>11</v>
      </c>
      <c r="C7" s="19">
        <v>40909</v>
      </c>
      <c r="D7">
        <v>7.94</v>
      </c>
    </row>
    <row r="8" spans="1:4" x14ac:dyDescent="0.25">
      <c r="A8" t="s">
        <v>34</v>
      </c>
      <c r="B8" t="s">
        <v>11</v>
      </c>
      <c r="C8" s="19">
        <v>40909</v>
      </c>
      <c r="D8">
        <v>8.84</v>
      </c>
    </row>
    <row r="9" spans="1:4" x14ac:dyDescent="0.25">
      <c r="A9" t="s">
        <v>35</v>
      </c>
      <c r="B9" t="s">
        <v>11</v>
      </c>
      <c r="C9" s="19">
        <v>40909</v>
      </c>
      <c r="D9">
        <v>2.91</v>
      </c>
    </row>
    <row r="10" spans="1:4" x14ac:dyDescent="0.25">
      <c r="A10" t="s">
        <v>36</v>
      </c>
      <c r="B10" t="s">
        <v>11</v>
      </c>
      <c r="C10" s="19">
        <v>40909</v>
      </c>
      <c r="D10">
        <v>6.9</v>
      </c>
    </row>
    <row r="11" spans="1:4" x14ac:dyDescent="0.25">
      <c r="A11" t="s">
        <v>37</v>
      </c>
      <c r="B11" t="s">
        <v>11</v>
      </c>
      <c r="C11" s="19">
        <v>40909</v>
      </c>
      <c r="D11">
        <v>1.9550000000000001</v>
      </c>
    </row>
    <row r="12" spans="1:4" x14ac:dyDescent="0.25">
      <c r="A12" t="s">
        <v>38</v>
      </c>
      <c r="B12" t="s">
        <v>11</v>
      </c>
      <c r="C12" s="19">
        <v>40909</v>
      </c>
      <c r="D12">
        <v>0.85699999999999998</v>
      </c>
    </row>
    <row r="13" spans="1:4" x14ac:dyDescent="0.25">
      <c r="A13" t="s">
        <v>11</v>
      </c>
      <c r="B13" t="s">
        <v>11</v>
      </c>
      <c r="C13" s="19">
        <v>40909</v>
      </c>
      <c r="D13">
        <v>1</v>
      </c>
    </row>
    <row r="14" spans="1:4" x14ac:dyDescent="0.25">
      <c r="A14" t="s">
        <v>39</v>
      </c>
      <c r="B14" t="s">
        <v>11</v>
      </c>
      <c r="C14" s="19">
        <v>40909</v>
      </c>
      <c r="D14">
        <v>5.53</v>
      </c>
    </row>
  </sheetData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13">
    <tabColor rgb="FFFF8080"/>
  </sheetPr>
  <dimension ref="A1:C561"/>
  <sheetViews>
    <sheetView showGridLines="0" zoomScale="85" zoomScaleNormal="85" workbookViewId="0"/>
  </sheetViews>
  <sheetFormatPr defaultColWidth="11.42578125" defaultRowHeight="15" x14ac:dyDescent="0.25"/>
  <cols>
    <col min="1" max="1" width="19.42578125" bestFit="1" customWidth="1"/>
    <col min="2" max="2" width="30.140625" bestFit="1" customWidth="1"/>
    <col min="3" max="3" width="31.140625" bestFit="1" customWidth="1"/>
    <col min="4" max="4" width="9.28515625" bestFit="1" customWidth="1"/>
    <col min="5" max="6" width="9.140625" bestFit="1" customWidth="1"/>
  </cols>
  <sheetData>
    <row r="1" spans="1:3" x14ac:dyDescent="0.25">
      <c r="A1" t="s">
        <v>44</v>
      </c>
      <c r="B1" t="s">
        <v>76</v>
      </c>
      <c r="C1" t="s">
        <v>18</v>
      </c>
    </row>
    <row r="2" spans="1:3" x14ac:dyDescent="0.25">
      <c r="A2" t="s">
        <v>80</v>
      </c>
      <c r="B2">
        <v>1</v>
      </c>
      <c r="C2" t="s">
        <v>81</v>
      </c>
    </row>
    <row r="3" spans="1:3" x14ac:dyDescent="0.25">
      <c r="A3" t="s">
        <v>82</v>
      </c>
      <c r="B3">
        <v>2</v>
      </c>
      <c r="C3" t="s">
        <v>81</v>
      </c>
    </row>
    <row r="4" spans="1:3" x14ac:dyDescent="0.25">
      <c r="A4" t="s">
        <v>83</v>
      </c>
      <c r="B4">
        <v>3</v>
      </c>
      <c r="C4" t="s">
        <v>84</v>
      </c>
    </row>
    <row r="5" spans="1:3" x14ac:dyDescent="0.25">
      <c r="A5" t="s">
        <v>294</v>
      </c>
      <c r="B5">
        <v>4</v>
      </c>
      <c r="C5" t="s">
        <v>295</v>
      </c>
    </row>
    <row r="6" spans="1:3" x14ac:dyDescent="0.25">
      <c r="A6" t="s">
        <v>296</v>
      </c>
      <c r="B6">
        <v>4</v>
      </c>
      <c r="C6" t="s">
        <v>297</v>
      </c>
    </row>
    <row r="7" spans="1:3" x14ac:dyDescent="0.25">
      <c r="A7" t="s">
        <v>298</v>
      </c>
      <c r="B7">
        <v>3</v>
      </c>
      <c r="C7" t="s">
        <v>299</v>
      </c>
    </row>
    <row r="8" spans="1:3" x14ac:dyDescent="0.25">
      <c r="A8" t="s">
        <v>300</v>
      </c>
      <c r="B8">
        <v>4</v>
      </c>
      <c r="C8" t="s">
        <v>301</v>
      </c>
    </row>
    <row r="9" spans="1:3" x14ac:dyDescent="0.25">
      <c r="A9" t="s">
        <v>302</v>
      </c>
      <c r="B9">
        <v>4</v>
      </c>
      <c r="C9" t="s">
        <v>303</v>
      </c>
    </row>
    <row r="10" spans="1:3" x14ac:dyDescent="0.25">
      <c r="A10" t="s">
        <v>304</v>
      </c>
      <c r="B10">
        <v>4</v>
      </c>
      <c r="C10" t="s">
        <v>305</v>
      </c>
    </row>
    <row r="11" spans="1:3" x14ac:dyDescent="0.25">
      <c r="A11" t="s">
        <v>306</v>
      </c>
      <c r="B11">
        <v>4</v>
      </c>
      <c r="C11" t="s">
        <v>307</v>
      </c>
    </row>
    <row r="12" spans="1:3" x14ac:dyDescent="0.25">
      <c r="A12" t="s">
        <v>308</v>
      </c>
      <c r="B12">
        <v>3</v>
      </c>
      <c r="C12" t="s">
        <v>309</v>
      </c>
    </row>
    <row r="13" spans="1:3" x14ac:dyDescent="0.25">
      <c r="A13" t="s">
        <v>310</v>
      </c>
      <c r="B13">
        <v>4</v>
      </c>
      <c r="C13" t="s">
        <v>311</v>
      </c>
    </row>
    <row r="14" spans="1:3" x14ac:dyDescent="0.25">
      <c r="A14" t="s">
        <v>312</v>
      </c>
      <c r="B14">
        <v>4</v>
      </c>
      <c r="C14" t="s">
        <v>313</v>
      </c>
    </row>
    <row r="15" spans="1:3" x14ac:dyDescent="0.25">
      <c r="A15" t="s">
        <v>314</v>
      </c>
      <c r="B15">
        <v>4</v>
      </c>
      <c r="C15" t="s">
        <v>315</v>
      </c>
    </row>
    <row r="16" spans="1:3" x14ac:dyDescent="0.25">
      <c r="A16" t="s">
        <v>316</v>
      </c>
      <c r="B16">
        <v>3</v>
      </c>
      <c r="C16" t="s">
        <v>317</v>
      </c>
    </row>
    <row r="17" spans="1:3" x14ac:dyDescent="0.25">
      <c r="A17" t="s">
        <v>318</v>
      </c>
      <c r="B17">
        <v>4</v>
      </c>
      <c r="C17" t="s">
        <v>319</v>
      </c>
    </row>
    <row r="18" spans="1:3" x14ac:dyDescent="0.25">
      <c r="A18" t="s">
        <v>320</v>
      </c>
      <c r="B18">
        <v>4</v>
      </c>
      <c r="C18" t="s">
        <v>321</v>
      </c>
    </row>
    <row r="19" spans="1:3" x14ac:dyDescent="0.25">
      <c r="A19" t="s">
        <v>322</v>
      </c>
      <c r="B19">
        <v>4</v>
      </c>
      <c r="C19" t="s">
        <v>323</v>
      </c>
    </row>
    <row r="20" spans="1:3" x14ac:dyDescent="0.25">
      <c r="A20" t="s">
        <v>324</v>
      </c>
      <c r="B20">
        <v>4</v>
      </c>
      <c r="C20" t="s">
        <v>325</v>
      </c>
    </row>
    <row r="21" spans="1:3" x14ac:dyDescent="0.25">
      <c r="A21" t="s">
        <v>326</v>
      </c>
      <c r="B21">
        <v>4</v>
      </c>
      <c r="C21" t="s">
        <v>327</v>
      </c>
    </row>
    <row r="22" spans="1:3" x14ac:dyDescent="0.25">
      <c r="A22" t="s">
        <v>328</v>
      </c>
      <c r="B22">
        <v>3</v>
      </c>
      <c r="C22" t="s">
        <v>329</v>
      </c>
    </row>
    <row r="23" spans="1:3" x14ac:dyDescent="0.25">
      <c r="A23" t="s">
        <v>64</v>
      </c>
      <c r="B23">
        <v>4</v>
      </c>
      <c r="C23" t="s">
        <v>330</v>
      </c>
    </row>
    <row r="24" spans="1:3" x14ac:dyDescent="0.25">
      <c r="A24" t="s">
        <v>132</v>
      </c>
      <c r="B24">
        <v>4</v>
      </c>
      <c r="C24" t="s">
        <v>331</v>
      </c>
    </row>
    <row r="25" spans="1:3" x14ac:dyDescent="0.25">
      <c r="A25" t="s">
        <v>60</v>
      </c>
      <c r="B25">
        <v>4</v>
      </c>
      <c r="C25" t="s">
        <v>332</v>
      </c>
    </row>
    <row r="26" spans="1:3" x14ac:dyDescent="0.25">
      <c r="A26" t="s">
        <v>133</v>
      </c>
      <c r="B26">
        <v>4</v>
      </c>
      <c r="C26" t="s">
        <v>333</v>
      </c>
    </row>
    <row r="27" spans="1:3" x14ac:dyDescent="0.25">
      <c r="A27" t="s">
        <v>334</v>
      </c>
      <c r="B27">
        <v>4</v>
      </c>
      <c r="C27" t="s">
        <v>335</v>
      </c>
    </row>
    <row r="28" spans="1:3" x14ac:dyDescent="0.25">
      <c r="A28" t="s">
        <v>336</v>
      </c>
      <c r="B28">
        <v>3</v>
      </c>
      <c r="C28" t="s">
        <v>337</v>
      </c>
    </row>
    <row r="29" spans="1:3" x14ac:dyDescent="0.25">
      <c r="A29" t="s">
        <v>338</v>
      </c>
      <c r="B29">
        <v>4</v>
      </c>
      <c r="C29" t="s">
        <v>339</v>
      </c>
    </row>
    <row r="30" spans="1:3" x14ac:dyDescent="0.25">
      <c r="A30" t="s">
        <v>340</v>
      </c>
      <c r="B30">
        <v>4</v>
      </c>
      <c r="C30" t="s">
        <v>341</v>
      </c>
    </row>
    <row r="31" spans="1:3" x14ac:dyDescent="0.25">
      <c r="A31" t="s">
        <v>129</v>
      </c>
      <c r="B31">
        <v>4</v>
      </c>
      <c r="C31" t="s">
        <v>342</v>
      </c>
    </row>
    <row r="32" spans="1:3" x14ac:dyDescent="0.25">
      <c r="A32" t="s">
        <v>131</v>
      </c>
      <c r="B32">
        <v>4</v>
      </c>
      <c r="C32" t="s">
        <v>343</v>
      </c>
    </row>
    <row r="33" spans="1:3" x14ac:dyDescent="0.25">
      <c r="A33" t="s">
        <v>130</v>
      </c>
      <c r="B33">
        <v>4</v>
      </c>
      <c r="C33" t="s">
        <v>344</v>
      </c>
    </row>
    <row r="34" spans="1:3" x14ac:dyDescent="0.25">
      <c r="A34" t="s">
        <v>345</v>
      </c>
      <c r="B34">
        <v>4</v>
      </c>
      <c r="C34" t="s">
        <v>346</v>
      </c>
    </row>
    <row r="35" spans="1:3" x14ac:dyDescent="0.25">
      <c r="A35" t="s">
        <v>347</v>
      </c>
      <c r="B35">
        <v>3</v>
      </c>
      <c r="C35" t="s">
        <v>348</v>
      </c>
    </row>
    <row r="36" spans="1:3" x14ac:dyDescent="0.25">
      <c r="A36" t="s">
        <v>349</v>
      </c>
      <c r="B36">
        <v>4</v>
      </c>
      <c r="C36" t="s">
        <v>350</v>
      </c>
    </row>
    <row r="37" spans="1:3" x14ac:dyDescent="0.25">
      <c r="A37" t="s">
        <v>351</v>
      </c>
      <c r="B37">
        <v>4</v>
      </c>
      <c r="C37" t="s">
        <v>352</v>
      </c>
    </row>
    <row r="38" spans="1:3" x14ac:dyDescent="0.25">
      <c r="A38" t="s">
        <v>353</v>
      </c>
      <c r="B38">
        <v>4</v>
      </c>
      <c r="C38" t="s">
        <v>354</v>
      </c>
    </row>
    <row r="39" spans="1:3" x14ac:dyDescent="0.25">
      <c r="A39" t="s">
        <v>355</v>
      </c>
      <c r="B39">
        <v>3</v>
      </c>
      <c r="C39" t="s">
        <v>356</v>
      </c>
    </row>
    <row r="40" spans="1:3" x14ac:dyDescent="0.25">
      <c r="A40" t="s">
        <v>357</v>
      </c>
      <c r="B40">
        <v>4</v>
      </c>
      <c r="C40" t="s">
        <v>358</v>
      </c>
    </row>
    <row r="41" spans="1:3" x14ac:dyDescent="0.25">
      <c r="A41" t="s">
        <v>359</v>
      </c>
      <c r="B41">
        <v>4</v>
      </c>
      <c r="C41" t="s">
        <v>360</v>
      </c>
    </row>
    <row r="42" spans="1:3" x14ac:dyDescent="0.25">
      <c r="A42" t="s">
        <v>361</v>
      </c>
      <c r="B42">
        <v>4</v>
      </c>
      <c r="C42" t="s">
        <v>362</v>
      </c>
    </row>
    <row r="43" spans="1:3" x14ac:dyDescent="0.25">
      <c r="A43" t="s">
        <v>363</v>
      </c>
      <c r="B43">
        <v>4</v>
      </c>
      <c r="C43" t="s">
        <v>364</v>
      </c>
    </row>
    <row r="44" spans="1:3" x14ac:dyDescent="0.25">
      <c r="A44" t="s">
        <v>365</v>
      </c>
      <c r="B44">
        <v>4</v>
      </c>
      <c r="C44" t="s">
        <v>366</v>
      </c>
    </row>
    <row r="45" spans="1:3" x14ac:dyDescent="0.25">
      <c r="A45" t="s">
        <v>367</v>
      </c>
      <c r="B45">
        <v>4</v>
      </c>
      <c r="C45" t="s">
        <v>368</v>
      </c>
    </row>
    <row r="46" spans="1:3" x14ac:dyDescent="0.25">
      <c r="A46" t="s">
        <v>369</v>
      </c>
      <c r="B46">
        <v>4</v>
      </c>
      <c r="C46" t="s">
        <v>370</v>
      </c>
    </row>
    <row r="47" spans="1:3" x14ac:dyDescent="0.25">
      <c r="A47" t="s">
        <v>371</v>
      </c>
      <c r="B47">
        <v>4</v>
      </c>
      <c r="C47" t="s">
        <v>372</v>
      </c>
    </row>
    <row r="48" spans="1:3" x14ac:dyDescent="0.25">
      <c r="A48" t="s">
        <v>373</v>
      </c>
      <c r="B48">
        <v>4</v>
      </c>
      <c r="C48" t="s">
        <v>374</v>
      </c>
    </row>
    <row r="49" spans="1:3" x14ac:dyDescent="0.25">
      <c r="A49" t="s">
        <v>375</v>
      </c>
      <c r="B49">
        <v>4</v>
      </c>
      <c r="C49" t="s">
        <v>376</v>
      </c>
    </row>
    <row r="50" spans="1:3" x14ac:dyDescent="0.25">
      <c r="A50" t="s">
        <v>377</v>
      </c>
      <c r="B50">
        <v>4</v>
      </c>
      <c r="C50" t="s">
        <v>378</v>
      </c>
    </row>
    <row r="51" spans="1:3" x14ac:dyDescent="0.25">
      <c r="A51" t="s">
        <v>379</v>
      </c>
      <c r="B51">
        <v>3</v>
      </c>
      <c r="C51" t="s">
        <v>380</v>
      </c>
    </row>
    <row r="52" spans="1:3" x14ac:dyDescent="0.25">
      <c r="A52" t="s">
        <v>381</v>
      </c>
      <c r="B52">
        <v>4</v>
      </c>
      <c r="C52" t="s">
        <v>382</v>
      </c>
    </row>
    <row r="53" spans="1:3" x14ac:dyDescent="0.25">
      <c r="A53" t="s">
        <v>383</v>
      </c>
      <c r="B53">
        <v>4</v>
      </c>
      <c r="C53" t="s">
        <v>384</v>
      </c>
    </row>
    <row r="54" spans="1:3" x14ac:dyDescent="0.25">
      <c r="A54" t="s">
        <v>385</v>
      </c>
      <c r="B54">
        <v>4</v>
      </c>
      <c r="C54" t="s">
        <v>386</v>
      </c>
    </row>
    <row r="55" spans="1:3" x14ac:dyDescent="0.25">
      <c r="A55" t="s">
        <v>387</v>
      </c>
      <c r="B55">
        <v>4</v>
      </c>
      <c r="C55" t="s">
        <v>388</v>
      </c>
    </row>
    <row r="56" spans="1:3" x14ac:dyDescent="0.25">
      <c r="A56" t="s">
        <v>389</v>
      </c>
      <c r="B56">
        <v>4</v>
      </c>
      <c r="C56" t="s">
        <v>390</v>
      </c>
    </row>
    <row r="57" spans="1:3" x14ac:dyDescent="0.25">
      <c r="A57" t="s">
        <v>391</v>
      </c>
      <c r="B57">
        <v>4</v>
      </c>
      <c r="C57" t="s">
        <v>392</v>
      </c>
    </row>
    <row r="58" spans="1:3" x14ac:dyDescent="0.25">
      <c r="A58" t="s">
        <v>393</v>
      </c>
      <c r="B58">
        <v>1</v>
      </c>
      <c r="C58" t="s">
        <v>394</v>
      </c>
    </row>
    <row r="59" spans="1:3" x14ac:dyDescent="0.25">
      <c r="A59" t="s">
        <v>395</v>
      </c>
      <c r="B59">
        <v>2</v>
      </c>
      <c r="C59" t="s">
        <v>396</v>
      </c>
    </row>
    <row r="60" spans="1:3" x14ac:dyDescent="0.25">
      <c r="A60" t="s">
        <v>397</v>
      </c>
      <c r="B60">
        <v>3</v>
      </c>
      <c r="C60" t="s">
        <v>396</v>
      </c>
    </row>
    <row r="61" spans="1:3" x14ac:dyDescent="0.25">
      <c r="A61" t="s">
        <v>398</v>
      </c>
      <c r="B61">
        <v>4</v>
      </c>
      <c r="C61" t="s">
        <v>399</v>
      </c>
    </row>
    <row r="62" spans="1:3" x14ac:dyDescent="0.25">
      <c r="A62" t="s">
        <v>163</v>
      </c>
      <c r="B62">
        <v>4</v>
      </c>
      <c r="C62" t="s">
        <v>400</v>
      </c>
    </row>
    <row r="63" spans="1:3" x14ac:dyDescent="0.25">
      <c r="A63" t="s">
        <v>165</v>
      </c>
      <c r="B63">
        <v>4</v>
      </c>
      <c r="C63" t="s">
        <v>401</v>
      </c>
    </row>
    <row r="64" spans="1:3" x14ac:dyDescent="0.25">
      <c r="A64" t="s">
        <v>247</v>
      </c>
      <c r="B64">
        <v>4</v>
      </c>
      <c r="C64" t="s">
        <v>402</v>
      </c>
    </row>
    <row r="65" spans="1:3" x14ac:dyDescent="0.25">
      <c r="A65" t="s">
        <v>164</v>
      </c>
      <c r="B65">
        <v>4</v>
      </c>
      <c r="C65" t="s">
        <v>403</v>
      </c>
    </row>
    <row r="66" spans="1:3" x14ac:dyDescent="0.25">
      <c r="A66" t="s">
        <v>404</v>
      </c>
      <c r="B66">
        <v>4</v>
      </c>
      <c r="C66" t="s">
        <v>405</v>
      </c>
    </row>
    <row r="67" spans="1:3" x14ac:dyDescent="0.25">
      <c r="A67" t="s">
        <v>147</v>
      </c>
      <c r="B67">
        <v>4</v>
      </c>
      <c r="C67" t="s">
        <v>406</v>
      </c>
    </row>
    <row r="68" spans="1:3" x14ac:dyDescent="0.25">
      <c r="A68" t="s">
        <v>407</v>
      </c>
      <c r="B68">
        <v>4</v>
      </c>
      <c r="C68" t="s">
        <v>408</v>
      </c>
    </row>
    <row r="69" spans="1:3" x14ac:dyDescent="0.25">
      <c r="A69" t="s">
        <v>222</v>
      </c>
      <c r="B69">
        <v>4</v>
      </c>
      <c r="C69" t="s">
        <v>409</v>
      </c>
    </row>
    <row r="70" spans="1:3" x14ac:dyDescent="0.25">
      <c r="A70" t="s">
        <v>410</v>
      </c>
      <c r="B70">
        <v>3</v>
      </c>
      <c r="C70" t="s">
        <v>411</v>
      </c>
    </row>
    <row r="71" spans="1:3" x14ac:dyDescent="0.25">
      <c r="A71" t="s">
        <v>412</v>
      </c>
      <c r="B71">
        <v>2</v>
      </c>
      <c r="C71" t="s">
        <v>413</v>
      </c>
    </row>
    <row r="72" spans="1:3" x14ac:dyDescent="0.25">
      <c r="A72" t="s">
        <v>414</v>
      </c>
      <c r="B72">
        <v>3</v>
      </c>
      <c r="C72" t="s">
        <v>415</v>
      </c>
    </row>
    <row r="73" spans="1:3" x14ac:dyDescent="0.25">
      <c r="A73" t="s">
        <v>416</v>
      </c>
      <c r="B73">
        <v>4</v>
      </c>
      <c r="C73" t="s">
        <v>417</v>
      </c>
    </row>
    <row r="74" spans="1:3" x14ac:dyDescent="0.25">
      <c r="A74" t="s">
        <v>418</v>
      </c>
      <c r="B74">
        <v>3</v>
      </c>
      <c r="C74" t="s">
        <v>419</v>
      </c>
    </row>
    <row r="75" spans="1:3" x14ac:dyDescent="0.25">
      <c r="A75" t="s">
        <v>420</v>
      </c>
      <c r="B75">
        <v>3</v>
      </c>
      <c r="C75" t="s">
        <v>421</v>
      </c>
    </row>
    <row r="76" spans="1:3" x14ac:dyDescent="0.25">
      <c r="A76" t="s">
        <v>422</v>
      </c>
      <c r="B76">
        <v>2</v>
      </c>
      <c r="C76" t="s">
        <v>423</v>
      </c>
    </row>
    <row r="77" spans="1:3" x14ac:dyDescent="0.25">
      <c r="A77" t="s">
        <v>424</v>
      </c>
      <c r="B77">
        <v>3</v>
      </c>
      <c r="C77" t="s">
        <v>425</v>
      </c>
    </row>
    <row r="78" spans="1:3" x14ac:dyDescent="0.25">
      <c r="A78" t="s">
        <v>143</v>
      </c>
      <c r="B78">
        <v>4</v>
      </c>
      <c r="C78" t="s">
        <v>426</v>
      </c>
    </row>
    <row r="79" spans="1:3" x14ac:dyDescent="0.25">
      <c r="A79" t="s">
        <v>144</v>
      </c>
      <c r="B79">
        <v>4</v>
      </c>
      <c r="C79" t="s">
        <v>427</v>
      </c>
    </row>
    <row r="80" spans="1:3" x14ac:dyDescent="0.25">
      <c r="A80" t="s">
        <v>264</v>
      </c>
      <c r="B80">
        <v>4</v>
      </c>
      <c r="C80" t="s">
        <v>428</v>
      </c>
    </row>
    <row r="81" spans="1:3" x14ac:dyDescent="0.25">
      <c r="A81" t="s">
        <v>429</v>
      </c>
      <c r="B81">
        <v>4</v>
      </c>
      <c r="C81" t="s">
        <v>430</v>
      </c>
    </row>
    <row r="82" spans="1:3" x14ac:dyDescent="0.25">
      <c r="A82" t="s">
        <v>431</v>
      </c>
      <c r="B82">
        <v>4</v>
      </c>
      <c r="C82" t="s">
        <v>432</v>
      </c>
    </row>
    <row r="83" spans="1:3" x14ac:dyDescent="0.25">
      <c r="A83" t="s">
        <v>433</v>
      </c>
      <c r="B83">
        <v>4</v>
      </c>
      <c r="C83" t="s">
        <v>434</v>
      </c>
    </row>
    <row r="84" spans="1:3" x14ac:dyDescent="0.25">
      <c r="A84" t="s">
        <v>435</v>
      </c>
      <c r="B84">
        <v>4</v>
      </c>
      <c r="C84" t="s">
        <v>436</v>
      </c>
    </row>
    <row r="85" spans="1:3" x14ac:dyDescent="0.25">
      <c r="A85" t="s">
        <v>437</v>
      </c>
      <c r="B85">
        <v>4</v>
      </c>
      <c r="C85" t="s">
        <v>438</v>
      </c>
    </row>
    <row r="86" spans="1:3" x14ac:dyDescent="0.25">
      <c r="A86" t="s">
        <v>439</v>
      </c>
      <c r="B86">
        <v>3</v>
      </c>
      <c r="C86" t="s">
        <v>440</v>
      </c>
    </row>
    <row r="87" spans="1:3" x14ac:dyDescent="0.25">
      <c r="A87" t="s">
        <v>441</v>
      </c>
      <c r="B87">
        <v>4</v>
      </c>
      <c r="C87" t="s">
        <v>442</v>
      </c>
    </row>
    <row r="88" spans="1:3" x14ac:dyDescent="0.25">
      <c r="A88" t="s">
        <v>443</v>
      </c>
      <c r="B88">
        <v>4</v>
      </c>
      <c r="C88" t="s">
        <v>444</v>
      </c>
    </row>
    <row r="89" spans="1:3" x14ac:dyDescent="0.25">
      <c r="A89" t="s">
        <v>445</v>
      </c>
      <c r="B89">
        <v>4</v>
      </c>
      <c r="C89" t="s">
        <v>446</v>
      </c>
    </row>
    <row r="90" spans="1:3" x14ac:dyDescent="0.25">
      <c r="A90" t="s">
        <v>447</v>
      </c>
      <c r="B90">
        <v>4</v>
      </c>
      <c r="C90" t="s">
        <v>448</v>
      </c>
    </row>
    <row r="91" spans="1:3" x14ac:dyDescent="0.25">
      <c r="A91" t="s">
        <v>146</v>
      </c>
      <c r="B91">
        <v>4</v>
      </c>
      <c r="C91" t="s">
        <v>449</v>
      </c>
    </row>
    <row r="92" spans="1:3" x14ac:dyDescent="0.25">
      <c r="A92" t="s">
        <v>450</v>
      </c>
      <c r="B92">
        <v>4</v>
      </c>
      <c r="C92" t="s">
        <v>451</v>
      </c>
    </row>
    <row r="93" spans="1:3" x14ac:dyDescent="0.25">
      <c r="A93" t="s">
        <v>452</v>
      </c>
      <c r="B93">
        <v>4</v>
      </c>
      <c r="C93" t="s">
        <v>453</v>
      </c>
    </row>
    <row r="94" spans="1:3" x14ac:dyDescent="0.25">
      <c r="A94" t="s">
        <v>454</v>
      </c>
      <c r="B94">
        <v>4</v>
      </c>
      <c r="C94" t="s">
        <v>455</v>
      </c>
    </row>
    <row r="95" spans="1:3" x14ac:dyDescent="0.25">
      <c r="A95" t="s">
        <v>456</v>
      </c>
      <c r="B95">
        <v>3</v>
      </c>
      <c r="C95" t="s">
        <v>457</v>
      </c>
    </row>
    <row r="96" spans="1:3" x14ac:dyDescent="0.25">
      <c r="A96" t="s">
        <v>149</v>
      </c>
      <c r="B96">
        <v>4</v>
      </c>
      <c r="C96" t="s">
        <v>458</v>
      </c>
    </row>
    <row r="97" spans="1:3" x14ac:dyDescent="0.25">
      <c r="A97" t="s">
        <v>459</v>
      </c>
      <c r="B97">
        <v>4</v>
      </c>
      <c r="C97" t="s">
        <v>460</v>
      </c>
    </row>
    <row r="98" spans="1:3" x14ac:dyDescent="0.25">
      <c r="A98" t="s">
        <v>461</v>
      </c>
      <c r="B98">
        <v>3</v>
      </c>
      <c r="C98" t="s">
        <v>462</v>
      </c>
    </row>
    <row r="99" spans="1:3" x14ac:dyDescent="0.25">
      <c r="A99" t="s">
        <v>463</v>
      </c>
      <c r="B99">
        <v>4</v>
      </c>
      <c r="C99" t="s">
        <v>464</v>
      </c>
    </row>
    <row r="100" spans="1:3" x14ac:dyDescent="0.25">
      <c r="A100" t="s">
        <v>465</v>
      </c>
      <c r="B100">
        <v>4</v>
      </c>
      <c r="C100" t="s">
        <v>466</v>
      </c>
    </row>
    <row r="101" spans="1:3" x14ac:dyDescent="0.25">
      <c r="A101" t="s">
        <v>467</v>
      </c>
      <c r="B101">
        <v>4</v>
      </c>
      <c r="C101" t="s">
        <v>468</v>
      </c>
    </row>
    <row r="102" spans="1:3" x14ac:dyDescent="0.25">
      <c r="A102" t="s">
        <v>469</v>
      </c>
      <c r="B102">
        <v>4</v>
      </c>
      <c r="C102" t="s">
        <v>470</v>
      </c>
    </row>
    <row r="103" spans="1:3" x14ac:dyDescent="0.25">
      <c r="A103" t="s">
        <v>471</v>
      </c>
      <c r="B103">
        <v>4</v>
      </c>
      <c r="C103" t="s">
        <v>472</v>
      </c>
    </row>
    <row r="104" spans="1:3" x14ac:dyDescent="0.25">
      <c r="A104" t="s">
        <v>148</v>
      </c>
      <c r="B104">
        <v>4</v>
      </c>
      <c r="C104" t="s">
        <v>473</v>
      </c>
    </row>
    <row r="105" spans="1:3" x14ac:dyDescent="0.25">
      <c r="A105" t="s">
        <v>474</v>
      </c>
      <c r="B105">
        <v>4</v>
      </c>
      <c r="C105" t="s">
        <v>475</v>
      </c>
    </row>
    <row r="106" spans="1:3" x14ac:dyDescent="0.25">
      <c r="A106" t="s">
        <v>476</v>
      </c>
      <c r="B106">
        <v>4</v>
      </c>
      <c r="C106" t="s">
        <v>477</v>
      </c>
    </row>
    <row r="107" spans="1:3" x14ac:dyDescent="0.25">
      <c r="A107" t="s">
        <v>478</v>
      </c>
      <c r="B107">
        <v>2</v>
      </c>
      <c r="C107" t="s">
        <v>479</v>
      </c>
    </row>
    <row r="108" spans="1:3" x14ac:dyDescent="0.25">
      <c r="A108" t="s">
        <v>480</v>
      </c>
      <c r="B108">
        <v>3</v>
      </c>
      <c r="C108" t="s">
        <v>481</v>
      </c>
    </row>
    <row r="109" spans="1:3" x14ac:dyDescent="0.25">
      <c r="A109" t="s">
        <v>153</v>
      </c>
      <c r="B109">
        <v>4</v>
      </c>
      <c r="C109" t="s">
        <v>482</v>
      </c>
    </row>
    <row r="110" spans="1:3" x14ac:dyDescent="0.25">
      <c r="A110" t="s">
        <v>154</v>
      </c>
      <c r="B110">
        <v>4</v>
      </c>
      <c r="C110" t="s">
        <v>483</v>
      </c>
    </row>
    <row r="111" spans="1:3" x14ac:dyDescent="0.25">
      <c r="A111" t="s">
        <v>208</v>
      </c>
      <c r="B111">
        <v>4</v>
      </c>
      <c r="C111" t="s">
        <v>484</v>
      </c>
    </row>
    <row r="112" spans="1:3" x14ac:dyDescent="0.25">
      <c r="A112" t="s">
        <v>276</v>
      </c>
      <c r="B112">
        <v>4</v>
      </c>
      <c r="C112" t="s">
        <v>485</v>
      </c>
    </row>
    <row r="113" spans="1:3" x14ac:dyDescent="0.25">
      <c r="A113" t="s">
        <v>486</v>
      </c>
      <c r="B113">
        <v>4</v>
      </c>
      <c r="C113" t="s">
        <v>487</v>
      </c>
    </row>
    <row r="114" spans="1:3" x14ac:dyDescent="0.25">
      <c r="A114" t="s">
        <v>488</v>
      </c>
      <c r="B114">
        <v>3</v>
      </c>
      <c r="C114" t="s">
        <v>489</v>
      </c>
    </row>
    <row r="115" spans="1:3" x14ac:dyDescent="0.25">
      <c r="A115" t="s">
        <v>490</v>
      </c>
      <c r="B115">
        <v>4</v>
      </c>
      <c r="C115" t="s">
        <v>491</v>
      </c>
    </row>
    <row r="116" spans="1:3" x14ac:dyDescent="0.25">
      <c r="A116" t="s">
        <v>492</v>
      </c>
      <c r="B116">
        <v>4</v>
      </c>
      <c r="C116" t="s">
        <v>493</v>
      </c>
    </row>
    <row r="117" spans="1:3" x14ac:dyDescent="0.25">
      <c r="A117" t="s">
        <v>494</v>
      </c>
      <c r="B117">
        <v>4</v>
      </c>
      <c r="C117" t="s">
        <v>495</v>
      </c>
    </row>
    <row r="118" spans="1:3" x14ac:dyDescent="0.25">
      <c r="A118" t="s">
        <v>155</v>
      </c>
      <c r="B118">
        <v>4</v>
      </c>
      <c r="C118" t="s">
        <v>496</v>
      </c>
    </row>
    <row r="119" spans="1:3" x14ac:dyDescent="0.25">
      <c r="A119" t="s">
        <v>497</v>
      </c>
      <c r="B119">
        <v>3</v>
      </c>
      <c r="C119" t="s">
        <v>498</v>
      </c>
    </row>
    <row r="120" spans="1:3" x14ac:dyDescent="0.25">
      <c r="A120" t="s">
        <v>215</v>
      </c>
      <c r="B120">
        <v>4</v>
      </c>
      <c r="C120" t="s">
        <v>499</v>
      </c>
    </row>
    <row r="121" spans="1:3" x14ac:dyDescent="0.25">
      <c r="A121" t="s">
        <v>201</v>
      </c>
      <c r="B121">
        <v>4</v>
      </c>
      <c r="C121" t="s">
        <v>500</v>
      </c>
    </row>
    <row r="122" spans="1:3" x14ac:dyDescent="0.25">
      <c r="A122" t="s">
        <v>234</v>
      </c>
      <c r="B122">
        <v>4</v>
      </c>
      <c r="C122" t="s">
        <v>501</v>
      </c>
    </row>
    <row r="123" spans="1:3" x14ac:dyDescent="0.25">
      <c r="A123" t="s">
        <v>250</v>
      </c>
      <c r="B123">
        <v>4</v>
      </c>
      <c r="C123" t="s">
        <v>502</v>
      </c>
    </row>
    <row r="124" spans="1:3" x14ac:dyDescent="0.25">
      <c r="A124" t="s">
        <v>503</v>
      </c>
      <c r="B124">
        <v>4</v>
      </c>
      <c r="C124" t="s">
        <v>504</v>
      </c>
    </row>
    <row r="125" spans="1:3" x14ac:dyDescent="0.25">
      <c r="A125" t="s">
        <v>505</v>
      </c>
      <c r="B125">
        <v>3</v>
      </c>
      <c r="C125" t="s">
        <v>506</v>
      </c>
    </row>
    <row r="126" spans="1:3" x14ac:dyDescent="0.25">
      <c r="A126" t="s">
        <v>507</v>
      </c>
      <c r="B126">
        <v>4</v>
      </c>
      <c r="C126" t="s">
        <v>508</v>
      </c>
    </row>
    <row r="127" spans="1:3" x14ac:dyDescent="0.25">
      <c r="A127" t="s">
        <v>509</v>
      </c>
      <c r="B127">
        <v>2</v>
      </c>
      <c r="C127" t="s">
        <v>510</v>
      </c>
    </row>
    <row r="128" spans="1:3" x14ac:dyDescent="0.25">
      <c r="A128" t="s">
        <v>511</v>
      </c>
      <c r="B128">
        <v>3</v>
      </c>
      <c r="C128" t="s">
        <v>512</v>
      </c>
    </row>
    <row r="129" spans="1:3" x14ac:dyDescent="0.25">
      <c r="A129" t="s">
        <v>156</v>
      </c>
      <c r="B129">
        <v>4</v>
      </c>
      <c r="C129" t="s">
        <v>512</v>
      </c>
    </row>
    <row r="130" spans="1:3" x14ac:dyDescent="0.25">
      <c r="A130" t="s">
        <v>513</v>
      </c>
      <c r="B130">
        <v>3</v>
      </c>
      <c r="C130" t="s">
        <v>514</v>
      </c>
    </row>
    <row r="131" spans="1:3" x14ac:dyDescent="0.25">
      <c r="A131" t="s">
        <v>515</v>
      </c>
      <c r="B131">
        <v>4</v>
      </c>
      <c r="C131" t="s">
        <v>516</v>
      </c>
    </row>
    <row r="132" spans="1:3" x14ac:dyDescent="0.25">
      <c r="A132" t="s">
        <v>517</v>
      </c>
      <c r="B132">
        <v>4</v>
      </c>
      <c r="C132" t="s">
        <v>518</v>
      </c>
    </row>
    <row r="133" spans="1:3" x14ac:dyDescent="0.25">
      <c r="A133" t="s">
        <v>519</v>
      </c>
      <c r="B133">
        <v>3</v>
      </c>
      <c r="C133" t="s">
        <v>520</v>
      </c>
    </row>
    <row r="134" spans="1:3" x14ac:dyDescent="0.25">
      <c r="A134" t="s">
        <v>124</v>
      </c>
      <c r="B134">
        <v>4</v>
      </c>
      <c r="C134" t="s">
        <v>521</v>
      </c>
    </row>
    <row r="135" spans="1:3" x14ac:dyDescent="0.25">
      <c r="A135" t="s">
        <v>522</v>
      </c>
      <c r="B135">
        <v>3</v>
      </c>
      <c r="C135" t="s">
        <v>523</v>
      </c>
    </row>
    <row r="136" spans="1:3" x14ac:dyDescent="0.25">
      <c r="A136" t="s">
        <v>524</v>
      </c>
      <c r="B136">
        <v>4</v>
      </c>
      <c r="C136" t="s">
        <v>525</v>
      </c>
    </row>
    <row r="137" spans="1:3" x14ac:dyDescent="0.25">
      <c r="A137" t="s">
        <v>526</v>
      </c>
      <c r="B137">
        <v>3</v>
      </c>
      <c r="C137" t="s">
        <v>527</v>
      </c>
    </row>
    <row r="138" spans="1:3" x14ac:dyDescent="0.25">
      <c r="A138" t="s">
        <v>528</v>
      </c>
      <c r="B138">
        <v>4</v>
      </c>
      <c r="C138" t="s">
        <v>527</v>
      </c>
    </row>
    <row r="139" spans="1:3" x14ac:dyDescent="0.25">
      <c r="A139" t="s">
        <v>529</v>
      </c>
      <c r="B139">
        <v>3</v>
      </c>
      <c r="C139" t="s">
        <v>530</v>
      </c>
    </row>
    <row r="140" spans="1:3" x14ac:dyDescent="0.25">
      <c r="A140" t="s">
        <v>531</v>
      </c>
      <c r="B140">
        <v>4</v>
      </c>
      <c r="C140" t="s">
        <v>530</v>
      </c>
    </row>
    <row r="141" spans="1:3" x14ac:dyDescent="0.25">
      <c r="A141" t="s">
        <v>532</v>
      </c>
      <c r="B141">
        <v>3</v>
      </c>
      <c r="C141" t="s">
        <v>533</v>
      </c>
    </row>
    <row r="142" spans="1:3" x14ac:dyDescent="0.25">
      <c r="A142" t="s">
        <v>534</v>
      </c>
      <c r="B142">
        <v>4</v>
      </c>
      <c r="C142" t="s">
        <v>535</v>
      </c>
    </row>
    <row r="143" spans="1:3" x14ac:dyDescent="0.25">
      <c r="A143" t="s">
        <v>536</v>
      </c>
      <c r="B143">
        <v>4</v>
      </c>
      <c r="C143" t="s">
        <v>537</v>
      </c>
    </row>
    <row r="144" spans="1:3" x14ac:dyDescent="0.25">
      <c r="A144" t="s">
        <v>538</v>
      </c>
      <c r="B144">
        <v>3</v>
      </c>
      <c r="C144" t="s">
        <v>539</v>
      </c>
    </row>
    <row r="145" spans="1:3" x14ac:dyDescent="0.25">
      <c r="A145" t="s">
        <v>540</v>
      </c>
      <c r="B145">
        <v>4</v>
      </c>
      <c r="C145" t="s">
        <v>541</v>
      </c>
    </row>
    <row r="146" spans="1:3" x14ac:dyDescent="0.25">
      <c r="A146" t="s">
        <v>542</v>
      </c>
      <c r="B146">
        <v>2</v>
      </c>
      <c r="C146" t="s">
        <v>543</v>
      </c>
    </row>
    <row r="147" spans="1:3" x14ac:dyDescent="0.25">
      <c r="A147" t="s">
        <v>544</v>
      </c>
      <c r="B147">
        <v>3</v>
      </c>
      <c r="C147" t="s">
        <v>545</v>
      </c>
    </row>
    <row r="148" spans="1:3" x14ac:dyDescent="0.25">
      <c r="A148" t="s">
        <v>546</v>
      </c>
      <c r="B148">
        <v>4</v>
      </c>
      <c r="C148" t="s">
        <v>547</v>
      </c>
    </row>
    <row r="149" spans="1:3" x14ac:dyDescent="0.25">
      <c r="A149" t="s">
        <v>548</v>
      </c>
      <c r="B149">
        <v>4</v>
      </c>
      <c r="C149" t="s">
        <v>549</v>
      </c>
    </row>
    <row r="150" spans="1:3" x14ac:dyDescent="0.25">
      <c r="A150" t="s">
        <v>550</v>
      </c>
      <c r="B150">
        <v>2</v>
      </c>
      <c r="C150" t="s">
        <v>551</v>
      </c>
    </row>
    <row r="151" spans="1:3" x14ac:dyDescent="0.25">
      <c r="A151" t="s">
        <v>552</v>
      </c>
      <c r="B151">
        <v>3</v>
      </c>
      <c r="C151" t="s">
        <v>551</v>
      </c>
    </row>
    <row r="152" spans="1:3" x14ac:dyDescent="0.25">
      <c r="A152" t="s">
        <v>203</v>
      </c>
      <c r="B152">
        <v>4</v>
      </c>
      <c r="C152" t="s">
        <v>553</v>
      </c>
    </row>
    <row r="153" spans="1:3" x14ac:dyDescent="0.25">
      <c r="A153" t="s">
        <v>554</v>
      </c>
      <c r="B153">
        <v>4</v>
      </c>
      <c r="C153" t="s">
        <v>555</v>
      </c>
    </row>
    <row r="154" spans="1:3" x14ac:dyDescent="0.25">
      <c r="A154" t="s">
        <v>556</v>
      </c>
      <c r="B154">
        <v>1</v>
      </c>
      <c r="C154" t="s">
        <v>557</v>
      </c>
    </row>
    <row r="155" spans="1:3" x14ac:dyDescent="0.25">
      <c r="A155" t="s">
        <v>558</v>
      </c>
      <c r="B155">
        <v>2</v>
      </c>
      <c r="C155" t="s">
        <v>557</v>
      </c>
    </row>
    <row r="156" spans="1:3" x14ac:dyDescent="0.25">
      <c r="A156" t="s">
        <v>559</v>
      </c>
      <c r="B156">
        <v>3</v>
      </c>
      <c r="C156" t="s">
        <v>560</v>
      </c>
    </row>
    <row r="157" spans="1:3" x14ac:dyDescent="0.25">
      <c r="A157" t="s">
        <v>561</v>
      </c>
      <c r="B157">
        <v>4</v>
      </c>
      <c r="C157" t="s">
        <v>560</v>
      </c>
    </row>
    <row r="158" spans="1:3" x14ac:dyDescent="0.25">
      <c r="A158" t="s">
        <v>127</v>
      </c>
      <c r="B158">
        <v>4</v>
      </c>
      <c r="C158" t="s">
        <v>562</v>
      </c>
    </row>
    <row r="159" spans="1:3" x14ac:dyDescent="0.25">
      <c r="A159" t="s">
        <v>126</v>
      </c>
      <c r="B159">
        <v>4</v>
      </c>
      <c r="C159" t="s">
        <v>563</v>
      </c>
    </row>
    <row r="160" spans="1:3" x14ac:dyDescent="0.25">
      <c r="A160" t="s">
        <v>274</v>
      </c>
      <c r="B160">
        <v>4</v>
      </c>
      <c r="C160" t="s">
        <v>564</v>
      </c>
    </row>
    <row r="161" spans="1:3" x14ac:dyDescent="0.25">
      <c r="A161" t="s">
        <v>565</v>
      </c>
      <c r="B161">
        <v>4</v>
      </c>
      <c r="C161" t="s">
        <v>566</v>
      </c>
    </row>
    <row r="162" spans="1:3" x14ac:dyDescent="0.25">
      <c r="A162" t="s">
        <v>567</v>
      </c>
      <c r="B162">
        <v>3</v>
      </c>
      <c r="C162" t="s">
        <v>562</v>
      </c>
    </row>
    <row r="163" spans="1:3" x14ac:dyDescent="0.25">
      <c r="A163" t="s">
        <v>568</v>
      </c>
      <c r="B163">
        <v>2</v>
      </c>
      <c r="C163" t="s">
        <v>569</v>
      </c>
    </row>
    <row r="164" spans="1:3" x14ac:dyDescent="0.25">
      <c r="A164" t="s">
        <v>570</v>
      </c>
      <c r="B164">
        <v>3</v>
      </c>
      <c r="C164" t="s">
        <v>569</v>
      </c>
    </row>
    <row r="165" spans="1:3" x14ac:dyDescent="0.25">
      <c r="A165" t="s">
        <v>196</v>
      </c>
      <c r="B165">
        <v>4</v>
      </c>
      <c r="C165" t="s">
        <v>197</v>
      </c>
    </row>
    <row r="166" spans="1:3" x14ac:dyDescent="0.25">
      <c r="A166" t="s">
        <v>571</v>
      </c>
      <c r="B166">
        <v>2</v>
      </c>
      <c r="C166" t="s">
        <v>572</v>
      </c>
    </row>
    <row r="167" spans="1:3" x14ac:dyDescent="0.25">
      <c r="A167" t="s">
        <v>573</v>
      </c>
      <c r="B167">
        <v>3</v>
      </c>
      <c r="C167" t="s">
        <v>574</v>
      </c>
    </row>
    <row r="168" spans="1:3" x14ac:dyDescent="0.25">
      <c r="A168" t="s">
        <v>160</v>
      </c>
      <c r="B168">
        <v>4</v>
      </c>
      <c r="C168" t="s">
        <v>575</v>
      </c>
    </row>
    <row r="169" spans="1:3" x14ac:dyDescent="0.25">
      <c r="A169" t="s">
        <v>576</v>
      </c>
      <c r="B169">
        <v>4</v>
      </c>
      <c r="C169" t="s">
        <v>577</v>
      </c>
    </row>
    <row r="170" spans="1:3" x14ac:dyDescent="0.25">
      <c r="A170" t="s">
        <v>145</v>
      </c>
      <c r="B170">
        <v>4</v>
      </c>
      <c r="C170" t="s">
        <v>578</v>
      </c>
    </row>
    <row r="171" spans="1:3" x14ac:dyDescent="0.25">
      <c r="A171" t="s">
        <v>579</v>
      </c>
      <c r="B171">
        <v>3</v>
      </c>
      <c r="C171" t="s">
        <v>580</v>
      </c>
    </row>
    <row r="172" spans="1:3" x14ac:dyDescent="0.25">
      <c r="A172" t="s">
        <v>581</v>
      </c>
      <c r="B172">
        <v>4</v>
      </c>
      <c r="C172" t="s">
        <v>580</v>
      </c>
    </row>
    <row r="173" spans="1:3" x14ac:dyDescent="0.25">
      <c r="A173" t="s">
        <v>582</v>
      </c>
      <c r="B173">
        <v>2</v>
      </c>
      <c r="C173" t="s">
        <v>583</v>
      </c>
    </row>
    <row r="174" spans="1:3" x14ac:dyDescent="0.25">
      <c r="A174" t="s">
        <v>584</v>
      </c>
      <c r="B174">
        <v>3</v>
      </c>
      <c r="C174" t="s">
        <v>585</v>
      </c>
    </row>
    <row r="175" spans="1:3" x14ac:dyDescent="0.25">
      <c r="A175" t="s">
        <v>586</v>
      </c>
      <c r="B175">
        <v>4</v>
      </c>
      <c r="C175" t="s">
        <v>587</v>
      </c>
    </row>
    <row r="176" spans="1:3" x14ac:dyDescent="0.25">
      <c r="A176" t="s">
        <v>157</v>
      </c>
      <c r="B176">
        <v>4</v>
      </c>
      <c r="C176" t="s">
        <v>588</v>
      </c>
    </row>
    <row r="177" spans="1:3" x14ac:dyDescent="0.25">
      <c r="A177" t="s">
        <v>152</v>
      </c>
      <c r="B177">
        <v>4</v>
      </c>
      <c r="C177" t="s">
        <v>589</v>
      </c>
    </row>
    <row r="178" spans="1:3" x14ac:dyDescent="0.25">
      <c r="A178" t="s">
        <v>590</v>
      </c>
      <c r="B178">
        <v>4</v>
      </c>
      <c r="C178" t="s">
        <v>591</v>
      </c>
    </row>
    <row r="179" spans="1:3" x14ac:dyDescent="0.25">
      <c r="A179" t="s">
        <v>592</v>
      </c>
      <c r="B179">
        <v>4</v>
      </c>
      <c r="C179" t="s">
        <v>593</v>
      </c>
    </row>
    <row r="180" spans="1:3" x14ac:dyDescent="0.25">
      <c r="A180" t="s">
        <v>594</v>
      </c>
      <c r="B180">
        <v>3</v>
      </c>
      <c r="C180" t="s">
        <v>595</v>
      </c>
    </row>
    <row r="181" spans="1:3" x14ac:dyDescent="0.25">
      <c r="A181" t="s">
        <v>596</v>
      </c>
      <c r="B181">
        <v>4</v>
      </c>
      <c r="C181" t="s">
        <v>597</v>
      </c>
    </row>
    <row r="182" spans="1:3" x14ac:dyDescent="0.25">
      <c r="A182" t="s">
        <v>177</v>
      </c>
      <c r="B182">
        <v>4</v>
      </c>
      <c r="C182" t="s">
        <v>598</v>
      </c>
    </row>
    <row r="183" spans="1:3" x14ac:dyDescent="0.25">
      <c r="A183" t="s">
        <v>599</v>
      </c>
      <c r="B183">
        <v>3</v>
      </c>
      <c r="C183" t="s">
        <v>600</v>
      </c>
    </row>
    <row r="184" spans="1:3" x14ac:dyDescent="0.25">
      <c r="A184" t="s">
        <v>601</v>
      </c>
      <c r="B184">
        <v>4</v>
      </c>
      <c r="C184" t="s">
        <v>602</v>
      </c>
    </row>
    <row r="185" spans="1:3" x14ac:dyDescent="0.25">
      <c r="A185" t="s">
        <v>603</v>
      </c>
      <c r="B185">
        <v>4</v>
      </c>
      <c r="C185" t="s">
        <v>604</v>
      </c>
    </row>
    <row r="186" spans="1:3" x14ac:dyDescent="0.25">
      <c r="A186" t="s">
        <v>605</v>
      </c>
      <c r="B186">
        <v>4</v>
      </c>
      <c r="C186" t="s">
        <v>606</v>
      </c>
    </row>
    <row r="187" spans="1:3" x14ac:dyDescent="0.25">
      <c r="A187" t="s">
        <v>607</v>
      </c>
      <c r="B187">
        <v>4</v>
      </c>
      <c r="C187" t="s">
        <v>608</v>
      </c>
    </row>
    <row r="188" spans="1:3" x14ac:dyDescent="0.25">
      <c r="A188" t="s">
        <v>609</v>
      </c>
      <c r="B188">
        <v>3</v>
      </c>
      <c r="C188" t="s">
        <v>610</v>
      </c>
    </row>
    <row r="189" spans="1:3" x14ac:dyDescent="0.25">
      <c r="A189" t="s">
        <v>611</v>
      </c>
      <c r="B189">
        <v>4</v>
      </c>
      <c r="C189" t="s">
        <v>612</v>
      </c>
    </row>
    <row r="190" spans="1:3" x14ac:dyDescent="0.25">
      <c r="A190" t="s">
        <v>613</v>
      </c>
      <c r="B190">
        <v>4</v>
      </c>
      <c r="C190" t="s">
        <v>614</v>
      </c>
    </row>
    <row r="191" spans="1:3" x14ac:dyDescent="0.25">
      <c r="A191" t="s">
        <v>615</v>
      </c>
      <c r="B191">
        <v>4</v>
      </c>
      <c r="C191" t="s">
        <v>616</v>
      </c>
    </row>
    <row r="192" spans="1:3" x14ac:dyDescent="0.25">
      <c r="A192" t="s">
        <v>617</v>
      </c>
      <c r="B192">
        <v>4</v>
      </c>
      <c r="C192" t="s">
        <v>618</v>
      </c>
    </row>
    <row r="193" spans="1:3" x14ac:dyDescent="0.25">
      <c r="A193" t="s">
        <v>619</v>
      </c>
      <c r="B193">
        <v>3</v>
      </c>
      <c r="C193" t="s">
        <v>620</v>
      </c>
    </row>
    <row r="194" spans="1:3" x14ac:dyDescent="0.25">
      <c r="A194" t="s">
        <v>621</v>
      </c>
      <c r="B194">
        <v>4</v>
      </c>
      <c r="C194" t="s">
        <v>620</v>
      </c>
    </row>
    <row r="195" spans="1:3" x14ac:dyDescent="0.25">
      <c r="A195" t="s">
        <v>622</v>
      </c>
      <c r="B195">
        <v>4</v>
      </c>
      <c r="C195" t="s">
        <v>623</v>
      </c>
    </row>
    <row r="196" spans="1:3" x14ac:dyDescent="0.25">
      <c r="A196" t="s">
        <v>624</v>
      </c>
      <c r="B196">
        <v>4</v>
      </c>
      <c r="C196" t="s">
        <v>625</v>
      </c>
    </row>
    <row r="197" spans="1:3" x14ac:dyDescent="0.25">
      <c r="A197" t="s">
        <v>626</v>
      </c>
      <c r="B197">
        <v>3</v>
      </c>
      <c r="C197" t="s">
        <v>627</v>
      </c>
    </row>
    <row r="198" spans="1:3" x14ac:dyDescent="0.25">
      <c r="A198" t="s">
        <v>628</v>
      </c>
      <c r="B198">
        <v>4</v>
      </c>
      <c r="C198" t="s">
        <v>629</v>
      </c>
    </row>
    <row r="199" spans="1:3" x14ac:dyDescent="0.25">
      <c r="A199" t="s">
        <v>630</v>
      </c>
      <c r="B199">
        <v>4</v>
      </c>
      <c r="C199" t="s">
        <v>631</v>
      </c>
    </row>
    <row r="200" spans="1:3" x14ac:dyDescent="0.25">
      <c r="A200" t="s">
        <v>632</v>
      </c>
      <c r="B200">
        <v>4</v>
      </c>
      <c r="C200" t="s">
        <v>633</v>
      </c>
    </row>
    <row r="201" spans="1:3" x14ac:dyDescent="0.25">
      <c r="A201" t="s">
        <v>634</v>
      </c>
      <c r="B201">
        <v>4</v>
      </c>
      <c r="C201" t="s">
        <v>635</v>
      </c>
    </row>
    <row r="202" spans="1:3" x14ac:dyDescent="0.25">
      <c r="A202" t="s">
        <v>636</v>
      </c>
      <c r="B202">
        <v>3</v>
      </c>
      <c r="C202" t="s">
        <v>637</v>
      </c>
    </row>
    <row r="203" spans="1:3" x14ac:dyDescent="0.25">
      <c r="A203" t="s">
        <v>638</v>
      </c>
      <c r="B203">
        <v>4</v>
      </c>
      <c r="C203" t="s">
        <v>639</v>
      </c>
    </row>
    <row r="204" spans="1:3" x14ac:dyDescent="0.25">
      <c r="A204" t="s">
        <v>640</v>
      </c>
      <c r="B204">
        <v>4</v>
      </c>
      <c r="C204" t="s">
        <v>641</v>
      </c>
    </row>
    <row r="205" spans="1:3" x14ac:dyDescent="0.25">
      <c r="A205" t="s">
        <v>642</v>
      </c>
      <c r="B205">
        <v>3</v>
      </c>
      <c r="C205" t="s">
        <v>643</v>
      </c>
    </row>
    <row r="206" spans="1:3" x14ac:dyDescent="0.25">
      <c r="A206" t="s">
        <v>644</v>
      </c>
      <c r="B206">
        <v>4</v>
      </c>
      <c r="C206" t="s">
        <v>645</v>
      </c>
    </row>
    <row r="207" spans="1:3" x14ac:dyDescent="0.25">
      <c r="A207" t="s">
        <v>646</v>
      </c>
      <c r="B207">
        <v>4</v>
      </c>
      <c r="C207" t="s">
        <v>647</v>
      </c>
    </row>
    <row r="208" spans="1:3" x14ac:dyDescent="0.25">
      <c r="A208" t="s">
        <v>182</v>
      </c>
      <c r="B208">
        <v>4</v>
      </c>
      <c r="C208" t="s">
        <v>643</v>
      </c>
    </row>
    <row r="209" spans="1:3" x14ac:dyDescent="0.25">
      <c r="A209" t="s">
        <v>648</v>
      </c>
      <c r="B209">
        <v>3</v>
      </c>
      <c r="C209" t="s">
        <v>649</v>
      </c>
    </row>
    <row r="210" spans="1:3" x14ac:dyDescent="0.25">
      <c r="A210" t="s">
        <v>650</v>
      </c>
      <c r="B210">
        <v>4</v>
      </c>
      <c r="C210" t="s">
        <v>649</v>
      </c>
    </row>
    <row r="211" spans="1:3" x14ac:dyDescent="0.25">
      <c r="A211" t="s">
        <v>651</v>
      </c>
      <c r="B211">
        <v>3</v>
      </c>
      <c r="C211" t="s">
        <v>652</v>
      </c>
    </row>
    <row r="212" spans="1:3" x14ac:dyDescent="0.25">
      <c r="A212" t="s">
        <v>653</v>
      </c>
      <c r="B212">
        <v>4</v>
      </c>
      <c r="C212" t="s">
        <v>652</v>
      </c>
    </row>
    <row r="213" spans="1:3" x14ac:dyDescent="0.25">
      <c r="A213" t="s">
        <v>654</v>
      </c>
      <c r="B213">
        <v>3</v>
      </c>
      <c r="C213" t="s">
        <v>655</v>
      </c>
    </row>
    <row r="214" spans="1:3" x14ac:dyDescent="0.25">
      <c r="A214" t="s">
        <v>656</v>
      </c>
      <c r="B214">
        <v>4</v>
      </c>
      <c r="C214" t="s">
        <v>655</v>
      </c>
    </row>
    <row r="215" spans="1:3" x14ac:dyDescent="0.25">
      <c r="A215" t="s">
        <v>657</v>
      </c>
      <c r="B215">
        <v>3</v>
      </c>
      <c r="C215" t="s">
        <v>658</v>
      </c>
    </row>
    <row r="216" spans="1:3" x14ac:dyDescent="0.25">
      <c r="A216" t="s">
        <v>659</v>
      </c>
      <c r="B216">
        <v>4</v>
      </c>
      <c r="C216" t="s">
        <v>660</v>
      </c>
    </row>
    <row r="217" spans="1:3" x14ac:dyDescent="0.25">
      <c r="A217" t="s">
        <v>661</v>
      </c>
      <c r="B217">
        <v>4</v>
      </c>
      <c r="C217" t="s">
        <v>662</v>
      </c>
    </row>
    <row r="218" spans="1:3" x14ac:dyDescent="0.25">
      <c r="A218" t="s">
        <v>178</v>
      </c>
      <c r="B218">
        <v>4</v>
      </c>
      <c r="C218" t="s">
        <v>663</v>
      </c>
    </row>
    <row r="219" spans="1:3" x14ac:dyDescent="0.25">
      <c r="A219" t="s">
        <v>664</v>
      </c>
      <c r="B219">
        <v>2</v>
      </c>
      <c r="C219" t="s">
        <v>665</v>
      </c>
    </row>
    <row r="220" spans="1:3" x14ac:dyDescent="0.25">
      <c r="A220" t="s">
        <v>666</v>
      </c>
      <c r="B220">
        <v>3</v>
      </c>
      <c r="C220" t="s">
        <v>667</v>
      </c>
    </row>
    <row r="221" spans="1:3" x14ac:dyDescent="0.25">
      <c r="A221" t="s">
        <v>668</v>
      </c>
      <c r="B221">
        <v>4</v>
      </c>
      <c r="C221" t="s">
        <v>669</v>
      </c>
    </row>
    <row r="222" spans="1:3" x14ac:dyDescent="0.25">
      <c r="A222" t="s">
        <v>670</v>
      </c>
      <c r="B222">
        <v>1</v>
      </c>
      <c r="C222" t="s">
        <v>671</v>
      </c>
    </row>
    <row r="223" spans="1:3" x14ac:dyDescent="0.25">
      <c r="A223" t="s">
        <v>672</v>
      </c>
      <c r="B223">
        <v>2</v>
      </c>
      <c r="C223" t="s">
        <v>673</v>
      </c>
    </row>
    <row r="224" spans="1:3" x14ac:dyDescent="0.25">
      <c r="A224" t="s">
        <v>674</v>
      </c>
      <c r="B224">
        <v>3</v>
      </c>
      <c r="C224" t="s">
        <v>673</v>
      </c>
    </row>
    <row r="225" spans="1:3" x14ac:dyDescent="0.25">
      <c r="A225" t="s">
        <v>675</v>
      </c>
      <c r="B225">
        <v>4</v>
      </c>
      <c r="C225" t="s">
        <v>676</v>
      </c>
    </row>
    <row r="226" spans="1:3" x14ac:dyDescent="0.25">
      <c r="A226" t="s">
        <v>677</v>
      </c>
      <c r="B226">
        <v>2</v>
      </c>
      <c r="C226" t="s">
        <v>678</v>
      </c>
    </row>
    <row r="227" spans="1:3" x14ac:dyDescent="0.25">
      <c r="A227" t="s">
        <v>679</v>
      </c>
      <c r="B227">
        <v>3</v>
      </c>
      <c r="C227" t="s">
        <v>680</v>
      </c>
    </row>
    <row r="228" spans="1:3" x14ac:dyDescent="0.25">
      <c r="A228" t="s">
        <v>681</v>
      </c>
      <c r="B228">
        <v>4</v>
      </c>
      <c r="C228" t="s">
        <v>682</v>
      </c>
    </row>
    <row r="229" spans="1:3" x14ac:dyDescent="0.25">
      <c r="A229" t="s">
        <v>683</v>
      </c>
      <c r="B229">
        <v>3</v>
      </c>
      <c r="C229" t="s">
        <v>684</v>
      </c>
    </row>
    <row r="230" spans="1:3" x14ac:dyDescent="0.25">
      <c r="A230" t="s">
        <v>227</v>
      </c>
      <c r="B230">
        <v>4</v>
      </c>
      <c r="C230" t="s">
        <v>685</v>
      </c>
    </row>
    <row r="231" spans="1:3" x14ac:dyDescent="0.25">
      <c r="A231" t="s">
        <v>224</v>
      </c>
      <c r="B231">
        <v>4</v>
      </c>
      <c r="C231" t="s">
        <v>686</v>
      </c>
    </row>
    <row r="232" spans="1:3" x14ac:dyDescent="0.25">
      <c r="A232" t="s">
        <v>223</v>
      </c>
      <c r="B232">
        <v>4</v>
      </c>
      <c r="C232" t="s">
        <v>687</v>
      </c>
    </row>
    <row r="233" spans="1:3" x14ac:dyDescent="0.25">
      <c r="A233" t="s">
        <v>210</v>
      </c>
      <c r="B233">
        <v>4</v>
      </c>
      <c r="C233" t="s">
        <v>688</v>
      </c>
    </row>
    <row r="234" spans="1:3" x14ac:dyDescent="0.25">
      <c r="A234" t="s">
        <v>209</v>
      </c>
      <c r="B234">
        <v>4</v>
      </c>
      <c r="C234" t="s">
        <v>689</v>
      </c>
    </row>
    <row r="235" spans="1:3" x14ac:dyDescent="0.25">
      <c r="A235" t="s">
        <v>259</v>
      </c>
      <c r="B235">
        <v>4</v>
      </c>
      <c r="C235" t="s">
        <v>690</v>
      </c>
    </row>
    <row r="236" spans="1:3" x14ac:dyDescent="0.25">
      <c r="A236" t="s">
        <v>691</v>
      </c>
      <c r="B236">
        <v>4</v>
      </c>
      <c r="C236" t="s">
        <v>692</v>
      </c>
    </row>
    <row r="237" spans="1:3" x14ac:dyDescent="0.25">
      <c r="A237" t="s">
        <v>693</v>
      </c>
      <c r="B237">
        <v>4</v>
      </c>
      <c r="C237" t="s">
        <v>694</v>
      </c>
    </row>
    <row r="238" spans="1:3" x14ac:dyDescent="0.25">
      <c r="A238" t="s">
        <v>260</v>
      </c>
      <c r="B238">
        <v>4</v>
      </c>
      <c r="C238" t="s">
        <v>695</v>
      </c>
    </row>
    <row r="239" spans="1:3" x14ac:dyDescent="0.25">
      <c r="A239" t="s">
        <v>696</v>
      </c>
      <c r="B239">
        <v>4</v>
      </c>
      <c r="C239" t="s">
        <v>697</v>
      </c>
    </row>
    <row r="240" spans="1:3" x14ac:dyDescent="0.25">
      <c r="A240" t="s">
        <v>698</v>
      </c>
      <c r="B240">
        <v>3</v>
      </c>
      <c r="C240" t="s">
        <v>699</v>
      </c>
    </row>
    <row r="241" spans="1:3" x14ac:dyDescent="0.25">
      <c r="A241" t="s">
        <v>700</v>
      </c>
      <c r="B241">
        <v>4</v>
      </c>
      <c r="C241" t="s">
        <v>701</v>
      </c>
    </row>
    <row r="242" spans="1:3" x14ac:dyDescent="0.25">
      <c r="A242" t="s">
        <v>702</v>
      </c>
      <c r="B242">
        <v>3</v>
      </c>
      <c r="C242" t="s">
        <v>703</v>
      </c>
    </row>
    <row r="243" spans="1:3" x14ac:dyDescent="0.25">
      <c r="A243" t="s">
        <v>704</v>
      </c>
      <c r="B243">
        <v>4</v>
      </c>
      <c r="C243" t="s">
        <v>705</v>
      </c>
    </row>
    <row r="244" spans="1:3" x14ac:dyDescent="0.25">
      <c r="A244" t="s">
        <v>706</v>
      </c>
      <c r="B244">
        <v>3</v>
      </c>
      <c r="C244" t="s">
        <v>707</v>
      </c>
    </row>
    <row r="245" spans="1:3" x14ac:dyDescent="0.25">
      <c r="A245" t="s">
        <v>708</v>
      </c>
      <c r="B245">
        <v>4</v>
      </c>
      <c r="C245" t="s">
        <v>709</v>
      </c>
    </row>
    <row r="246" spans="1:3" x14ac:dyDescent="0.25">
      <c r="A246" t="s">
        <v>710</v>
      </c>
      <c r="B246">
        <v>2</v>
      </c>
      <c r="C246" t="s">
        <v>711</v>
      </c>
    </row>
    <row r="247" spans="1:3" x14ac:dyDescent="0.25">
      <c r="A247" t="s">
        <v>712</v>
      </c>
      <c r="B247">
        <v>3</v>
      </c>
      <c r="C247" t="s">
        <v>625</v>
      </c>
    </row>
    <row r="248" spans="1:3" x14ac:dyDescent="0.25">
      <c r="A248" t="s">
        <v>273</v>
      </c>
      <c r="B248">
        <v>4</v>
      </c>
      <c r="C248" t="s">
        <v>713</v>
      </c>
    </row>
    <row r="249" spans="1:3" x14ac:dyDescent="0.25">
      <c r="A249" t="s">
        <v>714</v>
      </c>
      <c r="B249">
        <v>4</v>
      </c>
      <c r="C249" t="s">
        <v>715</v>
      </c>
    </row>
    <row r="250" spans="1:3" x14ac:dyDescent="0.25">
      <c r="A250" t="s">
        <v>169</v>
      </c>
      <c r="B250">
        <v>4</v>
      </c>
      <c r="C250" t="s">
        <v>716</v>
      </c>
    </row>
    <row r="251" spans="1:3" x14ac:dyDescent="0.25">
      <c r="A251" t="s">
        <v>289</v>
      </c>
      <c r="B251">
        <v>4</v>
      </c>
      <c r="C251" t="s">
        <v>717</v>
      </c>
    </row>
    <row r="252" spans="1:3" x14ac:dyDescent="0.25">
      <c r="A252" t="s">
        <v>168</v>
      </c>
      <c r="B252">
        <v>4</v>
      </c>
      <c r="C252" t="s">
        <v>718</v>
      </c>
    </row>
    <row r="253" spans="1:3" x14ac:dyDescent="0.25">
      <c r="A253" t="s">
        <v>719</v>
      </c>
      <c r="B253">
        <v>3</v>
      </c>
      <c r="C253" t="s">
        <v>720</v>
      </c>
    </row>
    <row r="254" spans="1:3" x14ac:dyDescent="0.25">
      <c r="A254" t="s">
        <v>246</v>
      </c>
      <c r="B254">
        <v>4</v>
      </c>
      <c r="C254" t="s">
        <v>721</v>
      </c>
    </row>
    <row r="255" spans="1:3" x14ac:dyDescent="0.25">
      <c r="A255" t="s">
        <v>226</v>
      </c>
      <c r="B255">
        <v>4</v>
      </c>
      <c r="C255" t="s">
        <v>722</v>
      </c>
    </row>
    <row r="256" spans="1:3" x14ac:dyDescent="0.25">
      <c r="A256" t="s">
        <v>237</v>
      </c>
      <c r="B256">
        <v>4</v>
      </c>
      <c r="C256" t="s">
        <v>723</v>
      </c>
    </row>
    <row r="257" spans="1:3" x14ac:dyDescent="0.25">
      <c r="A257" t="s">
        <v>724</v>
      </c>
      <c r="B257">
        <v>4</v>
      </c>
      <c r="C257" t="s">
        <v>725</v>
      </c>
    </row>
    <row r="258" spans="1:3" x14ac:dyDescent="0.25">
      <c r="A258" t="s">
        <v>726</v>
      </c>
      <c r="B258">
        <v>4</v>
      </c>
      <c r="C258" t="s">
        <v>727</v>
      </c>
    </row>
    <row r="259" spans="1:3" x14ac:dyDescent="0.25">
      <c r="A259" t="s">
        <v>728</v>
      </c>
      <c r="B259">
        <v>3</v>
      </c>
      <c r="C259" t="s">
        <v>729</v>
      </c>
    </row>
    <row r="260" spans="1:3" x14ac:dyDescent="0.25">
      <c r="A260" t="s">
        <v>225</v>
      </c>
      <c r="B260">
        <v>4</v>
      </c>
      <c r="C260" t="s">
        <v>729</v>
      </c>
    </row>
    <row r="261" spans="1:3" x14ac:dyDescent="0.25">
      <c r="A261" t="s">
        <v>258</v>
      </c>
      <c r="B261">
        <v>4</v>
      </c>
      <c r="C261" t="s">
        <v>730</v>
      </c>
    </row>
    <row r="262" spans="1:3" x14ac:dyDescent="0.25">
      <c r="A262" t="s">
        <v>731</v>
      </c>
      <c r="B262">
        <v>3</v>
      </c>
      <c r="C262" t="s">
        <v>732</v>
      </c>
    </row>
    <row r="263" spans="1:3" x14ac:dyDescent="0.25">
      <c r="A263" t="s">
        <v>176</v>
      </c>
      <c r="B263">
        <v>4</v>
      </c>
      <c r="C263" t="s">
        <v>733</v>
      </c>
    </row>
    <row r="264" spans="1:3" x14ac:dyDescent="0.25">
      <c r="A264" t="s">
        <v>162</v>
      </c>
      <c r="B264">
        <v>4</v>
      </c>
      <c r="C264" t="s">
        <v>734</v>
      </c>
    </row>
    <row r="265" spans="1:3" x14ac:dyDescent="0.25">
      <c r="A265" t="s">
        <v>255</v>
      </c>
      <c r="B265">
        <v>4</v>
      </c>
      <c r="C265" t="s">
        <v>735</v>
      </c>
    </row>
    <row r="266" spans="1:3" x14ac:dyDescent="0.25">
      <c r="A266" t="s">
        <v>736</v>
      </c>
      <c r="B266">
        <v>4</v>
      </c>
      <c r="C266" t="s">
        <v>737</v>
      </c>
    </row>
    <row r="267" spans="1:3" x14ac:dyDescent="0.25">
      <c r="A267" t="s">
        <v>263</v>
      </c>
      <c r="B267">
        <v>4</v>
      </c>
      <c r="C267" t="s">
        <v>738</v>
      </c>
    </row>
    <row r="268" spans="1:3" x14ac:dyDescent="0.25">
      <c r="A268" t="s">
        <v>739</v>
      </c>
      <c r="B268">
        <v>4</v>
      </c>
      <c r="C268" t="s">
        <v>740</v>
      </c>
    </row>
    <row r="269" spans="1:3" x14ac:dyDescent="0.25">
      <c r="A269" t="s">
        <v>741</v>
      </c>
      <c r="B269">
        <v>3</v>
      </c>
      <c r="C269" t="s">
        <v>742</v>
      </c>
    </row>
    <row r="270" spans="1:3" x14ac:dyDescent="0.25">
      <c r="A270" t="s">
        <v>743</v>
      </c>
      <c r="B270">
        <v>4</v>
      </c>
      <c r="C270" t="s">
        <v>744</v>
      </c>
    </row>
    <row r="271" spans="1:3" x14ac:dyDescent="0.25">
      <c r="A271" t="s">
        <v>745</v>
      </c>
      <c r="B271">
        <v>4</v>
      </c>
      <c r="C271" t="s">
        <v>746</v>
      </c>
    </row>
    <row r="272" spans="1:3" x14ac:dyDescent="0.25">
      <c r="A272" t="s">
        <v>747</v>
      </c>
      <c r="B272">
        <v>4</v>
      </c>
      <c r="C272" t="s">
        <v>748</v>
      </c>
    </row>
    <row r="273" spans="1:3" x14ac:dyDescent="0.25">
      <c r="A273" t="s">
        <v>749</v>
      </c>
      <c r="B273">
        <v>4</v>
      </c>
      <c r="C273" t="s">
        <v>750</v>
      </c>
    </row>
    <row r="274" spans="1:3" x14ac:dyDescent="0.25">
      <c r="A274" t="s">
        <v>751</v>
      </c>
      <c r="B274">
        <v>3</v>
      </c>
      <c r="C274" t="s">
        <v>752</v>
      </c>
    </row>
    <row r="275" spans="1:3" x14ac:dyDescent="0.25">
      <c r="A275" t="s">
        <v>753</v>
      </c>
      <c r="B275">
        <v>4</v>
      </c>
      <c r="C275" t="s">
        <v>752</v>
      </c>
    </row>
    <row r="276" spans="1:3" x14ac:dyDescent="0.25">
      <c r="A276" t="s">
        <v>754</v>
      </c>
      <c r="B276">
        <v>3</v>
      </c>
      <c r="C276" t="s">
        <v>755</v>
      </c>
    </row>
    <row r="277" spans="1:3" x14ac:dyDescent="0.25">
      <c r="A277" t="s">
        <v>128</v>
      </c>
      <c r="B277">
        <v>4</v>
      </c>
      <c r="C277" t="s">
        <v>560</v>
      </c>
    </row>
    <row r="278" spans="1:3" x14ac:dyDescent="0.25">
      <c r="A278" t="s">
        <v>756</v>
      </c>
      <c r="B278">
        <v>3</v>
      </c>
      <c r="C278" t="s">
        <v>757</v>
      </c>
    </row>
    <row r="279" spans="1:3" x14ac:dyDescent="0.25">
      <c r="A279" t="s">
        <v>185</v>
      </c>
      <c r="B279">
        <v>4</v>
      </c>
      <c r="C279" t="s">
        <v>757</v>
      </c>
    </row>
    <row r="280" spans="1:3" x14ac:dyDescent="0.25">
      <c r="A280" t="s">
        <v>758</v>
      </c>
      <c r="B280">
        <v>2</v>
      </c>
      <c r="C280" t="s">
        <v>759</v>
      </c>
    </row>
    <row r="281" spans="1:3" x14ac:dyDescent="0.25">
      <c r="A281" t="s">
        <v>760</v>
      </c>
      <c r="B281">
        <v>3</v>
      </c>
      <c r="C281" t="s">
        <v>761</v>
      </c>
    </row>
    <row r="282" spans="1:3" x14ac:dyDescent="0.25">
      <c r="A282" t="s">
        <v>167</v>
      </c>
      <c r="B282">
        <v>4</v>
      </c>
      <c r="C282" t="s">
        <v>762</v>
      </c>
    </row>
    <row r="283" spans="1:3" x14ac:dyDescent="0.25">
      <c r="A283" t="s">
        <v>213</v>
      </c>
      <c r="B283">
        <v>4</v>
      </c>
      <c r="C283" t="s">
        <v>761</v>
      </c>
    </row>
    <row r="284" spans="1:3" x14ac:dyDescent="0.25">
      <c r="A284" t="s">
        <v>763</v>
      </c>
      <c r="B284">
        <v>4</v>
      </c>
      <c r="C284" t="s">
        <v>764</v>
      </c>
    </row>
    <row r="285" spans="1:3" x14ac:dyDescent="0.25">
      <c r="A285" t="s">
        <v>765</v>
      </c>
      <c r="B285">
        <v>4</v>
      </c>
      <c r="C285" t="s">
        <v>766</v>
      </c>
    </row>
    <row r="286" spans="1:3" x14ac:dyDescent="0.25">
      <c r="A286" t="s">
        <v>767</v>
      </c>
      <c r="B286">
        <v>4</v>
      </c>
      <c r="C286" t="s">
        <v>768</v>
      </c>
    </row>
    <row r="287" spans="1:3" x14ac:dyDescent="0.25">
      <c r="A287" t="s">
        <v>769</v>
      </c>
      <c r="B287">
        <v>3</v>
      </c>
      <c r="C287" t="s">
        <v>768</v>
      </c>
    </row>
    <row r="288" spans="1:3" x14ac:dyDescent="0.25">
      <c r="A288" t="s">
        <v>188</v>
      </c>
      <c r="B288">
        <v>4</v>
      </c>
      <c r="C288" t="s">
        <v>770</v>
      </c>
    </row>
    <row r="289" spans="1:3" x14ac:dyDescent="0.25">
      <c r="A289" t="s">
        <v>771</v>
      </c>
      <c r="B289">
        <v>4</v>
      </c>
      <c r="C289" t="s">
        <v>772</v>
      </c>
    </row>
    <row r="290" spans="1:3" x14ac:dyDescent="0.25">
      <c r="A290" t="s">
        <v>773</v>
      </c>
      <c r="B290">
        <v>4</v>
      </c>
      <c r="C290" t="s">
        <v>774</v>
      </c>
    </row>
    <row r="291" spans="1:3" x14ac:dyDescent="0.25">
      <c r="A291" t="s">
        <v>775</v>
      </c>
      <c r="B291">
        <v>4</v>
      </c>
      <c r="C291" t="s">
        <v>776</v>
      </c>
    </row>
    <row r="292" spans="1:3" x14ac:dyDescent="0.25">
      <c r="A292" t="s">
        <v>212</v>
      </c>
      <c r="B292">
        <v>4</v>
      </c>
      <c r="C292" t="s">
        <v>777</v>
      </c>
    </row>
    <row r="293" spans="1:3" x14ac:dyDescent="0.25">
      <c r="A293" t="s">
        <v>279</v>
      </c>
      <c r="B293">
        <v>4</v>
      </c>
      <c r="C293" t="s">
        <v>778</v>
      </c>
    </row>
    <row r="294" spans="1:3" x14ac:dyDescent="0.25">
      <c r="A294" t="s">
        <v>779</v>
      </c>
      <c r="B294">
        <v>3</v>
      </c>
      <c r="C294" t="s">
        <v>780</v>
      </c>
    </row>
    <row r="295" spans="1:3" x14ac:dyDescent="0.25">
      <c r="A295" t="s">
        <v>158</v>
      </c>
      <c r="B295">
        <v>4</v>
      </c>
      <c r="C295" t="s">
        <v>781</v>
      </c>
    </row>
    <row r="296" spans="1:3" x14ac:dyDescent="0.25">
      <c r="A296" t="s">
        <v>244</v>
      </c>
      <c r="B296">
        <v>4</v>
      </c>
      <c r="C296" t="s">
        <v>782</v>
      </c>
    </row>
    <row r="297" spans="1:3" x14ac:dyDescent="0.25">
      <c r="A297" t="s">
        <v>783</v>
      </c>
      <c r="B297">
        <v>4</v>
      </c>
      <c r="C297" t="s">
        <v>784</v>
      </c>
    </row>
    <row r="298" spans="1:3" x14ac:dyDescent="0.25">
      <c r="A298" t="s">
        <v>785</v>
      </c>
      <c r="B298">
        <v>4</v>
      </c>
      <c r="C298" t="s">
        <v>786</v>
      </c>
    </row>
    <row r="299" spans="1:3" x14ac:dyDescent="0.25">
      <c r="A299" t="s">
        <v>787</v>
      </c>
      <c r="B299">
        <v>3</v>
      </c>
      <c r="C299" t="s">
        <v>788</v>
      </c>
    </row>
    <row r="300" spans="1:3" x14ac:dyDescent="0.25">
      <c r="A300" t="s">
        <v>789</v>
      </c>
      <c r="B300">
        <v>3</v>
      </c>
      <c r="C300" t="s">
        <v>790</v>
      </c>
    </row>
    <row r="301" spans="1:3" x14ac:dyDescent="0.25">
      <c r="A301" t="s">
        <v>791</v>
      </c>
      <c r="B301">
        <v>3</v>
      </c>
      <c r="C301" t="s">
        <v>792</v>
      </c>
    </row>
    <row r="302" spans="1:3" x14ac:dyDescent="0.25">
      <c r="A302" t="s">
        <v>142</v>
      </c>
      <c r="B302">
        <v>4</v>
      </c>
      <c r="C302" t="s">
        <v>793</v>
      </c>
    </row>
    <row r="303" spans="1:3" x14ac:dyDescent="0.25">
      <c r="A303" t="s">
        <v>180</v>
      </c>
      <c r="B303">
        <v>4</v>
      </c>
      <c r="C303" t="s">
        <v>794</v>
      </c>
    </row>
    <row r="304" spans="1:3" x14ac:dyDescent="0.25">
      <c r="A304" t="s">
        <v>138</v>
      </c>
      <c r="B304">
        <v>4</v>
      </c>
      <c r="C304" t="s">
        <v>795</v>
      </c>
    </row>
    <row r="305" spans="1:3" x14ac:dyDescent="0.25">
      <c r="A305" t="s">
        <v>796</v>
      </c>
      <c r="B305">
        <v>4</v>
      </c>
      <c r="C305" t="s">
        <v>797</v>
      </c>
    </row>
    <row r="306" spans="1:3" x14ac:dyDescent="0.25">
      <c r="A306" t="s">
        <v>798</v>
      </c>
      <c r="B306">
        <v>4</v>
      </c>
      <c r="C306" t="s">
        <v>799</v>
      </c>
    </row>
    <row r="307" spans="1:3" x14ac:dyDescent="0.25">
      <c r="A307" t="s">
        <v>800</v>
      </c>
      <c r="B307">
        <v>3</v>
      </c>
      <c r="C307" t="s">
        <v>801</v>
      </c>
    </row>
    <row r="308" spans="1:3" x14ac:dyDescent="0.25">
      <c r="A308" t="s">
        <v>802</v>
      </c>
      <c r="B308">
        <v>4</v>
      </c>
      <c r="C308" t="s">
        <v>803</v>
      </c>
    </row>
    <row r="309" spans="1:3" x14ac:dyDescent="0.25">
      <c r="A309" t="s">
        <v>804</v>
      </c>
      <c r="B309">
        <v>3</v>
      </c>
      <c r="C309" t="s">
        <v>805</v>
      </c>
    </row>
    <row r="310" spans="1:3" x14ac:dyDescent="0.25">
      <c r="A310" t="s">
        <v>229</v>
      </c>
      <c r="B310">
        <v>4</v>
      </c>
      <c r="C310" t="s">
        <v>806</v>
      </c>
    </row>
    <row r="311" spans="1:3" x14ac:dyDescent="0.25">
      <c r="A311" t="s">
        <v>807</v>
      </c>
      <c r="B311">
        <v>3</v>
      </c>
      <c r="C311" t="s">
        <v>808</v>
      </c>
    </row>
    <row r="312" spans="1:3" x14ac:dyDescent="0.25">
      <c r="A312" t="s">
        <v>809</v>
      </c>
      <c r="B312">
        <v>4</v>
      </c>
      <c r="C312" t="s">
        <v>810</v>
      </c>
    </row>
    <row r="313" spans="1:3" x14ac:dyDescent="0.25">
      <c r="A313" t="s">
        <v>811</v>
      </c>
      <c r="B313">
        <v>2</v>
      </c>
      <c r="C313" t="s">
        <v>812</v>
      </c>
    </row>
    <row r="314" spans="1:3" x14ac:dyDescent="0.25">
      <c r="A314" t="s">
        <v>813</v>
      </c>
      <c r="B314">
        <v>3</v>
      </c>
      <c r="C314" t="s">
        <v>814</v>
      </c>
    </row>
    <row r="315" spans="1:3" x14ac:dyDescent="0.25">
      <c r="A315" t="s">
        <v>179</v>
      </c>
      <c r="B315">
        <v>4</v>
      </c>
      <c r="C315" t="s">
        <v>770</v>
      </c>
    </row>
    <row r="316" spans="1:3" x14ac:dyDescent="0.25">
      <c r="A316" t="s">
        <v>254</v>
      </c>
      <c r="B316">
        <v>4</v>
      </c>
      <c r="C316" t="s">
        <v>815</v>
      </c>
    </row>
    <row r="317" spans="1:3" x14ac:dyDescent="0.25">
      <c r="A317" t="s">
        <v>816</v>
      </c>
      <c r="B317">
        <v>3</v>
      </c>
      <c r="C317" t="s">
        <v>817</v>
      </c>
    </row>
    <row r="318" spans="1:3" x14ac:dyDescent="0.25">
      <c r="A318" t="s">
        <v>818</v>
      </c>
      <c r="B318">
        <v>4</v>
      </c>
      <c r="C318" t="s">
        <v>795</v>
      </c>
    </row>
    <row r="319" spans="1:3" x14ac:dyDescent="0.25">
      <c r="A319" t="s">
        <v>819</v>
      </c>
      <c r="B319">
        <v>4</v>
      </c>
      <c r="C319" t="s">
        <v>797</v>
      </c>
    </row>
    <row r="320" spans="1:3" x14ac:dyDescent="0.25">
      <c r="A320" t="s">
        <v>136</v>
      </c>
      <c r="B320">
        <v>4</v>
      </c>
      <c r="C320" t="s">
        <v>820</v>
      </c>
    </row>
    <row r="321" spans="1:3" x14ac:dyDescent="0.25">
      <c r="A321" t="s">
        <v>821</v>
      </c>
      <c r="B321">
        <v>3</v>
      </c>
      <c r="C321" t="s">
        <v>780</v>
      </c>
    </row>
    <row r="322" spans="1:3" x14ac:dyDescent="0.25">
      <c r="A322" t="s">
        <v>174</v>
      </c>
      <c r="B322">
        <v>4</v>
      </c>
      <c r="C322" t="s">
        <v>822</v>
      </c>
    </row>
    <row r="323" spans="1:3" x14ac:dyDescent="0.25">
      <c r="A323" t="s">
        <v>239</v>
      </c>
      <c r="B323">
        <v>4</v>
      </c>
      <c r="C323" t="s">
        <v>782</v>
      </c>
    </row>
    <row r="324" spans="1:3" x14ac:dyDescent="0.25">
      <c r="A324" t="s">
        <v>823</v>
      </c>
      <c r="B324">
        <v>3</v>
      </c>
      <c r="C324" t="s">
        <v>824</v>
      </c>
    </row>
    <row r="325" spans="1:3" x14ac:dyDescent="0.25">
      <c r="A325" t="s">
        <v>191</v>
      </c>
      <c r="B325">
        <v>4</v>
      </c>
      <c r="C325" t="s">
        <v>824</v>
      </c>
    </row>
    <row r="326" spans="1:3" x14ac:dyDescent="0.25">
      <c r="A326" t="s">
        <v>825</v>
      </c>
      <c r="B326">
        <v>3</v>
      </c>
      <c r="C326" t="s">
        <v>826</v>
      </c>
    </row>
    <row r="327" spans="1:3" x14ac:dyDescent="0.25">
      <c r="A327" t="s">
        <v>827</v>
      </c>
      <c r="B327">
        <v>4</v>
      </c>
      <c r="C327" t="s">
        <v>828</v>
      </c>
    </row>
    <row r="328" spans="1:3" x14ac:dyDescent="0.25">
      <c r="A328" t="s">
        <v>829</v>
      </c>
      <c r="B328">
        <v>4</v>
      </c>
      <c r="C328" t="s">
        <v>795</v>
      </c>
    </row>
    <row r="329" spans="1:3" x14ac:dyDescent="0.25">
      <c r="A329" t="s">
        <v>830</v>
      </c>
      <c r="B329">
        <v>4</v>
      </c>
      <c r="C329" t="s">
        <v>687</v>
      </c>
    </row>
    <row r="330" spans="1:3" x14ac:dyDescent="0.25">
      <c r="A330" t="s">
        <v>831</v>
      </c>
      <c r="B330">
        <v>4</v>
      </c>
      <c r="C330" t="s">
        <v>689</v>
      </c>
    </row>
    <row r="331" spans="1:3" x14ac:dyDescent="0.25">
      <c r="A331" t="s">
        <v>832</v>
      </c>
      <c r="B331">
        <v>3</v>
      </c>
      <c r="C331" t="s">
        <v>805</v>
      </c>
    </row>
    <row r="332" spans="1:3" x14ac:dyDescent="0.25">
      <c r="A332" t="s">
        <v>192</v>
      </c>
      <c r="B332">
        <v>4</v>
      </c>
      <c r="C332" t="s">
        <v>805</v>
      </c>
    </row>
    <row r="333" spans="1:3" x14ac:dyDescent="0.25">
      <c r="A333" t="s">
        <v>833</v>
      </c>
      <c r="B333">
        <v>2</v>
      </c>
      <c r="C333" t="s">
        <v>834</v>
      </c>
    </row>
    <row r="334" spans="1:3" x14ac:dyDescent="0.25">
      <c r="A334" t="s">
        <v>835</v>
      </c>
      <c r="B334">
        <v>3</v>
      </c>
      <c r="C334" t="s">
        <v>780</v>
      </c>
    </row>
    <row r="335" spans="1:3" x14ac:dyDescent="0.25">
      <c r="A335" t="s">
        <v>836</v>
      </c>
      <c r="B335">
        <v>2</v>
      </c>
      <c r="C335" t="s">
        <v>837</v>
      </c>
    </row>
    <row r="336" spans="1:3" x14ac:dyDescent="0.25">
      <c r="A336" t="s">
        <v>838</v>
      </c>
      <c r="B336">
        <v>3</v>
      </c>
      <c r="C336" t="s">
        <v>839</v>
      </c>
    </row>
    <row r="337" spans="1:3" x14ac:dyDescent="0.25">
      <c r="A337" t="s">
        <v>840</v>
      </c>
      <c r="B337">
        <v>4</v>
      </c>
      <c r="C337" t="s">
        <v>655</v>
      </c>
    </row>
    <row r="338" spans="1:3" x14ac:dyDescent="0.25">
      <c r="A338" t="s">
        <v>841</v>
      </c>
      <c r="B338">
        <v>4</v>
      </c>
      <c r="C338" t="s">
        <v>842</v>
      </c>
    </row>
    <row r="339" spans="1:3" x14ac:dyDescent="0.25">
      <c r="A339" t="s">
        <v>843</v>
      </c>
      <c r="B339">
        <v>1</v>
      </c>
      <c r="C339" t="s">
        <v>844</v>
      </c>
    </row>
    <row r="340" spans="1:3" x14ac:dyDescent="0.25">
      <c r="A340" t="s">
        <v>845</v>
      </c>
      <c r="B340">
        <v>2</v>
      </c>
      <c r="C340" t="s">
        <v>846</v>
      </c>
    </row>
    <row r="341" spans="1:3" x14ac:dyDescent="0.25">
      <c r="A341" t="s">
        <v>847</v>
      </c>
      <c r="B341">
        <v>3</v>
      </c>
      <c r="C341" t="s">
        <v>848</v>
      </c>
    </row>
    <row r="342" spans="1:3" x14ac:dyDescent="0.25">
      <c r="A342" t="s">
        <v>170</v>
      </c>
      <c r="B342">
        <v>4</v>
      </c>
      <c r="C342" t="s">
        <v>849</v>
      </c>
    </row>
    <row r="343" spans="1:3" x14ac:dyDescent="0.25">
      <c r="A343" t="s">
        <v>850</v>
      </c>
      <c r="B343">
        <v>3</v>
      </c>
      <c r="C343" t="s">
        <v>851</v>
      </c>
    </row>
    <row r="344" spans="1:3" x14ac:dyDescent="0.25">
      <c r="A344" t="s">
        <v>852</v>
      </c>
      <c r="B344">
        <v>4</v>
      </c>
      <c r="C344" t="s">
        <v>853</v>
      </c>
    </row>
    <row r="345" spans="1:3" x14ac:dyDescent="0.25">
      <c r="A345" t="s">
        <v>854</v>
      </c>
      <c r="B345">
        <v>2</v>
      </c>
      <c r="C345" t="s">
        <v>855</v>
      </c>
    </row>
    <row r="346" spans="1:3" x14ac:dyDescent="0.25">
      <c r="A346" t="s">
        <v>856</v>
      </c>
      <c r="B346">
        <v>3</v>
      </c>
      <c r="C346" t="s">
        <v>857</v>
      </c>
    </row>
    <row r="347" spans="1:3" x14ac:dyDescent="0.25">
      <c r="A347" t="s">
        <v>245</v>
      </c>
      <c r="B347">
        <v>4</v>
      </c>
      <c r="C347" t="s">
        <v>858</v>
      </c>
    </row>
    <row r="348" spans="1:3" x14ac:dyDescent="0.25">
      <c r="A348" t="s">
        <v>859</v>
      </c>
      <c r="B348">
        <v>3</v>
      </c>
      <c r="C348" t="s">
        <v>860</v>
      </c>
    </row>
    <row r="349" spans="1:3" x14ac:dyDescent="0.25">
      <c r="A349" t="s">
        <v>257</v>
      </c>
      <c r="B349">
        <v>4</v>
      </c>
      <c r="C349" t="s">
        <v>861</v>
      </c>
    </row>
    <row r="350" spans="1:3" x14ac:dyDescent="0.25">
      <c r="A350" t="s">
        <v>862</v>
      </c>
      <c r="B350">
        <v>4</v>
      </c>
      <c r="C350" t="s">
        <v>863</v>
      </c>
    </row>
    <row r="351" spans="1:3" x14ac:dyDescent="0.25">
      <c r="A351" t="s">
        <v>864</v>
      </c>
      <c r="B351">
        <v>3</v>
      </c>
      <c r="C351" t="s">
        <v>865</v>
      </c>
    </row>
    <row r="352" spans="1:3" x14ac:dyDescent="0.25">
      <c r="A352" t="s">
        <v>866</v>
      </c>
      <c r="B352">
        <v>4</v>
      </c>
      <c r="C352" t="s">
        <v>867</v>
      </c>
    </row>
    <row r="353" spans="1:3" x14ac:dyDescent="0.25">
      <c r="A353" t="s">
        <v>868</v>
      </c>
      <c r="B353">
        <v>4</v>
      </c>
      <c r="C353" t="s">
        <v>869</v>
      </c>
    </row>
    <row r="354" spans="1:3" x14ac:dyDescent="0.25">
      <c r="A354" t="s">
        <v>870</v>
      </c>
      <c r="B354">
        <v>3</v>
      </c>
      <c r="C354" t="s">
        <v>871</v>
      </c>
    </row>
    <row r="355" spans="1:3" x14ac:dyDescent="0.25">
      <c r="A355" t="s">
        <v>137</v>
      </c>
      <c r="B355">
        <v>4</v>
      </c>
      <c r="C355" t="s">
        <v>872</v>
      </c>
    </row>
    <row r="356" spans="1:3" x14ac:dyDescent="0.25">
      <c r="A356" t="s">
        <v>873</v>
      </c>
      <c r="B356">
        <v>3</v>
      </c>
      <c r="C356" t="s">
        <v>874</v>
      </c>
    </row>
    <row r="357" spans="1:3" x14ac:dyDescent="0.25">
      <c r="A357" t="s">
        <v>875</v>
      </c>
      <c r="B357">
        <v>4</v>
      </c>
      <c r="C357" t="s">
        <v>876</v>
      </c>
    </row>
    <row r="358" spans="1:3" x14ac:dyDescent="0.25">
      <c r="A358" t="s">
        <v>877</v>
      </c>
      <c r="B358">
        <v>4</v>
      </c>
      <c r="C358" t="s">
        <v>878</v>
      </c>
    </row>
    <row r="359" spans="1:3" x14ac:dyDescent="0.25">
      <c r="A359" t="s">
        <v>879</v>
      </c>
      <c r="B359">
        <v>3</v>
      </c>
      <c r="C359" t="s">
        <v>880</v>
      </c>
    </row>
    <row r="360" spans="1:3" x14ac:dyDescent="0.25">
      <c r="A360" t="s">
        <v>881</v>
      </c>
      <c r="B360">
        <v>4</v>
      </c>
      <c r="C360" t="s">
        <v>882</v>
      </c>
    </row>
    <row r="361" spans="1:3" x14ac:dyDescent="0.25">
      <c r="A361" t="s">
        <v>883</v>
      </c>
      <c r="B361">
        <v>2</v>
      </c>
      <c r="C361" t="s">
        <v>884</v>
      </c>
    </row>
    <row r="362" spans="1:3" x14ac:dyDescent="0.25">
      <c r="A362" t="s">
        <v>885</v>
      </c>
      <c r="B362">
        <v>3</v>
      </c>
      <c r="C362" t="s">
        <v>884</v>
      </c>
    </row>
    <row r="363" spans="1:3" x14ac:dyDescent="0.25">
      <c r="A363" t="s">
        <v>886</v>
      </c>
      <c r="B363">
        <v>4</v>
      </c>
      <c r="C363" t="s">
        <v>887</v>
      </c>
    </row>
    <row r="364" spans="1:3" x14ac:dyDescent="0.25">
      <c r="A364" t="s">
        <v>888</v>
      </c>
      <c r="B364">
        <v>4</v>
      </c>
      <c r="C364" t="s">
        <v>889</v>
      </c>
    </row>
    <row r="365" spans="1:3" x14ac:dyDescent="0.25">
      <c r="A365" t="s">
        <v>890</v>
      </c>
      <c r="B365">
        <v>1</v>
      </c>
      <c r="C365" t="s">
        <v>891</v>
      </c>
    </row>
    <row r="366" spans="1:3" x14ac:dyDescent="0.25">
      <c r="A366" t="s">
        <v>892</v>
      </c>
      <c r="B366">
        <v>2</v>
      </c>
      <c r="C366" t="s">
        <v>893</v>
      </c>
    </row>
    <row r="367" spans="1:3" x14ac:dyDescent="0.25">
      <c r="A367" t="s">
        <v>894</v>
      </c>
      <c r="B367">
        <v>3</v>
      </c>
      <c r="C367" t="s">
        <v>895</v>
      </c>
    </row>
    <row r="368" spans="1:3" x14ac:dyDescent="0.25">
      <c r="A368" t="s">
        <v>896</v>
      </c>
      <c r="B368">
        <v>4</v>
      </c>
      <c r="C368" t="s">
        <v>897</v>
      </c>
    </row>
    <row r="369" spans="1:3" x14ac:dyDescent="0.25">
      <c r="A369" t="s">
        <v>228</v>
      </c>
      <c r="B369">
        <v>4</v>
      </c>
      <c r="C369" t="s">
        <v>898</v>
      </c>
    </row>
    <row r="370" spans="1:3" x14ac:dyDescent="0.25">
      <c r="A370" t="s">
        <v>899</v>
      </c>
      <c r="B370">
        <v>4</v>
      </c>
      <c r="C370" t="s">
        <v>900</v>
      </c>
    </row>
    <row r="371" spans="1:3" x14ac:dyDescent="0.25">
      <c r="A371" t="s">
        <v>901</v>
      </c>
      <c r="B371">
        <v>3</v>
      </c>
      <c r="C371" t="s">
        <v>902</v>
      </c>
    </row>
    <row r="372" spans="1:3" x14ac:dyDescent="0.25">
      <c r="A372" t="s">
        <v>903</v>
      </c>
      <c r="B372">
        <v>4</v>
      </c>
      <c r="C372" t="s">
        <v>904</v>
      </c>
    </row>
    <row r="373" spans="1:3" x14ac:dyDescent="0.25">
      <c r="A373" t="s">
        <v>905</v>
      </c>
      <c r="B373">
        <v>4</v>
      </c>
      <c r="C373" t="s">
        <v>906</v>
      </c>
    </row>
    <row r="374" spans="1:3" x14ac:dyDescent="0.25">
      <c r="A374" t="s">
        <v>907</v>
      </c>
      <c r="B374">
        <v>4</v>
      </c>
      <c r="C374" t="s">
        <v>908</v>
      </c>
    </row>
    <row r="375" spans="1:3" x14ac:dyDescent="0.25">
      <c r="A375" t="s">
        <v>909</v>
      </c>
      <c r="B375">
        <v>4</v>
      </c>
      <c r="C375" t="s">
        <v>910</v>
      </c>
    </row>
    <row r="376" spans="1:3" x14ac:dyDescent="0.25">
      <c r="A376" t="s">
        <v>911</v>
      </c>
      <c r="B376">
        <v>4</v>
      </c>
      <c r="C376" t="s">
        <v>912</v>
      </c>
    </row>
    <row r="377" spans="1:3" x14ac:dyDescent="0.25">
      <c r="A377" t="s">
        <v>913</v>
      </c>
      <c r="B377">
        <v>3</v>
      </c>
      <c r="C377" t="s">
        <v>470</v>
      </c>
    </row>
    <row r="378" spans="1:3" x14ac:dyDescent="0.25">
      <c r="A378" t="s">
        <v>914</v>
      </c>
      <c r="B378">
        <v>4</v>
      </c>
      <c r="C378" t="s">
        <v>915</v>
      </c>
    </row>
    <row r="379" spans="1:3" x14ac:dyDescent="0.25">
      <c r="A379" t="s">
        <v>916</v>
      </c>
      <c r="B379">
        <v>3</v>
      </c>
      <c r="C379" t="s">
        <v>917</v>
      </c>
    </row>
    <row r="380" spans="1:3" x14ac:dyDescent="0.25">
      <c r="A380" t="s">
        <v>918</v>
      </c>
      <c r="B380">
        <v>4</v>
      </c>
      <c r="C380" t="s">
        <v>917</v>
      </c>
    </row>
    <row r="381" spans="1:3" x14ac:dyDescent="0.25">
      <c r="A381" t="s">
        <v>919</v>
      </c>
      <c r="B381">
        <v>2</v>
      </c>
      <c r="C381" t="s">
        <v>920</v>
      </c>
    </row>
    <row r="382" spans="1:3" x14ac:dyDescent="0.25">
      <c r="A382" t="s">
        <v>921</v>
      </c>
      <c r="B382">
        <v>3</v>
      </c>
      <c r="C382" t="s">
        <v>922</v>
      </c>
    </row>
    <row r="383" spans="1:3" x14ac:dyDescent="0.25">
      <c r="A383" t="s">
        <v>186</v>
      </c>
      <c r="B383">
        <v>4</v>
      </c>
      <c r="C383" t="s">
        <v>923</v>
      </c>
    </row>
    <row r="384" spans="1:3" x14ac:dyDescent="0.25">
      <c r="A384" t="s">
        <v>924</v>
      </c>
      <c r="B384">
        <v>4</v>
      </c>
      <c r="C384" t="s">
        <v>925</v>
      </c>
    </row>
    <row r="385" spans="1:3" x14ac:dyDescent="0.25">
      <c r="A385" t="s">
        <v>248</v>
      </c>
      <c r="B385">
        <v>4</v>
      </c>
      <c r="C385" t="s">
        <v>926</v>
      </c>
    </row>
    <row r="386" spans="1:3" x14ac:dyDescent="0.25">
      <c r="A386" t="s">
        <v>927</v>
      </c>
      <c r="B386">
        <v>4</v>
      </c>
      <c r="C386" t="s">
        <v>928</v>
      </c>
    </row>
    <row r="387" spans="1:3" x14ac:dyDescent="0.25">
      <c r="A387" t="s">
        <v>243</v>
      </c>
      <c r="B387">
        <v>4</v>
      </c>
      <c r="C387" t="s">
        <v>929</v>
      </c>
    </row>
    <row r="388" spans="1:3" x14ac:dyDescent="0.25">
      <c r="A388" t="s">
        <v>236</v>
      </c>
      <c r="B388">
        <v>4</v>
      </c>
      <c r="C388" t="s">
        <v>930</v>
      </c>
    </row>
    <row r="389" spans="1:3" x14ac:dyDescent="0.25">
      <c r="A389" t="s">
        <v>931</v>
      </c>
      <c r="B389">
        <v>3</v>
      </c>
      <c r="C389" t="s">
        <v>932</v>
      </c>
    </row>
    <row r="390" spans="1:3" x14ac:dyDescent="0.25">
      <c r="A390" t="s">
        <v>216</v>
      </c>
      <c r="B390">
        <v>4</v>
      </c>
      <c r="C390" t="s">
        <v>933</v>
      </c>
    </row>
    <row r="391" spans="1:3" x14ac:dyDescent="0.25">
      <c r="A391" t="s">
        <v>187</v>
      </c>
      <c r="B391">
        <v>4</v>
      </c>
      <c r="C391" t="s">
        <v>934</v>
      </c>
    </row>
    <row r="392" spans="1:3" x14ac:dyDescent="0.25">
      <c r="A392" t="s">
        <v>935</v>
      </c>
      <c r="B392">
        <v>3</v>
      </c>
      <c r="C392" t="s">
        <v>936</v>
      </c>
    </row>
    <row r="393" spans="1:3" x14ac:dyDescent="0.25">
      <c r="A393" t="s">
        <v>214</v>
      </c>
      <c r="B393">
        <v>4</v>
      </c>
      <c r="C393" t="s">
        <v>937</v>
      </c>
    </row>
    <row r="394" spans="1:3" x14ac:dyDescent="0.25">
      <c r="A394" t="s">
        <v>207</v>
      </c>
      <c r="B394">
        <v>4</v>
      </c>
      <c r="C394" t="s">
        <v>938</v>
      </c>
    </row>
    <row r="395" spans="1:3" x14ac:dyDescent="0.25">
      <c r="A395" t="s">
        <v>939</v>
      </c>
      <c r="B395">
        <v>4</v>
      </c>
      <c r="C395" t="s">
        <v>940</v>
      </c>
    </row>
    <row r="396" spans="1:3" x14ac:dyDescent="0.25">
      <c r="A396" t="s">
        <v>941</v>
      </c>
      <c r="B396">
        <v>3</v>
      </c>
      <c r="C396" t="s">
        <v>942</v>
      </c>
    </row>
    <row r="397" spans="1:3" x14ac:dyDescent="0.25">
      <c r="A397" t="s">
        <v>943</v>
      </c>
      <c r="B397">
        <v>4</v>
      </c>
      <c r="C397" t="s">
        <v>944</v>
      </c>
    </row>
    <row r="398" spans="1:3" x14ac:dyDescent="0.25">
      <c r="A398" t="s">
        <v>945</v>
      </c>
      <c r="B398">
        <v>2</v>
      </c>
      <c r="C398" t="s">
        <v>946</v>
      </c>
    </row>
    <row r="399" spans="1:3" x14ac:dyDescent="0.25">
      <c r="A399" t="s">
        <v>947</v>
      </c>
      <c r="B399">
        <v>3</v>
      </c>
      <c r="C399" t="s">
        <v>948</v>
      </c>
    </row>
    <row r="400" spans="1:3" x14ac:dyDescent="0.25">
      <c r="A400" t="s">
        <v>949</v>
      </c>
      <c r="B400">
        <v>4</v>
      </c>
      <c r="C400" t="s">
        <v>948</v>
      </c>
    </row>
    <row r="401" spans="1:3" x14ac:dyDescent="0.25">
      <c r="A401" t="s">
        <v>950</v>
      </c>
      <c r="B401">
        <v>3</v>
      </c>
      <c r="C401" t="s">
        <v>951</v>
      </c>
    </row>
    <row r="402" spans="1:3" x14ac:dyDescent="0.25">
      <c r="A402" t="s">
        <v>952</v>
      </c>
      <c r="B402">
        <v>4</v>
      </c>
      <c r="C402" t="s">
        <v>953</v>
      </c>
    </row>
    <row r="403" spans="1:3" x14ac:dyDescent="0.25">
      <c r="A403" t="s">
        <v>235</v>
      </c>
      <c r="B403">
        <v>4</v>
      </c>
      <c r="C403" t="s">
        <v>954</v>
      </c>
    </row>
    <row r="404" spans="1:3" x14ac:dyDescent="0.25">
      <c r="A404" t="s">
        <v>955</v>
      </c>
      <c r="B404">
        <v>4</v>
      </c>
      <c r="C404" t="s">
        <v>956</v>
      </c>
    </row>
    <row r="405" spans="1:3" x14ac:dyDescent="0.25">
      <c r="A405" t="s">
        <v>139</v>
      </c>
      <c r="B405">
        <v>4</v>
      </c>
      <c r="C405" t="s">
        <v>957</v>
      </c>
    </row>
    <row r="406" spans="1:3" x14ac:dyDescent="0.25">
      <c r="A406" t="s">
        <v>958</v>
      </c>
      <c r="B406">
        <v>3</v>
      </c>
      <c r="C406" t="s">
        <v>959</v>
      </c>
    </row>
    <row r="407" spans="1:3" x14ac:dyDescent="0.25">
      <c r="A407" t="s">
        <v>960</v>
      </c>
      <c r="B407">
        <v>4</v>
      </c>
      <c r="C407" t="s">
        <v>959</v>
      </c>
    </row>
    <row r="408" spans="1:3" x14ac:dyDescent="0.25">
      <c r="A408" t="s">
        <v>961</v>
      </c>
      <c r="B408">
        <v>3</v>
      </c>
      <c r="C408" t="s">
        <v>962</v>
      </c>
    </row>
    <row r="409" spans="1:3" x14ac:dyDescent="0.25">
      <c r="A409" t="s">
        <v>963</v>
      </c>
      <c r="B409">
        <v>4</v>
      </c>
      <c r="C409" t="s">
        <v>964</v>
      </c>
    </row>
    <row r="410" spans="1:3" x14ac:dyDescent="0.25">
      <c r="A410" t="s">
        <v>965</v>
      </c>
      <c r="B410">
        <v>4</v>
      </c>
      <c r="C410" t="s">
        <v>966</v>
      </c>
    </row>
    <row r="411" spans="1:3" x14ac:dyDescent="0.25">
      <c r="A411" t="s">
        <v>967</v>
      </c>
      <c r="B411">
        <v>3</v>
      </c>
      <c r="C411" t="s">
        <v>968</v>
      </c>
    </row>
    <row r="412" spans="1:3" x14ac:dyDescent="0.25">
      <c r="A412" t="s">
        <v>969</v>
      </c>
      <c r="B412">
        <v>4</v>
      </c>
      <c r="C412" t="s">
        <v>970</v>
      </c>
    </row>
    <row r="413" spans="1:3" x14ac:dyDescent="0.25">
      <c r="A413" t="s">
        <v>241</v>
      </c>
      <c r="B413">
        <v>4</v>
      </c>
      <c r="C413" t="s">
        <v>971</v>
      </c>
    </row>
    <row r="414" spans="1:3" x14ac:dyDescent="0.25">
      <c r="A414" t="s">
        <v>972</v>
      </c>
      <c r="B414">
        <v>3</v>
      </c>
      <c r="C414" t="s">
        <v>968</v>
      </c>
    </row>
    <row r="415" spans="1:3" x14ac:dyDescent="0.25">
      <c r="A415" t="s">
        <v>161</v>
      </c>
      <c r="B415">
        <v>4</v>
      </c>
      <c r="C415" t="s">
        <v>968</v>
      </c>
    </row>
    <row r="416" spans="1:3" x14ac:dyDescent="0.25">
      <c r="A416" t="s">
        <v>135</v>
      </c>
      <c r="B416">
        <v>4</v>
      </c>
      <c r="C416" t="s">
        <v>973</v>
      </c>
    </row>
    <row r="417" spans="1:3" x14ac:dyDescent="0.25">
      <c r="A417" t="s">
        <v>974</v>
      </c>
      <c r="B417">
        <v>3</v>
      </c>
      <c r="C417" t="s">
        <v>975</v>
      </c>
    </row>
    <row r="418" spans="1:3" x14ac:dyDescent="0.25">
      <c r="A418" t="s">
        <v>140</v>
      </c>
      <c r="B418">
        <v>4</v>
      </c>
      <c r="C418" t="s">
        <v>975</v>
      </c>
    </row>
    <row r="419" spans="1:3" x14ac:dyDescent="0.25">
      <c r="A419" t="s">
        <v>976</v>
      </c>
      <c r="B419">
        <v>4</v>
      </c>
      <c r="C419" t="s">
        <v>977</v>
      </c>
    </row>
    <row r="420" spans="1:3" x14ac:dyDescent="0.25">
      <c r="A420" t="s">
        <v>978</v>
      </c>
      <c r="B420">
        <v>3</v>
      </c>
      <c r="C420" t="s">
        <v>979</v>
      </c>
    </row>
    <row r="421" spans="1:3" x14ac:dyDescent="0.25">
      <c r="A421" t="s">
        <v>980</v>
      </c>
      <c r="B421">
        <v>4</v>
      </c>
      <c r="C421" t="s">
        <v>979</v>
      </c>
    </row>
    <row r="422" spans="1:3" x14ac:dyDescent="0.25">
      <c r="A422" t="s">
        <v>981</v>
      </c>
      <c r="B422">
        <v>3</v>
      </c>
      <c r="C422" t="s">
        <v>929</v>
      </c>
    </row>
    <row r="423" spans="1:3" x14ac:dyDescent="0.25">
      <c r="A423" t="s">
        <v>982</v>
      </c>
      <c r="B423">
        <v>4</v>
      </c>
      <c r="C423" t="s">
        <v>929</v>
      </c>
    </row>
    <row r="424" spans="1:3" x14ac:dyDescent="0.25">
      <c r="A424" t="s">
        <v>983</v>
      </c>
      <c r="B424">
        <v>3</v>
      </c>
      <c r="C424" t="s">
        <v>984</v>
      </c>
    </row>
    <row r="425" spans="1:3" x14ac:dyDescent="0.25">
      <c r="A425" t="s">
        <v>985</v>
      </c>
      <c r="B425">
        <v>4</v>
      </c>
      <c r="C425" t="s">
        <v>986</v>
      </c>
    </row>
    <row r="426" spans="1:3" x14ac:dyDescent="0.25">
      <c r="A426" t="s">
        <v>141</v>
      </c>
      <c r="B426">
        <v>4</v>
      </c>
      <c r="C426" t="s">
        <v>984</v>
      </c>
    </row>
    <row r="427" spans="1:3" x14ac:dyDescent="0.25">
      <c r="A427" t="s">
        <v>987</v>
      </c>
      <c r="B427">
        <v>2</v>
      </c>
      <c r="C427" t="s">
        <v>988</v>
      </c>
    </row>
    <row r="428" spans="1:3" x14ac:dyDescent="0.25">
      <c r="A428" t="s">
        <v>989</v>
      </c>
      <c r="B428">
        <v>3</v>
      </c>
      <c r="C428" t="s">
        <v>988</v>
      </c>
    </row>
    <row r="429" spans="1:3" x14ac:dyDescent="0.25">
      <c r="A429" t="s">
        <v>990</v>
      </c>
      <c r="B429">
        <v>4</v>
      </c>
      <c r="C429" t="s">
        <v>991</v>
      </c>
    </row>
    <row r="430" spans="1:3" x14ac:dyDescent="0.25">
      <c r="A430" t="s">
        <v>992</v>
      </c>
      <c r="B430">
        <v>1</v>
      </c>
      <c r="C430" t="s">
        <v>993</v>
      </c>
    </row>
    <row r="431" spans="1:3" x14ac:dyDescent="0.25">
      <c r="A431" t="s">
        <v>994</v>
      </c>
      <c r="B431">
        <v>2</v>
      </c>
      <c r="C431" t="s">
        <v>995</v>
      </c>
    </row>
    <row r="432" spans="1:3" x14ac:dyDescent="0.25">
      <c r="A432" t="s">
        <v>996</v>
      </c>
      <c r="B432">
        <v>3</v>
      </c>
      <c r="C432" t="s">
        <v>997</v>
      </c>
    </row>
    <row r="433" spans="1:3" x14ac:dyDescent="0.25">
      <c r="A433" t="s">
        <v>998</v>
      </c>
      <c r="B433">
        <v>4</v>
      </c>
      <c r="C433" t="s">
        <v>999</v>
      </c>
    </row>
    <row r="434" spans="1:3" x14ac:dyDescent="0.25">
      <c r="A434" t="s">
        <v>1000</v>
      </c>
      <c r="B434">
        <v>4</v>
      </c>
      <c r="C434" t="s">
        <v>1001</v>
      </c>
    </row>
    <row r="435" spans="1:3" x14ac:dyDescent="0.25">
      <c r="A435" t="s">
        <v>1002</v>
      </c>
      <c r="B435">
        <v>4</v>
      </c>
      <c r="C435" t="s">
        <v>1003</v>
      </c>
    </row>
    <row r="436" spans="1:3" x14ac:dyDescent="0.25">
      <c r="A436" t="s">
        <v>1004</v>
      </c>
      <c r="B436">
        <v>3</v>
      </c>
      <c r="C436" t="s">
        <v>1005</v>
      </c>
    </row>
    <row r="437" spans="1:3" x14ac:dyDescent="0.25">
      <c r="A437" t="s">
        <v>1006</v>
      </c>
      <c r="B437">
        <v>4</v>
      </c>
      <c r="C437" t="s">
        <v>1007</v>
      </c>
    </row>
    <row r="438" spans="1:3" x14ac:dyDescent="0.25">
      <c r="A438" t="s">
        <v>1008</v>
      </c>
      <c r="B438">
        <v>3</v>
      </c>
      <c r="C438" t="s">
        <v>1009</v>
      </c>
    </row>
    <row r="439" spans="1:3" x14ac:dyDescent="0.25">
      <c r="A439" t="s">
        <v>1010</v>
      </c>
      <c r="B439">
        <v>4</v>
      </c>
      <c r="C439" t="s">
        <v>1011</v>
      </c>
    </row>
    <row r="440" spans="1:3" x14ac:dyDescent="0.25">
      <c r="A440" t="s">
        <v>1012</v>
      </c>
      <c r="B440">
        <v>3</v>
      </c>
      <c r="C440" t="s">
        <v>1013</v>
      </c>
    </row>
    <row r="441" spans="1:3" x14ac:dyDescent="0.25">
      <c r="A441" t="s">
        <v>1014</v>
      </c>
      <c r="B441">
        <v>4</v>
      </c>
      <c r="C441" t="s">
        <v>1015</v>
      </c>
    </row>
    <row r="442" spans="1:3" x14ac:dyDescent="0.25">
      <c r="A442" t="s">
        <v>1016</v>
      </c>
      <c r="B442">
        <v>2</v>
      </c>
      <c r="C442" t="s">
        <v>1017</v>
      </c>
    </row>
    <row r="443" spans="1:3" x14ac:dyDescent="0.25">
      <c r="A443" t="s">
        <v>1018</v>
      </c>
      <c r="B443">
        <v>3</v>
      </c>
      <c r="C443" t="s">
        <v>1017</v>
      </c>
    </row>
    <row r="444" spans="1:3" x14ac:dyDescent="0.25">
      <c r="A444" t="s">
        <v>1019</v>
      </c>
      <c r="B444">
        <v>4</v>
      </c>
      <c r="C444" t="s">
        <v>1017</v>
      </c>
    </row>
    <row r="445" spans="1:3" x14ac:dyDescent="0.25">
      <c r="A445" t="s">
        <v>1020</v>
      </c>
      <c r="B445">
        <v>3</v>
      </c>
      <c r="C445" t="s">
        <v>1021</v>
      </c>
    </row>
    <row r="446" spans="1:3" x14ac:dyDescent="0.25">
      <c r="A446" t="s">
        <v>1022</v>
      </c>
      <c r="B446">
        <v>4</v>
      </c>
      <c r="C446" t="s">
        <v>1023</v>
      </c>
    </row>
    <row r="447" spans="1:3" x14ac:dyDescent="0.25">
      <c r="A447" t="s">
        <v>1024</v>
      </c>
      <c r="B447">
        <v>4</v>
      </c>
      <c r="C447" t="s">
        <v>1025</v>
      </c>
    </row>
    <row r="448" spans="1:3" x14ac:dyDescent="0.25">
      <c r="A448" t="s">
        <v>1026</v>
      </c>
      <c r="B448">
        <v>3</v>
      </c>
      <c r="C448" t="s">
        <v>1027</v>
      </c>
    </row>
    <row r="449" spans="1:3" x14ac:dyDescent="0.25">
      <c r="A449" t="s">
        <v>1028</v>
      </c>
      <c r="B449">
        <v>2</v>
      </c>
      <c r="C449" t="s">
        <v>1029</v>
      </c>
    </row>
    <row r="450" spans="1:3" x14ac:dyDescent="0.25">
      <c r="A450" t="s">
        <v>1030</v>
      </c>
      <c r="B450">
        <v>3</v>
      </c>
      <c r="C450" t="s">
        <v>1031</v>
      </c>
    </row>
    <row r="451" spans="1:3" x14ac:dyDescent="0.25">
      <c r="A451" t="s">
        <v>1032</v>
      </c>
      <c r="B451">
        <v>4</v>
      </c>
      <c r="C451" t="s">
        <v>1033</v>
      </c>
    </row>
    <row r="452" spans="1:3" x14ac:dyDescent="0.25">
      <c r="A452" t="s">
        <v>1034</v>
      </c>
      <c r="B452">
        <v>1</v>
      </c>
      <c r="C452" t="s">
        <v>1035</v>
      </c>
    </row>
    <row r="453" spans="1:3" x14ac:dyDescent="0.25">
      <c r="A453" t="s">
        <v>1036</v>
      </c>
      <c r="B453">
        <v>2</v>
      </c>
      <c r="C453" t="s">
        <v>1037</v>
      </c>
    </row>
    <row r="454" spans="1:3" x14ac:dyDescent="0.25">
      <c r="A454" t="s">
        <v>1038</v>
      </c>
      <c r="B454">
        <v>3</v>
      </c>
      <c r="C454" t="s">
        <v>585</v>
      </c>
    </row>
    <row r="455" spans="1:3" x14ac:dyDescent="0.25">
      <c r="A455" t="s">
        <v>1039</v>
      </c>
      <c r="B455">
        <v>4</v>
      </c>
      <c r="C455" t="s">
        <v>587</v>
      </c>
    </row>
    <row r="456" spans="1:3" x14ac:dyDescent="0.25">
      <c r="A456" t="s">
        <v>183</v>
      </c>
      <c r="B456">
        <v>4</v>
      </c>
      <c r="C456" t="s">
        <v>588</v>
      </c>
    </row>
    <row r="457" spans="1:3" x14ac:dyDescent="0.25">
      <c r="A457" t="s">
        <v>1040</v>
      </c>
      <c r="B457">
        <v>4</v>
      </c>
      <c r="C457" t="s">
        <v>1041</v>
      </c>
    </row>
    <row r="458" spans="1:3" x14ac:dyDescent="0.25">
      <c r="A458" t="s">
        <v>1042</v>
      </c>
      <c r="B458">
        <v>4</v>
      </c>
      <c r="C458" t="s">
        <v>591</v>
      </c>
    </row>
    <row r="459" spans="1:3" x14ac:dyDescent="0.25">
      <c r="A459" t="s">
        <v>151</v>
      </c>
      <c r="B459">
        <v>4</v>
      </c>
      <c r="C459" t="s">
        <v>1043</v>
      </c>
    </row>
    <row r="460" spans="1:3" x14ac:dyDescent="0.25">
      <c r="A460" t="s">
        <v>1044</v>
      </c>
      <c r="B460">
        <v>3</v>
      </c>
      <c r="C460" t="s">
        <v>595</v>
      </c>
    </row>
    <row r="461" spans="1:3" x14ac:dyDescent="0.25">
      <c r="A461" t="s">
        <v>1045</v>
      </c>
      <c r="B461">
        <v>4</v>
      </c>
      <c r="C461" t="s">
        <v>597</v>
      </c>
    </row>
    <row r="462" spans="1:3" x14ac:dyDescent="0.25">
      <c r="A462" t="s">
        <v>219</v>
      </c>
      <c r="B462">
        <v>4</v>
      </c>
      <c r="C462" t="s">
        <v>598</v>
      </c>
    </row>
    <row r="463" spans="1:3" x14ac:dyDescent="0.25">
      <c r="A463" t="s">
        <v>1046</v>
      </c>
      <c r="B463">
        <v>3</v>
      </c>
      <c r="C463" t="s">
        <v>600</v>
      </c>
    </row>
    <row r="464" spans="1:3" x14ac:dyDescent="0.25">
      <c r="A464" t="s">
        <v>1047</v>
      </c>
      <c r="B464">
        <v>4</v>
      </c>
      <c r="C464" t="s">
        <v>1048</v>
      </c>
    </row>
    <row r="465" spans="1:3" x14ac:dyDescent="0.25">
      <c r="A465" t="s">
        <v>218</v>
      </c>
      <c r="B465">
        <v>4</v>
      </c>
      <c r="C465" t="s">
        <v>1049</v>
      </c>
    </row>
    <row r="466" spans="1:3" x14ac:dyDescent="0.25">
      <c r="A466" t="s">
        <v>1050</v>
      </c>
      <c r="B466">
        <v>4</v>
      </c>
      <c r="C466" t="s">
        <v>1051</v>
      </c>
    </row>
    <row r="467" spans="1:3" x14ac:dyDescent="0.25">
      <c r="A467" t="s">
        <v>1052</v>
      </c>
      <c r="B467">
        <v>4</v>
      </c>
      <c r="C467" t="s">
        <v>1053</v>
      </c>
    </row>
    <row r="468" spans="1:3" x14ac:dyDescent="0.25">
      <c r="A468" t="s">
        <v>1054</v>
      </c>
      <c r="B468">
        <v>3</v>
      </c>
      <c r="C468" t="s">
        <v>610</v>
      </c>
    </row>
    <row r="469" spans="1:3" x14ac:dyDescent="0.25">
      <c r="A469" t="s">
        <v>1055</v>
      </c>
      <c r="B469">
        <v>4</v>
      </c>
      <c r="C469" t="s">
        <v>1056</v>
      </c>
    </row>
    <row r="470" spans="1:3" x14ac:dyDescent="0.25">
      <c r="A470" t="s">
        <v>1057</v>
      </c>
      <c r="B470">
        <v>4</v>
      </c>
      <c r="C470" t="s">
        <v>1058</v>
      </c>
    </row>
    <row r="471" spans="1:3" x14ac:dyDescent="0.25">
      <c r="A471" t="s">
        <v>1059</v>
      </c>
      <c r="B471">
        <v>4</v>
      </c>
      <c r="C471" t="s">
        <v>1060</v>
      </c>
    </row>
    <row r="472" spans="1:3" x14ac:dyDescent="0.25">
      <c r="A472" t="s">
        <v>1061</v>
      </c>
      <c r="B472">
        <v>4</v>
      </c>
      <c r="C472" t="s">
        <v>1062</v>
      </c>
    </row>
    <row r="473" spans="1:3" x14ac:dyDescent="0.25">
      <c r="A473" t="s">
        <v>1063</v>
      </c>
      <c r="B473">
        <v>3</v>
      </c>
      <c r="C473" t="s">
        <v>1064</v>
      </c>
    </row>
    <row r="474" spans="1:3" x14ac:dyDescent="0.25">
      <c r="A474" t="s">
        <v>1065</v>
      </c>
      <c r="B474">
        <v>4</v>
      </c>
      <c r="C474" t="s">
        <v>1066</v>
      </c>
    </row>
    <row r="475" spans="1:3" x14ac:dyDescent="0.25">
      <c r="A475" t="s">
        <v>1067</v>
      </c>
      <c r="B475">
        <v>4</v>
      </c>
      <c r="C475" t="s">
        <v>623</v>
      </c>
    </row>
    <row r="476" spans="1:3" x14ac:dyDescent="0.25">
      <c r="A476" t="s">
        <v>1068</v>
      </c>
      <c r="B476">
        <v>4</v>
      </c>
      <c r="C476" t="s">
        <v>625</v>
      </c>
    </row>
    <row r="477" spans="1:3" x14ac:dyDescent="0.25">
      <c r="A477" t="s">
        <v>1069</v>
      </c>
      <c r="B477">
        <v>3</v>
      </c>
      <c r="C477" t="s">
        <v>627</v>
      </c>
    </row>
    <row r="478" spans="1:3" x14ac:dyDescent="0.25">
      <c r="A478" t="s">
        <v>1070</v>
      </c>
      <c r="B478">
        <v>4</v>
      </c>
      <c r="C478" t="s">
        <v>629</v>
      </c>
    </row>
    <row r="479" spans="1:3" x14ac:dyDescent="0.25">
      <c r="A479" t="s">
        <v>249</v>
      </c>
      <c r="B479">
        <v>4</v>
      </c>
      <c r="C479" t="s">
        <v>1071</v>
      </c>
    </row>
    <row r="480" spans="1:3" x14ac:dyDescent="0.25">
      <c r="A480" t="s">
        <v>256</v>
      </c>
      <c r="B480">
        <v>4</v>
      </c>
      <c r="C480" t="s">
        <v>633</v>
      </c>
    </row>
    <row r="481" spans="1:3" x14ac:dyDescent="0.25">
      <c r="A481" t="s">
        <v>1072</v>
      </c>
      <c r="B481">
        <v>4</v>
      </c>
      <c r="C481" t="s">
        <v>1073</v>
      </c>
    </row>
    <row r="482" spans="1:3" x14ac:dyDescent="0.25">
      <c r="A482" t="s">
        <v>1074</v>
      </c>
      <c r="B482">
        <v>3</v>
      </c>
      <c r="C482" t="s">
        <v>637</v>
      </c>
    </row>
    <row r="483" spans="1:3" x14ac:dyDescent="0.25">
      <c r="A483" t="s">
        <v>1075</v>
      </c>
      <c r="B483">
        <v>4</v>
      </c>
      <c r="C483" t="s">
        <v>639</v>
      </c>
    </row>
    <row r="484" spans="1:3" x14ac:dyDescent="0.25">
      <c r="A484" t="s">
        <v>1076</v>
      </c>
      <c r="B484">
        <v>4</v>
      </c>
      <c r="C484" t="s">
        <v>1077</v>
      </c>
    </row>
    <row r="485" spans="1:3" x14ac:dyDescent="0.25">
      <c r="A485" t="s">
        <v>1078</v>
      </c>
      <c r="B485">
        <v>3</v>
      </c>
      <c r="C485" t="s">
        <v>643</v>
      </c>
    </row>
    <row r="486" spans="1:3" x14ac:dyDescent="0.25">
      <c r="A486" t="s">
        <v>1079</v>
      </c>
      <c r="B486">
        <v>4</v>
      </c>
      <c r="C486" t="s">
        <v>1080</v>
      </c>
    </row>
    <row r="487" spans="1:3" x14ac:dyDescent="0.25">
      <c r="A487" t="s">
        <v>1081</v>
      </c>
      <c r="B487">
        <v>4</v>
      </c>
      <c r="C487" t="s">
        <v>1082</v>
      </c>
    </row>
    <row r="488" spans="1:3" x14ac:dyDescent="0.25">
      <c r="A488" t="s">
        <v>1083</v>
      </c>
      <c r="B488">
        <v>3</v>
      </c>
      <c r="C488" t="s">
        <v>658</v>
      </c>
    </row>
    <row r="489" spans="1:3" x14ac:dyDescent="0.25">
      <c r="A489" t="s">
        <v>1084</v>
      </c>
      <c r="B489">
        <v>4</v>
      </c>
      <c r="C489" t="s">
        <v>660</v>
      </c>
    </row>
    <row r="490" spans="1:3" x14ac:dyDescent="0.25">
      <c r="A490" t="s">
        <v>1085</v>
      </c>
      <c r="B490">
        <v>4</v>
      </c>
      <c r="C490" t="s">
        <v>662</v>
      </c>
    </row>
    <row r="491" spans="1:3" x14ac:dyDescent="0.25">
      <c r="A491" t="s">
        <v>1086</v>
      </c>
      <c r="B491">
        <v>4</v>
      </c>
      <c r="C491" t="s">
        <v>1087</v>
      </c>
    </row>
    <row r="492" spans="1:3" x14ac:dyDescent="0.25">
      <c r="A492" t="s">
        <v>1088</v>
      </c>
      <c r="B492">
        <v>4</v>
      </c>
      <c r="C492" t="s">
        <v>658</v>
      </c>
    </row>
    <row r="493" spans="1:3" x14ac:dyDescent="0.25">
      <c r="A493" t="s">
        <v>1089</v>
      </c>
      <c r="B493">
        <v>2</v>
      </c>
      <c r="C493" t="s">
        <v>1090</v>
      </c>
    </row>
    <row r="494" spans="1:3" x14ac:dyDescent="0.25">
      <c r="A494" t="s">
        <v>1091</v>
      </c>
      <c r="B494">
        <v>3</v>
      </c>
      <c r="C494" t="s">
        <v>649</v>
      </c>
    </row>
    <row r="495" spans="1:3" x14ac:dyDescent="0.25">
      <c r="A495" t="s">
        <v>1092</v>
      </c>
      <c r="B495">
        <v>4</v>
      </c>
      <c r="C495" t="s">
        <v>649</v>
      </c>
    </row>
    <row r="496" spans="1:3" x14ac:dyDescent="0.25">
      <c r="A496" t="s">
        <v>1093</v>
      </c>
      <c r="B496">
        <v>4</v>
      </c>
      <c r="C496" t="s">
        <v>1094</v>
      </c>
    </row>
    <row r="497" spans="1:3" x14ac:dyDescent="0.25">
      <c r="A497" t="s">
        <v>1095</v>
      </c>
      <c r="B497">
        <v>4</v>
      </c>
      <c r="C497" t="s">
        <v>1096</v>
      </c>
    </row>
    <row r="498" spans="1:3" x14ac:dyDescent="0.25">
      <c r="A498" t="s">
        <v>1097</v>
      </c>
      <c r="B498">
        <v>4</v>
      </c>
      <c r="C498" t="s">
        <v>1098</v>
      </c>
    </row>
    <row r="499" spans="1:3" x14ac:dyDescent="0.25">
      <c r="A499" t="s">
        <v>1099</v>
      </c>
      <c r="B499">
        <v>2</v>
      </c>
      <c r="C499" t="s">
        <v>658</v>
      </c>
    </row>
    <row r="500" spans="1:3" x14ac:dyDescent="0.25">
      <c r="A500" t="s">
        <v>1100</v>
      </c>
      <c r="B500">
        <v>3</v>
      </c>
      <c r="C500" t="s">
        <v>658</v>
      </c>
    </row>
    <row r="501" spans="1:3" x14ac:dyDescent="0.25">
      <c r="A501" t="s">
        <v>1101</v>
      </c>
      <c r="B501">
        <v>1</v>
      </c>
      <c r="C501" t="s">
        <v>1102</v>
      </c>
    </row>
    <row r="502" spans="1:3" x14ac:dyDescent="0.25">
      <c r="A502" t="s">
        <v>1103</v>
      </c>
      <c r="B502">
        <v>2</v>
      </c>
      <c r="C502" t="s">
        <v>1104</v>
      </c>
    </row>
    <row r="503" spans="1:3" x14ac:dyDescent="0.25">
      <c r="A503" t="s">
        <v>1105</v>
      </c>
      <c r="B503">
        <v>3</v>
      </c>
      <c r="C503" t="s">
        <v>1106</v>
      </c>
    </row>
    <row r="504" spans="1:3" x14ac:dyDescent="0.25">
      <c r="A504" t="s">
        <v>217</v>
      </c>
      <c r="B504">
        <v>4</v>
      </c>
      <c r="C504" t="s">
        <v>1106</v>
      </c>
    </row>
    <row r="505" spans="1:3" x14ac:dyDescent="0.25">
      <c r="A505" t="s">
        <v>1107</v>
      </c>
      <c r="B505">
        <v>3</v>
      </c>
      <c r="C505" t="s">
        <v>1108</v>
      </c>
    </row>
    <row r="506" spans="1:3" x14ac:dyDescent="0.25">
      <c r="A506" t="s">
        <v>251</v>
      </c>
      <c r="B506">
        <v>4</v>
      </c>
      <c r="C506" t="s">
        <v>1108</v>
      </c>
    </row>
    <row r="507" spans="1:3" x14ac:dyDescent="0.25">
      <c r="A507" t="s">
        <v>1109</v>
      </c>
      <c r="B507">
        <v>3</v>
      </c>
      <c r="C507" t="s">
        <v>1110</v>
      </c>
    </row>
    <row r="508" spans="1:3" x14ac:dyDescent="0.25">
      <c r="A508" t="s">
        <v>211</v>
      </c>
      <c r="B508">
        <v>4</v>
      </c>
      <c r="C508" t="s">
        <v>1110</v>
      </c>
    </row>
    <row r="509" spans="1:3" x14ac:dyDescent="0.25">
      <c r="A509" t="s">
        <v>1111</v>
      </c>
      <c r="B509">
        <v>3</v>
      </c>
      <c r="C509" t="s">
        <v>1112</v>
      </c>
    </row>
    <row r="510" spans="1:3" x14ac:dyDescent="0.25">
      <c r="A510" t="s">
        <v>1113</v>
      </c>
      <c r="B510">
        <v>2</v>
      </c>
      <c r="C510" t="s">
        <v>1114</v>
      </c>
    </row>
    <row r="511" spans="1:3" x14ac:dyDescent="0.25">
      <c r="A511" t="s">
        <v>1115</v>
      </c>
      <c r="B511">
        <v>3</v>
      </c>
      <c r="C511" t="s">
        <v>1114</v>
      </c>
    </row>
    <row r="512" spans="1:3" x14ac:dyDescent="0.25">
      <c r="A512" t="s">
        <v>220</v>
      </c>
      <c r="B512">
        <v>4</v>
      </c>
      <c r="C512" t="s">
        <v>1114</v>
      </c>
    </row>
    <row r="513" spans="1:3" x14ac:dyDescent="0.25">
      <c r="A513" t="s">
        <v>1116</v>
      </c>
      <c r="B513">
        <v>2</v>
      </c>
      <c r="C513" t="s">
        <v>1117</v>
      </c>
    </row>
    <row r="514" spans="1:3" x14ac:dyDescent="0.25">
      <c r="A514" t="s">
        <v>1118</v>
      </c>
      <c r="B514">
        <v>3</v>
      </c>
      <c r="C514" t="s">
        <v>1117</v>
      </c>
    </row>
    <row r="515" spans="1:3" x14ac:dyDescent="0.25">
      <c r="A515" t="s">
        <v>189</v>
      </c>
      <c r="B515">
        <v>4</v>
      </c>
      <c r="C515" t="s">
        <v>1117</v>
      </c>
    </row>
    <row r="516" spans="1:3" x14ac:dyDescent="0.25">
      <c r="A516" t="s">
        <v>1119</v>
      </c>
      <c r="B516">
        <v>2</v>
      </c>
      <c r="C516" t="s">
        <v>1120</v>
      </c>
    </row>
    <row r="517" spans="1:3" x14ac:dyDescent="0.25">
      <c r="A517" t="s">
        <v>1121</v>
      </c>
      <c r="B517">
        <v>3</v>
      </c>
      <c r="C517" t="s">
        <v>1120</v>
      </c>
    </row>
    <row r="518" spans="1:3" x14ac:dyDescent="0.25">
      <c r="A518" t="s">
        <v>1122</v>
      </c>
      <c r="B518">
        <v>4</v>
      </c>
      <c r="C518" t="s">
        <v>1120</v>
      </c>
    </row>
    <row r="519" spans="1:3" x14ac:dyDescent="0.25">
      <c r="A519" t="s">
        <v>1123</v>
      </c>
      <c r="B519">
        <v>1</v>
      </c>
      <c r="C519" t="s">
        <v>63</v>
      </c>
    </row>
    <row r="520" spans="1:3" x14ac:dyDescent="0.25">
      <c r="A520" t="s">
        <v>1124</v>
      </c>
      <c r="B520">
        <v>2</v>
      </c>
      <c r="C520" t="s">
        <v>1125</v>
      </c>
    </row>
    <row r="521" spans="1:3" x14ac:dyDescent="0.25">
      <c r="A521" t="s">
        <v>1126</v>
      </c>
      <c r="B521">
        <v>3</v>
      </c>
      <c r="C521" t="s">
        <v>1127</v>
      </c>
    </row>
    <row r="522" spans="1:3" x14ac:dyDescent="0.25">
      <c r="A522" t="s">
        <v>1128</v>
      </c>
      <c r="B522">
        <v>3</v>
      </c>
      <c r="C522" t="s">
        <v>1129</v>
      </c>
    </row>
    <row r="523" spans="1:3" x14ac:dyDescent="0.25">
      <c r="A523" t="s">
        <v>1130</v>
      </c>
      <c r="B523">
        <v>4</v>
      </c>
      <c r="C523" t="s">
        <v>1131</v>
      </c>
    </row>
    <row r="524" spans="1:3" x14ac:dyDescent="0.25">
      <c r="A524" t="s">
        <v>1132</v>
      </c>
      <c r="B524">
        <v>3</v>
      </c>
      <c r="C524" t="s">
        <v>1133</v>
      </c>
    </row>
    <row r="525" spans="1:3" x14ac:dyDescent="0.25">
      <c r="A525" t="s">
        <v>166</v>
      </c>
      <c r="B525">
        <v>4</v>
      </c>
      <c r="C525" t="s">
        <v>1133</v>
      </c>
    </row>
    <row r="526" spans="1:3" x14ac:dyDescent="0.25">
      <c r="A526" t="s">
        <v>1134</v>
      </c>
      <c r="B526">
        <v>3</v>
      </c>
      <c r="C526" t="s">
        <v>1135</v>
      </c>
    </row>
    <row r="527" spans="1:3" x14ac:dyDescent="0.25">
      <c r="A527" t="s">
        <v>288</v>
      </c>
      <c r="B527">
        <v>4</v>
      </c>
      <c r="C527" t="s">
        <v>1136</v>
      </c>
    </row>
    <row r="528" spans="1:3" x14ac:dyDescent="0.25">
      <c r="A528" t="s">
        <v>1137</v>
      </c>
      <c r="B528">
        <v>3</v>
      </c>
      <c r="C528" t="s">
        <v>1138</v>
      </c>
    </row>
    <row r="529" spans="1:3" x14ac:dyDescent="0.25">
      <c r="A529" t="s">
        <v>1139</v>
      </c>
      <c r="B529">
        <v>4</v>
      </c>
      <c r="C529" t="s">
        <v>1140</v>
      </c>
    </row>
    <row r="530" spans="1:3" x14ac:dyDescent="0.25">
      <c r="A530" t="s">
        <v>1141</v>
      </c>
      <c r="B530">
        <v>3</v>
      </c>
      <c r="C530" t="s">
        <v>1142</v>
      </c>
    </row>
    <row r="531" spans="1:3" x14ac:dyDescent="0.25">
      <c r="A531" t="s">
        <v>1143</v>
      </c>
      <c r="B531">
        <v>4</v>
      </c>
      <c r="C531" t="s">
        <v>1144</v>
      </c>
    </row>
    <row r="532" spans="1:3" x14ac:dyDescent="0.25">
      <c r="A532" t="s">
        <v>1145</v>
      </c>
      <c r="B532">
        <v>4</v>
      </c>
      <c r="C532" t="s">
        <v>1146</v>
      </c>
    </row>
    <row r="533" spans="1:3" x14ac:dyDescent="0.25">
      <c r="A533" t="s">
        <v>1147</v>
      </c>
      <c r="B533">
        <v>4</v>
      </c>
      <c r="C533" t="s">
        <v>1148</v>
      </c>
    </row>
    <row r="534" spans="1:3" x14ac:dyDescent="0.25">
      <c r="A534" t="s">
        <v>1149</v>
      </c>
      <c r="B534">
        <v>4</v>
      </c>
      <c r="C534" t="s">
        <v>1150</v>
      </c>
    </row>
    <row r="535" spans="1:3" x14ac:dyDescent="0.25">
      <c r="A535" t="s">
        <v>1151</v>
      </c>
      <c r="B535">
        <v>3</v>
      </c>
      <c r="C535" t="s">
        <v>1152</v>
      </c>
    </row>
    <row r="536" spans="1:3" x14ac:dyDescent="0.25">
      <c r="A536" t="s">
        <v>1153</v>
      </c>
      <c r="B536">
        <v>4</v>
      </c>
      <c r="C536" t="s">
        <v>1154</v>
      </c>
    </row>
    <row r="537" spans="1:3" x14ac:dyDescent="0.25">
      <c r="A537" t="s">
        <v>1155</v>
      </c>
      <c r="B537">
        <v>3</v>
      </c>
      <c r="C537" t="s">
        <v>1156</v>
      </c>
    </row>
    <row r="538" spans="1:3" x14ac:dyDescent="0.25">
      <c r="A538" t="s">
        <v>1157</v>
      </c>
      <c r="B538">
        <v>2</v>
      </c>
      <c r="C538" t="s">
        <v>1158</v>
      </c>
    </row>
    <row r="539" spans="1:3" x14ac:dyDescent="0.25">
      <c r="A539" t="s">
        <v>1159</v>
      </c>
      <c r="B539">
        <v>3</v>
      </c>
      <c r="C539" t="s">
        <v>1160</v>
      </c>
    </row>
    <row r="540" spans="1:3" x14ac:dyDescent="0.25">
      <c r="A540" t="s">
        <v>1161</v>
      </c>
      <c r="B540">
        <v>4</v>
      </c>
      <c r="C540" t="s">
        <v>1162</v>
      </c>
    </row>
    <row r="541" spans="1:3" x14ac:dyDescent="0.25">
      <c r="A541" t="s">
        <v>1163</v>
      </c>
      <c r="B541">
        <v>3</v>
      </c>
      <c r="C541" t="s">
        <v>1164</v>
      </c>
    </row>
    <row r="542" spans="1:3" x14ac:dyDescent="0.25">
      <c r="A542" t="s">
        <v>1165</v>
      </c>
      <c r="B542">
        <v>4</v>
      </c>
      <c r="C542" t="s">
        <v>1164</v>
      </c>
    </row>
    <row r="543" spans="1:3" x14ac:dyDescent="0.25">
      <c r="A543" t="s">
        <v>1166</v>
      </c>
      <c r="B543">
        <v>2</v>
      </c>
      <c r="C543" t="s">
        <v>1167</v>
      </c>
    </row>
    <row r="544" spans="1:3" x14ac:dyDescent="0.25">
      <c r="A544" t="s">
        <v>1168</v>
      </c>
      <c r="B544">
        <v>3</v>
      </c>
      <c r="C544" t="s">
        <v>1169</v>
      </c>
    </row>
    <row r="545" spans="1:3" x14ac:dyDescent="0.25">
      <c r="A545" t="s">
        <v>1170</v>
      </c>
      <c r="B545">
        <v>2</v>
      </c>
      <c r="C545" t="s">
        <v>1171</v>
      </c>
    </row>
    <row r="546" spans="1:3" x14ac:dyDescent="0.25">
      <c r="A546" t="s">
        <v>1172</v>
      </c>
      <c r="B546">
        <v>3</v>
      </c>
      <c r="C546" t="s">
        <v>1173</v>
      </c>
    </row>
    <row r="547" spans="1:3" x14ac:dyDescent="0.25">
      <c r="A547" t="s">
        <v>1174</v>
      </c>
      <c r="B547">
        <v>4</v>
      </c>
      <c r="C547" t="s">
        <v>1173</v>
      </c>
    </row>
    <row r="548" spans="1:3" x14ac:dyDescent="0.25">
      <c r="A548" t="s">
        <v>1175</v>
      </c>
      <c r="B548">
        <v>3</v>
      </c>
      <c r="C548" t="s">
        <v>1176</v>
      </c>
    </row>
    <row r="549" spans="1:3" x14ac:dyDescent="0.25">
      <c r="A549" t="s">
        <v>1177</v>
      </c>
      <c r="B549">
        <v>4</v>
      </c>
      <c r="C549" t="s">
        <v>1176</v>
      </c>
    </row>
    <row r="550" spans="1:3" x14ac:dyDescent="0.25">
      <c r="A550" t="s">
        <v>1178</v>
      </c>
      <c r="B550">
        <v>2</v>
      </c>
      <c r="C550" t="s">
        <v>1179</v>
      </c>
    </row>
    <row r="551" spans="1:3" x14ac:dyDescent="0.25">
      <c r="A551" t="s">
        <v>1180</v>
      </c>
      <c r="B551">
        <v>3</v>
      </c>
      <c r="C551" t="s">
        <v>1181</v>
      </c>
    </row>
    <row r="552" spans="1:3" x14ac:dyDescent="0.25">
      <c r="A552" t="s">
        <v>1182</v>
      </c>
      <c r="B552">
        <v>4</v>
      </c>
      <c r="C552" t="s">
        <v>1181</v>
      </c>
    </row>
    <row r="553" spans="1:3" x14ac:dyDescent="0.25">
      <c r="A553" t="s">
        <v>1183</v>
      </c>
      <c r="B553">
        <v>3</v>
      </c>
      <c r="C553" t="s">
        <v>1184</v>
      </c>
    </row>
    <row r="554" spans="1:3" x14ac:dyDescent="0.25">
      <c r="A554" t="s">
        <v>1185</v>
      </c>
      <c r="B554">
        <v>3</v>
      </c>
      <c r="C554" t="s">
        <v>1186</v>
      </c>
    </row>
    <row r="555" spans="1:3" x14ac:dyDescent="0.25">
      <c r="A555" t="s">
        <v>1187</v>
      </c>
      <c r="B555">
        <v>4</v>
      </c>
      <c r="C555" t="s">
        <v>1186</v>
      </c>
    </row>
    <row r="556" spans="1:3" x14ac:dyDescent="0.25">
      <c r="A556" t="s">
        <v>1188</v>
      </c>
      <c r="B556">
        <v>2</v>
      </c>
      <c r="C556" t="s">
        <v>1189</v>
      </c>
    </row>
    <row r="557" spans="1:3" x14ac:dyDescent="0.25">
      <c r="A557" t="s">
        <v>1190</v>
      </c>
      <c r="B557">
        <v>3</v>
      </c>
      <c r="C557" t="s">
        <v>1191</v>
      </c>
    </row>
    <row r="558" spans="1:3" x14ac:dyDescent="0.25">
      <c r="A558" t="s">
        <v>261</v>
      </c>
      <c r="B558">
        <v>4</v>
      </c>
      <c r="C558" t="s">
        <v>1191</v>
      </c>
    </row>
    <row r="559" spans="1:3" x14ac:dyDescent="0.25">
      <c r="A559" t="s">
        <v>1192</v>
      </c>
      <c r="B559">
        <v>3</v>
      </c>
      <c r="C559" t="s">
        <v>1193</v>
      </c>
    </row>
    <row r="560" spans="1:3" x14ac:dyDescent="0.25">
      <c r="A560" t="s">
        <v>150</v>
      </c>
      <c r="B560">
        <v>4</v>
      </c>
      <c r="C560" t="s">
        <v>1193</v>
      </c>
    </row>
    <row r="561" spans="1:3" x14ac:dyDescent="0.25">
      <c r="A561" t="s">
        <v>1194</v>
      </c>
      <c r="B561">
        <v>3</v>
      </c>
      <c r="C561" t="s">
        <v>1189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14">
    <tabColor rgb="FFFF8080"/>
  </sheetPr>
  <dimension ref="A1:S536"/>
  <sheetViews>
    <sheetView showGridLines="0" zoomScale="85" zoomScaleNormal="85" workbookViewId="0"/>
  </sheetViews>
  <sheetFormatPr defaultColWidth="11.42578125" defaultRowHeight="15" x14ac:dyDescent="0.25"/>
  <cols>
    <col min="1" max="1" width="12" bestFit="1" customWidth="1"/>
    <col min="2" max="2" width="8.42578125" bestFit="1" customWidth="1"/>
    <col min="3" max="3" width="7.5703125" bestFit="1" customWidth="1"/>
    <col min="4" max="4" width="6" bestFit="1" customWidth="1"/>
    <col min="5" max="5" width="12.42578125" bestFit="1" customWidth="1"/>
    <col min="6" max="6" width="10.28515625" bestFit="1" customWidth="1"/>
    <col min="7" max="7" width="12.42578125" bestFit="1" customWidth="1"/>
    <col min="8" max="8" width="9" bestFit="1" customWidth="1"/>
    <col min="9" max="9" width="9.42578125" bestFit="1" customWidth="1"/>
    <col min="10" max="10" width="8.5703125" bestFit="1" customWidth="1"/>
    <col min="11" max="11" width="7.42578125" bestFit="1" customWidth="1"/>
    <col min="12" max="12" width="7.5703125" bestFit="1" customWidth="1"/>
    <col min="13" max="13" width="6.28515625" bestFit="1" customWidth="1"/>
    <col min="14" max="14" width="6.140625" bestFit="1" customWidth="1"/>
    <col min="15" max="15" width="6.42578125" bestFit="1" customWidth="1"/>
    <col min="16" max="16" width="40.140625" bestFit="1" customWidth="1"/>
    <col min="17" max="19" width="9.140625" bestFit="1" customWidth="1"/>
  </cols>
  <sheetData>
    <row r="1" spans="1:19" x14ac:dyDescent="0.25">
      <c r="A1" t="s">
        <v>85</v>
      </c>
      <c r="B1" t="s">
        <v>54</v>
      </c>
      <c r="C1" t="s">
        <v>55</v>
      </c>
      <c r="D1" t="s">
        <v>56</v>
      </c>
      <c r="E1" t="s">
        <v>42</v>
      </c>
      <c r="F1" t="s">
        <v>86</v>
      </c>
      <c r="G1" t="s">
        <v>87</v>
      </c>
      <c r="H1" t="s">
        <v>88</v>
      </c>
      <c r="I1" t="s">
        <v>89</v>
      </c>
      <c r="J1" t="s">
        <v>90</v>
      </c>
      <c r="K1" t="s">
        <v>91</v>
      </c>
      <c r="L1" t="s">
        <v>92</v>
      </c>
      <c r="M1" t="s">
        <v>10</v>
      </c>
      <c r="N1" t="s">
        <v>93</v>
      </c>
      <c r="O1" t="s">
        <v>94</v>
      </c>
      <c r="P1" t="s">
        <v>53</v>
      </c>
      <c r="Q1" s="39" t="s">
        <v>79</v>
      </c>
      <c r="R1" s="39" t="s">
        <v>78</v>
      </c>
      <c r="S1" s="39" t="s">
        <v>77</v>
      </c>
    </row>
    <row r="2" spans="1:19" x14ac:dyDescent="0.25">
      <c r="A2">
        <v>2101</v>
      </c>
      <c r="B2" t="s">
        <v>13</v>
      </c>
      <c r="C2" t="s">
        <v>95</v>
      </c>
      <c r="D2">
        <v>0</v>
      </c>
      <c r="E2">
        <v>38170</v>
      </c>
      <c r="F2">
        <v>2958465</v>
      </c>
      <c r="K2">
        <v>0</v>
      </c>
      <c r="N2">
        <v>1</v>
      </c>
      <c r="O2" t="s">
        <v>96</v>
      </c>
      <c r="P2" t="s">
        <v>97</v>
      </c>
      <c r="Q2">
        <f>IF(CustomerHierarchyLevels[[#This Row],[HgLvCust.]]=0,CustomerHierarchyLevels[[#This Row],[Customer]],CustomerHierarchyLevels[[#This Row],[HgLvCust.]])</f>
        <v>2101</v>
      </c>
      <c r="R2">
        <f>IF(VLOOKUP(CustomerHierarchyLevels[[#This Row],[Level1]],CustomerHierarchyLevels[],7,FALSE)=0,CustomerHierarchyLevels[[#This Row],[Level1]],VLOOKUP(CustomerHierarchyLevels[[#This Row],[Level1]],CustomerHierarchyLevels[],7,FALSE))</f>
        <v>2101</v>
      </c>
      <c r="S2">
        <f>IF(VLOOKUP(CustomerHierarchyLevels[[#This Row],[Level2]],CustomerHierarchyLevels[],7,FALSE)=0,CustomerHierarchyLevels[[#This Row],[Level2]],VLOOKUP(CustomerHierarchyLevels[[#This Row],[Level2]],CustomerHierarchyLevels[],7,FALSE))</f>
        <v>2101</v>
      </c>
    </row>
    <row r="3" spans="1:19" x14ac:dyDescent="0.25">
      <c r="A3">
        <v>2103</v>
      </c>
      <c r="B3" t="s">
        <v>13</v>
      </c>
      <c r="C3" t="s">
        <v>95</v>
      </c>
      <c r="D3">
        <v>0</v>
      </c>
      <c r="E3">
        <v>38170</v>
      </c>
      <c r="F3">
        <v>2958465</v>
      </c>
      <c r="G3">
        <v>2102</v>
      </c>
      <c r="H3" t="s">
        <v>13</v>
      </c>
      <c r="I3" t="s">
        <v>95</v>
      </c>
      <c r="J3">
        <v>0</v>
      </c>
      <c r="K3">
        <v>0</v>
      </c>
      <c r="N3">
        <v>3</v>
      </c>
      <c r="O3" t="s">
        <v>96</v>
      </c>
      <c r="P3" t="s">
        <v>98</v>
      </c>
      <c r="Q3">
        <f>IF(CustomerHierarchyLevels[[#This Row],[HgLvCust.]]=0,CustomerHierarchyLevels[[#This Row],[Customer]],CustomerHierarchyLevels[[#This Row],[HgLvCust.]])</f>
        <v>2102</v>
      </c>
      <c r="R3">
        <f>IF(VLOOKUP(CustomerHierarchyLevels[[#This Row],[Level1]],CustomerHierarchyLevels[],7,FALSE)=0,CustomerHierarchyLevels[[#This Row],[Level1]],VLOOKUP(CustomerHierarchyLevels[[#This Row],[Level1]],CustomerHierarchyLevels[],7,FALSE))</f>
        <v>2101</v>
      </c>
      <c r="S3">
        <f>IF(VLOOKUP(CustomerHierarchyLevels[[#This Row],[Level2]],CustomerHierarchyLevels[],7,FALSE)=0,CustomerHierarchyLevels[[#This Row],[Level2]],VLOOKUP(CustomerHierarchyLevels[[#This Row],[Level2]],CustomerHierarchyLevels[],7,FALSE))</f>
        <v>2101</v>
      </c>
    </row>
    <row r="4" spans="1:19" x14ac:dyDescent="0.25">
      <c r="A4">
        <v>2104</v>
      </c>
      <c r="B4" t="s">
        <v>13</v>
      </c>
      <c r="C4" t="s">
        <v>95</v>
      </c>
      <c r="D4">
        <v>0</v>
      </c>
      <c r="E4">
        <v>38170</v>
      </c>
      <c r="F4">
        <v>2958465</v>
      </c>
      <c r="G4">
        <v>2102</v>
      </c>
      <c r="H4" t="s">
        <v>13</v>
      </c>
      <c r="I4" t="s">
        <v>95</v>
      </c>
      <c r="J4">
        <v>0</v>
      </c>
      <c r="K4">
        <v>0</v>
      </c>
      <c r="N4">
        <v>3</v>
      </c>
      <c r="O4" t="s">
        <v>96</v>
      </c>
      <c r="P4" t="s">
        <v>1195</v>
      </c>
      <c r="Q4" s="30">
        <f>IF(CustomerHierarchyLevels[[#This Row],[HgLvCust.]]=0,CustomerHierarchyLevels[[#This Row],[Customer]],CustomerHierarchyLevels[[#This Row],[HgLvCust.]])</f>
        <v>2102</v>
      </c>
      <c r="R4" s="30">
        <f>IF(VLOOKUP(CustomerHierarchyLevels[[#This Row],[Level1]],CustomerHierarchyLevels[],7,FALSE)=0,CustomerHierarchyLevels[[#This Row],[Level1]],VLOOKUP(CustomerHierarchyLevels[[#This Row],[Level1]],CustomerHierarchyLevels[],7,FALSE))</f>
        <v>2101</v>
      </c>
      <c r="S4" s="30">
        <f>IF(VLOOKUP(CustomerHierarchyLevels[[#This Row],[Level2]],CustomerHierarchyLevels[],7,FALSE)=0,CustomerHierarchyLevels[[#This Row],[Level2]],VLOOKUP(CustomerHierarchyLevels[[#This Row],[Level2]],CustomerHierarchyLevels[],7,FALSE))</f>
        <v>2101</v>
      </c>
    </row>
    <row r="5" spans="1:19" x14ac:dyDescent="0.25">
      <c r="A5">
        <v>2105</v>
      </c>
      <c r="B5" t="s">
        <v>13</v>
      </c>
      <c r="C5" t="s">
        <v>95</v>
      </c>
      <c r="D5">
        <v>0</v>
      </c>
      <c r="E5">
        <v>38170</v>
      </c>
      <c r="F5">
        <v>2958465</v>
      </c>
      <c r="G5">
        <v>2102</v>
      </c>
      <c r="H5" t="s">
        <v>13</v>
      </c>
      <c r="I5" t="s">
        <v>95</v>
      </c>
      <c r="J5">
        <v>0</v>
      </c>
      <c r="K5">
        <v>0</v>
      </c>
      <c r="N5">
        <v>3</v>
      </c>
      <c r="O5" t="s">
        <v>96</v>
      </c>
      <c r="P5" t="s">
        <v>1196</v>
      </c>
      <c r="Q5" s="30">
        <f>IF(CustomerHierarchyLevels[[#This Row],[HgLvCust.]]=0,CustomerHierarchyLevels[[#This Row],[Customer]],CustomerHierarchyLevels[[#This Row],[HgLvCust.]])</f>
        <v>2102</v>
      </c>
      <c r="R5" s="30">
        <f>IF(VLOOKUP(CustomerHierarchyLevels[[#This Row],[Level1]],CustomerHierarchyLevels[],7,FALSE)=0,CustomerHierarchyLevels[[#This Row],[Level1]],VLOOKUP(CustomerHierarchyLevels[[#This Row],[Level1]],CustomerHierarchyLevels[],7,FALSE))</f>
        <v>2101</v>
      </c>
      <c r="S5" s="30">
        <f>IF(VLOOKUP(CustomerHierarchyLevels[[#This Row],[Level2]],CustomerHierarchyLevels[],7,FALSE)=0,CustomerHierarchyLevels[[#This Row],[Level2]],VLOOKUP(CustomerHierarchyLevels[[#This Row],[Level2]],CustomerHierarchyLevels[],7,FALSE))</f>
        <v>2101</v>
      </c>
    </row>
    <row r="6" spans="1:19" x14ac:dyDescent="0.25">
      <c r="A6">
        <v>2106</v>
      </c>
      <c r="B6" t="s">
        <v>13</v>
      </c>
      <c r="C6" t="s">
        <v>95</v>
      </c>
      <c r="D6">
        <v>0</v>
      </c>
      <c r="E6">
        <v>38170</v>
      </c>
      <c r="F6">
        <v>2958465</v>
      </c>
      <c r="G6">
        <v>2102</v>
      </c>
      <c r="H6" t="s">
        <v>13</v>
      </c>
      <c r="I6" t="s">
        <v>95</v>
      </c>
      <c r="J6">
        <v>0</v>
      </c>
      <c r="K6">
        <v>0</v>
      </c>
      <c r="N6">
        <v>3</v>
      </c>
      <c r="O6" t="s">
        <v>96</v>
      </c>
      <c r="P6" t="s">
        <v>1197</v>
      </c>
      <c r="Q6" s="30">
        <f>IF(CustomerHierarchyLevels[[#This Row],[HgLvCust.]]=0,CustomerHierarchyLevels[[#This Row],[Customer]],CustomerHierarchyLevels[[#This Row],[HgLvCust.]])</f>
        <v>2102</v>
      </c>
      <c r="R6" s="30">
        <f>IF(VLOOKUP(CustomerHierarchyLevels[[#This Row],[Level1]],CustomerHierarchyLevels[],7,FALSE)=0,CustomerHierarchyLevels[[#This Row],[Level1]],VLOOKUP(CustomerHierarchyLevels[[#This Row],[Level1]],CustomerHierarchyLevels[],7,FALSE))</f>
        <v>2101</v>
      </c>
      <c r="S6" s="30">
        <f>IF(VLOOKUP(CustomerHierarchyLevels[[#This Row],[Level2]],CustomerHierarchyLevels[],7,FALSE)=0,CustomerHierarchyLevels[[#This Row],[Level2]],VLOOKUP(CustomerHierarchyLevels[[#This Row],[Level2]],CustomerHierarchyLevels[],7,FALSE))</f>
        <v>2101</v>
      </c>
    </row>
    <row r="7" spans="1:19" x14ac:dyDescent="0.25">
      <c r="A7">
        <v>2107</v>
      </c>
      <c r="B7" t="s">
        <v>13</v>
      </c>
      <c r="C7" t="s">
        <v>95</v>
      </c>
      <c r="D7">
        <v>0</v>
      </c>
      <c r="E7">
        <v>38170</v>
      </c>
      <c r="F7">
        <v>2958465</v>
      </c>
      <c r="G7">
        <v>2102</v>
      </c>
      <c r="H7" t="s">
        <v>13</v>
      </c>
      <c r="I7" t="s">
        <v>95</v>
      </c>
      <c r="J7">
        <v>0</v>
      </c>
      <c r="K7">
        <v>0</v>
      </c>
      <c r="N7">
        <v>3</v>
      </c>
      <c r="O7" t="s">
        <v>96</v>
      </c>
      <c r="P7" t="s">
        <v>1198</v>
      </c>
      <c r="Q7" s="30">
        <f>IF(CustomerHierarchyLevels[[#This Row],[HgLvCust.]]=0,CustomerHierarchyLevels[[#This Row],[Customer]],CustomerHierarchyLevels[[#This Row],[HgLvCust.]])</f>
        <v>2102</v>
      </c>
      <c r="R7" s="30">
        <f>IF(VLOOKUP(CustomerHierarchyLevels[[#This Row],[Level1]],CustomerHierarchyLevels[],7,FALSE)=0,CustomerHierarchyLevels[[#This Row],[Level1]],VLOOKUP(CustomerHierarchyLevels[[#This Row],[Level1]],CustomerHierarchyLevels[],7,FALSE))</f>
        <v>2101</v>
      </c>
      <c r="S7" s="30">
        <f>IF(VLOOKUP(CustomerHierarchyLevels[[#This Row],[Level2]],CustomerHierarchyLevels[],7,FALSE)=0,CustomerHierarchyLevels[[#This Row],[Level2]],VLOOKUP(CustomerHierarchyLevels[[#This Row],[Level2]],CustomerHierarchyLevels[],7,FALSE))</f>
        <v>2101</v>
      </c>
    </row>
    <row r="8" spans="1:19" x14ac:dyDescent="0.25">
      <c r="A8">
        <v>2108</v>
      </c>
      <c r="B8" t="s">
        <v>13</v>
      </c>
      <c r="C8" t="s">
        <v>95</v>
      </c>
      <c r="D8">
        <v>0</v>
      </c>
      <c r="E8">
        <v>38170</v>
      </c>
      <c r="F8">
        <v>2958465</v>
      </c>
      <c r="G8">
        <v>2102</v>
      </c>
      <c r="H8" t="s">
        <v>13</v>
      </c>
      <c r="I8" t="s">
        <v>95</v>
      </c>
      <c r="J8">
        <v>0</v>
      </c>
      <c r="K8">
        <v>0</v>
      </c>
      <c r="N8">
        <v>3</v>
      </c>
      <c r="O8" t="s">
        <v>96</v>
      </c>
      <c r="P8" t="s">
        <v>1199</v>
      </c>
      <c r="Q8" s="30">
        <f>IF(CustomerHierarchyLevels[[#This Row],[HgLvCust.]]=0,CustomerHierarchyLevels[[#This Row],[Customer]],CustomerHierarchyLevels[[#This Row],[HgLvCust.]])</f>
        <v>2102</v>
      </c>
      <c r="R8" s="30">
        <f>IF(VLOOKUP(CustomerHierarchyLevels[[#This Row],[Level1]],CustomerHierarchyLevels[],7,FALSE)=0,CustomerHierarchyLevels[[#This Row],[Level1]],VLOOKUP(CustomerHierarchyLevels[[#This Row],[Level1]],CustomerHierarchyLevels[],7,FALSE))</f>
        <v>2101</v>
      </c>
      <c r="S8" s="30">
        <f>IF(VLOOKUP(CustomerHierarchyLevels[[#This Row],[Level2]],CustomerHierarchyLevels[],7,FALSE)=0,CustomerHierarchyLevels[[#This Row],[Level2]],VLOOKUP(CustomerHierarchyLevels[[#This Row],[Level2]],CustomerHierarchyLevels[],7,FALSE))</f>
        <v>2101</v>
      </c>
    </row>
    <row r="9" spans="1:19" x14ac:dyDescent="0.25">
      <c r="A9">
        <v>2109</v>
      </c>
      <c r="B9" t="s">
        <v>13</v>
      </c>
      <c r="C9" t="s">
        <v>95</v>
      </c>
      <c r="D9">
        <v>0</v>
      </c>
      <c r="E9">
        <v>38170</v>
      </c>
      <c r="F9">
        <v>2958465</v>
      </c>
      <c r="K9">
        <v>0</v>
      </c>
      <c r="L9" t="s">
        <v>1200</v>
      </c>
      <c r="M9" t="s">
        <v>1200</v>
      </c>
      <c r="N9">
        <v>1</v>
      </c>
      <c r="O9" t="s">
        <v>96</v>
      </c>
      <c r="P9" t="s">
        <v>1201</v>
      </c>
      <c r="Q9" s="30">
        <f>IF(CustomerHierarchyLevels[[#This Row],[HgLvCust.]]=0,CustomerHierarchyLevels[[#This Row],[Customer]],CustomerHierarchyLevels[[#This Row],[HgLvCust.]])</f>
        <v>2109</v>
      </c>
      <c r="R9" s="30">
        <f>IF(VLOOKUP(CustomerHierarchyLevels[[#This Row],[Level1]],CustomerHierarchyLevels[],7,FALSE)=0,CustomerHierarchyLevels[[#This Row],[Level1]],VLOOKUP(CustomerHierarchyLevels[[#This Row],[Level1]],CustomerHierarchyLevels[],7,FALSE))</f>
        <v>2109</v>
      </c>
      <c r="S9" s="30">
        <f>IF(VLOOKUP(CustomerHierarchyLevels[[#This Row],[Level2]],CustomerHierarchyLevels[],7,FALSE)=0,CustomerHierarchyLevels[[#This Row],[Level2]],VLOOKUP(CustomerHierarchyLevels[[#This Row],[Level2]],CustomerHierarchyLevels[],7,FALSE))</f>
        <v>2109</v>
      </c>
    </row>
    <row r="10" spans="1:19" x14ac:dyDescent="0.25">
      <c r="A10">
        <v>2111</v>
      </c>
      <c r="B10" t="s">
        <v>13</v>
      </c>
      <c r="C10" t="s">
        <v>95</v>
      </c>
      <c r="D10">
        <v>0</v>
      </c>
      <c r="E10">
        <v>38170</v>
      </c>
      <c r="F10">
        <v>2958465</v>
      </c>
      <c r="G10">
        <v>2110</v>
      </c>
      <c r="H10" t="s">
        <v>13</v>
      </c>
      <c r="I10" t="s">
        <v>95</v>
      </c>
      <c r="J10">
        <v>0</v>
      </c>
      <c r="K10">
        <v>0</v>
      </c>
      <c r="N10">
        <v>3</v>
      </c>
      <c r="O10" t="s">
        <v>96</v>
      </c>
      <c r="P10" t="s">
        <v>1202</v>
      </c>
      <c r="Q10" s="30">
        <f>IF(CustomerHierarchyLevels[[#This Row],[HgLvCust.]]=0,CustomerHierarchyLevels[[#This Row],[Customer]],CustomerHierarchyLevels[[#This Row],[HgLvCust.]])</f>
        <v>2110</v>
      </c>
      <c r="R10" s="30">
        <f>IF(VLOOKUP(CustomerHierarchyLevels[[#This Row],[Level1]],CustomerHierarchyLevels[],7,FALSE)=0,CustomerHierarchyLevels[[#This Row],[Level1]],VLOOKUP(CustomerHierarchyLevels[[#This Row],[Level1]],CustomerHierarchyLevels[],7,FALSE))</f>
        <v>2109</v>
      </c>
      <c r="S10" s="30">
        <f>IF(VLOOKUP(CustomerHierarchyLevels[[#This Row],[Level2]],CustomerHierarchyLevels[],7,FALSE)=0,CustomerHierarchyLevels[[#This Row],[Level2]],VLOOKUP(CustomerHierarchyLevels[[#This Row],[Level2]],CustomerHierarchyLevels[],7,FALSE))</f>
        <v>2109</v>
      </c>
    </row>
    <row r="11" spans="1:19" x14ac:dyDescent="0.25">
      <c r="A11">
        <v>2112</v>
      </c>
      <c r="B11" t="s">
        <v>13</v>
      </c>
      <c r="C11" t="s">
        <v>95</v>
      </c>
      <c r="D11">
        <v>0</v>
      </c>
      <c r="E11">
        <v>38170</v>
      </c>
      <c r="F11">
        <v>2958465</v>
      </c>
      <c r="G11">
        <v>2110</v>
      </c>
      <c r="H11" t="s">
        <v>13</v>
      </c>
      <c r="I11" t="s">
        <v>95</v>
      </c>
      <c r="J11">
        <v>0</v>
      </c>
      <c r="K11">
        <v>0</v>
      </c>
      <c r="N11">
        <v>3</v>
      </c>
      <c r="O11" t="s">
        <v>96</v>
      </c>
      <c r="P11" t="s">
        <v>1203</v>
      </c>
      <c r="Q11" s="30">
        <f>IF(CustomerHierarchyLevels[[#This Row],[HgLvCust.]]=0,CustomerHierarchyLevels[[#This Row],[Customer]],CustomerHierarchyLevels[[#This Row],[HgLvCust.]])</f>
        <v>2110</v>
      </c>
      <c r="R11" s="30">
        <f>IF(VLOOKUP(CustomerHierarchyLevels[[#This Row],[Level1]],CustomerHierarchyLevels[],7,FALSE)=0,CustomerHierarchyLevels[[#This Row],[Level1]],VLOOKUP(CustomerHierarchyLevels[[#This Row],[Level1]],CustomerHierarchyLevels[],7,FALSE))</f>
        <v>2109</v>
      </c>
      <c r="S11" s="30">
        <f>IF(VLOOKUP(CustomerHierarchyLevels[[#This Row],[Level2]],CustomerHierarchyLevels[],7,FALSE)=0,CustomerHierarchyLevels[[#This Row],[Level2]],VLOOKUP(CustomerHierarchyLevels[[#This Row],[Level2]],CustomerHierarchyLevels[],7,FALSE))</f>
        <v>2109</v>
      </c>
    </row>
    <row r="12" spans="1:19" x14ac:dyDescent="0.25">
      <c r="A12">
        <v>2113</v>
      </c>
      <c r="B12" t="s">
        <v>13</v>
      </c>
      <c r="C12" t="s">
        <v>95</v>
      </c>
      <c r="D12">
        <v>0</v>
      </c>
      <c r="E12">
        <v>38170</v>
      </c>
      <c r="F12">
        <v>2958465</v>
      </c>
      <c r="G12">
        <v>2110</v>
      </c>
      <c r="H12" t="s">
        <v>13</v>
      </c>
      <c r="I12" t="s">
        <v>95</v>
      </c>
      <c r="J12">
        <v>0</v>
      </c>
      <c r="K12">
        <v>0</v>
      </c>
      <c r="N12">
        <v>3</v>
      </c>
      <c r="O12" t="s">
        <v>96</v>
      </c>
      <c r="P12" t="s">
        <v>1204</v>
      </c>
      <c r="Q12" s="30">
        <f>IF(CustomerHierarchyLevels[[#This Row],[HgLvCust.]]=0,CustomerHierarchyLevels[[#This Row],[Customer]],CustomerHierarchyLevels[[#This Row],[HgLvCust.]])</f>
        <v>2110</v>
      </c>
      <c r="R12" s="30">
        <f>IF(VLOOKUP(CustomerHierarchyLevels[[#This Row],[Level1]],CustomerHierarchyLevels[],7,FALSE)=0,CustomerHierarchyLevels[[#This Row],[Level1]],VLOOKUP(CustomerHierarchyLevels[[#This Row],[Level1]],CustomerHierarchyLevels[],7,FALSE))</f>
        <v>2109</v>
      </c>
      <c r="S12" s="30">
        <f>IF(VLOOKUP(CustomerHierarchyLevels[[#This Row],[Level2]],CustomerHierarchyLevels[],7,FALSE)=0,CustomerHierarchyLevels[[#This Row],[Level2]],VLOOKUP(CustomerHierarchyLevels[[#This Row],[Level2]],CustomerHierarchyLevels[],7,FALSE))</f>
        <v>2109</v>
      </c>
    </row>
    <row r="13" spans="1:19" x14ac:dyDescent="0.25">
      <c r="A13">
        <v>2114</v>
      </c>
      <c r="B13" t="s">
        <v>13</v>
      </c>
      <c r="C13" t="s">
        <v>95</v>
      </c>
      <c r="D13">
        <v>0</v>
      </c>
      <c r="E13">
        <v>38170</v>
      </c>
      <c r="F13">
        <v>2958465</v>
      </c>
      <c r="G13">
        <v>2110</v>
      </c>
      <c r="H13" t="s">
        <v>13</v>
      </c>
      <c r="I13" t="s">
        <v>95</v>
      </c>
      <c r="J13">
        <v>0</v>
      </c>
      <c r="K13">
        <v>0</v>
      </c>
      <c r="N13">
        <v>3</v>
      </c>
      <c r="O13" t="s">
        <v>96</v>
      </c>
      <c r="P13" t="s">
        <v>1205</v>
      </c>
      <c r="Q13" s="30">
        <f>IF(CustomerHierarchyLevels[[#This Row],[HgLvCust.]]=0,CustomerHierarchyLevels[[#This Row],[Customer]],CustomerHierarchyLevels[[#This Row],[HgLvCust.]])</f>
        <v>2110</v>
      </c>
      <c r="R13" s="30">
        <f>IF(VLOOKUP(CustomerHierarchyLevels[[#This Row],[Level1]],CustomerHierarchyLevels[],7,FALSE)=0,CustomerHierarchyLevels[[#This Row],[Level1]],VLOOKUP(CustomerHierarchyLevels[[#This Row],[Level1]],CustomerHierarchyLevels[],7,FALSE))</f>
        <v>2109</v>
      </c>
      <c r="S13" s="30">
        <f>IF(VLOOKUP(CustomerHierarchyLevels[[#This Row],[Level2]],CustomerHierarchyLevels[],7,FALSE)=0,CustomerHierarchyLevels[[#This Row],[Level2]],VLOOKUP(CustomerHierarchyLevels[[#This Row],[Level2]],CustomerHierarchyLevels[],7,FALSE))</f>
        <v>2109</v>
      </c>
    </row>
    <row r="14" spans="1:19" x14ac:dyDescent="0.25">
      <c r="A14">
        <v>2115</v>
      </c>
      <c r="B14" t="s">
        <v>13</v>
      </c>
      <c r="C14" t="s">
        <v>95</v>
      </c>
      <c r="D14">
        <v>0</v>
      </c>
      <c r="E14">
        <v>38170</v>
      </c>
      <c r="F14">
        <v>2958465</v>
      </c>
      <c r="G14">
        <v>2110</v>
      </c>
      <c r="H14" t="s">
        <v>13</v>
      </c>
      <c r="I14" t="s">
        <v>95</v>
      </c>
      <c r="J14">
        <v>0</v>
      </c>
      <c r="K14">
        <v>0</v>
      </c>
      <c r="N14">
        <v>3</v>
      </c>
      <c r="O14" t="s">
        <v>96</v>
      </c>
      <c r="P14" t="s">
        <v>1206</v>
      </c>
      <c r="Q14" s="30">
        <f>IF(CustomerHierarchyLevels[[#This Row],[HgLvCust.]]=0,CustomerHierarchyLevels[[#This Row],[Customer]],CustomerHierarchyLevels[[#This Row],[HgLvCust.]])</f>
        <v>2110</v>
      </c>
      <c r="R14" s="30">
        <f>IF(VLOOKUP(CustomerHierarchyLevels[[#This Row],[Level1]],CustomerHierarchyLevels[],7,FALSE)=0,CustomerHierarchyLevels[[#This Row],[Level1]],VLOOKUP(CustomerHierarchyLevels[[#This Row],[Level1]],CustomerHierarchyLevels[],7,FALSE))</f>
        <v>2109</v>
      </c>
      <c r="S14" s="30">
        <f>IF(VLOOKUP(CustomerHierarchyLevels[[#This Row],[Level2]],CustomerHierarchyLevels[],7,FALSE)=0,CustomerHierarchyLevels[[#This Row],[Level2]],VLOOKUP(CustomerHierarchyLevels[[#This Row],[Level2]],CustomerHierarchyLevels[],7,FALSE))</f>
        <v>2109</v>
      </c>
    </row>
    <row r="15" spans="1:19" x14ac:dyDescent="0.25">
      <c r="A15">
        <v>2116</v>
      </c>
      <c r="B15" t="s">
        <v>13</v>
      </c>
      <c r="C15" t="s">
        <v>95</v>
      </c>
      <c r="D15">
        <v>0</v>
      </c>
      <c r="E15">
        <v>38170</v>
      </c>
      <c r="F15">
        <v>2958465</v>
      </c>
      <c r="G15">
        <v>2110</v>
      </c>
      <c r="H15" t="s">
        <v>13</v>
      </c>
      <c r="I15" t="s">
        <v>95</v>
      </c>
      <c r="J15">
        <v>0</v>
      </c>
      <c r="K15">
        <v>0</v>
      </c>
      <c r="N15">
        <v>3</v>
      </c>
      <c r="O15" t="s">
        <v>96</v>
      </c>
      <c r="P15" t="s">
        <v>1207</v>
      </c>
      <c r="Q15" s="30">
        <f>IF(CustomerHierarchyLevels[[#This Row],[HgLvCust.]]=0,CustomerHierarchyLevels[[#This Row],[Customer]],CustomerHierarchyLevels[[#This Row],[HgLvCust.]])</f>
        <v>2110</v>
      </c>
      <c r="R15" s="30">
        <f>IF(VLOOKUP(CustomerHierarchyLevels[[#This Row],[Level1]],CustomerHierarchyLevels[],7,FALSE)=0,CustomerHierarchyLevels[[#This Row],[Level1]],VLOOKUP(CustomerHierarchyLevels[[#This Row],[Level1]],CustomerHierarchyLevels[],7,FALSE))</f>
        <v>2109</v>
      </c>
      <c r="S15" s="30">
        <f>IF(VLOOKUP(CustomerHierarchyLevels[[#This Row],[Level2]],CustomerHierarchyLevels[],7,FALSE)=0,CustomerHierarchyLevels[[#This Row],[Level2]],VLOOKUP(CustomerHierarchyLevels[[#This Row],[Level2]],CustomerHierarchyLevels[],7,FALSE))</f>
        <v>2109</v>
      </c>
    </row>
    <row r="16" spans="1:19" x14ac:dyDescent="0.25">
      <c r="A16">
        <v>2117</v>
      </c>
      <c r="B16" t="s">
        <v>13</v>
      </c>
      <c r="C16" t="s">
        <v>95</v>
      </c>
      <c r="D16">
        <v>0</v>
      </c>
      <c r="E16">
        <v>38170</v>
      </c>
      <c r="F16">
        <v>2958465</v>
      </c>
      <c r="G16">
        <v>2110</v>
      </c>
      <c r="H16" t="s">
        <v>13</v>
      </c>
      <c r="I16" t="s">
        <v>95</v>
      </c>
      <c r="J16">
        <v>0</v>
      </c>
      <c r="K16">
        <v>0</v>
      </c>
      <c r="N16">
        <v>3</v>
      </c>
      <c r="O16" t="s">
        <v>96</v>
      </c>
      <c r="P16" t="s">
        <v>1208</v>
      </c>
      <c r="Q16" s="30">
        <f>IF(CustomerHierarchyLevels[[#This Row],[HgLvCust.]]=0,CustomerHierarchyLevels[[#This Row],[Customer]],CustomerHierarchyLevels[[#This Row],[HgLvCust.]])</f>
        <v>2110</v>
      </c>
      <c r="R16" s="30">
        <f>IF(VLOOKUP(CustomerHierarchyLevels[[#This Row],[Level1]],CustomerHierarchyLevels[],7,FALSE)=0,CustomerHierarchyLevels[[#This Row],[Level1]],VLOOKUP(CustomerHierarchyLevels[[#This Row],[Level1]],CustomerHierarchyLevels[],7,FALSE))</f>
        <v>2109</v>
      </c>
      <c r="S16" s="30">
        <f>IF(VLOOKUP(CustomerHierarchyLevels[[#This Row],[Level2]],CustomerHierarchyLevels[],7,FALSE)=0,CustomerHierarchyLevels[[#This Row],[Level2]],VLOOKUP(CustomerHierarchyLevels[[#This Row],[Level2]],CustomerHierarchyLevels[],7,FALSE))</f>
        <v>2109</v>
      </c>
    </row>
    <row r="17" spans="1:19" x14ac:dyDescent="0.25">
      <c r="A17">
        <v>2118</v>
      </c>
      <c r="B17" t="s">
        <v>13</v>
      </c>
      <c r="C17" t="s">
        <v>95</v>
      </c>
      <c r="D17">
        <v>0</v>
      </c>
      <c r="E17">
        <v>38170</v>
      </c>
      <c r="F17">
        <v>2958465</v>
      </c>
      <c r="G17">
        <v>2110</v>
      </c>
      <c r="H17" t="s">
        <v>13</v>
      </c>
      <c r="I17" t="s">
        <v>95</v>
      </c>
      <c r="J17">
        <v>0</v>
      </c>
      <c r="K17">
        <v>0</v>
      </c>
      <c r="N17">
        <v>3</v>
      </c>
      <c r="O17" t="s">
        <v>96</v>
      </c>
      <c r="P17" t="s">
        <v>1209</v>
      </c>
      <c r="Q17" s="30">
        <f>IF(CustomerHierarchyLevels[[#This Row],[HgLvCust.]]=0,CustomerHierarchyLevels[[#This Row],[Customer]],CustomerHierarchyLevels[[#This Row],[HgLvCust.]])</f>
        <v>2110</v>
      </c>
      <c r="R17" s="30">
        <f>IF(VLOOKUP(CustomerHierarchyLevels[[#This Row],[Level1]],CustomerHierarchyLevels[],7,FALSE)=0,CustomerHierarchyLevels[[#This Row],[Level1]],VLOOKUP(CustomerHierarchyLevels[[#This Row],[Level1]],CustomerHierarchyLevels[],7,FALSE))</f>
        <v>2109</v>
      </c>
      <c r="S17" s="30">
        <f>IF(VLOOKUP(CustomerHierarchyLevels[[#This Row],[Level2]],CustomerHierarchyLevels[],7,FALSE)=0,CustomerHierarchyLevels[[#This Row],[Level2]],VLOOKUP(CustomerHierarchyLevels[[#This Row],[Level2]],CustomerHierarchyLevels[],7,FALSE))</f>
        <v>2109</v>
      </c>
    </row>
    <row r="18" spans="1:19" x14ac:dyDescent="0.25">
      <c r="A18">
        <v>2119</v>
      </c>
      <c r="B18" t="s">
        <v>13</v>
      </c>
      <c r="C18" t="s">
        <v>95</v>
      </c>
      <c r="D18">
        <v>0</v>
      </c>
      <c r="E18">
        <v>38170</v>
      </c>
      <c r="F18">
        <v>2958465</v>
      </c>
      <c r="G18">
        <v>2110</v>
      </c>
      <c r="H18" t="s">
        <v>13</v>
      </c>
      <c r="I18" t="s">
        <v>95</v>
      </c>
      <c r="J18">
        <v>0</v>
      </c>
      <c r="K18">
        <v>0</v>
      </c>
      <c r="N18">
        <v>3</v>
      </c>
      <c r="O18" t="s">
        <v>96</v>
      </c>
      <c r="P18" t="s">
        <v>1210</v>
      </c>
      <c r="Q18" s="30">
        <f>IF(CustomerHierarchyLevels[[#This Row],[HgLvCust.]]=0,CustomerHierarchyLevels[[#This Row],[Customer]],CustomerHierarchyLevels[[#This Row],[HgLvCust.]])</f>
        <v>2110</v>
      </c>
      <c r="R18" s="30">
        <f>IF(VLOOKUP(CustomerHierarchyLevels[[#This Row],[Level1]],CustomerHierarchyLevels[],7,FALSE)=0,CustomerHierarchyLevels[[#This Row],[Level1]],VLOOKUP(CustomerHierarchyLevels[[#This Row],[Level1]],CustomerHierarchyLevels[],7,FALSE))</f>
        <v>2109</v>
      </c>
      <c r="S18" s="30">
        <f>IF(VLOOKUP(CustomerHierarchyLevels[[#This Row],[Level2]],CustomerHierarchyLevels[],7,FALSE)=0,CustomerHierarchyLevels[[#This Row],[Level2]],VLOOKUP(CustomerHierarchyLevels[[#This Row],[Level2]],CustomerHierarchyLevels[],7,FALSE))</f>
        <v>2109</v>
      </c>
    </row>
    <row r="19" spans="1:19" x14ac:dyDescent="0.25">
      <c r="A19">
        <v>2120</v>
      </c>
      <c r="B19" t="s">
        <v>13</v>
      </c>
      <c r="C19" t="s">
        <v>95</v>
      </c>
      <c r="D19">
        <v>0</v>
      </c>
      <c r="E19">
        <v>38170</v>
      </c>
      <c r="F19">
        <v>2958465</v>
      </c>
      <c r="G19">
        <v>2110</v>
      </c>
      <c r="H19" t="s">
        <v>13</v>
      </c>
      <c r="I19" t="s">
        <v>95</v>
      </c>
      <c r="J19">
        <v>0</v>
      </c>
      <c r="K19">
        <v>0</v>
      </c>
      <c r="N19">
        <v>3</v>
      </c>
      <c r="O19" t="s">
        <v>96</v>
      </c>
      <c r="P19" t="s">
        <v>1211</v>
      </c>
      <c r="Q19" s="30">
        <f>IF(CustomerHierarchyLevels[[#This Row],[HgLvCust.]]=0,CustomerHierarchyLevels[[#This Row],[Customer]],CustomerHierarchyLevels[[#This Row],[HgLvCust.]])</f>
        <v>2110</v>
      </c>
      <c r="R19" s="30">
        <f>IF(VLOOKUP(CustomerHierarchyLevels[[#This Row],[Level1]],CustomerHierarchyLevels[],7,FALSE)=0,CustomerHierarchyLevels[[#This Row],[Level1]],VLOOKUP(CustomerHierarchyLevels[[#This Row],[Level1]],CustomerHierarchyLevels[],7,FALSE))</f>
        <v>2109</v>
      </c>
      <c r="S19" s="30">
        <f>IF(VLOOKUP(CustomerHierarchyLevels[[#This Row],[Level2]],CustomerHierarchyLevels[],7,FALSE)=0,CustomerHierarchyLevels[[#This Row],[Level2]],VLOOKUP(CustomerHierarchyLevels[[#This Row],[Level2]],CustomerHierarchyLevels[],7,FALSE))</f>
        <v>2109</v>
      </c>
    </row>
    <row r="20" spans="1:19" x14ac:dyDescent="0.25">
      <c r="A20">
        <v>2121</v>
      </c>
      <c r="B20" t="s">
        <v>13</v>
      </c>
      <c r="C20" t="s">
        <v>95</v>
      </c>
      <c r="D20">
        <v>0</v>
      </c>
      <c r="E20">
        <v>38170</v>
      </c>
      <c r="F20">
        <v>2958465</v>
      </c>
      <c r="G20">
        <v>2110</v>
      </c>
      <c r="H20" t="s">
        <v>13</v>
      </c>
      <c r="I20" t="s">
        <v>95</v>
      </c>
      <c r="J20">
        <v>0</v>
      </c>
      <c r="K20">
        <v>0</v>
      </c>
      <c r="N20">
        <v>3</v>
      </c>
      <c r="O20" t="s">
        <v>96</v>
      </c>
      <c r="P20" t="s">
        <v>1212</v>
      </c>
      <c r="Q20" s="30">
        <f>IF(CustomerHierarchyLevels[[#This Row],[HgLvCust.]]=0,CustomerHierarchyLevels[[#This Row],[Customer]],CustomerHierarchyLevels[[#This Row],[HgLvCust.]])</f>
        <v>2110</v>
      </c>
      <c r="R20" s="30">
        <f>IF(VLOOKUP(CustomerHierarchyLevels[[#This Row],[Level1]],CustomerHierarchyLevels[],7,FALSE)=0,CustomerHierarchyLevels[[#This Row],[Level1]],VLOOKUP(CustomerHierarchyLevels[[#This Row],[Level1]],CustomerHierarchyLevels[],7,FALSE))</f>
        <v>2109</v>
      </c>
      <c r="S20" s="30">
        <f>IF(VLOOKUP(CustomerHierarchyLevels[[#This Row],[Level2]],CustomerHierarchyLevels[],7,FALSE)=0,CustomerHierarchyLevels[[#This Row],[Level2]],VLOOKUP(CustomerHierarchyLevels[[#This Row],[Level2]],CustomerHierarchyLevels[],7,FALSE))</f>
        <v>2109</v>
      </c>
    </row>
    <row r="21" spans="1:19" x14ac:dyDescent="0.25">
      <c r="A21">
        <v>2122</v>
      </c>
      <c r="B21" t="s">
        <v>13</v>
      </c>
      <c r="C21" t="s">
        <v>95</v>
      </c>
      <c r="D21">
        <v>0</v>
      </c>
      <c r="E21">
        <v>38170</v>
      </c>
      <c r="F21">
        <v>2958465</v>
      </c>
      <c r="G21">
        <v>2110</v>
      </c>
      <c r="H21" t="s">
        <v>13</v>
      </c>
      <c r="I21" t="s">
        <v>95</v>
      </c>
      <c r="J21">
        <v>0</v>
      </c>
      <c r="K21">
        <v>0</v>
      </c>
      <c r="N21">
        <v>3</v>
      </c>
      <c r="O21" t="s">
        <v>96</v>
      </c>
      <c r="P21" t="s">
        <v>1213</v>
      </c>
      <c r="Q21" s="30">
        <f>IF(CustomerHierarchyLevels[[#This Row],[HgLvCust.]]=0,CustomerHierarchyLevels[[#This Row],[Customer]],CustomerHierarchyLevels[[#This Row],[HgLvCust.]])</f>
        <v>2110</v>
      </c>
      <c r="R21" s="30">
        <f>IF(VLOOKUP(CustomerHierarchyLevels[[#This Row],[Level1]],CustomerHierarchyLevels[],7,FALSE)=0,CustomerHierarchyLevels[[#This Row],[Level1]],VLOOKUP(CustomerHierarchyLevels[[#This Row],[Level1]],CustomerHierarchyLevels[],7,FALSE))</f>
        <v>2109</v>
      </c>
      <c r="S21" s="30">
        <f>IF(VLOOKUP(CustomerHierarchyLevels[[#This Row],[Level2]],CustomerHierarchyLevels[],7,FALSE)=0,CustomerHierarchyLevels[[#This Row],[Level2]],VLOOKUP(CustomerHierarchyLevels[[#This Row],[Level2]],CustomerHierarchyLevels[],7,FALSE))</f>
        <v>2109</v>
      </c>
    </row>
    <row r="22" spans="1:19" x14ac:dyDescent="0.25">
      <c r="A22">
        <v>2123</v>
      </c>
      <c r="B22" t="s">
        <v>13</v>
      </c>
      <c r="C22" t="s">
        <v>95</v>
      </c>
      <c r="D22">
        <v>0</v>
      </c>
      <c r="E22">
        <v>38170</v>
      </c>
      <c r="F22">
        <v>2958465</v>
      </c>
      <c r="G22">
        <v>2110</v>
      </c>
      <c r="H22" t="s">
        <v>13</v>
      </c>
      <c r="I22" t="s">
        <v>95</v>
      </c>
      <c r="J22">
        <v>0</v>
      </c>
      <c r="K22">
        <v>0</v>
      </c>
      <c r="N22">
        <v>3</v>
      </c>
      <c r="O22" t="s">
        <v>96</v>
      </c>
      <c r="P22" t="s">
        <v>1214</v>
      </c>
      <c r="Q22" s="30">
        <f>IF(CustomerHierarchyLevels[[#This Row],[HgLvCust.]]=0,CustomerHierarchyLevels[[#This Row],[Customer]],CustomerHierarchyLevels[[#This Row],[HgLvCust.]])</f>
        <v>2110</v>
      </c>
      <c r="R22" s="30">
        <f>IF(VLOOKUP(CustomerHierarchyLevels[[#This Row],[Level1]],CustomerHierarchyLevels[],7,FALSE)=0,CustomerHierarchyLevels[[#This Row],[Level1]],VLOOKUP(CustomerHierarchyLevels[[#This Row],[Level1]],CustomerHierarchyLevels[],7,FALSE))</f>
        <v>2109</v>
      </c>
      <c r="S22" s="30">
        <f>IF(VLOOKUP(CustomerHierarchyLevels[[#This Row],[Level2]],CustomerHierarchyLevels[],7,FALSE)=0,CustomerHierarchyLevels[[#This Row],[Level2]],VLOOKUP(CustomerHierarchyLevels[[#This Row],[Level2]],CustomerHierarchyLevels[],7,FALSE))</f>
        <v>2109</v>
      </c>
    </row>
    <row r="23" spans="1:19" x14ac:dyDescent="0.25">
      <c r="A23">
        <v>2124</v>
      </c>
      <c r="B23" t="s">
        <v>13</v>
      </c>
      <c r="C23" t="s">
        <v>95</v>
      </c>
      <c r="D23">
        <v>0</v>
      </c>
      <c r="E23">
        <v>38170</v>
      </c>
      <c r="F23">
        <v>2958465</v>
      </c>
      <c r="G23">
        <v>2110</v>
      </c>
      <c r="H23" t="s">
        <v>13</v>
      </c>
      <c r="I23" t="s">
        <v>95</v>
      </c>
      <c r="J23">
        <v>0</v>
      </c>
      <c r="K23">
        <v>0</v>
      </c>
      <c r="N23">
        <v>3</v>
      </c>
      <c r="O23" t="s">
        <v>96</v>
      </c>
      <c r="P23" t="s">
        <v>1215</v>
      </c>
      <c r="Q23" s="30">
        <f>IF(CustomerHierarchyLevels[[#This Row],[HgLvCust.]]=0,CustomerHierarchyLevels[[#This Row],[Customer]],CustomerHierarchyLevels[[#This Row],[HgLvCust.]])</f>
        <v>2110</v>
      </c>
      <c r="R23" s="30">
        <f>IF(VLOOKUP(CustomerHierarchyLevels[[#This Row],[Level1]],CustomerHierarchyLevels[],7,FALSE)=0,CustomerHierarchyLevels[[#This Row],[Level1]],VLOOKUP(CustomerHierarchyLevels[[#This Row],[Level1]],CustomerHierarchyLevels[],7,FALSE))</f>
        <v>2109</v>
      </c>
      <c r="S23" s="30">
        <f>IF(VLOOKUP(CustomerHierarchyLevels[[#This Row],[Level2]],CustomerHierarchyLevels[],7,FALSE)=0,CustomerHierarchyLevels[[#This Row],[Level2]],VLOOKUP(CustomerHierarchyLevels[[#This Row],[Level2]],CustomerHierarchyLevels[],7,FALSE))</f>
        <v>2109</v>
      </c>
    </row>
    <row r="24" spans="1:19" x14ac:dyDescent="0.25">
      <c r="A24">
        <v>2125</v>
      </c>
      <c r="B24" t="s">
        <v>13</v>
      </c>
      <c r="C24" t="s">
        <v>95</v>
      </c>
      <c r="D24">
        <v>0</v>
      </c>
      <c r="E24">
        <v>38170</v>
      </c>
      <c r="F24">
        <v>2958465</v>
      </c>
      <c r="K24">
        <v>0</v>
      </c>
      <c r="N24">
        <v>1</v>
      </c>
      <c r="O24" t="s">
        <v>96</v>
      </c>
      <c r="P24" t="s">
        <v>1216</v>
      </c>
      <c r="Q24" s="30">
        <f>IF(CustomerHierarchyLevels[[#This Row],[HgLvCust.]]=0,CustomerHierarchyLevels[[#This Row],[Customer]],CustomerHierarchyLevels[[#This Row],[HgLvCust.]])</f>
        <v>2125</v>
      </c>
      <c r="R24" s="30">
        <f>IF(VLOOKUP(CustomerHierarchyLevels[[#This Row],[Level1]],CustomerHierarchyLevels[],7,FALSE)=0,CustomerHierarchyLevels[[#This Row],[Level1]],VLOOKUP(CustomerHierarchyLevels[[#This Row],[Level1]],CustomerHierarchyLevels[],7,FALSE))</f>
        <v>2125</v>
      </c>
      <c r="S24" s="30">
        <f>IF(VLOOKUP(CustomerHierarchyLevels[[#This Row],[Level2]],CustomerHierarchyLevels[],7,FALSE)=0,CustomerHierarchyLevels[[#This Row],[Level2]],VLOOKUP(CustomerHierarchyLevels[[#This Row],[Level2]],CustomerHierarchyLevels[],7,FALSE))</f>
        <v>2125</v>
      </c>
    </row>
    <row r="25" spans="1:19" x14ac:dyDescent="0.25">
      <c r="A25">
        <v>2127</v>
      </c>
      <c r="B25" t="s">
        <v>13</v>
      </c>
      <c r="C25" t="s">
        <v>95</v>
      </c>
      <c r="D25">
        <v>0</v>
      </c>
      <c r="E25">
        <v>38170</v>
      </c>
      <c r="F25">
        <v>2958465</v>
      </c>
      <c r="G25">
        <v>2126</v>
      </c>
      <c r="H25" t="s">
        <v>13</v>
      </c>
      <c r="I25" t="s">
        <v>95</v>
      </c>
      <c r="J25">
        <v>0</v>
      </c>
      <c r="K25">
        <v>0</v>
      </c>
      <c r="N25">
        <v>3</v>
      </c>
      <c r="O25" t="s">
        <v>96</v>
      </c>
      <c r="P25" t="s">
        <v>1217</v>
      </c>
      <c r="Q25" s="30">
        <f>IF(CustomerHierarchyLevels[[#This Row],[HgLvCust.]]=0,CustomerHierarchyLevels[[#This Row],[Customer]],CustomerHierarchyLevels[[#This Row],[HgLvCust.]])</f>
        <v>2126</v>
      </c>
      <c r="R25" s="30">
        <f>IF(VLOOKUP(CustomerHierarchyLevels[[#This Row],[Level1]],CustomerHierarchyLevels[],7,FALSE)=0,CustomerHierarchyLevels[[#This Row],[Level1]],VLOOKUP(CustomerHierarchyLevels[[#This Row],[Level1]],CustomerHierarchyLevels[],7,FALSE))</f>
        <v>2125</v>
      </c>
      <c r="S25" s="30">
        <f>IF(VLOOKUP(CustomerHierarchyLevels[[#This Row],[Level2]],CustomerHierarchyLevels[],7,FALSE)=0,CustomerHierarchyLevels[[#This Row],[Level2]],VLOOKUP(CustomerHierarchyLevels[[#This Row],[Level2]],CustomerHierarchyLevels[],7,FALSE))</f>
        <v>2125</v>
      </c>
    </row>
    <row r="26" spans="1:19" x14ac:dyDescent="0.25">
      <c r="A26">
        <v>2128</v>
      </c>
      <c r="B26" t="s">
        <v>13</v>
      </c>
      <c r="C26" t="s">
        <v>95</v>
      </c>
      <c r="D26">
        <v>0</v>
      </c>
      <c r="E26">
        <v>38170</v>
      </c>
      <c r="F26">
        <v>2958465</v>
      </c>
      <c r="G26">
        <v>2126</v>
      </c>
      <c r="H26" t="s">
        <v>13</v>
      </c>
      <c r="I26" t="s">
        <v>95</v>
      </c>
      <c r="J26">
        <v>0</v>
      </c>
      <c r="K26">
        <v>0</v>
      </c>
      <c r="N26">
        <v>3</v>
      </c>
      <c r="O26" t="s">
        <v>96</v>
      </c>
      <c r="P26" t="s">
        <v>1218</v>
      </c>
      <c r="Q26" s="30">
        <f>IF(CustomerHierarchyLevels[[#This Row],[HgLvCust.]]=0,CustomerHierarchyLevels[[#This Row],[Customer]],CustomerHierarchyLevels[[#This Row],[HgLvCust.]])</f>
        <v>2126</v>
      </c>
      <c r="R26" s="30">
        <f>IF(VLOOKUP(CustomerHierarchyLevels[[#This Row],[Level1]],CustomerHierarchyLevels[],7,FALSE)=0,CustomerHierarchyLevels[[#This Row],[Level1]],VLOOKUP(CustomerHierarchyLevels[[#This Row],[Level1]],CustomerHierarchyLevels[],7,FALSE))</f>
        <v>2125</v>
      </c>
      <c r="S26" s="30">
        <f>IF(VLOOKUP(CustomerHierarchyLevels[[#This Row],[Level2]],CustomerHierarchyLevels[],7,FALSE)=0,CustomerHierarchyLevels[[#This Row],[Level2]],VLOOKUP(CustomerHierarchyLevels[[#This Row],[Level2]],CustomerHierarchyLevels[],7,FALSE))</f>
        <v>2125</v>
      </c>
    </row>
    <row r="27" spans="1:19" x14ac:dyDescent="0.25">
      <c r="A27">
        <v>2129</v>
      </c>
      <c r="B27" t="s">
        <v>13</v>
      </c>
      <c r="C27" t="s">
        <v>95</v>
      </c>
      <c r="D27">
        <v>0</v>
      </c>
      <c r="E27">
        <v>38170</v>
      </c>
      <c r="F27">
        <v>2958465</v>
      </c>
      <c r="G27">
        <v>2126</v>
      </c>
      <c r="H27" t="s">
        <v>13</v>
      </c>
      <c r="I27" t="s">
        <v>95</v>
      </c>
      <c r="J27">
        <v>0</v>
      </c>
      <c r="K27">
        <v>0</v>
      </c>
      <c r="N27">
        <v>3</v>
      </c>
      <c r="O27" t="s">
        <v>96</v>
      </c>
      <c r="P27" t="s">
        <v>1219</v>
      </c>
      <c r="Q27" s="30">
        <f>IF(CustomerHierarchyLevels[[#This Row],[HgLvCust.]]=0,CustomerHierarchyLevels[[#This Row],[Customer]],CustomerHierarchyLevels[[#This Row],[HgLvCust.]])</f>
        <v>2126</v>
      </c>
      <c r="R27" s="30">
        <f>IF(VLOOKUP(CustomerHierarchyLevels[[#This Row],[Level1]],CustomerHierarchyLevels[],7,FALSE)=0,CustomerHierarchyLevels[[#This Row],[Level1]],VLOOKUP(CustomerHierarchyLevels[[#This Row],[Level1]],CustomerHierarchyLevels[],7,FALSE))</f>
        <v>2125</v>
      </c>
      <c r="S27" s="30">
        <f>IF(VLOOKUP(CustomerHierarchyLevels[[#This Row],[Level2]],CustomerHierarchyLevels[],7,FALSE)=0,CustomerHierarchyLevels[[#This Row],[Level2]],VLOOKUP(CustomerHierarchyLevels[[#This Row],[Level2]],CustomerHierarchyLevels[],7,FALSE))</f>
        <v>2125</v>
      </c>
    </row>
    <row r="28" spans="1:19" x14ac:dyDescent="0.25">
      <c r="A28">
        <v>2130</v>
      </c>
      <c r="B28" t="s">
        <v>13</v>
      </c>
      <c r="C28" t="s">
        <v>95</v>
      </c>
      <c r="D28">
        <v>0</v>
      </c>
      <c r="E28">
        <v>38170</v>
      </c>
      <c r="F28">
        <v>2958465</v>
      </c>
      <c r="G28">
        <v>2126</v>
      </c>
      <c r="H28" t="s">
        <v>13</v>
      </c>
      <c r="I28" t="s">
        <v>95</v>
      </c>
      <c r="J28">
        <v>0</v>
      </c>
      <c r="K28">
        <v>0</v>
      </c>
      <c r="N28">
        <v>3</v>
      </c>
      <c r="O28" t="s">
        <v>96</v>
      </c>
      <c r="P28" t="s">
        <v>1220</v>
      </c>
      <c r="Q28" s="30">
        <f>IF(CustomerHierarchyLevels[[#This Row],[HgLvCust.]]=0,CustomerHierarchyLevels[[#This Row],[Customer]],CustomerHierarchyLevels[[#This Row],[HgLvCust.]])</f>
        <v>2126</v>
      </c>
      <c r="R28" s="30">
        <f>IF(VLOOKUP(CustomerHierarchyLevels[[#This Row],[Level1]],CustomerHierarchyLevels[],7,FALSE)=0,CustomerHierarchyLevels[[#This Row],[Level1]],VLOOKUP(CustomerHierarchyLevels[[#This Row],[Level1]],CustomerHierarchyLevels[],7,FALSE))</f>
        <v>2125</v>
      </c>
      <c r="S28" s="30">
        <f>IF(VLOOKUP(CustomerHierarchyLevels[[#This Row],[Level2]],CustomerHierarchyLevels[],7,FALSE)=0,CustomerHierarchyLevels[[#This Row],[Level2]],VLOOKUP(CustomerHierarchyLevels[[#This Row],[Level2]],CustomerHierarchyLevels[],7,FALSE))</f>
        <v>2125</v>
      </c>
    </row>
    <row r="29" spans="1:19" x14ac:dyDescent="0.25">
      <c r="A29">
        <v>2131</v>
      </c>
      <c r="B29" t="s">
        <v>13</v>
      </c>
      <c r="C29" t="s">
        <v>95</v>
      </c>
      <c r="D29">
        <v>0</v>
      </c>
      <c r="E29">
        <v>38170</v>
      </c>
      <c r="F29">
        <v>2958465</v>
      </c>
      <c r="G29">
        <v>2126</v>
      </c>
      <c r="H29" t="s">
        <v>13</v>
      </c>
      <c r="I29" t="s">
        <v>95</v>
      </c>
      <c r="J29">
        <v>0</v>
      </c>
      <c r="K29">
        <v>0</v>
      </c>
      <c r="N29">
        <v>3</v>
      </c>
      <c r="O29" t="s">
        <v>96</v>
      </c>
      <c r="P29" t="s">
        <v>1221</v>
      </c>
      <c r="Q29" s="30">
        <f>IF(CustomerHierarchyLevels[[#This Row],[HgLvCust.]]=0,CustomerHierarchyLevels[[#This Row],[Customer]],CustomerHierarchyLevels[[#This Row],[HgLvCust.]])</f>
        <v>2126</v>
      </c>
      <c r="R29" s="30">
        <f>IF(VLOOKUP(CustomerHierarchyLevels[[#This Row],[Level1]],CustomerHierarchyLevels[],7,FALSE)=0,CustomerHierarchyLevels[[#This Row],[Level1]],VLOOKUP(CustomerHierarchyLevels[[#This Row],[Level1]],CustomerHierarchyLevels[],7,FALSE))</f>
        <v>2125</v>
      </c>
      <c r="S29" s="30">
        <f>IF(VLOOKUP(CustomerHierarchyLevels[[#This Row],[Level2]],CustomerHierarchyLevels[],7,FALSE)=0,CustomerHierarchyLevels[[#This Row],[Level2]],VLOOKUP(CustomerHierarchyLevels[[#This Row],[Level2]],CustomerHierarchyLevels[],7,FALSE))</f>
        <v>2125</v>
      </c>
    </row>
    <row r="30" spans="1:19" x14ac:dyDescent="0.25">
      <c r="A30">
        <v>2132</v>
      </c>
      <c r="B30" t="s">
        <v>13</v>
      </c>
      <c r="C30" t="s">
        <v>95</v>
      </c>
      <c r="D30">
        <v>0</v>
      </c>
      <c r="E30">
        <v>38170</v>
      </c>
      <c r="F30">
        <v>2958465</v>
      </c>
      <c r="G30">
        <v>2126</v>
      </c>
      <c r="H30" t="s">
        <v>13</v>
      </c>
      <c r="I30" t="s">
        <v>95</v>
      </c>
      <c r="J30">
        <v>0</v>
      </c>
      <c r="K30">
        <v>0</v>
      </c>
      <c r="N30">
        <v>3</v>
      </c>
      <c r="O30" t="s">
        <v>96</v>
      </c>
      <c r="P30" t="s">
        <v>1222</v>
      </c>
      <c r="Q30" s="30">
        <f>IF(CustomerHierarchyLevels[[#This Row],[HgLvCust.]]=0,CustomerHierarchyLevels[[#This Row],[Customer]],CustomerHierarchyLevels[[#This Row],[HgLvCust.]])</f>
        <v>2126</v>
      </c>
      <c r="R30" s="30">
        <f>IF(VLOOKUP(CustomerHierarchyLevels[[#This Row],[Level1]],CustomerHierarchyLevels[],7,FALSE)=0,CustomerHierarchyLevels[[#This Row],[Level1]],VLOOKUP(CustomerHierarchyLevels[[#This Row],[Level1]],CustomerHierarchyLevels[],7,FALSE))</f>
        <v>2125</v>
      </c>
      <c r="S30" s="30">
        <f>IF(VLOOKUP(CustomerHierarchyLevels[[#This Row],[Level2]],CustomerHierarchyLevels[],7,FALSE)=0,CustomerHierarchyLevels[[#This Row],[Level2]],VLOOKUP(CustomerHierarchyLevels[[#This Row],[Level2]],CustomerHierarchyLevels[],7,FALSE))</f>
        <v>2125</v>
      </c>
    </row>
    <row r="31" spans="1:19" x14ac:dyDescent="0.25">
      <c r="A31">
        <v>2133</v>
      </c>
      <c r="B31" t="s">
        <v>13</v>
      </c>
      <c r="C31" t="s">
        <v>95</v>
      </c>
      <c r="D31">
        <v>0</v>
      </c>
      <c r="E31">
        <v>38170</v>
      </c>
      <c r="F31">
        <v>2958465</v>
      </c>
      <c r="G31">
        <v>2126</v>
      </c>
      <c r="H31" t="s">
        <v>13</v>
      </c>
      <c r="I31" t="s">
        <v>95</v>
      </c>
      <c r="J31">
        <v>0</v>
      </c>
      <c r="K31">
        <v>0</v>
      </c>
      <c r="N31">
        <v>3</v>
      </c>
      <c r="O31" t="s">
        <v>96</v>
      </c>
      <c r="P31" t="s">
        <v>1223</v>
      </c>
      <c r="Q31" s="30">
        <f>IF(CustomerHierarchyLevels[[#This Row],[HgLvCust.]]=0,CustomerHierarchyLevels[[#This Row],[Customer]],CustomerHierarchyLevels[[#This Row],[HgLvCust.]])</f>
        <v>2126</v>
      </c>
      <c r="R31" s="30">
        <f>IF(VLOOKUP(CustomerHierarchyLevels[[#This Row],[Level1]],CustomerHierarchyLevels[],7,FALSE)=0,CustomerHierarchyLevels[[#This Row],[Level1]],VLOOKUP(CustomerHierarchyLevels[[#This Row],[Level1]],CustomerHierarchyLevels[],7,FALSE))</f>
        <v>2125</v>
      </c>
      <c r="S31" s="30">
        <f>IF(VLOOKUP(CustomerHierarchyLevels[[#This Row],[Level2]],CustomerHierarchyLevels[],7,FALSE)=0,CustomerHierarchyLevels[[#This Row],[Level2]],VLOOKUP(CustomerHierarchyLevels[[#This Row],[Level2]],CustomerHierarchyLevels[],7,FALSE))</f>
        <v>2125</v>
      </c>
    </row>
    <row r="32" spans="1:19" x14ac:dyDescent="0.25">
      <c r="A32">
        <v>2134</v>
      </c>
      <c r="B32" t="s">
        <v>13</v>
      </c>
      <c r="C32" t="s">
        <v>95</v>
      </c>
      <c r="D32">
        <v>0</v>
      </c>
      <c r="E32">
        <v>38170</v>
      </c>
      <c r="F32">
        <v>2958465</v>
      </c>
      <c r="G32">
        <v>2126</v>
      </c>
      <c r="H32" t="s">
        <v>13</v>
      </c>
      <c r="I32" t="s">
        <v>95</v>
      </c>
      <c r="J32">
        <v>0</v>
      </c>
      <c r="K32">
        <v>0</v>
      </c>
      <c r="N32">
        <v>3</v>
      </c>
      <c r="O32" t="s">
        <v>96</v>
      </c>
      <c r="P32" t="s">
        <v>1224</v>
      </c>
      <c r="Q32" s="30">
        <f>IF(CustomerHierarchyLevels[[#This Row],[HgLvCust.]]=0,CustomerHierarchyLevels[[#This Row],[Customer]],CustomerHierarchyLevels[[#This Row],[HgLvCust.]])</f>
        <v>2126</v>
      </c>
      <c r="R32" s="30">
        <f>IF(VLOOKUP(CustomerHierarchyLevels[[#This Row],[Level1]],CustomerHierarchyLevels[],7,FALSE)=0,CustomerHierarchyLevels[[#This Row],[Level1]],VLOOKUP(CustomerHierarchyLevels[[#This Row],[Level1]],CustomerHierarchyLevels[],7,FALSE))</f>
        <v>2125</v>
      </c>
      <c r="S32" s="30">
        <f>IF(VLOOKUP(CustomerHierarchyLevels[[#This Row],[Level2]],CustomerHierarchyLevels[],7,FALSE)=0,CustomerHierarchyLevels[[#This Row],[Level2]],VLOOKUP(CustomerHierarchyLevels[[#This Row],[Level2]],CustomerHierarchyLevels[],7,FALSE))</f>
        <v>2125</v>
      </c>
    </row>
    <row r="33" spans="1:19" x14ac:dyDescent="0.25">
      <c r="A33">
        <v>2135</v>
      </c>
      <c r="B33" t="s">
        <v>13</v>
      </c>
      <c r="C33" t="s">
        <v>95</v>
      </c>
      <c r="D33">
        <v>0</v>
      </c>
      <c r="E33">
        <v>38170</v>
      </c>
      <c r="F33">
        <v>2958465</v>
      </c>
      <c r="G33">
        <v>2126</v>
      </c>
      <c r="H33" t="s">
        <v>13</v>
      </c>
      <c r="I33" t="s">
        <v>95</v>
      </c>
      <c r="J33">
        <v>0</v>
      </c>
      <c r="K33">
        <v>0</v>
      </c>
      <c r="N33">
        <v>3</v>
      </c>
      <c r="O33" t="s">
        <v>96</v>
      </c>
      <c r="P33" t="s">
        <v>1225</v>
      </c>
      <c r="Q33" s="30">
        <f>IF(CustomerHierarchyLevels[[#This Row],[HgLvCust.]]=0,CustomerHierarchyLevels[[#This Row],[Customer]],CustomerHierarchyLevels[[#This Row],[HgLvCust.]])</f>
        <v>2126</v>
      </c>
      <c r="R33" s="30">
        <f>IF(VLOOKUP(CustomerHierarchyLevels[[#This Row],[Level1]],CustomerHierarchyLevels[],7,FALSE)=0,CustomerHierarchyLevels[[#This Row],[Level1]],VLOOKUP(CustomerHierarchyLevels[[#This Row],[Level1]],CustomerHierarchyLevels[],7,FALSE))</f>
        <v>2125</v>
      </c>
      <c r="S33" s="30">
        <f>IF(VLOOKUP(CustomerHierarchyLevels[[#This Row],[Level2]],CustomerHierarchyLevels[],7,FALSE)=0,CustomerHierarchyLevels[[#This Row],[Level2]],VLOOKUP(CustomerHierarchyLevels[[#This Row],[Level2]],CustomerHierarchyLevels[],7,FALSE))</f>
        <v>2125</v>
      </c>
    </row>
    <row r="34" spans="1:19" x14ac:dyDescent="0.25">
      <c r="A34">
        <v>2136</v>
      </c>
      <c r="B34" t="s">
        <v>13</v>
      </c>
      <c r="C34" t="s">
        <v>95</v>
      </c>
      <c r="D34">
        <v>0</v>
      </c>
      <c r="E34">
        <v>38170</v>
      </c>
      <c r="F34">
        <v>2958465</v>
      </c>
      <c r="G34">
        <v>2126</v>
      </c>
      <c r="H34" t="s">
        <v>13</v>
      </c>
      <c r="I34" t="s">
        <v>95</v>
      </c>
      <c r="J34">
        <v>0</v>
      </c>
      <c r="K34">
        <v>0</v>
      </c>
      <c r="N34">
        <v>3</v>
      </c>
      <c r="O34" t="s">
        <v>96</v>
      </c>
      <c r="P34" t="s">
        <v>1226</v>
      </c>
      <c r="Q34" s="30">
        <f>IF(CustomerHierarchyLevels[[#This Row],[HgLvCust.]]=0,CustomerHierarchyLevels[[#This Row],[Customer]],CustomerHierarchyLevels[[#This Row],[HgLvCust.]])</f>
        <v>2126</v>
      </c>
      <c r="R34" s="30">
        <f>IF(VLOOKUP(CustomerHierarchyLevels[[#This Row],[Level1]],CustomerHierarchyLevels[],7,FALSE)=0,CustomerHierarchyLevels[[#This Row],[Level1]],VLOOKUP(CustomerHierarchyLevels[[#This Row],[Level1]],CustomerHierarchyLevels[],7,FALSE))</f>
        <v>2125</v>
      </c>
      <c r="S34" s="30">
        <f>IF(VLOOKUP(CustomerHierarchyLevels[[#This Row],[Level2]],CustomerHierarchyLevels[],7,FALSE)=0,CustomerHierarchyLevels[[#This Row],[Level2]],VLOOKUP(CustomerHierarchyLevels[[#This Row],[Level2]],CustomerHierarchyLevels[],7,FALSE))</f>
        <v>2125</v>
      </c>
    </row>
    <row r="35" spans="1:19" x14ac:dyDescent="0.25">
      <c r="A35">
        <v>2137</v>
      </c>
      <c r="B35" t="s">
        <v>13</v>
      </c>
      <c r="C35" t="s">
        <v>95</v>
      </c>
      <c r="D35">
        <v>0</v>
      </c>
      <c r="E35">
        <v>38170</v>
      </c>
      <c r="F35">
        <v>2958465</v>
      </c>
      <c r="G35">
        <v>2126</v>
      </c>
      <c r="H35" t="s">
        <v>13</v>
      </c>
      <c r="I35" t="s">
        <v>95</v>
      </c>
      <c r="J35">
        <v>0</v>
      </c>
      <c r="K35">
        <v>0</v>
      </c>
      <c r="N35">
        <v>3</v>
      </c>
      <c r="O35" t="s">
        <v>96</v>
      </c>
      <c r="P35" t="s">
        <v>1227</v>
      </c>
      <c r="Q35" s="30">
        <f>IF(CustomerHierarchyLevels[[#This Row],[HgLvCust.]]=0,CustomerHierarchyLevels[[#This Row],[Customer]],CustomerHierarchyLevels[[#This Row],[HgLvCust.]])</f>
        <v>2126</v>
      </c>
      <c r="R35" s="30">
        <f>IF(VLOOKUP(CustomerHierarchyLevels[[#This Row],[Level1]],CustomerHierarchyLevels[],7,FALSE)=0,CustomerHierarchyLevels[[#This Row],[Level1]],VLOOKUP(CustomerHierarchyLevels[[#This Row],[Level1]],CustomerHierarchyLevels[],7,FALSE))</f>
        <v>2125</v>
      </c>
      <c r="S35" s="30">
        <f>IF(VLOOKUP(CustomerHierarchyLevels[[#This Row],[Level2]],CustomerHierarchyLevels[],7,FALSE)=0,CustomerHierarchyLevels[[#This Row],[Level2]],VLOOKUP(CustomerHierarchyLevels[[#This Row],[Level2]],CustomerHierarchyLevels[],7,FALSE))</f>
        <v>2125</v>
      </c>
    </row>
    <row r="36" spans="1:19" x14ac:dyDescent="0.25">
      <c r="A36">
        <v>2138</v>
      </c>
      <c r="B36" t="s">
        <v>13</v>
      </c>
      <c r="C36" t="s">
        <v>95</v>
      </c>
      <c r="D36">
        <v>0</v>
      </c>
      <c r="E36">
        <v>38170</v>
      </c>
      <c r="F36">
        <v>2958465</v>
      </c>
      <c r="G36">
        <v>2126</v>
      </c>
      <c r="H36" t="s">
        <v>13</v>
      </c>
      <c r="I36" t="s">
        <v>95</v>
      </c>
      <c r="J36">
        <v>0</v>
      </c>
      <c r="K36">
        <v>0</v>
      </c>
      <c r="N36">
        <v>3</v>
      </c>
      <c r="O36" t="s">
        <v>96</v>
      </c>
      <c r="P36" t="s">
        <v>1228</v>
      </c>
      <c r="Q36" s="30">
        <f>IF(CustomerHierarchyLevels[[#This Row],[HgLvCust.]]=0,CustomerHierarchyLevels[[#This Row],[Customer]],CustomerHierarchyLevels[[#This Row],[HgLvCust.]])</f>
        <v>2126</v>
      </c>
      <c r="R36" s="30">
        <f>IF(VLOOKUP(CustomerHierarchyLevels[[#This Row],[Level1]],CustomerHierarchyLevels[],7,FALSE)=0,CustomerHierarchyLevels[[#This Row],[Level1]],VLOOKUP(CustomerHierarchyLevels[[#This Row],[Level1]],CustomerHierarchyLevels[],7,FALSE))</f>
        <v>2125</v>
      </c>
      <c r="S36" s="30">
        <f>IF(VLOOKUP(CustomerHierarchyLevels[[#This Row],[Level2]],CustomerHierarchyLevels[],7,FALSE)=0,CustomerHierarchyLevels[[#This Row],[Level2]],VLOOKUP(CustomerHierarchyLevels[[#This Row],[Level2]],CustomerHierarchyLevels[],7,FALSE))</f>
        <v>2125</v>
      </c>
    </row>
    <row r="37" spans="1:19" x14ac:dyDescent="0.25">
      <c r="A37">
        <v>2139</v>
      </c>
      <c r="B37" t="s">
        <v>13</v>
      </c>
      <c r="C37" t="s">
        <v>95</v>
      </c>
      <c r="D37">
        <v>0</v>
      </c>
      <c r="E37">
        <v>38170</v>
      </c>
      <c r="F37">
        <v>2958465</v>
      </c>
      <c r="G37">
        <v>2126</v>
      </c>
      <c r="H37" t="s">
        <v>13</v>
      </c>
      <c r="I37" t="s">
        <v>95</v>
      </c>
      <c r="J37">
        <v>0</v>
      </c>
      <c r="K37">
        <v>0</v>
      </c>
      <c r="N37">
        <v>3</v>
      </c>
      <c r="O37" t="s">
        <v>96</v>
      </c>
      <c r="P37" t="s">
        <v>1229</v>
      </c>
      <c r="Q37" s="30">
        <f>IF(CustomerHierarchyLevels[[#This Row],[HgLvCust.]]=0,CustomerHierarchyLevels[[#This Row],[Customer]],CustomerHierarchyLevels[[#This Row],[HgLvCust.]])</f>
        <v>2126</v>
      </c>
      <c r="R37" s="30">
        <f>IF(VLOOKUP(CustomerHierarchyLevels[[#This Row],[Level1]],CustomerHierarchyLevels[],7,FALSE)=0,CustomerHierarchyLevels[[#This Row],[Level1]],VLOOKUP(CustomerHierarchyLevels[[#This Row],[Level1]],CustomerHierarchyLevels[],7,FALSE))</f>
        <v>2125</v>
      </c>
      <c r="S37" s="30">
        <f>IF(VLOOKUP(CustomerHierarchyLevels[[#This Row],[Level2]],CustomerHierarchyLevels[],7,FALSE)=0,CustomerHierarchyLevels[[#This Row],[Level2]],VLOOKUP(CustomerHierarchyLevels[[#This Row],[Level2]],CustomerHierarchyLevels[],7,FALSE))</f>
        <v>2125</v>
      </c>
    </row>
    <row r="38" spans="1:19" x14ac:dyDescent="0.25">
      <c r="A38">
        <v>2140</v>
      </c>
      <c r="B38" t="s">
        <v>13</v>
      </c>
      <c r="C38" t="s">
        <v>95</v>
      </c>
      <c r="D38">
        <v>0</v>
      </c>
      <c r="E38">
        <v>38170</v>
      </c>
      <c r="F38">
        <v>2958465</v>
      </c>
      <c r="G38">
        <v>2126</v>
      </c>
      <c r="H38" t="s">
        <v>13</v>
      </c>
      <c r="I38" t="s">
        <v>95</v>
      </c>
      <c r="J38">
        <v>0</v>
      </c>
      <c r="K38">
        <v>0</v>
      </c>
      <c r="N38">
        <v>3</v>
      </c>
      <c r="O38" t="s">
        <v>96</v>
      </c>
      <c r="P38" t="s">
        <v>1230</v>
      </c>
      <c r="Q38" s="30">
        <f>IF(CustomerHierarchyLevels[[#This Row],[HgLvCust.]]=0,CustomerHierarchyLevels[[#This Row],[Customer]],CustomerHierarchyLevels[[#This Row],[HgLvCust.]])</f>
        <v>2126</v>
      </c>
      <c r="R38" s="30">
        <f>IF(VLOOKUP(CustomerHierarchyLevels[[#This Row],[Level1]],CustomerHierarchyLevels[],7,FALSE)=0,CustomerHierarchyLevels[[#This Row],[Level1]],VLOOKUP(CustomerHierarchyLevels[[#This Row],[Level1]],CustomerHierarchyLevels[],7,FALSE))</f>
        <v>2125</v>
      </c>
      <c r="S38" s="30">
        <f>IF(VLOOKUP(CustomerHierarchyLevels[[#This Row],[Level2]],CustomerHierarchyLevels[],7,FALSE)=0,CustomerHierarchyLevels[[#This Row],[Level2]],VLOOKUP(CustomerHierarchyLevels[[#This Row],[Level2]],CustomerHierarchyLevels[],7,FALSE))</f>
        <v>2125</v>
      </c>
    </row>
    <row r="39" spans="1:19" x14ac:dyDescent="0.25">
      <c r="A39">
        <v>2141</v>
      </c>
      <c r="B39" t="s">
        <v>13</v>
      </c>
      <c r="C39" t="s">
        <v>95</v>
      </c>
      <c r="D39">
        <v>0</v>
      </c>
      <c r="E39">
        <v>38170</v>
      </c>
      <c r="F39">
        <v>2958465</v>
      </c>
      <c r="G39">
        <v>2126</v>
      </c>
      <c r="H39" t="s">
        <v>13</v>
      </c>
      <c r="I39" t="s">
        <v>95</v>
      </c>
      <c r="J39">
        <v>0</v>
      </c>
      <c r="K39">
        <v>0</v>
      </c>
      <c r="N39">
        <v>3</v>
      </c>
      <c r="O39" t="s">
        <v>96</v>
      </c>
      <c r="P39" t="s">
        <v>1231</v>
      </c>
      <c r="Q39" s="30">
        <f>IF(CustomerHierarchyLevels[[#This Row],[HgLvCust.]]=0,CustomerHierarchyLevels[[#This Row],[Customer]],CustomerHierarchyLevels[[#This Row],[HgLvCust.]])</f>
        <v>2126</v>
      </c>
      <c r="R39" s="30">
        <f>IF(VLOOKUP(CustomerHierarchyLevels[[#This Row],[Level1]],CustomerHierarchyLevels[],7,FALSE)=0,CustomerHierarchyLevels[[#This Row],[Level1]],VLOOKUP(CustomerHierarchyLevels[[#This Row],[Level1]],CustomerHierarchyLevels[],7,FALSE))</f>
        <v>2125</v>
      </c>
      <c r="S39" s="30">
        <f>IF(VLOOKUP(CustomerHierarchyLevels[[#This Row],[Level2]],CustomerHierarchyLevels[],7,FALSE)=0,CustomerHierarchyLevels[[#This Row],[Level2]],VLOOKUP(CustomerHierarchyLevels[[#This Row],[Level2]],CustomerHierarchyLevels[],7,FALSE))</f>
        <v>2125</v>
      </c>
    </row>
    <row r="40" spans="1:19" x14ac:dyDescent="0.25">
      <c r="A40">
        <v>2142</v>
      </c>
      <c r="B40" t="s">
        <v>13</v>
      </c>
      <c r="C40" t="s">
        <v>95</v>
      </c>
      <c r="D40">
        <v>0</v>
      </c>
      <c r="E40">
        <v>38170</v>
      </c>
      <c r="F40">
        <v>2958465</v>
      </c>
      <c r="G40">
        <v>2126</v>
      </c>
      <c r="H40" t="s">
        <v>13</v>
      </c>
      <c r="I40" t="s">
        <v>95</v>
      </c>
      <c r="J40">
        <v>0</v>
      </c>
      <c r="K40">
        <v>0</v>
      </c>
      <c r="N40">
        <v>3</v>
      </c>
      <c r="O40" t="s">
        <v>96</v>
      </c>
      <c r="P40" t="s">
        <v>1232</v>
      </c>
      <c r="Q40" s="30">
        <f>IF(CustomerHierarchyLevels[[#This Row],[HgLvCust.]]=0,CustomerHierarchyLevels[[#This Row],[Customer]],CustomerHierarchyLevels[[#This Row],[HgLvCust.]])</f>
        <v>2126</v>
      </c>
      <c r="R40" s="30">
        <f>IF(VLOOKUP(CustomerHierarchyLevels[[#This Row],[Level1]],CustomerHierarchyLevels[],7,FALSE)=0,CustomerHierarchyLevels[[#This Row],[Level1]],VLOOKUP(CustomerHierarchyLevels[[#This Row],[Level1]],CustomerHierarchyLevels[],7,FALSE))</f>
        <v>2125</v>
      </c>
      <c r="S40" s="30">
        <f>IF(VLOOKUP(CustomerHierarchyLevels[[#This Row],[Level2]],CustomerHierarchyLevels[],7,FALSE)=0,CustomerHierarchyLevels[[#This Row],[Level2]],VLOOKUP(CustomerHierarchyLevels[[#This Row],[Level2]],CustomerHierarchyLevels[],7,FALSE))</f>
        <v>2125</v>
      </c>
    </row>
    <row r="41" spans="1:19" x14ac:dyDescent="0.25">
      <c r="A41">
        <v>2143</v>
      </c>
      <c r="B41" t="s">
        <v>13</v>
      </c>
      <c r="C41" t="s">
        <v>95</v>
      </c>
      <c r="D41">
        <v>0</v>
      </c>
      <c r="E41">
        <v>38170</v>
      </c>
      <c r="F41">
        <v>2958465</v>
      </c>
      <c r="G41">
        <v>2126</v>
      </c>
      <c r="H41" t="s">
        <v>13</v>
      </c>
      <c r="I41" t="s">
        <v>95</v>
      </c>
      <c r="J41">
        <v>0</v>
      </c>
      <c r="K41">
        <v>0</v>
      </c>
      <c r="N41">
        <v>3</v>
      </c>
      <c r="O41" t="s">
        <v>96</v>
      </c>
      <c r="P41" t="s">
        <v>1233</v>
      </c>
      <c r="Q41" s="30">
        <f>IF(CustomerHierarchyLevels[[#This Row],[HgLvCust.]]=0,CustomerHierarchyLevels[[#This Row],[Customer]],CustomerHierarchyLevels[[#This Row],[HgLvCust.]])</f>
        <v>2126</v>
      </c>
      <c r="R41" s="30">
        <f>IF(VLOOKUP(CustomerHierarchyLevels[[#This Row],[Level1]],CustomerHierarchyLevels[],7,FALSE)=0,CustomerHierarchyLevels[[#This Row],[Level1]],VLOOKUP(CustomerHierarchyLevels[[#This Row],[Level1]],CustomerHierarchyLevels[],7,FALSE))</f>
        <v>2125</v>
      </c>
      <c r="S41" s="30">
        <f>IF(VLOOKUP(CustomerHierarchyLevels[[#This Row],[Level2]],CustomerHierarchyLevels[],7,FALSE)=0,CustomerHierarchyLevels[[#This Row],[Level2]],VLOOKUP(CustomerHierarchyLevels[[#This Row],[Level2]],CustomerHierarchyLevels[],7,FALSE))</f>
        <v>2125</v>
      </c>
    </row>
    <row r="42" spans="1:19" x14ac:dyDescent="0.25">
      <c r="A42">
        <v>2144</v>
      </c>
      <c r="B42" t="s">
        <v>13</v>
      </c>
      <c r="C42" t="s">
        <v>95</v>
      </c>
      <c r="D42">
        <v>0</v>
      </c>
      <c r="E42">
        <v>38170</v>
      </c>
      <c r="F42">
        <v>2958465</v>
      </c>
      <c r="G42">
        <v>2126</v>
      </c>
      <c r="H42" t="s">
        <v>13</v>
      </c>
      <c r="I42" t="s">
        <v>95</v>
      </c>
      <c r="J42">
        <v>0</v>
      </c>
      <c r="K42">
        <v>0</v>
      </c>
      <c r="N42">
        <v>3</v>
      </c>
      <c r="O42" t="s">
        <v>96</v>
      </c>
      <c r="P42" t="s">
        <v>1234</v>
      </c>
      <c r="Q42" s="30">
        <f>IF(CustomerHierarchyLevels[[#This Row],[HgLvCust.]]=0,CustomerHierarchyLevels[[#This Row],[Customer]],CustomerHierarchyLevels[[#This Row],[HgLvCust.]])</f>
        <v>2126</v>
      </c>
      <c r="R42" s="30">
        <f>IF(VLOOKUP(CustomerHierarchyLevels[[#This Row],[Level1]],CustomerHierarchyLevels[],7,FALSE)=0,CustomerHierarchyLevels[[#This Row],[Level1]],VLOOKUP(CustomerHierarchyLevels[[#This Row],[Level1]],CustomerHierarchyLevels[],7,FALSE))</f>
        <v>2125</v>
      </c>
      <c r="S42" s="30">
        <f>IF(VLOOKUP(CustomerHierarchyLevels[[#This Row],[Level2]],CustomerHierarchyLevels[],7,FALSE)=0,CustomerHierarchyLevels[[#This Row],[Level2]],VLOOKUP(CustomerHierarchyLevels[[#This Row],[Level2]],CustomerHierarchyLevels[],7,FALSE))</f>
        <v>2125</v>
      </c>
    </row>
    <row r="43" spans="1:19" x14ac:dyDescent="0.25">
      <c r="A43">
        <v>2145</v>
      </c>
      <c r="B43" t="s">
        <v>13</v>
      </c>
      <c r="C43" t="s">
        <v>95</v>
      </c>
      <c r="D43">
        <v>0</v>
      </c>
      <c r="E43">
        <v>38170</v>
      </c>
      <c r="F43">
        <v>2958465</v>
      </c>
      <c r="G43">
        <v>2126</v>
      </c>
      <c r="H43" t="s">
        <v>13</v>
      </c>
      <c r="I43" t="s">
        <v>95</v>
      </c>
      <c r="J43">
        <v>0</v>
      </c>
      <c r="K43">
        <v>0</v>
      </c>
      <c r="N43">
        <v>3</v>
      </c>
      <c r="O43" t="s">
        <v>96</v>
      </c>
      <c r="P43" t="s">
        <v>1235</v>
      </c>
      <c r="Q43" s="30">
        <f>IF(CustomerHierarchyLevels[[#This Row],[HgLvCust.]]=0,CustomerHierarchyLevels[[#This Row],[Customer]],CustomerHierarchyLevels[[#This Row],[HgLvCust.]])</f>
        <v>2126</v>
      </c>
      <c r="R43" s="30">
        <f>IF(VLOOKUP(CustomerHierarchyLevels[[#This Row],[Level1]],CustomerHierarchyLevels[],7,FALSE)=0,CustomerHierarchyLevels[[#This Row],[Level1]],VLOOKUP(CustomerHierarchyLevels[[#This Row],[Level1]],CustomerHierarchyLevels[],7,FALSE))</f>
        <v>2125</v>
      </c>
      <c r="S43" s="30">
        <f>IF(VLOOKUP(CustomerHierarchyLevels[[#This Row],[Level2]],CustomerHierarchyLevels[],7,FALSE)=0,CustomerHierarchyLevels[[#This Row],[Level2]],VLOOKUP(CustomerHierarchyLevels[[#This Row],[Level2]],CustomerHierarchyLevels[],7,FALSE))</f>
        <v>2125</v>
      </c>
    </row>
    <row r="44" spans="1:19" x14ac:dyDescent="0.25">
      <c r="A44">
        <v>2146</v>
      </c>
      <c r="B44" t="s">
        <v>13</v>
      </c>
      <c r="C44" t="s">
        <v>95</v>
      </c>
      <c r="D44">
        <v>0</v>
      </c>
      <c r="E44">
        <v>38170</v>
      </c>
      <c r="F44">
        <v>2958465</v>
      </c>
      <c r="G44">
        <v>2126</v>
      </c>
      <c r="H44" t="s">
        <v>13</v>
      </c>
      <c r="I44" t="s">
        <v>95</v>
      </c>
      <c r="J44">
        <v>0</v>
      </c>
      <c r="K44">
        <v>0</v>
      </c>
      <c r="N44">
        <v>3</v>
      </c>
      <c r="O44" t="s">
        <v>96</v>
      </c>
      <c r="P44" t="s">
        <v>1236</v>
      </c>
      <c r="Q44" s="30">
        <f>IF(CustomerHierarchyLevels[[#This Row],[HgLvCust.]]=0,CustomerHierarchyLevels[[#This Row],[Customer]],CustomerHierarchyLevels[[#This Row],[HgLvCust.]])</f>
        <v>2126</v>
      </c>
      <c r="R44" s="30">
        <f>IF(VLOOKUP(CustomerHierarchyLevels[[#This Row],[Level1]],CustomerHierarchyLevels[],7,FALSE)=0,CustomerHierarchyLevels[[#This Row],[Level1]],VLOOKUP(CustomerHierarchyLevels[[#This Row],[Level1]],CustomerHierarchyLevels[],7,FALSE))</f>
        <v>2125</v>
      </c>
      <c r="S44" s="30">
        <f>IF(VLOOKUP(CustomerHierarchyLevels[[#This Row],[Level2]],CustomerHierarchyLevels[],7,FALSE)=0,CustomerHierarchyLevels[[#This Row],[Level2]],VLOOKUP(CustomerHierarchyLevels[[#This Row],[Level2]],CustomerHierarchyLevels[],7,FALSE))</f>
        <v>2125</v>
      </c>
    </row>
    <row r="45" spans="1:19" x14ac:dyDescent="0.25">
      <c r="A45">
        <v>2147</v>
      </c>
      <c r="B45" t="s">
        <v>13</v>
      </c>
      <c r="C45" t="s">
        <v>95</v>
      </c>
      <c r="D45">
        <v>0</v>
      </c>
      <c r="E45">
        <v>38170</v>
      </c>
      <c r="F45">
        <v>2958465</v>
      </c>
      <c r="G45">
        <v>2126</v>
      </c>
      <c r="H45" t="s">
        <v>13</v>
      </c>
      <c r="I45" t="s">
        <v>95</v>
      </c>
      <c r="J45">
        <v>0</v>
      </c>
      <c r="K45">
        <v>0</v>
      </c>
      <c r="N45">
        <v>3</v>
      </c>
      <c r="O45" t="s">
        <v>96</v>
      </c>
      <c r="P45" t="s">
        <v>1237</v>
      </c>
      <c r="Q45" s="30">
        <f>IF(CustomerHierarchyLevels[[#This Row],[HgLvCust.]]=0,CustomerHierarchyLevels[[#This Row],[Customer]],CustomerHierarchyLevels[[#This Row],[HgLvCust.]])</f>
        <v>2126</v>
      </c>
      <c r="R45" s="30">
        <f>IF(VLOOKUP(CustomerHierarchyLevels[[#This Row],[Level1]],CustomerHierarchyLevels[],7,FALSE)=0,CustomerHierarchyLevels[[#This Row],[Level1]],VLOOKUP(CustomerHierarchyLevels[[#This Row],[Level1]],CustomerHierarchyLevels[],7,FALSE))</f>
        <v>2125</v>
      </c>
      <c r="S45" s="30">
        <f>IF(VLOOKUP(CustomerHierarchyLevels[[#This Row],[Level2]],CustomerHierarchyLevels[],7,FALSE)=0,CustomerHierarchyLevels[[#This Row],[Level2]],VLOOKUP(CustomerHierarchyLevels[[#This Row],[Level2]],CustomerHierarchyLevels[],7,FALSE))</f>
        <v>2125</v>
      </c>
    </row>
    <row r="46" spans="1:19" x14ac:dyDescent="0.25">
      <c r="A46">
        <v>2148</v>
      </c>
      <c r="B46" t="s">
        <v>13</v>
      </c>
      <c r="C46" t="s">
        <v>95</v>
      </c>
      <c r="D46">
        <v>0</v>
      </c>
      <c r="E46">
        <v>38170</v>
      </c>
      <c r="F46">
        <v>2958465</v>
      </c>
      <c r="G46">
        <v>2126</v>
      </c>
      <c r="H46" t="s">
        <v>13</v>
      </c>
      <c r="I46" t="s">
        <v>95</v>
      </c>
      <c r="J46">
        <v>0</v>
      </c>
      <c r="K46">
        <v>0</v>
      </c>
      <c r="N46">
        <v>3</v>
      </c>
      <c r="O46" t="s">
        <v>96</v>
      </c>
      <c r="P46" t="s">
        <v>1238</v>
      </c>
      <c r="Q46" s="30">
        <f>IF(CustomerHierarchyLevels[[#This Row],[HgLvCust.]]=0,CustomerHierarchyLevels[[#This Row],[Customer]],CustomerHierarchyLevels[[#This Row],[HgLvCust.]])</f>
        <v>2126</v>
      </c>
      <c r="R46" s="30">
        <f>IF(VLOOKUP(CustomerHierarchyLevels[[#This Row],[Level1]],CustomerHierarchyLevels[],7,FALSE)=0,CustomerHierarchyLevels[[#This Row],[Level1]],VLOOKUP(CustomerHierarchyLevels[[#This Row],[Level1]],CustomerHierarchyLevels[],7,FALSE))</f>
        <v>2125</v>
      </c>
      <c r="S46" s="30">
        <f>IF(VLOOKUP(CustomerHierarchyLevels[[#This Row],[Level2]],CustomerHierarchyLevels[],7,FALSE)=0,CustomerHierarchyLevels[[#This Row],[Level2]],VLOOKUP(CustomerHierarchyLevels[[#This Row],[Level2]],CustomerHierarchyLevels[],7,FALSE))</f>
        <v>2125</v>
      </c>
    </row>
    <row r="47" spans="1:19" x14ac:dyDescent="0.25">
      <c r="A47">
        <v>2149</v>
      </c>
      <c r="B47" t="s">
        <v>13</v>
      </c>
      <c r="C47" t="s">
        <v>95</v>
      </c>
      <c r="D47">
        <v>0</v>
      </c>
      <c r="E47">
        <v>38170</v>
      </c>
      <c r="F47">
        <v>2958465</v>
      </c>
      <c r="G47">
        <v>2126</v>
      </c>
      <c r="H47" t="s">
        <v>13</v>
      </c>
      <c r="I47" t="s">
        <v>95</v>
      </c>
      <c r="J47">
        <v>0</v>
      </c>
      <c r="K47">
        <v>0</v>
      </c>
      <c r="N47">
        <v>3</v>
      </c>
      <c r="O47" t="s">
        <v>96</v>
      </c>
      <c r="P47" t="s">
        <v>1239</v>
      </c>
      <c r="Q47" s="30">
        <f>IF(CustomerHierarchyLevels[[#This Row],[HgLvCust.]]=0,CustomerHierarchyLevels[[#This Row],[Customer]],CustomerHierarchyLevels[[#This Row],[HgLvCust.]])</f>
        <v>2126</v>
      </c>
      <c r="R47" s="30">
        <f>IF(VLOOKUP(CustomerHierarchyLevels[[#This Row],[Level1]],CustomerHierarchyLevels[],7,FALSE)=0,CustomerHierarchyLevels[[#This Row],[Level1]],VLOOKUP(CustomerHierarchyLevels[[#This Row],[Level1]],CustomerHierarchyLevels[],7,FALSE))</f>
        <v>2125</v>
      </c>
      <c r="S47" s="30">
        <f>IF(VLOOKUP(CustomerHierarchyLevels[[#This Row],[Level2]],CustomerHierarchyLevels[],7,FALSE)=0,CustomerHierarchyLevels[[#This Row],[Level2]],VLOOKUP(CustomerHierarchyLevels[[#This Row],[Level2]],CustomerHierarchyLevels[],7,FALSE))</f>
        <v>2125</v>
      </c>
    </row>
    <row r="48" spans="1:19" x14ac:dyDescent="0.25">
      <c r="A48">
        <v>2150</v>
      </c>
      <c r="B48" t="s">
        <v>13</v>
      </c>
      <c r="C48" t="s">
        <v>95</v>
      </c>
      <c r="D48">
        <v>0</v>
      </c>
      <c r="E48">
        <v>38170</v>
      </c>
      <c r="F48">
        <v>2958465</v>
      </c>
      <c r="G48">
        <v>2126</v>
      </c>
      <c r="H48" t="s">
        <v>13</v>
      </c>
      <c r="I48" t="s">
        <v>95</v>
      </c>
      <c r="J48">
        <v>0</v>
      </c>
      <c r="K48">
        <v>0</v>
      </c>
      <c r="N48">
        <v>3</v>
      </c>
      <c r="O48" t="s">
        <v>96</v>
      </c>
      <c r="P48" t="s">
        <v>1240</v>
      </c>
      <c r="Q48" s="30">
        <f>IF(CustomerHierarchyLevels[[#This Row],[HgLvCust.]]=0,CustomerHierarchyLevels[[#This Row],[Customer]],CustomerHierarchyLevels[[#This Row],[HgLvCust.]])</f>
        <v>2126</v>
      </c>
      <c r="R48" s="30">
        <f>IF(VLOOKUP(CustomerHierarchyLevels[[#This Row],[Level1]],CustomerHierarchyLevels[],7,FALSE)=0,CustomerHierarchyLevels[[#This Row],[Level1]],VLOOKUP(CustomerHierarchyLevels[[#This Row],[Level1]],CustomerHierarchyLevels[],7,FALSE))</f>
        <v>2125</v>
      </c>
      <c r="S48" s="30">
        <f>IF(VLOOKUP(CustomerHierarchyLevels[[#This Row],[Level2]],CustomerHierarchyLevels[],7,FALSE)=0,CustomerHierarchyLevels[[#This Row],[Level2]],VLOOKUP(CustomerHierarchyLevels[[#This Row],[Level2]],CustomerHierarchyLevels[],7,FALSE))</f>
        <v>2125</v>
      </c>
    </row>
    <row r="49" spans="1:19" x14ac:dyDescent="0.25">
      <c r="A49">
        <v>2151</v>
      </c>
      <c r="B49" t="s">
        <v>13</v>
      </c>
      <c r="C49" t="s">
        <v>95</v>
      </c>
      <c r="D49">
        <v>0</v>
      </c>
      <c r="E49">
        <v>38170</v>
      </c>
      <c r="F49">
        <v>2958465</v>
      </c>
      <c r="G49">
        <v>2126</v>
      </c>
      <c r="H49" t="s">
        <v>13</v>
      </c>
      <c r="I49" t="s">
        <v>95</v>
      </c>
      <c r="J49">
        <v>0</v>
      </c>
      <c r="K49">
        <v>0</v>
      </c>
      <c r="N49">
        <v>3</v>
      </c>
      <c r="O49" t="s">
        <v>96</v>
      </c>
      <c r="P49" t="s">
        <v>1241</v>
      </c>
      <c r="Q49" s="30">
        <f>IF(CustomerHierarchyLevels[[#This Row],[HgLvCust.]]=0,CustomerHierarchyLevels[[#This Row],[Customer]],CustomerHierarchyLevels[[#This Row],[HgLvCust.]])</f>
        <v>2126</v>
      </c>
      <c r="R49" s="30">
        <f>IF(VLOOKUP(CustomerHierarchyLevels[[#This Row],[Level1]],CustomerHierarchyLevels[],7,FALSE)=0,CustomerHierarchyLevels[[#This Row],[Level1]],VLOOKUP(CustomerHierarchyLevels[[#This Row],[Level1]],CustomerHierarchyLevels[],7,FALSE))</f>
        <v>2125</v>
      </c>
      <c r="S49" s="30">
        <f>IF(VLOOKUP(CustomerHierarchyLevels[[#This Row],[Level2]],CustomerHierarchyLevels[],7,FALSE)=0,CustomerHierarchyLevels[[#This Row],[Level2]],VLOOKUP(CustomerHierarchyLevels[[#This Row],[Level2]],CustomerHierarchyLevels[],7,FALSE))</f>
        <v>2125</v>
      </c>
    </row>
    <row r="50" spans="1:19" x14ac:dyDescent="0.25">
      <c r="A50">
        <v>2152</v>
      </c>
      <c r="B50" t="s">
        <v>13</v>
      </c>
      <c r="C50" t="s">
        <v>95</v>
      </c>
      <c r="D50">
        <v>0</v>
      </c>
      <c r="E50">
        <v>38170</v>
      </c>
      <c r="F50">
        <v>2958465</v>
      </c>
      <c r="G50">
        <v>2126</v>
      </c>
      <c r="H50" t="s">
        <v>13</v>
      </c>
      <c r="I50" t="s">
        <v>95</v>
      </c>
      <c r="J50">
        <v>0</v>
      </c>
      <c r="K50">
        <v>0</v>
      </c>
      <c r="N50">
        <v>3</v>
      </c>
      <c r="O50" t="s">
        <v>96</v>
      </c>
      <c r="P50" t="s">
        <v>1224</v>
      </c>
      <c r="Q50" s="30">
        <f>IF(CustomerHierarchyLevels[[#This Row],[HgLvCust.]]=0,CustomerHierarchyLevels[[#This Row],[Customer]],CustomerHierarchyLevels[[#This Row],[HgLvCust.]])</f>
        <v>2126</v>
      </c>
      <c r="R50" s="30">
        <f>IF(VLOOKUP(CustomerHierarchyLevels[[#This Row],[Level1]],CustomerHierarchyLevels[],7,FALSE)=0,CustomerHierarchyLevels[[#This Row],[Level1]],VLOOKUP(CustomerHierarchyLevels[[#This Row],[Level1]],CustomerHierarchyLevels[],7,FALSE))</f>
        <v>2125</v>
      </c>
      <c r="S50" s="30">
        <f>IF(VLOOKUP(CustomerHierarchyLevels[[#This Row],[Level2]],CustomerHierarchyLevels[],7,FALSE)=0,CustomerHierarchyLevels[[#This Row],[Level2]],VLOOKUP(CustomerHierarchyLevels[[#This Row],[Level2]],CustomerHierarchyLevels[],7,FALSE))</f>
        <v>2125</v>
      </c>
    </row>
    <row r="51" spans="1:19" x14ac:dyDescent="0.25">
      <c r="A51">
        <v>2153</v>
      </c>
      <c r="B51" t="s">
        <v>13</v>
      </c>
      <c r="C51" t="s">
        <v>95</v>
      </c>
      <c r="D51">
        <v>0</v>
      </c>
      <c r="E51">
        <v>38170</v>
      </c>
      <c r="F51">
        <v>2958465</v>
      </c>
      <c r="G51">
        <v>2126</v>
      </c>
      <c r="H51" t="s">
        <v>13</v>
      </c>
      <c r="I51" t="s">
        <v>95</v>
      </c>
      <c r="J51">
        <v>0</v>
      </c>
      <c r="K51">
        <v>0</v>
      </c>
      <c r="N51">
        <v>3</v>
      </c>
      <c r="O51" t="s">
        <v>96</v>
      </c>
      <c r="P51" t="s">
        <v>1242</v>
      </c>
      <c r="Q51" s="30">
        <f>IF(CustomerHierarchyLevels[[#This Row],[HgLvCust.]]=0,CustomerHierarchyLevels[[#This Row],[Customer]],CustomerHierarchyLevels[[#This Row],[HgLvCust.]])</f>
        <v>2126</v>
      </c>
      <c r="R51" s="30">
        <f>IF(VLOOKUP(CustomerHierarchyLevels[[#This Row],[Level1]],CustomerHierarchyLevels[],7,FALSE)=0,CustomerHierarchyLevels[[#This Row],[Level1]],VLOOKUP(CustomerHierarchyLevels[[#This Row],[Level1]],CustomerHierarchyLevels[],7,FALSE))</f>
        <v>2125</v>
      </c>
      <c r="S51" s="30">
        <f>IF(VLOOKUP(CustomerHierarchyLevels[[#This Row],[Level2]],CustomerHierarchyLevels[],7,FALSE)=0,CustomerHierarchyLevels[[#This Row],[Level2]],VLOOKUP(CustomerHierarchyLevels[[#This Row],[Level2]],CustomerHierarchyLevels[],7,FALSE))</f>
        <v>2125</v>
      </c>
    </row>
    <row r="52" spans="1:19" x14ac:dyDescent="0.25">
      <c r="A52">
        <v>2154</v>
      </c>
      <c r="B52" t="s">
        <v>13</v>
      </c>
      <c r="C52" t="s">
        <v>95</v>
      </c>
      <c r="D52">
        <v>0</v>
      </c>
      <c r="E52">
        <v>38170</v>
      </c>
      <c r="F52">
        <v>2958465</v>
      </c>
      <c r="G52">
        <v>2126</v>
      </c>
      <c r="H52" t="s">
        <v>13</v>
      </c>
      <c r="I52" t="s">
        <v>95</v>
      </c>
      <c r="J52">
        <v>0</v>
      </c>
      <c r="K52">
        <v>0</v>
      </c>
      <c r="N52">
        <v>3</v>
      </c>
      <c r="O52" t="s">
        <v>96</v>
      </c>
      <c r="P52" t="s">
        <v>1243</v>
      </c>
      <c r="Q52" s="30">
        <f>IF(CustomerHierarchyLevels[[#This Row],[HgLvCust.]]=0,CustomerHierarchyLevels[[#This Row],[Customer]],CustomerHierarchyLevels[[#This Row],[HgLvCust.]])</f>
        <v>2126</v>
      </c>
      <c r="R52" s="30">
        <f>IF(VLOOKUP(CustomerHierarchyLevels[[#This Row],[Level1]],CustomerHierarchyLevels[],7,FALSE)=0,CustomerHierarchyLevels[[#This Row],[Level1]],VLOOKUP(CustomerHierarchyLevels[[#This Row],[Level1]],CustomerHierarchyLevels[],7,FALSE))</f>
        <v>2125</v>
      </c>
      <c r="S52" s="30">
        <f>IF(VLOOKUP(CustomerHierarchyLevels[[#This Row],[Level2]],CustomerHierarchyLevels[],7,FALSE)=0,CustomerHierarchyLevels[[#This Row],[Level2]],VLOOKUP(CustomerHierarchyLevels[[#This Row],[Level2]],CustomerHierarchyLevels[],7,FALSE))</f>
        <v>2125</v>
      </c>
    </row>
    <row r="53" spans="1:19" x14ac:dyDescent="0.25">
      <c r="A53">
        <v>2155</v>
      </c>
      <c r="B53" t="s">
        <v>13</v>
      </c>
      <c r="C53" t="s">
        <v>95</v>
      </c>
      <c r="D53">
        <v>0</v>
      </c>
      <c r="E53">
        <v>38170</v>
      </c>
      <c r="F53">
        <v>2958465</v>
      </c>
      <c r="G53">
        <v>2126</v>
      </c>
      <c r="H53" t="s">
        <v>13</v>
      </c>
      <c r="I53" t="s">
        <v>95</v>
      </c>
      <c r="J53">
        <v>0</v>
      </c>
      <c r="K53">
        <v>0</v>
      </c>
      <c r="N53">
        <v>3</v>
      </c>
      <c r="O53" t="s">
        <v>96</v>
      </c>
      <c r="P53" t="s">
        <v>1244</v>
      </c>
      <c r="Q53" s="30">
        <f>IF(CustomerHierarchyLevels[[#This Row],[HgLvCust.]]=0,CustomerHierarchyLevels[[#This Row],[Customer]],CustomerHierarchyLevels[[#This Row],[HgLvCust.]])</f>
        <v>2126</v>
      </c>
      <c r="R53" s="30">
        <f>IF(VLOOKUP(CustomerHierarchyLevels[[#This Row],[Level1]],CustomerHierarchyLevels[],7,FALSE)=0,CustomerHierarchyLevels[[#This Row],[Level1]],VLOOKUP(CustomerHierarchyLevels[[#This Row],[Level1]],CustomerHierarchyLevels[],7,FALSE))</f>
        <v>2125</v>
      </c>
      <c r="S53" s="30">
        <f>IF(VLOOKUP(CustomerHierarchyLevels[[#This Row],[Level2]],CustomerHierarchyLevels[],7,FALSE)=0,CustomerHierarchyLevels[[#This Row],[Level2]],VLOOKUP(CustomerHierarchyLevels[[#This Row],[Level2]],CustomerHierarchyLevels[],7,FALSE))</f>
        <v>2125</v>
      </c>
    </row>
    <row r="54" spans="1:19" x14ac:dyDescent="0.25">
      <c r="A54">
        <v>2156</v>
      </c>
      <c r="B54" t="s">
        <v>13</v>
      </c>
      <c r="C54" t="s">
        <v>95</v>
      </c>
      <c r="D54">
        <v>0</v>
      </c>
      <c r="E54">
        <v>38170</v>
      </c>
      <c r="F54">
        <v>2958465</v>
      </c>
      <c r="G54">
        <v>2126</v>
      </c>
      <c r="H54" t="s">
        <v>13</v>
      </c>
      <c r="I54" t="s">
        <v>95</v>
      </c>
      <c r="J54">
        <v>0</v>
      </c>
      <c r="K54">
        <v>0</v>
      </c>
      <c r="N54">
        <v>3</v>
      </c>
      <c r="O54" t="s">
        <v>96</v>
      </c>
      <c r="P54" t="s">
        <v>1245</v>
      </c>
      <c r="Q54" s="30">
        <f>IF(CustomerHierarchyLevels[[#This Row],[HgLvCust.]]=0,CustomerHierarchyLevels[[#This Row],[Customer]],CustomerHierarchyLevels[[#This Row],[HgLvCust.]])</f>
        <v>2126</v>
      </c>
      <c r="R54" s="30">
        <f>IF(VLOOKUP(CustomerHierarchyLevels[[#This Row],[Level1]],CustomerHierarchyLevels[],7,FALSE)=0,CustomerHierarchyLevels[[#This Row],[Level1]],VLOOKUP(CustomerHierarchyLevels[[#This Row],[Level1]],CustomerHierarchyLevels[],7,FALSE))</f>
        <v>2125</v>
      </c>
      <c r="S54" s="30">
        <f>IF(VLOOKUP(CustomerHierarchyLevels[[#This Row],[Level2]],CustomerHierarchyLevels[],7,FALSE)=0,CustomerHierarchyLevels[[#This Row],[Level2]],VLOOKUP(CustomerHierarchyLevels[[#This Row],[Level2]],CustomerHierarchyLevels[],7,FALSE))</f>
        <v>2125</v>
      </c>
    </row>
    <row r="55" spans="1:19" x14ac:dyDescent="0.25">
      <c r="A55">
        <v>2157</v>
      </c>
      <c r="B55" t="s">
        <v>13</v>
      </c>
      <c r="C55" t="s">
        <v>95</v>
      </c>
      <c r="D55">
        <v>0</v>
      </c>
      <c r="E55">
        <v>38170</v>
      </c>
      <c r="F55">
        <v>2958465</v>
      </c>
      <c r="K55">
        <v>0</v>
      </c>
      <c r="N55">
        <v>1</v>
      </c>
      <c r="O55" t="s">
        <v>96</v>
      </c>
      <c r="P55" t="s">
        <v>1246</v>
      </c>
      <c r="Q55" s="30">
        <f>IF(CustomerHierarchyLevels[[#This Row],[HgLvCust.]]=0,CustomerHierarchyLevels[[#This Row],[Customer]],CustomerHierarchyLevels[[#This Row],[HgLvCust.]])</f>
        <v>2157</v>
      </c>
      <c r="R55" s="30">
        <f>IF(VLOOKUP(CustomerHierarchyLevels[[#This Row],[Level1]],CustomerHierarchyLevels[],7,FALSE)=0,CustomerHierarchyLevels[[#This Row],[Level1]],VLOOKUP(CustomerHierarchyLevels[[#This Row],[Level1]],CustomerHierarchyLevels[],7,FALSE))</f>
        <v>2157</v>
      </c>
      <c r="S55" s="30">
        <f>IF(VLOOKUP(CustomerHierarchyLevels[[#This Row],[Level2]],CustomerHierarchyLevels[],7,FALSE)=0,CustomerHierarchyLevels[[#This Row],[Level2]],VLOOKUP(CustomerHierarchyLevels[[#This Row],[Level2]],CustomerHierarchyLevels[],7,FALSE))</f>
        <v>2157</v>
      </c>
    </row>
    <row r="56" spans="1:19" x14ac:dyDescent="0.25">
      <c r="A56">
        <v>2159</v>
      </c>
      <c r="B56" t="s">
        <v>13</v>
      </c>
      <c r="C56" t="s">
        <v>95</v>
      </c>
      <c r="D56">
        <v>0</v>
      </c>
      <c r="E56">
        <v>38170</v>
      </c>
      <c r="F56">
        <v>2958465</v>
      </c>
      <c r="G56">
        <v>2158</v>
      </c>
      <c r="H56" t="s">
        <v>13</v>
      </c>
      <c r="I56" t="s">
        <v>95</v>
      </c>
      <c r="J56">
        <v>0</v>
      </c>
      <c r="K56">
        <v>0</v>
      </c>
      <c r="N56">
        <v>3</v>
      </c>
      <c r="O56" t="s">
        <v>96</v>
      </c>
      <c r="P56" t="s">
        <v>1247</v>
      </c>
      <c r="Q56" s="30">
        <f>IF(CustomerHierarchyLevels[[#This Row],[HgLvCust.]]=0,CustomerHierarchyLevels[[#This Row],[Customer]],CustomerHierarchyLevels[[#This Row],[HgLvCust.]])</f>
        <v>2158</v>
      </c>
      <c r="R56" s="30">
        <f>IF(VLOOKUP(CustomerHierarchyLevels[[#This Row],[Level1]],CustomerHierarchyLevels[],7,FALSE)=0,CustomerHierarchyLevels[[#This Row],[Level1]],VLOOKUP(CustomerHierarchyLevels[[#This Row],[Level1]],CustomerHierarchyLevels[],7,FALSE))</f>
        <v>2157</v>
      </c>
      <c r="S56" s="30">
        <f>IF(VLOOKUP(CustomerHierarchyLevels[[#This Row],[Level2]],CustomerHierarchyLevels[],7,FALSE)=0,CustomerHierarchyLevels[[#This Row],[Level2]],VLOOKUP(CustomerHierarchyLevels[[#This Row],[Level2]],CustomerHierarchyLevels[],7,FALSE))</f>
        <v>2157</v>
      </c>
    </row>
    <row r="57" spans="1:19" x14ac:dyDescent="0.25">
      <c r="A57">
        <v>2160</v>
      </c>
      <c r="B57" t="s">
        <v>13</v>
      </c>
      <c r="C57" t="s">
        <v>95</v>
      </c>
      <c r="D57">
        <v>0</v>
      </c>
      <c r="E57">
        <v>38170</v>
      </c>
      <c r="F57">
        <v>2958465</v>
      </c>
      <c r="G57">
        <v>2158</v>
      </c>
      <c r="H57" t="s">
        <v>13</v>
      </c>
      <c r="I57" t="s">
        <v>95</v>
      </c>
      <c r="J57">
        <v>0</v>
      </c>
      <c r="K57">
        <v>0</v>
      </c>
      <c r="N57">
        <v>3</v>
      </c>
      <c r="O57" t="s">
        <v>96</v>
      </c>
      <c r="P57" t="s">
        <v>1248</v>
      </c>
      <c r="Q57" s="30">
        <f>IF(CustomerHierarchyLevels[[#This Row],[HgLvCust.]]=0,CustomerHierarchyLevels[[#This Row],[Customer]],CustomerHierarchyLevels[[#This Row],[HgLvCust.]])</f>
        <v>2158</v>
      </c>
      <c r="R57" s="30">
        <f>IF(VLOOKUP(CustomerHierarchyLevels[[#This Row],[Level1]],CustomerHierarchyLevels[],7,FALSE)=0,CustomerHierarchyLevels[[#This Row],[Level1]],VLOOKUP(CustomerHierarchyLevels[[#This Row],[Level1]],CustomerHierarchyLevels[],7,FALSE))</f>
        <v>2157</v>
      </c>
      <c r="S57" s="30">
        <f>IF(VLOOKUP(CustomerHierarchyLevels[[#This Row],[Level2]],CustomerHierarchyLevels[],7,FALSE)=0,CustomerHierarchyLevels[[#This Row],[Level2]],VLOOKUP(CustomerHierarchyLevels[[#This Row],[Level2]],CustomerHierarchyLevels[],7,FALSE))</f>
        <v>2157</v>
      </c>
    </row>
    <row r="58" spans="1:19" x14ac:dyDescent="0.25">
      <c r="A58">
        <v>2161</v>
      </c>
      <c r="B58" t="s">
        <v>13</v>
      </c>
      <c r="C58" t="s">
        <v>95</v>
      </c>
      <c r="D58">
        <v>0</v>
      </c>
      <c r="E58">
        <v>38170</v>
      </c>
      <c r="F58">
        <v>2958465</v>
      </c>
      <c r="G58">
        <v>2158</v>
      </c>
      <c r="H58" t="s">
        <v>13</v>
      </c>
      <c r="I58" t="s">
        <v>95</v>
      </c>
      <c r="J58">
        <v>0</v>
      </c>
      <c r="K58">
        <v>0</v>
      </c>
      <c r="N58">
        <v>3</v>
      </c>
      <c r="O58" t="s">
        <v>96</v>
      </c>
      <c r="P58" t="s">
        <v>1249</v>
      </c>
      <c r="Q58" s="30">
        <f>IF(CustomerHierarchyLevels[[#This Row],[HgLvCust.]]=0,CustomerHierarchyLevels[[#This Row],[Customer]],CustomerHierarchyLevels[[#This Row],[HgLvCust.]])</f>
        <v>2158</v>
      </c>
      <c r="R58" s="30">
        <f>IF(VLOOKUP(CustomerHierarchyLevels[[#This Row],[Level1]],CustomerHierarchyLevels[],7,FALSE)=0,CustomerHierarchyLevels[[#This Row],[Level1]],VLOOKUP(CustomerHierarchyLevels[[#This Row],[Level1]],CustomerHierarchyLevels[],7,FALSE))</f>
        <v>2157</v>
      </c>
      <c r="S58" s="30">
        <f>IF(VLOOKUP(CustomerHierarchyLevels[[#This Row],[Level2]],CustomerHierarchyLevels[],7,FALSE)=0,CustomerHierarchyLevels[[#This Row],[Level2]],VLOOKUP(CustomerHierarchyLevels[[#This Row],[Level2]],CustomerHierarchyLevels[],7,FALSE))</f>
        <v>2157</v>
      </c>
    </row>
    <row r="59" spans="1:19" x14ac:dyDescent="0.25">
      <c r="A59">
        <v>2162</v>
      </c>
      <c r="B59" t="s">
        <v>13</v>
      </c>
      <c r="C59" t="s">
        <v>95</v>
      </c>
      <c r="D59">
        <v>0</v>
      </c>
      <c r="E59">
        <v>38170</v>
      </c>
      <c r="F59">
        <v>2958465</v>
      </c>
      <c r="K59">
        <v>0</v>
      </c>
      <c r="N59">
        <v>1</v>
      </c>
      <c r="O59" t="s">
        <v>96</v>
      </c>
      <c r="P59" t="s">
        <v>1250</v>
      </c>
      <c r="Q59" s="30">
        <f>IF(CustomerHierarchyLevels[[#This Row],[HgLvCust.]]=0,CustomerHierarchyLevels[[#This Row],[Customer]],CustomerHierarchyLevels[[#This Row],[HgLvCust.]])</f>
        <v>2162</v>
      </c>
      <c r="R59" s="30">
        <f>IF(VLOOKUP(CustomerHierarchyLevels[[#This Row],[Level1]],CustomerHierarchyLevels[],7,FALSE)=0,CustomerHierarchyLevels[[#This Row],[Level1]],VLOOKUP(CustomerHierarchyLevels[[#This Row],[Level1]],CustomerHierarchyLevels[],7,FALSE))</f>
        <v>2162</v>
      </c>
      <c r="S59" s="30">
        <f>IF(VLOOKUP(CustomerHierarchyLevels[[#This Row],[Level2]],CustomerHierarchyLevels[],7,FALSE)=0,CustomerHierarchyLevels[[#This Row],[Level2]],VLOOKUP(CustomerHierarchyLevels[[#This Row],[Level2]],CustomerHierarchyLevels[],7,FALSE))</f>
        <v>2162</v>
      </c>
    </row>
    <row r="60" spans="1:19" x14ac:dyDescent="0.25">
      <c r="A60">
        <v>2163</v>
      </c>
      <c r="B60" t="s">
        <v>13</v>
      </c>
      <c r="C60" t="s">
        <v>95</v>
      </c>
      <c r="D60">
        <v>0</v>
      </c>
      <c r="E60">
        <v>38170</v>
      </c>
      <c r="F60">
        <v>2958465</v>
      </c>
      <c r="G60">
        <v>2162</v>
      </c>
      <c r="H60" t="s">
        <v>13</v>
      </c>
      <c r="I60" t="s">
        <v>95</v>
      </c>
      <c r="J60">
        <v>0</v>
      </c>
      <c r="K60">
        <v>0</v>
      </c>
      <c r="N60">
        <v>2</v>
      </c>
      <c r="O60" t="s">
        <v>96</v>
      </c>
      <c r="P60" t="s">
        <v>1251</v>
      </c>
      <c r="Q60" s="30">
        <f>IF(CustomerHierarchyLevels[[#This Row],[HgLvCust.]]=0,CustomerHierarchyLevels[[#This Row],[Customer]],CustomerHierarchyLevels[[#This Row],[HgLvCust.]])</f>
        <v>2162</v>
      </c>
      <c r="R60" s="30">
        <f>IF(VLOOKUP(CustomerHierarchyLevels[[#This Row],[Level1]],CustomerHierarchyLevels[],7,FALSE)=0,CustomerHierarchyLevels[[#This Row],[Level1]],VLOOKUP(CustomerHierarchyLevels[[#This Row],[Level1]],CustomerHierarchyLevels[],7,FALSE))</f>
        <v>2162</v>
      </c>
      <c r="S60" s="30">
        <f>IF(VLOOKUP(CustomerHierarchyLevels[[#This Row],[Level2]],CustomerHierarchyLevels[],7,FALSE)=0,CustomerHierarchyLevels[[#This Row],[Level2]],VLOOKUP(CustomerHierarchyLevels[[#This Row],[Level2]],CustomerHierarchyLevels[],7,FALSE))</f>
        <v>2162</v>
      </c>
    </row>
    <row r="61" spans="1:19" x14ac:dyDescent="0.25">
      <c r="A61">
        <v>2164</v>
      </c>
      <c r="B61" t="s">
        <v>13</v>
      </c>
      <c r="C61" t="s">
        <v>95</v>
      </c>
      <c r="D61">
        <v>0</v>
      </c>
      <c r="E61">
        <v>38170</v>
      </c>
      <c r="F61">
        <v>2958465</v>
      </c>
      <c r="G61">
        <v>2163</v>
      </c>
      <c r="H61" t="s">
        <v>13</v>
      </c>
      <c r="I61" t="s">
        <v>95</v>
      </c>
      <c r="J61">
        <v>0</v>
      </c>
      <c r="K61">
        <v>0</v>
      </c>
      <c r="N61">
        <v>3</v>
      </c>
      <c r="O61" t="s">
        <v>96</v>
      </c>
      <c r="P61" t="s">
        <v>1252</v>
      </c>
      <c r="Q61" s="30">
        <f>IF(CustomerHierarchyLevels[[#This Row],[HgLvCust.]]=0,CustomerHierarchyLevels[[#This Row],[Customer]],CustomerHierarchyLevels[[#This Row],[HgLvCust.]])</f>
        <v>2163</v>
      </c>
      <c r="R61" s="30">
        <f>IF(VLOOKUP(CustomerHierarchyLevels[[#This Row],[Level1]],CustomerHierarchyLevels[],7,FALSE)=0,CustomerHierarchyLevels[[#This Row],[Level1]],VLOOKUP(CustomerHierarchyLevels[[#This Row],[Level1]],CustomerHierarchyLevels[],7,FALSE))</f>
        <v>2162</v>
      </c>
      <c r="S61" s="30">
        <f>IF(VLOOKUP(CustomerHierarchyLevels[[#This Row],[Level2]],CustomerHierarchyLevels[],7,FALSE)=0,CustomerHierarchyLevels[[#This Row],[Level2]],VLOOKUP(CustomerHierarchyLevels[[#This Row],[Level2]],CustomerHierarchyLevels[],7,FALSE))</f>
        <v>2162</v>
      </c>
    </row>
    <row r="62" spans="1:19" x14ac:dyDescent="0.25">
      <c r="A62">
        <v>2165</v>
      </c>
      <c r="B62" t="s">
        <v>13</v>
      </c>
      <c r="C62" t="s">
        <v>95</v>
      </c>
      <c r="D62">
        <v>0</v>
      </c>
      <c r="E62">
        <v>38170</v>
      </c>
      <c r="F62">
        <v>2958465</v>
      </c>
      <c r="G62">
        <v>2163</v>
      </c>
      <c r="H62" t="s">
        <v>13</v>
      </c>
      <c r="I62" t="s">
        <v>95</v>
      </c>
      <c r="J62">
        <v>0</v>
      </c>
      <c r="K62">
        <v>0</v>
      </c>
      <c r="N62">
        <v>3</v>
      </c>
      <c r="O62" t="s">
        <v>96</v>
      </c>
      <c r="P62" t="s">
        <v>1253</v>
      </c>
      <c r="Q62" s="30">
        <f>IF(CustomerHierarchyLevels[[#This Row],[HgLvCust.]]=0,CustomerHierarchyLevels[[#This Row],[Customer]],CustomerHierarchyLevels[[#This Row],[HgLvCust.]])</f>
        <v>2163</v>
      </c>
      <c r="R62" s="30">
        <f>IF(VLOOKUP(CustomerHierarchyLevels[[#This Row],[Level1]],CustomerHierarchyLevels[],7,FALSE)=0,CustomerHierarchyLevels[[#This Row],[Level1]],VLOOKUP(CustomerHierarchyLevels[[#This Row],[Level1]],CustomerHierarchyLevels[],7,FALSE))</f>
        <v>2162</v>
      </c>
      <c r="S62" s="30">
        <f>IF(VLOOKUP(CustomerHierarchyLevels[[#This Row],[Level2]],CustomerHierarchyLevels[],7,FALSE)=0,CustomerHierarchyLevels[[#This Row],[Level2]],VLOOKUP(CustomerHierarchyLevels[[#This Row],[Level2]],CustomerHierarchyLevels[],7,FALSE))</f>
        <v>2162</v>
      </c>
    </row>
    <row r="63" spans="1:19" x14ac:dyDescent="0.25">
      <c r="A63">
        <v>2166</v>
      </c>
      <c r="B63" t="s">
        <v>13</v>
      </c>
      <c r="C63" t="s">
        <v>95</v>
      </c>
      <c r="D63">
        <v>0</v>
      </c>
      <c r="E63">
        <v>38170</v>
      </c>
      <c r="F63">
        <v>2958465</v>
      </c>
      <c r="G63">
        <v>2163</v>
      </c>
      <c r="H63" t="s">
        <v>13</v>
      </c>
      <c r="I63" t="s">
        <v>95</v>
      </c>
      <c r="J63">
        <v>0</v>
      </c>
      <c r="K63">
        <v>0</v>
      </c>
      <c r="N63">
        <v>3</v>
      </c>
      <c r="O63" t="s">
        <v>96</v>
      </c>
      <c r="P63" t="s">
        <v>1254</v>
      </c>
      <c r="Q63" s="30">
        <f>IF(CustomerHierarchyLevels[[#This Row],[HgLvCust.]]=0,CustomerHierarchyLevels[[#This Row],[Customer]],CustomerHierarchyLevels[[#This Row],[HgLvCust.]])</f>
        <v>2163</v>
      </c>
      <c r="R63" s="30">
        <f>IF(VLOOKUP(CustomerHierarchyLevels[[#This Row],[Level1]],CustomerHierarchyLevels[],7,FALSE)=0,CustomerHierarchyLevels[[#This Row],[Level1]],VLOOKUP(CustomerHierarchyLevels[[#This Row],[Level1]],CustomerHierarchyLevels[],7,FALSE))</f>
        <v>2162</v>
      </c>
      <c r="S63" s="30">
        <f>IF(VLOOKUP(CustomerHierarchyLevels[[#This Row],[Level2]],CustomerHierarchyLevels[],7,FALSE)=0,CustomerHierarchyLevels[[#This Row],[Level2]],VLOOKUP(CustomerHierarchyLevels[[#This Row],[Level2]],CustomerHierarchyLevels[],7,FALSE))</f>
        <v>2162</v>
      </c>
    </row>
    <row r="64" spans="1:19" x14ac:dyDescent="0.25">
      <c r="A64">
        <v>2167</v>
      </c>
      <c r="B64" t="s">
        <v>13</v>
      </c>
      <c r="C64" t="s">
        <v>95</v>
      </c>
      <c r="D64">
        <v>0</v>
      </c>
      <c r="E64">
        <v>38170</v>
      </c>
      <c r="F64">
        <v>2958465</v>
      </c>
      <c r="G64">
        <v>2163</v>
      </c>
      <c r="H64" t="s">
        <v>13</v>
      </c>
      <c r="I64" t="s">
        <v>95</v>
      </c>
      <c r="J64">
        <v>0</v>
      </c>
      <c r="K64">
        <v>0</v>
      </c>
      <c r="N64">
        <v>3</v>
      </c>
      <c r="O64" t="s">
        <v>96</v>
      </c>
      <c r="P64" t="s">
        <v>1255</v>
      </c>
      <c r="Q64" s="30">
        <f>IF(CustomerHierarchyLevels[[#This Row],[HgLvCust.]]=0,CustomerHierarchyLevels[[#This Row],[Customer]],CustomerHierarchyLevels[[#This Row],[HgLvCust.]])</f>
        <v>2163</v>
      </c>
      <c r="R64" s="30">
        <f>IF(VLOOKUP(CustomerHierarchyLevels[[#This Row],[Level1]],CustomerHierarchyLevels[],7,FALSE)=0,CustomerHierarchyLevels[[#This Row],[Level1]],VLOOKUP(CustomerHierarchyLevels[[#This Row],[Level1]],CustomerHierarchyLevels[],7,FALSE))</f>
        <v>2162</v>
      </c>
      <c r="S64" s="30">
        <f>IF(VLOOKUP(CustomerHierarchyLevels[[#This Row],[Level2]],CustomerHierarchyLevels[],7,FALSE)=0,CustomerHierarchyLevels[[#This Row],[Level2]],VLOOKUP(CustomerHierarchyLevels[[#This Row],[Level2]],CustomerHierarchyLevels[],7,FALSE))</f>
        <v>2162</v>
      </c>
    </row>
    <row r="65" spans="1:19" x14ac:dyDescent="0.25">
      <c r="A65">
        <v>2168</v>
      </c>
      <c r="B65" t="s">
        <v>13</v>
      </c>
      <c r="C65" t="s">
        <v>95</v>
      </c>
      <c r="D65">
        <v>0</v>
      </c>
      <c r="E65">
        <v>38170</v>
      </c>
      <c r="F65">
        <v>2958465</v>
      </c>
      <c r="G65">
        <v>2163</v>
      </c>
      <c r="H65" t="s">
        <v>13</v>
      </c>
      <c r="I65" t="s">
        <v>95</v>
      </c>
      <c r="J65">
        <v>0</v>
      </c>
      <c r="K65">
        <v>0</v>
      </c>
      <c r="N65">
        <v>3</v>
      </c>
      <c r="O65" t="s">
        <v>96</v>
      </c>
      <c r="P65" t="s">
        <v>1256</v>
      </c>
      <c r="Q65" s="30">
        <f>IF(CustomerHierarchyLevels[[#This Row],[HgLvCust.]]=0,CustomerHierarchyLevels[[#This Row],[Customer]],CustomerHierarchyLevels[[#This Row],[HgLvCust.]])</f>
        <v>2163</v>
      </c>
      <c r="R65" s="30">
        <f>IF(VLOOKUP(CustomerHierarchyLevels[[#This Row],[Level1]],CustomerHierarchyLevels[],7,FALSE)=0,CustomerHierarchyLevels[[#This Row],[Level1]],VLOOKUP(CustomerHierarchyLevels[[#This Row],[Level1]],CustomerHierarchyLevels[],7,FALSE))</f>
        <v>2162</v>
      </c>
      <c r="S65" s="30">
        <f>IF(VLOOKUP(CustomerHierarchyLevels[[#This Row],[Level2]],CustomerHierarchyLevels[],7,FALSE)=0,CustomerHierarchyLevels[[#This Row],[Level2]],VLOOKUP(CustomerHierarchyLevels[[#This Row],[Level2]],CustomerHierarchyLevels[],7,FALSE))</f>
        <v>2162</v>
      </c>
    </row>
    <row r="66" spans="1:19" x14ac:dyDescent="0.25">
      <c r="A66">
        <v>2169</v>
      </c>
      <c r="B66" t="s">
        <v>13</v>
      </c>
      <c r="C66" t="s">
        <v>95</v>
      </c>
      <c r="D66">
        <v>0</v>
      </c>
      <c r="E66">
        <v>38170</v>
      </c>
      <c r="F66">
        <v>2958465</v>
      </c>
      <c r="G66">
        <v>2163</v>
      </c>
      <c r="H66" t="s">
        <v>13</v>
      </c>
      <c r="I66" t="s">
        <v>95</v>
      </c>
      <c r="J66">
        <v>0</v>
      </c>
      <c r="K66">
        <v>0</v>
      </c>
      <c r="N66">
        <v>3</v>
      </c>
      <c r="O66" t="s">
        <v>96</v>
      </c>
      <c r="P66" t="s">
        <v>1257</v>
      </c>
      <c r="Q66" s="30">
        <f>IF(CustomerHierarchyLevels[[#This Row],[HgLvCust.]]=0,CustomerHierarchyLevels[[#This Row],[Customer]],CustomerHierarchyLevels[[#This Row],[HgLvCust.]])</f>
        <v>2163</v>
      </c>
      <c r="R66" s="30">
        <f>IF(VLOOKUP(CustomerHierarchyLevels[[#This Row],[Level1]],CustomerHierarchyLevels[],7,FALSE)=0,CustomerHierarchyLevels[[#This Row],[Level1]],VLOOKUP(CustomerHierarchyLevels[[#This Row],[Level1]],CustomerHierarchyLevels[],7,FALSE))</f>
        <v>2162</v>
      </c>
      <c r="S66" s="30">
        <f>IF(VLOOKUP(CustomerHierarchyLevels[[#This Row],[Level2]],CustomerHierarchyLevels[],7,FALSE)=0,CustomerHierarchyLevels[[#This Row],[Level2]],VLOOKUP(CustomerHierarchyLevels[[#This Row],[Level2]],CustomerHierarchyLevels[],7,FALSE))</f>
        <v>2162</v>
      </c>
    </row>
    <row r="67" spans="1:19" x14ac:dyDescent="0.25">
      <c r="A67">
        <v>2170</v>
      </c>
      <c r="B67" t="s">
        <v>13</v>
      </c>
      <c r="C67" t="s">
        <v>95</v>
      </c>
      <c r="D67">
        <v>0</v>
      </c>
      <c r="E67">
        <v>38170</v>
      </c>
      <c r="F67">
        <v>2958465</v>
      </c>
      <c r="G67">
        <v>2163</v>
      </c>
      <c r="H67" t="s">
        <v>13</v>
      </c>
      <c r="I67" t="s">
        <v>95</v>
      </c>
      <c r="J67">
        <v>0</v>
      </c>
      <c r="K67">
        <v>0</v>
      </c>
      <c r="N67">
        <v>3</v>
      </c>
      <c r="O67" t="s">
        <v>96</v>
      </c>
      <c r="P67" t="s">
        <v>1258</v>
      </c>
      <c r="Q67" s="30">
        <f>IF(CustomerHierarchyLevels[[#This Row],[HgLvCust.]]=0,CustomerHierarchyLevels[[#This Row],[Customer]],CustomerHierarchyLevels[[#This Row],[HgLvCust.]])</f>
        <v>2163</v>
      </c>
      <c r="R67" s="30">
        <f>IF(VLOOKUP(CustomerHierarchyLevels[[#This Row],[Level1]],CustomerHierarchyLevels[],7,FALSE)=0,CustomerHierarchyLevels[[#This Row],[Level1]],VLOOKUP(CustomerHierarchyLevels[[#This Row],[Level1]],CustomerHierarchyLevels[],7,FALSE))</f>
        <v>2162</v>
      </c>
      <c r="S67" s="30">
        <f>IF(VLOOKUP(CustomerHierarchyLevels[[#This Row],[Level2]],CustomerHierarchyLevels[],7,FALSE)=0,CustomerHierarchyLevels[[#This Row],[Level2]],VLOOKUP(CustomerHierarchyLevels[[#This Row],[Level2]],CustomerHierarchyLevels[],7,FALSE))</f>
        <v>2162</v>
      </c>
    </row>
    <row r="68" spans="1:19" x14ac:dyDescent="0.25">
      <c r="A68">
        <v>2171</v>
      </c>
      <c r="B68" t="s">
        <v>13</v>
      </c>
      <c r="C68" t="s">
        <v>95</v>
      </c>
      <c r="D68">
        <v>0</v>
      </c>
      <c r="E68">
        <v>38170</v>
      </c>
      <c r="F68">
        <v>2958465</v>
      </c>
      <c r="G68">
        <v>2163</v>
      </c>
      <c r="H68" t="s">
        <v>13</v>
      </c>
      <c r="I68" t="s">
        <v>95</v>
      </c>
      <c r="J68">
        <v>0</v>
      </c>
      <c r="K68">
        <v>0</v>
      </c>
      <c r="N68">
        <v>3</v>
      </c>
      <c r="O68" t="s">
        <v>96</v>
      </c>
      <c r="P68" t="s">
        <v>1259</v>
      </c>
      <c r="Q68" s="30">
        <f>IF(CustomerHierarchyLevels[[#This Row],[HgLvCust.]]=0,CustomerHierarchyLevels[[#This Row],[Customer]],CustomerHierarchyLevels[[#This Row],[HgLvCust.]])</f>
        <v>2163</v>
      </c>
      <c r="R68" s="30">
        <f>IF(VLOOKUP(CustomerHierarchyLevels[[#This Row],[Level1]],CustomerHierarchyLevels[],7,FALSE)=0,CustomerHierarchyLevels[[#This Row],[Level1]],VLOOKUP(CustomerHierarchyLevels[[#This Row],[Level1]],CustomerHierarchyLevels[],7,FALSE))</f>
        <v>2162</v>
      </c>
      <c r="S68" s="30">
        <f>IF(VLOOKUP(CustomerHierarchyLevels[[#This Row],[Level2]],CustomerHierarchyLevels[],7,FALSE)=0,CustomerHierarchyLevels[[#This Row],[Level2]],VLOOKUP(CustomerHierarchyLevels[[#This Row],[Level2]],CustomerHierarchyLevels[],7,FALSE))</f>
        <v>2162</v>
      </c>
    </row>
    <row r="69" spans="1:19" x14ac:dyDescent="0.25">
      <c r="A69">
        <v>2172</v>
      </c>
      <c r="B69" t="s">
        <v>13</v>
      </c>
      <c r="C69" t="s">
        <v>95</v>
      </c>
      <c r="D69">
        <v>0</v>
      </c>
      <c r="E69">
        <v>38170</v>
      </c>
      <c r="F69">
        <v>2958465</v>
      </c>
      <c r="G69">
        <v>2163</v>
      </c>
      <c r="H69" t="s">
        <v>13</v>
      </c>
      <c r="I69" t="s">
        <v>95</v>
      </c>
      <c r="J69">
        <v>0</v>
      </c>
      <c r="K69">
        <v>0</v>
      </c>
      <c r="N69">
        <v>3</v>
      </c>
      <c r="O69" t="s">
        <v>96</v>
      </c>
      <c r="P69" t="s">
        <v>1260</v>
      </c>
      <c r="Q69" s="30">
        <f>IF(CustomerHierarchyLevels[[#This Row],[HgLvCust.]]=0,CustomerHierarchyLevels[[#This Row],[Customer]],CustomerHierarchyLevels[[#This Row],[HgLvCust.]])</f>
        <v>2163</v>
      </c>
      <c r="R69" s="30">
        <f>IF(VLOOKUP(CustomerHierarchyLevels[[#This Row],[Level1]],CustomerHierarchyLevels[],7,FALSE)=0,CustomerHierarchyLevels[[#This Row],[Level1]],VLOOKUP(CustomerHierarchyLevels[[#This Row],[Level1]],CustomerHierarchyLevels[],7,FALSE))</f>
        <v>2162</v>
      </c>
      <c r="S69" s="30">
        <f>IF(VLOOKUP(CustomerHierarchyLevels[[#This Row],[Level2]],CustomerHierarchyLevels[],7,FALSE)=0,CustomerHierarchyLevels[[#This Row],[Level2]],VLOOKUP(CustomerHierarchyLevels[[#This Row],[Level2]],CustomerHierarchyLevels[],7,FALSE))</f>
        <v>2162</v>
      </c>
    </row>
    <row r="70" spans="1:19" x14ac:dyDescent="0.25">
      <c r="A70">
        <v>2173</v>
      </c>
      <c r="B70" t="s">
        <v>13</v>
      </c>
      <c r="C70" t="s">
        <v>95</v>
      </c>
      <c r="D70">
        <v>0</v>
      </c>
      <c r="E70">
        <v>38170</v>
      </c>
      <c r="F70">
        <v>2958465</v>
      </c>
      <c r="G70">
        <v>2163</v>
      </c>
      <c r="H70" t="s">
        <v>13</v>
      </c>
      <c r="I70" t="s">
        <v>95</v>
      </c>
      <c r="J70">
        <v>0</v>
      </c>
      <c r="K70">
        <v>0</v>
      </c>
      <c r="N70">
        <v>3</v>
      </c>
      <c r="O70" t="s">
        <v>96</v>
      </c>
      <c r="P70" t="s">
        <v>1261</v>
      </c>
      <c r="Q70" s="30">
        <f>IF(CustomerHierarchyLevels[[#This Row],[HgLvCust.]]=0,CustomerHierarchyLevels[[#This Row],[Customer]],CustomerHierarchyLevels[[#This Row],[HgLvCust.]])</f>
        <v>2163</v>
      </c>
      <c r="R70" s="30">
        <f>IF(VLOOKUP(CustomerHierarchyLevels[[#This Row],[Level1]],CustomerHierarchyLevels[],7,FALSE)=0,CustomerHierarchyLevels[[#This Row],[Level1]],VLOOKUP(CustomerHierarchyLevels[[#This Row],[Level1]],CustomerHierarchyLevels[],7,FALSE))</f>
        <v>2162</v>
      </c>
      <c r="S70" s="30">
        <f>IF(VLOOKUP(CustomerHierarchyLevels[[#This Row],[Level2]],CustomerHierarchyLevels[],7,FALSE)=0,CustomerHierarchyLevels[[#This Row],[Level2]],VLOOKUP(CustomerHierarchyLevels[[#This Row],[Level2]],CustomerHierarchyLevels[],7,FALSE))</f>
        <v>2162</v>
      </c>
    </row>
    <row r="71" spans="1:19" x14ac:dyDescent="0.25">
      <c r="A71">
        <v>2174</v>
      </c>
      <c r="B71" t="s">
        <v>13</v>
      </c>
      <c r="C71" t="s">
        <v>95</v>
      </c>
      <c r="D71">
        <v>0</v>
      </c>
      <c r="E71">
        <v>38170</v>
      </c>
      <c r="F71">
        <v>2958465</v>
      </c>
      <c r="G71">
        <v>2163</v>
      </c>
      <c r="H71" t="s">
        <v>13</v>
      </c>
      <c r="I71" t="s">
        <v>95</v>
      </c>
      <c r="J71">
        <v>0</v>
      </c>
      <c r="K71">
        <v>0</v>
      </c>
      <c r="N71">
        <v>3</v>
      </c>
      <c r="O71" t="s">
        <v>96</v>
      </c>
      <c r="P71" t="s">
        <v>1262</v>
      </c>
      <c r="Q71" s="30">
        <f>IF(CustomerHierarchyLevels[[#This Row],[HgLvCust.]]=0,CustomerHierarchyLevels[[#This Row],[Customer]],CustomerHierarchyLevels[[#This Row],[HgLvCust.]])</f>
        <v>2163</v>
      </c>
      <c r="R71" s="30">
        <f>IF(VLOOKUP(CustomerHierarchyLevels[[#This Row],[Level1]],CustomerHierarchyLevels[],7,FALSE)=0,CustomerHierarchyLevels[[#This Row],[Level1]],VLOOKUP(CustomerHierarchyLevels[[#This Row],[Level1]],CustomerHierarchyLevels[],7,FALSE))</f>
        <v>2162</v>
      </c>
      <c r="S71" s="30">
        <f>IF(VLOOKUP(CustomerHierarchyLevels[[#This Row],[Level2]],CustomerHierarchyLevels[],7,FALSE)=0,CustomerHierarchyLevels[[#This Row],[Level2]],VLOOKUP(CustomerHierarchyLevels[[#This Row],[Level2]],CustomerHierarchyLevels[],7,FALSE))</f>
        <v>2162</v>
      </c>
    </row>
    <row r="72" spans="1:19" x14ac:dyDescent="0.25">
      <c r="A72">
        <v>2175</v>
      </c>
      <c r="B72" t="s">
        <v>13</v>
      </c>
      <c r="C72" t="s">
        <v>95</v>
      </c>
      <c r="D72">
        <v>0</v>
      </c>
      <c r="E72">
        <v>38170</v>
      </c>
      <c r="F72">
        <v>2958465</v>
      </c>
      <c r="G72">
        <v>2163</v>
      </c>
      <c r="H72" t="s">
        <v>13</v>
      </c>
      <c r="I72" t="s">
        <v>95</v>
      </c>
      <c r="J72">
        <v>0</v>
      </c>
      <c r="K72">
        <v>0</v>
      </c>
      <c r="N72">
        <v>3</v>
      </c>
      <c r="O72" t="s">
        <v>96</v>
      </c>
      <c r="P72" t="s">
        <v>1263</v>
      </c>
      <c r="Q72" s="30">
        <f>IF(CustomerHierarchyLevels[[#This Row],[HgLvCust.]]=0,CustomerHierarchyLevels[[#This Row],[Customer]],CustomerHierarchyLevels[[#This Row],[HgLvCust.]])</f>
        <v>2163</v>
      </c>
      <c r="R72" s="30">
        <f>IF(VLOOKUP(CustomerHierarchyLevels[[#This Row],[Level1]],CustomerHierarchyLevels[],7,FALSE)=0,CustomerHierarchyLevels[[#This Row],[Level1]],VLOOKUP(CustomerHierarchyLevels[[#This Row],[Level1]],CustomerHierarchyLevels[],7,FALSE))</f>
        <v>2162</v>
      </c>
      <c r="S72" s="30">
        <f>IF(VLOOKUP(CustomerHierarchyLevels[[#This Row],[Level2]],CustomerHierarchyLevels[],7,FALSE)=0,CustomerHierarchyLevels[[#This Row],[Level2]],VLOOKUP(CustomerHierarchyLevels[[#This Row],[Level2]],CustomerHierarchyLevels[],7,FALSE))</f>
        <v>2162</v>
      </c>
    </row>
    <row r="73" spans="1:19" x14ac:dyDescent="0.25">
      <c r="A73">
        <v>2176</v>
      </c>
      <c r="B73" t="s">
        <v>13</v>
      </c>
      <c r="C73" t="s">
        <v>95</v>
      </c>
      <c r="D73">
        <v>0</v>
      </c>
      <c r="E73">
        <v>38170</v>
      </c>
      <c r="F73">
        <v>2958465</v>
      </c>
      <c r="G73">
        <v>2163</v>
      </c>
      <c r="H73" t="s">
        <v>13</v>
      </c>
      <c r="I73" t="s">
        <v>95</v>
      </c>
      <c r="J73">
        <v>0</v>
      </c>
      <c r="K73">
        <v>0</v>
      </c>
      <c r="N73">
        <v>3</v>
      </c>
      <c r="O73" t="s">
        <v>96</v>
      </c>
      <c r="P73" t="s">
        <v>1264</v>
      </c>
      <c r="Q73" s="30">
        <f>IF(CustomerHierarchyLevels[[#This Row],[HgLvCust.]]=0,CustomerHierarchyLevels[[#This Row],[Customer]],CustomerHierarchyLevels[[#This Row],[HgLvCust.]])</f>
        <v>2163</v>
      </c>
      <c r="R73" s="30">
        <f>IF(VLOOKUP(CustomerHierarchyLevels[[#This Row],[Level1]],CustomerHierarchyLevels[],7,FALSE)=0,CustomerHierarchyLevels[[#This Row],[Level1]],VLOOKUP(CustomerHierarchyLevels[[#This Row],[Level1]],CustomerHierarchyLevels[],7,FALSE))</f>
        <v>2162</v>
      </c>
      <c r="S73" s="30">
        <f>IF(VLOOKUP(CustomerHierarchyLevels[[#This Row],[Level2]],CustomerHierarchyLevels[],7,FALSE)=0,CustomerHierarchyLevels[[#This Row],[Level2]],VLOOKUP(CustomerHierarchyLevels[[#This Row],[Level2]],CustomerHierarchyLevels[],7,FALSE))</f>
        <v>2162</v>
      </c>
    </row>
    <row r="74" spans="1:19" x14ac:dyDescent="0.25">
      <c r="A74">
        <v>2177</v>
      </c>
      <c r="B74" t="s">
        <v>13</v>
      </c>
      <c r="C74" t="s">
        <v>95</v>
      </c>
      <c r="D74">
        <v>0</v>
      </c>
      <c r="E74">
        <v>38170</v>
      </c>
      <c r="F74">
        <v>2958465</v>
      </c>
      <c r="G74">
        <v>2163</v>
      </c>
      <c r="H74" t="s">
        <v>13</v>
      </c>
      <c r="I74" t="s">
        <v>95</v>
      </c>
      <c r="J74">
        <v>0</v>
      </c>
      <c r="K74">
        <v>0</v>
      </c>
      <c r="N74">
        <v>3</v>
      </c>
      <c r="O74" t="s">
        <v>96</v>
      </c>
      <c r="P74" t="s">
        <v>1265</v>
      </c>
      <c r="Q74" s="30">
        <f>IF(CustomerHierarchyLevels[[#This Row],[HgLvCust.]]=0,CustomerHierarchyLevels[[#This Row],[Customer]],CustomerHierarchyLevels[[#This Row],[HgLvCust.]])</f>
        <v>2163</v>
      </c>
      <c r="R74" s="30">
        <f>IF(VLOOKUP(CustomerHierarchyLevels[[#This Row],[Level1]],CustomerHierarchyLevels[],7,FALSE)=0,CustomerHierarchyLevels[[#This Row],[Level1]],VLOOKUP(CustomerHierarchyLevels[[#This Row],[Level1]],CustomerHierarchyLevels[],7,FALSE))</f>
        <v>2162</v>
      </c>
      <c r="S74" s="30">
        <f>IF(VLOOKUP(CustomerHierarchyLevels[[#This Row],[Level2]],CustomerHierarchyLevels[],7,FALSE)=0,CustomerHierarchyLevels[[#This Row],[Level2]],VLOOKUP(CustomerHierarchyLevels[[#This Row],[Level2]],CustomerHierarchyLevels[],7,FALSE))</f>
        <v>2162</v>
      </c>
    </row>
    <row r="75" spans="1:19" x14ac:dyDescent="0.25">
      <c r="A75">
        <v>2178</v>
      </c>
      <c r="B75" t="s">
        <v>13</v>
      </c>
      <c r="C75" t="s">
        <v>95</v>
      </c>
      <c r="D75">
        <v>0</v>
      </c>
      <c r="E75">
        <v>38170</v>
      </c>
      <c r="F75">
        <v>2958465</v>
      </c>
      <c r="G75">
        <v>2163</v>
      </c>
      <c r="H75" t="s">
        <v>13</v>
      </c>
      <c r="I75" t="s">
        <v>95</v>
      </c>
      <c r="J75">
        <v>0</v>
      </c>
      <c r="K75">
        <v>0</v>
      </c>
      <c r="N75">
        <v>3</v>
      </c>
      <c r="O75" t="s">
        <v>96</v>
      </c>
      <c r="P75" t="s">
        <v>1266</v>
      </c>
      <c r="Q75" s="30">
        <f>IF(CustomerHierarchyLevels[[#This Row],[HgLvCust.]]=0,CustomerHierarchyLevels[[#This Row],[Customer]],CustomerHierarchyLevels[[#This Row],[HgLvCust.]])</f>
        <v>2163</v>
      </c>
      <c r="R75" s="30">
        <f>IF(VLOOKUP(CustomerHierarchyLevels[[#This Row],[Level1]],CustomerHierarchyLevels[],7,FALSE)=0,CustomerHierarchyLevels[[#This Row],[Level1]],VLOOKUP(CustomerHierarchyLevels[[#This Row],[Level1]],CustomerHierarchyLevels[],7,FALSE))</f>
        <v>2162</v>
      </c>
      <c r="S75" s="30">
        <f>IF(VLOOKUP(CustomerHierarchyLevels[[#This Row],[Level2]],CustomerHierarchyLevels[],7,FALSE)=0,CustomerHierarchyLevels[[#This Row],[Level2]],VLOOKUP(CustomerHierarchyLevels[[#This Row],[Level2]],CustomerHierarchyLevels[],7,FALSE))</f>
        <v>2162</v>
      </c>
    </row>
    <row r="76" spans="1:19" x14ac:dyDescent="0.25">
      <c r="A76">
        <v>2179</v>
      </c>
      <c r="B76" t="s">
        <v>13</v>
      </c>
      <c r="C76" t="s">
        <v>95</v>
      </c>
      <c r="D76">
        <v>0</v>
      </c>
      <c r="E76">
        <v>38170</v>
      </c>
      <c r="F76">
        <v>2958465</v>
      </c>
      <c r="G76">
        <v>2163</v>
      </c>
      <c r="H76" t="s">
        <v>13</v>
      </c>
      <c r="I76" t="s">
        <v>95</v>
      </c>
      <c r="J76">
        <v>0</v>
      </c>
      <c r="K76">
        <v>0</v>
      </c>
      <c r="N76">
        <v>3</v>
      </c>
      <c r="O76" t="s">
        <v>96</v>
      </c>
      <c r="P76" t="s">
        <v>1267</v>
      </c>
      <c r="Q76" s="30">
        <f>IF(CustomerHierarchyLevels[[#This Row],[HgLvCust.]]=0,CustomerHierarchyLevels[[#This Row],[Customer]],CustomerHierarchyLevels[[#This Row],[HgLvCust.]])</f>
        <v>2163</v>
      </c>
      <c r="R76" s="30">
        <f>IF(VLOOKUP(CustomerHierarchyLevels[[#This Row],[Level1]],CustomerHierarchyLevels[],7,FALSE)=0,CustomerHierarchyLevels[[#This Row],[Level1]],VLOOKUP(CustomerHierarchyLevels[[#This Row],[Level1]],CustomerHierarchyLevels[],7,FALSE))</f>
        <v>2162</v>
      </c>
      <c r="S76" s="30">
        <f>IF(VLOOKUP(CustomerHierarchyLevels[[#This Row],[Level2]],CustomerHierarchyLevels[],7,FALSE)=0,CustomerHierarchyLevels[[#This Row],[Level2]],VLOOKUP(CustomerHierarchyLevels[[#This Row],[Level2]],CustomerHierarchyLevels[],7,FALSE))</f>
        <v>2162</v>
      </c>
    </row>
    <row r="77" spans="1:19" x14ac:dyDescent="0.25">
      <c r="A77">
        <v>2180</v>
      </c>
      <c r="B77" t="s">
        <v>13</v>
      </c>
      <c r="C77" t="s">
        <v>95</v>
      </c>
      <c r="D77">
        <v>0</v>
      </c>
      <c r="E77">
        <v>38170</v>
      </c>
      <c r="F77">
        <v>2958465</v>
      </c>
      <c r="G77">
        <v>2163</v>
      </c>
      <c r="H77" t="s">
        <v>13</v>
      </c>
      <c r="I77" t="s">
        <v>95</v>
      </c>
      <c r="J77">
        <v>0</v>
      </c>
      <c r="K77">
        <v>0</v>
      </c>
      <c r="N77">
        <v>3</v>
      </c>
      <c r="O77" t="s">
        <v>96</v>
      </c>
      <c r="P77" t="s">
        <v>1268</v>
      </c>
      <c r="Q77" s="30">
        <f>IF(CustomerHierarchyLevels[[#This Row],[HgLvCust.]]=0,CustomerHierarchyLevels[[#This Row],[Customer]],CustomerHierarchyLevels[[#This Row],[HgLvCust.]])</f>
        <v>2163</v>
      </c>
      <c r="R77" s="30">
        <f>IF(VLOOKUP(CustomerHierarchyLevels[[#This Row],[Level1]],CustomerHierarchyLevels[],7,FALSE)=0,CustomerHierarchyLevels[[#This Row],[Level1]],VLOOKUP(CustomerHierarchyLevels[[#This Row],[Level1]],CustomerHierarchyLevels[],7,FALSE))</f>
        <v>2162</v>
      </c>
      <c r="S77" s="30">
        <f>IF(VLOOKUP(CustomerHierarchyLevels[[#This Row],[Level2]],CustomerHierarchyLevels[],7,FALSE)=0,CustomerHierarchyLevels[[#This Row],[Level2]],VLOOKUP(CustomerHierarchyLevels[[#This Row],[Level2]],CustomerHierarchyLevels[],7,FALSE))</f>
        <v>2162</v>
      </c>
    </row>
    <row r="78" spans="1:19" x14ac:dyDescent="0.25">
      <c r="A78">
        <v>2181</v>
      </c>
      <c r="B78" t="s">
        <v>13</v>
      </c>
      <c r="C78" t="s">
        <v>95</v>
      </c>
      <c r="D78">
        <v>0</v>
      </c>
      <c r="E78">
        <v>38170</v>
      </c>
      <c r="F78">
        <v>2958465</v>
      </c>
      <c r="G78">
        <v>2163</v>
      </c>
      <c r="H78" t="s">
        <v>13</v>
      </c>
      <c r="I78" t="s">
        <v>95</v>
      </c>
      <c r="J78">
        <v>0</v>
      </c>
      <c r="K78">
        <v>0</v>
      </c>
      <c r="N78">
        <v>3</v>
      </c>
      <c r="O78" t="s">
        <v>96</v>
      </c>
      <c r="P78" t="s">
        <v>1269</v>
      </c>
      <c r="Q78" s="30">
        <f>IF(CustomerHierarchyLevels[[#This Row],[HgLvCust.]]=0,CustomerHierarchyLevels[[#This Row],[Customer]],CustomerHierarchyLevels[[#This Row],[HgLvCust.]])</f>
        <v>2163</v>
      </c>
      <c r="R78" s="30">
        <f>IF(VLOOKUP(CustomerHierarchyLevels[[#This Row],[Level1]],CustomerHierarchyLevels[],7,FALSE)=0,CustomerHierarchyLevels[[#This Row],[Level1]],VLOOKUP(CustomerHierarchyLevels[[#This Row],[Level1]],CustomerHierarchyLevels[],7,FALSE))</f>
        <v>2162</v>
      </c>
      <c r="S78" s="30">
        <f>IF(VLOOKUP(CustomerHierarchyLevels[[#This Row],[Level2]],CustomerHierarchyLevels[],7,FALSE)=0,CustomerHierarchyLevels[[#This Row],[Level2]],VLOOKUP(CustomerHierarchyLevels[[#This Row],[Level2]],CustomerHierarchyLevels[],7,FALSE))</f>
        <v>2162</v>
      </c>
    </row>
    <row r="79" spans="1:19" x14ac:dyDescent="0.25">
      <c r="A79">
        <v>2182</v>
      </c>
      <c r="B79" t="s">
        <v>13</v>
      </c>
      <c r="C79" t="s">
        <v>95</v>
      </c>
      <c r="D79">
        <v>0</v>
      </c>
      <c r="E79">
        <v>38170</v>
      </c>
      <c r="F79">
        <v>2958465</v>
      </c>
      <c r="G79">
        <v>2163</v>
      </c>
      <c r="H79" t="s">
        <v>13</v>
      </c>
      <c r="I79" t="s">
        <v>95</v>
      </c>
      <c r="J79">
        <v>0</v>
      </c>
      <c r="K79">
        <v>0</v>
      </c>
      <c r="N79">
        <v>3</v>
      </c>
      <c r="O79" t="s">
        <v>96</v>
      </c>
      <c r="P79" t="s">
        <v>1270</v>
      </c>
      <c r="Q79" s="30">
        <f>IF(CustomerHierarchyLevels[[#This Row],[HgLvCust.]]=0,CustomerHierarchyLevels[[#This Row],[Customer]],CustomerHierarchyLevels[[#This Row],[HgLvCust.]])</f>
        <v>2163</v>
      </c>
      <c r="R79" s="30">
        <f>IF(VLOOKUP(CustomerHierarchyLevels[[#This Row],[Level1]],CustomerHierarchyLevels[],7,FALSE)=0,CustomerHierarchyLevels[[#This Row],[Level1]],VLOOKUP(CustomerHierarchyLevels[[#This Row],[Level1]],CustomerHierarchyLevels[],7,FALSE))</f>
        <v>2162</v>
      </c>
      <c r="S79" s="30">
        <f>IF(VLOOKUP(CustomerHierarchyLevels[[#This Row],[Level2]],CustomerHierarchyLevels[],7,FALSE)=0,CustomerHierarchyLevels[[#This Row],[Level2]],VLOOKUP(CustomerHierarchyLevels[[#This Row],[Level2]],CustomerHierarchyLevels[],7,FALSE))</f>
        <v>2162</v>
      </c>
    </row>
    <row r="80" spans="1:19" x14ac:dyDescent="0.25">
      <c r="A80">
        <v>2183</v>
      </c>
      <c r="B80" t="s">
        <v>13</v>
      </c>
      <c r="C80" t="s">
        <v>95</v>
      </c>
      <c r="D80">
        <v>0</v>
      </c>
      <c r="E80">
        <v>38170</v>
      </c>
      <c r="F80">
        <v>2958465</v>
      </c>
      <c r="G80">
        <v>2163</v>
      </c>
      <c r="H80" t="s">
        <v>13</v>
      </c>
      <c r="I80" t="s">
        <v>95</v>
      </c>
      <c r="J80">
        <v>0</v>
      </c>
      <c r="K80">
        <v>0</v>
      </c>
      <c r="N80">
        <v>3</v>
      </c>
      <c r="O80" t="s">
        <v>96</v>
      </c>
      <c r="P80" t="s">
        <v>1271</v>
      </c>
      <c r="Q80" s="30">
        <f>IF(CustomerHierarchyLevels[[#This Row],[HgLvCust.]]=0,CustomerHierarchyLevels[[#This Row],[Customer]],CustomerHierarchyLevels[[#This Row],[HgLvCust.]])</f>
        <v>2163</v>
      </c>
      <c r="R80" s="30">
        <f>IF(VLOOKUP(CustomerHierarchyLevels[[#This Row],[Level1]],CustomerHierarchyLevels[],7,FALSE)=0,CustomerHierarchyLevels[[#This Row],[Level1]],VLOOKUP(CustomerHierarchyLevels[[#This Row],[Level1]],CustomerHierarchyLevels[],7,FALSE))</f>
        <v>2162</v>
      </c>
      <c r="S80" s="30">
        <f>IF(VLOOKUP(CustomerHierarchyLevels[[#This Row],[Level2]],CustomerHierarchyLevels[],7,FALSE)=0,CustomerHierarchyLevels[[#This Row],[Level2]],VLOOKUP(CustomerHierarchyLevels[[#This Row],[Level2]],CustomerHierarchyLevels[],7,FALSE))</f>
        <v>2162</v>
      </c>
    </row>
    <row r="81" spans="1:19" x14ac:dyDescent="0.25">
      <c r="A81">
        <v>2184</v>
      </c>
      <c r="B81" t="s">
        <v>13</v>
      </c>
      <c r="C81" t="s">
        <v>95</v>
      </c>
      <c r="D81">
        <v>0</v>
      </c>
      <c r="E81">
        <v>38170</v>
      </c>
      <c r="F81">
        <v>2958465</v>
      </c>
      <c r="G81">
        <v>2162</v>
      </c>
      <c r="H81" t="s">
        <v>13</v>
      </c>
      <c r="I81" t="s">
        <v>95</v>
      </c>
      <c r="J81">
        <v>0</v>
      </c>
      <c r="K81">
        <v>0</v>
      </c>
      <c r="N81">
        <v>2</v>
      </c>
      <c r="O81" t="s">
        <v>96</v>
      </c>
      <c r="P81" t="s">
        <v>1272</v>
      </c>
      <c r="Q81" s="30">
        <f>IF(CustomerHierarchyLevels[[#This Row],[HgLvCust.]]=0,CustomerHierarchyLevels[[#This Row],[Customer]],CustomerHierarchyLevels[[#This Row],[HgLvCust.]])</f>
        <v>2162</v>
      </c>
      <c r="R81" s="30">
        <f>IF(VLOOKUP(CustomerHierarchyLevels[[#This Row],[Level1]],CustomerHierarchyLevels[],7,FALSE)=0,CustomerHierarchyLevels[[#This Row],[Level1]],VLOOKUP(CustomerHierarchyLevels[[#This Row],[Level1]],CustomerHierarchyLevels[],7,FALSE))</f>
        <v>2162</v>
      </c>
      <c r="S81" s="30">
        <f>IF(VLOOKUP(CustomerHierarchyLevels[[#This Row],[Level2]],CustomerHierarchyLevels[],7,FALSE)=0,CustomerHierarchyLevels[[#This Row],[Level2]],VLOOKUP(CustomerHierarchyLevels[[#This Row],[Level2]],CustomerHierarchyLevels[],7,FALSE))</f>
        <v>2162</v>
      </c>
    </row>
    <row r="82" spans="1:19" x14ac:dyDescent="0.25">
      <c r="A82">
        <v>2185</v>
      </c>
      <c r="B82" t="s">
        <v>13</v>
      </c>
      <c r="C82" t="s">
        <v>95</v>
      </c>
      <c r="D82">
        <v>0</v>
      </c>
      <c r="E82">
        <v>38170</v>
      </c>
      <c r="F82">
        <v>2958465</v>
      </c>
      <c r="G82">
        <v>2184</v>
      </c>
      <c r="H82" t="s">
        <v>13</v>
      </c>
      <c r="I82" t="s">
        <v>95</v>
      </c>
      <c r="J82">
        <v>0</v>
      </c>
      <c r="K82">
        <v>0</v>
      </c>
      <c r="N82">
        <v>3</v>
      </c>
      <c r="O82" t="s">
        <v>96</v>
      </c>
      <c r="P82" t="s">
        <v>1273</v>
      </c>
      <c r="Q82" s="30">
        <f>IF(CustomerHierarchyLevels[[#This Row],[HgLvCust.]]=0,CustomerHierarchyLevels[[#This Row],[Customer]],CustomerHierarchyLevels[[#This Row],[HgLvCust.]])</f>
        <v>2184</v>
      </c>
      <c r="R82" s="30">
        <f>IF(VLOOKUP(CustomerHierarchyLevels[[#This Row],[Level1]],CustomerHierarchyLevels[],7,FALSE)=0,CustomerHierarchyLevels[[#This Row],[Level1]],VLOOKUP(CustomerHierarchyLevels[[#This Row],[Level1]],CustomerHierarchyLevels[],7,FALSE))</f>
        <v>2162</v>
      </c>
      <c r="S82" s="30">
        <f>IF(VLOOKUP(CustomerHierarchyLevels[[#This Row],[Level2]],CustomerHierarchyLevels[],7,FALSE)=0,CustomerHierarchyLevels[[#This Row],[Level2]],VLOOKUP(CustomerHierarchyLevels[[#This Row],[Level2]],CustomerHierarchyLevels[],7,FALSE))</f>
        <v>2162</v>
      </c>
    </row>
    <row r="83" spans="1:19" x14ac:dyDescent="0.25">
      <c r="A83">
        <v>2186</v>
      </c>
      <c r="B83" t="s">
        <v>13</v>
      </c>
      <c r="C83" t="s">
        <v>95</v>
      </c>
      <c r="D83">
        <v>0</v>
      </c>
      <c r="E83">
        <v>38170</v>
      </c>
      <c r="F83">
        <v>2958465</v>
      </c>
      <c r="G83">
        <v>2184</v>
      </c>
      <c r="H83" t="s">
        <v>13</v>
      </c>
      <c r="I83" t="s">
        <v>95</v>
      </c>
      <c r="J83">
        <v>0</v>
      </c>
      <c r="K83">
        <v>0</v>
      </c>
      <c r="N83">
        <v>3</v>
      </c>
      <c r="O83" t="s">
        <v>96</v>
      </c>
      <c r="P83" t="s">
        <v>1274</v>
      </c>
      <c r="Q83" s="30">
        <f>IF(CustomerHierarchyLevels[[#This Row],[HgLvCust.]]=0,CustomerHierarchyLevels[[#This Row],[Customer]],CustomerHierarchyLevels[[#This Row],[HgLvCust.]])</f>
        <v>2184</v>
      </c>
      <c r="R83" s="30">
        <f>IF(VLOOKUP(CustomerHierarchyLevels[[#This Row],[Level1]],CustomerHierarchyLevels[],7,FALSE)=0,CustomerHierarchyLevels[[#This Row],[Level1]],VLOOKUP(CustomerHierarchyLevels[[#This Row],[Level1]],CustomerHierarchyLevels[],7,FALSE))</f>
        <v>2162</v>
      </c>
      <c r="S83" s="30">
        <f>IF(VLOOKUP(CustomerHierarchyLevels[[#This Row],[Level2]],CustomerHierarchyLevels[],7,FALSE)=0,CustomerHierarchyLevels[[#This Row],[Level2]],VLOOKUP(CustomerHierarchyLevels[[#This Row],[Level2]],CustomerHierarchyLevels[],7,FALSE))</f>
        <v>2162</v>
      </c>
    </row>
    <row r="84" spans="1:19" x14ac:dyDescent="0.25">
      <c r="A84">
        <v>2187</v>
      </c>
      <c r="B84" t="s">
        <v>13</v>
      </c>
      <c r="C84" t="s">
        <v>95</v>
      </c>
      <c r="D84">
        <v>0</v>
      </c>
      <c r="E84">
        <v>38170</v>
      </c>
      <c r="F84">
        <v>2958465</v>
      </c>
      <c r="G84">
        <v>2184</v>
      </c>
      <c r="H84" t="s">
        <v>13</v>
      </c>
      <c r="I84" t="s">
        <v>95</v>
      </c>
      <c r="J84">
        <v>0</v>
      </c>
      <c r="K84">
        <v>0</v>
      </c>
      <c r="N84">
        <v>3</v>
      </c>
      <c r="O84" t="s">
        <v>96</v>
      </c>
      <c r="P84" t="s">
        <v>1275</v>
      </c>
      <c r="Q84" s="30">
        <f>IF(CustomerHierarchyLevels[[#This Row],[HgLvCust.]]=0,CustomerHierarchyLevels[[#This Row],[Customer]],CustomerHierarchyLevels[[#This Row],[HgLvCust.]])</f>
        <v>2184</v>
      </c>
      <c r="R84" s="30">
        <f>IF(VLOOKUP(CustomerHierarchyLevels[[#This Row],[Level1]],CustomerHierarchyLevels[],7,FALSE)=0,CustomerHierarchyLevels[[#This Row],[Level1]],VLOOKUP(CustomerHierarchyLevels[[#This Row],[Level1]],CustomerHierarchyLevels[],7,FALSE))</f>
        <v>2162</v>
      </c>
      <c r="S84" s="30">
        <f>IF(VLOOKUP(CustomerHierarchyLevels[[#This Row],[Level2]],CustomerHierarchyLevels[],7,FALSE)=0,CustomerHierarchyLevels[[#This Row],[Level2]],VLOOKUP(CustomerHierarchyLevels[[#This Row],[Level2]],CustomerHierarchyLevels[],7,FALSE))</f>
        <v>2162</v>
      </c>
    </row>
    <row r="85" spans="1:19" x14ac:dyDescent="0.25">
      <c r="A85">
        <v>2188</v>
      </c>
      <c r="B85" t="s">
        <v>13</v>
      </c>
      <c r="C85" t="s">
        <v>95</v>
      </c>
      <c r="D85">
        <v>0</v>
      </c>
      <c r="E85">
        <v>38170</v>
      </c>
      <c r="F85">
        <v>2958465</v>
      </c>
      <c r="G85">
        <v>2184</v>
      </c>
      <c r="H85" t="s">
        <v>13</v>
      </c>
      <c r="I85" t="s">
        <v>95</v>
      </c>
      <c r="J85">
        <v>0</v>
      </c>
      <c r="K85">
        <v>0</v>
      </c>
      <c r="N85">
        <v>3</v>
      </c>
      <c r="O85" t="s">
        <v>96</v>
      </c>
      <c r="P85" t="s">
        <v>1276</v>
      </c>
      <c r="Q85" s="30">
        <f>IF(CustomerHierarchyLevels[[#This Row],[HgLvCust.]]=0,CustomerHierarchyLevels[[#This Row],[Customer]],CustomerHierarchyLevels[[#This Row],[HgLvCust.]])</f>
        <v>2184</v>
      </c>
      <c r="R85" s="30">
        <f>IF(VLOOKUP(CustomerHierarchyLevels[[#This Row],[Level1]],CustomerHierarchyLevels[],7,FALSE)=0,CustomerHierarchyLevels[[#This Row],[Level1]],VLOOKUP(CustomerHierarchyLevels[[#This Row],[Level1]],CustomerHierarchyLevels[],7,FALSE))</f>
        <v>2162</v>
      </c>
      <c r="S85" s="30">
        <f>IF(VLOOKUP(CustomerHierarchyLevels[[#This Row],[Level2]],CustomerHierarchyLevels[],7,FALSE)=0,CustomerHierarchyLevels[[#This Row],[Level2]],VLOOKUP(CustomerHierarchyLevels[[#This Row],[Level2]],CustomerHierarchyLevels[],7,FALSE))</f>
        <v>2162</v>
      </c>
    </row>
    <row r="86" spans="1:19" x14ac:dyDescent="0.25">
      <c r="A86">
        <v>2189</v>
      </c>
      <c r="B86" t="s">
        <v>13</v>
      </c>
      <c r="C86" t="s">
        <v>95</v>
      </c>
      <c r="D86">
        <v>0</v>
      </c>
      <c r="E86">
        <v>38170</v>
      </c>
      <c r="F86">
        <v>2958465</v>
      </c>
      <c r="G86">
        <v>2184</v>
      </c>
      <c r="H86" t="s">
        <v>13</v>
      </c>
      <c r="I86" t="s">
        <v>95</v>
      </c>
      <c r="J86">
        <v>0</v>
      </c>
      <c r="K86">
        <v>0</v>
      </c>
      <c r="N86">
        <v>3</v>
      </c>
      <c r="O86" t="s">
        <v>96</v>
      </c>
      <c r="P86" t="s">
        <v>1277</v>
      </c>
      <c r="Q86" s="30">
        <f>IF(CustomerHierarchyLevels[[#This Row],[HgLvCust.]]=0,CustomerHierarchyLevels[[#This Row],[Customer]],CustomerHierarchyLevels[[#This Row],[HgLvCust.]])</f>
        <v>2184</v>
      </c>
      <c r="R86" s="30">
        <f>IF(VLOOKUP(CustomerHierarchyLevels[[#This Row],[Level1]],CustomerHierarchyLevels[],7,FALSE)=0,CustomerHierarchyLevels[[#This Row],[Level1]],VLOOKUP(CustomerHierarchyLevels[[#This Row],[Level1]],CustomerHierarchyLevels[],7,FALSE))</f>
        <v>2162</v>
      </c>
      <c r="S86" s="30">
        <f>IF(VLOOKUP(CustomerHierarchyLevels[[#This Row],[Level2]],CustomerHierarchyLevels[],7,FALSE)=0,CustomerHierarchyLevels[[#This Row],[Level2]],VLOOKUP(CustomerHierarchyLevels[[#This Row],[Level2]],CustomerHierarchyLevels[],7,FALSE))</f>
        <v>2162</v>
      </c>
    </row>
    <row r="87" spans="1:19" x14ac:dyDescent="0.25">
      <c r="A87">
        <v>2190</v>
      </c>
      <c r="B87" t="s">
        <v>13</v>
      </c>
      <c r="C87" t="s">
        <v>95</v>
      </c>
      <c r="D87">
        <v>0</v>
      </c>
      <c r="E87">
        <v>38170</v>
      </c>
      <c r="F87">
        <v>2958465</v>
      </c>
      <c r="G87">
        <v>2184</v>
      </c>
      <c r="H87" t="s">
        <v>13</v>
      </c>
      <c r="I87" t="s">
        <v>95</v>
      </c>
      <c r="J87">
        <v>0</v>
      </c>
      <c r="K87">
        <v>0</v>
      </c>
      <c r="N87">
        <v>3</v>
      </c>
      <c r="O87" t="s">
        <v>96</v>
      </c>
      <c r="P87" t="s">
        <v>1278</v>
      </c>
      <c r="Q87" s="30">
        <f>IF(CustomerHierarchyLevels[[#This Row],[HgLvCust.]]=0,CustomerHierarchyLevels[[#This Row],[Customer]],CustomerHierarchyLevels[[#This Row],[HgLvCust.]])</f>
        <v>2184</v>
      </c>
      <c r="R87" s="30">
        <f>IF(VLOOKUP(CustomerHierarchyLevels[[#This Row],[Level1]],CustomerHierarchyLevels[],7,FALSE)=0,CustomerHierarchyLevels[[#This Row],[Level1]],VLOOKUP(CustomerHierarchyLevels[[#This Row],[Level1]],CustomerHierarchyLevels[],7,FALSE))</f>
        <v>2162</v>
      </c>
      <c r="S87" s="30">
        <f>IF(VLOOKUP(CustomerHierarchyLevels[[#This Row],[Level2]],CustomerHierarchyLevels[],7,FALSE)=0,CustomerHierarchyLevels[[#This Row],[Level2]],VLOOKUP(CustomerHierarchyLevels[[#This Row],[Level2]],CustomerHierarchyLevels[],7,FALSE))</f>
        <v>2162</v>
      </c>
    </row>
    <row r="88" spans="1:19" x14ac:dyDescent="0.25">
      <c r="A88">
        <v>2191</v>
      </c>
      <c r="B88" t="s">
        <v>13</v>
      </c>
      <c r="C88" t="s">
        <v>95</v>
      </c>
      <c r="D88">
        <v>0</v>
      </c>
      <c r="E88">
        <v>38170</v>
      </c>
      <c r="F88">
        <v>2958465</v>
      </c>
      <c r="G88">
        <v>2184</v>
      </c>
      <c r="H88" t="s">
        <v>13</v>
      </c>
      <c r="I88" t="s">
        <v>95</v>
      </c>
      <c r="J88">
        <v>0</v>
      </c>
      <c r="K88">
        <v>0</v>
      </c>
      <c r="N88">
        <v>3</v>
      </c>
      <c r="O88" t="s">
        <v>96</v>
      </c>
      <c r="P88" t="s">
        <v>1279</v>
      </c>
      <c r="Q88" s="30">
        <f>IF(CustomerHierarchyLevels[[#This Row],[HgLvCust.]]=0,CustomerHierarchyLevels[[#This Row],[Customer]],CustomerHierarchyLevels[[#This Row],[HgLvCust.]])</f>
        <v>2184</v>
      </c>
      <c r="R88" s="30">
        <f>IF(VLOOKUP(CustomerHierarchyLevels[[#This Row],[Level1]],CustomerHierarchyLevels[],7,FALSE)=0,CustomerHierarchyLevels[[#This Row],[Level1]],VLOOKUP(CustomerHierarchyLevels[[#This Row],[Level1]],CustomerHierarchyLevels[],7,FALSE))</f>
        <v>2162</v>
      </c>
      <c r="S88" s="30">
        <f>IF(VLOOKUP(CustomerHierarchyLevels[[#This Row],[Level2]],CustomerHierarchyLevels[],7,FALSE)=0,CustomerHierarchyLevels[[#This Row],[Level2]],VLOOKUP(CustomerHierarchyLevels[[#This Row],[Level2]],CustomerHierarchyLevels[],7,FALSE))</f>
        <v>2162</v>
      </c>
    </row>
    <row r="89" spans="1:19" x14ac:dyDescent="0.25">
      <c r="A89">
        <v>2192</v>
      </c>
      <c r="B89" t="s">
        <v>13</v>
      </c>
      <c r="C89" t="s">
        <v>95</v>
      </c>
      <c r="D89">
        <v>0</v>
      </c>
      <c r="E89">
        <v>38170</v>
      </c>
      <c r="F89">
        <v>2958465</v>
      </c>
      <c r="G89">
        <v>2162</v>
      </c>
      <c r="H89" t="s">
        <v>13</v>
      </c>
      <c r="I89" t="s">
        <v>95</v>
      </c>
      <c r="J89">
        <v>0</v>
      </c>
      <c r="K89">
        <v>0</v>
      </c>
      <c r="N89">
        <v>2</v>
      </c>
      <c r="O89" t="s">
        <v>96</v>
      </c>
      <c r="P89" t="s">
        <v>1280</v>
      </c>
      <c r="Q89" s="30">
        <f>IF(CustomerHierarchyLevels[[#This Row],[HgLvCust.]]=0,CustomerHierarchyLevels[[#This Row],[Customer]],CustomerHierarchyLevels[[#This Row],[HgLvCust.]])</f>
        <v>2162</v>
      </c>
      <c r="R89" s="30">
        <f>IF(VLOOKUP(CustomerHierarchyLevels[[#This Row],[Level1]],CustomerHierarchyLevels[],7,FALSE)=0,CustomerHierarchyLevels[[#This Row],[Level1]],VLOOKUP(CustomerHierarchyLevels[[#This Row],[Level1]],CustomerHierarchyLevels[],7,FALSE))</f>
        <v>2162</v>
      </c>
      <c r="S89" s="30">
        <f>IF(VLOOKUP(CustomerHierarchyLevels[[#This Row],[Level2]],CustomerHierarchyLevels[],7,FALSE)=0,CustomerHierarchyLevels[[#This Row],[Level2]],VLOOKUP(CustomerHierarchyLevels[[#This Row],[Level2]],CustomerHierarchyLevels[],7,FALSE))</f>
        <v>2162</v>
      </c>
    </row>
    <row r="90" spans="1:19" x14ac:dyDescent="0.25">
      <c r="A90">
        <v>2193</v>
      </c>
      <c r="B90" t="s">
        <v>13</v>
      </c>
      <c r="C90" t="s">
        <v>95</v>
      </c>
      <c r="D90">
        <v>0</v>
      </c>
      <c r="E90">
        <v>38170</v>
      </c>
      <c r="F90">
        <v>2958465</v>
      </c>
      <c r="G90">
        <v>2192</v>
      </c>
      <c r="H90" t="s">
        <v>13</v>
      </c>
      <c r="I90" t="s">
        <v>95</v>
      </c>
      <c r="J90">
        <v>0</v>
      </c>
      <c r="K90">
        <v>0</v>
      </c>
      <c r="N90">
        <v>3</v>
      </c>
      <c r="O90" t="s">
        <v>96</v>
      </c>
      <c r="P90" t="s">
        <v>1281</v>
      </c>
      <c r="Q90" s="30">
        <f>IF(CustomerHierarchyLevels[[#This Row],[HgLvCust.]]=0,CustomerHierarchyLevels[[#This Row],[Customer]],CustomerHierarchyLevels[[#This Row],[HgLvCust.]])</f>
        <v>2192</v>
      </c>
      <c r="R90" s="30">
        <f>IF(VLOOKUP(CustomerHierarchyLevels[[#This Row],[Level1]],CustomerHierarchyLevels[],7,FALSE)=0,CustomerHierarchyLevels[[#This Row],[Level1]],VLOOKUP(CustomerHierarchyLevels[[#This Row],[Level1]],CustomerHierarchyLevels[],7,FALSE))</f>
        <v>2162</v>
      </c>
      <c r="S90" s="30">
        <f>IF(VLOOKUP(CustomerHierarchyLevels[[#This Row],[Level2]],CustomerHierarchyLevels[],7,FALSE)=0,CustomerHierarchyLevels[[#This Row],[Level2]],VLOOKUP(CustomerHierarchyLevels[[#This Row],[Level2]],CustomerHierarchyLevels[],7,FALSE))</f>
        <v>2162</v>
      </c>
    </row>
    <row r="91" spans="1:19" x14ac:dyDescent="0.25">
      <c r="A91">
        <v>2194</v>
      </c>
      <c r="B91" t="s">
        <v>13</v>
      </c>
      <c r="C91" t="s">
        <v>95</v>
      </c>
      <c r="D91">
        <v>0</v>
      </c>
      <c r="E91">
        <v>38170</v>
      </c>
      <c r="F91">
        <v>2958465</v>
      </c>
      <c r="G91">
        <v>2162</v>
      </c>
      <c r="H91" t="s">
        <v>13</v>
      </c>
      <c r="I91" t="s">
        <v>95</v>
      </c>
      <c r="J91">
        <v>0</v>
      </c>
      <c r="K91">
        <v>0</v>
      </c>
      <c r="N91">
        <v>2</v>
      </c>
      <c r="O91" t="s">
        <v>96</v>
      </c>
      <c r="P91" t="s">
        <v>1282</v>
      </c>
      <c r="Q91" s="30">
        <f>IF(CustomerHierarchyLevels[[#This Row],[HgLvCust.]]=0,CustomerHierarchyLevels[[#This Row],[Customer]],CustomerHierarchyLevels[[#This Row],[HgLvCust.]])</f>
        <v>2162</v>
      </c>
      <c r="R91" s="30">
        <f>IF(VLOOKUP(CustomerHierarchyLevels[[#This Row],[Level1]],CustomerHierarchyLevels[],7,FALSE)=0,CustomerHierarchyLevels[[#This Row],[Level1]],VLOOKUP(CustomerHierarchyLevels[[#This Row],[Level1]],CustomerHierarchyLevels[],7,FALSE))</f>
        <v>2162</v>
      </c>
      <c r="S91" s="30">
        <f>IF(VLOOKUP(CustomerHierarchyLevels[[#This Row],[Level2]],CustomerHierarchyLevels[],7,FALSE)=0,CustomerHierarchyLevels[[#This Row],[Level2]],VLOOKUP(CustomerHierarchyLevels[[#This Row],[Level2]],CustomerHierarchyLevels[],7,FALSE))</f>
        <v>2162</v>
      </c>
    </row>
    <row r="92" spans="1:19" x14ac:dyDescent="0.25">
      <c r="A92">
        <v>2195</v>
      </c>
      <c r="B92" t="s">
        <v>13</v>
      </c>
      <c r="C92" t="s">
        <v>95</v>
      </c>
      <c r="D92">
        <v>0</v>
      </c>
      <c r="E92">
        <v>38170</v>
      </c>
      <c r="F92">
        <v>2958465</v>
      </c>
      <c r="G92">
        <v>2194</v>
      </c>
      <c r="H92" t="s">
        <v>13</v>
      </c>
      <c r="I92" t="s">
        <v>95</v>
      </c>
      <c r="J92">
        <v>0</v>
      </c>
      <c r="K92">
        <v>0</v>
      </c>
      <c r="N92">
        <v>3</v>
      </c>
      <c r="O92" t="s">
        <v>96</v>
      </c>
      <c r="P92" t="s">
        <v>1283</v>
      </c>
      <c r="Q92" s="30">
        <f>IF(CustomerHierarchyLevels[[#This Row],[HgLvCust.]]=0,CustomerHierarchyLevels[[#This Row],[Customer]],CustomerHierarchyLevels[[#This Row],[HgLvCust.]])</f>
        <v>2194</v>
      </c>
      <c r="R92" s="30">
        <f>IF(VLOOKUP(CustomerHierarchyLevels[[#This Row],[Level1]],CustomerHierarchyLevels[],7,FALSE)=0,CustomerHierarchyLevels[[#This Row],[Level1]],VLOOKUP(CustomerHierarchyLevels[[#This Row],[Level1]],CustomerHierarchyLevels[],7,FALSE))</f>
        <v>2162</v>
      </c>
      <c r="S92" s="30">
        <f>IF(VLOOKUP(CustomerHierarchyLevels[[#This Row],[Level2]],CustomerHierarchyLevels[],7,FALSE)=0,CustomerHierarchyLevels[[#This Row],[Level2]],VLOOKUP(CustomerHierarchyLevels[[#This Row],[Level2]],CustomerHierarchyLevels[],7,FALSE))</f>
        <v>2162</v>
      </c>
    </row>
    <row r="93" spans="1:19" x14ac:dyDescent="0.25">
      <c r="A93">
        <v>2196</v>
      </c>
      <c r="B93" t="s">
        <v>13</v>
      </c>
      <c r="C93" t="s">
        <v>95</v>
      </c>
      <c r="D93">
        <v>0</v>
      </c>
      <c r="E93">
        <v>38170</v>
      </c>
      <c r="F93">
        <v>2958465</v>
      </c>
      <c r="G93">
        <v>2194</v>
      </c>
      <c r="H93" t="s">
        <v>13</v>
      </c>
      <c r="I93" t="s">
        <v>95</v>
      </c>
      <c r="J93">
        <v>0</v>
      </c>
      <c r="K93">
        <v>0</v>
      </c>
      <c r="N93">
        <v>3</v>
      </c>
      <c r="O93" t="s">
        <v>96</v>
      </c>
      <c r="P93" t="s">
        <v>1284</v>
      </c>
      <c r="Q93" s="30">
        <f>IF(CustomerHierarchyLevels[[#This Row],[HgLvCust.]]=0,CustomerHierarchyLevels[[#This Row],[Customer]],CustomerHierarchyLevels[[#This Row],[HgLvCust.]])</f>
        <v>2194</v>
      </c>
      <c r="R93" s="30">
        <f>IF(VLOOKUP(CustomerHierarchyLevels[[#This Row],[Level1]],CustomerHierarchyLevels[],7,FALSE)=0,CustomerHierarchyLevels[[#This Row],[Level1]],VLOOKUP(CustomerHierarchyLevels[[#This Row],[Level1]],CustomerHierarchyLevels[],7,FALSE))</f>
        <v>2162</v>
      </c>
      <c r="S93" s="30">
        <f>IF(VLOOKUP(CustomerHierarchyLevels[[#This Row],[Level2]],CustomerHierarchyLevels[],7,FALSE)=0,CustomerHierarchyLevels[[#This Row],[Level2]],VLOOKUP(CustomerHierarchyLevels[[#This Row],[Level2]],CustomerHierarchyLevels[],7,FALSE))</f>
        <v>2162</v>
      </c>
    </row>
    <row r="94" spans="1:19" x14ac:dyDescent="0.25">
      <c r="A94">
        <v>2197</v>
      </c>
      <c r="B94" t="s">
        <v>13</v>
      </c>
      <c r="C94" t="s">
        <v>95</v>
      </c>
      <c r="D94">
        <v>0</v>
      </c>
      <c r="E94">
        <v>38170</v>
      </c>
      <c r="F94">
        <v>2958465</v>
      </c>
      <c r="G94">
        <v>2194</v>
      </c>
      <c r="H94" t="s">
        <v>13</v>
      </c>
      <c r="I94" t="s">
        <v>95</v>
      </c>
      <c r="J94">
        <v>0</v>
      </c>
      <c r="K94">
        <v>0</v>
      </c>
      <c r="N94">
        <v>3</v>
      </c>
      <c r="O94" t="s">
        <v>96</v>
      </c>
      <c r="P94" t="s">
        <v>1285</v>
      </c>
      <c r="Q94" s="30">
        <f>IF(CustomerHierarchyLevels[[#This Row],[HgLvCust.]]=0,CustomerHierarchyLevels[[#This Row],[Customer]],CustomerHierarchyLevels[[#This Row],[HgLvCust.]])</f>
        <v>2194</v>
      </c>
      <c r="R94" s="30">
        <f>IF(VLOOKUP(CustomerHierarchyLevels[[#This Row],[Level1]],CustomerHierarchyLevels[],7,FALSE)=0,CustomerHierarchyLevels[[#This Row],[Level1]],VLOOKUP(CustomerHierarchyLevels[[#This Row],[Level1]],CustomerHierarchyLevels[],7,FALSE))</f>
        <v>2162</v>
      </c>
      <c r="S94" s="30">
        <f>IF(VLOOKUP(CustomerHierarchyLevels[[#This Row],[Level2]],CustomerHierarchyLevels[],7,FALSE)=0,CustomerHierarchyLevels[[#This Row],[Level2]],VLOOKUP(CustomerHierarchyLevels[[#This Row],[Level2]],CustomerHierarchyLevels[],7,FALSE))</f>
        <v>2162</v>
      </c>
    </row>
    <row r="95" spans="1:19" x14ac:dyDescent="0.25">
      <c r="A95">
        <v>2198</v>
      </c>
      <c r="B95" t="s">
        <v>13</v>
      </c>
      <c r="C95" t="s">
        <v>95</v>
      </c>
      <c r="D95">
        <v>0</v>
      </c>
      <c r="E95">
        <v>38170</v>
      </c>
      <c r="F95">
        <v>2958465</v>
      </c>
      <c r="G95">
        <v>2194</v>
      </c>
      <c r="H95" t="s">
        <v>13</v>
      </c>
      <c r="I95" t="s">
        <v>95</v>
      </c>
      <c r="J95">
        <v>0</v>
      </c>
      <c r="K95">
        <v>0</v>
      </c>
      <c r="N95">
        <v>3</v>
      </c>
      <c r="O95" t="s">
        <v>96</v>
      </c>
      <c r="P95" t="s">
        <v>1286</v>
      </c>
      <c r="Q95" s="30">
        <f>IF(CustomerHierarchyLevels[[#This Row],[HgLvCust.]]=0,CustomerHierarchyLevels[[#This Row],[Customer]],CustomerHierarchyLevels[[#This Row],[HgLvCust.]])</f>
        <v>2194</v>
      </c>
      <c r="R95" s="30">
        <f>IF(VLOOKUP(CustomerHierarchyLevels[[#This Row],[Level1]],CustomerHierarchyLevels[],7,FALSE)=0,CustomerHierarchyLevels[[#This Row],[Level1]],VLOOKUP(CustomerHierarchyLevels[[#This Row],[Level1]],CustomerHierarchyLevels[],7,FALSE))</f>
        <v>2162</v>
      </c>
      <c r="S95" s="30">
        <f>IF(VLOOKUP(CustomerHierarchyLevels[[#This Row],[Level2]],CustomerHierarchyLevels[],7,FALSE)=0,CustomerHierarchyLevels[[#This Row],[Level2]],VLOOKUP(CustomerHierarchyLevels[[#This Row],[Level2]],CustomerHierarchyLevels[],7,FALSE))</f>
        <v>2162</v>
      </c>
    </row>
    <row r="96" spans="1:19" x14ac:dyDescent="0.25">
      <c r="A96">
        <v>2299</v>
      </c>
      <c r="B96" t="s">
        <v>13</v>
      </c>
      <c r="C96" t="s">
        <v>95</v>
      </c>
      <c r="D96">
        <v>0</v>
      </c>
      <c r="E96">
        <v>38170</v>
      </c>
      <c r="F96">
        <v>2958465</v>
      </c>
      <c r="G96">
        <v>2163</v>
      </c>
      <c r="H96" t="s">
        <v>13</v>
      </c>
      <c r="I96" t="s">
        <v>95</v>
      </c>
      <c r="J96">
        <v>0</v>
      </c>
      <c r="K96">
        <v>0</v>
      </c>
      <c r="N96">
        <v>3</v>
      </c>
      <c r="O96" t="s">
        <v>96</v>
      </c>
      <c r="P96" t="s">
        <v>1287</v>
      </c>
      <c r="Q96" s="30">
        <f>IF(CustomerHierarchyLevels[[#This Row],[HgLvCust.]]=0,CustomerHierarchyLevels[[#This Row],[Customer]],CustomerHierarchyLevels[[#This Row],[HgLvCust.]])</f>
        <v>2163</v>
      </c>
      <c r="R96" s="30">
        <f>IF(VLOOKUP(CustomerHierarchyLevels[[#This Row],[Level1]],CustomerHierarchyLevels[],7,FALSE)=0,CustomerHierarchyLevels[[#This Row],[Level1]],VLOOKUP(CustomerHierarchyLevels[[#This Row],[Level1]],CustomerHierarchyLevels[],7,FALSE))</f>
        <v>2162</v>
      </c>
      <c r="S96" s="30">
        <f>IF(VLOOKUP(CustomerHierarchyLevels[[#This Row],[Level2]],CustomerHierarchyLevels[],7,FALSE)=0,CustomerHierarchyLevels[[#This Row],[Level2]],VLOOKUP(CustomerHierarchyLevels[[#This Row],[Level2]],CustomerHierarchyLevels[],7,FALSE))</f>
        <v>2162</v>
      </c>
    </row>
    <row r="97" spans="1:19" x14ac:dyDescent="0.25">
      <c r="A97">
        <v>2199</v>
      </c>
      <c r="B97" t="s">
        <v>13</v>
      </c>
      <c r="C97" t="s">
        <v>95</v>
      </c>
      <c r="D97">
        <v>0</v>
      </c>
      <c r="E97">
        <v>38170</v>
      </c>
      <c r="F97">
        <v>2958465</v>
      </c>
      <c r="K97">
        <v>0</v>
      </c>
      <c r="N97">
        <v>1</v>
      </c>
      <c r="O97" t="s">
        <v>96</v>
      </c>
      <c r="P97" t="s">
        <v>1288</v>
      </c>
      <c r="Q97" s="30">
        <f>IF(CustomerHierarchyLevels[[#This Row],[HgLvCust.]]=0,CustomerHierarchyLevels[[#This Row],[Customer]],CustomerHierarchyLevels[[#This Row],[HgLvCust.]])</f>
        <v>2199</v>
      </c>
      <c r="R97" s="30">
        <f>IF(VLOOKUP(CustomerHierarchyLevels[[#This Row],[Level1]],CustomerHierarchyLevels[],7,FALSE)=0,CustomerHierarchyLevels[[#This Row],[Level1]],VLOOKUP(CustomerHierarchyLevels[[#This Row],[Level1]],CustomerHierarchyLevels[],7,FALSE))</f>
        <v>2199</v>
      </c>
      <c r="S97" s="30">
        <f>IF(VLOOKUP(CustomerHierarchyLevels[[#This Row],[Level2]],CustomerHierarchyLevels[],7,FALSE)=0,CustomerHierarchyLevels[[#This Row],[Level2]],VLOOKUP(CustomerHierarchyLevels[[#This Row],[Level2]],CustomerHierarchyLevels[],7,FALSE))</f>
        <v>2199</v>
      </c>
    </row>
    <row r="98" spans="1:19" x14ac:dyDescent="0.25">
      <c r="A98">
        <v>2200</v>
      </c>
      <c r="B98" t="s">
        <v>13</v>
      </c>
      <c r="C98" t="s">
        <v>95</v>
      </c>
      <c r="D98">
        <v>0</v>
      </c>
      <c r="E98">
        <v>38170</v>
      </c>
      <c r="F98">
        <v>2958465</v>
      </c>
      <c r="G98">
        <v>2199</v>
      </c>
      <c r="H98" t="s">
        <v>13</v>
      </c>
      <c r="I98" t="s">
        <v>95</v>
      </c>
      <c r="J98">
        <v>0</v>
      </c>
      <c r="K98">
        <v>0</v>
      </c>
      <c r="N98">
        <v>2</v>
      </c>
      <c r="O98" t="s">
        <v>96</v>
      </c>
      <c r="P98" t="s">
        <v>1289</v>
      </c>
      <c r="Q98" s="30">
        <f>IF(CustomerHierarchyLevels[[#This Row],[HgLvCust.]]=0,CustomerHierarchyLevels[[#This Row],[Customer]],CustomerHierarchyLevels[[#This Row],[HgLvCust.]])</f>
        <v>2199</v>
      </c>
      <c r="R98" s="30">
        <f>IF(VLOOKUP(CustomerHierarchyLevels[[#This Row],[Level1]],CustomerHierarchyLevels[],7,FALSE)=0,CustomerHierarchyLevels[[#This Row],[Level1]],VLOOKUP(CustomerHierarchyLevels[[#This Row],[Level1]],CustomerHierarchyLevels[],7,FALSE))</f>
        <v>2199</v>
      </c>
      <c r="S98" s="30">
        <f>IF(VLOOKUP(CustomerHierarchyLevels[[#This Row],[Level2]],CustomerHierarchyLevels[],7,FALSE)=0,CustomerHierarchyLevels[[#This Row],[Level2]],VLOOKUP(CustomerHierarchyLevels[[#This Row],[Level2]],CustomerHierarchyLevels[],7,FALSE))</f>
        <v>2199</v>
      </c>
    </row>
    <row r="99" spans="1:19" x14ac:dyDescent="0.25">
      <c r="A99">
        <v>2201</v>
      </c>
      <c r="B99" t="s">
        <v>13</v>
      </c>
      <c r="C99" t="s">
        <v>95</v>
      </c>
      <c r="D99">
        <v>0</v>
      </c>
      <c r="E99">
        <v>38170</v>
      </c>
      <c r="F99">
        <v>2958465</v>
      </c>
      <c r="G99">
        <v>2200</v>
      </c>
      <c r="H99" t="s">
        <v>13</v>
      </c>
      <c r="I99" t="s">
        <v>95</v>
      </c>
      <c r="J99">
        <v>0</v>
      </c>
      <c r="K99">
        <v>0</v>
      </c>
      <c r="N99">
        <v>3</v>
      </c>
      <c r="O99" t="s">
        <v>96</v>
      </c>
      <c r="P99" t="s">
        <v>1290</v>
      </c>
      <c r="Q99" s="30">
        <f>IF(CustomerHierarchyLevels[[#This Row],[HgLvCust.]]=0,CustomerHierarchyLevels[[#This Row],[Customer]],CustomerHierarchyLevels[[#This Row],[HgLvCust.]])</f>
        <v>2200</v>
      </c>
      <c r="R99" s="30">
        <f>IF(VLOOKUP(CustomerHierarchyLevels[[#This Row],[Level1]],CustomerHierarchyLevels[],7,FALSE)=0,CustomerHierarchyLevels[[#This Row],[Level1]],VLOOKUP(CustomerHierarchyLevels[[#This Row],[Level1]],CustomerHierarchyLevels[],7,FALSE))</f>
        <v>2199</v>
      </c>
      <c r="S99" s="30">
        <f>IF(VLOOKUP(CustomerHierarchyLevels[[#This Row],[Level2]],CustomerHierarchyLevels[],7,FALSE)=0,CustomerHierarchyLevels[[#This Row],[Level2]],VLOOKUP(CustomerHierarchyLevels[[#This Row],[Level2]],CustomerHierarchyLevels[],7,FALSE))</f>
        <v>2199</v>
      </c>
    </row>
    <row r="100" spans="1:19" x14ac:dyDescent="0.25">
      <c r="A100">
        <v>2202</v>
      </c>
      <c r="B100" t="s">
        <v>13</v>
      </c>
      <c r="C100" t="s">
        <v>95</v>
      </c>
      <c r="D100">
        <v>0</v>
      </c>
      <c r="E100">
        <v>38170</v>
      </c>
      <c r="F100">
        <v>2958465</v>
      </c>
      <c r="G100">
        <v>2200</v>
      </c>
      <c r="H100" t="s">
        <v>13</v>
      </c>
      <c r="I100" t="s">
        <v>95</v>
      </c>
      <c r="J100">
        <v>0</v>
      </c>
      <c r="K100">
        <v>0</v>
      </c>
      <c r="N100">
        <v>3</v>
      </c>
      <c r="O100" t="s">
        <v>96</v>
      </c>
      <c r="P100" t="s">
        <v>1291</v>
      </c>
      <c r="Q100" s="30">
        <f>IF(CustomerHierarchyLevels[[#This Row],[HgLvCust.]]=0,CustomerHierarchyLevels[[#This Row],[Customer]],CustomerHierarchyLevels[[#This Row],[HgLvCust.]])</f>
        <v>2200</v>
      </c>
      <c r="R100" s="30">
        <f>IF(VLOOKUP(CustomerHierarchyLevels[[#This Row],[Level1]],CustomerHierarchyLevels[],7,FALSE)=0,CustomerHierarchyLevels[[#This Row],[Level1]],VLOOKUP(CustomerHierarchyLevels[[#This Row],[Level1]],CustomerHierarchyLevels[],7,FALSE))</f>
        <v>2199</v>
      </c>
      <c r="S100" s="30">
        <f>IF(VLOOKUP(CustomerHierarchyLevels[[#This Row],[Level2]],CustomerHierarchyLevels[],7,FALSE)=0,CustomerHierarchyLevels[[#This Row],[Level2]],VLOOKUP(CustomerHierarchyLevels[[#This Row],[Level2]],CustomerHierarchyLevels[],7,FALSE))</f>
        <v>2199</v>
      </c>
    </row>
    <row r="101" spans="1:19" x14ac:dyDescent="0.25">
      <c r="A101">
        <v>2203</v>
      </c>
      <c r="B101" t="s">
        <v>13</v>
      </c>
      <c r="C101" t="s">
        <v>95</v>
      </c>
      <c r="D101">
        <v>0</v>
      </c>
      <c r="E101">
        <v>38170</v>
      </c>
      <c r="F101">
        <v>2958465</v>
      </c>
      <c r="G101">
        <v>2200</v>
      </c>
      <c r="H101" t="s">
        <v>13</v>
      </c>
      <c r="I101" t="s">
        <v>95</v>
      </c>
      <c r="J101">
        <v>0</v>
      </c>
      <c r="K101">
        <v>0</v>
      </c>
      <c r="N101">
        <v>3</v>
      </c>
      <c r="O101" t="s">
        <v>96</v>
      </c>
      <c r="P101" t="s">
        <v>1292</v>
      </c>
      <c r="Q101" s="30">
        <f>IF(CustomerHierarchyLevels[[#This Row],[HgLvCust.]]=0,CustomerHierarchyLevels[[#This Row],[Customer]],CustomerHierarchyLevels[[#This Row],[HgLvCust.]])</f>
        <v>2200</v>
      </c>
      <c r="R101" s="30">
        <f>IF(VLOOKUP(CustomerHierarchyLevels[[#This Row],[Level1]],CustomerHierarchyLevels[],7,FALSE)=0,CustomerHierarchyLevels[[#This Row],[Level1]],VLOOKUP(CustomerHierarchyLevels[[#This Row],[Level1]],CustomerHierarchyLevels[],7,FALSE))</f>
        <v>2199</v>
      </c>
      <c r="S101" s="30">
        <f>IF(VLOOKUP(CustomerHierarchyLevels[[#This Row],[Level2]],CustomerHierarchyLevels[],7,FALSE)=0,CustomerHierarchyLevels[[#This Row],[Level2]],VLOOKUP(CustomerHierarchyLevels[[#This Row],[Level2]],CustomerHierarchyLevels[],7,FALSE))</f>
        <v>2199</v>
      </c>
    </row>
    <row r="102" spans="1:19" x14ac:dyDescent="0.25">
      <c r="A102">
        <v>2204</v>
      </c>
      <c r="B102" t="s">
        <v>13</v>
      </c>
      <c r="C102" t="s">
        <v>95</v>
      </c>
      <c r="D102">
        <v>0</v>
      </c>
      <c r="E102">
        <v>38170</v>
      </c>
      <c r="F102">
        <v>2958465</v>
      </c>
      <c r="G102">
        <v>2200</v>
      </c>
      <c r="H102" t="s">
        <v>13</v>
      </c>
      <c r="I102" t="s">
        <v>95</v>
      </c>
      <c r="J102">
        <v>0</v>
      </c>
      <c r="K102">
        <v>0</v>
      </c>
      <c r="N102">
        <v>3</v>
      </c>
      <c r="O102" t="s">
        <v>96</v>
      </c>
      <c r="P102" t="s">
        <v>1293</v>
      </c>
      <c r="Q102" s="30">
        <f>IF(CustomerHierarchyLevels[[#This Row],[HgLvCust.]]=0,CustomerHierarchyLevels[[#This Row],[Customer]],CustomerHierarchyLevels[[#This Row],[HgLvCust.]])</f>
        <v>2200</v>
      </c>
      <c r="R102" s="30">
        <f>IF(VLOOKUP(CustomerHierarchyLevels[[#This Row],[Level1]],CustomerHierarchyLevels[],7,FALSE)=0,CustomerHierarchyLevels[[#This Row],[Level1]],VLOOKUP(CustomerHierarchyLevels[[#This Row],[Level1]],CustomerHierarchyLevels[],7,FALSE))</f>
        <v>2199</v>
      </c>
      <c r="S102" s="30">
        <f>IF(VLOOKUP(CustomerHierarchyLevels[[#This Row],[Level2]],CustomerHierarchyLevels[],7,FALSE)=0,CustomerHierarchyLevels[[#This Row],[Level2]],VLOOKUP(CustomerHierarchyLevels[[#This Row],[Level2]],CustomerHierarchyLevels[],7,FALSE))</f>
        <v>2199</v>
      </c>
    </row>
    <row r="103" spans="1:19" x14ac:dyDescent="0.25">
      <c r="A103">
        <v>2205</v>
      </c>
      <c r="B103" t="s">
        <v>13</v>
      </c>
      <c r="C103" t="s">
        <v>95</v>
      </c>
      <c r="D103">
        <v>0</v>
      </c>
      <c r="E103">
        <v>38170</v>
      </c>
      <c r="F103">
        <v>2958465</v>
      </c>
      <c r="G103">
        <v>2200</v>
      </c>
      <c r="H103" t="s">
        <v>13</v>
      </c>
      <c r="I103" t="s">
        <v>95</v>
      </c>
      <c r="J103">
        <v>0</v>
      </c>
      <c r="K103">
        <v>0</v>
      </c>
      <c r="N103">
        <v>3</v>
      </c>
      <c r="O103" t="s">
        <v>96</v>
      </c>
      <c r="P103" t="s">
        <v>1294</v>
      </c>
      <c r="Q103" s="30">
        <f>IF(CustomerHierarchyLevels[[#This Row],[HgLvCust.]]=0,CustomerHierarchyLevels[[#This Row],[Customer]],CustomerHierarchyLevels[[#This Row],[HgLvCust.]])</f>
        <v>2200</v>
      </c>
      <c r="R103" s="30">
        <f>IF(VLOOKUP(CustomerHierarchyLevels[[#This Row],[Level1]],CustomerHierarchyLevels[],7,FALSE)=0,CustomerHierarchyLevels[[#This Row],[Level1]],VLOOKUP(CustomerHierarchyLevels[[#This Row],[Level1]],CustomerHierarchyLevels[],7,FALSE))</f>
        <v>2199</v>
      </c>
      <c r="S103" s="30">
        <f>IF(VLOOKUP(CustomerHierarchyLevels[[#This Row],[Level2]],CustomerHierarchyLevels[],7,FALSE)=0,CustomerHierarchyLevels[[#This Row],[Level2]],VLOOKUP(CustomerHierarchyLevels[[#This Row],[Level2]],CustomerHierarchyLevels[],7,FALSE))</f>
        <v>2199</v>
      </c>
    </row>
    <row r="104" spans="1:19" x14ac:dyDescent="0.25">
      <c r="A104">
        <v>2206</v>
      </c>
      <c r="B104" t="s">
        <v>13</v>
      </c>
      <c r="C104" t="s">
        <v>95</v>
      </c>
      <c r="D104">
        <v>0</v>
      </c>
      <c r="E104">
        <v>38170</v>
      </c>
      <c r="F104">
        <v>2958465</v>
      </c>
      <c r="G104">
        <v>2200</v>
      </c>
      <c r="H104" t="s">
        <v>13</v>
      </c>
      <c r="I104" t="s">
        <v>95</v>
      </c>
      <c r="J104">
        <v>0</v>
      </c>
      <c r="K104">
        <v>0</v>
      </c>
      <c r="N104">
        <v>3</v>
      </c>
      <c r="O104" t="s">
        <v>96</v>
      </c>
      <c r="P104" t="s">
        <v>1295</v>
      </c>
      <c r="Q104" s="30">
        <f>IF(CustomerHierarchyLevels[[#This Row],[HgLvCust.]]=0,CustomerHierarchyLevels[[#This Row],[Customer]],CustomerHierarchyLevels[[#This Row],[HgLvCust.]])</f>
        <v>2200</v>
      </c>
      <c r="R104" s="30">
        <f>IF(VLOOKUP(CustomerHierarchyLevels[[#This Row],[Level1]],CustomerHierarchyLevels[],7,FALSE)=0,CustomerHierarchyLevels[[#This Row],[Level1]],VLOOKUP(CustomerHierarchyLevels[[#This Row],[Level1]],CustomerHierarchyLevels[],7,FALSE))</f>
        <v>2199</v>
      </c>
      <c r="S104" s="30">
        <f>IF(VLOOKUP(CustomerHierarchyLevels[[#This Row],[Level2]],CustomerHierarchyLevels[],7,FALSE)=0,CustomerHierarchyLevels[[#This Row],[Level2]],VLOOKUP(CustomerHierarchyLevels[[#This Row],[Level2]],CustomerHierarchyLevels[],7,FALSE))</f>
        <v>2199</v>
      </c>
    </row>
    <row r="105" spans="1:19" x14ac:dyDescent="0.25">
      <c r="A105">
        <v>2207</v>
      </c>
      <c r="B105" t="s">
        <v>13</v>
      </c>
      <c r="C105" t="s">
        <v>95</v>
      </c>
      <c r="D105">
        <v>0</v>
      </c>
      <c r="E105">
        <v>38170</v>
      </c>
      <c r="F105">
        <v>2958465</v>
      </c>
      <c r="G105">
        <v>2200</v>
      </c>
      <c r="H105" t="s">
        <v>13</v>
      </c>
      <c r="I105" t="s">
        <v>95</v>
      </c>
      <c r="J105">
        <v>0</v>
      </c>
      <c r="K105">
        <v>0</v>
      </c>
      <c r="N105">
        <v>3</v>
      </c>
      <c r="O105" t="s">
        <v>96</v>
      </c>
      <c r="P105" t="s">
        <v>1296</v>
      </c>
      <c r="Q105" s="30">
        <f>IF(CustomerHierarchyLevels[[#This Row],[HgLvCust.]]=0,CustomerHierarchyLevels[[#This Row],[Customer]],CustomerHierarchyLevels[[#This Row],[HgLvCust.]])</f>
        <v>2200</v>
      </c>
      <c r="R105" s="30">
        <f>IF(VLOOKUP(CustomerHierarchyLevels[[#This Row],[Level1]],CustomerHierarchyLevels[],7,FALSE)=0,CustomerHierarchyLevels[[#This Row],[Level1]],VLOOKUP(CustomerHierarchyLevels[[#This Row],[Level1]],CustomerHierarchyLevels[],7,FALSE))</f>
        <v>2199</v>
      </c>
      <c r="S105" s="30">
        <f>IF(VLOOKUP(CustomerHierarchyLevels[[#This Row],[Level2]],CustomerHierarchyLevels[],7,FALSE)=0,CustomerHierarchyLevels[[#This Row],[Level2]],VLOOKUP(CustomerHierarchyLevels[[#This Row],[Level2]],CustomerHierarchyLevels[],7,FALSE))</f>
        <v>2199</v>
      </c>
    </row>
    <row r="106" spans="1:19" x14ac:dyDescent="0.25">
      <c r="A106">
        <v>2208</v>
      </c>
      <c r="B106" t="s">
        <v>13</v>
      </c>
      <c r="C106" t="s">
        <v>95</v>
      </c>
      <c r="D106">
        <v>0</v>
      </c>
      <c r="E106">
        <v>38170</v>
      </c>
      <c r="F106">
        <v>2958465</v>
      </c>
      <c r="G106">
        <v>2200</v>
      </c>
      <c r="H106" t="s">
        <v>13</v>
      </c>
      <c r="I106" t="s">
        <v>95</v>
      </c>
      <c r="J106">
        <v>0</v>
      </c>
      <c r="K106">
        <v>0</v>
      </c>
      <c r="N106">
        <v>3</v>
      </c>
      <c r="O106" t="s">
        <v>96</v>
      </c>
      <c r="P106" t="s">
        <v>1297</v>
      </c>
      <c r="Q106" s="30">
        <f>IF(CustomerHierarchyLevels[[#This Row],[HgLvCust.]]=0,CustomerHierarchyLevels[[#This Row],[Customer]],CustomerHierarchyLevels[[#This Row],[HgLvCust.]])</f>
        <v>2200</v>
      </c>
      <c r="R106" s="30">
        <f>IF(VLOOKUP(CustomerHierarchyLevels[[#This Row],[Level1]],CustomerHierarchyLevels[],7,FALSE)=0,CustomerHierarchyLevels[[#This Row],[Level1]],VLOOKUP(CustomerHierarchyLevels[[#This Row],[Level1]],CustomerHierarchyLevels[],7,FALSE))</f>
        <v>2199</v>
      </c>
      <c r="S106" s="30">
        <f>IF(VLOOKUP(CustomerHierarchyLevels[[#This Row],[Level2]],CustomerHierarchyLevels[],7,FALSE)=0,CustomerHierarchyLevels[[#This Row],[Level2]],VLOOKUP(CustomerHierarchyLevels[[#This Row],[Level2]],CustomerHierarchyLevels[],7,FALSE))</f>
        <v>2199</v>
      </c>
    </row>
    <row r="107" spans="1:19" x14ac:dyDescent="0.25">
      <c r="A107">
        <v>2209</v>
      </c>
      <c r="B107" t="s">
        <v>13</v>
      </c>
      <c r="C107" t="s">
        <v>95</v>
      </c>
      <c r="D107">
        <v>0</v>
      </c>
      <c r="E107">
        <v>38170</v>
      </c>
      <c r="F107">
        <v>2958465</v>
      </c>
      <c r="G107">
        <v>2200</v>
      </c>
      <c r="H107" t="s">
        <v>13</v>
      </c>
      <c r="I107" t="s">
        <v>95</v>
      </c>
      <c r="J107">
        <v>0</v>
      </c>
      <c r="K107">
        <v>0</v>
      </c>
      <c r="N107">
        <v>3</v>
      </c>
      <c r="O107" t="s">
        <v>96</v>
      </c>
      <c r="P107" t="s">
        <v>1298</v>
      </c>
      <c r="Q107" s="30">
        <f>IF(CustomerHierarchyLevels[[#This Row],[HgLvCust.]]=0,CustomerHierarchyLevels[[#This Row],[Customer]],CustomerHierarchyLevels[[#This Row],[HgLvCust.]])</f>
        <v>2200</v>
      </c>
      <c r="R107" s="30">
        <f>IF(VLOOKUP(CustomerHierarchyLevels[[#This Row],[Level1]],CustomerHierarchyLevels[],7,FALSE)=0,CustomerHierarchyLevels[[#This Row],[Level1]],VLOOKUP(CustomerHierarchyLevels[[#This Row],[Level1]],CustomerHierarchyLevels[],7,FALSE))</f>
        <v>2199</v>
      </c>
      <c r="S107" s="30">
        <f>IF(VLOOKUP(CustomerHierarchyLevels[[#This Row],[Level2]],CustomerHierarchyLevels[],7,FALSE)=0,CustomerHierarchyLevels[[#This Row],[Level2]],VLOOKUP(CustomerHierarchyLevels[[#This Row],[Level2]],CustomerHierarchyLevels[],7,FALSE))</f>
        <v>2199</v>
      </c>
    </row>
    <row r="108" spans="1:19" x14ac:dyDescent="0.25">
      <c r="A108">
        <v>2210</v>
      </c>
      <c r="B108" t="s">
        <v>13</v>
      </c>
      <c r="C108" t="s">
        <v>95</v>
      </c>
      <c r="D108">
        <v>0</v>
      </c>
      <c r="E108">
        <v>38170</v>
      </c>
      <c r="F108">
        <v>2958465</v>
      </c>
      <c r="G108">
        <v>2200</v>
      </c>
      <c r="H108" t="s">
        <v>13</v>
      </c>
      <c r="I108" t="s">
        <v>95</v>
      </c>
      <c r="J108">
        <v>0</v>
      </c>
      <c r="K108">
        <v>0</v>
      </c>
      <c r="N108">
        <v>3</v>
      </c>
      <c r="O108" t="s">
        <v>96</v>
      </c>
      <c r="P108" t="s">
        <v>1299</v>
      </c>
      <c r="Q108" s="30">
        <f>IF(CustomerHierarchyLevels[[#This Row],[HgLvCust.]]=0,CustomerHierarchyLevels[[#This Row],[Customer]],CustomerHierarchyLevels[[#This Row],[HgLvCust.]])</f>
        <v>2200</v>
      </c>
      <c r="R108" s="30">
        <f>IF(VLOOKUP(CustomerHierarchyLevels[[#This Row],[Level1]],CustomerHierarchyLevels[],7,FALSE)=0,CustomerHierarchyLevels[[#This Row],[Level1]],VLOOKUP(CustomerHierarchyLevels[[#This Row],[Level1]],CustomerHierarchyLevels[],7,FALSE))</f>
        <v>2199</v>
      </c>
      <c r="S108" s="30">
        <f>IF(VLOOKUP(CustomerHierarchyLevels[[#This Row],[Level2]],CustomerHierarchyLevels[],7,FALSE)=0,CustomerHierarchyLevels[[#This Row],[Level2]],VLOOKUP(CustomerHierarchyLevels[[#This Row],[Level2]],CustomerHierarchyLevels[],7,FALSE))</f>
        <v>2199</v>
      </c>
    </row>
    <row r="109" spans="1:19" x14ac:dyDescent="0.25">
      <c r="A109">
        <v>2211</v>
      </c>
      <c r="B109" t="s">
        <v>13</v>
      </c>
      <c r="C109" t="s">
        <v>95</v>
      </c>
      <c r="D109">
        <v>0</v>
      </c>
      <c r="E109">
        <v>38170</v>
      </c>
      <c r="F109">
        <v>2958465</v>
      </c>
      <c r="K109">
        <v>0</v>
      </c>
      <c r="N109">
        <v>1</v>
      </c>
      <c r="O109" t="s">
        <v>96</v>
      </c>
      <c r="P109" t="s">
        <v>1300</v>
      </c>
      <c r="Q109" s="30">
        <f>IF(CustomerHierarchyLevels[[#This Row],[HgLvCust.]]=0,CustomerHierarchyLevels[[#This Row],[Customer]],CustomerHierarchyLevels[[#This Row],[HgLvCust.]])</f>
        <v>2211</v>
      </c>
      <c r="R109" s="30">
        <f>IF(VLOOKUP(CustomerHierarchyLevels[[#This Row],[Level1]],CustomerHierarchyLevels[],7,FALSE)=0,CustomerHierarchyLevels[[#This Row],[Level1]],VLOOKUP(CustomerHierarchyLevels[[#This Row],[Level1]],CustomerHierarchyLevels[],7,FALSE))</f>
        <v>2211</v>
      </c>
      <c r="S109" s="30">
        <f>IF(VLOOKUP(CustomerHierarchyLevels[[#This Row],[Level2]],CustomerHierarchyLevels[],7,FALSE)=0,CustomerHierarchyLevels[[#This Row],[Level2]],VLOOKUP(CustomerHierarchyLevels[[#This Row],[Level2]],CustomerHierarchyLevels[],7,FALSE))</f>
        <v>2211</v>
      </c>
    </row>
    <row r="110" spans="1:19" x14ac:dyDescent="0.25">
      <c r="A110">
        <v>2212</v>
      </c>
      <c r="B110" t="s">
        <v>13</v>
      </c>
      <c r="C110" t="s">
        <v>95</v>
      </c>
      <c r="D110">
        <v>0</v>
      </c>
      <c r="E110">
        <v>38170</v>
      </c>
      <c r="F110">
        <v>2958465</v>
      </c>
      <c r="G110">
        <v>2211</v>
      </c>
      <c r="H110" t="s">
        <v>13</v>
      </c>
      <c r="I110" t="s">
        <v>95</v>
      </c>
      <c r="J110">
        <v>0</v>
      </c>
      <c r="K110">
        <v>0</v>
      </c>
      <c r="N110">
        <v>2</v>
      </c>
      <c r="O110" t="s">
        <v>96</v>
      </c>
      <c r="P110" t="s">
        <v>1301</v>
      </c>
      <c r="Q110" s="30">
        <f>IF(CustomerHierarchyLevels[[#This Row],[HgLvCust.]]=0,CustomerHierarchyLevels[[#This Row],[Customer]],CustomerHierarchyLevels[[#This Row],[HgLvCust.]])</f>
        <v>2211</v>
      </c>
      <c r="R110" s="30">
        <f>IF(VLOOKUP(CustomerHierarchyLevels[[#This Row],[Level1]],CustomerHierarchyLevels[],7,FALSE)=0,CustomerHierarchyLevels[[#This Row],[Level1]],VLOOKUP(CustomerHierarchyLevels[[#This Row],[Level1]],CustomerHierarchyLevels[],7,FALSE))</f>
        <v>2211</v>
      </c>
      <c r="S110" s="30">
        <f>IF(VLOOKUP(CustomerHierarchyLevels[[#This Row],[Level2]],CustomerHierarchyLevels[],7,FALSE)=0,CustomerHierarchyLevels[[#This Row],[Level2]],VLOOKUP(CustomerHierarchyLevels[[#This Row],[Level2]],CustomerHierarchyLevels[],7,FALSE))</f>
        <v>2211</v>
      </c>
    </row>
    <row r="111" spans="1:19" x14ac:dyDescent="0.25">
      <c r="A111">
        <v>2213</v>
      </c>
      <c r="B111" t="s">
        <v>13</v>
      </c>
      <c r="C111" t="s">
        <v>95</v>
      </c>
      <c r="D111">
        <v>0</v>
      </c>
      <c r="E111">
        <v>38170</v>
      </c>
      <c r="F111">
        <v>2958465</v>
      </c>
      <c r="G111">
        <v>2212</v>
      </c>
      <c r="H111" t="s">
        <v>13</v>
      </c>
      <c r="I111" t="s">
        <v>95</v>
      </c>
      <c r="J111">
        <v>0</v>
      </c>
      <c r="K111">
        <v>0</v>
      </c>
      <c r="N111">
        <v>3</v>
      </c>
      <c r="O111" t="s">
        <v>96</v>
      </c>
      <c r="P111" t="s">
        <v>1302</v>
      </c>
      <c r="Q111" s="30">
        <f>IF(CustomerHierarchyLevels[[#This Row],[HgLvCust.]]=0,CustomerHierarchyLevels[[#This Row],[Customer]],CustomerHierarchyLevels[[#This Row],[HgLvCust.]])</f>
        <v>2212</v>
      </c>
      <c r="R111" s="30">
        <f>IF(VLOOKUP(CustomerHierarchyLevels[[#This Row],[Level1]],CustomerHierarchyLevels[],7,FALSE)=0,CustomerHierarchyLevels[[#This Row],[Level1]],VLOOKUP(CustomerHierarchyLevels[[#This Row],[Level1]],CustomerHierarchyLevels[],7,FALSE))</f>
        <v>2211</v>
      </c>
      <c r="S111" s="30">
        <f>IF(VLOOKUP(CustomerHierarchyLevels[[#This Row],[Level2]],CustomerHierarchyLevels[],7,FALSE)=0,CustomerHierarchyLevels[[#This Row],[Level2]],VLOOKUP(CustomerHierarchyLevels[[#This Row],[Level2]],CustomerHierarchyLevels[],7,FALSE))</f>
        <v>2211</v>
      </c>
    </row>
    <row r="112" spans="1:19" x14ac:dyDescent="0.25">
      <c r="A112">
        <v>2214</v>
      </c>
      <c r="B112" t="s">
        <v>13</v>
      </c>
      <c r="C112" t="s">
        <v>95</v>
      </c>
      <c r="D112">
        <v>0</v>
      </c>
      <c r="E112">
        <v>38170</v>
      </c>
      <c r="F112">
        <v>2958465</v>
      </c>
      <c r="G112">
        <v>2212</v>
      </c>
      <c r="H112" t="s">
        <v>13</v>
      </c>
      <c r="I112" t="s">
        <v>95</v>
      </c>
      <c r="J112">
        <v>0</v>
      </c>
      <c r="K112">
        <v>0</v>
      </c>
      <c r="N112">
        <v>3</v>
      </c>
      <c r="O112" t="s">
        <v>96</v>
      </c>
      <c r="P112" t="s">
        <v>1303</v>
      </c>
      <c r="Q112" s="30">
        <f>IF(CustomerHierarchyLevels[[#This Row],[HgLvCust.]]=0,CustomerHierarchyLevels[[#This Row],[Customer]],CustomerHierarchyLevels[[#This Row],[HgLvCust.]])</f>
        <v>2212</v>
      </c>
      <c r="R112" s="30">
        <f>IF(VLOOKUP(CustomerHierarchyLevels[[#This Row],[Level1]],CustomerHierarchyLevels[],7,FALSE)=0,CustomerHierarchyLevels[[#This Row],[Level1]],VLOOKUP(CustomerHierarchyLevels[[#This Row],[Level1]],CustomerHierarchyLevels[],7,FALSE))</f>
        <v>2211</v>
      </c>
      <c r="S112" s="30">
        <f>IF(VLOOKUP(CustomerHierarchyLevels[[#This Row],[Level2]],CustomerHierarchyLevels[],7,FALSE)=0,CustomerHierarchyLevels[[#This Row],[Level2]],VLOOKUP(CustomerHierarchyLevels[[#This Row],[Level2]],CustomerHierarchyLevels[],7,FALSE))</f>
        <v>2211</v>
      </c>
    </row>
    <row r="113" spans="1:19" x14ac:dyDescent="0.25">
      <c r="A113">
        <v>2215</v>
      </c>
      <c r="B113" t="s">
        <v>13</v>
      </c>
      <c r="C113" t="s">
        <v>95</v>
      </c>
      <c r="D113">
        <v>0</v>
      </c>
      <c r="E113">
        <v>38170</v>
      </c>
      <c r="F113">
        <v>2958465</v>
      </c>
      <c r="G113">
        <v>2212</v>
      </c>
      <c r="H113" t="s">
        <v>13</v>
      </c>
      <c r="I113" t="s">
        <v>95</v>
      </c>
      <c r="J113">
        <v>0</v>
      </c>
      <c r="K113">
        <v>0</v>
      </c>
      <c r="N113">
        <v>3</v>
      </c>
      <c r="O113" t="s">
        <v>96</v>
      </c>
      <c r="P113" t="s">
        <v>1304</v>
      </c>
      <c r="Q113" s="30">
        <f>IF(CustomerHierarchyLevels[[#This Row],[HgLvCust.]]=0,CustomerHierarchyLevels[[#This Row],[Customer]],CustomerHierarchyLevels[[#This Row],[HgLvCust.]])</f>
        <v>2212</v>
      </c>
      <c r="R113" s="30">
        <f>IF(VLOOKUP(CustomerHierarchyLevels[[#This Row],[Level1]],CustomerHierarchyLevels[],7,FALSE)=0,CustomerHierarchyLevels[[#This Row],[Level1]],VLOOKUP(CustomerHierarchyLevels[[#This Row],[Level1]],CustomerHierarchyLevels[],7,FALSE))</f>
        <v>2211</v>
      </c>
      <c r="S113" s="30">
        <f>IF(VLOOKUP(CustomerHierarchyLevels[[#This Row],[Level2]],CustomerHierarchyLevels[],7,FALSE)=0,CustomerHierarchyLevels[[#This Row],[Level2]],VLOOKUP(CustomerHierarchyLevels[[#This Row],[Level2]],CustomerHierarchyLevels[],7,FALSE))</f>
        <v>2211</v>
      </c>
    </row>
    <row r="114" spans="1:19" x14ac:dyDescent="0.25">
      <c r="A114">
        <v>2216</v>
      </c>
      <c r="B114" t="s">
        <v>13</v>
      </c>
      <c r="C114" t="s">
        <v>95</v>
      </c>
      <c r="D114">
        <v>0</v>
      </c>
      <c r="E114">
        <v>38170</v>
      </c>
      <c r="F114">
        <v>2958465</v>
      </c>
      <c r="G114">
        <v>2212</v>
      </c>
      <c r="H114" t="s">
        <v>13</v>
      </c>
      <c r="I114" t="s">
        <v>95</v>
      </c>
      <c r="J114">
        <v>0</v>
      </c>
      <c r="K114">
        <v>0</v>
      </c>
      <c r="N114">
        <v>3</v>
      </c>
      <c r="O114" t="s">
        <v>96</v>
      </c>
      <c r="P114" t="s">
        <v>1305</v>
      </c>
      <c r="Q114" s="30">
        <f>IF(CustomerHierarchyLevels[[#This Row],[HgLvCust.]]=0,CustomerHierarchyLevels[[#This Row],[Customer]],CustomerHierarchyLevels[[#This Row],[HgLvCust.]])</f>
        <v>2212</v>
      </c>
      <c r="R114" s="30">
        <f>IF(VLOOKUP(CustomerHierarchyLevels[[#This Row],[Level1]],CustomerHierarchyLevels[],7,FALSE)=0,CustomerHierarchyLevels[[#This Row],[Level1]],VLOOKUP(CustomerHierarchyLevels[[#This Row],[Level1]],CustomerHierarchyLevels[],7,FALSE))</f>
        <v>2211</v>
      </c>
      <c r="S114" s="30">
        <f>IF(VLOOKUP(CustomerHierarchyLevels[[#This Row],[Level2]],CustomerHierarchyLevels[],7,FALSE)=0,CustomerHierarchyLevels[[#This Row],[Level2]],VLOOKUP(CustomerHierarchyLevels[[#This Row],[Level2]],CustomerHierarchyLevels[],7,FALSE))</f>
        <v>2211</v>
      </c>
    </row>
    <row r="115" spans="1:19" x14ac:dyDescent="0.25">
      <c r="A115">
        <v>2217</v>
      </c>
      <c r="B115" t="s">
        <v>13</v>
      </c>
      <c r="C115" t="s">
        <v>95</v>
      </c>
      <c r="D115">
        <v>0</v>
      </c>
      <c r="E115">
        <v>38170</v>
      </c>
      <c r="F115">
        <v>2958465</v>
      </c>
      <c r="G115">
        <v>2212</v>
      </c>
      <c r="H115" t="s">
        <v>13</v>
      </c>
      <c r="I115" t="s">
        <v>95</v>
      </c>
      <c r="J115">
        <v>0</v>
      </c>
      <c r="K115">
        <v>0</v>
      </c>
      <c r="N115">
        <v>3</v>
      </c>
      <c r="O115" t="s">
        <v>96</v>
      </c>
      <c r="P115" t="s">
        <v>1306</v>
      </c>
      <c r="Q115" s="30">
        <f>IF(CustomerHierarchyLevels[[#This Row],[HgLvCust.]]=0,CustomerHierarchyLevels[[#This Row],[Customer]],CustomerHierarchyLevels[[#This Row],[HgLvCust.]])</f>
        <v>2212</v>
      </c>
      <c r="R115" s="30">
        <f>IF(VLOOKUP(CustomerHierarchyLevels[[#This Row],[Level1]],CustomerHierarchyLevels[],7,FALSE)=0,CustomerHierarchyLevels[[#This Row],[Level1]],VLOOKUP(CustomerHierarchyLevels[[#This Row],[Level1]],CustomerHierarchyLevels[],7,FALSE))</f>
        <v>2211</v>
      </c>
      <c r="S115" s="30">
        <f>IF(VLOOKUP(CustomerHierarchyLevels[[#This Row],[Level2]],CustomerHierarchyLevels[],7,FALSE)=0,CustomerHierarchyLevels[[#This Row],[Level2]],VLOOKUP(CustomerHierarchyLevels[[#This Row],[Level2]],CustomerHierarchyLevels[],7,FALSE))</f>
        <v>2211</v>
      </c>
    </row>
    <row r="116" spans="1:19" x14ac:dyDescent="0.25">
      <c r="A116">
        <v>2218</v>
      </c>
      <c r="B116" t="s">
        <v>13</v>
      </c>
      <c r="C116" t="s">
        <v>95</v>
      </c>
      <c r="D116">
        <v>0</v>
      </c>
      <c r="E116">
        <v>38170</v>
      </c>
      <c r="F116">
        <v>2958465</v>
      </c>
      <c r="G116">
        <v>2211</v>
      </c>
      <c r="H116" t="s">
        <v>13</v>
      </c>
      <c r="I116" t="s">
        <v>95</v>
      </c>
      <c r="J116">
        <v>0</v>
      </c>
      <c r="K116">
        <v>0</v>
      </c>
      <c r="N116">
        <v>2</v>
      </c>
      <c r="O116" t="s">
        <v>96</v>
      </c>
      <c r="P116" t="s">
        <v>1307</v>
      </c>
      <c r="Q116" s="30">
        <f>IF(CustomerHierarchyLevels[[#This Row],[HgLvCust.]]=0,CustomerHierarchyLevels[[#This Row],[Customer]],CustomerHierarchyLevels[[#This Row],[HgLvCust.]])</f>
        <v>2211</v>
      </c>
      <c r="R116" s="30">
        <f>IF(VLOOKUP(CustomerHierarchyLevels[[#This Row],[Level1]],CustomerHierarchyLevels[],7,FALSE)=0,CustomerHierarchyLevels[[#This Row],[Level1]],VLOOKUP(CustomerHierarchyLevels[[#This Row],[Level1]],CustomerHierarchyLevels[],7,FALSE))</f>
        <v>2211</v>
      </c>
      <c r="S116" s="30">
        <f>IF(VLOOKUP(CustomerHierarchyLevels[[#This Row],[Level2]],CustomerHierarchyLevels[],7,FALSE)=0,CustomerHierarchyLevels[[#This Row],[Level2]],VLOOKUP(CustomerHierarchyLevels[[#This Row],[Level2]],CustomerHierarchyLevels[],7,FALSE))</f>
        <v>2211</v>
      </c>
    </row>
    <row r="117" spans="1:19" x14ac:dyDescent="0.25">
      <c r="A117">
        <v>2219</v>
      </c>
      <c r="B117" t="s">
        <v>13</v>
      </c>
      <c r="C117" t="s">
        <v>95</v>
      </c>
      <c r="D117">
        <v>0</v>
      </c>
      <c r="E117">
        <v>38170</v>
      </c>
      <c r="F117">
        <v>2958465</v>
      </c>
      <c r="G117">
        <v>2218</v>
      </c>
      <c r="H117" t="s">
        <v>13</v>
      </c>
      <c r="I117" t="s">
        <v>95</v>
      </c>
      <c r="J117">
        <v>0</v>
      </c>
      <c r="K117">
        <v>0</v>
      </c>
      <c r="N117">
        <v>3</v>
      </c>
      <c r="O117" t="s">
        <v>96</v>
      </c>
      <c r="P117" t="s">
        <v>1308</v>
      </c>
      <c r="Q117" s="30">
        <f>IF(CustomerHierarchyLevels[[#This Row],[HgLvCust.]]=0,CustomerHierarchyLevels[[#This Row],[Customer]],CustomerHierarchyLevels[[#This Row],[HgLvCust.]])</f>
        <v>2218</v>
      </c>
      <c r="R117" s="30">
        <f>IF(VLOOKUP(CustomerHierarchyLevels[[#This Row],[Level1]],CustomerHierarchyLevels[],7,FALSE)=0,CustomerHierarchyLevels[[#This Row],[Level1]],VLOOKUP(CustomerHierarchyLevels[[#This Row],[Level1]],CustomerHierarchyLevels[],7,FALSE))</f>
        <v>2211</v>
      </c>
      <c r="S117" s="30">
        <f>IF(VLOOKUP(CustomerHierarchyLevels[[#This Row],[Level2]],CustomerHierarchyLevels[],7,FALSE)=0,CustomerHierarchyLevels[[#This Row],[Level2]],VLOOKUP(CustomerHierarchyLevels[[#This Row],[Level2]],CustomerHierarchyLevels[],7,FALSE))</f>
        <v>2211</v>
      </c>
    </row>
    <row r="118" spans="1:19" x14ac:dyDescent="0.25">
      <c r="A118">
        <v>2220</v>
      </c>
      <c r="B118" t="s">
        <v>13</v>
      </c>
      <c r="C118" t="s">
        <v>95</v>
      </c>
      <c r="D118">
        <v>0</v>
      </c>
      <c r="E118">
        <v>38170</v>
      </c>
      <c r="F118">
        <v>2958465</v>
      </c>
      <c r="G118">
        <v>2218</v>
      </c>
      <c r="H118" t="s">
        <v>13</v>
      </c>
      <c r="I118" t="s">
        <v>95</v>
      </c>
      <c r="J118">
        <v>0</v>
      </c>
      <c r="K118">
        <v>0</v>
      </c>
      <c r="N118">
        <v>3</v>
      </c>
      <c r="O118" t="s">
        <v>96</v>
      </c>
      <c r="P118" t="s">
        <v>1309</v>
      </c>
      <c r="Q118" s="30">
        <f>IF(CustomerHierarchyLevels[[#This Row],[HgLvCust.]]=0,CustomerHierarchyLevels[[#This Row],[Customer]],CustomerHierarchyLevels[[#This Row],[HgLvCust.]])</f>
        <v>2218</v>
      </c>
      <c r="R118" s="30">
        <f>IF(VLOOKUP(CustomerHierarchyLevels[[#This Row],[Level1]],CustomerHierarchyLevels[],7,FALSE)=0,CustomerHierarchyLevels[[#This Row],[Level1]],VLOOKUP(CustomerHierarchyLevels[[#This Row],[Level1]],CustomerHierarchyLevels[],7,FALSE))</f>
        <v>2211</v>
      </c>
      <c r="S118" s="30">
        <f>IF(VLOOKUP(CustomerHierarchyLevels[[#This Row],[Level2]],CustomerHierarchyLevels[],7,FALSE)=0,CustomerHierarchyLevels[[#This Row],[Level2]],VLOOKUP(CustomerHierarchyLevels[[#This Row],[Level2]],CustomerHierarchyLevels[],7,FALSE))</f>
        <v>2211</v>
      </c>
    </row>
    <row r="119" spans="1:19" x14ac:dyDescent="0.25">
      <c r="A119">
        <v>2221</v>
      </c>
      <c r="B119" t="s">
        <v>13</v>
      </c>
      <c r="C119" t="s">
        <v>95</v>
      </c>
      <c r="D119">
        <v>0</v>
      </c>
      <c r="E119">
        <v>38170</v>
      </c>
      <c r="F119">
        <v>2958465</v>
      </c>
      <c r="G119">
        <v>2211</v>
      </c>
      <c r="H119" t="s">
        <v>13</v>
      </c>
      <c r="I119" t="s">
        <v>95</v>
      </c>
      <c r="J119">
        <v>0</v>
      </c>
      <c r="K119">
        <v>0</v>
      </c>
      <c r="N119">
        <v>2</v>
      </c>
      <c r="O119" t="s">
        <v>96</v>
      </c>
      <c r="P119" t="s">
        <v>1310</v>
      </c>
      <c r="Q119" s="30">
        <f>IF(CustomerHierarchyLevels[[#This Row],[HgLvCust.]]=0,CustomerHierarchyLevels[[#This Row],[Customer]],CustomerHierarchyLevels[[#This Row],[HgLvCust.]])</f>
        <v>2211</v>
      </c>
      <c r="R119" s="30">
        <f>IF(VLOOKUP(CustomerHierarchyLevels[[#This Row],[Level1]],CustomerHierarchyLevels[],7,FALSE)=0,CustomerHierarchyLevels[[#This Row],[Level1]],VLOOKUP(CustomerHierarchyLevels[[#This Row],[Level1]],CustomerHierarchyLevels[],7,FALSE))</f>
        <v>2211</v>
      </c>
      <c r="S119" s="30">
        <f>IF(VLOOKUP(CustomerHierarchyLevels[[#This Row],[Level2]],CustomerHierarchyLevels[],7,FALSE)=0,CustomerHierarchyLevels[[#This Row],[Level2]],VLOOKUP(CustomerHierarchyLevels[[#This Row],[Level2]],CustomerHierarchyLevels[],7,FALSE))</f>
        <v>2211</v>
      </c>
    </row>
    <row r="120" spans="1:19" x14ac:dyDescent="0.25">
      <c r="A120">
        <v>2222</v>
      </c>
      <c r="B120" t="s">
        <v>13</v>
      </c>
      <c r="C120" t="s">
        <v>95</v>
      </c>
      <c r="D120">
        <v>0</v>
      </c>
      <c r="E120">
        <v>38170</v>
      </c>
      <c r="F120">
        <v>2958465</v>
      </c>
      <c r="G120">
        <v>2221</v>
      </c>
      <c r="H120" t="s">
        <v>13</v>
      </c>
      <c r="I120" t="s">
        <v>95</v>
      </c>
      <c r="J120">
        <v>0</v>
      </c>
      <c r="K120">
        <v>0</v>
      </c>
      <c r="N120">
        <v>3</v>
      </c>
      <c r="O120" t="s">
        <v>96</v>
      </c>
      <c r="P120" t="s">
        <v>1311</v>
      </c>
      <c r="Q120" s="30">
        <f>IF(CustomerHierarchyLevels[[#This Row],[HgLvCust.]]=0,CustomerHierarchyLevels[[#This Row],[Customer]],CustomerHierarchyLevels[[#This Row],[HgLvCust.]])</f>
        <v>2221</v>
      </c>
      <c r="R120" s="30">
        <f>IF(VLOOKUP(CustomerHierarchyLevels[[#This Row],[Level1]],CustomerHierarchyLevels[],7,FALSE)=0,CustomerHierarchyLevels[[#This Row],[Level1]],VLOOKUP(CustomerHierarchyLevels[[#This Row],[Level1]],CustomerHierarchyLevels[],7,FALSE))</f>
        <v>2211</v>
      </c>
      <c r="S120" s="30">
        <f>IF(VLOOKUP(CustomerHierarchyLevels[[#This Row],[Level2]],CustomerHierarchyLevels[],7,FALSE)=0,CustomerHierarchyLevels[[#This Row],[Level2]],VLOOKUP(CustomerHierarchyLevels[[#This Row],[Level2]],CustomerHierarchyLevels[],7,FALSE))</f>
        <v>2211</v>
      </c>
    </row>
    <row r="121" spans="1:19" x14ac:dyDescent="0.25">
      <c r="A121">
        <v>2223</v>
      </c>
      <c r="B121" t="s">
        <v>13</v>
      </c>
      <c r="C121" t="s">
        <v>95</v>
      </c>
      <c r="D121">
        <v>0</v>
      </c>
      <c r="E121">
        <v>38170</v>
      </c>
      <c r="F121">
        <v>2958465</v>
      </c>
      <c r="K121">
        <v>0</v>
      </c>
      <c r="N121">
        <v>1</v>
      </c>
      <c r="O121" t="s">
        <v>96</v>
      </c>
      <c r="P121" t="s">
        <v>1312</v>
      </c>
      <c r="Q121" s="30">
        <f>IF(CustomerHierarchyLevels[[#This Row],[HgLvCust.]]=0,CustomerHierarchyLevels[[#This Row],[Customer]],CustomerHierarchyLevels[[#This Row],[HgLvCust.]])</f>
        <v>2223</v>
      </c>
      <c r="R121" s="30">
        <f>IF(VLOOKUP(CustomerHierarchyLevels[[#This Row],[Level1]],CustomerHierarchyLevels[],7,FALSE)=0,CustomerHierarchyLevels[[#This Row],[Level1]],VLOOKUP(CustomerHierarchyLevels[[#This Row],[Level1]],CustomerHierarchyLevels[],7,FALSE))</f>
        <v>2223</v>
      </c>
      <c r="S121" s="30">
        <f>IF(VLOOKUP(CustomerHierarchyLevels[[#This Row],[Level2]],CustomerHierarchyLevels[],7,FALSE)=0,CustomerHierarchyLevels[[#This Row],[Level2]],VLOOKUP(CustomerHierarchyLevels[[#This Row],[Level2]],CustomerHierarchyLevels[],7,FALSE))</f>
        <v>2223</v>
      </c>
    </row>
    <row r="122" spans="1:19" x14ac:dyDescent="0.25">
      <c r="A122">
        <v>2224</v>
      </c>
      <c r="B122" t="s">
        <v>13</v>
      </c>
      <c r="C122" t="s">
        <v>95</v>
      </c>
      <c r="D122">
        <v>0</v>
      </c>
      <c r="E122">
        <v>38170</v>
      </c>
      <c r="F122">
        <v>2958465</v>
      </c>
      <c r="G122">
        <v>2223</v>
      </c>
      <c r="H122" t="s">
        <v>13</v>
      </c>
      <c r="I122" t="s">
        <v>95</v>
      </c>
      <c r="J122">
        <v>0</v>
      </c>
      <c r="K122">
        <v>0</v>
      </c>
      <c r="N122">
        <v>2</v>
      </c>
      <c r="O122" t="s">
        <v>96</v>
      </c>
      <c r="P122" t="s">
        <v>1313</v>
      </c>
      <c r="Q122" s="30">
        <f>IF(CustomerHierarchyLevels[[#This Row],[HgLvCust.]]=0,CustomerHierarchyLevels[[#This Row],[Customer]],CustomerHierarchyLevels[[#This Row],[HgLvCust.]])</f>
        <v>2223</v>
      </c>
      <c r="R122" s="30">
        <f>IF(VLOOKUP(CustomerHierarchyLevels[[#This Row],[Level1]],CustomerHierarchyLevels[],7,FALSE)=0,CustomerHierarchyLevels[[#This Row],[Level1]],VLOOKUP(CustomerHierarchyLevels[[#This Row],[Level1]],CustomerHierarchyLevels[],7,FALSE))</f>
        <v>2223</v>
      </c>
      <c r="S122" s="30">
        <f>IF(VLOOKUP(CustomerHierarchyLevels[[#This Row],[Level2]],CustomerHierarchyLevels[],7,FALSE)=0,CustomerHierarchyLevels[[#This Row],[Level2]],VLOOKUP(CustomerHierarchyLevels[[#This Row],[Level2]],CustomerHierarchyLevels[],7,FALSE))</f>
        <v>2223</v>
      </c>
    </row>
    <row r="123" spans="1:19" x14ac:dyDescent="0.25">
      <c r="A123">
        <v>2225</v>
      </c>
      <c r="B123" t="s">
        <v>13</v>
      </c>
      <c r="C123" t="s">
        <v>95</v>
      </c>
      <c r="D123">
        <v>0</v>
      </c>
      <c r="E123">
        <v>38170</v>
      </c>
      <c r="F123">
        <v>2958465</v>
      </c>
      <c r="G123">
        <v>2224</v>
      </c>
      <c r="H123" t="s">
        <v>13</v>
      </c>
      <c r="I123" t="s">
        <v>95</v>
      </c>
      <c r="J123">
        <v>0</v>
      </c>
      <c r="K123">
        <v>0</v>
      </c>
      <c r="N123">
        <v>3</v>
      </c>
      <c r="O123" t="s">
        <v>96</v>
      </c>
      <c r="P123" t="s">
        <v>1314</v>
      </c>
      <c r="Q123" s="30">
        <f>IF(CustomerHierarchyLevels[[#This Row],[HgLvCust.]]=0,CustomerHierarchyLevels[[#This Row],[Customer]],CustomerHierarchyLevels[[#This Row],[HgLvCust.]])</f>
        <v>2224</v>
      </c>
      <c r="R123" s="30">
        <f>IF(VLOOKUP(CustomerHierarchyLevels[[#This Row],[Level1]],CustomerHierarchyLevels[],7,FALSE)=0,CustomerHierarchyLevels[[#This Row],[Level1]],VLOOKUP(CustomerHierarchyLevels[[#This Row],[Level1]],CustomerHierarchyLevels[],7,FALSE))</f>
        <v>2223</v>
      </c>
      <c r="S123" s="30">
        <f>IF(VLOOKUP(CustomerHierarchyLevels[[#This Row],[Level2]],CustomerHierarchyLevels[],7,FALSE)=0,CustomerHierarchyLevels[[#This Row],[Level2]],VLOOKUP(CustomerHierarchyLevels[[#This Row],[Level2]],CustomerHierarchyLevels[],7,FALSE))</f>
        <v>2223</v>
      </c>
    </row>
    <row r="124" spans="1:19" x14ac:dyDescent="0.25">
      <c r="A124">
        <v>2226</v>
      </c>
      <c r="B124" t="s">
        <v>13</v>
      </c>
      <c r="C124" t="s">
        <v>95</v>
      </c>
      <c r="D124">
        <v>0</v>
      </c>
      <c r="E124">
        <v>38170</v>
      </c>
      <c r="F124">
        <v>2958465</v>
      </c>
      <c r="G124">
        <v>2224</v>
      </c>
      <c r="H124" t="s">
        <v>13</v>
      </c>
      <c r="I124" t="s">
        <v>95</v>
      </c>
      <c r="J124">
        <v>0</v>
      </c>
      <c r="K124">
        <v>0</v>
      </c>
      <c r="N124">
        <v>3</v>
      </c>
      <c r="O124" t="s">
        <v>96</v>
      </c>
      <c r="P124" t="s">
        <v>1315</v>
      </c>
      <c r="Q124" s="30">
        <f>IF(CustomerHierarchyLevels[[#This Row],[HgLvCust.]]=0,CustomerHierarchyLevels[[#This Row],[Customer]],CustomerHierarchyLevels[[#This Row],[HgLvCust.]])</f>
        <v>2224</v>
      </c>
      <c r="R124" s="30">
        <f>IF(VLOOKUP(CustomerHierarchyLevels[[#This Row],[Level1]],CustomerHierarchyLevels[],7,FALSE)=0,CustomerHierarchyLevels[[#This Row],[Level1]],VLOOKUP(CustomerHierarchyLevels[[#This Row],[Level1]],CustomerHierarchyLevels[],7,FALSE))</f>
        <v>2223</v>
      </c>
      <c r="S124" s="30">
        <f>IF(VLOOKUP(CustomerHierarchyLevels[[#This Row],[Level2]],CustomerHierarchyLevels[],7,FALSE)=0,CustomerHierarchyLevels[[#This Row],[Level2]],VLOOKUP(CustomerHierarchyLevels[[#This Row],[Level2]],CustomerHierarchyLevels[],7,FALSE))</f>
        <v>2223</v>
      </c>
    </row>
    <row r="125" spans="1:19" x14ac:dyDescent="0.25">
      <c r="A125">
        <v>2227</v>
      </c>
      <c r="B125" t="s">
        <v>13</v>
      </c>
      <c r="C125" t="s">
        <v>95</v>
      </c>
      <c r="D125">
        <v>0</v>
      </c>
      <c r="E125">
        <v>38170</v>
      </c>
      <c r="F125">
        <v>2958465</v>
      </c>
      <c r="G125">
        <v>2224</v>
      </c>
      <c r="H125" t="s">
        <v>13</v>
      </c>
      <c r="I125" t="s">
        <v>95</v>
      </c>
      <c r="J125">
        <v>0</v>
      </c>
      <c r="K125">
        <v>0</v>
      </c>
      <c r="N125">
        <v>3</v>
      </c>
      <c r="O125" t="s">
        <v>96</v>
      </c>
      <c r="P125" t="s">
        <v>1316</v>
      </c>
      <c r="Q125" s="30">
        <f>IF(CustomerHierarchyLevels[[#This Row],[HgLvCust.]]=0,CustomerHierarchyLevels[[#This Row],[Customer]],CustomerHierarchyLevels[[#This Row],[HgLvCust.]])</f>
        <v>2224</v>
      </c>
      <c r="R125" s="30">
        <f>IF(VLOOKUP(CustomerHierarchyLevels[[#This Row],[Level1]],CustomerHierarchyLevels[],7,FALSE)=0,CustomerHierarchyLevels[[#This Row],[Level1]],VLOOKUP(CustomerHierarchyLevels[[#This Row],[Level1]],CustomerHierarchyLevels[],7,FALSE))</f>
        <v>2223</v>
      </c>
      <c r="S125" s="30">
        <f>IF(VLOOKUP(CustomerHierarchyLevels[[#This Row],[Level2]],CustomerHierarchyLevels[],7,FALSE)=0,CustomerHierarchyLevels[[#This Row],[Level2]],VLOOKUP(CustomerHierarchyLevels[[#This Row],[Level2]],CustomerHierarchyLevels[],7,FALSE))</f>
        <v>2223</v>
      </c>
    </row>
    <row r="126" spans="1:19" x14ac:dyDescent="0.25">
      <c r="A126">
        <v>2228</v>
      </c>
      <c r="B126" t="s">
        <v>13</v>
      </c>
      <c r="C126" t="s">
        <v>95</v>
      </c>
      <c r="D126">
        <v>0</v>
      </c>
      <c r="E126">
        <v>38170</v>
      </c>
      <c r="F126">
        <v>2958465</v>
      </c>
      <c r="K126">
        <v>0</v>
      </c>
      <c r="N126">
        <v>1</v>
      </c>
      <c r="O126" t="s">
        <v>96</v>
      </c>
      <c r="P126" t="s">
        <v>1317</v>
      </c>
      <c r="Q126" s="30">
        <f>IF(CustomerHierarchyLevels[[#This Row],[HgLvCust.]]=0,CustomerHierarchyLevels[[#This Row],[Customer]],CustomerHierarchyLevels[[#This Row],[HgLvCust.]])</f>
        <v>2228</v>
      </c>
      <c r="R126" s="30">
        <f>IF(VLOOKUP(CustomerHierarchyLevels[[#This Row],[Level1]],CustomerHierarchyLevels[],7,FALSE)=0,CustomerHierarchyLevels[[#This Row],[Level1]],VLOOKUP(CustomerHierarchyLevels[[#This Row],[Level1]],CustomerHierarchyLevels[],7,FALSE))</f>
        <v>2228</v>
      </c>
      <c r="S126" s="30">
        <f>IF(VLOOKUP(CustomerHierarchyLevels[[#This Row],[Level2]],CustomerHierarchyLevels[],7,FALSE)=0,CustomerHierarchyLevels[[#This Row],[Level2]],VLOOKUP(CustomerHierarchyLevels[[#This Row],[Level2]],CustomerHierarchyLevels[],7,FALSE))</f>
        <v>2228</v>
      </c>
    </row>
    <row r="127" spans="1:19" x14ac:dyDescent="0.25">
      <c r="A127">
        <v>2229</v>
      </c>
      <c r="B127" t="s">
        <v>13</v>
      </c>
      <c r="C127" t="s">
        <v>95</v>
      </c>
      <c r="D127">
        <v>0</v>
      </c>
      <c r="E127">
        <v>38170</v>
      </c>
      <c r="F127">
        <v>2958465</v>
      </c>
      <c r="G127">
        <v>2228</v>
      </c>
      <c r="H127" t="s">
        <v>13</v>
      </c>
      <c r="I127" t="s">
        <v>95</v>
      </c>
      <c r="J127">
        <v>0</v>
      </c>
      <c r="K127">
        <v>0</v>
      </c>
      <c r="N127">
        <v>2</v>
      </c>
      <c r="O127" t="s">
        <v>96</v>
      </c>
      <c r="P127" t="s">
        <v>1318</v>
      </c>
      <c r="Q127" s="30">
        <f>IF(CustomerHierarchyLevels[[#This Row],[HgLvCust.]]=0,CustomerHierarchyLevels[[#This Row],[Customer]],CustomerHierarchyLevels[[#This Row],[HgLvCust.]])</f>
        <v>2228</v>
      </c>
      <c r="R127" s="30">
        <f>IF(VLOOKUP(CustomerHierarchyLevels[[#This Row],[Level1]],CustomerHierarchyLevels[],7,FALSE)=0,CustomerHierarchyLevels[[#This Row],[Level1]],VLOOKUP(CustomerHierarchyLevels[[#This Row],[Level1]],CustomerHierarchyLevels[],7,FALSE))</f>
        <v>2228</v>
      </c>
      <c r="S127" s="30">
        <f>IF(VLOOKUP(CustomerHierarchyLevels[[#This Row],[Level2]],CustomerHierarchyLevels[],7,FALSE)=0,CustomerHierarchyLevels[[#This Row],[Level2]],VLOOKUP(CustomerHierarchyLevels[[#This Row],[Level2]],CustomerHierarchyLevels[],7,FALSE))</f>
        <v>2228</v>
      </c>
    </row>
    <row r="128" spans="1:19" x14ac:dyDescent="0.25">
      <c r="A128">
        <v>2230</v>
      </c>
      <c r="B128" t="s">
        <v>13</v>
      </c>
      <c r="C128" t="s">
        <v>95</v>
      </c>
      <c r="D128">
        <v>0</v>
      </c>
      <c r="E128">
        <v>38170</v>
      </c>
      <c r="F128">
        <v>2958465</v>
      </c>
      <c r="G128">
        <v>2229</v>
      </c>
      <c r="H128" t="s">
        <v>13</v>
      </c>
      <c r="I128" t="s">
        <v>95</v>
      </c>
      <c r="J128">
        <v>0</v>
      </c>
      <c r="K128">
        <v>0</v>
      </c>
      <c r="N128">
        <v>3</v>
      </c>
      <c r="O128" t="s">
        <v>96</v>
      </c>
      <c r="P128" t="s">
        <v>1319</v>
      </c>
      <c r="Q128" s="30">
        <f>IF(CustomerHierarchyLevels[[#This Row],[HgLvCust.]]=0,CustomerHierarchyLevels[[#This Row],[Customer]],CustomerHierarchyLevels[[#This Row],[HgLvCust.]])</f>
        <v>2229</v>
      </c>
      <c r="R128" s="30">
        <f>IF(VLOOKUP(CustomerHierarchyLevels[[#This Row],[Level1]],CustomerHierarchyLevels[],7,FALSE)=0,CustomerHierarchyLevels[[#This Row],[Level1]],VLOOKUP(CustomerHierarchyLevels[[#This Row],[Level1]],CustomerHierarchyLevels[],7,FALSE))</f>
        <v>2228</v>
      </c>
      <c r="S128" s="30">
        <f>IF(VLOOKUP(CustomerHierarchyLevels[[#This Row],[Level2]],CustomerHierarchyLevels[],7,FALSE)=0,CustomerHierarchyLevels[[#This Row],[Level2]],VLOOKUP(CustomerHierarchyLevels[[#This Row],[Level2]],CustomerHierarchyLevels[],7,FALSE))</f>
        <v>2228</v>
      </c>
    </row>
    <row r="129" spans="1:19" x14ac:dyDescent="0.25">
      <c r="A129">
        <v>2231</v>
      </c>
      <c r="B129" t="s">
        <v>13</v>
      </c>
      <c r="C129" t="s">
        <v>95</v>
      </c>
      <c r="D129">
        <v>0</v>
      </c>
      <c r="E129">
        <v>38170</v>
      </c>
      <c r="F129">
        <v>2958465</v>
      </c>
      <c r="G129">
        <v>2229</v>
      </c>
      <c r="H129" t="s">
        <v>13</v>
      </c>
      <c r="I129" t="s">
        <v>95</v>
      </c>
      <c r="J129">
        <v>0</v>
      </c>
      <c r="K129">
        <v>0</v>
      </c>
      <c r="N129">
        <v>3</v>
      </c>
      <c r="O129" t="s">
        <v>96</v>
      </c>
      <c r="P129" t="s">
        <v>1320</v>
      </c>
      <c r="Q129" s="30">
        <f>IF(CustomerHierarchyLevels[[#This Row],[HgLvCust.]]=0,CustomerHierarchyLevels[[#This Row],[Customer]],CustomerHierarchyLevels[[#This Row],[HgLvCust.]])</f>
        <v>2229</v>
      </c>
      <c r="R129" s="30">
        <f>IF(VLOOKUP(CustomerHierarchyLevels[[#This Row],[Level1]],CustomerHierarchyLevels[],7,FALSE)=0,CustomerHierarchyLevels[[#This Row],[Level1]],VLOOKUP(CustomerHierarchyLevels[[#This Row],[Level1]],CustomerHierarchyLevels[],7,FALSE))</f>
        <v>2228</v>
      </c>
      <c r="S129" s="30">
        <f>IF(VLOOKUP(CustomerHierarchyLevels[[#This Row],[Level2]],CustomerHierarchyLevels[],7,FALSE)=0,CustomerHierarchyLevels[[#This Row],[Level2]],VLOOKUP(CustomerHierarchyLevels[[#This Row],[Level2]],CustomerHierarchyLevels[],7,FALSE))</f>
        <v>2228</v>
      </c>
    </row>
    <row r="130" spans="1:19" x14ac:dyDescent="0.25">
      <c r="A130">
        <v>2232</v>
      </c>
      <c r="B130" t="s">
        <v>13</v>
      </c>
      <c r="C130" t="s">
        <v>95</v>
      </c>
      <c r="D130">
        <v>0</v>
      </c>
      <c r="E130">
        <v>38170</v>
      </c>
      <c r="F130">
        <v>2958465</v>
      </c>
      <c r="G130">
        <v>2229</v>
      </c>
      <c r="H130" t="s">
        <v>13</v>
      </c>
      <c r="I130" t="s">
        <v>95</v>
      </c>
      <c r="J130">
        <v>0</v>
      </c>
      <c r="K130">
        <v>0</v>
      </c>
      <c r="N130">
        <v>3</v>
      </c>
      <c r="O130" t="s">
        <v>96</v>
      </c>
      <c r="P130" t="s">
        <v>1321</v>
      </c>
      <c r="Q130" s="30">
        <f>IF(CustomerHierarchyLevels[[#This Row],[HgLvCust.]]=0,CustomerHierarchyLevels[[#This Row],[Customer]],CustomerHierarchyLevels[[#This Row],[HgLvCust.]])</f>
        <v>2229</v>
      </c>
      <c r="R130" s="30">
        <f>IF(VLOOKUP(CustomerHierarchyLevels[[#This Row],[Level1]],CustomerHierarchyLevels[],7,FALSE)=0,CustomerHierarchyLevels[[#This Row],[Level1]],VLOOKUP(CustomerHierarchyLevels[[#This Row],[Level1]],CustomerHierarchyLevels[],7,FALSE))</f>
        <v>2228</v>
      </c>
      <c r="S130" s="30">
        <f>IF(VLOOKUP(CustomerHierarchyLevels[[#This Row],[Level2]],CustomerHierarchyLevels[],7,FALSE)=0,CustomerHierarchyLevels[[#This Row],[Level2]],VLOOKUP(CustomerHierarchyLevels[[#This Row],[Level2]],CustomerHierarchyLevels[],7,FALSE))</f>
        <v>2228</v>
      </c>
    </row>
    <row r="131" spans="1:19" x14ac:dyDescent="0.25">
      <c r="A131">
        <v>2233</v>
      </c>
      <c r="B131" t="s">
        <v>13</v>
      </c>
      <c r="C131" t="s">
        <v>95</v>
      </c>
      <c r="D131">
        <v>0</v>
      </c>
      <c r="E131">
        <v>38170</v>
      </c>
      <c r="F131">
        <v>2958465</v>
      </c>
      <c r="G131">
        <v>2229</v>
      </c>
      <c r="H131" t="s">
        <v>13</v>
      </c>
      <c r="I131" t="s">
        <v>95</v>
      </c>
      <c r="J131">
        <v>0</v>
      </c>
      <c r="K131">
        <v>0</v>
      </c>
      <c r="N131">
        <v>3</v>
      </c>
      <c r="O131" t="s">
        <v>96</v>
      </c>
      <c r="P131" t="s">
        <v>1322</v>
      </c>
      <c r="Q131" s="30">
        <f>IF(CustomerHierarchyLevels[[#This Row],[HgLvCust.]]=0,CustomerHierarchyLevels[[#This Row],[Customer]],CustomerHierarchyLevels[[#This Row],[HgLvCust.]])</f>
        <v>2229</v>
      </c>
      <c r="R131" s="30">
        <f>IF(VLOOKUP(CustomerHierarchyLevels[[#This Row],[Level1]],CustomerHierarchyLevels[],7,FALSE)=0,CustomerHierarchyLevels[[#This Row],[Level1]],VLOOKUP(CustomerHierarchyLevels[[#This Row],[Level1]],CustomerHierarchyLevels[],7,FALSE))</f>
        <v>2228</v>
      </c>
      <c r="S131" s="30">
        <f>IF(VLOOKUP(CustomerHierarchyLevels[[#This Row],[Level2]],CustomerHierarchyLevels[],7,FALSE)=0,CustomerHierarchyLevels[[#This Row],[Level2]],VLOOKUP(CustomerHierarchyLevels[[#This Row],[Level2]],CustomerHierarchyLevels[],7,FALSE))</f>
        <v>2228</v>
      </c>
    </row>
    <row r="132" spans="1:19" x14ac:dyDescent="0.25">
      <c r="A132">
        <v>2300</v>
      </c>
      <c r="B132" t="s">
        <v>13</v>
      </c>
      <c r="C132" t="s">
        <v>95</v>
      </c>
      <c r="D132">
        <v>0</v>
      </c>
      <c r="E132">
        <v>38170</v>
      </c>
      <c r="F132">
        <v>2958465</v>
      </c>
      <c r="G132">
        <v>2229</v>
      </c>
      <c r="H132" t="s">
        <v>13</v>
      </c>
      <c r="I132" t="s">
        <v>95</v>
      </c>
      <c r="J132">
        <v>0</v>
      </c>
      <c r="K132">
        <v>0</v>
      </c>
      <c r="N132">
        <v>3</v>
      </c>
      <c r="O132" t="s">
        <v>96</v>
      </c>
      <c r="P132" t="s">
        <v>1323</v>
      </c>
      <c r="Q132" s="30">
        <f>IF(CustomerHierarchyLevels[[#This Row],[HgLvCust.]]=0,CustomerHierarchyLevels[[#This Row],[Customer]],CustomerHierarchyLevels[[#This Row],[HgLvCust.]])</f>
        <v>2229</v>
      </c>
      <c r="R132" s="30">
        <f>IF(VLOOKUP(CustomerHierarchyLevels[[#This Row],[Level1]],CustomerHierarchyLevels[],7,FALSE)=0,CustomerHierarchyLevels[[#This Row],[Level1]],VLOOKUP(CustomerHierarchyLevels[[#This Row],[Level1]],CustomerHierarchyLevels[],7,FALSE))</f>
        <v>2228</v>
      </c>
      <c r="S132" s="30">
        <f>IF(VLOOKUP(CustomerHierarchyLevels[[#This Row],[Level2]],CustomerHierarchyLevels[],7,FALSE)=0,CustomerHierarchyLevels[[#This Row],[Level2]],VLOOKUP(CustomerHierarchyLevels[[#This Row],[Level2]],CustomerHierarchyLevels[],7,FALSE))</f>
        <v>2228</v>
      </c>
    </row>
    <row r="133" spans="1:19" x14ac:dyDescent="0.25">
      <c r="A133">
        <v>2234</v>
      </c>
      <c r="B133" t="s">
        <v>13</v>
      </c>
      <c r="C133" t="s">
        <v>95</v>
      </c>
      <c r="D133">
        <v>0</v>
      </c>
      <c r="E133">
        <v>38170</v>
      </c>
      <c r="F133">
        <v>2958465</v>
      </c>
      <c r="G133">
        <v>2229</v>
      </c>
      <c r="H133" t="s">
        <v>13</v>
      </c>
      <c r="I133" t="s">
        <v>95</v>
      </c>
      <c r="J133">
        <v>0</v>
      </c>
      <c r="K133">
        <v>0</v>
      </c>
      <c r="N133">
        <v>3</v>
      </c>
      <c r="O133" t="s">
        <v>96</v>
      </c>
      <c r="P133" t="s">
        <v>1324</v>
      </c>
      <c r="Q133" s="30">
        <f>IF(CustomerHierarchyLevels[[#This Row],[HgLvCust.]]=0,CustomerHierarchyLevels[[#This Row],[Customer]],CustomerHierarchyLevels[[#This Row],[HgLvCust.]])</f>
        <v>2229</v>
      </c>
      <c r="R133" s="30">
        <f>IF(VLOOKUP(CustomerHierarchyLevels[[#This Row],[Level1]],CustomerHierarchyLevels[],7,FALSE)=0,CustomerHierarchyLevels[[#This Row],[Level1]],VLOOKUP(CustomerHierarchyLevels[[#This Row],[Level1]],CustomerHierarchyLevels[],7,FALSE))</f>
        <v>2228</v>
      </c>
      <c r="S133" s="30">
        <f>IF(VLOOKUP(CustomerHierarchyLevels[[#This Row],[Level2]],CustomerHierarchyLevels[],7,FALSE)=0,CustomerHierarchyLevels[[#This Row],[Level2]],VLOOKUP(CustomerHierarchyLevels[[#This Row],[Level2]],CustomerHierarchyLevels[],7,FALSE))</f>
        <v>2228</v>
      </c>
    </row>
    <row r="134" spans="1:19" x14ac:dyDescent="0.25">
      <c r="A134">
        <v>2235</v>
      </c>
      <c r="B134" t="s">
        <v>13</v>
      </c>
      <c r="C134" t="s">
        <v>95</v>
      </c>
      <c r="D134">
        <v>0</v>
      </c>
      <c r="E134">
        <v>38170</v>
      </c>
      <c r="F134">
        <v>2958465</v>
      </c>
      <c r="G134">
        <v>2229</v>
      </c>
      <c r="H134" t="s">
        <v>13</v>
      </c>
      <c r="I134" t="s">
        <v>95</v>
      </c>
      <c r="J134">
        <v>0</v>
      </c>
      <c r="K134">
        <v>0</v>
      </c>
      <c r="N134">
        <v>3</v>
      </c>
      <c r="O134" t="s">
        <v>96</v>
      </c>
      <c r="P134" t="s">
        <v>1325</v>
      </c>
      <c r="Q134" s="30">
        <f>IF(CustomerHierarchyLevels[[#This Row],[HgLvCust.]]=0,CustomerHierarchyLevels[[#This Row],[Customer]],CustomerHierarchyLevels[[#This Row],[HgLvCust.]])</f>
        <v>2229</v>
      </c>
      <c r="R134" s="30">
        <f>IF(VLOOKUP(CustomerHierarchyLevels[[#This Row],[Level1]],CustomerHierarchyLevels[],7,FALSE)=0,CustomerHierarchyLevels[[#This Row],[Level1]],VLOOKUP(CustomerHierarchyLevels[[#This Row],[Level1]],CustomerHierarchyLevels[],7,FALSE))</f>
        <v>2228</v>
      </c>
      <c r="S134" s="30">
        <f>IF(VLOOKUP(CustomerHierarchyLevels[[#This Row],[Level2]],CustomerHierarchyLevels[],7,FALSE)=0,CustomerHierarchyLevels[[#This Row],[Level2]],VLOOKUP(CustomerHierarchyLevels[[#This Row],[Level2]],CustomerHierarchyLevels[],7,FALSE))</f>
        <v>2228</v>
      </c>
    </row>
    <row r="135" spans="1:19" x14ac:dyDescent="0.25">
      <c r="A135">
        <v>2236</v>
      </c>
      <c r="B135" t="s">
        <v>13</v>
      </c>
      <c r="C135" t="s">
        <v>95</v>
      </c>
      <c r="D135">
        <v>0</v>
      </c>
      <c r="E135">
        <v>38170</v>
      </c>
      <c r="F135">
        <v>2958465</v>
      </c>
      <c r="G135">
        <v>2229</v>
      </c>
      <c r="H135" t="s">
        <v>13</v>
      </c>
      <c r="I135" t="s">
        <v>95</v>
      </c>
      <c r="J135">
        <v>0</v>
      </c>
      <c r="K135">
        <v>0</v>
      </c>
      <c r="N135">
        <v>3</v>
      </c>
      <c r="O135" t="s">
        <v>96</v>
      </c>
      <c r="P135" t="s">
        <v>1326</v>
      </c>
      <c r="Q135" s="30">
        <f>IF(CustomerHierarchyLevels[[#This Row],[HgLvCust.]]=0,CustomerHierarchyLevels[[#This Row],[Customer]],CustomerHierarchyLevels[[#This Row],[HgLvCust.]])</f>
        <v>2229</v>
      </c>
      <c r="R135" s="30">
        <f>IF(VLOOKUP(CustomerHierarchyLevels[[#This Row],[Level1]],CustomerHierarchyLevels[],7,FALSE)=0,CustomerHierarchyLevels[[#This Row],[Level1]],VLOOKUP(CustomerHierarchyLevels[[#This Row],[Level1]],CustomerHierarchyLevels[],7,FALSE))</f>
        <v>2228</v>
      </c>
      <c r="S135" s="30">
        <f>IF(VLOOKUP(CustomerHierarchyLevels[[#This Row],[Level2]],CustomerHierarchyLevels[],7,FALSE)=0,CustomerHierarchyLevels[[#This Row],[Level2]],VLOOKUP(CustomerHierarchyLevels[[#This Row],[Level2]],CustomerHierarchyLevels[],7,FALSE))</f>
        <v>2228</v>
      </c>
    </row>
    <row r="136" spans="1:19" x14ac:dyDescent="0.25">
      <c r="A136">
        <v>2237</v>
      </c>
      <c r="B136" t="s">
        <v>13</v>
      </c>
      <c r="C136" t="s">
        <v>95</v>
      </c>
      <c r="D136">
        <v>0</v>
      </c>
      <c r="E136">
        <v>38170</v>
      </c>
      <c r="F136">
        <v>2958465</v>
      </c>
      <c r="G136">
        <v>2229</v>
      </c>
      <c r="H136" t="s">
        <v>13</v>
      </c>
      <c r="I136" t="s">
        <v>95</v>
      </c>
      <c r="J136">
        <v>0</v>
      </c>
      <c r="K136">
        <v>0</v>
      </c>
      <c r="N136">
        <v>3</v>
      </c>
      <c r="O136" t="s">
        <v>96</v>
      </c>
      <c r="P136" t="s">
        <v>1327</v>
      </c>
      <c r="Q136" s="30">
        <f>IF(CustomerHierarchyLevels[[#This Row],[HgLvCust.]]=0,CustomerHierarchyLevels[[#This Row],[Customer]],CustomerHierarchyLevels[[#This Row],[HgLvCust.]])</f>
        <v>2229</v>
      </c>
      <c r="R136" s="30">
        <f>IF(VLOOKUP(CustomerHierarchyLevels[[#This Row],[Level1]],CustomerHierarchyLevels[],7,FALSE)=0,CustomerHierarchyLevels[[#This Row],[Level1]],VLOOKUP(CustomerHierarchyLevels[[#This Row],[Level1]],CustomerHierarchyLevels[],7,FALSE))</f>
        <v>2228</v>
      </c>
      <c r="S136" s="30">
        <f>IF(VLOOKUP(CustomerHierarchyLevels[[#This Row],[Level2]],CustomerHierarchyLevels[],7,FALSE)=0,CustomerHierarchyLevels[[#This Row],[Level2]],VLOOKUP(CustomerHierarchyLevels[[#This Row],[Level2]],CustomerHierarchyLevels[],7,FALSE))</f>
        <v>2228</v>
      </c>
    </row>
    <row r="137" spans="1:19" x14ac:dyDescent="0.25">
      <c r="A137">
        <v>2238</v>
      </c>
      <c r="B137" t="s">
        <v>13</v>
      </c>
      <c r="C137" t="s">
        <v>95</v>
      </c>
      <c r="D137">
        <v>0</v>
      </c>
      <c r="E137">
        <v>38170</v>
      </c>
      <c r="F137">
        <v>2958465</v>
      </c>
      <c r="G137">
        <v>2229</v>
      </c>
      <c r="H137" t="s">
        <v>13</v>
      </c>
      <c r="I137" t="s">
        <v>95</v>
      </c>
      <c r="J137">
        <v>0</v>
      </c>
      <c r="K137">
        <v>0</v>
      </c>
      <c r="N137">
        <v>3</v>
      </c>
      <c r="O137" t="s">
        <v>96</v>
      </c>
      <c r="P137" t="s">
        <v>1328</v>
      </c>
      <c r="Q137" s="30">
        <f>IF(CustomerHierarchyLevels[[#This Row],[HgLvCust.]]=0,CustomerHierarchyLevels[[#This Row],[Customer]],CustomerHierarchyLevels[[#This Row],[HgLvCust.]])</f>
        <v>2229</v>
      </c>
      <c r="R137" s="30">
        <f>IF(VLOOKUP(CustomerHierarchyLevels[[#This Row],[Level1]],CustomerHierarchyLevels[],7,FALSE)=0,CustomerHierarchyLevels[[#This Row],[Level1]],VLOOKUP(CustomerHierarchyLevels[[#This Row],[Level1]],CustomerHierarchyLevels[],7,FALSE))</f>
        <v>2228</v>
      </c>
      <c r="S137" s="30">
        <f>IF(VLOOKUP(CustomerHierarchyLevels[[#This Row],[Level2]],CustomerHierarchyLevels[],7,FALSE)=0,CustomerHierarchyLevels[[#This Row],[Level2]],VLOOKUP(CustomerHierarchyLevels[[#This Row],[Level2]],CustomerHierarchyLevels[],7,FALSE))</f>
        <v>2228</v>
      </c>
    </row>
    <row r="138" spans="1:19" x14ac:dyDescent="0.25">
      <c r="A138">
        <v>2239</v>
      </c>
      <c r="B138" t="s">
        <v>13</v>
      </c>
      <c r="C138" t="s">
        <v>95</v>
      </c>
      <c r="D138">
        <v>0</v>
      </c>
      <c r="E138">
        <v>38170</v>
      </c>
      <c r="F138">
        <v>2958465</v>
      </c>
      <c r="G138">
        <v>2229</v>
      </c>
      <c r="H138" t="s">
        <v>13</v>
      </c>
      <c r="I138" t="s">
        <v>95</v>
      </c>
      <c r="J138">
        <v>0</v>
      </c>
      <c r="K138">
        <v>0</v>
      </c>
      <c r="N138">
        <v>3</v>
      </c>
      <c r="O138" t="s">
        <v>96</v>
      </c>
      <c r="P138" t="s">
        <v>1329</v>
      </c>
      <c r="Q138" s="30">
        <f>IF(CustomerHierarchyLevels[[#This Row],[HgLvCust.]]=0,CustomerHierarchyLevels[[#This Row],[Customer]],CustomerHierarchyLevels[[#This Row],[HgLvCust.]])</f>
        <v>2229</v>
      </c>
      <c r="R138" s="30">
        <f>IF(VLOOKUP(CustomerHierarchyLevels[[#This Row],[Level1]],CustomerHierarchyLevels[],7,FALSE)=0,CustomerHierarchyLevels[[#This Row],[Level1]],VLOOKUP(CustomerHierarchyLevels[[#This Row],[Level1]],CustomerHierarchyLevels[],7,FALSE))</f>
        <v>2228</v>
      </c>
      <c r="S138" s="30">
        <f>IF(VLOOKUP(CustomerHierarchyLevels[[#This Row],[Level2]],CustomerHierarchyLevels[],7,FALSE)=0,CustomerHierarchyLevels[[#This Row],[Level2]],VLOOKUP(CustomerHierarchyLevels[[#This Row],[Level2]],CustomerHierarchyLevels[],7,FALSE))</f>
        <v>2228</v>
      </c>
    </row>
    <row r="139" spans="1:19" x14ac:dyDescent="0.25">
      <c r="A139">
        <v>2240</v>
      </c>
      <c r="B139" t="s">
        <v>13</v>
      </c>
      <c r="C139" t="s">
        <v>95</v>
      </c>
      <c r="D139">
        <v>0</v>
      </c>
      <c r="E139">
        <v>38170</v>
      </c>
      <c r="F139">
        <v>2958465</v>
      </c>
      <c r="G139">
        <v>2229</v>
      </c>
      <c r="H139" t="s">
        <v>13</v>
      </c>
      <c r="I139" t="s">
        <v>95</v>
      </c>
      <c r="J139">
        <v>0</v>
      </c>
      <c r="K139">
        <v>0</v>
      </c>
      <c r="N139">
        <v>3</v>
      </c>
      <c r="O139" t="s">
        <v>96</v>
      </c>
      <c r="P139" t="s">
        <v>1330</v>
      </c>
      <c r="Q139" s="30">
        <f>IF(CustomerHierarchyLevels[[#This Row],[HgLvCust.]]=0,CustomerHierarchyLevels[[#This Row],[Customer]],CustomerHierarchyLevels[[#This Row],[HgLvCust.]])</f>
        <v>2229</v>
      </c>
      <c r="R139" s="30">
        <f>IF(VLOOKUP(CustomerHierarchyLevels[[#This Row],[Level1]],CustomerHierarchyLevels[],7,FALSE)=0,CustomerHierarchyLevels[[#This Row],[Level1]],VLOOKUP(CustomerHierarchyLevels[[#This Row],[Level1]],CustomerHierarchyLevels[],7,FALSE))</f>
        <v>2228</v>
      </c>
      <c r="S139" s="30">
        <f>IF(VLOOKUP(CustomerHierarchyLevels[[#This Row],[Level2]],CustomerHierarchyLevels[],7,FALSE)=0,CustomerHierarchyLevels[[#This Row],[Level2]],VLOOKUP(CustomerHierarchyLevels[[#This Row],[Level2]],CustomerHierarchyLevels[],7,FALSE))</f>
        <v>2228</v>
      </c>
    </row>
    <row r="140" spans="1:19" x14ac:dyDescent="0.25">
      <c r="A140">
        <v>2241</v>
      </c>
      <c r="B140" t="s">
        <v>13</v>
      </c>
      <c r="C140" t="s">
        <v>95</v>
      </c>
      <c r="D140">
        <v>0</v>
      </c>
      <c r="E140">
        <v>38170</v>
      </c>
      <c r="F140">
        <v>2958465</v>
      </c>
      <c r="G140">
        <v>2229</v>
      </c>
      <c r="H140" t="s">
        <v>13</v>
      </c>
      <c r="I140" t="s">
        <v>95</v>
      </c>
      <c r="J140">
        <v>0</v>
      </c>
      <c r="K140">
        <v>0</v>
      </c>
      <c r="N140">
        <v>3</v>
      </c>
      <c r="O140" t="s">
        <v>96</v>
      </c>
      <c r="P140" t="s">
        <v>1331</v>
      </c>
      <c r="Q140" s="30">
        <f>IF(CustomerHierarchyLevels[[#This Row],[HgLvCust.]]=0,CustomerHierarchyLevels[[#This Row],[Customer]],CustomerHierarchyLevels[[#This Row],[HgLvCust.]])</f>
        <v>2229</v>
      </c>
      <c r="R140" s="30">
        <f>IF(VLOOKUP(CustomerHierarchyLevels[[#This Row],[Level1]],CustomerHierarchyLevels[],7,FALSE)=0,CustomerHierarchyLevels[[#This Row],[Level1]],VLOOKUP(CustomerHierarchyLevels[[#This Row],[Level1]],CustomerHierarchyLevels[],7,FALSE))</f>
        <v>2228</v>
      </c>
      <c r="S140" s="30">
        <f>IF(VLOOKUP(CustomerHierarchyLevels[[#This Row],[Level2]],CustomerHierarchyLevels[],7,FALSE)=0,CustomerHierarchyLevels[[#This Row],[Level2]],VLOOKUP(CustomerHierarchyLevels[[#This Row],[Level2]],CustomerHierarchyLevels[],7,FALSE))</f>
        <v>2228</v>
      </c>
    </row>
    <row r="141" spans="1:19" x14ac:dyDescent="0.25">
      <c r="A141">
        <v>2242</v>
      </c>
      <c r="B141" t="s">
        <v>13</v>
      </c>
      <c r="C141" t="s">
        <v>95</v>
      </c>
      <c r="D141">
        <v>0</v>
      </c>
      <c r="E141">
        <v>38170</v>
      </c>
      <c r="F141">
        <v>2958465</v>
      </c>
      <c r="G141">
        <v>2229</v>
      </c>
      <c r="H141" t="s">
        <v>13</v>
      </c>
      <c r="I141" t="s">
        <v>95</v>
      </c>
      <c r="J141">
        <v>0</v>
      </c>
      <c r="K141">
        <v>0</v>
      </c>
      <c r="N141">
        <v>3</v>
      </c>
      <c r="O141" t="s">
        <v>96</v>
      </c>
      <c r="P141" t="s">
        <v>1332</v>
      </c>
      <c r="Q141" s="30">
        <f>IF(CustomerHierarchyLevels[[#This Row],[HgLvCust.]]=0,CustomerHierarchyLevels[[#This Row],[Customer]],CustomerHierarchyLevels[[#This Row],[HgLvCust.]])</f>
        <v>2229</v>
      </c>
      <c r="R141" s="30">
        <f>IF(VLOOKUP(CustomerHierarchyLevels[[#This Row],[Level1]],CustomerHierarchyLevels[],7,FALSE)=0,CustomerHierarchyLevels[[#This Row],[Level1]],VLOOKUP(CustomerHierarchyLevels[[#This Row],[Level1]],CustomerHierarchyLevels[],7,FALSE))</f>
        <v>2228</v>
      </c>
      <c r="S141" s="30">
        <f>IF(VLOOKUP(CustomerHierarchyLevels[[#This Row],[Level2]],CustomerHierarchyLevels[],7,FALSE)=0,CustomerHierarchyLevels[[#This Row],[Level2]],VLOOKUP(CustomerHierarchyLevels[[#This Row],[Level2]],CustomerHierarchyLevels[],7,FALSE))</f>
        <v>2228</v>
      </c>
    </row>
    <row r="142" spans="1:19" x14ac:dyDescent="0.25">
      <c r="A142">
        <v>2243</v>
      </c>
      <c r="B142" t="s">
        <v>13</v>
      </c>
      <c r="C142" t="s">
        <v>95</v>
      </c>
      <c r="D142">
        <v>0</v>
      </c>
      <c r="E142">
        <v>38170</v>
      </c>
      <c r="F142">
        <v>2958465</v>
      </c>
      <c r="G142">
        <v>2229</v>
      </c>
      <c r="H142" t="s">
        <v>13</v>
      </c>
      <c r="I142" t="s">
        <v>95</v>
      </c>
      <c r="J142">
        <v>0</v>
      </c>
      <c r="K142">
        <v>0</v>
      </c>
      <c r="N142">
        <v>3</v>
      </c>
      <c r="O142" t="s">
        <v>96</v>
      </c>
      <c r="P142" t="s">
        <v>1333</v>
      </c>
      <c r="Q142" s="30">
        <f>IF(CustomerHierarchyLevels[[#This Row],[HgLvCust.]]=0,CustomerHierarchyLevels[[#This Row],[Customer]],CustomerHierarchyLevels[[#This Row],[HgLvCust.]])</f>
        <v>2229</v>
      </c>
      <c r="R142" s="30">
        <f>IF(VLOOKUP(CustomerHierarchyLevels[[#This Row],[Level1]],CustomerHierarchyLevels[],7,FALSE)=0,CustomerHierarchyLevels[[#This Row],[Level1]],VLOOKUP(CustomerHierarchyLevels[[#This Row],[Level1]],CustomerHierarchyLevels[],7,FALSE))</f>
        <v>2228</v>
      </c>
      <c r="S142" s="30">
        <f>IF(VLOOKUP(CustomerHierarchyLevels[[#This Row],[Level2]],CustomerHierarchyLevels[],7,FALSE)=0,CustomerHierarchyLevels[[#This Row],[Level2]],VLOOKUP(CustomerHierarchyLevels[[#This Row],[Level2]],CustomerHierarchyLevels[],7,FALSE))</f>
        <v>2228</v>
      </c>
    </row>
    <row r="143" spans="1:19" x14ac:dyDescent="0.25">
      <c r="A143">
        <v>2244</v>
      </c>
      <c r="B143" t="s">
        <v>13</v>
      </c>
      <c r="C143" t="s">
        <v>95</v>
      </c>
      <c r="D143">
        <v>0</v>
      </c>
      <c r="E143">
        <v>38170</v>
      </c>
      <c r="F143">
        <v>2958465</v>
      </c>
      <c r="G143">
        <v>2229</v>
      </c>
      <c r="H143" t="s">
        <v>13</v>
      </c>
      <c r="I143" t="s">
        <v>95</v>
      </c>
      <c r="J143">
        <v>0</v>
      </c>
      <c r="K143">
        <v>0</v>
      </c>
      <c r="N143">
        <v>3</v>
      </c>
      <c r="O143" t="s">
        <v>96</v>
      </c>
      <c r="P143" t="s">
        <v>1334</v>
      </c>
      <c r="Q143" s="30">
        <f>IF(CustomerHierarchyLevels[[#This Row],[HgLvCust.]]=0,CustomerHierarchyLevels[[#This Row],[Customer]],CustomerHierarchyLevels[[#This Row],[HgLvCust.]])</f>
        <v>2229</v>
      </c>
      <c r="R143" s="30">
        <f>IF(VLOOKUP(CustomerHierarchyLevels[[#This Row],[Level1]],CustomerHierarchyLevels[],7,FALSE)=0,CustomerHierarchyLevels[[#This Row],[Level1]],VLOOKUP(CustomerHierarchyLevels[[#This Row],[Level1]],CustomerHierarchyLevels[],7,FALSE))</f>
        <v>2228</v>
      </c>
      <c r="S143" s="30">
        <f>IF(VLOOKUP(CustomerHierarchyLevels[[#This Row],[Level2]],CustomerHierarchyLevels[],7,FALSE)=0,CustomerHierarchyLevels[[#This Row],[Level2]],VLOOKUP(CustomerHierarchyLevels[[#This Row],[Level2]],CustomerHierarchyLevels[],7,FALSE))</f>
        <v>2228</v>
      </c>
    </row>
    <row r="144" spans="1:19" x14ac:dyDescent="0.25">
      <c r="A144">
        <v>2245</v>
      </c>
      <c r="B144" t="s">
        <v>13</v>
      </c>
      <c r="C144" t="s">
        <v>95</v>
      </c>
      <c r="D144">
        <v>0</v>
      </c>
      <c r="E144">
        <v>38170</v>
      </c>
      <c r="F144">
        <v>2958465</v>
      </c>
      <c r="G144">
        <v>2229</v>
      </c>
      <c r="H144" t="s">
        <v>13</v>
      </c>
      <c r="I144" t="s">
        <v>95</v>
      </c>
      <c r="J144">
        <v>0</v>
      </c>
      <c r="K144">
        <v>0</v>
      </c>
      <c r="N144">
        <v>3</v>
      </c>
      <c r="O144" t="s">
        <v>96</v>
      </c>
      <c r="P144" t="s">
        <v>1335</v>
      </c>
      <c r="Q144" s="30">
        <f>IF(CustomerHierarchyLevels[[#This Row],[HgLvCust.]]=0,CustomerHierarchyLevels[[#This Row],[Customer]],CustomerHierarchyLevels[[#This Row],[HgLvCust.]])</f>
        <v>2229</v>
      </c>
      <c r="R144" s="30">
        <f>IF(VLOOKUP(CustomerHierarchyLevels[[#This Row],[Level1]],CustomerHierarchyLevels[],7,FALSE)=0,CustomerHierarchyLevels[[#This Row],[Level1]],VLOOKUP(CustomerHierarchyLevels[[#This Row],[Level1]],CustomerHierarchyLevels[],7,FALSE))</f>
        <v>2228</v>
      </c>
      <c r="S144" s="30">
        <f>IF(VLOOKUP(CustomerHierarchyLevels[[#This Row],[Level2]],CustomerHierarchyLevels[],7,FALSE)=0,CustomerHierarchyLevels[[#This Row],[Level2]],VLOOKUP(CustomerHierarchyLevels[[#This Row],[Level2]],CustomerHierarchyLevels[],7,FALSE))</f>
        <v>2228</v>
      </c>
    </row>
    <row r="145" spans="1:19" x14ac:dyDescent="0.25">
      <c r="A145">
        <v>2246</v>
      </c>
      <c r="B145" t="s">
        <v>13</v>
      </c>
      <c r="C145" t="s">
        <v>95</v>
      </c>
      <c r="D145">
        <v>0</v>
      </c>
      <c r="E145">
        <v>38170</v>
      </c>
      <c r="F145">
        <v>2958465</v>
      </c>
      <c r="G145">
        <v>2229</v>
      </c>
      <c r="H145" t="s">
        <v>13</v>
      </c>
      <c r="I145" t="s">
        <v>95</v>
      </c>
      <c r="J145">
        <v>0</v>
      </c>
      <c r="K145">
        <v>0</v>
      </c>
      <c r="N145">
        <v>3</v>
      </c>
      <c r="O145" t="s">
        <v>96</v>
      </c>
      <c r="P145" t="s">
        <v>1336</v>
      </c>
      <c r="Q145" s="30">
        <f>IF(CustomerHierarchyLevels[[#This Row],[HgLvCust.]]=0,CustomerHierarchyLevels[[#This Row],[Customer]],CustomerHierarchyLevels[[#This Row],[HgLvCust.]])</f>
        <v>2229</v>
      </c>
      <c r="R145" s="30">
        <f>IF(VLOOKUP(CustomerHierarchyLevels[[#This Row],[Level1]],CustomerHierarchyLevels[],7,FALSE)=0,CustomerHierarchyLevels[[#This Row],[Level1]],VLOOKUP(CustomerHierarchyLevels[[#This Row],[Level1]],CustomerHierarchyLevels[],7,FALSE))</f>
        <v>2228</v>
      </c>
      <c r="S145" s="30">
        <f>IF(VLOOKUP(CustomerHierarchyLevels[[#This Row],[Level2]],CustomerHierarchyLevels[],7,FALSE)=0,CustomerHierarchyLevels[[#This Row],[Level2]],VLOOKUP(CustomerHierarchyLevels[[#This Row],[Level2]],CustomerHierarchyLevels[],7,FALSE))</f>
        <v>2228</v>
      </c>
    </row>
    <row r="146" spans="1:19" x14ac:dyDescent="0.25">
      <c r="A146">
        <v>2247</v>
      </c>
      <c r="B146" t="s">
        <v>13</v>
      </c>
      <c r="C146" t="s">
        <v>95</v>
      </c>
      <c r="D146">
        <v>0</v>
      </c>
      <c r="E146">
        <v>38170</v>
      </c>
      <c r="F146">
        <v>2958465</v>
      </c>
      <c r="G146">
        <v>2229</v>
      </c>
      <c r="H146" t="s">
        <v>13</v>
      </c>
      <c r="I146" t="s">
        <v>95</v>
      </c>
      <c r="J146">
        <v>0</v>
      </c>
      <c r="K146">
        <v>0</v>
      </c>
      <c r="N146">
        <v>3</v>
      </c>
      <c r="O146" t="s">
        <v>96</v>
      </c>
      <c r="P146" t="s">
        <v>1337</v>
      </c>
      <c r="Q146" s="30">
        <f>IF(CustomerHierarchyLevels[[#This Row],[HgLvCust.]]=0,CustomerHierarchyLevels[[#This Row],[Customer]],CustomerHierarchyLevels[[#This Row],[HgLvCust.]])</f>
        <v>2229</v>
      </c>
      <c r="R146" s="30">
        <f>IF(VLOOKUP(CustomerHierarchyLevels[[#This Row],[Level1]],CustomerHierarchyLevels[],7,FALSE)=0,CustomerHierarchyLevels[[#This Row],[Level1]],VLOOKUP(CustomerHierarchyLevels[[#This Row],[Level1]],CustomerHierarchyLevels[],7,FALSE))</f>
        <v>2228</v>
      </c>
      <c r="S146" s="30">
        <f>IF(VLOOKUP(CustomerHierarchyLevels[[#This Row],[Level2]],CustomerHierarchyLevels[],7,FALSE)=0,CustomerHierarchyLevels[[#This Row],[Level2]],VLOOKUP(CustomerHierarchyLevels[[#This Row],[Level2]],CustomerHierarchyLevels[],7,FALSE))</f>
        <v>2228</v>
      </c>
    </row>
    <row r="147" spans="1:19" x14ac:dyDescent="0.25">
      <c r="A147">
        <v>2248</v>
      </c>
      <c r="B147" t="s">
        <v>13</v>
      </c>
      <c r="C147" t="s">
        <v>95</v>
      </c>
      <c r="D147">
        <v>0</v>
      </c>
      <c r="E147">
        <v>38170</v>
      </c>
      <c r="F147">
        <v>2958465</v>
      </c>
      <c r="G147">
        <v>2229</v>
      </c>
      <c r="H147" t="s">
        <v>13</v>
      </c>
      <c r="I147" t="s">
        <v>95</v>
      </c>
      <c r="J147">
        <v>0</v>
      </c>
      <c r="K147">
        <v>0</v>
      </c>
      <c r="N147">
        <v>3</v>
      </c>
      <c r="O147" t="s">
        <v>96</v>
      </c>
      <c r="P147" t="s">
        <v>1338</v>
      </c>
      <c r="Q147" s="30">
        <f>IF(CustomerHierarchyLevels[[#This Row],[HgLvCust.]]=0,CustomerHierarchyLevels[[#This Row],[Customer]],CustomerHierarchyLevels[[#This Row],[HgLvCust.]])</f>
        <v>2229</v>
      </c>
      <c r="R147" s="30">
        <f>IF(VLOOKUP(CustomerHierarchyLevels[[#This Row],[Level1]],CustomerHierarchyLevels[],7,FALSE)=0,CustomerHierarchyLevels[[#This Row],[Level1]],VLOOKUP(CustomerHierarchyLevels[[#This Row],[Level1]],CustomerHierarchyLevels[],7,FALSE))</f>
        <v>2228</v>
      </c>
      <c r="S147" s="30">
        <f>IF(VLOOKUP(CustomerHierarchyLevels[[#This Row],[Level2]],CustomerHierarchyLevels[],7,FALSE)=0,CustomerHierarchyLevels[[#This Row],[Level2]],VLOOKUP(CustomerHierarchyLevels[[#This Row],[Level2]],CustomerHierarchyLevels[],7,FALSE))</f>
        <v>2228</v>
      </c>
    </row>
    <row r="148" spans="1:19" x14ac:dyDescent="0.25">
      <c r="A148">
        <v>2249</v>
      </c>
      <c r="B148" t="s">
        <v>13</v>
      </c>
      <c r="C148" t="s">
        <v>95</v>
      </c>
      <c r="D148">
        <v>0</v>
      </c>
      <c r="E148">
        <v>38170</v>
      </c>
      <c r="F148">
        <v>2958465</v>
      </c>
      <c r="G148">
        <v>2229</v>
      </c>
      <c r="H148" t="s">
        <v>13</v>
      </c>
      <c r="I148" t="s">
        <v>95</v>
      </c>
      <c r="J148">
        <v>0</v>
      </c>
      <c r="K148">
        <v>0</v>
      </c>
      <c r="N148">
        <v>3</v>
      </c>
      <c r="O148" t="s">
        <v>96</v>
      </c>
      <c r="P148" t="s">
        <v>1339</v>
      </c>
      <c r="Q148" s="30">
        <f>IF(CustomerHierarchyLevels[[#This Row],[HgLvCust.]]=0,CustomerHierarchyLevels[[#This Row],[Customer]],CustomerHierarchyLevels[[#This Row],[HgLvCust.]])</f>
        <v>2229</v>
      </c>
      <c r="R148" s="30">
        <f>IF(VLOOKUP(CustomerHierarchyLevels[[#This Row],[Level1]],CustomerHierarchyLevels[],7,FALSE)=0,CustomerHierarchyLevels[[#This Row],[Level1]],VLOOKUP(CustomerHierarchyLevels[[#This Row],[Level1]],CustomerHierarchyLevels[],7,FALSE))</f>
        <v>2228</v>
      </c>
      <c r="S148" s="30">
        <f>IF(VLOOKUP(CustomerHierarchyLevels[[#This Row],[Level2]],CustomerHierarchyLevels[],7,FALSE)=0,CustomerHierarchyLevels[[#This Row],[Level2]],VLOOKUP(CustomerHierarchyLevels[[#This Row],[Level2]],CustomerHierarchyLevels[],7,FALSE))</f>
        <v>2228</v>
      </c>
    </row>
    <row r="149" spans="1:19" x14ac:dyDescent="0.25">
      <c r="A149">
        <v>2250</v>
      </c>
      <c r="B149" t="s">
        <v>13</v>
      </c>
      <c r="C149" t="s">
        <v>95</v>
      </c>
      <c r="D149">
        <v>0</v>
      </c>
      <c r="E149">
        <v>38170</v>
      </c>
      <c r="F149">
        <v>2958465</v>
      </c>
      <c r="G149">
        <v>2229</v>
      </c>
      <c r="H149" t="s">
        <v>13</v>
      </c>
      <c r="I149" t="s">
        <v>95</v>
      </c>
      <c r="J149">
        <v>0</v>
      </c>
      <c r="K149">
        <v>0</v>
      </c>
      <c r="N149">
        <v>3</v>
      </c>
      <c r="O149" t="s">
        <v>96</v>
      </c>
      <c r="P149" t="s">
        <v>1340</v>
      </c>
      <c r="Q149" s="30">
        <f>IF(CustomerHierarchyLevels[[#This Row],[HgLvCust.]]=0,CustomerHierarchyLevels[[#This Row],[Customer]],CustomerHierarchyLevels[[#This Row],[HgLvCust.]])</f>
        <v>2229</v>
      </c>
      <c r="R149" s="30">
        <f>IF(VLOOKUP(CustomerHierarchyLevels[[#This Row],[Level1]],CustomerHierarchyLevels[],7,FALSE)=0,CustomerHierarchyLevels[[#This Row],[Level1]],VLOOKUP(CustomerHierarchyLevels[[#This Row],[Level1]],CustomerHierarchyLevels[],7,FALSE))</f>
        <v>2228</v>
      </c>
      <c r="S149" s="30">
        <f>IF(VLOOKUP(CustomerHierarchyLevels[[#This Row],[Level2]],CustomerHierarchyLevels[],7,FALSE)=0,CustomerHierarchyLevels[[#This Row],[Level2]],VLOOKUP(CustomerHierarchyLevels[[#This Row],[Level2]],CustomerHierarchyLevels[],7,FALSE))</f>
        <v>2228</v>
      </c>
    </row>
    <row r="150" spans="1:19" x14ac:dyDescent="0.25">
      <c r="A150">
        <v>2251</v>
      </c>
      <c r="B150" t="s">
        <v>13</v>
      </c>
      <c r="C150" t="s">
        <v>95</v>
      </c>
      <c r="D150">
        <v>0</v>
      </c>
      <c r="E150">
        <v>38170</v>
      </c>
      <c r="F150">
        <v>2958465</v>
      </c>
      <c r="G150">
        <v>2229</v>
      </c>
      <c r="H150" t="s">
        <v>13</v>
      </c>
      <c r="I150" t="s">
        <v>95</v>
      </c>
      <c r="J150">
        <v>0</v>
      </c>
      <c r="K150">
        <v>0</v>
      </c>
      <c r="N150">
        <v>3</v>
      </c>
      <c r="O150" t="s">
        <v>96</v>
      </c>
      <c r="P150" t="s">
        <v>1341</v>
      </c>
      <c r="Q150" s="30">
        <f>IF(CustomerHierarchyLevels[[#This Row],[HgLvCust.]]=0,CustomerHierarchyLevels[[#This Row],[Customer]],CustomerHierarchyLevels[[#This Row],[HgLvCust.]])</f>
        <v>2229</v>
      </c>
      <c r="R150" s="30">
        <f>IF(VLOOKUP(CustomerHierarchyLevels[[#This Row],[Level1]],CustomerHierarchyLevels[],7,FALSE)=0,CustomerHierarchyLevels[[#This Row],[Level1]],VLOOKUP(CustomerHierarchyLevels[[#This Row],[Level1]],CustomerHierarchyLevels[],7,FALSE))</f>
        <v>2228</v>
      </c>
      <c r="S150" s="30">
        <f>IF(VLOOKUP(CustomerHierarchyLevels[[#This Row],[Level2]],CustomerHierarchyLevels[],7,FALSE)=0,CustomerHierarchyLevels[[#This Row],[Level2]],VLOOKUP(CustomerHierarchyLevels[[#This Row],[Level2]],CustomerHierarchyLevels[],7,FALSE))</f>
        <v>2228</v>
      </c>
    </row>
    <row r="151" spans="1:19" x14ac:dyDescent="0.25">
      <c r="A151">
        <v>2252</v>
      </c>
      <c r="B151" t="s">
        <v>13</v>
      </c>
      <c r="C151" t="s">
        <v>95</v>
      </c>
      <c r="D151">
        <v>0</v>
      </c>
      <c r="E151">
        <v>38170</v>
      </c>
      <c r="F151">
        <v>2958465</v>
      </c>
      <c r="G151">
        <v>2229</v>
      </c>
      <c r="H151" t="s">
        <v>13</v>
      </c>
      <c r="I151" t="s">
        <v>95</v>
      </c>
      <c r="J151">
        <v>0</v>
      </c>
      <c r="K151">
        <v>0</v>
      </c>
      <c r="N151">
        <v>3</v>
      </c>
      <c r="O151" t="s">
        <v>96</v>
      </c>
      <c r="P151" t="s">
        <v>1342</v>
      </c>
      <c r="Q151" s="30">
        <f>IF(CustomerHierarchyLevels[[#This Row],[HgLvCust.]]=0,CustomerHierarchyLevels[[#This Row],[Customer]],CustomerHierarchyLevels[[#This Row],[HgLvCust.]])</f>
        <v>2229</v>
      </c>
      <c r="R151" s="30">
        <f>IF(VLOOKUP(CustomerHierarchyLevels[[#This Row],[Level1]],CustomerHierarchyLevels[],7,FALSE)=0,CustomerHierarchyLevels[[#This Row],[Level1]],VLOOKUP(CustomerHierarchyLevels[[#This Row],[Level1]],CustomerHierarchyLevels[],7,FALSE))</f>
        <v>2228</v>
      </c>
      <c r="S151" s="30">
        <f>IF(VLOOKUP(CustomerHierarchyLevels[[#This Row],[Level2]],CustomerHierarchyLevels[],7,FALSE)=0,CustomerHierarchyLevels[[#This Row],[Level2]],VLOOKUP(CustomerHierarchyLevels[[#This Row],[Level2]],CustomerHierarchyLevels[],7,FALSE))</f>
        <v>2228</v>
      </c>
    </row>
    <row r="152" spans="1:19" x14ac:dyDescent="0.25">
      <c r="A152">
        <v>2253</v>
      </c>
      <c r="B152" t="s">
        <v>13</v>
      </c>
      <c r="C152" t="s">
        <v>95</v>
      </c>
      <c r="D152">
        <v>0</v>
      </c>
      <c r="E152">
        <v>38170</v>
      </c>
      <c r="F152">
        <v>2958465</v>
      </c>
      <c r="G152">
        <v>2229</v>
      </c>
      <c r="H152" t="s">
        <v>13</v>
      </c>
      <c r="I152" t="s">
        <v>95</v>
      </c>
      <c r="J152">
        <v>0</v>
      </c>
      <c r="K152">
        <v>0</v>
      </c>
      <c r="N152">
        <v>3</v>
      </c>
      <c r="O152" t="s">
        <v>96</v>
      </c>
      <c r="P152" t="s">
        <v>1343</v>
      </c>
      <c r="Q152" s="30">
        <f>IF(CustomerHierarchyLevels[[#This Row],[HgLvCust.]]=0,CustomerHierarchyLevels[[#This Row],[Customer]],CustomerHierarchyLevels[[#This Row],[HgLvCust.]])</f>
        <v>2229</v>
      </c>
      <c r="R152" s="30">
        <f>IF(VLOOKUP(CustomerHierarchyLevels[[#This Row],[Level1]],CustomerHierarchyLevels[],7,FALSE)=0,CustomerHierarchyLevels[[#This Row],[Level1]],VLOOKUP(CustomerHierarchyLevels[[#This Row],[Level1]],CustomerHierarchyLevels[],7,FALSE))</f>
        <v>2228</v>
      </c>
      <c r="S152" s="30">
        <f>IF(VLOOKUP(CustomerHierarchyLevels[[#This Row],[Level2]],CustomerHierarchyLevels[],7,FALSE)=0,CustomerHierarchyLevels[[#This Row],[Level2]],VLOOKUP(CustomerHierarchyLevels[[#This Row],[Level2]],CustomerHierarchyLevels[],7,FALSE))</f>
        <v>2228</v>
      </c>
    </row>
    <row r="153" spans="1:19" x14ac:dyDescent="0.25">
      <c r="A153">
        <v>2254</v>
      </c>
      <c r="B153" t="s">
        <v>13</v>
      </c>
      <c r="C153" t="s">
        <v>95</v>
      </c>
      <c r="D153">
        <v>0</v>
      </c>
      <c r="E153">
        <v>38170</v>
      </c>
      <c r="F153">
        <v>2958465</v>
      </c>
      <c r="G153">
        <v>2229</v>
      </c>
      <c r="H153" t="s">
        <v>13</v>
      </c>
      <c r="I153" t="s">
        <v>95</v>
      </c>
      <c r="J153">
        <v>0</v>
      </c>
      <c r="K153">
        <v>0</v>
      </c>
      <c r="N153">
        <v>3</v>
      </c>
      <c r="O153" t="s">
        <v>96</v>
      </c>
      <c r="P153" t="s">
        <v>1344</v>
      </c>
      <c r="Q153" s="30">
        <f>IF(CustomerHierarchyLevels[[#This Row],[HgLvCust.]]=0,CustomerHierarchyLevels[[#This Row],[Customer]],CustomerHierarchyLevels[[#This Row],[HgLvCust.]])</f>
        <v>2229</v>
      </c>
      <c r="R153" s="30">
        <f>IF(VLOOKUP(CustomerHierarchyLevels[[#This Row],[Level1]],CustomerHierarchyLevels[],7,FALSE)=0,CustomerHierarchyLevels[[#This Row],[Level1]],VLOOKUP(CustomerHierarchyLevels[[#This Row],[Level1]],CustomerHierarchyLevels[],7,FALSE))</f>
        <v>2228</v>
      </c>
      <c r="S153" s="30">
        <f>IF(VLOOKUP(CustomerHierarchyLevels[[#This Row],[Level2]],CustomerHierarchyLevels[],7,FALSE)=0,CustomerHierarchyLevels[[#This Row],[Level2]],VLOOKUP(CustomerHierarchyLevels[[#This Row],[Level2]],CustomerHierarchyLevels[],7,FALSE))</f>
        <v>2228</v>
      </c>
    </row>
    <row r="154" spans="1:19" x14ac:dyDescent="0.25">
      <c r="A154">
        <v>2255</v>
      </c>
      <c r="B154" t="s">
        <v>13</v>
      </c>
      <c r="C154" t="s">
        <v>95</v>
      </c>
      <c r="D154">
        <v>0</v>
      </c>
      <c r="E154">
        <v>38170</v>
      </c>
      <c r="F154">
        <v>2958465</v>
      </c>
      <c r="G154">
        <v>2229</v>
      </c>
      <c r="H154" t="s">
        <v>13</v>
      </c>
      <c r="I154" t="s">
        <v>95</v>
      </c>
      <c r="J154">
        <v>0</v>
      </c>
      <c r="K154">
        <v>0</v>
      </c>
      <c r="N154">
        <v>3</v>
      </c>
      <c r="O154" t="s">
        <v>96</v>
      </c>
      <c r="P154" t="s">
        <v>1345</v>
      </c>
      <c r="Q154" s="30">
        <f>IF(CustomerHierarchyLevels[[#This Row],[HgLvCust.]]=0,CustomerHierarchyLevels[[#This Row],[Customer]],CustomerHierarchyLevels[[#This Row],[HgLvCust.]])</f>
        <v>2229</v>
      </c>
      <c r="R154" s="30">
        <f>IF(VLOOKUP(CustomerHierarchyLevels[[#This Row],[Level1]],CustomerHierarchyLevels[],7,FALSE)=0,CustomerHierarchyLevels[[#This Row],[Level1]],VLOOKUP(CustomerHierarchyLevels[[#This Row],[Level1]],CustomerHierarchyLevels[],7,FALSE))</f>
        <v>2228</v>
      </c>
      <c r="S154" s="30">
        <f>IF(VLOOKUP(CustomerHierarchyLevels[[#This Row],[Level2]],CustomerHierarchyLevels[],7,FALSE)=0,CustomerHierarchyLevels[[#This Row],[Level2]],VLOOKUP(CustomerHierarchyLevels[[#This Row],[Level2]],CustomerHierarchyLevels[],7,FALSE))</f>
        <v>2228</v>
      </c>
    </row>
    <row r="155" spans="1:19" x14ac:dyDescent="0.25">
      <c r="A155">
        <v>2256</v>
      </c>
      <c r="B155" t="s">
        <v>13</v>
      </c>
      <c r="C155" t="s">
        <v>95</v>
      </c>
      <c r="D155">
        <v>0</v>
      </c>
      <c r="E155">
        <v>38170</v>
      </c>
      <c r="F155">
        <v>2958465</v>
      </c>
      <c r="G155">
        <v>2229</v>
      </c>
      <c r="H155" t="s">
        <v>13</v>
      </c>
      <c r="I155" t="s">
        <v>95</v>
      </c>
      <c r="J155">
        <v>0</v>
      </c>
      <c r="K155">
        <v>0</v>
      </c>
      <c r="N155">
        <v>3</v>
      </c>
      <c r="O155" t="s">
        <v>96</v>
      </c>
      <c r="P155" t="s">
        <v>1346</v>
      </c>
      <c r="Q155" s="30">
        <f>IF(CustomerHierarchyLevels[[#This Row],[HgLvCust.]]=0,CustomerHierarchyLevels[[#This Row],[Customer]],CustomerHierarchyLevels[[#This Row],[HgLvCust.]])</f>
        <v>2229</v>
      </c>
      <c r="R155" s="30">
        <f>IF(VLOOKUP(CustomerHierarchyLevels[[#This Row],[Level1]],CustomerHierarchyLevels[],7,FALSE)=0,CustomerHierarchyLevels[[#This Row],[Level1]],VLOOKUP(CustomerHierarchyLevels[[#This Row],[Level1]],CustomerHierarchyLevels[],7,FALSE))</f>
        <v>2228</v>
      </c>
      <c r="S155" s="30">
        <f>IF(VLOOKUP(CustomerHierarchyLevels[[#This Row],[Level2]],CustomerHierarchyLevels[],7,FALSE)=0,CustomerHierarchyLevels[[#This Row],[Level2]],VLOOKUP(CustomerHierarchyLevels[[#This Row],[Level2]],CustomerHierarchyLevels[],7,FALSE))</f>
        <v>2228</v>
      </c>
    </row>
    <row r="156" spans="1:19" x14ac:dyDescent="0.25">
      <c r="A156">
        <v>2257</v>
      </c>
      <c r="B156" t="s">
        <v>13</v>
      </c>
      <c r="C156" t="s">
        <v>95</v>
      </c>
      <c r="D156">
        <v>0</v>
      </c>
      <c r="E156">
        <v>38170</v>
      </c>
      <c r="F156">
        <v>2958465</v>
      </c>
      <c r="G156">
        <v>2229</v>
      </c>
      <c r="H156" t="s">
        <v>13</v>
      </c>
      <c r="I156" t="s">
        <v>95</v>
      </c>
      <c r="J156">
        <v>0</v>
      </c>
      <c r="K156">
        <v>0</v>
      </c>
      <c r="N156">
        <v>3</v>
      </c>
      <c r="O156" t="s">
        <v>96</v>
      </c>
      <c r="P156" t="s">
        <v>1347</v>
      </c>
      <c r="Q156" s="30">
        <f>IF(CustomerHierarchyLevels[[#This Row],[HgLvCust.]]=0,CustomerHierarchyLevels[[#This Row],[Customer]],CustomerHierarchyLevels[[#This Row],[HgLvCust.]])</f>
        <v>2229</v>
      </c>
      <c r="R156" s="30">
        <f>IF(VLOOKUP(CustomerHierarchyLevels[[#This Row],[Level1]],CustomerHierarchyLevels[],7,FALSE)=0,CustomerHierarchyLevels[[#This Row],[Level1]],VLOOKUP(CustomerHierarchyLevels[[#This Row],[Level1]],CustomerHierarchyLevels[],7,FALSE))</f>
        <v>2228</v>
      </c>
      <c r="S156" s="30">
        <f>IF(VLOOKUP(CustomerHierarchyLevels[[#This Row],[Level2]],CustomerHierarchyLevels[],7,FALSE)=0,CustomerHierarchyLevels[[#This Row],[Level2]],VLOOKUP(CustomerHierarchyLevels[[#This Row],[Level2]],CustomerHierarchyLevels[],7,FALSE))</f>
        <v>2228</v>
      </c>
    </row>
    <row r="157" spans="1:19" x14ac:dyDescent="0.25">
      <c r="A157">
        <v>2258</v>
      </c>
      <c r="B157" t="s">
        <v>13</v>
      </c>
      <c r="C157" t="s">
        <v>95</v>
      </c>
      <c r="D157">
        <v>0</v>
      </c>
      <c r="E157">
        <v>38170</v>
      </c>
      <c r="F157">
        <v>2958465</v>
      </c>
      <c r="G157">
        <v>2229</v>
      </c>
      <c r="H157" t="s">
        <v>13</v>
      </c>
      <c r="I157" t="s">
        <v>95</v>
      </c>
      <c r="J157">
        <v>0</v>
      </c>
      <c r="K157">
        <v>0</v>
      </c>
      <c r="N157">
        <v>3</v>
      </c>
      <c r="O157" t="s">
        <v>96</v>
      </c>
      <c r="P157" t="s">
        <v>1348</v>
      </c>
      <c r="Q157" s="30">
        <f>IF(CustomerHierarchyLevels[[#This Row],[HgLvCust.]]=0,CustomerHierarchyLevels[[#This Row],[Customer]],CustomerHierarchyLevels[[#This Row],[HgLvCust.]])</f>
        <v>2229</v>
      </c>
      <c r="R157" s="30">
        <f>IF(VLOOKUP(CustomerHierarchyLevels[[#This Row],[Level1]],CustomerHierarchyLevels[],7,FALSE)=0,CustomerHierarchyLevels[[#This Row],[Level1]],VLOOKUP(CustomerHierarchyLevels[[#This Row],[Level1]],CustomerHierarchyLevels[],7,FALSE))</f>
        <v>2228</v>
      </c>
      <c r="S157" s="30">
        <f>IF(VLOOKUP(CustomerHierarchyLevels[[#This Row],[Level2]],CustomerHierarchyLevels[],7,FALSE)=0,CustomerHierarchyLevels[[#This Row],[Level2]],VLOOKUP(CustomerHierarchyLevels[[#This Row],[Level2]],CustomerHierarchyLevels[],7,FALSE))</f>
        <v>2228</v>
      </c>
    </row>
    <row r="158" spans="1:19" x14ac:dyDescent="0.25">
      <c r="A158">
        <v>2259</v>
      </c>
      <c r="B158" t="s">
        <v>13</v>
      </c>
      <c r="C158" t="s">
        <v>95</v>
      </c>
      <c r="D158">
        <v>0</v>
      </c>
      <c r="E158">
        <v>38170</v>
      </c>
      <c r="F158">
        <v>2958465</v>
      </c>
      <c r="G158">
        <v>2229</v>
      </c>
      <c r="H158" t="s">
        <v>13</v>
      </c>
      <c r="I158" t="s">
        <v>95</v>
      </c>
      <c r="J158">
        <v>0</v>
      </c>
      <c r="K158">
        <v>0</v>
      </c>
      <c r="N158">
        <v>3</v>
      </c>
      <c r="O158" t="s">
        <v>96</v>
      </c>
      <c r="P158" t="s">
        <v>1349</v>
      </c>
      <c r="Q158" s="30">
        <f>IF(CustomerHierarchyLevels[[#This Row],[HgLvCust.]]=0,CustomerHierarchyLevels[[#This Row],[Customer]],CustomerHierarchyLevels[[#This Row],[HgLvCust.]])</f>
        <v>2229</v>
      </c>
      <c r="R158" s="30">
        <f>IF(VLOOKUP(CustomerHierarchyLevels[[#This Row],[Level1]],CustomerHierarchyLevels[],7,FALSE)=0,CustomerHierarchyLevels[[#This Row],[Level1]],VLOOKUP(CustomerHierarchyLevels[[#This Row],[Level1]],CustomerHierarchyLevels[],7,FALSE))</f>
        <v>2228</v>
      </c>
      <c r="S158" s="30">
        <f>IF(VLOOKUP(CustomerHierarchyLevels[[#This Row],[Level2]],CustomerHierarchyLevels[],7,FALSE)=0,CustomerHierarchyLevels[[#This Row],[Level2]],VLOOKUP(CustomerHierarchyLevels[[#This Row],[Level2]],CustomerHierarchyLevels[],7,FALSE))</f>
        <v>2228</v>
      </c>
    </row>
    <row r="159" spans="1:19" x14ac:dyDescent="0.25">
      <c r="A159">
        <v>2260</v>
      </c>
      <c r="B159" t="s">
        <v>13</v>
      </c>
      <c r="C159" t="s">
        <v>95</v>
      </c>
      <c r="D159">
        <v>0</v>
      </c>
      <c r="E159">
        <v>38170</v>
      </c>
      <c r="F159">
        <v>2958465</v>
      </c>
      <c r="G159">
        <v>2228</v>
      </c>
      <c r="H159" t="s">
        <v>13</v>
      </c>
      <c r="I159" t="s">
        <v>95</v>
      </c>
      <c r="J159">
        <v>0</v>
      </c>
      <c r="K159">
        <v>0</v>
      </c>
      <c r="N159">
        <v>2</v>
      </c>
      <c r="O159" t="s">
        <v>96</v>
      </c>
      <c r="P159" t="s">
        <v>1350</v>
      </c>
      <c r="Q159" s="30">
        <f>IF(CustomerHierarchyLevels[[#This Row],[HgLvCust.]]=0,CustomerHierarchyLevels[[#This Row],[Customer]],CustomerHierarchyLevels[[#This Row],[HgLvCust.]])</f>
        <v>2228</v>
      </c>
      <c r="R159" s="30">
        <f>IF(VLOOKUP(CustomerHierarchyLevels[[#This Row],[Level1]],CustomerHierarchyLevels[],7,FALSE)=0,CustomerHierarchyLevels[[#This Row],[Level1]],VLOOKUP(CustomerHierarchyLevels[[#This Row],[Level1]],CustomerHierarchyLevels[],7,FALSE))</f>
        <v>2228</v>
      </c>
      <c r="S159" s="30">
        <f>IF(VLOOKUP(CustomerHierarchyLevels[[#This Row],[Level2]],CustomerHierarchyLevels[],7,FALSE)=0,CustomerHierarchyLevels[[#This Row],[Level2]],VLOOKUP(CustomerHierarchyLevels[[#This Row],[Level2]],CustomerHierarchyLevels[],7,FALSE))</f>
        <v>2228</v>
      </c>
    </row>
    <row r="160" spans="1:19" x14ac:dyDescent="0.25">
      <c r="A160">
        <v>2261</v>
      </c>
      <c r="B160" t="s">
        <v>13</v>
      </c>
      <c r="C160" t="s">
        <v>95</v>
      </c>
      <c r="D160">
        <v>0</v>
      </c>
      <c r="E160">
        <v>38170</v>
      </c>
      <c r="F160">
        <v>2958465</v>
      </c>
      <c r="G160">
        <v>2260</v>
      </c>
      <c r="H160" t="s">
        <v>13</v>
      </c>
      <c r="I160" t="s">
        <v>95</v>
      </c>
      <c r="J160">
        <v>0</v>
      </c>
      <c r="K160">
        <v>0</v>
      </c>
      <c r="N160">
        <v>3</v>
      </c>
      <c r="O160" t="s">
        <v>96</v>
      </c>
      <c r="P160" t="s">
        <v>1351</v>
      </c>
      <c r="Q160" s="30">
        <f>IF(CustomerHierarchyLevels[[#This Row],[HgLvCust.]]=0,CustomerHierarchyLevels[[#This Row],[Customer]],CustomerHierarchyLevels[[#This Row],[HgLvCust.]])</f>
        <v>2260</v>
      </c>
      <c r="R160" s="30">
        <f>IF(VLOOKUP(CustomerHierarchyLevels[[#This Row],[Level1]],CustomerHierarchyLevels[],7,FALSE)=0,CustomerHierarchyLevels[[#This Row],[Level1]],VLOOKUP(CustomerHierarchyLevels[[#This Row],[Level1]],CustomerHierarchyLevels[],7,FALSE))</f>
        <v>2228</v>
      </c>
      <c r="S160" s="30">
        <f>IF(VLOOKUP(CustomerHierarchyLevels[[#This Row],[Level2]],CustomerHierarchyLevels[],7,FALSE)=0,CustomerHierarchyLevels[[#This Row],[Level2]],VLOOKUP(CustomerHierarchyLevels[[#This Row],[Level2]],CustomerHierarchyLevels[],7,FALSE))</f>
        <v>2228</v>
      </c>
    </row>
    <row r="161" spans="1:19" x14ac:dyDescent="0.25">
      <c r="A161">
        <v>2262</v>
      </c>
      <c r="B161" t="s">
        <v>13</v>
      </c>
      <c r="C161" t="s">
        <v>95</v>
      </c>
      <c r="D161">
        <v>0</v>
      </c>
      <c r="E161">
        <v>38170</v>
      </c>
      <c r="F161">
        <v>2958465</v>
      </c>
      <c r="G161">
        <v>2260</v>
      </c>
      <c r="H161" t="s">
        <v>13</v>
      </c>
      <c r="I161" t="s">
        <v>95</v>
      </c>
      <c r="J161">
        <v>0</v>
      </c>
      <c r="K161">
        <v>0</v>
      </c>
      <c r="N161">
        <v>3</v>
      </c>
      <c r="O161" t="s">
        <v>96</v>
      </c>
      <c r="P161" t="s">
        <v>1352</v>
      </c>
      <c r="Q161" s="30">
        <f>IF(CustomerHierarchyLevels[[#This Row],[HgLvCust.]]=0,CustomerHierarchyLevels[[#This Row],[Customer]],CustomerHierarchyLevels[[#This Row],[HgLvCust.]])</f>
        <v>2260</v>
      </c>
      <c r="R161" s="30">
        <f>IF(VLOOKUP(CustomerHierarchyLevels[[#This Row],[Level1]],CustomerHierarchyLevels[],7,FALSE)=0,CustomerHierarchyLevels[[#This Row],[Level1]],VLOOKUP(CustomerHierarchyLevels[[#This Row],[Level1]],CustomerHierarchyLevels[],7,FALSE))</f>
        <v>2228</v>
      </c>
      <c r="S161" s="30">
        <f>IF(VLOOKUP(CustomerHierarchyLevels[[#This Row],[Level2]],CustomerHierarchyLevels[],7,FALSE)=0,CustomerHierarchyLevels[[#This Row],[Level2]],VLOOKUP(CustomerHierarchyLevels[[#This Row],[Level2]],CustomerHierarchyLevels[],7,FALSE))</f>
        <v>2228</v>
      </c>
    </row>
    <row r="162" spans="1:19" x14ac:dyDescent="0.25">
      <c r="A162">
        <v>2263</v>
      </c>
      <c r="B162" t="s">
        <v>13</v>
      </c>
      <c r="C162" t="s">
        <v>95</v>
      </c>
      <c r="D162">
        <v>0</v>
      </c>
      <c r="E162">
        <v>38170</v>
      </c>
      <c r="F162">
        <v>2958465</v>
      </c>
      <c r="G162">
        <v>2260</v>
      </c>
      <c r="H162" t="s">
        <v>13</v>
      </c>
      <c r="I162" t="s">
        <v>95</v>
      </c>
      <c r="J162">
        <v>0</v>
      </c>
      <c r="K162">
        <v>0</v>
      </c>
      <c r="N162">
        <v>3</v>
      </c>
      <c r="O162" t="s">
        <v>96</v>
      </c>
      <c r="P162" t="s">
        <v>1353</v>
      </c>
      <c r="Q162" s="30">
        <f>IF(CustomerHierarchyLevels[[#This Row],[HgLvCust.]]=0,CustomerHierarchyLevels[[#This Row],[Customer]],CustomerHierarchyLevels[[#This Row],[HgLvCust.]])</f>
        <v>2260</v>
      </c>
      <c r="R162" s="30">
        <f>IF(VLOOKUP(CustomerHierarchyLevels[[#This Row],[Level1]],CustomerHierarchyLevels[],7,FALSE)=0,CustomerHierarchyLevels[[#This Row],[Level1]],VLOOKUP(CustomerHierarchyLevels[[#This Row],[Level1]],CustomerHierarchyLevels[],7,FALSE))</f>
        <v>2228</v>
      </c>
      <c r="S162" s="30">
        <f>IF(VLOOKUP(CustomerHierarchyLevels[[#This Row],[Level2]],CustomerHierarchyLevels[],7,FALSE)=0,CustomerHierarchyLevels[[#This Row],[Level2]],VLOOKUP(CustomerHierarchyLevels[[#This Row],[Level2]],CustomerHierarchyLevels[],7,FALSE))</f>
        <v>2228</v>
      </c>
    </row>
    <row r="163" spans="1:19" x14ac:dyDescent="0.25">
      <c r="A163">
        <v>2264</v>
      </c>
      <c r="B163" t="s">
        <v>13</v>
      </c>
      <c r="C163" t="s">
        <v>95</v>
      </c>
      <c r="D163">
        <v>0</v>
      </c>
      <c r="E163">
        <v>38170</v>
      </c>
      <c r="F163">
        <v>2958465</v>
      </c>
      <c r="G163">
        <v>2260</v>
      </c>
      <c r="H163" t="s">
        <v>13</v>
      </c>
      <c r="I163" t="s">
        <v>95</v>
      </c>
      <c r="J163">
        <v>0</v>
      </c>
      <c r="K163">
        <v>0</v>
      </c>
      <c r="N163">
        <v>3</v>
      </c>
      <c r="O163" t="s">
        <v>96</v>
      </c>
      <c r="P163" t="s">
        <v>1354</v>
      </c>
      <c r="Q163" s="30">
        <f>IF(CustomerHierarchyLevels[[#This Row],[HgLvCust.]]=0,CustomerHierarchyLevels[[#This Row],[Customer]],CustomerHierarchyLevels[[#This Row],[HgLvCust.]])</f>
        <v>2260</v>
      </c>
      <c r="R163" s="30">
        <f>IF(VLOOKUP(CustomerHierarchyLevels[[#This Row],[Level1]],CustomerHierarchyLevels[],7,FALSE)=0,CustomerHierarchyLevels[[#This Row],[Level1]],VLOOKUP(CustomerHierarchyLevels[[#This Row],[Level1]],CustomerHierarchyLevels[],7,FALSE))</f>
        <v>2228</v>
      </c>
      <c r="S163" s="30">
        <f>IF(VLOOKUP(CustomerHierarchyLevels[[#This Row],[Level2]],CustomerHierarchyLevels[],7,FALSE)=0,CustomerHierarchyLevels[[#This Row],[Level2]],VLOOKUP(CustomerHierarchyLevels[[#This Row],[Level2]],CustomerHierarchyLevels[],7,FALSE))</f>
        <v>2228</v>
      </c>
    </row>
    <row r="164" spans="1:19" x14ac:dyDescent="0.25">
      <c r="A164">
        <v>2265</v>
      </c>
      <c r="B164" t="s">
        <v>13</v>
      </c>
      <c r="C164" t="s">
        <v>95</v>
      </c>
      <c r="D164">
        <v>0</v>
      </c>
      <c r="E164">
        <v>38170</v>
      </c>
      <c r="F164">
        <v>2958465</v>
      </c>
      <c r="K164">
        <v>0</v>
      </c>
      <c r="N164">
        <v>1</v>
      </c>
      <c r="O164" t="s">
        <v>96</v>
      </c>
      <c r="P164" t="s">
        <v>1355</v>
      </c>
      <c r="Q164" s="30">
        <f>IF(CustomerHierarchyLevels[[#This Row],[HgLvCust.]]=0,CustomerHierarchyLevels[[#This Row],[Customer]],CustomerHierarchyLevels[[#This Row],[HgLvCust.]])</f>
        <v>2265</v>
      </c>
      <c r="R164" s="30">
        <f>IF(VLOOKUP(CustomerHierarchyLevels[[#This Row],[Level1]],CustomerHierarchyLevels[],7,FALSE)=0,CustomerHierarchyLevels[[#This Row],[Level1]],VLOOKUP(CustomerHierarchyLevels[[#This Row],[Level1]],CustomerHierarchyLevels[],7,FALSE))</f>
        <v>2265</v>
      </c>
      <c r="S164" s="30">
        <f>IF(VLOOKUP(CustomerHierarchyLevels[[#This Row],[Level2]],CustomerHierarchyLevels[],7,FALSE)=0,CustomerHierarchyLevels[[#This Row],[Level2]],VLOOKUP(CustomerHierarchyLevels[[#This Row],[Level2]],CustomerHierarchyLevels[],7,FALSE))</f>
        <v>2265</v>
      </c>
    </row>
    <row r="165" spans="1:19" x14ac:dyDescent="0.25">
      <c r="A165">
        <v>2266</v>
      </c>
      <c r="B165" t="s">
        <v>13</v>
      </c>
      <c r="C165" t="s">
        <v>95</v>
      </c>
      <c r="D165">
        <v>0</v>
      </c>
      <c r="E165">
        <v>38170</v>
      </c>
      <c r="F165">
        <v>2958465</v>
      </c>
      <c r="G165">
        <v>2265</v>
      </c>
      <c r="H165" t="s">
        <v>13</v>
      </c>
      <c r="I165" t="s">
        <v>95</v>
      </c>
      <c r="J165">
        <v>0</v>
      </c>
      <c r="K165">
        <v>0</v>
      </c>
      <c r="N165">
        <v>2</v>
      </c>
      <c r="O165" t="s">
        <v>96</v>
      </c>
      <c r="P165" t="s">
        <v>1356</v>
      </c>
      <c r="Q165" s="30">
        <f>IF(CustomerHierarchyLevels[[#This Row],[HgLvCust.]]=0,CustomerHierarchyLevels[[#This Row],[Customer]],CustomerHierarchyLevels[[#This Row],[HgLvCust.]])</f>
        <v>2265</v>
      </c>
      <c r="R165" s="30">
        <f>IF(VLOOKUP(CustomerHierarchyLevels[[#This Row],[Level1]],CustomerHierarchyLevels[],7,FALSE)=0,CustomerHierarchyLevels[[#This Row],[Level1]],VLOOKUP(CustomerHierarchyLevels[[#This Row],[Level1]],CustomerHierarchyLevels[],7,FALSE))</f>
        <v>2265</v>
      </c>
      <c r="S165" s="30">
        <f>IF(VLOOKUP(CustomerHierarchyLevels[[#This Row],[Level2]],CustomerHierarchyLevels[],7,FALSE)=0,CustomerHierarchyLevels[[#This Row],[Level2]],VLOOKUP(CustomerHierarchyLevels[[#This Row],[Level2]],CustomerHierarchyLevels[],7,FALSE))</f>
        <v>2265</v>
      </c>
    </row>
    <row r="166" spans="1:19" x14ac:dyDescent="0.25">
      <c r="A166">
        <v>2267</v>
      </c>
      <c r="B166" t="s">
        <v>13</v>
      </c>
      <c r="C166" t="s">
        <v>95</v>
      </c>
      <c r="D166">
        <v>0</v>
      </c>
      <c r="E166">
        <v>38170</v>
      </c>
      <c r="F166">
        <v>2958465</v>
      </c>
      <c r="G166">
        <v>2266</v>
      </c>
      <c r="H166" t="s">
        <v>13</v>
      </c>
      <c r="I166" t="s">
        <v>95</v>
      </c>
      <c r="J166">
        <v>0</v>
      </c>
      <c r="K166">
        <v>0</v>
      </c>
      <c r="N166">
        <v>3</v>
      </c>
      <c r="O166" t="s">
        <v>96</v>
      </c>
      <c r="P166" t="s">
        <v>1357</v>
      </c>
      <c r="Q166" s="30">
        <f>IF(CustomerHierarchyLevels[[#This Row],[HgLvCust.]]=0,CustomerHierarchyLevels[[#This Row],[Customer]],CustomerHierarchyLevels[[#This Row],[HgLvCust.]])</f>
        <v>2266</v>
      </c>
      <c r="R166" s="30">
        <f>IF(VLOOKUP(CustomerHierarchyLevels[[#This Row],[Level1]],CustomerHierarchyLevels[],7,FALSE)=0,CustomerHierarchyLevels[[#This Row],[Level1]],VLOOKUP(CustomerHierarchyLevels[[#This Row],[Level1]],CustomerHierarchyLevels[],7,FALSE))</f>
        <v>2265</v>
      </c>
      <c r="S166" s="30">
        <f>IF(VLOOKUP(CustomerHierarchyLevels[[#This Row],[Level2]],CustomerHierarchyLevels[],7,FALSE)=0,CustomerHierarchyLevels[[#This Row],[Level2]],VLOOKUP(CustomerHierarchyLevels[[#This Row],[Level2]],CustomerHierarchyLevels[],7,FALSE))</f>
        <v>2265</v>
      </c>
    </row>
    <row r="167" spans="1:19" x14ac:dyDescent="0.25">
      <c r="A167">
        <v>2268</v>
      </c>
      <c r="B167" t="s">
        <v>13</v>
      </c>
      <c r="C167" t="s">
        <v>95</v>
      </c>
      <c r="D167">
        <v>0</v>
      </c>
      <c r="E167">
        <v>38170</v>
      </c>
      <c r="F167">
        <v>2958465</v>
      </c>
      <c r="K167">
        <v>0</v>
      </c>
      <c r="N167">
        <v>1</v>
      </c>
      <c r="O167" t="s">
        <v>96</v>
      </c>
      <c r="P167" t="s">
        <v>1358</v>
      </c>
      <c r="Q167" s="30">
        <f>IF(CustomerHierarchyLevels[[#This Row],[HgLvCust.]]=0,CustomerHierarchyLevels[[#This Row],[Customer]],CustomerHierarchyLevels[[#This Row],[HgLvCust.]])</f>
        <v>2268</v>
      </c>
      <c r="R167" s="30">
        <f>IF(VLOOKUP(CustomerHierarchyLevels[[#This Row],[Level1]],CustomerHierarchyLevels[],7,FALSE)=0,CustomerHierarchyLevels[[#This Row],[Level1]],VLOOKUP(CustomerHierarchyLevels[[#This Row],[Level1]],CustomerHierarchyLevels[],7,FALSE))</f>
        <v>2268</v>
      </c>
      <c r="S167" s="30">
        <f>IF(VLOOKUP(CustomerHierarchyLevels[[#This Row],[Level2]],CustomerHierarchyLevels[],7,FALSE)=0,CustomerHierarchyLevels[[#This Row],[Level2]],VLOOKUP(CustomerHierarchyLevels[[#This Row],[Level2]],CustomerHierarchyLevels[],7,FALSE))</f>
        <v>2268</v>
      </c>
    </row>
    <row r="168" spans="1:19" x14ac:dyDescent="0.25">
      <c r="A168">
        <v>2269</v>
      </c>
      <c r="B168" t="s">
        <v>13</v>
      </c>
      <c r="C168" t="s">
        <v>95</v>
      </c>
      <c r="D168">
        <v>0</v>
      </c>
      <c r="E168">
        <v>38170</v>
      </c>
      <c r="F168">
        <v>2958465</v>
      </c>
      <c r="G168">
        <v>2268</v>
      </c>
      <c r="H168" t="s">
        <v>13</v>
      </c>
      <c r="I168" t="s">
        <v>95</v>
      </c>
      <c r="J168">
        <v>0</v>
      </c>
      <c r="K168">
        <v>0</v>
      </c>
      <c r="N168">
        <v>2</v>
      </c>
      <c r="O168" t="s">
        <v>96</v>
      </c>
      <c r="P168" t="s">
        <v>1359</v>
      </c>
      <c r="Q168" s="30">
        <f>IF(CustomerHierarchyLevels[[#This Row],[HgLvCust.]]=0,CustomerHierarchyLevels[[#This Row],[Customer]],CustomerHierarchyLevels[[#This Row],[HgLvCust.]])</f>
        <v>2268</v>
      </c>
      <c r="R168" s="30">
        <f>IF(VLOOKUP(CustomerHierarchyLevels[[#This Row],[Level1]],CustomerHierarchyLevels[],7,FALSE)=0,CustomerHierarchyLevels[[#This Row],[Level1]],VLOOKUP(CustomerHierarchyLevels[[#This Row],[Level1]],CustomerHierarchyLevels[],7,FALSE))</f>
        <v>2268</v>
      </c>
      <c r="S168" s="30">
        <f>IF(VLOOKUP(CustomerHierarchyLevels[[#This Row],[Level2]],CustomerHierarchyLevels[],7,FALSE)=0,CustomerHierarchyLevels[[#This Row],[Level2]],VLOOKUP(CustomerHierarchyLevels[[#This Row],[Level2]],CustomerHierarchyLevels[],7,FALSE))</f>
        <v>2268</v>
      </c>
    </row>
    <row r="169" spans="1:19" x14ac:dyDescent="0.25">
      <c r="A169">
        <v>2270</v>
      </c>
      <c r="B169" t="s">
        <v>13</v>
      </c>
      <c r="C169" t="s">
        <v>95</v>
      </c>
      <c r="D169">
        <v>0</v>
      </c>
      <c r="E169">
        <v>38170</v>
      </c>
      <c r="F169">
        <v>2958465</v>
      </c>
      <c r="G169">
        <v>2269</v>
      </c>
      <c r="H169" t="s">
        <v>13</v>
      </c>
      <c r="I169" t="s">
        <v>95</v>
      </c>
      <c r="J169">
        <v>0</v>
      </c>
      <c r="K169">
        <v>0</v>
      </c>
      <c r="N169">
        <v>3</v>
      </c>
      <c r="O169" t="s">
        <v>96</v>
      </c>
      <c r="P169" t="s">
        <v>1360</v>
      </c>
      <c r="Q169" s="30">
        <f>IF(CustomerHierarchyLevels[[#This Row],[HgLvCust.]]=0,CustomerHierarchyLevels[[#This Row],[Customer]],CustomerHierarchyLevels[[#This Row],[HgLvCust.]])</f>
        <v>2269</v>
      </c>
      <c r="R169" s="30">
        <f>IF(VLOOKUP(CustomerHierarchyLevels[[#This Row],[Level1]],CustomerHierarchyLevels[],7,FALSE)=0,CustomerHierarchyLevels[[#This Row],[Level1]],VLOOKUP(CustomerHierarchyLevels[[#This Row],[Level1]],CustomerHierarchyLevels[],7,FALSE))</f>
        <v>2268</v>
      </c>
      <c r="S169" s="30">
        <f>IF(VLOOKUP(CustomerHierarchyLevels[[#This Row],[Level2]],CustomerHierarchyLevels[],7,FALSE)=0,CustomerHierarchyLevels[[#This Row],[Level2]],VLOOKUP(CustomerHierarchyLevels[[#This Row],[Level2]],CustomerHierarchyLevels[],7,FALSE))</f>
        <v>2268</v>
      </c>
    </row>
    <row r="170" spans="1:19" x14ac:dyDescent="0.25">
      <c r="A170">
        <v>2271</v>
      </c>
      <c r="B170" t="s">
        <v>13</v>
      </c>
      <c r="C170" t="s">
        <v>95</v>
      </c>
      <c r="D170">
        <v>0</v>
      </c>
      <c r="E170">
        <v>38170</v>
      </c>
      <c r="F170">
        <v>2958465</v>
      </c>
      <c r="G170">
        <v>2269</v>
      </c>
      <c r="H170" t="s">
        <v>13</v>
      </c>
      <c r="I170" t="s">
        <v>95</v>
      </c>
      <c r="J170">
        <v>0</v>
      </c>
      <c r="K170">
        <v>0</v>
      </c>
      <c r="N170">
        <v>3</v>
      </c>
      <c r="O170" t="s">
        <v>96</v>
      </c>
      <c r="P170" t="s">
        <v>1361</v>
      </c>
      <c r="Q170" s="30">
        <f>IF(CustomerHierarchyLevels[[#This Row],[HgLvCust.]]=0,CustomerHierarchyLevels[[#This Row],[Customer]],CustomerHierarchyLevels[[#This Row],[HgLvCust.]])</f>
        <v>2269</v>
      </c>
      <c r="R170" s="30">
        <f>IF(VLOOKUP(CustomerHierarchyLevels[[#This Row],[Level1]],CustomerHierarchyLevels[],7,FALSE)=0,CustomerHierarchyLevels[[#This Row],[Level1]],VLOOKUP(CustomerHierarchyLevels[[#This Row],[Level1]],CustomerHierarchyLevels[],7,FALSE))</f>
        <v>2268</v>
      </c>
      <c r="S170" s="30">
        <f>IF(VLOOKUP(CustomerHierarchyLevels[[#This Row],[Level2]],CustomerHierarchyLevels[],7,FALSE)=0,CustomerHierarchyLevels[[#This Row],[Level2]],VLOOKUP(CustomerHierarchyLevels[[#This Row],[Level2]],CustomerHierarchyLevels[],7,FALSE))</f>
        <v>2268</v>
      </c>
    </row>
    <row r="171" spans="1:19" x14ac:dyDescent="0.25">
      <c r="A171">
        <v>2272</v>
      </c>
      <c r="B171" t="s">
        <v>13</v>
      </c>
      <c r="C171" t="s">
        <v>95</v>
      </c>
      <c r="D171">
        <v>0</v>
      </c>
      <c r="E171">
        <v>38170</v>
      </c>
      <c r="F171">
        <v>2958465</v>
      </c>
      <c r="G171">
        <v>2269</v>
      </c>
      <c r="H171" t="s">
        <v>13</v>
      </c>
      <c r="I171" t="s">
        <v>95</v>
      </c>
      <c r="J171">
        <v>0</v>
      </c>
      <c r="K171">
        <v>0</v>
      </c>
      <c r="N171">
        <v>3</v>
      </c>
      <c r="O171" t="s">
        <v>96</v>
      </c>
      <c r="P171" t="s">
        <v>1362</v>
      </c>
      <c r="Q171" s="30">
        <f>IF(CustomerHierarchyLevels[[#This Row],[HgLvCust.]]=0,CustomerHierarchyLevels[[#This Row],[Customer]],CustomerHierarchyLevels[[#This Row],[HgLvCust.]])</f>
        <v>2269</v>
      </c>
      <c r="R171" s="30">
        <f>IF(VLOOKUP(CustomerHierarchyLevels[[#This Row],[Level1]],CustomerHierarchyLevels[],7,FALSE)=0,CustomerHierarchyLevels[[#This Row],[Level1]],VLOOKUP(CustomerHierarchyLevels[[#This Row],[Level1]],CustomerHierarchyLevels[],7,FALSE))</f>
        <v>2268</v>
      </c>
      <c r="S171" s="30">
        <f>IF(VLOOKUP(CustomerHierarchyLevels[[#This Row],[Level2]],CustomerHierarchyLevels[],7,FALSE)=0,CustomerHierarchyLevels[[#This Row],[Level2]],VLOOKUP(CustomerHierarchyLevels[[#This Row],[Level2]],CustomerHierarchyLevels[],7,FALSE))</f>
        <v>2268</v>
      </c>
    </row>
    <row r="172" spans="1:19" x14ac:dyDescent="0.25">
      <c r="A172">
        <v>2273</v>
      </c>
      <c r="B172" t="s">
        <v>13</v>
      </c>
      <c r="C172" t="s">
        <v>95</v>
      </c>
      <c r="D172">
        <v>0</v>
      </c>
      <c r="E172">
        <v>38170</v>
      </c>
      <c r="F172">
        <v>2958465</v>
      </c>
      <c r="G172">
        <v>2269</v>
      </c>
      <c r="H172" t="s">
        <v>13</v>
      </c>
      <c r="I172" t="s">
        <v>95</v>
      </c>
      <c r="J172">
        <v>0</v>
      </c>
      <c r="K172">
        <v>0</v>
      </c>
      <c r="N172">
        <v>3</v>
      </c>
      <c r="O172" t="s">
        <v>96</v>
      </c>
      <c r="P172" t="s">
        <v>1363</v>
      </c>
      <c r="Q172" s="30">
        <f>IF(CustomerHierarchyLevels[[#This Row],[HgLvCust.]]=0,CustomerHierarchyLevels[[#This Row],[Customer]],CustomerHierarchyLevels[[#This Row],[HgLvCust.]])</f>
        <v>2269</v>
      </c>
      <c r="R172" s="30">
        <f>IF(VLOOKUP(CustomerHierarchyLevels[[#This Row],[Level1]],CustomerHierarchyLevels[],7,FALSE)=0,CustomerHierarchyLevels[[#This Row],[Level1]],VLOOKUP(CustomerHierarchyLevels[[#This Row],[Level1]],CustomerHierarchyLevels[],7,FALSE))</f>
        <v>2268</v>
      </c>
      <c r="S172" s="30">
        <f>IF(VLOOKUP(CustomerHierarchyLevels[[#This Row],[Level2]],CustomerHierarchyLevels[],7,FALSE)=0,CustomerHierarchyLevels[[#This Row],[Level2]],VLOOKUP(CustomerHierarchyLevels[[#This Row],[Level2]],CustomerHierarchyLevels[],7,FALSE))</f>
        <v>2268</v>
      </c>
    </row>
    <row r="173" spans="1:19" x14ac:dyDescent="0.25">
      <c r="A173">
        <v>2274</v>
      </c>
      <c r="B173" t="s">
        <v>13</v>
      </c>
      <c r="C173" t="s">
        <v>95</v>
      </c>
      <c r="D173">
        <v>0</v>
      </c>
      <c r="E173">
        <v>38170</v>
      </c>
      <c r="F173">
        <v>2958465</v>
      </c>
      <c r="G173">
        <v>2269</v>
      </c>
      <c r="H173" t="s">
        <v>13</v>
      </c>
      <c r="I173" t="s">
        <v>95</v>
      </c>
      <c r="J173">
        <v>0</v>
      </c>
      <c r="K173">
        <v>0</v>
      </c>
      <c r="N173">
        <v>3</v>
      </c>
      <c r="O173" t="s">
        <v>96</v>
      </c>
      <c r="P173" t="s">
        <v>1364</v>
      </c>
      <c r="Q173" s="30">
        <f>IF(CustomerHierarchyLevels[[#This Row],[HgLvCust.]]=0,CustomerHierarchyLevels[[#This Row],[Customer]],CustomerHierarchyLevels[[#This Row],[HgLvCust.]])</f>
        <v>2269</v>
      </c>
      <c r="R173" s="30">
        <f>IF(VLOOKUP(CustomerHierarchyLevels[[#This Row],[Level1]],CustomerHierarchyLevels[],7,FALSE)=0,CustomerHierarchyLevels[[#This Row],[Level1]],VLOOKUP(CustomerHierarchyLevels[[#This Row],[Level1]],CustomerHierarchyLevels[],7,FALSE))</f>
        <v>2268</v>
      </c>
      <c r="S173" s="30">
        <f>IF(VLOOKUP(CustomerHierarchyLevels[[#This Row],[Level2]],CustomerHierarchyLevels[],7,FALSE)=0,CustomerHierarchyLevels[[#This Row],[Level2]],VLOOKUP(CustomerHierarchyLevels[[#This Row],[Level2]],CustomerHierarchyLevels[],7,FALSE))</f>
        <v>2268</v>
      </c>
    </row>
    <row r="174" spans="1:19" x14ac:dyDescent="0.25">
      <c r="A174">
        <v>2275</v>
      </c>
      <c r="B174" t="s">
        <v>13</v>
      </c>
      <c r="C174" t="s">
        <v>95</v>
      </c>
      <c r="D174">
        <v>0</v>
      </c>
      <c r="E174">
        <v>38170</v>
      </c>
      <c r="F174">
        <v>2958465</v>
      </c>
      <c r="G174">
        <v>2269</v>
      </c>
      <c r="H174" t="s">
        <v>13</v>
      </c>
      <c r="I174" t="s">
        <v>95</v>
      </c>
      <c r="J174">
        <v>0</v>
      </c>
      <c r="K174">
        <v>0</v>
      </c>
      <c r="N174">
        <v>3</v>
      </c>
      <c r="O174" t="s">
        <v>96</v>
      </c>
      <c r="P174" t="s">
        <v>1365</v>
      </c>
      <c r="Q174" s="30">
        <f>IF(CustomerHierarchyLevels[[#This Row],[HgLvCust.]]=0,CustomerHierarchyLevels[[#This Row],[Customer]],CustomerHierarchyLevels[[#This Row],[HgLvCust.]])</f>
        <v>2269</v>
      </c>
      <c r="R174" s="30">
        <f>IF(VLOOKUP(CustomerHierarchyLevels[[#This Row],[Level1]],CustomerHierarchyLevels[],7,FALSE)=0,CustomerHierarchyLevels[[#This Row],[Level1]],VLOOKUP(CustomerHierarchyLevels[[#This Row],[Level1]],CustomerHierarchyLevels[],7,FALSE))</f>
        <v>2268</v>
      </c>
      <c r="S174" s="30">
        <f>IF(VLOOKUP(CustomerHierarchyLevels[[#This Row],[Level2]],CustomerHierarchyLevels[],7,FALSE)=0,CustomerHierarchyLevels[[#This Row],[Level2]],VLOOKUP(CustomerHierarchyLevels[[#This Row],[Level2]],CustomerHierarchyLevels[],7,FALSE))</f>
        <v>2268</v>
      </c>
    </row>
    <row r="175" spans="1:19" x14ac:dyDescent="0.25">
      <c r="A175">
        <v>2276</v>
      </c>
      <c r="B175" t="s">
        <v>13</v>
      </c>
      <c r="C175" t="s">
        <v>95</v>
      </c>
      <c r="D175">
        <v>0</v>
      </c>
      <c r="E175">
        <v>38170</v>
      </c>
      <c r="F175">
        <v>2958465</v>
      </c>
      <c r="G175">
        <v>2269</v>
      </c>
      <c r="H175" t="s">
        <v>13</v>
      </c>
      <c r="I175" t="s">
        <v>95</v>
      </c>
      <c r="J175">
        <v>0</v>
      </c>
      <c r="K175">
        <v>0</v>
      </c>
      <c r="N175">
        <v>3</v>
      </c>
      <c r="O175" t="s">
        <v>96</v>
      </c>
      <c r="P175" t="s">
        <v>1366</v>
      </c>
      <c r="Q175" s="30">
        <f>IF(CustomerHierarchyLevels[[#This Row],[HgLvCust.]]=0,CustomerHierarchyLevels[[#This Row],[Customer]],CustomerHierarchyLevels[[#This Row],[HgLvCust.]])</f>
        <v>2269</v>
      </c>
      <c r="R175" s="30">
        <f>IF(VLOOKUP(CustomerHierarchyLevels[[#This Row],[Level1]],CustomerHierarchyLevels[],7,FALSE)=0,CustomerHierarchyLevels[[#This Row],[Level1]],VLOOKUP(CustomerHierarchyLevels[[#This Row],[Level1]],CustomerHierarchyLevels[],7,FALSE))</f>
        <v>2268</v>
      </c>
      <c r="S175" s="30">
        <f>IF(VLOOKUP(CustomerHierarchyLevels[[#This Row],[Level2]],CustomerHierarchyLevels[],7,FALSE)=0,CustomerHierarchyLevels[[#This Row],[Level2]],VLOOKUP(CustomerHierarchyLevels[[#This Row],[Level2]],CustomerHierarchyLevels[],7,FALSE))</f>
        <v>2268</v>
      </c>
    </row>
    <row r="176" spans="1:19" x14ac:dyDescent="0.25">
      <c r="A176">
        <v>2277</v>
      </c>
      <c r="B176" t="s">
        <v>13</v>
      </c>
      <c r="C176" t="s">
        <v>95</v>
      </c>
      <c r="D176">
        <v>0</v>
      </c>
      <c r="E176">
        <v>38170</v>
      </c>
      <c r="F176">
        <v>2958465</v>
      </c>
      <c r="G176">
        <v>2269</v>
      </c>
      <c r="H176" t="s">
        <v>13</v>
      </c>
      <c r="I176" t="s">
        <v>95</v>
      </c>
      <c r="J176">
        <v>0</v>
      </c>
      <c r="K176">
        <v>0</v>
      </c>
      <c r="N176">
        <v>3</v>
      </c>
      <c r="O176" t="s">
        <v>96</v>
      </c>
      <c r="P176" t="s">
        <v>1367</v>
      </c>
      <c r="Q176" s="30">
        <f>IF(CustomerHierarchyLevels[[#This Row],[HgLvCust.]]=0,CustomerHierarchyLevels[[#This Row],[Customer]],CustomerHierarchyLevels[[#This Row],[HgLvCust.]])</f>
        <v>2269</v>
      </c>
      <c r="R176" s="30">
        <f>IF(VLOOKUP(CustomerHierarchyLevels[[#This Row],[Level1]],CustomerHierarchyLevels[],7,FALSE)=0,CustomerHierarchyLevels[[#This Row],[Level1]],VLOOKUP(CustomerHierarchyLevels[[#This Row],[Level1]],CustomerHierarchyLevels[],7,FALSE))</f>
        <v>2268</v>
      </c>
      <c r="S176" s="30">
        <f>IF(VLOOKUP(CustomerHierarchyLevels[[#This Row],[Level2]],CustomerHierarchyLevels[],7,FALSE)=0,CustomerHierarchyLevels[[#This Row],[Level2]],VLOOKUP(CustomerHierarchyLevels[[#This Row],[Level2]],CustomerHierarchyLevels[],7,FALSE))</f>
        <v>2268</v>
      </c>
    </row>
    <row r="177" spans="1:19" x14ac:dyDescent="0.25">
      <c r="A177">
        <v>2278</v>
      </c>
      <c r="B177" t="s">
        <v>13</v>
      </c>
      <c r="C177" t="s">
        <v>95</v>
      </c>
      <c r="D177">
        <v>0</v>
      </c>
      <c r="E177">
        <v>38170</v>
      </c>
      <c r="F177">
        <v>2958465</v>
      </c>
      <c r="G177">
        <v>2269</v>
      </c>
      <c r="H177" t="s">
        <v>13</v>
      </c>
      <c r="I177" t="s">
        <v>95</v>
      </c>
      <c r="J177">
        <v>0</v>
      </c>
      <c r="K177">
        <v>0</v>
      </c>
      <c r="N177">
        <v>3</v>
      </c>
      <c r="O177" t="s">
        <v>96</v>
      </c>
      <c r="P177" t="s">
        <v>1368</v>
      </c>
      <c r="Q177" s="30">
        <f>IF(CustomerHierarchyLevels[[#This Row],[HgLvCust.]]=0,CustomerHierarchyLevels[[#This Row],[Customer]],CustomerHierarchyLevels[[#This Row],[HgLvCust.]])</f>
        <v>2269</v>
      </c>
      <c r="R177" s="30">
        <f>IF(VLOOKUP(CustomerHierarchyLevels[[#This Row],[Level1]],CustomerHierarchyLevels[],7,FALSE)=0,CustomerHierarchyLevels[[#This Row],[Level1]],VLOOKUP(CustomerHierarchyLevels[[#This Row],[Level1]],CustomerHierarchyLevels[],7,FALSE))</f>
        <v>2268</v>
      </c>
      <c r="S177" s="30">
        <f>IF(VLOOKUP(CustomerHierarchyLevels[[#This Row],[Level2]],CustomerHierarchyLevels[],7,FALSE)=0,CustomerHierarchyLevels[[#This Row],[Level2]],VLOOKUP(CustomerHierarchyLevels[[#This Row],[Level2]],CustomerHierarchyLevels[],7,FALSE))</f>
        <v>2268</v>
      </c>
    </row>
    <row r="178" spans="1:19" x14ac:dyDescent="0.25">
      <c r="A178">
        <v>2279</v>
      </c>
      <c r="B178" t="s">
        <v>13</v>
      </c>
      <c r="C178" t="s">
        <v>95</v>
      </c>
      <c r="D178">
        <v>0</v>
      </c>
      <c r="E178">
        <v>38170</v>
      </c>
      <c r="F178">
        <v>2958465</v>
      </c>
      <c r="G178">
        <v>2269</v>
      </c>
      <c r="H178" t="s">
        <v>13</v>
      </c>
      <c r="I178" t="s">
        <v>95</v>
      </c>
      <c r="J178">
        <v>0</v>
      </c>
      <c r="K178">
        <v>0</v>
      </c>
      <c r="N178">
        <v>3</v>
      </c>
      <c r="O178" t="s">
        <v>96</v>
      </c>
      <c r="P178" t="s">
        <v>1369</v>
      </c>
      <c r="Q178" s="30">
        <f>IF(CustomerHierarchyLevels[[#This Row],[HgLvCust.]]=0,CustomerHierarchyLevels[[#This Row],[Customer]],CustomerHierarchyLevels[[#This Row],[HgLvCust.]])</f>
        <v>2269</v>
      </c>
      <c r="R178" s="30">
        <f>IF(VLOOKUP(CustomerHierarchyLevels[[#This Row],[Level1]],CustomerHierarchyLevels[],7,FALSE)=0,CustomerHierarchyLevels[[#This Row],[Level1]],VLOOKUP(CustomerHierarchyLevels[[#This Row],[Level1]],CustomerHierarchyLevels[],7,FALSE))</f>
        <v>2268</v>
      </c>
      <c r="S178" s="30">
        <f>IF(VLOOKUP(CustomerHierarchyLevels[[#This Row],[Level2]],CustomerHierarchyLevels[],7,FALSE)=0,CustomerHierarchyLevels[[#This Row],[Level2]],VLOOKUP(CustomerHierarchyLevels[[#This Row],[Level2]],CustomerHierarchyLevels[],7,FALSE))</f>
        <v>2268</v>
      </c>
    </row>
    <row r="179" spans="1:19" x14ac:dyDescent="0.25">
      <c r="A179">
        <v>2280</v>
      </c>
      <c r="B179" t="s">
        <v>13</v>
      </c>
      <c r="C179" t="s">
        <v>95</v>
      </c>
      <c r="D179">
        <v>0</v>
      </c>
      <c r="E179">
        <v>38170</v>
      </c>
      <c r="F179">
        <v>2958465</v>
      </c>
      <c r="G179">
        <v>2269</v>
      </c>
      <c r="H179" t="s">
        <v>13</v>
      </c>
      <c r="I179" t="s">
        <v>95</v>
      </c>
      <c r="J179">
        <v>0</v>
      </c>
      <c r="K179">
        <v>0</v>
      </c>
      <c r="N179">
        <v>3</v>
      </c>
      <c r="O179" t="s">
        <v>96</v>
      </c>
      <c r="P179" t="s">
        <v>1370</v>
      </c>
      <c r="Q179" s="30">
        <f>IF(CustomerHierarchyLevels[[#This Row],[HgLvCust.]]=0,CustomerHierarchyLevels[[#This Row],[Customer]],CustomerHierarchyLevels[[#This Row],[HgLvCust.]])</f>
        <v>2269</v>
      </c>
      <c r="R179" s="30">
        <f>IF(VLOOKUP(CustomerHierarchyLevels[[#This Row],[Level1]],CustomerHierarchyLevels[],7,FALSE)=0,CustomerHierarchyLevels[[#This Row],[Level1]],VLOOKUP(CustomerHierarchyLevels[[#This Row],[Level1]],CustomerHierarchyLevels[],7,FALSE))</f>
        <v>2268</v>
      </c>
      <c r="S179" s="30">
        <f>IF(VLOOKUP(CustomerHierarchyLevels[[#This Row],[Level2]],CustomerHierarchyLevels[],7,FALSE)=0,CustomerHierarchyLevels[[#This Row],[Level2]],VLOOKUP(CustomerHierarchyLevels[[#This Row],[Level2]],CustomerHierarchyLevels[],7,FALSE))</f>
        <v>2268</v>
      </c>
    </row>
    <row r="180" spans="1:19" x14ac:dyDescent="0.25">
      <c r="A180">
        <v>2281</v>
      </c>
      <c r="B180" t="s">
        <v>13</v>
      </c>
      <c r="C180" t="s">
        <v>95</v>
      </c>
      <c r="D180">
        <v>0</v>
      </c>
      <c r="E180">
        <v>38170</v>
      </c>
      <c r="F180">
        <v>2958465</v>
      </c>
      <c r="G180">
        <v>2269</v>
      </c>
      <c r="H180" t="s">
        <v>13</v>
      </c>
      <c r="I180" t="s">
        <v>95</v>
      </c>
      <c r="J180">
        <v>0</v>
      </c>
      <c r="K180">
        <v>0</v>
      </c>
      <c r="N180">
        <v>3</v>
      </c>
      <c r="O180" t="s">
        <v>96</v>
      </c>
      <c r="P180" t="s">
        <v>1371</v>
      </c>
      <c r="Q180" s="30">
        <f>IF(CustomerHierarchyLevels[[#This Row],[HgLvCust.]]=0,CustomerHierarchyLevels[[#This Row],[Customer]],CustomerHierarchyLevels[[#This Row],[HgLvCust.]])</f>
        <v>2269</v>
      </c>
      <c r="R180" s="30">
        <f>IF(VLOOKUP(CustomerHierarchyLevels[[#This Row],[Level1]],CustomerHierarchyLevels[],7,FALSE)=0,CustomerHierarchyLevels[[#This Row],[Level1]],VLOOKUP(CustomerHierarchyLevels[[#This Row],[Level1]],CustomerHierarchyLevels[],7,FALSE))</f>
        <v>2268</v>
      </c>
      <c r="S180" s="30">
        <f>IF(VLOOKUP(CustomerHierarchyLevels[[#This Row],[Level2]],CustomerHierarchyLevels[],7,FALSE)=0,CustomerHierarchyLevels[[#This Row],[Level2]],VLOOKUP(CustomerHierarchyLevels[[#This Row],[Level2]],CustomerHierarchyLevels[],7,FALSE))</f>
        <v>2268</v>
      </c>
    </row>
    <row r="181" spans="1:19" x14ac:dyDescent="0.25">
      <c r="A181">
        <v>2282</v>
      </c>
      <c r="B181" t="s">
        <v>13</v>
      </c>
      <c r="C181" t="s">
        <v>95</v>
      </c>
      <c r="D181">
        <v>0</v>
      </c>
      <c r="E181">
        <v>38170</v>
      </c>
      <c r="F181">
        <v>2958465</v>
      </c>
      <c r="G181">
        <v>2269</v>
      </c>
      <c r="H181" t="s">
        <v>13</v>
      </c>
      <c r="I181" t="s">
        <v>95</v>
      </c>
      <c r="J181">
        <v>0</v>
      </c>
      <c r="K181">
        <v>0</v>
      </c>
      <c r="N181">
        <v>3</v>
      </c>
      <c r="O181" t="s">
        <v>96</v>
      </c>
      <c r="P181" t="s">
        <v>1372</v>
      </c>
      <c r="Q181" s="30">
        <f>IF(CustomerHierarchyLevels[[#This Row],[HgLvCust.]]=0,CustomerHierarchyLevels[[#This Row],[Customer]],CustomerHierarchyLevels[[#This Row],[HgLvCust.]])</f>
        <v>2269</v>
      </c>
      <c r="R181" s="30">
        <f>IF(VLOOKUP(CustomerHierarchyLevels[[#This Row],[Level1]],CustomerHierarchyLevels[],7,FALSE)=0,CustomerHierarchyLevels[[#This Row],[Level1]],VLOOKUP(CustomerHierarchyLevels[[#This Row],[Level1]],CustomerHierarchyLevels[],7,FALSE))</f>
        <v>2268</v>
      </c>
      <c r="S181" s="30">
        <f>IF(VLOOKUP(CustomerHierarchyLevels[[#This Row],[Level2]],CustomerHierarchyLevels[],7,FALSE)=0,CustomerHierarchyLevels[[#This Row],[Level2]],VLOOKUP(CustomerHierarchyLevels[[#This Row],[Level2]],CustomerHierarchyLevels[],7,FALSE))</f>
        <v>2268</v>
      </c>
    </row>
    <row r="182" spans="1:19" x14ac:dyDescent="0.25">
      <c r="A182">
        <v>2283</v>
      </c>
      <c r="B182" t="s">
        <v>13</v>
      </c>
      <c r="C182" t="s">
        <v>95</v>
      </c>
      <c r="D182">
        <v>0</v>
      </c>
      <c r="E182">
        <v>38170</v>
      </c>
      <c r="F182">
        <v>2958465</v>
      </c>
      <c r="G182">
        <v>2269</v>
      </c>
      <c r="H182" t="s">
        <v>13</v>
      </c>
      <c r="I182" t="s">
        <v>95</v>
      </c>
      <c r="J182">
        <v>0</v>
      </c>
      <c r="K182">
        <v>0</v>
      </c>
      <c r="N182">
        <v>3</v>
      </c>
      <c r="O182" t="s">
        <v>96</v>
      </c>
      <c r="P182" t="s">
        <v>1373</v>
      </c>
      <c r="Q182" s="30">
        <f>IF(CustomerHierarchyLevels[[#This Row],[HgLvCust.]]=0,CustomerHierarchyLevels[[#This Row],[Customer]],CustomerHierarchyLevels[[#This Row],[HgLvCust.]])</f>
        <v>2269</v>
      </c>
      <c r="R182" s="30">
        <f>IF(VLOOKUP(CustomerHierarchyLevels[[#This Row],[Level1]],CustomerHierarchyLevels[],7,FALSE)=0,CustomerHierarchyLevels[[#This Row],[Level1]],VLOOKUP(CustomerHierarchyLevels[[#This Row],[Level1]],CustomerHierarchyLevels[],7,FALSE))</f>
        <v>2268</v>
      </c>
      <c r="S182" s="30">
        <f>IF(VLOOKUP(CustomerHierarchyLevels[[#This Row],[Level2]],CustomerHierarchyLevels[],7,FALSE)=0,CustomerHierarchyLevels[[#This Row],[Level2]],VLOOKUP(CustomerHierarchyLevels[[#This Row],[Level2]],CustomerHierarchyLevels[],7,FALSE))</f>
        <v>2268</v>
      </c>
    </row>
    <row r="183" spans="1:19" x14ac:dyDescent="0.25">
      <c r="A183">
        <v>2284</v>
      </c>
      <c r="B183" t="s">
        <v>13</v>
      </c>
      <c r="C183" t="s">
        <v>95</v>
      </c>
      <c r="D183">
        <v>0</v>
      </c>
      <c r="E183">
        <v>38170</v>
      </c>
      <c r="F183">
        <v>2958465</v>
      </c>
      <c r="G183">
        <v>2269</v>
      </c>
      <c r="H183" t="s">
        <v>13</v>
      </c>
      <c r="I183" t="s">
        <v>95</v>
      </c>
      <c r="J183">
        <v>0</v>
      </c>
      <c r="K183">
        <v>0</v>
      </c>
      <c r="N183">
        <v>3</v>
      </c>
      <c r="O183" t="s">
        <v>96</v>
      </c>
      <c r="P183" t="s">
        <v>1374</v>
      </c>
      <c r="Q183" s="30">
        <f>IF(CustomerHierarchyLevels[[#This Row],[HgLvCust.]]=0,CustomerHierarchyLevels[[#This Row],[Customer]],CustomerHierarchyLevels[[#This Row],[HgLvCust.]])</f>
        <v>2269</v>
      </c>
      <c r="R183" s="30">
        <f>IF(VLOOKUP(CustomerHierarchyLevels[[#This Row],[Level1]],CustomerHierarchyLevels[],7,FALSE)=0,CustomerHierarchyLevels[[#This Row],[Level1]],VLOOKUP(CustomerHierarchyLevels[[#This Row],[Level1]],CustomerHierarchyLevels[],7,FALSE))</f>
        <v>2268</v>
      </c>
      <c r="S183" s="30">
        <f>IF(VLOOKUP(CustomerHierarchyLevels[[#This Row],[Level2]],CustomerHierarchyLevels[],7,FALSE)=0,CustomerHierarchyLevels[[#This Row],[Level2]],VLOOKUP(CustomerHierarchyLevels[[#This Row],[Level2]],CustomerHierarchyLevels[],7,FALSE))</f>
        <v>2268</v>
      </c>
    </row>
    <row r="184" spans="1:19" x14ac:dyDescent="0.25">
      <c r="A184">
        <v>2285</v>
      </c>
      <c r="B184" t="s">
        <v>13</v>
      </c>
      <c r="C184" t="s">
        <v>95</v>
      </c>
      <c r="D184">
        <v>0</v>
      </c>
      <c r="E184">
        <v>38170</v>
      </c>
      <c r="F184">
        <v>2958465</v>
      </c>
      <c r="G184">
        <v>2268</v>
      </c>
      <c r="H184" t="s">
        <v>13</v>
      </c>
      <c r="I184" t="s">
        <v>95</v>
      </c>
      <c r="J184">
        <v>0</v>
      </c>
      <c r="K184">
        <v>0</v>
      </c>
      <c r="N184">
        <v>2</v>
      </c>
      <c r="O184" t="s">
        <v>96</v>
      </c>
      <c r="P184" t="s">
        <v>1375</v>
      </c>
      <c r="Q184" s="30">
        <f>IF(CustomerHierarchyLevels[[#This Row],[HgLvCust.]]=0,CustomerHierarchyLevels[[#This Row],[Customer]],CustomerHierarchyLevels[[#This Row],[HgLvCust.]])</f>
        <v>2268</v>
      </c>
      <c r="R184" s="30">
        <f>IF(VLOOKUP(CustomerHierarchyLevels[[#This Row],[Level1]],CustomerHierarchyLevels[],7,FALSE)=0,CustomerHierarchyLevels[[#This Row],[Level1]],VLOOKUP(CustomerHierarchyLevels[[#This Row],[Level1]],CustomerHierarchyLevels[],7,FALSE))</f>
        <v>2268</v>
      </c>
      <c r="S184" s="30">
        <f>IF(VLOOKUP(CustomerHierarchyLevels[[#This Row],[Level2]],CustomerHierarchyLevels[],7,FALSE)=0,CustomerHierarchyLevels[[#This Row],[Level2]],VLOOKUP(CustomerHierarchyLevels[[#This Row],[Level2]],CustomerHierarchyLevels[],7,FALSE))</f>
        <v>2268</v>
      </c>
    </row>
    <row r="185" spans="1:19" x14ac:dyDescent="0.25">
      <c r="A185">
        <v>2286</v>
      </c>
      <c r="B185" t="s">
        <v>13</v>
      </c>
      <c r="C185" t="s">
        <v>95</v>
      </c>
      <c r="D185">
        <v>0</v>
      </c>
      <c r="E185">
        <v>38170</v>
      </c>
      <c r="F185">
        <v>2958465</v>
      </c>
      <c r="G185">
        <v>2285</v>
      </c>
      <c r="H185" t="s">
        <v>13</v>
      </c>
      <c r="I185" t="s">
        <v>95</v>
      </c>
      <c r="J185">
        <v>0</v>
      </c>
      <c r="K185">
        <v>0</v>
      </c>
      <c r="N185">
        <v>3</v>
      </c>
      <c r="O185" t="s">
        <v>96</v>
      </c>
      <c r="P185" t="s">
        <v>1376</v>
      </c>
      <c r="Q185" s="30">
        <f>IF(CustomerHierarchyLevels[[#This Row],[HgLvCust.]]=0,CustomerHierarchyLevels[[#This Row],[Customer]],CustomerHierarchyLevels[[#This Row],[HgLvCust.]])</f>
        <v>2285</v>
      </c>
      <c r="R185" s="30">
        <f>IF(VLOOKUP(CustomerHierarchyLevels[[#This Row],[Level1]],CustomerHierarchyLevels[],7,FALSE)=0,CustomerHierarchyLevels[[#This Row],[Level1]],VLOOKUP(CustomerHierarchyLevels[[#This Row],[Level1]],CustomerHierarchyLevels[],7,FALSE))</f>
        <v>2268</v>
      </c>
      <c r="S185" s="30">
        <f>IF(VLOOKUP(CustomerHierarchyLevels[[#This Row],[Level2]],CustomerHierarchyLevels[],7,FALSE)=0,CustomerHierarchyLevels[[#This Row],[Level2]],VLOOKUP(CustomerHierarchyLevels[[#This Row],[Level2]],CustomerHierarchyLevels[],7,FALSE))</f>
        <v>2268</v>
      </c>
    </row>
    <row r="186" spans="1:19" x14ac:dyDescent="0.25">
      <c r="A186">
        <v>2703</v>
      </c>
      <c r="B186" t="s">
        <v>13</v>
      </c>
      <c r="C186" t="s">
        <v>95</v>
      </c>
      <c r="D186">
        <v>0</v>
      </c>
      <c r="E186">
        <v>38272</v>
      </c>
      <c r="F186">
        <v>2958465</v>
      </c>
      <c r="G186">
        <v>2110</v>
      </c>
      <c r="H186" t="s">
        <v>13</v>
      </c>
      <c r="I186" t="s">
        <v>95</v>
      </c>
      <c r="J186">
        <v>0</v>
      </c>
      <c r="K186">
        <v>0</v>
      </c>
      <c r="N186">
        <v>3</v>
      </c>
      <c r="O186" t="s">
        <v>96</v>
      </c>
      <c r="P186" t="s">
        <v>1377</v>
      </c>
      <c r="Q186" s="30">
        <f>IF(CustomerHierarchyLevels[[#This Row],[HgLvCust.]]=0,CustomerHierarchyLevels[[#This Row],[Customer]],CustomerHierarchyLevels[[#This Row],[HgLvCust.]])</f>
        <v>2110</v>
      </c>
      <c r="R186" s="30">
        <f>IF(VLOOKUP(CustomerHierarchyLevels[[#This Row],[Level1]],CustomerHierarchyLevels[],7,FALSE)=0,CustomerHierarchyLevels[[#This Row],[Level1]],VLOOKUP(CustomerHierarchyLevels[[#This Row],[Level1]],CustomerHierarchyLevels[],7,FALSE))</f>
        <v>2109</v>
      </c>
      <c r="S186" s="30">
        <f>IF(VLOOKUP(CustomerHierarchyLevels[[#This Row],[Level2]],CustomerHierarchyLevels[],7,FALSE)=0,CustomerHierarchyLevels[[#This Row],[Level2]],VLOOKUP(CustomerHierarchyLevels[[#This Row],[Level2]],CustomerHierarchyLevels[],7,FALSE))</f>
        <v>2109</v>
      </c>
    </row>
    <row r="187" spans="1:19" x14ac:dyDescent="0.25">
      <c r="A187">
        <v>2704</v>
      </c>
      <c r="B187" t="s">
        <v>13</v>
      </c>
      <c r="C187" t="s">
        <v>95</v>
      </c>
      <c r="D187">
        <v>0</v>
      </c>
      <c r="E187">
        <v>38272</v>
      </c>
      <c r="F187">
        <v>2958465</v>
      </c>
      <c r="G187">
        <v>2110</v>
      </c>
      <c r="H187" t="s">
        <v>13</v>
      </c>
      <c r="I187" t="s">
        <v>95</v>
      </c>
      <c r="J187">
        <v>0</v>
      </c>
      <c r="K187">
        <v>0</v>
      </c>
      <c r="N187">
        <v>3</v>
      </c>
      <c r="O187" t="s">
        <v>96</v>
      </c>
      <c r="P187" t="s">
        <v>1378</v>
      </c>
      <c r="Q187" s="30">
        <f>IF(CustomerHierarchyLevels[[#This Row],[HgLvCust.]]=0,CustomerHierarchyLevels[[#This Row],[Customer]],CustomerHierarchyLevels[[#This Row],[HgLvCust.]])</f>
        <v>2110</v>
      </c>
      <c r="R187" s="30">
        <f>IF(VLOOKUP(CustomerHierarchyLevels[[#This Row],[Level1]],CustomerHierarchyLevels[],7,FALSE)=0,CustomerHierarchyLevels[[#This Row],[Level1]],VLOOKUP(CustomerHierarchyLevels[[#This Row],[Level1]],CustomerHierarchyLevels[],7,FALSE))</f>
        <v>2109</v>
      </c>
      <c r="S187" s="30">
        <f>IF(VLOOKUP(CustomerHierarchyLevels[[#This Row],[Level2]],CustomerHierarchyLevels[],7,FALSE)=0,CustomerHierarchyLevels[[#This Row],[Level2]],VLOOKUP(CustomerHierarchyLevels[[#This Row],[Level2]],CustomerHierarchyLevels[],7,FALSE))</f>
        <v>2109</v>
      </c>
    </row>
    <row r="188" spans="1:19" x14ac:dyDescent="0.25">
      <c r="A188">
        <v>3023</v>
      </c>
      <c r="B188" t="s">
        <v>13</v>
      </c>
      <c r="C188" t="s">
        <v>95</v>
      </c>
      <c r="D188">
        <v>0</v>
      </c>
      <c r="E188">
        <v>38343</v>
      </c>
      <c r="F188">
        <v>2958465</v>
      </c>
      <c r="G188">
        <v>2200</v>
      </c>
      <c r="H188" t="s">
        <v>13</v>
      </c>
      <c r="I188" t="s">
        <v>95</v>
      </c>
      <c r="J188">
        <v>0</v>
      </c>
      <c r="K188">
        <v>0</v>
      </c>
      <c r="N188">
        <v>0</v>
      </c>
      <c r="O188" t="s">
        <v>96</v>
      </c>
      <c r="P188" t="s">
        <v>1379</v>
      </c>
      <c r="Q188" s="30">
        <f>IF(CustomerHierarchyLevels[[#This Row],[HgLvCust.]]=0,CustomerHierarchyLevels[[#This Row],[Customer]],CustomerHierarchyLevels[[#This Row],[HgLvCust.]])</f>
        <v>2200</v>
      </c>
      <c r="R188" s="30">
        <f>IF(VLOOKUP(CustomerHierarchyLevels[[#This Row],[Level1]],CustomerHierarchyLevels[],7,FALSE)=0,CustomerHierarchyLevels[[#This Row],[Level1]],VLOOKUP(CustomerHierarchyLevels[[#This Row],[Level1]],CustomerHierarchyLevels[],7,FALSE))</f>
        <v>2199</v>
      </c>
      <c r="S188" s="30">
        <f>IF(VLOOKUP(CustomerHierarchyLevels[[#This Row],[Level2]],CustomerHierarchyLevels[],7,FALSE)=0,CustomerHierarchyLevels[[#This Row],[Level2]],VLOOKUP(CustomerHierarchyLevels[[#This Row],[Level2]],CustomerHierarchyLevels[],7,FALSE))</f>
        <v>2199</v>
      </c>
    </row>
    <row r="189" spans="1:19" x14ac:dyDescent="0.25">
      <c r="A189">
        <v>1404</v>
      </c>
      <c r="B189" t="s">
        <v>13</v>
      </c>
      <c r="C189" t="s">
        <v>95</v>
      </c>
      <c r="D189">
        <v>0</v>
      </c>
      <c r="E189">
        <v>39426</v>
      </c>
      <c r="F189">
        <v>2958465</v>
      </c>
      <c r="G189">
        <v>6311</v>
      </c>
      <c r="H189" t="s">
        <v>13</v>
      </c>
      <c r="I189" t="s">
        <v>95</v>
      </c>
      <c r="J189">
        <v>0</v>
      </c>
      <c r="K189">
        <v>0</v>
      </c>
      <c r="N189">
        <v>0</v>
      </c>
      <c r="O189" t="s">
        <v>96</v>
      </c>
      <c r="P189" t="s">
        <v>1380</v>
      </c>
      <c r="Q189" s="30">
        <f>IF(CustomerHierarchyLevels[[#This Row],[HgLvCust.]]=0,CustomerHierarchyLevels[[#This Row],[Customer]],CustomerHierarchyLevels[[#This Row],[HgLvCust.]])</f>
        <v>6311</v>
      </c>
      <c r="R189" s="30">
        <f>IF(VLOOKUP(CustomerHierarchyLevels[[#This Row],[Level1]],CustomerHierarchyLevels[],7,FALSE)=0,CustomerHierarchyLevels[[#This Row],[Level1]],VLOOKUP(CustomerHierarchyLevels[[#This Row],[Level1]],CustomerHierarchyLevels[],7,FALSE))</f>
        <v>6310</v>
      </c>
      <c r="S189" s="30">
        <f>IF(VLOOKUP(CustomerHierarchyLevels[[#This Row],[Level2]],CustomerHierarchyLevels[],7,FALSE)=0,CustomerHierarchyLevels[[#This Row],[Level2]],VLOOKUP(CustomerHierarchyLevels[[#This Row],[Level2]],CustomerHierarchyLevels[],7,FALSE))</f>
        <v>6309</v>
      </c>
    </row>
    <row r="190" spans="1:19" x14ac:dyDescent="0.25">
      <c r="A190">
        <v>6701</v>
      </c>
      <c r="B190" t="s">
        <v>13</v>
      </c>
      <c r="C190" t="s">
        <v>95</v>
      </c>
      <c r="D190">
        <v>0</v>
      </c>
      <c r="E190">
        <v>39010</v>
      </c>
      <c r="F190">
        <v>2958465</v>
      </c>
      <c r="G190">
        <v>6700</v>
      </c>
      <c r="H190" t="s">
        <v>13</v>
      </c>
      <c r="I190" t="s">
        <v>95</v>
      </c>
      <c r="J190">
        <v>0</v>
      </c>
      <c r="K190">
        <v>0</v>
      </c>
      <c r="L190" t="s">
        <v>1200</v>
      </c>
      <c r="M190" t="s">
        <v>1200</v>
      </c>
      <c r="N190">
        <v>2</v>
      </c>
      <c r="O190" t="s">
        <v>96</v>
      </c>
      <c r="P190" t="s">
        <v>1381</v>
      </c>
      <c r="Q190" s="30">
        <f>IF(CustomerHierarchyLevels[[#This Row],[HgLvCust.]]=0,CustomerHierarchyLevels[[#This Row],[Customer]],CustomerHierarchyLevels[[#This Row],[HgLvCust.]])</f>
        <v>6700</v>
      </c>
      <c r="R190" s="30">
        <f>IF(VLOOKUP(CustomerHierarchyLevels[[#This Row],[Level1]],CustomerHierarchyLevels[],7,FALSE)=0,CustomerHierarchyLevels[[#This Row],[Level1]],VLOOKUP(CustomerHierarchyLevels[[#This Row],[Level1]],CustomerHierarchyLevels[],7,FALSE))</f>
        <v>6700</v>
      </c>
      <c r="S190" s="30">
        <f>IF(VLOOKUP(CustomerHierarchyLevels[[#This Row],[Level2]],CustomerHierarchyLevels[],7,FALSE)=0,CustomerHierarchyLevels[[#This Row],[Level2]],VLOOKUP(CustomerHierarchyLevels[[#This Row],[Level2]],CustomerHierarchyLevels[],7,FALSE))</f>
        <v>6700</v>
      </c>
    </row>
    <row r="191" spans="1:19" x14ac:dyDescent="0.25">
      <c r="A191">
        <v>6700</v>
      </c>
      <c r="B191" t="s">
        <v>13</v>
      </c>
      <c r="C191" t="s">
        <v>95</v>
      </c>
      <c r="D191">
        <v>0</v>
      </c>
      <c r="E191">
        <v>39010</v>
      </c>
      <c r="F191">
        <v>2958465</v>
      </c>
      <c r="K191">
        <v>0</v>
      </c>
      <c r="L191" t="s">
        <v>1200</v>
      </c>
      <c r="M191" t="s">
        <v>1200</v>
      </c>
      <c r="N191">
        <v>0</v>
      </c>
      <c r="O191" t="s">
        <v>96</v>
      </c>
      <c r="P191" t="s">
        <v>1382</v>
      </c>
      <c r="Q191" s="30">
        <f>IF(CustomerHierarchyLevels[[#This Row],[HgLvCust.]]=0,CustomerHierarchyLevels[[#This Row],[Customer]],CustomerHierarchyLevels[[#This Row],[HgLvCust.]])</f>
        <v>6700</v>
      </c>
      <c r="R191" s="30">
        <f>IF(VLOOKUP(CustomerHierarchyLevels[[#This Row],[Level1]],CustomerHierarchyLevels[],7,FALSE)=0,CustomerHierarchyLevels[[#This Row],[Level1]],VLOOKUP(CustomerHierarchyLevels[[#This Row],[Level1]],CustomerHierarchyLevels[],7,FALSE))</f>
        <v>6700</v>
      </c>
      <c r="S191" s="30">
        <f>IF(VLOOKUP(CustomerHierarchyLevels[[#This Row],[Level2]],CustomerHierarchyLevels[],7,FALSE)=0,CustomerHierarchyLevels[[#This Row],[Level2]],VLOOKUP(CustomerHierarchyLevels[[#This Row],[Level2]],CustomerHierarchyLevels[],7,FALSE))</f>
        <v>6700</v>
      </c>
    </row>
    <row r="192" spans="1:19" x14ac:dyDescent="0.25">
      <c r="A192">
        <v>6532</v>
      </c>
      <c r="B192" t="s">
        <v>13</v>
      </c>
      <c r="C192" t="s">
        <v>95</v>
      </c>
      <c r="D192">
        <v>0</v>
      </c>
      <c r="E192">
        <v>39010</v>
      </c>
      <c r="F192">
        <v>2958465</v>
      </c>
      <c r="G192">
        <v>6705</v>
      </c>
      <c r="H192" t="s">
        <v>13</v>
      </c>
      <c r="I192" t="s">
        <v>95</v>
      </c>
      <c r="J192">
        <v>0</v>
      </c>
      <c r="K192">
        <v>0</v>
      </c>
      <c r="M192" t="s">
        <v>1200</v>
      </c>
      <c r="N192">
        <v>2</v>
      </c>
      <c r="O192" t="s">
        <v>96</v>
      </c>
      <c r="P192" t="s">
        <v>1383</v>
      </c>
      <c r="Q192" s="30">
        <f>IF(CustomerHierarchyLevels[[#This Row],[HgLvCust.]]=0,CustomerHierarchyLevels[[#This Row],[Customer]],CustomerHierarchyLevels[[#This Row],[HgLvCust.]])</f>
        <v>6705</v>
      </c>
      <c r="R192" s="30">
        <f>IF(VLOOKUP(CustomerHierarchyLevels[[#This Row],[Level1]],CustomerHierarchyLevels[],7,FALSE)=0,CustomerHierarchyLevels[[#This Row],[Level1]],VLOOKUP(CustomerHierarchyLevels[[#This Row],[Level1]],CustomerHierarchyLevels[],7,FALSE))</f>
        <v>6705</v>
      </c>
      <c r="S192" s="30">
        <f>IF(VLOOKUP(CustomerHierarchyLevels[[#This Row],[Level2]],CustomerHierarchyLevels[],7,FALSE)=0,CustomerHierarchyLevels[[#This Row],[Level2]],VLOOKUP(CustomerHierarchyLevels[[#This Row],[Level2]],CustomerHierarchyLevels[],7,FALSE))</f>
        <v>6705</v>
      </c>
    </row>
    <row r="193" spans="1:19" x14ac:dyDescent="0.25">
      <c r="A193">
        <v>6705</v>
      </c>
      <c r="B193" t="s">
        <v>13</v>
      </c>
      <c r="C193" t="s">
        <v>95</v>
      </c>
      <c r="D193">
        <v>0</v>
      </c>
      <c r="E193">
        <v>39010</v>
      </c>
      <c r="F193">
        <v>2958465</v>
      </c>
      <c r="K193">
        <v>0</v>
      </c>
      <c r="L193" t="s">
        <v>1200</v>
      </c>
      <c r="M193" t="s">
        <v>1200</v>
      </c>
      <c r="N193">
        <v>0</v>
      </c>
      <c r="O193" t="s">
        <v>96</v>
      </c>
      <c r="P193" t="s">
        <v>1384</v>
      </c>
      <c r="Q193" s="30">
        <f>IF(CustomerHierarchyLevels[[#This Row],[HgLvCust.]]=0,CustomerHierarchyLevels[[#This Row],[Customer]],CustomerHierarchyLevels[[#This Row],[HgLvCust.]])</f>
        <v>6705</v>
      </c>
      <c r="R193" s="30">
        <f>IF(VLOOKUP(CustomerHierarchyLevels[[#This Row],[Level1]],CustomerHierarchyLevels[],7,FALSE)=0,CustomerHierarchyLevels[[#This Row],[Level1]],VLOOKUP(CustomerHierarchyLevels[[#This Row],[Level1]],CustomerHierarchyLevels[],7,FALSE))</f>
        <v>6705</v>
      </c>
      <c r="S193" s="30">
        <f>IF(VLOOKUP(CustomerHierarchyLevels[[#This Row],[Level2]],CustomerHierarchyLevels[],7,FALSE)=0,CustomerHierarchyLevels[[#This Row],[Level2]],VLOOKUP(CustomerHierarchyLevels[[#This Row],[Level2]],CustomerHierarchyLevels[],7,FALSE))</f>
        <v>6705</v>
      </c>
    </row>
    <row r="194" spans="1:19" x14ac:dyDescent="0.25">
      <c r="A194">
        <v>6306</v>
      </c>
      <c r="B194" t="s">
        <v>13</v>
      </c>
      <c r="C194" t="s">
        <v>95</v>
      </c>
      <c r="D194">
        <v>0</v>
      </c>
      <c r="E194">
        <v>39010</v>
      </c>
      <c r="F194">
        <v>2958465</v>
      </c>
      <c r="G194">
        <v>6305</v>
      </c>
      <c r="H194" t="s">
        <v>13</v>
      </c>
      <c r="I194" t="s">
        <v>95</v>
      </c>
      <c r="J194">
        <v>0</v>
      </c>
      <c r="K194">
        <v>0</v>
      </c>
      <c r="L194" t="s">
        <v>1200</v>
      </c>
      <c r="M194" t="s">
        <v>1200</v>
      </c>
      <c r="N194">
        <v>2</v>
      </c>
      <c r="O194" t="s">
        <v>96</v>
      </c>
      <c r="P194" t="s">
        <v>1385</v>
      </c>
      <c r="Q194" s="30">
        <f>IF(CustomerHierarchyLevels[[#This Row],[HgLvCust.]]=0,CustomerHierarchyLevels[[#This Row],[Customer]],CustomerHierarchyLevels[[#This Row],[HgLvCust.]])</f>
        <v>6305</v>
      </c>
      <c r="R194" s="30">
        <f>IF(VLOOKUP(CustomerHierarchyLevels[[#This Row],[Level1]],CustomerHierarchyLevels[],7,FALSE)=0,CustomerHierarchyLevels[[#This Row],[Level1]],VLOOKUP(CustomerHierarchyLevels[[#This Row],[Level1]],CustomerHierarchyLevels[],7,FALSE))</f>
        <v>6305</v>
      </c>
      <c r="S194" s="30">
        <f>IF(VLOOKUP(CustomerHierarchyLevels[[#This Row],[Level2]],CustomerHierarchyLevels[],7,FALSE)=0,CustomerHierarchyLevels[[#This Row],[Level2]],VLOOKUP(CustomerHierarchyLevels[[#This Row],[Level2]],CustomerHierarchyLevels[],7,FALSE))</f>
        <v>6305</v>
      </c>
    </row>
    <row r="195" spans="1:19" x14ac:dyDescent="0.25">
      <c r="A195">
        <v>6305</v>
      </c>
      <c r="B195" t="s">
        <v>13</v>
      </c>
      <c r="C195" t="s">
        <v>95</v>
      </c>
      <c r="D195">
        <v>0</v>
      </c>
      <c r="E195">
        <v>39010</v>
      </c>
      <c r="F195">
        <v>2958465</v>
      </c>
      <c r="K195">
        <v>0</v>
      </c>
      <c r="L195" t="s">
        <v>1200</v>
      </c>
      <c r="M195" t="s">
        <v>1200</v>
      </c>
      <c r="N195">
        <v>0</v>
      </c>
      <c r="O195" t="s">
        <v>96</v>
      </c>
      <c r="P195" t="s">
        <v>1386</v>
      </c>
      <c r="Q195" s="30">
        <f>IF(CustomerHierarchyLevels[[#This Row],[HgLvCust.]]=0,CustomerHierarchyLevels[[#This Row],[Customer]],CustomerHierarchyLevels[[#This Row],[HgLvCust.]])</f>
        <v>6305</v>
      </c>
      <c r="R195" s="30">
        <f>IF(VLOOKUP(CustomerHierarchyLevels[[#This Row],[Level1]],CustomerHierarchyLevels[],7,FALSE)=0,CustomerHierarchyLevels[[#This Row],[Level1]],VLOOKUP(CustomerHierarchyLevels[[#This Row],[Level1]],CustomerHierarchyLevels[],7,FALSE))</f>
        <v>6305</v>
      </c>
      <c r="S195" s="30">
        <f>IF(VLOOKUP(CustomerHierarchyLevels[[#This Row],[Level2]],CustomerHierarchyLevels[],7,FALSE)=0,CustomerHierarchyLevels[[#This Row],[Level2]],VLOOKUP(CustomerHierarchyLevels[[#This Row],[Level2]],CustomerHierarchyLevels[],7,FALSE))</f>
        <v>6305</v>
      </c>
    </row>
    <row r="196" spans="1:19" x14ac:dyDescent="0.25">
      <c r="A196">
        <v>6310</v>
      </c>
      <c r="B196" t="s">
        <v>13</v>
      </c>
      <c r="C196" t="s">
        <v>95</v>
      </c>
      <c r="D196">
        <v>0</v>
      </c>
      <c r="E196">
        <v>39010</v>
      </c>
      <c r="F196">
        <v>2958465</v>
      </c>
      <c r="G196">
        <v>6309</v>
      </c>
      <c r="H196" t="s">
        <v>13</v>
      </c>
      <c r="I196" t="s">
        <v>95</v>
      </c>
      <c r="J196">
        <v>0</v>
      </c>
      <c r="K196">
        <v>0</v>
      </c>
      <c r="L196" t="s">
        <v>1200</v>
      </c>
      <c r="M196" t="s">
        <v>1200</v>
      </c>
      <c r="N196">
        <v>2</v>
      </c>
      <c r="O196" t="s">
        <v>96</v>
      </c>
      <c r="P196" t="s">
        <v>1387</v>
      </c>
      <c r="Q196" s="30">
        <f>IF(CustomerHierarchyLevels[[#This Row],[HgLvCust.]]=0,CustomerHierarchyLevels[[#This Row],[Customer]],CustomerHierarchyLevels[[#This Row],[HgLvCust.]])</f>
        <v>6309</v>
      </c>
      <c r="R196" s="30">
        <f>IF(VLOOKUP(CustomerHierarchyLevels[[#This Row],[Level1]],CustomerHierarchyLevels[],7,FALSE)=0,CustomerHierarchyLevels[[#This Row],[Level1]],VLOOKUP(CustomerHierarchyLevels[[#This Row],[Level1]],CustomerHierarchyLevels[],7,FALSE))</f>
        <v>6309</v>
      </c>
      <c r="S196" s="30">
        <f>IF(VLOOKUP(CustomerHierarchyLevels[[#This Row],[Level2]],CustomerHierarchyLevels[],7,FALSE)=0,CustomerHierarchyLevels[[#This Row],[Level2]],VLOOKUP(CustomerHierarchyLevels[[#This Row],[Level2]],CustomerHierarchyLevels[],7,FALSE))</f>
        <v>6309</v>
      </c>
    </row>
    <row r="197" spans="1:19" x14ac:dyDescent="0.25">
      <c r="A197">
        <v>6309</v>
      </c>
      <c r="B197" t="s">
        <v>13</v>
      </c>
      <c r="C197" t="s">
        <v>95</v>
      </c>
      <c r="D197">
        <v>0</v>
      </c>
      <c r="E197">
        <v>39010</v>
      </c>
      <c r="F197">
        <v>2958465</v>
      </c>
      <c r="K197">
        <v>0</v>
      </c>
      <c r="L197" t="s">
        <v>1200</v>
      </c>
      <c r="M197" t="s">
        <v>1200</v>
      </c>
      <c r="N197">
        <v>1</v>
      </c>
      <c r="O197" t="s">
        <v>96</v>
      </c>
      <c r="P197" t="s">
        <v>1388</v>
      </c>
      <c r="Q197" s="30">
        <f>IF(CustomerHierarchyLevels[[#This Row],[HgLvCust.]]=0,CustomerHierarchyLevels[[#This Row],[Customer]],CustomerHierarchyLevels[[#This Row],[HgLvCust.]])</f>
        <v>6309</v>
      </c>
      <c r="R197" s="30">
        <f>IF(VLOOKUP(CustomerHierarchyLevels[[#This Row],[Level1]],CustomerHierarchyLevels[],7,FALSE)=0,CustomerHierarchyLevels[[#This Row],[Level1]],VLOOKUP(CustomerHierarchyLevels[[#This Row],[Level1]],CustomerHierarchyLevels[],7,FALSE))</f>
        <v>6309</v>
      </c>
      <c r="S197" s="30">
        <f>IF(VLOOKUP(CustomerHierarchyLevels[[#This Row],[Level2]],CustomerHierarchyLevels[],7,FALSE)=0,CustomerHierarchyLevels[[#This Row],[Level2]],VLOOKUP(CustomerHierarchyLevels[[#This Row],[Level2]],CustomerHierarchyLevels[],7,FALSE))</f>
        <v>6309</v>
      </c>
    </row>
    <row r="198" spans="1:19" x14ac:dyDescent="0.25">
      <c r="A198">
        <v>6314</v>
      </c>
      <c r="B198" t="s">
        <v>13</v>
      </c>
      <c r="C198" t="s">
        <v>95</v>
      </c>
      <c r="D198">
        <v>0</v>
      </c>
      <c r="E198">
        <v>39010</v>
      </c>
      <c r="F198">
        <v>2958465</v>
      </c>
      <c r="G198">
        <v>6313</v>
      </c>
      <c r="H198" t="s">
        <v>13</v>
      </c>
      <c r="I198" t="s">
        <v>95</v>
      </c>
      <c r="J198">
        <v>0</v>
      </c>
      <c r="K198">
        <v>0</v>
      </c>
      <c r="L198" t="s">
        <v>1200</v>
      </c>
      <c r="M198" t="s">
        <v>1200</v>
      </c>
      <c r="N198">
        <v>2</v>
      </c>
      <c r="O198" t="s">
        <v>96</v>
      </c>
      <c r="P198" t="s">
        <v>1389</v>
      </c>
      <c r="Q198" s="30">
        <f>IF(CustomerHierarchyLevels[[#This Row],[HgLvCust.]]=0,CustomerHierarchyLevels[[#This Row],[Customer]],CustomerHierarchyLevels[[#This Row],[HgLvCust.]])</f>
        <v>6313</v>
      </c>
      <c r="R198" s="30">
        <f>IF(VLOOKUP(CustomerHierarchyLevels[[#This Row],[Level1]],CustomerHierarchyLevels[],7,FALSE)=0,CustomerHierarchyLevels[[#This Row],[Level1]],VLOOKUP(CustomerHierarchyLevels[[#This Row],[Level1]],CustomerHierarchyLevels[],7,FALSE))</f>
        <v>6313</v>
      </c>
      <c r="S198" s="30">
        <f>IF(VLOOKUP(CustomerHierarchyLevels[[#This Row],[Level2]],CustomerHierarchyLevels[],7,FALSE)=0,CustomerHierarchyLevels[[#This Row],[Level2]],VLOOKUP(CustomerHierarchyLevels[[#This Row],[Level2]],CustomerHierarchyLevels[],7,FALSE))</f>
        <v>6313</v>
      </c>
    </row>
    <row r="199" spans="1:19" x14ac:dyDescent="0.25">
      <c r="A199">
        <v>6313</v>
      </c>
      <c r="B199" t="s">
        <v>13</v>
      </c>
      <c r="C199" t="s">
        <v>95</v>
      </c>
      <c r="D199">
        <v>0</v>
      </c>
      <c r="E199">
        <v>39010</v>
      </c>
      <c r="F199">
        <v>2958465</v>
      </c>
      <c r="K199">
        <v>0</v>
      </c>
      <c r="L199" t="s">
        <v>1200</v>
      </c>
      <c r="M199" t="s">
        <v>1200</v>
      </c>
      <c r="N199">
        <v>0</v>
      </c>
      <c r="O199" t="s">
        <v>96</v>
      </c>
      <c r="P199" t="s">
        <v>1390</v>
      </c>
      <c r="Q199" s="30">
        <f>IF(CustomerHierarchyLevels[[#This Row],[HgLvCust.]]=0,CustomerHierarchyLevels[[#This Row],[Customer]],CustomerHierarchyLevels[[#This Row],[HgLvCust.]])</f>
        <v>6313</v>
      </c>
      <c r="R199" s="30">
        <f>IF(VLOOKUP(CustomerHierarchyLevels[[#This Row],[Level1]],CustomerHierarchyLevels[],7,FALSE)=0,CustomerHierarchyLevels[[#This Row],[Level1]],VLOOKUP(CustomerHierarchyLevels[[#This Row],[Level1]],CustomerHierarchyLevels[],7,FALSE))</f>
        <v>6313</v>
      </c>
      <c r="S199" s="30">
        <f>IF(VLOOKUP(CustomerHierarchyLevels[[#This Row],[Level2]],CustomerHierarchyLevels[],7,FALSE)=0,CustomerHierarchyLevels[[#This Row],[Level2]],VLOOKUP(CustomerHierarchyLevels[[#This Row],[Level2]],CustomerHierarchyLevels[],7,FALSE))</f>
        <v>6313</v>
      </c>
    </row>
    <row r="200" spans="1:19" x14ac:dyDescent="0.25">
      <c r="A200">
        <v>2102</v>
      </c>
      <c r="B200" t="s">
        <v>13</v>
      </c>
      <c r="C200" t="s">
        <v>95</v>
      </c>
      <c r="D200">
        <v>0</v>
      </c>
      <c r="E200">
        <v>39010</v>
      </c>
      <c r="F200">
        <v>2958465</v>
      </c>
      <c r="G200">
        <v>2101</v>
      </c>
      <c r="H200" t="s">
        <v>13</v>
      </c>
      <c r="I200" t="s">
        <v>95</v>
      </c>
      <c r="J200">
        <v>0</v>
      </c>
      <c r="K200">
        <v>0</v>
      </c>
      <c r="M200" t="s">
        <v>1200</v>
      </c>
      <c r="N200">
        <v>2</v>
      </c>
      <c r="O200" t="s">
        <v>96</v>
      </c>
      <c r="P200" t="s">
        <v>1391</v>
      </c>
      <c r="Q200" s="30">
        <f>IF(CustomerHierarchyLevels[[#This Row],[HgLvCust.]]=0,CustomerHierarchyLevels[[#This Row],[Customer]],CustomerHierarchyLevels[[#This Row],[HgLvCust.]])</f>
        <v>2101</v>
      </c>
      <c r="R200" s="30">
        <f>IF(VLOOKUP(CustomerHierarchyLevels[[#This Row],[Level1]],CustomerHierarchyLevels[],7,FALSE)=0,CustomerHierarchyLevels[[#This Row],[Level1]],VLOOKUP(CustomerHierarchyLevels[[#This Row],[Level1]],CustomerHierarchyLevels[],7,FALSE))</f>
        <v>2101</v>
      </c>
      <c r="S200" s="30">
        <f>IF(VLOOKUP(CustomerHierarchyLevels[[#This Row],[Level2]],CustomerHierarchyLevels[],7,FALSE)=0,CustomerHierarchyLevels[[#This Row],[Level2]],VLOOKUP(CustomerHierarchyLevels[[#This Row],[Level2]],CustomerHierarchyLevels[],7,FALSE))</f>
        <v>2101</v>
      </c>
    </row>
    <row r="201" spans="1:19" x14ac:dyDescent="0.25">
      <c r="A201">
        <v>2110</v>
      </c>
      <c r="B201" t="s">
        <v>13</v>
      </c>
      <c r="C201" t="s">
        <v>95</v>
      </c>
      <c r="D201">
        <v>0</v>
      </c>
      <c r="E201">
        <v>39010</v>
      </c>
      <c r="F201">
        <v>2958465</v>
      </c>
      <c r="G201">
        <v>2109</v>
      </c>
      <c r="H201" t="s">
        <v>13</v>
      </c>
      <c r="I201" t="s">
        <v>95</v>
      </c>
      <c r="J201">
        <v>0</v>
      </c>
      <c r="K201">
        <v>0</v>
      </c>
      <c r="M201" t="s">
        <v>1200</v>
      </c>
      <c r="N201">
        <v>2</v>
      </c>
      <c r="O201" t="s">
        <v>96</v>
      </c>
      <c r="P201" t="s">
        <v>1392</v>
      </c>
      <c r="Q201" s="30">
        <f>IF(CustomerHierarchyLevels[[#This Row],[HgLvCust.]]=0,CustomerHierarchyLevels[[#This Row],[Customer]],CustomerHierarchyLevels[[#This Row],[HgLvCust.]])</f>
        <v>2109</v>
      </c>
      <c r="R201" s="30">
        <f>IF(VLOOKUP(CustomerHierarchyLevels[[#This Row],[Level1]],CustomerHierarchyLevels[],7,FALSE)=0,CustomerHierarchyLevels[[#This Row],[Level1]],VLOOKUP(CustomerHierarchyLevels[[#This Row],[Level1]],CustomerHierarchyLevels[],7,FALSE))</f>
        <v>2109</v>
      </c>
      <c r="S201" s="30">
        <f>IF(VLOOKUP(CustomerHierarchyLevels[[#This Row],[Level2]],CustomerHierarchyLevels[],7,FALSE)=0,CustomerHierarchyLevels[[#This Row],[Level2]],VLOOKUP(CustomerHierarchyLevels[[#This Row],[Level2]],CustomerHierarchyLevels[],7,FALSE))</f>
        <v>2109</v>
      </c>
    </row>
    <row r="202" spans="1:19" x14ac:dyDescent="0.25">
      <c r="A202">
        <v>6323</v>
      </c>
      <c r="B202" t="s">
        <v>13</v>
      </c>
      <c r="C202" t="s">
        <v>95</v>
      </c>
      <c r="D202">
        <v>0</v>
      </c>
      <c r="E202">
        <v>39010</v>
      </c>
      <c r="F202">
        <v>2958465</v>
      </c>
      <c r="G202">
        <v>2109</v>
      </c>
      <c r="H202" t="s">
        <v>13</v>
      </c>
      <c r="I202" t="s">
        <v>95</v>
      </c>
      <c r="J202">
        <v>0</v>
      </c>
      <c r="K202">
        <v>0</v>
      </c>
      <c r="L202" t="s">
        <v>1200</v>
      </c>
      <c r="M202" t="s">
        <v>1200</v>
      </c>
      <c r="N202">
        <v>2</v>
      </c>
      <c r="O202" t="s">
        <v>96</v>
      </c>
      <c r="P202" t="s">
        <v>1393</v>
      </c>
      <c r="Q202" s="30">
        <f>IF(CustomerHierarchyLevels[[#This Row],[HgLvCust.]]=0,CustomerHierarchyLevels[[#This Row],[Customer]],CustomerHierarchyLevels[[#This Row],[HgLvCust.]])</f>
        <v>2109</v>
      </c>
      <c r="R202" s="30">
        <f>IF(VLOOKUP(CustomerHierarchyLevels[[#This Row],[Level1]],CustomerHierarchyLevels[],7,FALSE)=0,CustomerHierarchyLevels[[#This Row],[Level1]],VLOOKUP(CustomerHierarchyLevels[[#This Row],[Level1]],CustomerHierarchyLevels[],7,FALSE))</f>
        <v>2109</v>
      </c>
      <c r="S202" s="30">
        <f>IF(VLOOKUP(CustomerHierarchyLevels[[#This Row],[Level2]],CustomerHierarchyLevels[],7,FALSE)=0,CustomerHierarchyLevels[[#This Row],[Level2]],VLOOKUP(CustomerHierarchyLevels[[#This Row],[Level2]],CustomerHierarchyLevels[],7,FALSE))</f>
        <v>2109</v>
      </c>
    </row>
    <row r="203" spans="1:19" x14ac:dyDescent="0.25">
      <c r="A203">
        <v>2126</v>
      </c>
      <c r="B203" t="s">
        <v>13</v>
      </c>
      <c r="C203" t="s">
        <v>95</v>
      </c>
      <c r="D203">
        <v>0</v>
      </c>
      <c r="E203">
        <v>39010</v>
      </c>
      <c r="F203">
        <v>2958465</v>
      </c>
      <c r="G203">
        <v>2125</v>
      </c>
      <c r="H203" t="s">
        <v>13</v>
      </c>
      <c r="I203" t="s">
        <v>95</v>
      </c>
      <c r="J203">
        <v>0</v>
      </c>
      <c r="K203">
        <v>0</v>
      </c>
      <c r="M203" t="s">
        <v>1200</v>
      </c>
      <c r="N203">
        <v>2</v>
      </c>
      <c r="O203" t="s">
        <v>96</v>
      </c>
      <c r="P203" t="s">
        <v>1394</v>
      </c>
      <c r="Q203" s="30">
        <f>IF(CustomerHierarchyLevels[[#This Row],[HgLvCust.]]=0,CustomerHierarchyLevels[[#This Row],[Customer]],CustomerHierarchyLevels[[#This Row],[HgLvCust.]])</f>
        <v>2125</v>
      </c>
      <c r="R203" s="30">
        <f>IF(VLOOKUP(CustomerHierarchyLevels[[#This Row],[Level1]],CustomerHierarchyLevels[],7,FALSE)=0,CustomerHierarchyLevels[[#This Row],[Level1]],VLOOKUP(CustomerHierarchyLevels[[#This Row],[Level1]],CustomerHierarchyLevels[],7,FALSE))</f>
        <v>2125</v>
      </c>
      <c r="S203" s="30">
        <f>IF(VLOOKUP(CustomerHierarchyLevels[[#This Row],[Level2]],CustomerHierarchyLevels[],7,FALSE)=0,CustomerHierarchyLevels[[#This Row],[Level2]],VLOOKUP(CustomerHierarchyLevels[[#This Row],[Level2]],CustomerHierarchyLevels[],7,FALSE))</f>
        <v>2125</v>
      </c>
    </row>
    <row r="204" spans="1:19" x14ac:dyDescent="0.25">
      <c r="A204">
        <v>2158</v>
      </c>
      <c r="B204" t="s">
        <v>13</v>
      </c>
      <c r="C204" t="s">
        <v>95</v>
      </c>
      <c r="D204">
        <v>0</v>
      </c>
      <c r="E204">
        <v>39010</v>
      </c>
      <c r="F204">
        <v>2958465</v>
      </c>
      <c r="G204">
        <v>2157</v>
      </c>
      <c r="H204" t="s">
        <v>13</v>
      </c>
      <c r="I204" t="s">
        <v>95</v>
      </c>
      <c r="J204">
        <v>0</v>
      </c>
      <c r="K204">
        <v>0</v>
      </c>
      <c r="M204" t="s">
        <v>1200</v>
      </c>
      <c r="N204">
        <v>2</v>
      </c>
      <c r="O204" t="s">
        <v>96</v>
      </c>
      <c r="P204" t="s">
        <v>1395</v>
      </c>
      <c r="Q204" s="30">
        <f>IF(CustomerHierarchyLevels[[#This Row],[HgLvCust.]]=0,CustomerHierarchyLevels[[#This Row],[Customer]],CustomerHierarchyLevels[[#This Row],[HgLvCust.]])</f>
        <v>2157</v>
      </c>
      <c r="R204" s="30">
        <f>IF(VLOOKUP(CustomerHierarchyLevels[[#This Row],[Level1]],CustomerHierarchyLevels[],7,FALSE)=0,CustomerHierarchyLevels[[#This Row],[Level1]],VLOOKUP(CustomerHierarchyLevels[[#This Row],[Level1]],CustomerHierarchyLevels[],7,FALSE))</f>
        <v>2157</v>
      </c>
      <c r="S204" s="30">
        <f>IF(VLOOKUP(CustomerHierarchyLevels[[#This Row],[Level2]],CustomerHierarchyLevels[],7,FALSE)=0,CustomerHierarchyLevels[[#This Row],[Level2]],VLOOKUP(CustomerHierarchyLevels[[#This Row],[Level2]],CustomerHierarchyLevels[],7,FALSE))</f>
        <v>2157</v>
      </c>
    </row>
    <row r="205" spans="1:19" x14ac:dyDescent="0.25">
      <c r="A205">
        <v>6334</v>
      </c>
      <c r="B205" t="s">
        <v>13</v>
      </c>
      <c r="C205" t="s">
        <v>95</v>
      </c>
      <c r="D205">
        <v>0</v>
      </c>
      <c r="E205">
        <v>39010</v>
      </c>
      <c r="F205">
        <v>2958465</v>
      </c>
      <c r="G205">
        <v>6333</v>
      </c>
      <c r="H205" t="s">
        <v>13</v>
      </c>
      <c r="I205" t="s">
        <v>95</v>
      </c>
      <c r="J205">
        <v>0</v>
      </c>
      <c r="K205">
        <v>0</v>
      </c>
      <c r="M205" t="s">
        <v>1200</v>
      </c>
      <c r="N205">
        <v>2</v>
      </c>
      <c r="O205" t="s">
        <v>96</v>
      </c>
      <c r="P205" t="s">
        <v>1396</v>
      </c>
      <c r="Q205" s="30">
        <f>IF(CustomerHierarchyLevels[[#This Row],[HgLvCust.]]=0,CustomerHierarchyLevels[[#This Row],[Customer]],CustomerHierarchyLevels[[#This Row],[HgLvCust.]])</f>
        <v>6333</v>
      </c>
      <c r="R205" s="30">
        <f>IF(VLOOKUP(CustomerHierarchyLevels[[#This Row],[Level1]],CustomerHierarchyLevels[],7,FALSE)=0,CustomerHierarchyLevels[[#This Row],[Level1]],VLOOKUP(CustomerHierarchyLevels[[#This Row],[Level1]],CustomerHierarchyLevels[],7,FALSE))</f>
        <v>6333</v>
      </c>
      <c r="S205" s="30">
        <f>IF(VLOOKUP(CustomerHierarchyLevels[[#This Row],[Level2]],CustomerHierarchyLevels[],7,FALSE)=0,CustomerHierarchyLevels[[#This Row],[Level2]],VLOOKUP(CustomerHierarchyLevels[[#This Row],[Level2]],CustomerHierarchyLevels[],7,FALSE))</f>
        <v>6333</v>
      </c>
    </row>
    <row r="206" spans="1:19" x14ac:dyDescent="0.25">
      <c r="A206">
        <v>6333</v>
      </c>
      <c r="B206" t="s">
        <v>13</v>
      </c>
      <c r="C206" t="s">
        <v>95</v>
      </c>
      <c r="D206">
        <v>0</v>
      </c>
      <c r="E206">
        <v>39010</v>
      </c>
      <c r="F206">
        <v>2958465</v>
      </c>
      <c r="K206">
        <v>0</v>
      </c>
      <c r="L206" t="s">
        <v>1200</v>
      </c>
      <c r="M206" t="s">
        <v>1200</v>
      </c>
      <c r="N206">
        <v>0</v>
      </c>
      <c r="O206" t="s">
        <v>96</v>
      </c>
      <c r="P206" t="s">
        <v>1397</v>
      </c>
      <c r="Q206" s="30">
        <f>IF(CustomerHierarchyLevels[[#This Row],[HgLvCust.]]=0,CustomerHierarchyLevels[[#This Row],[Customer]],CustomerHierarchyLevels[[#This Row],[HgLvCust.]])</f>
        <v>6333</v>
      </c>
      <c r="R206" s="30">
        <f>IF(VLOOKUP(CustomerHierarchyLevels[[#This Row],[Level1]],CustomerHierarchyLevels[],7,FALSE)=0,CustomerHierarchyLevels[[#This Row],[Level1]],VLOOKUP(CustomerHierarchyLevels[[#This Row],[Level1]],CustomerHierarchyLevels[],7,FALSE))</f>
        <v>6333</v>
      </c>
      <c r="S206" s="30">
        <f>IF(VLOOKUP(CustomerHierarchyLevels[[#This Row],[Level2]],CustomerHierarchyLevels[],7,FALSE)=0,CustomerHierarchyLevels[[#This Row],[Level2]],VLOOKUP(CustomerHierarchyLevels[[#This Row],[Level2]],CustomerHierarchyLevels[],7,FALSE))</f>
        <v>6333</v>
      </c>
    </row>
    <row r="207" spans="1:19" x14ac:dyDescent="0.25">
      <c r="A207">
        <v>6702</v>
      </c>
      <c r="B207" t="s">
        <v>13</v>
      </c>
      <c r="C207" t="s">
        <v>95</v>
      </c>
      <c r="D207">
        <v>0</v>
      </c>
      <c r="E207">
        <v>39010</v>
      </c>
      <c r="F207">
        <v>2958465</v>
      </c>
      <c r="G207">
        <v>6701</v>
      </c>
      <c r="H207" t="s">
        <v>13</v>
      </c>
      <c r="I207" t="s">
        <v>95</v>
      </c>
      <c r="J207">
        <v>0</v>
      </c>
      <c r="K207">
        <v>0</v>
      </c>
      <c r="L207" t="s">
        <v>1200</v>
      </c>
      <c r="M207" t="s">
        <v>1200</v>
      </c>
      <c r="N207">
        <v>0</v>
      </c>
      <c r="O207" t="s">
        <v>96</v>
      </c>
      <c r="P207" t="s">
        <v>1398</v>
      </c>
      <c r="Q207" s="30">
        <f>IF(CustomerHierarchyLevels[[#This Row],[HgLvCust.]]=0,CustomerHierarchyLevels[[#This Row],[Customer]],CustomerHierarchyLevels[[#This Row],[HgLvCust.]])</f>
        <v>6701</v>
      </c>
      <c r="R207" s="30">
        <f>IF(VLOOKUP(CustomerHierarchyLevels[[#This Row],[Level1]],CustomerHierarchyLevels[],7,FALSE)=0,CustomerHierarchyLevels[[#This Row],[Level1]],VLOOKUP(CustomerHierarchyLevels[[#This Row],[Level1]],CustomerHierarchyLevels[],7,FALSE))</f>
        <v>6700</v>
      </c>
      <c r="S207" s="30">
        <f>IF(VLOOKUP(CustomerHierarchyLevels[[#This Row],[Level2]],CustomerHierarchyLevels[],7,FALSE)=0,CustomerHierarchyLevels[[#This Row],[Level2]],VLOOKUP(CustomerHierarchyLevels[[#This Row],[Level2]],CustomerHierarchyLevels[],7,FALSE))</f>
        <v>6700</v>
      </c>
    </row>
    <row r="208" spans="1:19" x14ac:dyDescent="0.25">
      <c r="A208">
        <v>6704</v>
      </c>
      <c r="B208" t="s">
        <v>13</v>
      </c>
      <c r="C208" t="s">
        <v>95</v>
      </c>
      <c r="D208">
        <v>0</v>
      </c>
      <c r="E208">
        <v>39010</v>
      </c>
      <c r="F208">
        <v>2958465</v>
      </c>
      <c r="G208">
        <v>6701</v>
      </c>
      <c r="H208" t="s">
        <v>13</v>
      </c>
      <c r="I208" t="s">
        <v>95</v>
      </c>
      <c r="J208">
        <v>0</v>
      </c>
      <c r="K208">
        <v>0</v>
      </c>
      <c r="L208" t="s">
        <v>1200</v>
      </c>
      <c r="M208" t="s">
        <v>1200</v>
      </c>
      <c r="N208">
        <v>3</v>
      </c>
      <c r="O208" t="s">
        <v>96</v>
      </c>
      <c r="P208" t="s">
        <v>1399</v>
      </c>
      <c r="Q208" s="30">
        <f>IF(CustomerHierarchyLevels[[#This Row],[HgLvCust.]]=0,CustomerHierarchyLevels[[#This Row],[Customer]],CustomerHierarchyLevels[[#This Row],[HgLvCust.]])</f>
        <v>6701</v>
      </c>
      <c r="R208" s="30">
        <f>IF(VLOOKUP(CustomerHierarchyLevels[[#This Row],[Level1]],CustomerHierarchyLevels[],7,FALSE)=0,CustomerHierarchyLevels[[#This Row],[Level1]],VLOOKUP(CustomerHierarchyLevels[[#This Row],[Level1]],CustomerHierarchyLevels[],7,FALSE))</f>
        <v>6700</v>
      </c>
      <c r="S208" s="30">
        <f>IF(VLOOKUP(CustomerHierarchyLevels[[#This Row],[Level2]],CustomerHierarchyLevels[],7,FALSE)=0,CustomerHierarchyLevels[[#This Row],[Level2]],VLOOKUP(CustomerHierarchyLevels[[#This Row],[Level2]],CustomerHierarchyLevels[],7,FALSE))</f>
        <v>6700</v>
      </c>
    </row>
    <row r="209" spans="1:19" x14ac:dyDescent="0.25">
      <c r="A209">
        <v>6533</v>
      </c>
      <c r="B209" t="s">
        <v>13</v>
      </c>
      <c r="C209" t="s">
        <v>95</v>
      </c>
      <c r="D209">
        <v>0</v>
      </c>
      <c r="E209">
        <v>39010</v>
      </c>
      <c r="F209">
        <v>2958465</v>
      </c>
      <c r="G209">
        <v>6532</v>
      </c>
      <c r="H209" t="s">
        <v>13</v>
      </c>
      <c r="I209" t="s">
        <v>95</v>
      </c>
      <c r="J209">
        <v>0</v>
      </c>
      <c r="K209">
        <v>0</v>
      </c>
      <c r="L209" t="s">
        <v>1200</v>
      </c>
      <c r="M209" t="s">
        <v>1200</v>
      </c>
      <c r="N209">
        <v>0</v>
      </c>
      <c r="O209" t="s">
        <v>96</v>
      </c>
      <c r="P209" t="s">
        <v>1400</v>
      </c>
      <c r="Q209" s="30">
        <f>IF(CustomerHierarchyLevels[[#This Row],[HgLvCust.]]=0,CustomerHierarchyLevels[[#This Row],[Customer]],CustomerHierarchyLevels[[#This Row],[HgLvCust.]])</f>
        <v>6532</v>
      </c>
      <c r="R209" s="30">
        <f>IF(VLOOKUP(CustomerHierarchyLevels[[#This Row],[Level1]],CustomerHierarchyLevels[],7,FALSE)=0,CustomerHierarchyLevels[[#This Row],[Level1]],VLOOKUP(CustomerHierarchyLevels[[#This Row],[Level1]],CustomerHierarchyLevels[],7,FALSE))</f>
        <v>6705</v>
      </c>
      <c r="S209" s="30">
        <f>IF(VLOOKUP(CustomerHierarchyLevels[[#This Row],[Level2]],CustomerHierarchyLevels[],7,FALSE)=0,CustomerHierarchyLevels[[#This Row],[Level2]],VLOOKUP(CustomerHierarchyLevels[[#This Row],[Level2]],CustomerHierarchyLevels[],7,FALSE))</f>
        <v>6705</v>
      </c>
    </row>
    <row r="210" spans="1:19" x14ac:dyDescent="0.25">
      <c r="A210">
        <v>6534</v>
      </c>
      <c r="B210" t="s">
        <v>13</v>
      </c>
      <c r="C210" t="s">
        <v>95</v>
      </c>
      <c r="D210">
        <v>0</v>
      </c>
      <c r="E210">
        <v>39010</v>
      </c>
      <c r="F210">
        <v>2958465</v>
      </c>
      <c r="G210">
        <v>6532</v>
      </c>
      <c r="H210" t="s">
        <v>13</v>
      </c>
      <c r="I210" t="s">
        <v>95</v>
      </c>
      <c r="J210">
        <v>0</v>
      </c>
      <c r="K210">
        <v>0</v>
      </c>
      <c r="L210" t="s">
        <v>1200</v>
      </c>
      <c r="M210" t="s">
        <v>1200</v>
      </c>
      <c r="N210">
        <v>0</v>
      </c>
      <c r="O210" t="s">
        <v>96</v>
      </c>
      <c r="P210" t="s">
        <v>1401</v>
      </c>
      <c r="Q210" s="30">
        <f>IF(CustomerHierarchyLevels[[#This Row],[HgLvCust.]]=0,CustomerHierarchyLevels[[#This Row],[Customer]],CustomerHierarchyLevels[[#This Row],[HgLvCust.]])</f>
        <v>6532</v>
      </c>
      <c r="R210" s="30">
        <f>IF(VLOOKUP(CustomerHierarchyLevels[[#This Row],[Level1]],CustomerHierarchyLevels[],7,FALSE)=0,CustomerHierarchyLevels[[#This Row],[Level1]],VLOOKUP(CustomerHierarchyLevels[[#This Row],[Level1]],CustomerHierarchyLevels[],7,FALSE))</f>
        <v>6705</v>
      </c>
      <c r="S210" s="30">
        <f>IF(VLOOKUP(CustomerHierarchyLevels[[#This Row],[Level2]],CustomerHierarchyLevels[],7,FALSE)=0,CustomerHierarchyLevels[[#This Row],[Level2]],VLOOKUP(CustomerHierarchyLevels[[#This Row],[Level2]],CustomerHierarchyLevels[],7,FALSE))</f>
        <v>6705</v>
      </c>
    </row>
    <row r="211" spans="1:19" x14ac:dyDescent="0.25">
      <c r="A211">
        <v>6307</v>
      </c>
      <c r="B211" t="s">
        <v>13</v>
      </c>
      <c r="C211" t="s">
        <v>95</v>
      </c>
      <c r="D211">
        <v>0</v>
      </c>
      <c r="E211">
        <v>39010</v>
      </c>
      <c r="F211">
        <v>2958465</v>
      </c>
      <c r="G211">
        <v>6306</v>
      </c>
      <c r="H211" t="s">
        <v>13</v>
      </c>
      <c r="I211" t="s">
        <v>95</v>
      </c>
      <c r="J211">
        <v>0</v>
      </c>
      <c r="K211">
        <v>0</v>
      </c>
      <c r="L211" t="s">
        <v>1200</v>
      </c>
      <c r="M211" t="s">
        <v>1200</v>
      </c>
      <c r="N211">
        <v>0</v>
      </c>
      <c r="O211" t="s">
        <v>96</v>
      </c>
      <c r="P211" t="s">
        <v>1402</v>
      </c>
      <c r="Q211" s="30">
        <f>IF(CustomerHierarchyLevels[[#This Row],[HgLvCust.]]=0,CustomerHierarchyLevels[[#This Row],[Customer]],CustomerHierarchyLevels[[#This Row],[HgLvCust.]])</f>
        <v>6306</v>
      </c>
      <c r="R211" s="30">
        <f>IF(VLOOKUP(CustomerHierarchyLevels[[#This Row],[Level1]],CustomerHierarchyLevels[],7,FALSE)=0,CustomerHierarchyLevels[[#This Row],[Level1]],VLOOKUP(CustomerHierarchyLevels[[#This Row],[Level1]],CustomerHierarchyLevels[],7,FALSE))</f>
        <v>6305</v>
      </c>
      <c r="S211" s="30">
        <f>IF(VLOOKUP(CustomerHierarchyLevels[[#This Row],[Level2]],CustomerHierarchyLevels[],7,FALSE)=0,CustomerHierarchyLevels[[#This Row],[Level2]],VLOOKUP(CustomerHierarchyLevels[[#This Row],[Level2]],CustomerHierarchyLevels[],7,FALSE))</f>
        <v>6305</v>
      </c>
    </row>
    <row r="212" spans="1:19" x14ac:dyDescent="0.25">
      <c r="A212">
        <v>6308</v>
      </c>
      <c r="B212" t="s">
        <v>13</v>
      </c>
      <c r="C212" t="s">
        <v>95</v>
      </c>
      <c r="D212">
        <v>0</v>
      </c>
      <c r="E212">
        <v>39010</v>
      </c>
      <c r="F212">
        <v>2958465</v>
      </c>
      <c r="G212">
        <v>6306</v>
      </c>
      <c r="H212" t="s">
        <v>13</v>
      </c>
      <c r="I212" t="s">
        <v>95</v>
      </c>
      <c r="J212">
        <v>0</v>
      </c>
      <c r="K212">
        <v>0</v>
      </c>
      <c r="L212" t="s">
        <v>1200</v>
      </c>
      <c r="M212" t="s">
        <v>1200</v>
      </c>
      <c r="N212">
        <v>0</v>
      </c>
      <c r="O212" t="s">
        <v>96</v>
      </c>
      <c r="P212" t="s">
        <v>1403</v>
      </c>
      <c r="Q212" s="30">
        <f>IF(CustomerHierarchyLevels[[#This Row],[HgLvCust.]]=0,CustomerHierarchyLevels[[#This Row],[Customer]],CustomerHierarchyLevels[[#This Row],[HgLvCust.]])</f>
        <v>6306</v>
      </c>
      <c r="R212" s="30">
        <f>IF(VLOOKUP(CustomerHierarchyLevels[[#This Row],[Level1]],CustomerHierarchyLevels[],7,FALSE)=0,CustomerHierarchyLevels[[#This Row],[Level1]],VLOOKUP(CustomerHierarchyLevels[[#This Row],[Level1]],CustomerHierarchyLevels[],7,FALSE))</f>
        <v>6305</v>
      </c>
      <c r="S212" s="30">
        <f>IF(VLOOKUP(CustomerHierarchyLevels[[#This Row],[Level2]],CustomerHierarchyLevels[],7,FALSE)=0,CustomerHierarchyLevels[[#This Row],[Level2]],VLOOKUP(CustomerHierarchyLevels[[#This Row],[Level2]],CustomerHierarchyLevels[],7,FALSE))</f>
        <v>6305</v>
      </c>
    </row>
    <row r="213" spans="1:19" x14ac:dyDescent="0.25">
      <c r="A213">
        <v>6311</v>
      </c>
      <c r="B213" t="s">
        <v>13</v>
      </c>
      <c r="C213" t="s">
        <v>95</v>
      </c>
      <c r="D213">
        <v>0</v>
      </c>
      <c r="E213">
        <v>39010</v>
      </c>
      <c r="F213">
        <v>2958465</v>
      </c>
      <c r="G213">
        <v>6310</v>
      </c>
      <c r="H213" t="s">
        <v>13</v>
      </c>
      <c r="I213" t="s">
        <v>95</v>
      </c>
      <c r="J213">
        <v>0</v>
      </c>
      <c r="K213">
        <v>0</v>
      </c>
      <c r="L213" t="s">
        <v>1200</v>
      </c>
      <c r="M213" t="s">
        <v>1200</v>
      </c>
      <c r="N213">
        <v>3</v>
      </c>
      <c r="O213" t="s">
        <v>96</v>
      </c>
      <c r="P213" t="s">
        <v>1404</v>
      </c>
      <c r="Q213" s="30">
        <f>IF(CustomerHierarchyLevels[[#This Row],[HgLvCust.]]=0,CustomerHierarchyLevels[[#This Row],[Customer]],CustomerHierarchyLevels[[#This Row],[HgLvCust.]])</f>
        <v>6310</v>
      </c>
      <c r="R213" s="30">
        <f>IF(VLOOKUP(CustomerHierarchyLevels[[#This Row],[Level1]],CustomerHierarchyLevels[],7,FALSE)=0,CustomerHierarchyLevels[[#This Row],[Level1]],VLOOKUP(CustomerHierarchyLevels[[#This Row],[Level1]],CustomerHierarchyLevels[],7,FALSE))</f>
        <v>6309</v>
      </c>
      <c r="S213" s="30">
        <f>IF(VLOOKUP(CustomerHierarchyLevels[[#This Row],[Level2]],CustomerHierarchyLevels[],7,FALSE)=0,CustomerHierarchyLevels[[#This Row],[Level2]],VLOOKUP(CustomerHierarchyLevels[[#This Row],[Level2]],CustomerHierarchyLevels[],7,FALSE))</f>
        <v>6309</v>
      </c>
    </row>
    <row r="214" spans="1:19" x14ac:dyDescent="0.25">
      <c r="A214">
        <v>6312</v>
      </c>
      <c r="B214" t="s">
        <v>13</v>
      </c>
      <c r="C214" t="s">
        <v>95</v>
      </c>
      <c r="D214">
        <v>0</v>
      </c>
      <c r="E214">
        <v>39010</v>
      </c>
      <c r="F214">
        <v>2958465</v>
      </c>
      <c r="G214">
        <v>6310</v>
      </c>
      <c r="H214" t="s">
        <v>13</v>
      </c>
      <c r="I214" t="s">
        <v>95</v>
      </c>
      <c r="J214">
        <v>0</v>
      </c>
      <c r="K214">
        <v>0</v>
      </c>
      <c r="L214" t="s">
        <v>1200</v>
      </c>
      <c r="M214" t="s">
        <v>1200</v>
      </c>
      <c r="N214">
        <v>3</v>
      </c>
      <c r="O214" t="s">
        <v>96</v>
      </c>
      <c r="P214" t="s">
        <v>1405</v>
      </c>
      <c r="Q214" s="30">
        <f>IF(CustomerHierarchyLevels[[#This Row],[HgLvCust.]]=0,CustomerHierarchyLevels[[#This Row],[Customer]],CustomerHierarchyLevels[[#This Row],[HgLvCust.]])</f>
        <v>6310</v>
      </c>
      <c r="R214" s="30">
        <f>IF(VLOOKUP(CustomerHierarchyLevels[[#This Row],[Level1]],CustomerHierarchyLevels[],7,FALSE)=0,CustomerHierarchyLevels[[#This Row],[Level1]],VLOOKUP(CustomerHierarchyLevels[[#This Row],[Level1]],CustomerHierarchyLevels[],7,FALSE))</f>
        <v>6309</v>
      </c>
      <c r="S214" s="30">
        <f>IF(VLOOKUP(CustomerHierarchyLevels[[#This Row],[Level2]],CustomerHierarchyLevels[],7,FALSE)=0,CustomerHierarchyLevels[[#This Row],[Level2]],VLOOKUP(CustomerHierarchyLevels[[#This Row],[Level2]],CustomerHierarchyLevels[],7,FALSE))</f>
        <v>6309</v>
      </c>
    </row>
    <row r="215" spans="1:19" x14ac:dyDescent="0.25">
      <c r="A215">
        <v>6315</v>
      </c>
      <c r="B215" t="s">
        <v>13</v>
      </c>
      <c r="C215" t="s">
        <v>95</v>
      </c>
      <c r="D215">
        <v>0</v>
      </c>
      <c r="E215">
        <v>39010</v>
      </c>
      <c r="F215">
        <v>2958465</v>
      </c>
      <c r="G215">
        <v>6314</v>
      </c>
      <c r="H215" t="s">
        <v>13</v>
      </c>
      <c r="I215" t="s">
        <v>95</v>
      </c>
      <c r="J215">
        <v>0</v>
      </c>
      <c r="K215">
        <v>0</v>
      </c>
      <c r="L215" t="s">
        <v>1200</v>
      </c>
      <c r="M215" t="s">
        <v>1200</v>
      </c>
      <c r="N215">
        <v>0</v>
      </c>
      <c r="O215" t="s">
        <v>96</v>
      </c>
      <c r="P215" t="s">
        <v>1406</v>
      </c>
      <c r="Q215" s="30">
        <f>IF(CustomerHierarchyLevels[[#This Row],[HgLvCust.]]=0,CustomerHierarchyLevels[[#This Row],[Customer]],CustomerHierarchyLevels[[#This Row],[HgLvCust.]])</f>
        <v>6314</v>
      </c>
      <c r="R215" s="30">
        <f>IF(VLOOKUP(CustomerHierarchyLevels[[#This Row],[Level1]],CustomerHierarchyLevels[],7,FALSE)=0,CustomerHierarchyLevels[[#This Row],[Level1]],VLOOKUP(CustomerHierarchyLevels[[#This Row],[Level1]],CustomerHierarchyLevels[],7,FALSE))</f>
        <v>6313</v>
      </c>
      <c r="S215" s="30">
        <f>IF(VLOOKUP(CustomerHierarchyLevels[[#This Row],[Level2]],CustomerHierarchyLevels[],7,FALSE)=0,CustomerHierarchyLevels[[#This Row],[Level2]],VLOOKUP(CustomerHierarchyLevels[[#This Row],[Level2]],CustomerHierarchyLevels[],7,FALSE))</f>
        <v>6313</v>
      </c>
    </row>
    <row r="216" spans="1:19" x14ac:dyDescent="0.25">
      <c r="A216">
        <v>6316</v>
      </c>
      <c r="B216" t="s">
        <v>13</v>
      </c>
      <c r="C216" t="s">
        <v>95</v>
      </c>
      <c r="D216">
        <v>0</v>
      </c>
      <c r="E216">
        <v>39010</v>
      </c>
      <c r="F216">
        <v>2958465</v>
      </c>
      <c r="G216">
        <v>6314</v>
      </c>
      <c r="H216" t="s">
        <v>13</v>
      </c>
      <c r="I216" t="s">
        <v>95</v>
      </c>
      <c r="J216">
        <v>0</v>
      </c>
      <c r="K216">
        <v>0</v>
      </c>
      <c r="L216" t="s">
        <v>1200</v>
      </c>
      <c r="M216" t="s">
        <v>1200</v>
      </c>
      <c r="N216">
        <v>0</v>
      </c>
      <c r="O216" t="s">
        <v>96</v>
      </c>
      <c r="P216" t="s">
        <v>1407</v>
      </c>
      <c r="Q216" s="30">
        <f>IF(CustomerHierarchyLevels[[#This Row],[HgLvCust.]]=0,CustomerHierarchyLevels[[#This Row],[Customer]],CustomerHierarchyLevels[[#This Row],[HgLvCust.]])</f>
        <v>6314</v>
      </c>
      <c r="R216" s="30">
        <f>IF(VLOOKUP(CustomerHierarchyLevels[[#This Row],[Level1]],CustomerHierarchyLevels[],7,FALSE)=0,CustomerHierarchyLevels[[#This Row],[Level1]],VLOOKUP(CustomerHierarchyLevels[[#This Row],[Level1]],CustomerHierarchyLevels[],7,FALSE))</f>
        <v>6313</v>
      </c>
      <c r="S216" s="30">
        <f>IF(VLOOKUP(CustomerHierarchyLevels[[#This Row],[Level2]],CustomerHierarchyLevels[],7,FALSE)=0,CustomerHierarchyLevels[[#This Row],[Level2]],VLOOKUP(CustomerHierarchyLevels[[#This Row],[Level2]],CustomerHierarchyLevels[],7,FALSE))</f>
        <v>6313</v>
      </c>
    </row>
    <row r="217" spans="1:19" x14ac:dyDescent="0.25">
      <c r="A217">
        <v>6317</v>
      </c>
      <c r="B217" t="s">
        <v>13</v>
      </c>
      <c r="C217" t="s">
        <v>95</v>
      </c>
      <c r="D217">
        <v>0</v>
      </c>
      <c r="E217">
        <v>39010</v>
      </c>
      <c r="F217">
        <v>2958465</v>
      </c>
      <c r="G217">
        <v>2102</v>
      </c>
      <c r="H217" t="s">
        <v>13</v>
      </c>
      <c r="I217" t="s">
        <v>95</v>
      </c>
      <c r="J217">
        <v>0</v>
      </c>
      <c r="K217">
        <v>0</v>
      </c>
      <c r="L217" t="s">
        <v>1200</v>
      </c>
      <c r="M217" t="s">
        <v>1200</v>
      </c>
      <c r="N217">
        <v>0</v>
      </c>
      <c r="O217" t="s">
        <v>96</v>
      </c>
      <c r="P217" t="s">
        <v>1408</v>
      </c>
      <c r="Q217" s="30">
        <f>IF(CustomerHierarchyLevels[[#This Row],[HgLvCust.]]=0,CustomerHierarchyLevels[[#This Row],[Customer]],CustomerHierarchyLevels[[#This Row],[HgLvCust.]])</f>
        <v>2102</v>
      </c>
      <c r="R217" s="30">
        <f>IF(VLOOKUP(CustomerHierarchyLevels[[#This Row],[Level1]],CustomerHierarchyLevels[],7,FALSE)=0,CustomerHierarchyLevels[[#This Row],[Level1]],VLOOKUP(CustomerHierarchyLevels[[#This Row],[Level1]],CustomerHierarchyLevels[],7,FALSE))</f>
        <v>2101</v>
      </c>
      <c r="S217" s="30">
        <f>IF(VLOOKUP(CustomerHierarchyLevels[[#This Row],[Level2]],CustomerHierarchyLevels[],7,FALSE)=0,CustomerHierarchyLevels[[#This Row],[Level2]],VLOOKUP(CustomerHierarchyLevels[[#This Row],[Level2]],CustomerHierarchyLevels[],7,FALSE))</f>
        <v>2101</v>
      </c>
    </row>
    <row r="218" spans="1:19" x14ac:dyDescent="0.25">
      <c r="A218">
        <v>6318</v>
      </c>
      <c r="B218" t="s">
        <v>13</v>
      </c>
      <c r="C218" t="s">
        <v>95</v>
      </c>
      <c r="D218">
        <v>0</v>
      </c>
      <c r="E218">
        <v>39010</v>
      </c>
      <c r="F218">
        <v>2958465</v>
      </c>
      <c r="G218">
        <v>2102</v>
      </c>
      <c r="H218" t="s">
        <v>13</v>
      </c>
      <c r="I218" t="s">
        <v>95</v>
      </c>
      <c r="J218">
        <v>0</v>
      </c>
      <c r="K218">
        <v>0</v>
      </c>
      <c r="L218" t="s">
        <v>1200</v>
      </c>
      <c r="M218" t="s">
        <v>1200</v>
      </c>
      <c r="N218">
        <v>0</v>
      </c>
      <c r="O218" t="s">
        <v>96</v>
      </c>
      <c r="P218" t="s">
        <v>1409</v>
      </c>
      <c r="Q218" s="30">
        <f>IF(CustomerHierarchyLevels[[#This Row],[HgLvCust.]]=0,CustomerHierarchyLevels[[#This Row],[Customer]],CustomerHierarchyLevels[[#This Row],[HgLvCust.]])</f>
        <v>2102</v>
      </c>
      <c r="R218" s="30">
        <f>IF(VLOOKUP(CustomerHierarchyLevels[[#This Row],[Level1]],CustomerHierarchyLevels[],7,FALSE)=0,CustomerHierarchyLevels[[#This Row],[Level1]],VLOOKUP(CustomerHierarchyLevels[[#This Row],[Level1]],CustomerHierarchyLevels[],7,FALSE))</f>
        <v>2101</v>
      </c>
      <c r="S218" s="30">
        <f>IF(VLOOKUP(CustomerHierarchyLevels[[#This Row],[Level2]],CustomerHierarchyLevels[],7,FALSE)=0,CustomerHierarchyLevels[[#This Row],[Level2]],VLOOKUP(CustomerHierarchyLevels[[#This Row],[Level2]],CustomerHierarchyLevels[],7,FALSE))</f>
        <v>2101</v>
      </c>
    </row>
    <row r="219" spans="1:19" x14ac:dyDescent="0.25">
      <c r="A219">
        <v>6319</v>
      </c>
      <c r="B219" t="s">
        <v>13</v>
      </c>
      <c r="C219" t="s">
        <v>95</v>
      </c>
      <c r="D219">
        <v>0</v>
      </c>
      <c r="E219">
        <v>39010</v>
      </c>
      <c r="F219">
        <v>2958465</v>
      </c>
      <c r="G219">
        <v>2102</v>
      </c>
      <c r="H219" t="s">
        <v>13</v>
      </c>
      <c r="I219" t="s">
        <v>95</v>
      </c>
      <c r="J219">
        <v>0</v>
      </c>
      <c r="K219">
        <v>0</v>
      </c>
      <c r="L219" t="s">
        <v>1200</v>
      </c>
      <c r="M219" t="s">
        <v>1200</v>
      </c>
      <c r="N219">
        <v>0</v>
      </c>
      <c r="O219" t="s">
        <v>96</v>
      </c>
      <c r="P219" t="s">
        <v>1410</v>
      </c>
      <c r="Q219" s="30">
        <f>IF(CustomerHierarchyLevels[[#This Row],[HgLvCust.]]=0,CustomerHierarchyLevels[[#This Row],[Customer]],CustomerHierarchyLevels[[#This Row],[HgLvCust.]])</f>
        <v>2102</v>
      </c>
      <c r="R219" s="30">
        <f>IF(VLOOKUP(CustomerHierarchyLevels[[#This Row],[Level1]],CustomerHierarchyLevels[],7,FALSE)=0,CustomerHierarchyLevels[[#This Row],[Level1]],VLOOKUP(CustomerHierarchyLevels[[#This Row],[Level1]],CustomerHierarchyLevels[],7,FALSE))</f>
        <v>2101</v>
      </c>
      <c r="S219" s="30">
        <f>IF(VLOOKUP(CustomerHierarchyLevels[[#This Row],[Level2]],CustomerHierarchyLevels[],7,FALSE)=0,CustomerHierarchyLevels[[#This Row],[Level2]],VLOOKUP(CustomerHierarchyLevels[[#This Row],[Level2]],CustomerHierarchyLevels[],7,FALSE))</f>
        <v>2101</v>
      </c>
    </row>
    <row r="220" spans="1:19" x14ac:dyDescent="0.25">
      <c r="A220">
        <v>6320</v>
      </c>
      <c r="B220" t="s">
        <v>13</v>
      </c>
      <c r="C220" t="s">
        <v>95</v>
      </c>
      <c r="D220">
        <v>0</v>
      </c>
      <c r="E220">
        <v>39010</v>
      </c>
      <c r="F220">
        <v>2958465</v>
      </c>
      <c r="G220">
        <v>2110</v>
      </c>
      <c r="H220" t="s">
        <v>13</v>
      </c>
      <c r="I220" t="s">
        <v>95</v>
      </c>
      <c r="J220">
        <v>0</v>
      </c>
      <c r="K220">
        <v>0</v>
      </c>
      <c r="L220" t="s">
        <v>1200</v>
      </c>
      <c r="M220" t="s">
        <v>1200</v>
      </c>
      <c r="N220">
        <v>0</v>
      </c>
      <c r="O220" t="s">
        <v>96</v>
      </c>
      <c r="P220" t="s">
        <v>1411</v>
      </c>
      <c r="Q220" s="30">
        <f>IF(CustomerHierarchyLevels[[#This Row],[HgLvCust.]]=0,CustomerHierarchyLevels[[#This Row],[Customer]],CustomerHierarchyLevels[[#This Row],[HgLvCust.]])</f>
        <v>2110</v>
      </c>
      <c r="R220" s="30">
        <f>IF(VLOOKUP(CustomerHierarchyLevels[[#This Row],[Level1]],CustomerHierarchyLevels[],7,FALSE)=0,CustomerHierarchyLevels[[#This Row],[Level1]],VLOOKUP(CustomerHierarchyLevels[[#This Row],[Level1]],CustomerHierarchyLevels[],7,FALSE))</f>
        <v>2109</v>
      </c>
      <c r="S220" s="30">
        <f>IF(VLOOKUP(CustomerHierarchyLevels[[#This Row],[Level2]],CustomerHierarchyLevels[],7,FALSE)=0,CustomerHierarchyLevels[[#This Row],[Level2]],VLOOKUP(CustomerHierarchyLevels[[#This Row],[Level2]],CustomerHierarchyLevels[],7,FALSE))</f>
        <v>2109</v>
      </c>
    </row>
    <row r="221" spans="1:19" x14ac:dyDescent="0.25">
      <c r="A221">
        <v>6321</v>
      </c>
      <c r="B221" t="s">
        <v>13</v>
      </c>
      <c r="C221" t="s">
        <v>95</v>
      </c>
      <c r="D221">
        <v>0</v>
      </c>
      <c r="E221">
        <v>39010</v>
      </c>
      <c r="F221">
        <v>2958465</v>
      </c>
      <c r="G221">
        <v>2110</v>
      </c>
      <c r="H221" t="s">
        <v>13</v>
      </c>
      <c r="I221" t="s">
        <v>95</v>
      </c>
      <c r="J221">
        <v>0</v>
      </c>
      <c r="K221">
        <v>0</v>
      </c>
      <c r="L221" t="s">
        <v>1200</v>
      </c>
      <c r="M221" t="s">
        <v>1200</v>
      </c>
      <c r="N221">
        <v>0</v>
      </c>
      <c r="O221" t="s">
        <v>96</v>
      </c>
      <c r="P221" t="s">
        <v>1412</v>
      </c>
      <c r="Q221" s="30">
        <f>IF(CustomerHierarchyLevels[[#This Row],[HgLvCust.]]=0,CustomerHierarchyLevels[[#This Row],[Customer]],CustomerHierarchyLevels[[#This Row],[HgLvCust.]])</f>
        <v>2110</v>
      </c>
      <c r="R221" s="30">
        <f>IF(VLOOKUP(CustomerHierarchyLevels[[#This Row],[Level1]],CustomerHierarchyLevels[],7,FALSE)=0,CustomerHierarchyLevels[[#This Row],[Level1]],VLOOKUP(CustomerHierarchyLevels[[#This Row],[Level1]],CustomerHierarchyLevels[],7,FALSE))</f>
        <v>2109</v>
      </c>
      <c r="S221" s="30">
        <f>IF(VLOOKUP(CustomerHierarchyLevels[[#This Row],[Level2]],CustomerHierarchyLevels[],7,FALSE)=0,CustomerHierarchyLevels[[#This Row],[Level2]],VLOOKUP(CustomerHierarchyLevels[[#This Row],[Level2]],CustomerHierarchyLevels[],7,FALSE))</f>
        <v>2109</v>
      </c>
    </row>
    <row r="222" spans="1:19" x14ac:dyDescent="0.25">
      <c r="A222">
        <v>6322</v>
      </c>
      <c r="B222" t="s">
        <v>13</v>
      </c>
      <c r="C222" t="s">
        <v>95</v>
      </c>
      <c r="D222">
        <v>0</v>
      </c>
      <c r="E222">
        <v>39010</v>
      </c>
      <c r="F222">
        <v>2958465</v>
      </c>
      <c r="G222">
        <v>2110</v>
      </c>
      <c r="H222" t="s">
        <v>13</v>
      </c>
      <c r="I222" t="s">
        <v>95</v>
      </c>
      <c r="J222">
        <v>0</v>
      </c>
      <c r="K222">
        <v>0</v>
      </c>
      <c r="L222" t="s">
        <v>1200</v>
      </c>
      <c r="M222" t="s">
        <v>1200</v>
      </c>
      <c r="N222">
        <v>0</v>
      </c>
      <c r="O222" t="s">
        <v>96</v>
      </c>
      <c r="P222" t="s">
        <v>1413</v>
      </c>
      <c r="Q222" s="30">
        <f>IF(CustomerHierarchyLevels[[#This Row],[HgLvCust.]]=0,CustomerHierarchyLevels[[#This Row],[Customer]],CustomerHierarchyLevels[[#This Row],[HgLvCust.]])</f>
        <v>2110</v>
      </c>
      <c r="R222" s="30">
        <f>IF(VLOOKUP(CustomerHierarchyLevels[[#This Row],[Level1]],CustomerHierarchyLevels[],7,FALSE)=0,CustomerHierarchyLevels[[#This Row],[Level1]],VLOOKUP(CustomerHierarchyLevels[[#This Row],[Level1]],CustomerHierarchyLevels[],7,FALSE))</f>
        <v>2109</v>
      </c>
      <c r="S222" s="30">
        <f>IF(VLOOKUP(CustomerHierarchyLevels[[#This Row],[Level2]],CustomerHierarchyLevels[],7,FALSE)=0,CustomerHierarchyLevels[[#This Row],[Level2]],VLOOKUP(CustomerHierarchyLevels[[#This Row],[Level2]],CustomerHierarchyLevels[],7,FALSE))</f>
        <v>2109</v>
      </c>
    </row>
    <row r="223" spans="1:19" x14ac:dyDescent="0.25">
      <c r="A223">
        <v>6324</v>
      </c>
      <c r="B223" t="s">
        <v>13</v>
      </c>
      <c r="C223" t="s">
        <v>95</v>
      </c>
      <c r="D223">
        <v>0</v>
      </c>
      <c r="E223">
        <v>39010</v>
      </c>
      <c r="F223">
        <v>2958465</v>
      </c>
      <c r="G223">
        <v>6323</v>
      </c>
      <c r="H223" t="s">
        <v>13</v>
      </c>
      <c r="I223" t="s">
        <v>95</v>
      </c>
      <c r="J223">
        <v>0</v>
      </c>
      <c r="K223">
        <v>0</v>
      </c>
      <c r="L223" t="s">
        <v>1200</v>
      </c>
      <c r="M223" t="s">
        <v>1200</v>
      </c>
      <c r="N223">
        <v>0</v>
      </c>
      <c r="O223" t="s">
        <v>96</v>
      </c>
      <c r="P223" t="s">
        <v>1414</v>
      </c>
      <c r="Q223" s="30">
        <f>IF(CustomerHierarchyLevels[[#This Row],[HgLvCust.]]=0,CustomerHierarchyLevels[[#This Row],[Customer]],CustomerHierarchyLevels[[#This Row],[HgLvCust.]])</f>
        <v>6323</v>
      </c>
      <c r="R223" s="30">
        <f>IF(VLOOKUP(CustomerHierarchyLevels[[#This Row],[Level1]],CustomerHierarchyLevels[],7,FALSE)=0,CustomerHierarchyLevels[[#This Row],[Level1]],VLOOKUP(CustomerHierarchyLevels[[#This Row],[Level1]],CustomerHierarchyLevels[],7,FALSE))</f>
        <v>2109</v>
      </c>
      <c r="S223" s="30">
        <f>IF(VLOOKUP(CustomerHierarchyLevels[[#This Row],[Level2]],CustomerHierarchyLevels[],7,FALSE)=0,CustomerHierarchyLevels[[#This Row],[Level2]],VLOOKUP(CustomerHierarchyLevels[[#This Row],[Level2]],CustomerHierarchyLevels[],7,FALSE))</f>
        <v>2109</v>
      </c>
    </row>
    <row r="224" spans="1:19" x14ac:dyDescent="0.25">
      <c r="A224">
        <v>6325</v>
      </c>
      <c r="B224" t="s">
        <v>13</v>
      </c>
      <c r="C224" t="s">
        <v>95</v>
      </c>
      <c r="D224">
        <v>0</v>
      </c>
      <c r="E224">
        <v>39010</v>
      </c>
      <c r="F224">
        <v>2958465</v>
      </c>
      <c r="G224">
        <v>6323</v>
      </c>
      <c r="H224" t="s">
        <v>13</v>
      </c>
      <c r="I224" t="s">
        <v>95</v>
      </c>
      <c r="J224">
        <v>0</v>
      </c>
      <c r="K224">
        <v>0</v>
      </c>
      <c r="L224" t="s">
        <v>1200</v>
      </c>
      <c r="M224" t="s">
        <v>1200</v>
      </c>
      <c r="N224">
        <v>0</v>
      </c>
      <c r="O224" t="s">
        <v>96</v>
      </c>
      <c r="P224" t="s">
        <v>1415</v>
      </c>
      <c r="Q224" s="30">
        <f>IF(CustomerHierarchyLevels[[#This Row],[HgLvCust.]]=0,CustomerHierarchyLevels[[#This Row],[Customer]],CustomerHierarchyLevels[[#This Row],[HgLvCust.]])</f>
        <v>6323</v>
      </c>
      <c r="R224" s="30">
        <f>IF(VLOOKUP(CustomerHierarchyLevels[[#This Row],[Level1]],CustomerHierarchyLevels[],7,FALSE)=0,CustomerHierarchyLevels[[#This Row],[Level1]],VLOOKUP(CustomerHierarchyLevels[[#This Row],[Level1]],CustomerHierarchyLevels[],7,FALSE))</f>
        <v>2109</v>
      </c>
      <c r="S224" s="30">
        <f>IF(VLOOKUP(CustomerHierarchyLevels[[#This Row],[Level2]],CustomerHierarchyLevels[],7,FALSE)=0,CustomerHierarchyLevels[[#This Row],[Level2]],VLOOKUP(CustomerHierarchyLevels[[#This Row],[Level2]],CustomerHierarchyLevels[],7,FALSE))</f>
        <v>2109</v>
      </c>
    </row>
    <row r="225" spans="1:19" x14ac:dyDescent="0.25">
      <c r="A225">
        <v>6326</v>
      </c>
      <c r="B225" t="s">
        <v>13</v>
      </c>
      <c r="C225" t="s">
        <v>95</v>
      </c>
      <c r="D225">
        <v>0</v>
      </c>
      <c r="E225">
        <v>39010</v>
      </c>
      <c r="F225">
        <v>2958465</v>
      </c>
      <c r="G225">
        <v>6323</v>
      </c>
      <c r="H225" t="s">
        <v>13</v>
      </c>
      <c r="I225" t="s">
        <v>95</v>
      </c>
      <c r="J225">
        <v>0</v>
      </c>
      <c r="K225">
        <v>0</v>
      </c>
      <c r="L225" t="s">
        <v>1200</v>
      </c>
      <c r="M225" t="s">
        <v>1200</v>
      </c>
      <c r="N225">
        <v>0</v>
      </c>
      <c r="O225" t="s">
        <v>96</v>
      </c>
      <c r="P225" t="s">
        <v>1416</v>
      </c>
      <c r="Q225" s="30">
        <f>IF(CustomerHierarchyLevels[[#This Row],[HgLvCust.]]=0,CustomerHierarchyLevels[[#This Row],[Customer]],CustomerHierarchyLevels[[#This Row],[HgLvCust.]])</f>
        <v>6323</v>
      </c>
      <c r="R225" s="30">
        <f>IF(VLOOKUP(CustomerHierarchyLevels[[#This Row],[Level1]],CustomerHierarchyLevels[],7,FALSE)=0,CustomerHierarchyLevels[[#This Row],[Level1]],VLOOKUP(CustomerHierarchyLevels[[#This Row],[Level1]],CustomerHierarchyLevels[],7,FALSE))</f>
        <v>2109</v>
      </c>
      <c r="S225" s="30">
        <f>IF(VLOOKUP(CustomerHierarchyLevels[[#This Row],[Level2]],CustomerHierarchyLevels[],7,FALSE)=0,CustomerHierarchyLevels[[#This Row],[Level2]],VLOOKUP(CustomerHierarchyLevels[[#This Row],[Level2]],CustomerHierarchyLevels[],7,FALSE))</f>
        <v>2109</v>
      </c>
    </row>
    <row r="226" spans="1:19" x14ac:dyDescent="0.25">
      <c r="A226">
        <v>6327</v>
      </c>
      <c r="B226" t="s">
        <v>13</v>
      </c>
      <c r="C226" t="s">
        <v>95</v>
      </c>
      <c r="D226">
        <v>0</v>
      </c>
      <c r="E226">
        <v>39010</v>
      </c>
      <c r="F226">
        <v>2958465</v>
      </c>
      <c r="G226">
        <v>2126</v>
      </c>
      <c r="H226" t="s">
        <v>13</v>
      </c>
      <c r="I226" t="s">
        <v>95</v>
      </c>
      <c r="J226">
        <v>0</v>
      </c>
      <c r="K226">
        <v>0</v>
      </c>
      <c r="L226" t="s">
        <v>1200</v>
      </c>
      <c r="M226" t="s">
        <v>1200</v>
      </c>
      <c r="N226">
        <v>0</v>
      </c>
      <c r="O226" t="s">
        <v>96</v>
      </c>
      <c r="P226" t="s">
        <v>1417</v>
      </c>
      <c r="Q226" s="30">
        <f>IF(CustomerHierarchyLevels[[#This Row],[HgLvCust.]]=0,CustomerHierarchyLevels[[#This Row],[Customer]],CustomerHierarchyLevels[[#This Row],[HgLvCust.]])</f>
        <v>2126</v>
      </c>
      <c r="R226" s="30">
        <f>IF(VLOOKUP(CustomerHierarchyLevels[[#This Row],[Level1]],CustomerHierarchyLevels[],7,FALSE)=0,CustomerHierarchyLevels[[#This Row],[Level1]],VLOOKUP(CustomerHierarchyLevels[[#This Row],[Level1]],CustomerHierarchyLevels[],7,FALSE))</f>
        <v>2125</v>
      </c>
      <c r="S226" s="30">
        <f>IF(VLOOKUP(CustomerHierarchyLevels[[#This Row],[Level2]],CustomerHierarchyLevels[],7,FALSE)=0,CustomerHierarchyLevels[[#This Row],[Level2]],VLOOKUP(CustomerHierarchyLevels[[#This Row],[Level2]],CustomerHierarchyLevels[],7,FALSE))</f>
        <v>2125</v>
      </c>
    </row>
    <row r="227" spans="1:19" x14ac:dyDescent="0.25">
      <c r="A227">
        <v>6328</v>
      </c>
      <c r="B227" t="s">
        <v>13</v>
      </c>
      <c r="C227" t="s">
        <v>95</v>
      </c>
      <c r="D227">
        <v>0</v>
      </c>
      <c r="E227">
        <v>39010</v>
      </c>
      <c r="F227">
        <v>2958465</v>
      </c>
      <c r="G227">
        <v>2126</v>
      </c>
      <c r="H227" t="s">
        <v>13</v>
      </c>
      <c r="I227" t="s">
        <v>95</v>
      </c>
      <c r="J227">
        <v>0</v>
      </c>
      <c r="K227">
        <v>0</v>
      </c>
      <c r="L227" t="s">
        <v>1200</v>
      </c>
      <c r="M227" t="s">
        <v>1200</v>
      </c>
      <c r="N227">
        <v>0</v>
      </c>
      <c r="O227" t="s">
        <v>96</v>
      </c>
      <c r="P227" t="s">
        <v>1418</v>
      </c>
      <c r="Q227" s="30">
        <f>IF(CustomerHierarchyLevels[[#This Row],[HgLvCust.]]=0,CustomerHierarchyLevels[[#This Row],[Customer]],CustomerHierarchyLevels[[#This Row],[HgLvCust.]])</f>
        <v>2126</v>
      </c>
      <c r="R227" s="30">
        <f>IF(VLOOKUP(CustomerHierarchyLevels[[#This Row],[Level1]],CustomerHierarchyLevels[],7,FALSE)=0,CustomerHierarchyLevels[[#This Row],[Level1]],VLOOKUP(CustomerHierarchyLevels[[#This Row],[Level1]],CustomerHierarchyLevels[],7,FALSE))</f>
        <v>2125</v>
      </c>
      <c r="S227" s="30">
        <f>IF(VLOOKUP(CustomerHierarchyLevels[[#This Row],[Level2]],CustomerHierarchyLevels[],7,FALSE)=0,CustomerHierarchyLevels[[#This Row],[Level2]],VLOOKUP(CustomerHierarchyLevels[[#This Row],[Level2]],CustomerHierarchyLevels[],7,FALSE))</f>
        <v>2125</v>
      </c>
    </row>
    <row r="228" spans="1:19" x14ac:dyDescent="0.25">
      <c r="A228">
        <v>6329</v>
      </c>
      <c r="B228" t="s">
        <v>13</v>
      </c>
      <c r="C228" t="s">
        <v>95</v>
      </c>
      <c r="D228">
        <v>0</v>
      </c>
      <c r="E228">
        <v>39010</v>
      </c>
      <c r="F228">
        <v>2958465</v>
      </c>
      <c r="G228">
        <v>2126</v>
      </c>
      <c r="H228" t="s">
        <v>13</v>
      </c>
      <c r="I228" t="s">
        <v>95</v>
      </c>
      <c r="J228">
        <v>0</v>
      </c>
      <c r="K228">
        <v>0</v>
      </c>
      <c r="L228" t="s">
        <v>1200</v>
      </c>
      <c r="M228" t="s">
        <v>1200</v>
      </c>
      <c r="N228">
        <v>0</v>
      </c>
      <c r="O228" t="s">
        <v>96</v>
      </c>
      <c r="P228" t="s">
        <v>1419</v>
      </c>
      <c r="Q228" s="30">
        <f>IF(CustomerHierarchyLevels[[#This Row],[HgLvCust.]]=0,CustomerHierarchyLevels[[#This Row],[Customer]],CustomerHierarchyLevels[[#This Row],[HgLvCust.]])</f>
        <v>2126</v>
      </c>
      <c r="R228" s="30">
        <f>IF(VLOOKUP(CustomerHierarchyLevels[[#This Row],[Level1]],CustomerHierarchyLevels[],7,FALSE)=0,CustomerHierarchyLevels[[#This Row],[Level1]],VLOOKUP(CustomerHierarchyLevels[[#This Row],[Level1]],CustomerHierarchyLevels[],7,FALSE))</f>
        <v>2125</v>
      </c>
      <c r="S228" s="30">
        <f>IF(VLOOKUP(CustomerHierarchyLevels[[#This Row],[Level2]],CustomerHierarchyLevels[],7,FALSE)=0,CustomerHierarchyLevels[[#This Row],[Level2]],VLOOKUP(CustomerHierarchyLevels[[#This Row],[Level2]],CustomerHierarchyLevels[],7,FALSE))</f>
        <v>2125</v>
      </c>
    </row>
    <row r="229" spans="1:19" x14ac:dyDescent="0.25">
      <c r="A229">
        <v>6330</v>
      </c>
      <c r="B229" t="s">
        <v>13</v>
      </c>
      <c r="C229" t="s">
        <v>95</v>
      </c>
      <c r="D229">
        <v>0</v>
      </c>
      <c r="E229">
        <v>39010</v>
      </c>
      <c r="F229">
        <v>2958465</v>
      </c>
      <c r="G229">
        <v>2158</v>
      </c>
      <c r="H229" t="s">
        <v>13</v>
      </c>
      <c r="I229" t="s">
        <v>95</v>
      </c>
      <c r="J229">
        <v>0</v>
      </c>
      <c r="K229">
        <v>0</v>
      </c>
      <c r="L229" t="s">
        <v>1200</v>
      </c>
      <c r="M229" t="s">
        <v>1200</v>
      </c>
      <c r="N229">
        <v>0</v>
      </c>
      <c r="O229" t="s">
        <v>96</v>
      </c>
      <c r="P229" t="s">
        <v>1420</v>
      </c>
      <c r="Q229" s="30">
        <f>IF(CustomerHierarchyLevels[[#This Row],[HgLvCust.]]=0,CustomerHierarchyLevels[[#This Row],[Customer]],CustomerHierarchyLevels[[#This Row],[HgLvCust.]])</f>
        <v>2158</v>
      </c>
      <c r="R229" s="30">
        <f>IF(VLOOKUP(CustomerHierarchyLevels[[#This Row],[Level1]],CustomerHierarchyLevels[],7,FALSE)=0,CustomerHierarchyLevels[[#This Row],[Level1]],VLOOKUP(CustomerHierarchyLevels[[#This Row],[Level1]],CustomerHierarchyLevels[],7,FALSE))</f>
        <v>2157</v>
      </c>
      <c r="S229" s="30">
        <f>IF(VLOOKUP(CustomerHierarchyLevels[[#This Row],[Level2]],CustomerHierarchyLevels[],7,FALSE)=0,CustomerHierarchyLevels[[#This Row],[Level2]],VLOOKUP(CustomerHierarchyLevels[[#This Row],[Level2]],CustomerHierarchyLevels[],7,FALSE))</f>
        <v>2157</v>
      </c>
    </row>
    <row r="230" spans="1:19" x14ac:dyDescent="0.25">
      <c r="A230">
        <v>6331</v>
      </c>
      <c r="B230" t="s">
        <v>13</v>
      </c>
      <c r="C230" t="s">
        <v>95</v>
      </c>
      <c r="D230">
        <v>0</v>
      </c>
      <c r="E230">
        <v>39010</v>
      </c>
      <c r="F230">
        <v>2958465</v>
      </c>
      <c r="G230">
        <v>2158</v>
      </c>
      <c r="H230" t="s">
        <v>13</v>
      </c>
      <c r="I230" t="s">
        <v>95</v>
      </c>
      <c r="J230">
        <v>0</v>
      </c>
      <c r="K230">
        <v>0</v>
      </c>
      <c r="L230" t="s">
        <v>1200</v>
      </c>
      <c r="M230" t="s">
        <v>1200</v>
      </c>
      <c r="N230">
        <v>0</v>
      </c>
      <c r="O230" t="s">
        <v>96</v>
      </c>
      <c r="P230" t="s">
        <v>1421</v>
      </c>
      <c r="Q230" s="30">
        <f>IF(CustomerHierarchyLevels[[#This Row],[HgLvCust.]]=0,CustomerHierarchyLevels[[#This Row],[Customer]],CustomerHierarchyLevels[[#This Row],[HgLvCust.]])</f>
        <v>2158</v>
      </c>
      <c r="R230" s="30">
        <f>IF(VLOOKUP(CustomerHierarchyLevels[[#This Row],[Level1]],CustomerHierarchyLevels[],7,FALSE)=0,CustomerHierarchyLevels[[#This Row],[Level1]],VLOOKUP(CustomerHierarchyLevels[[#This Row],[Level1]],CustomerHierarchyLevels[],7,FALSE))</f>
        <v>2157</v>
      </c>
      <c r="S230" s="30">
        <f>IF(VLOOKUP(CustomerHierarchyLevels[[#This Row],[Level2]],CustomerHierarchyLevels[],7,FALSE)=0,CustomerHierarchyLevels[[#This Row],[Level2]],VLOOKUP(CustomerHierarchyLevels[[#This Row],[Level2]],CustomerHierarchyLevels[],7,FALSE))</f>
        <v>2157</v>
      </c>
    </row>
    <row r="231" spans="1:19" x14ac:dyDescent="0.25">
      <c r="A231">
        <v>6332</v>
      </c>
      <c r="B231" t="s">
        <v>13</v>
      </c>
      <c r="C231" t="s">
        <v>95</v>
      </c>
      <c r="D231">
        <v>0</v>
      </c>
      <c r="E231">
        <v>39010</v>
      </c>
      <c r="F231">
        <v>2958465</v>
      </c>
      <c r="G231">
        <v>2158</v>
      </c>
      <c r="H231" t="s">
        <v>13</v>
      </c>
      <c r="I231" t="s">
        <v>95</v>
      </c>
      <c r="J231">
        <v>0</v>
      </c>
      <c r="K231">
        <v>0</v>
      </c>
      <c r="L231" t="s">
        <v>1200</v>
      </c>
      <c r="M231" t="s">
        <v>1200</v>
      </c>
      <c r="N231">
        <v>0</v>
      </c>
      <c r="O231" t="s">
        <v>96</v>
      </c>
      <c r="P231" t="s">
        <v>1422</v>
      </c>
      <c r="Q231" s="30">
        <f>IF(CustomerHierarchyLevels[[#This Row],[HgLvCust.]]=0,CustomerHierarchyLevels[[#This Row],[Customer]],CustomerHierarchyLevels[[#This Row],[HgLvCust.]])</f>
        <v>2158</v>
      </c>
      <c r="R231" s="30">
        <f>IF(VLOOKUP(CustomerHierarchyLevels[[#This Row],[Level1]],CustomerHierarchyLevels[],7,FALSE)=0,CustomerHierarchyLevels[[#This Row],[Level1]],VLOOKUP(CustomerHierarchyLevels[[#This Row],[Level1]],CustomerHierarchyLevels[],7,FALSE))</f>
        <v>2157</v>
      </c>
      <c r="S231" s="30">
        <f>IF(VLOOKUP(CustomerHierarchyLevels[[#This Row],[Level2]],CustomerHierarchyLevels[],7,FALSE)=0,CustomerHierarchyLevels[[#This Row],[Level2]],VLOOKUP(CustomerHierarchyLevels[[#This Row],[Level2]],CustomerHierarchyLevels[],7,FALSE))</f>
        <v>2157</v>
      </c>
    </row>
    <row r="232" spans="1:19" x14ac:dyDescent="0.25">
      <c r="A232">
        <v>6336</v>
      </c>
      <c r="B232" t="s">
        <v>13</v>
      </c>
      <c r="C232" t="s">
        <v>95</v>
      </c>
      <c r="D232">
        <v>0</v>
      </c>
      <c r="E232">
        <v>39010</v>
      </c>
      <c r="F232">
        <v>2958465</v>
      </c>
      <c r="G232">
        <v>6334</v>
      </c>
      <c r="H232" t="s">
        <v>13</v>
      </c>
      <c r="I232" t="s">
        <v>95</v>
      </c>
      <c r="J232">
        <v>0</v>
      </c>
      <c r="K232">
        <v>0</v>
      </c>
      <c r="L232" t="s">
        <v>1200</v>
      </c>
      <c r="M232" t="s">
        <v>1200</v>
      </c>
      <c r="N232">
        <v>0</v>
      </c>
      <c r="O232" t="s">
        <v>96</v>
      </c>
      <c r="P232" t="s">
        <v>1423</v>
      </c>
      <c r="Q232" s="30">
        <f>IF(CustomerHierarchyLevels[[#This Row],[HgLvCust.]]=0,CustomerHierarchyLevels[[#This Row],[Customer]],CustomerHierarchyLevels[[#This Row],[HgLvCust.]])</f>
        <v>6334</v>
      </c>
      <c r="R232" s="30">
        <f>IF(VLOOKUP(CustomerHierarchyLevels[[#This Row],[Level1]],CustomerHierarchyLevels[],7,FALSE)=0,CustomerHierarchyLevels[[#This Row],[Level1]],VLOOKUP(CustomerHierarchyLevels[[#This Row],[Level1]],CustomerHierarchyLevels[],7,FALSE))</f>
        <v>6333</v>
      </c>
      <c r="S232" s="30">
        <f>IF(VLOOKUP(CustomerHierarchyLevels[[#This Row],[Level2]],CustomerHierarchyLevels[],7,FALSE)=0,CustomerHierarchyLevels[[#This Row],[Level2]],VLOOKUP(CustomerHierarchyLevels[[#This Row],[Level2]],CustomerHierarchyLevels[],7,FALSE))</f>
        <v>6333</v>
      </c>
    </row>
    <row r="233" spans="1:19" x14ac:dyDescent="0.25">
      <c r="A233">
        <v>6337</v>
      </c>
      <c r="B233" t="s">
        <v>13</v>
      </c>
      <c r="C233" t="s">
        <v>95</v>
      </c>
      <c r="D233">
        <v>0</v>
      </c>
      <c r="E233">
        <v>39010</v>
      </c>
      <c r="F233">
        <v>2958465</v>
      </c>
      <c r="G233">
        <v>6334</v>
      </c>
      <c r="H233" t="s">
        <v>13</v>
      </c>
      <c r="I233" t="s">
        <v>95</v>
      </c>
      <c r="J233">
        <v>0</v>
      </c>
      <c r="K233">
        <v>0</v>
      </c>
      <c r="L233" t="s">
        <v>1200</v>
      </c>
      <c r="M233" t="s">
        <v>1200</v>
      </c>
      <c r="N233">
        <v>0</v>
      </c>
      <c r="O233" t="s">
        <v>96</v>
      </c>
      <c r="P233" t="s">
        <v>1424</v>
      </c>
      <c r="Q233" s="30">
        <f>IF(CustomerHierarchyLevels[[#This Row],[HgLvCust.]]=0,CustomerHierarchyLevels[[#This Row],[Customer]],CustomerHierarchyLevels[[#This Row],[HgLvCust.]])</f>
        <v>6334</v>
      </c>
      <c r="R233" s="30">
        <f>IF(VLOOKUP(CustomerHierarchyLevels[[#This Row],[Level1]],CustomerHierarchyLevels[],7,FALSE)=0,CustomerHierarchyLevels[[#This Row],[Level1]],VLOOKUP(CustomerHierarchyLevels[[#This Row],[Level1]],CustomerHierarchyLevels[],7,FALSE))</f>
        <v>6333</v>
      </c>
      <c r="S233" s="30">
        <f>IF(VLOOKUP(CustomerHierarchyLevels[[#This Row],[Level2]],CustomerHierarchyLevels[],7,FALSE)=0,CustomerHierarchyLevels[[#This Row],[Level2]],VLOOKUP(CustomerHierarchyLevels[[#This Row],[Level2]],CustomerHierarchyLevels[],7,FALSE))</f>
        <v>6333</v>
      </c>
    </row>
    <row r="234" spans="1:19" x14ac:dyDescent="0.25">
      <c r="A234">
        <v>6339</v>
      </c>
      <c r="B234" t="s">
        <v>13</v>
      </c>
      <c r="C234" t="s">
        <v>95</v>
      </c>
      <c r="D234">
        <v>0</v>
      </c>
      <c r="E234">
        <v>39010</v>
      </c>
      <c r="F234">
        <v>2958465</v>
      </c>
      <c r="G234">
        <v>6334</v>
      </c>
      <c r="H234" t="s">
        <v>13</v>
      </c>
      <c r="I234" t="s">
        <v>95</v>
      </c>
      <c r="J234">
        <v>0</v>
      </c>
      <c r="K234">
        <v>0</v>
      </c>
      <c r="L234" t="s">
        <v>1200</v>
      </c>
      <c r="M234" t="s">
        <v>1200</v>
      </c>
      <c r="N234">
        <v>0</v>
      </c>
      <c r="O234" t="s">
        <v>96</v>
      </c>
      <c r="P234" t="s">
        <v>1425</v>
      </c>
      <c r="Q234" s="30">
        <f>IF(CustomerHierarchyLevels[[#This Row],[HgLvCust.]]=0,CustomerHierarchyLevels[[#This Row],[Customer]],CustomerHierarchyLevels[[#This Row],[HgLvCust.]])</f>
        <v>6334</v>
      </c>
      <c r="R234" s="30">
        <f>IF(VLOOKUP(CustomerHierarchyLevels[[#This Row],[Level1]],CustomerHierarchyLevels[],7,FALSE)=0,CustomerHierarchyLevels[[#This Row],[Level1]],VLOOKUP(CustomerHierarchyLevels[[#This Row],[Level1]],CustomerHierarchyLevels[],7,FALSE))</f>
        <v>6333</v>
      </c>
      <c r="S234" s="30">
        <f>IF(VLOOKUP(CustomerHierarchyLevels[[#This Row],[Level2]],CustomerHierarchyLevels[],7,FALSE)=0,CustomerHierarchyLevels[[#This Row],[Level2]],VLOOKUP(CustomerHierarchyLevels[[#This Row],[Level2]],CustomerHierarchyLevels[],7,FALSE))</f>
        <v>6333</v>
      </c>
    </row>
    <row r="235" spans="1:19" x14ac:dyDescent="0.25">
      <c r="A235">
        <v>6547</v>
      </c>
      <c r="B235" t="s">
        <v>13</v>
      </c>
      <c r="C235" t="s">
        <v>95</v>
      </c>
      <c r="D235">
        <v>0</v>
      </c>
      <c r="E235">
        <v>39010</v>
      </c>
      <c r="F235">
        <v>2958465</v>
      </c>
      <c r="G235">
        <v>6318</v>
      </c>
      <c r="H235" t="s">
        <v>13</v>
      </c>
      <c r="I235" t="s">
        <v>95</v>
      </c>
      <c r="J235">
        <v>0</v>
      </c>
      <c r="K235">
        <v>0</v>
      </c>
      <c r="N235">
        <v>0</v>
      </c>
      <c r="O235" t="s">
        <v>96</v>
      </c>
      <c r="P235" t="s">
        <v>269</v>
      </c>
      <c r="Q235" s="30">
        <f>IF(CustomerHierarchyLevels[[#This Row],[HgLvCust.]]=0,CustomerHierarchyLevels[[#This Row],[Customer]],CustomerHierarchyLevels[[#This Row],[HgLvCust.]])</f>
        <v>6318</v>
      </c>
      <c r="R235" s="30">
        <f>IF(VLOOKUP(CustomerHierarchyLevels[[#This Row],[Level1]],CustomerHierarchyLevels[],7,FALSE)=0,CustomerHierarchyLevels[[#This Row],[Level1]],VLOOKUP(CustomerHierarchyLevels[[#This Row],[Level1]],CustomerHierarchyLevels[],7,FALSE))</f>
        <v>2102</v>
      </c>
      <c r="S235" s="30">
        <f>IF(VLOOKUP(CustomerHierarchyLevels[[#This Row],[Level2]],CustomerHierarchyLevels[],7,FALSE)=0,CustomerHierarchyLevels[[#This Row],[Level2]],VLOOKUP(CustomerHierarchyLevels[[#This Row],[Level2]],CustomerHierarchyLevels[],7,FALSE))</f>
        <v>2101</v>
      </c>
    </row>
    <row r="236" spans="1:19" x14ac:dyDescent="0.25">
      <c r="A236">
        <v>6548</v>
      </c>
      <c r="B236" t="s">
        <v>13</v>
      </c>
      <c r="C236" t="s">
        <v>95</v>
      </c>
      <c r="D236">
        <v>0</v>
      </c>
      <c r="E236">
        <v>39010</v>
      </c>
      <c r="F236">
        <v>2958465</v>
      </c>
      <c r="G236">
        <v>6317</v>
      </c>
      <c r="H236" t="s">
        <v>13</v>
      </c>
      <c r="I236" t="s">
        <v>95</v>
      </c>
      <c r="J236">
        <v>0</v>
      </c>
      <c r="K236">
        <v>0</v>
      </c>
      <c r="N236">
        <v>0</v>
      </c>
      <c r="O236" t="s">
        <v>96</v>
      </c>
      <c r="P236" t="s">
        <v>290</v>
      </c>
      <c r="Q236" s="30">
        <f>IF(CustomerHierarchyLevels[[#This Row],[HgLvCust.]]=0,CustomerHierarchyLevels[[#This Row],[Customer]],CustomerHierarchyLevels[[#This Row],[HgLvCust.]])</f>
        <v>6317</v>
      </c>
      <c r="R236" s="30">
        <f>IF(VLOOKUP(CustomerHierarchyLevels[[#This Row],[Level1]],CustomerHierarchyLevels[],7,FALSE)=0,CustomerHierarchyLevels[[#This Row],[Level1]],VLOOKUP(CustomerHierarchyLevels[[#This Row],[Level1]],CustomerHierarchyLevels[],7,FALSE))</f>
        <v>2102</v>
      </c>
      <c r="S236" s="30">
        <f>IF(VLOOKUP(CustomerHierarchyLevels[[#This Row],[Level2]],CustomerHierarchyLevels[],7,FALSE)=0,CustomerHierarchyLevels[[#This Row],[Level2]],VLOOKUP(CustomerHierarchyLevels[[#This Row],[Level2]],CustomerHierarchyLevels[],7,FALSE))</f>
        <v>2101</v>
      </c>
    </row>
    <row r="237" spans="1:19" x14ac:dyDescent="0.25">
      <c r="A237">
        <v>6550</v>
      </c>
      <c r="B237" t="s">
        <v>13</v>
      </c>
      <c r="C237" t="s">
        <v>95</v>
      </c>
      <c r="D237">
        <v>0</v>
      </c>
      <c r="E237">
        <v>39010</v>
      </c>
      <c r="F237">
        <v>2958465</v>
      </c>
      <c r="G237">
        <v>6319</v>
      </c>
      <c r="H237" t="s">
        <v>13</v>
      </c>
      <c r="I237" t="s">
        <v>95</v>
      </c>
      <c r="J237">
        <v>0</v>
      </c>
      <c r="K237">
        <v>0</v>
      </c>
      <c r="N237">
        <v>0</v>
      </c>
      <c r="O237" t="s">
        <v>96</v>
      </c>
      <c r="P237" t="s">
        <v>238</v>
      </c>
      <c r="Q237" s="30">
        <f>IF(CustomerHierarchyLevels[[#This Row],[HgLvCust.]]=0,CustomerHierarchyLevels[[#This Row],[Customer]],CustomerHierarchyLevels[[#This Row],[HgLvCust.]])</f>
        <v>6319</v>
      </c>
      <c r="R237" s="30">
        <f>IF(VLOOKUP(CustomerHierarchyLevels[[#This Row],[Level1]],CustomerHierarchyLevels[],7,FALSE)=0,CustomerHierarchyLevels[[#This Row],[Level1]],VLOOKUP(CustomerHierarchyLevels[[#This Row],[Level1]],CustomerHierarchyLevels[],7,FALSE))</f>
        <v>2102</v>
      </c>
      <c r="S237" s="30">
        <f>IF(VLOOKUP(CustomerHierarchyLevels[[#This Row],[Level2]],CustomerHierarchyLevels[],7,FALSE)=0,CustomerHierarchyLevels[[#This Row],[Level2]],VLOOKUP(CustomerHierarchyLevels[[#This Row],[Level2]],CustomerHierarchyLevels[],7,FALSE))</f>
        <v>2101</v>
      </c>
    </row>
    <row r="238" spans="1:19" x14ac:dyDescent="0.25">
      <c r="A238">
        <v>6551</v>
      </c>
      <c r="B238" t="s">
        <v>13</v>
      </c>
      <c r="C238" t="s">
        <v>95</v>
      </c>
      <c r="D238">
        <v>0</v>
      </c>
      <c r="E238">
        <v>39010</v>
      </c>
      <c r="F238">
        <v>2958465</v>
      </c>
      <c r="G238">
        <v>6319</v>
      </c>
      <c r="H238" t="s">
        <v>13</v>
      </c>
      <c r="I238" t="s">
        <v>95</v>
      </c>
      <c r="J238">
        <v>0</v>
      </c>
      <c r="K238">
        <v>0</v>
      </c>
      <c r="N238">
        <v>0</v>
      </c>
      <c r="O238" t="s">
        <v>96</v>
      </c>
      <c r="P238" t="s">
        <v>281</v>
      </c>
      <c r="Q238" s="30">
        <f>IF(CustomerHierarchyLevels[[#This Row],[HgLvCust.]]=0,CustomerHierarchyLevels[[#This Row],[Customer]],CustomerHierarchyLevels[[#This Row],[HgLvCust.]])</f>
        <v>6319</v>
      </c>
      <c r="R238" s="30">
        <f>IF(VLOOKUP(CustomerHierarchyLevels[[#This Row],[Level1]],CustomerHierarchyLevels[],7,FALSE)=0,CustomerHierarchyLevels[[#This Row],[Level1]],VLOOKUP(CustomerHierarchyLevels[[#This Row],[Level1]],CustomerHierarchyLevels[],7,FALSE))</f>
        <v>2102</v>
      </c>
      <c r="S238" s="30">
        <f>IF(VLOOKUP(CustomerHierarchyLevels[[#This Row],[Level2]],CustomerHierarchyLevels[],7,FALSE)=0,CustomerHierarchyLevels[[#This Row],[Level2]],VLOOKUP(CustomerHierarchyLevels[[#This Row],[Level2]],CustomerHierarchyLevels[],7,FALSE))</f>
        <v>2101</v>
      </c>
    </row>
    <row r="239" spans="1:19" x14ac:dyDescent="0.25">
      <c r="A239">
        <v>1189</v>
      </c>
      <c r="B239" t="s">
        <v>13</v>
      </c>
      <c r="C239" t="s">
        <v>95</v>
      </c>
      <c r="D239">
        <v>0</v>
      </c>
      <c r="E239">
        <v>39010</v>
      </c>
      <c r="F239">
        <v>2958465</v>
      </c>
      <c r="G239">
        <v>6319</v>
      </c>
      <c r="H239" t="s">
        <v>13</v>
      </c>
      <c r="I239" t="s">
        <v>95</v>
      </c>
      <c r="J239">
        <v>0</v>
      </c>
      <c r="K239">
        <v>0</v>
      </c>
      <c r="N239">
        <v>0</v>
      </c>
      <c r="O239" t="s">
        <v>96</v>
      </c>
      <c r="P239" t="s">
        <v>1426</v>
      </c>
      <c r="Q239" s="30">
        <f>IF(CustomerHierarchyLevels[[#This Row],[HgLvCust.]]=0,CustomerHierarchyLevels[[#This Row],[Customer]],CustomerHierarchyLevels[[#This Row],[HgLvCust.]])</f>
        <v>6319</v>
      </c>
      <c r="R239" s="30">
        <f>IF(VLOOKUP(CustomerHierarchyLevels[[#This Row],[Level1]],CustomerHierarchyLevels[],7,FALSE)=0,CustomerHierarchyLevels[[#This Row],[Level1]],VLOOKUP(CustomerHierarchyLevels[[#This Row],[Level1]],CustomerHierarchyLevels[],7,FALSE))</f>
        <v>2102</v>
      </c>
      <c r="S239" s="30">
        <f>IF(VLOOKUP(CustomerHierarchyLevels[[#This Row],[Level2]],CustomerHierarchyLevels[],7,FALSE)=0,CustomerHierarchyLevels[[#This Row],[Level2]],VLOOKUP(CustomerHierarchyLevels[[#This Row],[Level2]],CustomerHierarchyLevels[],7,FALSE))</f>
        <v>2101</v>
      </c>
    </row>
    <row r="240" spans="1:19" x14ac:dyDescent="0.25">
      <c r="A240">
        <v>1738</v>
      </c>
      <c r="B240" t="s">
        <v>13</v>
      </c>
      <c r="C240" t="s">
        <v>95</v>
      </c>
      <c r="D240">
        <v>0</v>
      </c>
      <c r="E240">
        <v>39010</v>
      </c>
      <c r="F240">
        <v>2958465</v>
      </c>
      <c r="G240">
        <v>6303</v>
      </c>
      <c r="H240" t="s">
        <v>13</v>
      </c>
      <c r="I240" t="s">
        <v>95</v>
      </c>
      <c r="J240">
        <v>0</v>
      </c>
      <c r="K240">
        <v>0</v>
      </c>
      <c r="N240">
        <v>0</v>
      </c>
      <c r="O240" t="s">
        <v>96</v>
      </c>
      <c r="P240" t="s">
        <v>283</v>
      </c>
      <c r="Q240" s="30">
        <f>IF(CustomerHierarchyLevels[[#This Row],[HgLvCust.]]=0,CustomerHierarchyLevels[[#This Row],[Customer]],CustomerHierarchyLevels[[#This Row],[HgLvCust.]])</f>
        <v>6303</v>
      </c>
      <c r="R240" s="30">
        <f>IF(VLOOKUP(CustomerHierarchyLevels[[#This Row],[Level1]],CustomerHierarchyLevels[],7,FALSE)=0,CustomerHierarchyLevels[[#This Row],[Level1]],VLOOKUP(CustomerHierarchyLevels[[#This Row],[Level1]],CustomerHierarchyLevels[],7,FALSE))</f>
        <v>6302</v>
      </c>
      <c r="S240" s="30">
        <f>IF(VLOOKUP(CustomerHierarchyLevels[[#This Row],[Level2]],CustomerHierarchyLevels[],7,FALSE)=0,CustomerHierarchyLevels[[#This Row],[Level2]],VLOOKUP(CustomerHierarchyLevels[[#This Row],[Level2]],CustomerHierarchyLevels[],7,FALSE))</f>
        <v>6301</v>
      </c>
    </row>
    <row r="241" spans="1:19" x14ac:dyDescent="0.25">
      <c r="A241">
        <v>1203</v>
      </c>
      <c r="B241" t="s">
        <v>13</v>
      </c>
      <c r="C241" t="s">
        <v>95</v>
      </c>
      <c r="D241">
        <v>0</v>
      </c>
      <c r="E241">
        <v>39010</v>
      </c>
      <c r="F241">
        <v>2958465</v>
      </c>
      <c r="G241">
        <v>6303</v>
      </c>
      <c r="H241" t="s">
        <v>13</v>
      </c>
      <c r="I241" t="s">
        <v>95</v>
      </c>
      <c r="J241">
        <v>0</v>
      </c>
      <c r="K241">
        <v>0</v>
      </c>
      <c r="N241">
        <v>0</v>
      </c>
      <c r="O241" t="s">
        <v>96</v>
      </c>
      <c r="P241" t="s">
        <v>199</v>
      </c>
      <c r="Q241" s="30">
        <f>IF(CustomerHierarchyLevels[[#This Row],[HgLvCust.]]=0,CustomerHierarchyLevels[[#This Row],[Customer]],CustomerHierarchyLevels[[#This Row],[HgLvCust.]])</f>
        <v>6303</v>
      </c>
      <c r="R241" s="30">
        <f>IF(VLOOKUP(CustomerHierarchyLevels[[#This Row],[Level1]],CustomerHierarchyLevels[],7,FALSE)=0,CustomerHierarchyLevels[[#This Row],[Level1]],VLOOKUP(CustomerHierarchyLevels[[#This Row],[Level1]],CustomerHierarchyLevels[],7,FALSE))</f>
        <v>6302</v>
      </c>
      <c r="S241" s="30">
        <f>IF(VLOOKUP(CustomerHierarchyLevels[[#This Row],[Level2]],CustomerHierarchyLevels[],7,FALSE)=0,CustomerHierarchyLevels[[#This Row],[Level2]],VLOOKUP(CustomerHierarchyLevels[[#This Row],[Level2]],CustomerHierarchyLevels[],7,FALSE))</f>
        <v>6301</v>
      </c>
    </row>
    <row r="242" spans="1:19" x14ac:dyDescent="0.25">
      <c r="A242">
        <v>1377</v>
      </c>
      <c r="B242" t="s">
        <v>13</v>
      </c>
      <c r="C242" t="s">
        <v>95</v>
      </c>
      <c r="D242">
        <v>0</v>
      </c>
      <c r="E242">
        <v>39010</v>
      </c>
      <c r="F242">
        <v>2958465</v>
      </c>
      <c r="G242">
        <v>6303</v>
      </c>
      <c r="H242" t="s">
        <v>13</v>
      </c>
      <c r="I242" t="s">
        <v>95</v>
      </c>
      <c r="J242">
        <v>0</v>
      </c>
      <c r="K242">
        <v>0</v>
      </c>
      <c r="N242">
        <v>0</v>
      </c>
      <c r="O242" t="s">
        <v>96</v>
      </c>
      <c r="P242" t="s">
        <v>252</v>
      </c>
      <c r="Q242" s="30">
        <f>IF(CustomerHierarchyLevels[[#This Row],[HgLvCust.]]=0,CustomerHierarchyLevels[[#This Row],[Customer]],CustomerHierarchyLevels[[#This Row],[HgLvCust.]])</f>
        <v>6303</v>
      </c>
      <c r="R242" s="30">
        <f>IF(VLOOKUP(CustomerHierarchyLevels[[#This Row],[Level1]],CustomerHierarchyLevels[],7,FALSE)=0,CustomerHierarchyLevels[[#This Row],[Level1]],VLOOKUP(CustomerHierarchyLevels[[#This Row],[Level1]],CustomerHierarchyLevels[],7,FALSE))</f>
        <v>6302</v>
      </c>
      <c r="S242" s="30">
        <f>IF(VLOOKUP(CustomerHierarchyLevels[[#This Row],[Level2]],CustomerHierarchyLevels[],7,FALSE)=0,CustomerHierarchyLevels[[#This Row],[Level2]],VLOOKUP(CustomerHierarchyLevels[[#This Row],[Level2]],CustomerHierarchyLevels[],7,FALSE))</f>
        <v>6301</v>
      </c>
    </row>
    <row r="243" spans="1:19" x14ac:dyDescent="0.25">
      <c r="A243">
        <v>1205</v>
      </c>
      <c r="B243" t="s">
        <v>13</v>
      </c>
      <c r="C243" t="s">
        <v>95</v>
      </c>
      <c r="D243">
        <v>0</v>
      </c>
      <c r="E243">
        <v>39010</v>
      </c>
      <c r="F243">
        <v>2958465</v>
      </c>
      <c r="G243">
        <v>6304</v>
      </c>
      <c r="H243" t="s">
        <v>13</v>
      </c>
      <c r="I243" t="s">
        <v>95</v>
      </c>
      <c r="J243">
        <v>0</v>
      </c>
      <c r="K243">
        <v>0</v>
      </c>
      <c r="N243">
        <v>0</v>
      </c>
      <c r="O243" t="s">
        <v>96</v>
      </c>
      <c r="P243" t="s">
        <v>271</v>
      </c>
      <c r="Q243" s="30">
        <f>IF(CustomerHierarchyLevels[[#This Row],[HgLvCust.]]=0,CustomerHierarchyLevels[[#This Row],[Customer]],CustomerHierarchyLevels[[#This Row],[HgLvCust.]])</f>
        <v>6304</v>
      </c>
      <c r="R243" s="30">
        <f>IF(VLOOKUP(CustomerHierarchyLevels[[#This Row],[Level1]],CustomerHierarchyLevels[],7,FALSE)=0,CustomerHierarchyLevels[[#This Row],[Level1]],VLOOKUP(CustomerHierarchyLevels[[#This Row],[Level1]],CustomerHierarchyLevels[],7,FALSE))</f>
        <v>6302</v>
      </c>
      <c r="S243" s="30">
        <f>IF(VLOOKUP(CustomerHierarchyLevels[[#This Row],[Level2]],CustomerHierarchyLevels[],7,FALSE)=0,CustomerHierarchyLevels[[#This Row],[Level2]],VLOOKUP(CustomerHierarchyLevels[[#This Row],[Level2]],CustomerHierarchyLevels[],7,FALSE))</f>
        <v>6301</v>
      </c>
    </row>
    <row r="244" spans="1:19" x14ac:dyDescent="0.25">
      <c r="A244">
        <v>1188</v>
      </c>
      <c r="B244" t="s">
        <v>13</v>
      </c>
      <c r="C244" t="s">
        <v>95</v>
      </c>
      <c r="D244">
        <v>0</v>
      </c>
      <c r="E244">
        <v>39010</v>
      </c>
      <c r="F244">
        <v>2958465</v>
      </c>
      <c r="G244">
        <v>6304</v>
      </c>
      <c r="H244" t="s">
        <v>13</v>
      </c>
      <c r="I244" t="s">
        <v>95</v>
      </c>
      <c r="J244">
        <v>0</v>
      </c>
      <c r="K244">
        <v>0</v>
      </c>
      <c r="N244">
        <v>0</v>
      </c>
      <c r="O244" t="s">
        <v>96</v>
      </c>
      <c r="P244" t="s">
        <v>287</v>
      </c>
      <c r="Q244" s="30">
        <f>IF(CustomerHierarchyLevels[[#This Row],[HgLvCust.]]=0,CustomerHierarchyLevels[[#This Row],[Customer]],CustomerHierarchyLevels[[#This Row],[HgLvCust.]])</f>
        <v>6304</v>
      </c>
      <c r="R244" s="30">
        <f>IF(VLOOKUP(CustomerHierarchyLevels[[#This Row],[Level1]],CustomerHierarchyLevels[],7,FALSE)=0,CustomerHierarchyLevels[[#This Row],[Level1]],VLOOKUP(CustomerHierarchyLevels[[#This Row],[Level1]],CustomerHierarchyLevels[],7,FALSE))</f>
        <v>6302</v>
      </c>
      <c r="S244" s="30">
        <f>IF(VLOOKUP(CustomerHierarchyLevels[[#This Row],[Level2]],CustomerHierarchyLevels[],7,FALSE)=0,CustomerHierarchyLevels[[#This Row],[Level2]],VLOOKUP(CustomerHierarchyLevels[[#This Row],[Level2]],CustomerHierarchyLevels[],7,FALSE))</f>
        <v>6301</v>
      </c>
    </row>
    <row r="245" spans="1:19" x14ac:dyDescent="0.25">
      <c r="A245">
        <v>1247</v>
      </c>
      <c r="B245" t="s">
        <v>13</v>
      </c>
      <c r="C245" t="s">
        <v>95</v>
      </c>
      <c r="D245">
        <v>0</v>
      </c>
      <c r="E245">
        <v>39010</v>
      </c>
      <c r="F245">
        <v>2958465</v>
      </c>
      <c r="G245">
        <v>6304</v>
      </c>
      <c r="H245" t="s">
        <v>13</v>
      </c>
      <c r="I245" t="s">
        <v>95</v>
      </c>
      <c r="J245">
        <v>0</v>
      </c>
      <c r="K245">
        <v>0</v>
      </c>
      <c r="N245">
        <v>0</v>
      </c>
      <c r="O245" t="s">
        <v>96</v>
      </c>
      <c r="P245" t="s">
        <v>285</v>
      </c>
      <c r="Q245" s="30">
        <f>IF(CustomerHierarchyLevels[[#This Row],[HgLvCust.]]=0,CustomerHierarchyLevels[[#This Row],[Customer]],CustomerHierarchyLevels[[#This Row],[HgLvCust.]])</f>
        <v>6304</v>
      </c>
      <c r="R245" s="30">
        <f>IF(VLOOKUP(CustomerHierarchyLevels[[#This Row],[Level1]],CustomerHierarchyLevels[],7,FALSE)=0,CustomerHierarchyLevels[[#This Row],[Level1]],VLOOKUP(CustomerHierarchyLevels[[#This Row],[Level1]],CustomerHierarchyLevels[],7,FALSE))</f>
        <v>6302</v>
      </c>
      <c r="S245" s="30">
        <f>IF(VLOOKUP(CustomerHierarchyLevels[[#This Row],[Level2]],CustomerHierarchyLevels[],7,FALSE)=0,CustomerHierarchyLevels[[#This Row],[Level2]],VLOOKUP(CustomerHierarchyLevels[[#This Row],[Level2]],CustomerHierarchyLevels[],7,FALSE))</f>
        <v>6301</v>
      </c>
    </row>
    <row r="246" spans="1:19" x14ac:dyDescent="0.25">
      <c r="A246">
        <v>2090</v>
      </c>
      <c r="B246" t="s">
        <v>13</v>
      </c>
      <c r="C246" t="s">
        <v>95</v>
      </c>
      <c r="D246">
        <v>0</v>
      </c>
      <c r="E246">
        <v>39010</v>
      </c>
      <c r="F246">
        <v>2958465</v>
      </c>
      <c r="G246">
        <v>6304</v>
      </c>
      <c r="H246" t="s">
        <v>13</v>
      </c>
      <c r="I246" t="s">
        <v>95</v>
      </c>
      <c r="J246">
        <v>0</v>
      </c>
      <c r="K246">
        <v>0</v>
      </c>
      <c r="N246">
        <v>0</v>
      </c>
      <c r="O246" t="s">
        <v>96</v>
      </c>
      <c r="P246" t="s">
        <v>286</v>
      </c>
      <c r="Q246" s="30">
        <f>IF(CustomerHierarchyLevels[[#This Row],[HgLvCust.]]=0,CustomerHierarchyLevels[[#This Row],[Customer]],CustomerHierarchyLevels[[#This Row],[HgLvCust.]])</f>
        <v>6304</v>
      </c>
      <c r="R246" s="30">
        <f>IF(VLOOKUP(CustomerHierarchyLevels[[#This Row],[Level1]],CustomerHierarchyLevels[],7,FALSE)=0,CustomerHierarchyLevels[[#This Row],[Level1]],VLOOKUP(CustomerHierarchyLevels[[#This Row],[Level1]],CustomerHierarchyLevels[],7,FALSE))</f>
        <v>6302</v>
      </c>
      <c r="S246" s="30">
        <f>IF(VLOOKUP(CustomerHierarchyLevels[[#This Row],[Level2]],CustomerHierarchyLevels[],7,FALSE)=0,CustomerHierarchyLevels[[#This Row],[Level2]],VLOOKUP(CustomerHierarchyLevels[[#This Row],[Level2]],CustomerHierarchyLevels[],7,FALSE))</f>
        <v>6301</v>
      </c>
    </row>
    <row r="247" spans="1:19" x14ac:dyDescent="0.25">
      <c r="A247">
        <v>1195</v>
      </c>
      <c r="B247" t="s">
        <v>13</v>
      </c>
      <c r="C247" t="s">
        <v>95</v>
      </c>
      <c r="D247">
        <v>0</v>
      </c>
      <c r="E247">
        <v>39010</v>
      </c>
      <c r="F247">
        <v>2958465</v>
      </c>
      <c r="G247">
        <v>6303</v>
      </c>
      <c r="H247" t="s">
        <v>13</v>
      </c>
      <c r="I247" t="s">
        <v>95</v>
      </c>
      <c r="J247">
        <v>0</v>
      </c>
      <c r="K247">
        <v>0</v>
      </c>
      <c r="N247">
        <v>0</v>
      </c>
      <c r="O247" t="s">
        <v>96</v>
      </c>
      <c r="P247" t="s">
        <v>181</v>
      </c>
      <c r="Q247" s="30">
        <f>IF(CustomerHierarchyLevels[[#This Row],[HgLvCust.]]=0,CustomerHierarchyLevels[[#This Row],[Customer]],CustomerHierarchyLevels[[#This Row],[HgLvCust.]])</f>
        <v>6303</v>
      </c>
      <c r="R247" s="30">
        <f>IF(VLOOKUP(CustomerHierarchyLevels[[#This Row],[Level1]],CustomerHierarchyLevels[],7,FALSE)=0,CustomerHierarchyLevels[[#This Row],[Level1]],VLOOKUP(CustomerHierarchyLevels[[#This Row],[Level1]],CustomerHierarchyLevels[],7,FALSE))</f>
        <v>6302</v>
      </c>
      <c r="S247" s="30">
        <f>IF(VLOOKUP(CustomerHierarchyLevels[[#This Row],[Level2]],CustomerHierarchyLevels[],7,FALSE)=0,CustomerHierarchyLevels[[#This Row],[Level2]],VLOOKUP(CustomerHierarchyLevels[[#This Row],[Level2]],CustomerHierarchyLevels[],7,FALSE))</f>
        <v>6301</v>
      </c>
    </row>
    <row r="248" spans="1:19" x14ac:dyDescent="0.25">
      <c r="A248">
        <v>2086</v>
      </c>
      <c r="B248" t="s">
        <v>13</v>
      </c>
      <c r="C248" t="s">
        <v>95</v>
      </c>
      <c r="D248">
        <v>0</v>
      </c>
      <c r="E248">
        <v>39010</v>
      </c>
      <c r="F248">
        <v>2958465</v>
      </c>
      <c r="G248">
        <v>6303</v>
      </c>
      <c r="H248" t="s">
        <v>13</v>
      </c>
      <c r="I248" t="s">
        <v>95</v>
      </c>
      <c r="J248">
        <v>0</v>
      </c>
      <c r="K248">
        <v>0</v>
      </c>
      <c r="N248">
        <v>0</v>
      </c>
      <c r="O248" t="s">
        <v>96</v>
      </c>
      <c r="P248" t="s">
        <v>291</v>
      </c>
      <c r="Q248" s="30">
        <f>IF(CustomerHierarchyLevels[[#This Row],[HgLvCust.]]=0,CustomerHierarchyLevels[[#This Row],[Customer]],CustomerHierarchyLevels[[#This Row],[HgLvCust.]])</f>
        <v>6303</v>
      </c>
      <c r="R248" s="30">
        <f>IF(VLOOKUP(CustomerHierarchyLevels[[#This Row],[Level1]],CustomerHierarchyLevels[],7,FALSE)=0,CustomerHierarchyLevels[[#This Row],[Level1]],VLOOKUP(CustomerHierarchyLevels[[#This Row],[Level1]],CustomerHierarchyLevels[],7,FALSE))</f>
        <v>6302</v>
      </c>
      <c r="S248" s="30">
        <f>IF(VLOOKUP(CustomerHierarchyLevels[[#This Row],[Level2]],CustomerHierarchyLevels[],7,FALSE)=0,CustomerHierarchyLevels[[#This Row],[Level2]],VLOOKUP(CustomerHierarchyLevels[[#This Row],[Level2]],CustomerHierarchyLevels[],7,FALSE))</f>
        <v>6301</v>
      </c>
    </row>
    <row r="249" spans="1:19" x14ac:dyDescent="0.25">
      <c r="A249">
        <v>1171</v>
      </c>
      <c r="B249" t="s">
        <v>13</v>
      </c>
      <c r="C249" t="s">
        <v>95</v>
      </c>
      <c r="D249">
        <v>0</v>
      </c>
      <c r="E249">
        <v>39010</v>
      </c>
      <c r="F249">
        <v>2958465</v>
      </c>
      <c r="G249">
        <v>6304</v>
      </c>
      <c r="H249" t="s">
        <v>13</v>
      </c>
      <c r="I249" t="s">
        <v>95</v>
      </c>
      <c r="J249">
        <v>0</v>
      </c>
      <c r="K249">
        <v>0</v>
      </c>
      <c r="N249">
        <v>0</v>
      </c>
      <c r="O249" t="s">
        <v>96</v>
      </c>
      <c r="P249" t="s">
        <v>1427</v>
      </c>
      <c r="Q249" s="30">
        <f>IF(CustomerHierarchyLevels[[#This Row],[HgLvCust.]]=0,CustomerHierarchyLevels[[#This Row],[Customer]],CustomerHierarchyLevels[[#This Row],[HgLvCust.]])</f>
        <v>6304</v>
      </c>
      <c r="R249" s="30">
        <f>IF(VLOOKUP(CustomerHierarchyLevels[[#This Row],[Level1]],CustomerHierarchyLevels[],7,FALSE)=0,CustomerHierarchyLevels[[#This Row],[Level1]],VLOOKUP(CustomerHierarchyLevels[[#This Row],[Level1]],CustomerHierarchyLevels[],7,FALSE))</f>
        <v>6302</v>
      </c>
      <c r="S249" s="30">
        <f>IF(VLOOKUP(CustomerHierarchyLevels[[#This Row],[Level2]],CustomerHierarchyLevels[],7,FALSE)=0,CustomerHierarchyLevels[[#This Row],[Level2]],VLOOKUP(CustomerHierarchyLevels[[#This Row],[Level2]],CustomerHierarchyLevels[],7,FALSE))</f>
        <v>6301</v>
      </c>
    </row>
    <row r="250" spans="1:19" x14ac:dyDescent="0.25">
      <c r="A250">
        <v>1194</v>
      </c>
      <c r="B250" t="s">
        <v>13</v>
      </c>
      <c r="C250" t="s">
        <v>95</v>
      </c>
      <c r="D250">
        <v>0</v>
      </c>
      <c r="E250">
        <v>39010</v>
      </c>
      <c r="F250">
        <v>2958465</v>
      </c>
      <c r="G250">
        <v>6304</v>
      </c>
      <c r="H250" t="s">
        <v>13</v>
      </c>
      <c r="I250" t="s">
        <v>95</v>
      </c>
      <c r="J250">
        <v>0</v>
      </c>
      <c r="K250">
        <v>0</v>
      </c>
      <c r="N250">
        <v>0</v>
      </c>
      <c r="O250" t="s">
        <v>96</v>
      </c>
      <c r="P250" t="s">
        <v>230</v>
      </c>
      <c r="Q250" s="30">
        <f>IF(CustomerHierarchyLevels[[#This Row],[HgLvCust.]]=0,CustomerHierarchyLevels[[#This Row],[Customer]],CustomerHierarchyLevels[[#This Row],[HgLvCust.]])</f>
        <v>6304</v>
      </c>
      <c r="R250" s="30">
        <f>IF(VLOOKUP(CustomerHierarchyLevels[[#This Row],[Level1]],CustomerHierarchyLevels[],7,FALSE)=0,CustomerHierarchyLevels[[#This Row],[Level1]],VLOOKUP(CustomerHierarchyLevels[[#This Row],[Level1]],CustomerHierarchyLevels[],7,FALSE))</f>
        <v>6302</v>
      </c>
      <c r="S250" s="30">
        <f>IF(VLOOKUP(CustomerHierarchyLevels[[#This Row],[Level2]],CustomerHierarchyLevels[],7,FALSE)=0,CustomerHierarchyLevels[[#This Row],[Level2]],VLOOKUP(CustomerHierarchyLevels[[#This Row],[Level2]],CustomerHierarchyLevels[],7,FALSE))</f>
        <v>6301</v>
      </c>
    </row>
    <row r="251" spans="1:19" x14ac:dyDescent="0.25">
      <c r="A251">
        <v>1225</v>
      </c>
      <c r="B251" t="s">
        <v>13</v>
      </c>
      <c r="C251" t="s">
        <v>95</v>
      </c>
      <c r="D251">
        <v>0</v>
      </c>
      <c r="E251">
        <v>39010</v>
      </c>
      <c r="F251">
        <v>2958465</v>
      </c>
      <c r="G251">
        <v>6303</v>
      </c>
      <c r="H251" t="s">
        <v>13</v>
      </c>
      <c r="I251" t="s">
        <v>95</v>
      </c>
      <c r="J251">
        <v>0</v>
      </c>
      <c r="K251">
        <v>0</v>
      </c>
      <c r="N251">
        <v>0</v>
      </c>
      <c r="O251" t="s">
        <v>96</v>
      </c>
      <c r="P251" t="s">
        <v>280</v>
      </c>
      <c r="Q251" s="30">
        <f>IF(CustomerHierarchyLevels[[#This Row],[HgLvCust.]]=0,CustomerHierarchyLevels[[#This Row],[Customer]],CustomerHierarchyLevels[[#This Row],[HgLvCust.]])</f>
        <v>6303</v>
      </c>
      <c r="R251" s="30">
        <f>IF(VLOOKUP(CustomerHierarchyLevels[[#This Row],[Level1]],CustomerHierarchyLevels[],7,FALSE)=0,CustomerHierarchyLevels[[#This Row],[Level1]],VLOOKUP(CustomerHierarchyLevels[[#This Row],[Level1]],CustomerHierarchyLevels[],7,FALSE))</f>
        <v>6302</v>
      </c>
      <c r="S251" s="30">
        <f>IF(VLOOKUP(CustomerHierarchyLevels[[#This Row],[Level2]],CustomerHierarchyLevels[],7,FALSE)=0,CustomerHierarchyLevels[[#This Row],[Level2]],VLOOKUP(CustomerHierarchyLevels[[#This Row],[Level2]],CustomerHierarchyLevels[],7,FALSE))</f>
        <v>6301</v>
      </c>
    </row>
    <row r="252" spans="1:19" x14ac:dyDescent="0.25">
      <c r="A252">
        <v>1359</v>
      </c>
      <c r="B252" t="s">
        <v>13</v>
      </c>
      <c r="C252" t="s">
        <v>95</v>
      </c>
      <c r="D252">
        <v>0</v>
      </c>
      <c r="E252">
        <v>39010</v>
      </c>
      <c r="F252">
        <v>2958465</v>
      </c>
      <c r="G252">
        <v>6304</v>
      </c>
      <c r="H252" t="s">
        <v>13</v>
      </c>
      <c r="I252" t="s">
        <v>95</v>
      </c>
      <c r="J252">
        <v>0</v>
      </c>
      <c r="K252">
        <v>0</v>
      </c>
      <c r="N252">
        <v>0</v>
      </c>
      <c r="O252" t="s">
        <v>96</v>
      </c>
      <c r="P252" t="s">
        <v>175</v>
      </c>
      <c r="Q252" s="30">
        <f>IF(CustomerHierarchyLevels[[#This Row],[HgLvCust.]]=0,CustomerHierarchyLevels[[#This Row],[Customer]],CustomerHierarchyLevels[[#This Row],[HgLvCust.]])</f>
        <v>6304</v>
      </c>
      <c r="R252" s="30">
        <f>IF(VLOOKUP(CustomerHierarchyLevels[[#This Row],[Level1]],CustomerHierarchyLevels[],7,FALSE)=0,CustomerHierarchyLevels[[#This Row],[Level1]],VLOOKUP(CustomerHierarchyLevels[[#This Row],[Level1]],CustomerHierarchyLevels[],7,FALSE))</f>
        <v>6302</v>
      </c>
      <c r="S252" s="30">
        <f>IF(VLOOKUP(CustomerHierarchyLevels[[#This Row],[Level2]],CustomerHierarchyLevels[],7,FALSE)=0,CustomerHierarchyLevels[[#This Row],[Level2]],VLOOKUP(CustomerHierarchyLevels[[#This Row],[Level2]],CustomerHierarchyLevels[],7,FALSE))</f>
        <v>6301</v>
      </c>
    </row>
    <row r="253" spans="1:19" x14ac:dyDescent="0.25">
      <c r="A253">
        <v>1358</v>
      </c>
      <c r="B253" t="s">
        <v>13</v>
      </c>
      <c r="C253" t="s">
        <v>95</v>
      </c>
      <c r="D253">
        <v>0</v>
      </c>
      <c r="E253">
        <v>39010</v>
      </c>
      <c r="F253">
        <v>2958465</v>
      </c>
      <c r="G253">
        <v>6304</v>
      </c>
      <c r="H253" t="s">
        <v>13</v>
      </c>
      <c r="I253" t="s">
        <v>95</v>
      </c>
      <c r="J253">
        <v>0</v>
      </c>
      <c r="K253">
        <v>0</v>
      </c>
      <c r="N253">
        <v>0</v>
      </c>
      <c r="O253" t="s">
        <v>96</v>
      </c>
      <c r="P253" t="s">
        <v>134</v>
      </c>
      <c r="Q253" s="30">
        <f>IF(CustomerHierarchyLevels[[#This Row],[HgLvCust.]]=0,CustomerHierarchyLevels[[#This Row],[Customer]],CustomerHierarchyLevels[[#This Row],[HgLvCust.]])</f>
        <v>6304</v>
      </c>
      <c r="R253" s="30">
        <f>IF(VLOOKUP(CustomerHierarchyLevels[[#This Row],[Level1]],CustomerHierarchyLevels[],7,FALSE)=0,CustomerHierarchyLevels[[#This Row],[Level1]],VLOOKUP(CustomerHierarchyLevels[[#This Row],[Level1]],CustomerHierarchyLevels[],7,FALSE))</f>
        <v>6302</v>
      </c>
      <c r="S253" s="30">
        <f>IF(VLOOKUP(CustomerHierarchyLevels[[#This Row],[Level2]],CustomerHierarchyLevels[],7,FALSE)=0,CustomerHierarchyLevels[[#This Row],[Level2]],VLOOKUP(CustomerHierarchyLevels[[#This Row],[Level2]],CustomerHierarchyLevels[],7,FALSE))</f>
        <v>6301</v>
      </c>
    </row>
    <row r="254" spans="1:19" x14ac:dyDescent="0.25">
      <c r="A254">
        <v>1695</v>
      </c>
      <c r="B254" t="s">
        <v>13</v>
      </c>
      <c r="C254" t="s">
        <v>95</v>
      </c>
      <c r="D254">
        <v>0</v>
      </c>
      <c r="E254">
        <v>39010</v>
      </c>
      <c r="F254">
        <v>2958465</v>
      </c>
      <c r="G254">
        <v>6304</v>
      </c>
      <c r="H254" t="s">
        <v>13</v>
      </c>
      <c r="I254" t="s">
        <v>95</v>
      </c>
      <c r="J254">
        <v>0</v>
      </c>
      <c r="K254">
        <v>0</v>
      </c>
      <c r="N254">
        <v>0</v>
      </c>
      <c r="O254" t="s">
        <v>96</v>
      </c>
      <c r="P254" t="s">
        <v>262</v>
      </c>
      <c r="Q254" s="30">
        <f>IF(CustomerHierarchyLevels[[#This Row],[HgLvCust.]]=0,CustomerHierarchyLevels[[#This Row],[Customer]],CustomerHierarchyLevels[[#This Row],[HgLvCust.]])</f>
        <v>6304</v>
      </c>
      <c r="R254" s="30">
        <f>IF(VLOOKUP(CustomerHierarchyLevels[[#This Row],[Level1]],CustomerHierarchyLevels[],7,FALSE)=0,CustomerHierarchyLevels[[#This Row],[Level1]],VLOOKUP(CustomerHierarchyLevels[[#This Row],[Level1]],CustomerHierarchyLevels[],7,FALSE))</f>
        <v>6302</v>
      </c>
      <c r="S254" s="30">
        <f>IF(VLOOKUP(CustomerHierarchyLevels[[#This Row],[Level2]],CustomerHierarchyLevels[],7,FALSE)=0,CustomerHierarchyLevels[[#This Row],[Level2]],VLOOKUP(CustomerHierarchyLevels[[#This Row],[Level2]],CustomerHierarchyLevels[],7,FALSE))</f>
        <v>6301</v>
      </c>
    </row>
    <row r="255" spans="1:19" x14ac:dyDescent="0.25">
      <c r="A255">
        <v>1232</v>
      </c>
      <c r="B255" t="s">
        <v>13</v>
      </c>
      <c r="C255" t="s">
        <v>95</v>
      </c>
      <c r="D255">
        <v>0</v>
      </c>
      <c r="E255">
        <v>39010</v>
      </c>
      <c r="F255">
        <v>2958465</v>
      </c>
      <c r="G255">
        <v>6303</v>
      </c>
      <c r="H255" t="s">
        <v>13</v>
      </c>
      <c r="I255" t="s">
        <v>95</v>
      </c>
      <c r="J255">
        <v>0</v>
      </c>
      <c r="K255">
        <v>0</v>
      </c>
      <c r="N255">
        <v>0</v>
      </c>
      <c r="O255" t="s">
        <v>96</v>
      </c>
      <c r="P255" t="s">
        <v>253</v>
      </c>
      <c r="Q255" s="30">
        <f>IF(CustomerHierarchyLevels[[#This Row],[HgLvCust.]]=0,CustomerHierarchyLevels[[#This Row],[Customer]],CustomerHierarchyLevels[[#This Row],[HgLvCust.]])</f>
        <v>6303</v>
      </c>
      <c r="R255" s="30">
        <f>IF(VLOOKUP(CustomerHierarchyLevels[[#This Row],[Level1]],CustomerHierarchyLevels[],7,FALSE)=0,CustomerHierarchyLevels[[#This Row],[Level1]],VLOOKUP(CustomerHierarchyLevels[[#This Row],[Level1]],CustomerHierarchyLevels[],7,FALSE))</f>
        <v>6302</v>
      </c>
      <c r="S255" s="30">
        <f>IF(VLOOKUP(CustomerHierarchyLevels[[#This Row],[Level2]],CustomerHierarchyLevels[],7,FALSE)=0,CustomerHierarchyLevels[[#This Row],[Level2]],VLOOKUP(CustomerHierarchyLevels[[#This Row],[Level2]],CustomerHierarchyLevels[],7,FALSE))</f>
        <v>6301</v>
      </c>
    </row>
    <row r="256" spans="1:19" x14ac:dyDescent="0.25">
      <c r="A256">
        <v>1216</v>
      </c>
      <c r="B256" t="s">
        <v>13</v>
      </c>
      <c r="C256" t="s">
        <v>95</v>
      </c>
      <c r="D256">
        <v>0</v>
      </c>
      <c r="E256">
        <v>39010</v>
      </c>
      <c r="F256">
        <v>2958465</v>
      </c>
      <c r="G256">
        <v>6303</v>
      </c>
      <c r="H256" t="s">
        <v>13</v>
      </c>
      <c r="I256" t="s">
        <v>95</v>
      </c>
      <c r="J256">
        <v>0</v>
      </c>
      <c r="K256">
        <v>0</v>
      </c>
      <c r="N256">
        <v>0</v>
      </c>
      <c r="O256" t="s">
        <v>96</v>
      </c>
      <c r="P256" t="s">
        <v>1428</v>
      </c>
      <c r="Q256" s="30">
        <f>IF(CustomerHierarchyLevels[[#This Row],[HgLvCust.]]=0,CustomerHierarchyLevels[[#This Row],[Customer]],CustomerHierarchyLevels[[#This Row],[HgLvCust.]])</f>
        <v>6303</v>
      </c>
      <c r="R256" s="30">
        <f>IF(VLOOKUP(CustomerHierarchyLevels[[#This Row],[Level1]],CustomerHierarchyLevels[],7,FALSE)=0,CustomerHierarchyLevels[[#This Row],[Level1]],VLOOKUP(CustomerHierarchyLevels[[#This Row],[Level1]],CustomerHierarchyLevels[],7,FALSE))</f>
        <v>6302</v>
      </c>
      <c r="S256" s="30">
        <f>IF(VLOOKUP(CustomerHierarchyLevels[[#This Row],[Level2]],CustomerHierarchyLevels[],7,FALSE)=0,CustomerHierarchyLevels[[#This Row],[Level2]],VLOOKUP(CustomerHierarchyLevels[[#This Row],[Level2]],CustomerHierarchyLevels[],7,FALSE))</f>
        <v>6301</v>
      </c>
    </row>
    <row r="257" spans="1:19" x14ac:dyDescent="0.25">
      <c r="A257">
        <v>1215</v>
      </c>
      <c r="B257" t="s">
        <v>13</v>
      </c>
      <c r="C257" t="s">
        <v>95</v>
      </c>
      <c r="D257">
        <v>0</v>
      </c>
      <c r="E257">
        <v>39010</v>
      </c>
      <c r="F257">
        <v>2958465</v>
      </c>
      <c r="G257">
        <v>6303</v>
      </c>
      <c r="H257" t="s">
        <v>13</v>
      </c>
      <c r="I257" t="s">
        <v>95</v>
      </c>
      <c r="J257">
        <v>0</v>
      </c>
      <c r="K257">
        <v>0</v>
      </c>
      <c r="N257">
        <v>0</v>
      </c>
      <c r="O257" t="s">
        <v>96</v>
      </c>
      <c r="P257" t="s">
        <v>159</v>
      </c>
      <c r="Q257" s="30">
        <f>IF(CustomerHierarchyLevels[[#This Row],[HgLvCust.]]=0,CustomerHierarchyLevels[[#This Row],[Customer]],CustomerHierarchyLevels[[#This Row],[HgLvCust.]])</f>
        <v>6303</v>
      </c>
      <c r="R257" s="30">
        <f>IF(VLOOKUP(CustomerHierarchyLevels[[#This Row],[Level1]],CustomerHierarchyLevels[],7,FALSE)=0,CustomerHierarchyLevels[[#This Row],[Level1]],VLOOKUP(CustomerHierarchyLevels[[#This Row],[Level1]],CustomerHierarchyLevels[],7,FALSE))</f>
        <v>6302</v>
      </c>
      <c r="S257" s="30">
        <f>IF(VLOOKUP(CustomerHierarchyLevels[[#This Row],[Level2]],CustomerHierarchyLevels[],7,FALSE)=0,CustomerHierarchyLevels[[#This Row],[Level2]],VLOOKUP(CustomerHierarchyLevels[[#This Row],[Level2]],CustomerHierarchyLevels[],7,FALSE))</f>
        <v>6301</v>
      </c>
    </row>
    <row r="258" spans="1:19" x14ac:dyDescent="0.25">
      <c r="A258">
        <v>1157</v>
      </c>
      <c r="B258" t="s">
        <v>13</v>
      </c>
      <c r="C258" t="s">
        <v>95</v>
      </c>
      <c r="D258">
        <v>0</v>
      </c>
      <c r="E258">
        <v>39083</v>
      </c>
      <c r="F258">
        <v>2958465</v>
      </c>
      <c r="G258">
        <v>6303</v>
      </c>
      <c r="H258" t="s">
        <v>13</v>
      </c>
      <c r="I258" t="s">
        <v>95</v>
      </c>
      <c r="J258">
        <v>0</v>
      </c>
      <c r="K258">
        <v>0</v>
      </c>
      <c r="N258">
        <v>0</v>
      </c>
      <c r="O258" t="s">
        <v>96</v>
      </c>
      <c r="P258" t="s">
        <v>272</v>
      </c>
      <c r="Q258" s="30">
        <f>IF(CustomerHierarchyLevels[[#This Row],[HgLvCust.]]=0,CustomerHierarchyLevels[[#This Row],[Customer]],CustomerHierarchyLevels[[#This Row],[HgLvCust.]])</f>
        <v>6303</v>
      </c>
      <c r="R258" s="30">
        <f>IF(VLOOKUP(CustomerHierarchyLevels[[#This Row],[Level1]],CustomerHierarchyLevels[],7,FALSE)=0,CustomerHierarchyLevels[[#This Row],[Level1]],VLOOKUP(CustomerHierarchyLevels[[#This Row],[Level1]],CustomerHierarchyLevels[],7,FALSE))</f>
        <v>6302</v>
      </c>
      <c r="S258" s="30">
        <f>IF(VLOOKUP(CustomerHierarchyLevels[[#This Row],[Level2]],CustomerHierarchyLevels[],7,FALSE)=0,CustomerHierarchyLevels[[#This Row],[Level2]],VLOOKUP(CustomerHierarchyLevels[[#This Row],[Level2]],CustomerHierarchyLevels[],7,FALSE))</f>
        <v>6301</v>
      </c>
    </row>
    <row r="259" spans="1:19" x14ac:dyDescent="0.25">
      <c r="A259">
        <v>1989</v>
      </c>
      <c r="B259" t="s">
        <v>13</v>
      </c>
      <c r="C259" t="s">
        <v>95</v>
      </c>
      <c r="D259">
        <v>0</v>
      </c>
      <c r="E259">
        <v>39010</v>
      </c>
      <c r="F259">
        <v>2958465</v>
      </c>
      <c r="G259">
        <v>6303</v>
      </c>
      <c r="H259" t="s">
        <v>13</v>
      </c>
      <c r="I259" t="s">
        <v>95</v>
      </c>
      <c r="J259">
        <v>0</v>
      </c>
      <c r="K259">
        <v>0</v>
      </c>
      <c r="N259">
        <v>0</v>
      </c>
      <c r="O259" t="s">
        <v>96</v>
      </c>
      <c r="P259" t="s">
        <v>172</v>
      </c>
      <c r="Q259" s="30">
        <f>IF(CustomerHierarchyLevels[[#This Row],[HgLvCust.]]=0,CustomerHierarchyLevels[[#This Row],[Customer]],CustomerHierarchyLevels[[#This Row],[HgLvCust.]])</f>
        <v>6303</v>
      </c>
      <c r="R259" s="30">
        <f>IF(VLOOKUP(CustomerHierarchyLevels[[#This Row],[Level1]],CustomerHierarchyLevels[],7,FALSE)=0,CustomerHierarchyLevels[[#This Row],[Level1]],VLOOKUP(CustomerHierarchyLevels[[#This Row],[Level1]],CustomerHierarchyLevels[],7,FALSE))</f>
        <v>6302</v>
      </c>
      <c r="S259" s="30">
        <f>IF(VLOOKUP(CustomerHierarchyLevels[[#This Row],[Level2]],CustomerHierarchyLevels[],7,FALSE)=0,CustomerHierarchyLevels[[#This Row],[Level2]],VLOOKUP(CustomerHierarchyLevels[[#This Row],[Level2]],CustomerHierarchyLevels[],7,FALSE))</f>
        <v>6301</v>
      </c>
    </row>
    <row r="260" spans="1:19" x14ac:dyDescent="0.25">
      <c r="A260">
        <v>1433</v>
      </c>
      <c r="B260" t="s">
        <v>13</v>
      </c>
      <c r="C260" t="s">
        <v>95</v>
      </c>
      <c r="D260">
        <v>0</v>
      </c>
      <c r="E260">
        <v>39010</v>
      </c>
      <c r="F260">
        <v>2958465</v>
      </c>
      <c r="G260">
        <v>6303</v>
      </c>
      <c r="H260" t="s">
        <v>13</v>
      </c>
      <c r="I260" t="s">
        <v>95</v>
      </c>
      <c r="J260">
        <v>0</v>
      </c>
      <c r="K260">
        <v>0</v>
      </c>
      <c r="N260">
        <v>0</v>
      </c>
      <c r="O260" t="s">
        <v>96</v>
      </c>
      <c r="P260" t="s">
        <v>293</v>
      </c>
      <c r="Q260" s="30">
        <f>IF(CustomerHierarchyLevels[[#This Row],[HgLvCust.]]=0,CustomerHierarchyLevels[[#This Row],[Customer]],CustomerHierarchyLevels[[#This Row],[HgLvCust.]])</f>
        <v>6303</v>
      </c>
      <c r="R260" s="30">
        <f>IF(VLOOKUP(CustomerHierarchyLevels[[#This Row],[Level1]],CustomerHierarchyLevels[],7,FALSE)=0,CustomerHierarchyLevels[[#This Row],[Level1]],VLOOKUP(CustomerHierarchyLevels[[#This Row],[Level1]],CustomerHierarchyLevels[],7,FALSE))</f>
        <v>6302</v>
      </c>
      <c r="S260" s="30">
        <f>IF(VLOOKUP(CustomerHierarchyLevels[[#This Row],[Level2]],CustomerHierarchyLevels[],7,FALSE)=0,CustomerHierarchyLevels[[#This Row],[Level2]],VLOOKUP(CustomerHierarchyLevels[[#This Row],[Level2]],CustomerHierarchyLevels[],7,FALSE))</f>
        <v>6301</v>
      </c>
    </row>
    <row r="261" spans="1:19" x14ac:dyDescent="0.25">
      <c r="A261">
        <v>1183</v>
      </c>
      <c r="B261" t="s">
        <v>13</v>
      </c>
      <c r="C261" t="s">
        <v>95</v>
      </c>
      <c r="D261">
        <v>0</v>
      </c>
      <c r="E261">
        <v>39010</v>
      </c>
      <c r="F261">
        <v>2958465</v>
      </c>
      <c r="G261">
        <v>6303</v>
      </c>
      <c r="H261" t="s">
        <v>13</v>
      </c>
      <c r="I261" t="s">
        <v>95</v>
      </c>
      <c r="J261">
        <v>0</v>
      </c>
      <c r="K261">
        <v>0</v>
      </c>
      <c r="N261">
        <v>0</v>
      </c>
      <c r="O261" t="s">
        <v>96</v>
      </c>
      <c r="P261" t="s">
        <v>1429</v>
      </c>
      <c r="Q261" s="30">
        <f>IF(CustomerHierarchyLevels[[#This Row],[HgLvCust.]]=0,CustomerHierarchyLevels[[#This Row],[Customer]],CustomerHierarchyLevels[[#This Row],[HgLvCust.]])</f>
        <v>6303</v>
      </c>
      <c r="R261" s="30">
        <f>IF(VLOOKUP(CustomerHierarchyLevels[[#This Row],[Level1]],CustomerHierarchyLevels[],7,FALSE)=0,CustomerHierarchyLevels[[#This Row],[Level1]],VLOOKUP(CustomerHierarchyLevels[[#This Row],[Level1]],CustomerHierarchyLevels[],7,FALSE))</f>
        <v>6302</v>
      </c>
      <c r="S261" s="30">
        <f>IF(VLOOKUP(CustomerHierarchyLevels[[#This Row],[Level2]],CustomerHierarchyLevels[],7,FALSE)=0,CustomerHierarchyLevels[[#This Row],[Level2]],VLOOKUP(CustomerHierarchyLevels[[#This Row],[Level2]],CustomerHierarchyLevels[],7,FALSE))</f>
        <v>6301</v>
      </c>
    </row>
    <row r="262" spans="1:19" x14ac:dyDescent="0.25">
      <c r="A262">
        <v>6579</v>
      </c>
      <c r="B262" t="s">
        <v>13</v>
      </c>
      <c r="C262" t="s">
        <v>95</v>
      </c>
      <c r="D262">
        <v>0</v>
      </c>
      <c r="E262">
        <v>39010</v>
      </c>
      <c r="F262">
        <v>2958465</v>
      </c>
      <c r="G262">
        <v>6321</v>
      </c>
      <c r="H262" t="s">
        <v>13</v>
      </c>
      <c r="I262" t="s">
        <v>95</v>
      </c>
      <c r="J262">
        <v>0</v>
      </c>
      <c r="K262">
        <v>0</v>
      </c>
      <c r="N262">
        <v>0</v>
      </c>
      <c r="O262" t="s">
        <v>96</v>
      </c>
      <c r="P262" t="s">
        <v>268</v>
      </c>
      <c r="Q262" s="30">
        <f>IF(CustomerHierarchyLevels[[#This Row],[HgLvCust.]]=0,CustomerHierarchyLevels[[#This Row],[Customer]],CustomerHierarchyLevels[[#This Row],[HgLvCust.]])</f>
        <v>6321</v>
      </c>
      <c r="R262" s="30">
        <f>IF(VLOOKUP(CustomerHierarchyLevels[[#This Row],[Level1]],CustomerHierarchyLevels[],7,FALSE)=0,CustomerHierarchyLevels[[#This Row],[Level1]],VLOOKUP(CustomerHierarchyLevels[[#This Row],[Level1]],CustomerHierarchyLevels[],7,FALSE))</f>
        <v>2110</v>
      </c>
      <c r="S262" s="30">
        <f>IF(VLOOKUP(CustomerHierarchyLevels[[#This Row],[Level2]],CustomerHierarchyLevels[],7,FALSE)=0,CustomerHierarchyLevels[[#This Row],[Level2]],VLOOKUP(CustomerHierarchyLevels[[#This Row],[Level2]],CustomerHierarchyLevels[],7,FALSE))</f>
        <v>2109</v>
      </c>
    </row>
    <row r="263" spans="1:19" x14ac:dyDescent="0.25">
      <c r="A263">
        <v>6581</v>
      </c>
      <c r="B263" t="s">
        <v>13</v>
      </c>
      <c r="C263" t="s">
        <v>95</v>
      </c>
      <c r="D263">
        <v>0</v>
      </c>
      <c r="E263">
        <v>39010</v>
      </c>
      <c r="F263">
        <v>2958465</v>
      </c>
      <c r="G263">
        <v>6322</v>
      </c>
      <c r="H263" t="s">
        <v>13</v>
      </c>
      <c r="I263" t="s">
        <v>95</v>
      </c>
      <c r="J263">
        <v>0</v>
      </c>
      <c r="K263">
        <v>0</v>
      </c>
      <c r="N263">
        <v>0</v>
      </c>
      <c r="O263" t="s">
        <v>96</v>
      </c>
      <c r="P263" t="s">
        <v>240</v>
      </c>
      <c r="Q263" s="30">
        <f>IF(CustomerHierarchyLevels[[#This Row],[HgLvCust.]]=0,CustomerHierarchyLevels[[#This Row],[Customer]],CustomerHierarchyLevels[[#This Row],[HgLvCust.]])</f>
        <v>6322</v>
      </c>
      <c r="R263" s="30">
        <f>IF(VLOOKUP(CustomerHierarchyLevels[[#This Row],[Level1]],CustomerHierarchyLevels[],7,FALSE)=0,CustomerHierarchyLevels[[#This Row],[Level1]],VLOOKUP(CustomerHierarchyLevels[[#This Row],[Level1]],CustomerHierarchyLevels[],7,FALSE))</f>
        <v>2110</v>
      </c>
      <c r="S263" s="30">
        <f>IF(VLOOKUP(CustomerHierarchyLevels[[#This Row],[Level2]],CustomerHierarchyLevels[],7,FALSE)=0,CustomerHierarchyLevels[[#This Row],[Level2]],VLOOKUP(CustomerHierarchyLevels[[#This Row],[Level2]],CustomerHierarchyLevels[],7,FALSE))</f>
        <v>2109</v>
      </c>
    </row>
    <row r="264" spans="1:19" x14ac:dyDescent="0.25">
      <c r="A264">
        <v>6582</v>
      </c>
      <c r="B264" t="s">
        <v>13</v>
      </c>
      <c r="C264" t="s">
        <v>95</v>
      </c>
      <c r="D264">
        <v>0</v>
      </c>
      <c r="E264">
        <v>39010</v>
      </c>
      <c r="F264">
        <v>2958465</v>
      </c>
      <c r="G264">
        <v>6320</v>
      </c>
      <c r="H264" t="s">
        <v>13</v>
      </c>
      <c r="I264" t="s">
        <v>95</v>
      </c>
      <c r="J264">
        <v>0</v>
      </c>
      <c r="K264">
        <v>0</v>
      </c>
      <c r="N264">
        <v>0</v>
      </c>
      <c r="O264" t="s">
        <v>96</v>
      </c>
      <c r="P264" t="s">
        <v>265</v>
      </c>
      <c r="Q264" s="30">
        <f>IF(CustomerHierarchyLevels[[#This Row],[HgLvCust.]]=0,CustomerHierarchyLevels[[#This Row],[Customer]],CustomerHierarchyLevels[[#This Row],[HgLvCust.]])</f>
        <v>6320</v>
      </c>
      <c r="R264" s="30">
        <f>IF(VLOOKUP(CustomerHierarchyLevels[[#This Row],[Level1]],CustomerHierarchyLevels[],7,FALSE)=0,CustomerHierarchyLevels[[#This Row],[Level1]],VLOOKUP(CustomerHierarchyLevels[[#This Row],[Level1]],CustomerHierarchyLevels[],7,FALSE))</f>
        <v>2110</v>
      </c>
      <c r="S264" s="30">
        <f>IF(VLOOKUP(CustomerHierarchyLevels[[#This Row],[Level2]],CustomerHierarchyLevels[],7,FALSE)=0,CustomerHierarchyLevels[[#This Row],[Level2]],VLOOKUP(CustomerHierarchyLevels[[#This Row],[Level2]],CustomerHierarchyLevels[],7,FALSE))</f>
        <v>2109</v>
      </c>
    </row>
    <row r="265" spans="1:19" x14ac:dyDescent="0.25">
      <c r="A265">
        <v>6583</v>
      </c>
      <c r="B265" t="s">
        <v>13</v>
      </c>
      <c r="C265" t="s">
        <v>95</v>
      </c>
      <c r="D265">
        <v>0</v>
      </c>
      <c r="E265">
        <v>39010</v>
      </c>
      <c r="F265">
        <v>2958465</v>
      </c>
      <c r="G265">
        <v>6322</v>
      </c>
      <c r="H265" t="s">
        <v>13</v>
      </c>
      <c r="I265" t="s">
        <v>95</v>
      </c>
      <c r="J265">
        <v>0</v>
      </c>
      <c r="K265">
        <v>0</v>
      </c>
      <c r="N265">
        <v>0</v>
      </c>
      <c r="O265" t="s">
        <v>96</v>
      </c>
      <c r="P265" t="s">
        <v>242</v>
      </c>
      <c r="Q265" s="30">
        <f>IF(CustomerHierarchyLevels[[#This Row],[HgLvCust.]]=0,CustomerHierarchyLevels[[#This Row],[Customer]],CustomerHierarchyLevels[[#This Row],[HgLvCust.]])</f>
        <v>6322</v>
      </c>
      <c r="R265" s="30">
        <f>IF(VLOOKUP(CustomerHierarchyLevels[[#This Row],[Level1]],CustomerHierarchyLevels[],7,FALSE)=0,CustomerHierarchyLevels[[#This Row],[Level1]],VLOOKUP(CustomerHierarchyLevels[[#This Row],[Level1]],CustomerHierarchyLevels[],7,FALSE))</f>
        <v>2110</v>
      </c>
      <c r="S265" s="30">
        <f>IF(VLOOKUP(CustomerHierarchyLevels[[#This Row],[Level2]],CustomerHierarchyLevels[],7,FALSE)=0,CustomerHierarchyLevels[[#This Row],[Level2]],VLOOKUP(CustomerHierarchyLevels[[#This Row],[Level2]],CustomerHierarchyLevels[],7,FALSE))</f>
        <v>2109</v>
      </c>
    </row>
    <row r="266" spans="1:19" x14ac:dyDescent="0.25">
      <c r="A266">
        <v>6584</v>
      </c>
      <c r="B266" t="s">
        <v>13</v>
      </c>
      <c r="C266" t="s">
        <v>95</v>
      </c>
      <c r="D266">
        <v>0</v>
      </c>
      <c r="E266">
        <v>39010</v>
      </c>
      <c r="F266">
        <v>2958465</v>
      </c>
      <c r="G266">
        <v>6320</v>
      </c>
      <c r="H266" t="s">
        <v>13</v>
      </c>
      <c r="I266" t="s">
        <v>95</v>
      </c>
      <c r="J266">
        <v>0</v>
      </c>
      <c r="K266">
        <v>0</v>
      </c>
      <c r="N266">
        <v>0</v>
      </c>
      <c r="O266" t="s">
        <v>96</v>
      </c>
      <c r="P266" t="s">
        <v>278</v>
      </c>
      <c r="Q266" s="30">
        <f>IF(CustomerHierarchyLevels[[#This Row],[HgLvCust.]]=0,CustomerHierarchyLevels[[#This Row],[Customer]],CustomerHierarchyLevels[[#This Row],[HgLvCust.]])</f>
        <v>6320</v>
      </c>
      <c r="R266" s="30">
        <f>IF(VLOOKUP(CustomerHierarchyLevels[[#This Row],[Level1]],CustomerHierarchyLevels[],7,FALSE)=0,CustomerHierarchyLevels[[#This Row],[Level1]],VLOOKUP(CustomerHierarchyLevels[[#This Row],[Level1]],CustomerHierarchyLevels[],7,FALSE))</f>
        <v>2110</v>
      </c>
      <c r="S266" s="30">
        <f>IF(VLOOKUP(CustomerHierarchyLevels[[#This Row],[Level2]],CustomerHierarchyLevels[],7,FALSE)=0,CustomerHierarchyLevels[[#This Row],[Level2]],VLOOKUP(CustomerHierarchyLevels[[#This Row],[Level2]],CustomerHierarchyLevels[],7,FALSE))</f>
        <v>2109</v>
      </c>
    </row>
    <row r="267" spans="1:19" x14ac:dyDescent="0.25">
      <c r="A267">
        <v>1305</v>
      </c>
      <c r="B267" t="s">
        <v>13</v>
      </c>
      <c r="C267" t="s">
        <v>95</v>
      </c>
      <c r="D267">
        <v>0</v>
      </c>
      <c r="E267">
        <v>39010</v>
      </c>
      <c r="F267">
        <v>2958465</v>
      </c>
      <c r="G267">
        <v>6320</v>
      </c>
      <c r="H267" t="s">
        <v>13</v>
      </c>
      <c r="I267" t="s">
        <v>95</v>
      </c>
      <c r="J267">
        <v>0</v>
      </c>
      <c r="K267">
        <v>0</v>
      </c>
      <c r="N267">
        <v>0</v>
      </c>
      <c r="O267" t="s">
        <v>96</v>
      </c>
      <c r="P267" t="s">
        <v>1430</v>
      </c>
      <c r="Q267" s="30">
        <f>IF(CustomerHierarchyLevels[[#This Row],[HgLvCust.]]=0,CustomerHierarchyLevels[[#This Row],[Customer]],CustomerHierarchyLevels[[#This Row],[HgLvCust.]])</f>
        <v>6320</v>
      </c>
      <c r="R267" s="30">
        <f>IF(VLOOKUP(CustomerHierarchyLevels[[#This Row],[Level1]],CustomerHierarchyLevels[],7,FALSE)=0,CustomerHierarchyLevels[[#This Row],[Level1]],VLOOKUP(CustomerHierarchyLevels[[#This Row],[Level1]],CustomerHierarchyLevels[],7,FALSE))</f>
        <v>2110</v>
      </c>
      <c r="S267" s="30">
        <f>IF(VLOOKUP(CustomerHierarchyLevels[[#This Row],[Level2]],CustomerHierarchyLevels[],7,FALSE)=0,CustomerHierarchyLevels[[#This Row],[Level2]],VLOOKUP(CustomerHierarchyLevels[[#This Row],[Level2]],CustomerHierarchyLevels[],7,FALSE))</f>
        <v>2109</v>
      </c>
    </row>
    <row r="268" spans="1:19" x14ac:dyDescent="0.25">
      <c r="A268">
        <v>6001</v>
      </c>
      <c r="B268" t="s">
        <v>13</v>
      </c>
      <c r="C268" t="s">
        <v>95</v>
      </c>
      <c r="D268">
        <v>0</v>
      </c>
      <c r="E268">
        <v>39010</v>
      </c>
      <c r="F268">
        <v>2958465</v>
      </c>
      <c r="G268">
        <v>6325</v>
      </c>
      <c r="H268" t="s">
        <v>13</v>
      </c>
      <c r="I268" t="s">
        <v>95</v>
      </c>
      <c r="J268">
        <v>0</v>
      </c>
      <c r="K268">
        <v>0</v>
      </c>
      <c r="N268">
        <v>0</v>
      </c>
      <c r="O268" t="s">
        <v>96</v>
      </c>
      <c r="P268" t="s">
        <v>1431</v>
      </c>
      <c r="Q268" s="30">
        <f>IF(CustomerHierarchyLevels[[#This Row],[HgLvCust.]]=0,CustomerHierarchyLevels[[#This Row],[Customer]],CustomerHierarchyLevels[[#This Row],[HgLvCust.]])</f>
        <v>6325</v>
      </c>
      <c r="R268" s="30">
        <f>IF(VLOOKUP(CustomerHierarchyLevels[[#This Row],[Level1]],CustomerHierarchyLevels[],7,FALSE)=0,CustomerHierarchyLevels[[#This Row],[Level1]],VLOOKUP(CustomerHierarchyLevels[[#This Row],[Level1]],CustomerHierarchyLevels[],7,FALSE))</f>
        <v>6323</v>
      </c>
      <c r="S268" s="30">
        <f>IF(VLOOKUP(CustomerHierarchyLevels[[#This Row],[Level2]],CustomerHierarchyLevels[],7,FALSE)=0,CustomerHierarchyLevels[[#This Row],[Level2]],VLOOKUP(CustomerHierarchyLevels[[#This Row],[Level2]],CustomerHierarchyLevels[],7,FALSE))</f>
        <v>2109</v>
      </c>
    </row>
    <row r="269" spans="1:19" x14ac:dyDescent="0.25">
      <c r="A269">
        <v>1558</v>
      </c>
      <c r="B269" t="s">
        <v>13</v>
      </c>
      <c r="C269" t="s">
        <v>95</v>
      </c>
      <c r="D269">
        <v>0</v>
      </c>
      <c r="E269">
        <v>39010</v>
      </c>
      <c r="F269">
        <v>2958465</v>
      </c>
      <c r="G269">
        <v>6324</v>
      </c>
      <c r="H269" t="s">
        <v>13</v>
      </c>
      <c r="I269" t="s">
        <v>95</v>
      </c>
      <c r="J269">
        <v>0</v>
      </c>
      <c r="K269">
        <v>0</v>
      </c>
      <c r="N269">
        <v>0</v>
      </c>
      <c r="O269" t="s">
        <v>96</v>
      </c>
      <c r="P269" t="s">
        <v>1432</v>
      </c>
      <c r="Q269" s="30">
        <f>IF(CustomerHierarchyLevels[[#This Row],[HgLvCust.]]=0,CustomerHierarchyLevels[[#This Row],[Customer]],CustomerHierarchyLevels[[#This Row],[HgLvCust.]])</f>
        <v>6324</v>
      </c>
      <c r="R269" s="30">
        <f>IF(VLOOKUP(CustomerHierarchyLevels[[#This Row],[Level1]],CustomerHierarchyLevels[],7,FALSE)=0,CustomerHierarchyLevels[[#This Row],[Level1]],VLOOKUP(CustomerHierarchyLevels[[#This Row],[Level1]],CustomerHierarchyLevels[],7,FALSE))</f>
        <v>6323</v>
      </c>
      <c r="S269" s="30">
        <f>IF(VLOOKUP(CustomerHierarchyLevels[[#This Row],[Level2]],CustomerHierarchyLevels[],7,FALSE)=0,CustomerHierarchyLevels[[#This Row],[Level2]],VLOOKUP(CustomerHierarchyLevels[[#This Row],[Level2]],CustomerHierarchyLevels[],7,FALSE))</f>
        <v>2109</v>
      </c>
    </row>
    <row r="270" spans="1:19" x14ac:dyDescent="0.25">
      <c r="A270">
        <v>6585</v>
      </c>
      <c r="B270" t="s">
        <v>13</v>
      </c>
      <c r="C270" t="s">
        <v>95</v>
      </c>
      <c r="D270">
        <v>0</v>
      </c>
      <c r="E270">
        <v>39010</v>
      </c>
      <c r="F270">
        <v>2958465</v>
      </c>
      <c r="G270">
        <v>6325</v>
      </c>
      <c r="H270" t="s">
        <v>13</v>
      </c>
      <c r="I270" t="s">
        <v>95</v>
      </c>
      <c r="J270">
        <v>0</v>
      </c>
      <c r="K270">
        <v>0</v>
      </c>
      <c r="N270">
        <v>0</v>
      </c>
      <c r="O270" t="s">
        <v>96</v>
      </c>
      <c r="P270" t="s">
        <v>1433</v>
      </c>
      <c r="Q270" s="30">
        <f>IF(CustomerHierarchyLevels[[#This Row],[HgLvCust.]]=0,CustomerHierarchyLevels[[#This Row],[Customer]],CustomerHierarchyLevels[[#This Row],[HgLvCust.]])</f>
        <v>6325</v>
      </c>
      <c r="R270" s="30">
        <f>IF(VLOOKUP(CustomerHierarchyLevels[[#This Row],[Level1]],CustomerHierarchyLevels[],7,FALSE)=0,CustomerHierarchyLevels[[#This Row],[Level1]],VLOOKUP(CustomerHierarchyLevels[[#This Row],[Level1]],CustomerHierarchyLevels[],7,FALSE))</f>
        <v>6323</v>
      </c>
      <c r="S270" s="30">
        <f>IF(VLOOKUP(CustomerHierarchyLevels[[#This Row],[Level2]],CustomerHierarchyLevels[],7,FALSE)=0,CustomerHierarchyLevels[[#This Row],[Level2]],VLOOKUP(CustomerHierarchyLevels[[#This Row],[Level2]],CustomerHierarchyLevels[],7,FALSE))</f>
        <v>2109</v>
      </c>
    </row>
    <row r="271" spans="1:19" x14ac:dyDescent="0.25">
      <c r="A271">
        <v>6586</v>
      </c>
      <c r="B271" t="s">
        <v>13</v>
      </c>
      <c r="C271" t="s">
        <v>95</v>
      </c>
      <c r="D271">
        <v>0</v>
      </c>
      <c r="E271">
        <v>39010</v>
      </c>
      <c r="F271">
        <v>2958465</v>
      </c>
      <c r="G271">
        <v>6324</v>
      </c>
      <c r="H271" t="s">
        <v>13</v>
      </c>
      <c r="I271" t="s">
        <v>95</v>
      </c>
      <c r="J271">
        <v>0</v>
      </c>
      <c r="K271">
        <v>0</v>
      </c>
      <c r="N271">
        <v>0</v>
      </c>
      <c r="O271" t="s">
        <v>96</v>
      </c>
      <c r="P271" t="s">
        <v>1434</v>
      </c>
      <c r="Q271" s="30">
        <f>IF(CustomerHierarchyLevels[[#This Row],[HgLvCust.]]=0,CustomerHierarchyLevels[[#This Row],[Customer]],CustomerHierarchyLevels[[#This Row],[HgLvCust.]])</f>
        <v>6324</v>
      </c>
      <c r="R271" s="30">
        <f>IF(VLOOKUP(CustomerHierarchyLevels[[#This Row],[Level1]],CustomerHierarchyLevels[],7,FALSE)=0,CustomerHierarchyLevels[[#This Row],[Level1]],VLOOKUP(CustomerHierarchyLevels[[#This Row],[Level1]],CustomerHierarchyLevels[],7,FALSE))</f>
        <v>6323</v>
      </c>
      <c r="S271" s="30">
        <f>IF(VLOOKUP(CustomerHierarchyLevels[[#This Row],[Level2]],CustomerHierarchyLevels[],7,FALSE)=0,CustomerHierarchyLevels[[#This Row],[Level2]],VLOOKUP(CustomerHierarchyLevels[[#This Row],[Level2]],CustomerHierarchyLevels[],7,FALSE))</f>
        <v>2109</v>
      </c>
    </row>
    <row r="272" spans="1:19" x14ac:dyDescent="0.25">
      <c r="A272">
        <v>1376</v>
      </c>
      <c r="B272" t="s">
        <v>13</v>
      </c>
      <c r="C272" t="s">
        <v>95</v>
      </c>
      <c r="D272">
        <v>0</v>
      </c>
      <c r="E272">
        <v>39010</v>
      </c>
      <c r="F272">
        <v>2958465</v>
      </c>
      <c r="G272">
        <v>6324</v>
      </c>
      <c r="H272" t="s">
        <v>13</v>
      </c>
      <c r="I272" t="s">
        <v>95</v>
      </c>
      <c r="J272">
        <v>0</v>
      </c>
      <c r="K272">
        <v>0</v>
      </c>
      <c r="N272">
        <v>0</v>
      </c>
      <c r="O272" t="s">
        <v>96</v>
      </c>
      <c r="P272" t="s">
        <v>1435</v>
      </c>
      <c r="Q272" s="30">
        <f>IF(CustomerHierarchyLevels[[#This Row],[HgLvCust.]]=0,CustomerHierarchyLevels[[#This Row],[Customer]],CustomerHierarchyLevels[[#This Row],[HgLvCust.]])</f>
        <v>6324</v>
      </c>
      <c r="R272" s="30">
        <f>IF(VLOOKUP(CustomerHierarchyLevels[[#This Row],[Level1]],CustomerHierarchyLevels[],7,FALSE)=0,CustomerHierarchyLevels[[#This Row],[Level1]],VLOOKUP(CustomerHierarchyLevels[[#This Row],[Level1]],CustomerHierarchyLevels[],7,FALSE))</f>
        <v>6323</v>
      </c>
      <c r="S272" s="30">
        <f>IF(VLOOKUP(CustomerHierarchyLevels[[#This Row],[Level2]],CustomerHierarchyLevels[],7,FALSE)=0,CustomerHierarchyLevels[[#This Row],[Level2]],VLOOKUP(CustomerHierarchyLevels[[#This Row],[Level2]],CustomerHierarchyLevels[],7,FALSE))</f>
        <v>2109</v>
      </c>
    </row>
    <row r="273" spans="1:19" x14ac:dyDescent="0.25">
      <c r="A273">
        <v>1288</v>
      </c>
      <c r="B273" t="s">
        <v>13</v>
      </c>
      <c r="C273" t="s">
        <v>95</v>
      </c>
      <c r="D273">
        <v>0</v>
      </c>
      <c r="E273">
        <v>39010</v>
      </c>
      <c r="F273">
        <v>2958465</v>
      </c>
      <c r="G273">
        <v>6327</v>
      </c>
      <c r="H273" t="s">
        <v>13</v>
      </c>
      <c r="I273" t="s">
        <v>95</v>
      </c>
      <c r="J273">
        <v>0</v>
      </c>
      <c r="K273">
        <v>0</v>
      </c>
      <c r="N273">
        <v>0</v>
      </c>
      <c r="O273" t="s">
        <v>96</v>
      </c>
      <c r="P273" t="s">
        <v>195</v>
      </c>
      <c r="Q273" s="30">
        <f>IF(CustomerHierarchyLevels[[#This Row],[HgLvCust.]]=0,CustomerHierarchyLevels[[#This Row],[Customer]],CustomerHierarchyLevels[[#This Row],[HgLvCust.]])</f>
        <v>6327</v>
      </c>
      <c r="R273" s="30">
        <f>IF(VLOOKUP(CustomerHierarchyLevels[[#This Row],[Level1]],CustomerHierarchyLevels[],7,FALSE)=0,CustomerHierarchyLevels[[#This Row],[Level1]],VLOOKUP(CustomerHierarchyLevels[[#This Row],[Level1]],CustomerHierarchyLevels[],7,FALSE))</f>
        <v>2126</v>
      </c>
      <c r="S273" s="30">
        <f>IF(VLOOKUP(CustomerHierarchyLevels[[#This Row],[Level2]],CustomerHierarchyLevels[],7,FALSE)=0,CustomerHierarchyLevels[[#This Row],[Level2]],VLOOKUP(CustomerHierarchyLevels[[#This Row],[Level2]],CustomerHierarchyLevels[],7,FALSE))</f>
        <v>2125</v>
      </c>
    </row>
    <row r="274" spans="1:19" x14ac:dyDescent="0.25">
      <c r="A274">
        <v>1287</v>
      </c>
      <c r="B274" t="s">
        <v>13</v>
      </c>
      <c r="C274" t="s">
        <v>95</v>
      </c>
      <c r="D274">
        <v>0</v>
      </c>
      <c r="E274">
        <v>39010</v>
      </c>
      <c r="F274">
        <v>2958465</v>
      </c>
      <c r="G274">
        <v>6327</v>
      </c>
      <c r="H274" t="s">
        <v>13</v>
      </c>
      <c r="I274" t="s">
        <v>95</v>
      </c>
      <c r="J274">
        <v>0</v>
      </c>
      <c r="K274">
        <v>0</v>
      </c>
      <c r="N274">
        <v>0</v>
      </c>
      <c r="O274" t="s">
        <v>96</v>
      </c>
      <c r="P274" t="s">
        <v>198</v>
      </c>
      <c r="Q274" s="30">
        <f>IF(CustomerHierarchyLevels[[#This Row],[HgLvCust.]]=0,CustomerHierarchyLevels[[#This Row],[Customer]],CustomerHierarchyLevels[[#This Row],[HgLvCust.]])</f>
        <v>6327</v>
      </c>
      <c r="R274" s="30">
        <f>IF(VLOOKUP(CustomerHierarchyLevels[[#This Row],[Level1]],CustomerHierarchyLevels[],7,FALSE)=0,CustomerHierarchyLevels[[#This Row],[Level1]],VLOOKUP(CustomerHierarchyLevels[[#This Row],[Level1]],CustomerHierarchyLevels[],7,FALSE))</f>
        <v>2126</v>
      </c>
      <c r="S274" s="30">
        <f>IF(VLOOKUP(CustomerHierarchyLevels[[#This Row],[Level2]],CustomerHierarchyLevels[],7,FALSE)=0,CustomerHierarchyLevels[[#This Row],[Level2]],VLOOKUP(CustomerHierarchyLevels[[#This Row],[Level2]],CustomerHierarchyLevels[],7,FALSE))</f>
        <v>2125</v>
      </c>
    </row>
    <row r="275" spans="1:19" x14ac:dyDescent="0.25">
      <c r="A275">
        <v>1292</v>
      </c>
      <c r="B275" t="s">
        <v>13</v>
      </c>
      <c r="C275" t="s">
        <v>95</v>
      </c>
      <c r="D275">
        <v>0</v>
      </c>
      <c r="E275">
        <v>39010</v>
      </c>
      <c r="F275">
        <v>2958465</v>
      </c>
      <c r="G275">
        <v>6329</v>
      </c>
      <c r="H275" t="s">
        <v>13</v>
      </c>
      <c r="I275" t="s">
        <v>95</v>
      </c>
      <c r="J275">
        <v>0</v>
      </c>
      <c r="K275">
        <v>0</v>
      </c>
      <c r="N275">
        <v>0</v>
      </c>
      <c r="O275" t="s">
        <v>96</v>
      </c>
      <c r="P275" t="s">
        <v>202</v>
      </c>
      <c r="Q275" s="30">
        <f>IF(CustomerHierarchyLevels[[#This Row],[HgLvCust.]]=0,CustomerHierarchyLevels[[#This Row],[Customer]],CustomerHierarchyLevels[[#This Row],[HgLvCust.]])</f>
        <v>6329</v>
      </c>
      <c r="R275" s="30">
        <f>IF(VLOOKUP(CustomerHierarchyLevels[[#This Row],[Level1]],CustomerHierarchyLevels[],7,FALSE)=0,CustomerHierarchyLevels[[#This Row],[Level1]],VLOOKUP(CustomerHierarchyLevels[[#This Row],[Level1]],CustomerHierarchyLevels[],7,FALSE))</f>
        <v>2126</v>
      </c>
      <c r="S275" s="30">
        <f>IF(VLOOKUP(CustomerHierarchyLevels[[#This Row],[Level2]],CustomerHierarchyLevels[],7,FALSE)=0,CustomerHierarchyLevels[[#This Row],[Level2]],VLOOKUP(CustomerHierarchyLevels[[#This Row],[Level2]],CustomerHierarchyLevels[],7,FALSE))</f>
        <v>2125</v>
      </c>
    </row>
    <row r="276" spans="1:19" x14ac:dyDescent="0.25">
      <c r="A276">
        <v>1293</v>
      </c>
      <c r="B276" t="s">
        <v>13</v>
      </c>
      <c r="C276" t="s">
        <v>95</v>
      </c>
      <c r="D276">
        <v>0</v>
      </c>
      <c r="E276">
        <v>39010</v>
      </c>
      <c r="F276">
        <v>2958465</v>
      </c>
      <c r="G276">
        <v>6327</v>
      </c>
      <c r="H276" t="s">
        <v>13</v>
      </c>
      <c r="I276" t="s">
        <v>95</v>
      </c>
      <c r="J276">
        <v>0</v>
      </c>
      <c r="K276">
        <v>0</v>
      </c>
      <c r="N276">
        <v>0</v>
      </c>
      <c r="O276" t="s">
        <v>96</v>
      </c>
      <c r="P276" t="s">
        <v>270</v>
      </c>
      <c r="Q276" s="30">
        <f>IF(CustomerHierarchyLevels[[#This Row],[HgLvCust.]]=0,CustomerHierarchyLevels[[#This Row],[Customer]],CustomerHierarchyLevels[[#This Row],[HgLvCust.]])</f>
        <v>6327</v>
      </c>
      <c r="R276" s="30">
        <f>IF(VLOOKUP(CustomerHierarchyLevels[[#This Row],[Level1]],CustomerHierarchyLevels[],7,FALSE)=0,CustomerHierarchyLevels[[#This Row],[Level1]],VLOOKUP(CustomerHierarchyLevels[[#This Row],[Level1]],CustomerHierarchyLevels[],7,FALSE))</f>
        <v>2126</v>
      </c>
      <c r="S276" s="30">
        <f>IF(VLOOKUP(CustomerHierarchyLevels[[#This Row],[Level2]],CustomerHierarchyLevels[],7,FALSE)=0,CustomerHierarchyLevels[[#This Row],[Level2]],VLOOKUP(CustomerHierarchyLevels[[#This Row],[Level2]],CustomerHierarchyLevels[],7,FALSE))</f>
        <v>2125</v>
      </c>
    </row>
    <row r="277" spans="1:19" x14ac:dyDescent="0.25">
      <c r="A277">
        <v>1298</v>
      </c>
      <c r="B277" t="s">
        <v>13</v>
      </c>
      <c r="C277" t="s">
        <v>95</v>
      </c>
      <c r="D277">
        <v>0</v>
      </c>
      <c r="E277">
        <v>39010</v>
      </c>
      <c r="F277">
        <v>2958465</v>
      </c>
      <c r="G277">
        <v>6328</v>
      </c>
      <c r="H277" t="s">
        <v>13</v>
      </c>
      <c r="I277" t="s">
        <v>95</v>
      </c>
      <c r="J277">
        <v>0</v>
      </c>
      <c r="K277">
        <v>0</v>
      </c>
      <c r="N277">
        <v>0</v>
      </c>
      <c r="O277" t="s">
        <v>96</v>
      </c>
      <c r="P277" t="s">
        <v>233</v>
      </c>
      <c r="Q277" s="30">
        <f>IF(CustomerHierarchyLevels[[#This Row],[HgLvCust.]]=0,CustomerHierarchyLevels[[#This Row],[Customer]],CustomerHierarchyLevels[[#This Row],[HgLvCust.]])</f>
        <v>6328</v>
      </c>
      <c r="R277" s="30">
        <f>IF(VLOOKUP(CustomerHierarchyLevels[[#This Row],[Level1]],CustomerHierarchyLevels[],7,FALSE)=0,CustomerHierarchyLevels[[#This Row],[Level1]],VLOOKUP(CustomerHierarchyLevels[[#This Row],[Level1]],CustomerHierarchyLevels[],7,FALSE))</f>
        <v>2126</v>
      </c>
      <c r="S277" s="30">
        <f>IF(VLOOKUP(CustomerHierarchyLevels[[#This Row],[Level2]],CustomerHierarchyLevels[],7,FALSE)=0,CustomerHierarchyLevels[[#This Row],[Level2]],VLOOKUP(CustomerHierarchyLevels[[#This Row],[Level2]],CustomerHierarchyLevels[],7,FALSE))</f>
        <v>2125</v>
      </c>
    </row>
    <row r="278" spans="1:19" x14ac:dyDescent="0.25">
      <c r="A278">
        <v>1289</v>
      </c>
      <c r="B278" t="s">
        <v>13</v>
      </c>
      <c r="C278" t="s">
        <v>95</v>
      </c>
      <c r="D278">
        <v>0</v>
      </c>
      <c r="E278">
        <v>39010</v>
      </c>
      <c r="F278">
        <v>2958465</v>
      </c>
      <c r="G278">
        <v>6328</v>
      </c>
      <c r="H278" t="s">
        <v>13</v>
      </c>
      <c r="I278" t="s">
        <v>95</v>
      </c>
      <c r="J278">
        <v>0</v>
      </c>
      <c r="K278">
        <v>0</v>
      </c>
      <c r="N278">
        <v>0</v>
      </c>
      <c r="O278" t="s">
        <v>96</v>
      </c>
      <c r="P278" t="s">
        <v>1436</v>
      </c>
      <c r="Q278" s="30">
        <f>IF(CustomerHierarchyLevels[[#This Row],[HgLvCust.]]=0,CustomerHierarchyLevels[[#This Row],[Customer]],CustomerHierarchyLevels[[#This Row],[HgLvCust.]])</f>
        <v>6328</v>
      </c>
      <c r="R278" s="30">
        <f>IF(VLOOKUP(CustomerHierarchyLevels[[#This Row],[Level1]],CustomerHierarchyLevels[],7,FALSE)=0,CustomerHierarchyLevels[[#This Row],[Level1]],VLOOKUP(CustomerHierarchyLevels[[#This Row],[Level1]],CustomerHierarchyLevels[],7,FALSE))</f>
        <v>2126</v>
      </c>
      <c r="S278" s="30">
        <f>IF(VLOOKUP(CustomerHierarchyLevels[[#This Row],[Level2]],CustomerHierarchyLevels[],7,FALSE)=0,CustomerHierarchyLevels[[#This Row],[Level2]],VLOOKUP(CustomerHierarchyLevels[[#This Row],[Level2]],CustomerHierarchyLevels[],7,FALSE))</f>
        <v>2125</v>
      </c>
    </row>
    <row r="279" spans="1:19" x14ac:dyDescent="0.25">
      <c r="A279">
        <v>1304</v>
      </c>
      <c r="B279" t="s">
        <v>13</v>
      </c>
      <c r="C279" t="s">
        <v>95</v>
      </c>
      <c r="D279">
        <v>0</v>
      </c>
      <c r="E279">
        <v>39010</v>
      </c>
      <c r="F279">
        <v>2958465</v>
      </c>
      <c r="G279">
        <v>6327</v>
      </c>
      <c r="H279" t="s">
        <v>13</v>
      </c>
      <c r="I279" t="s">
        <v>95</v>
      </c>
      <c r="J279">
        <v>0</v>
      </c>
      <c r="K279">
        <v>0</v>
      </c>
      <c r="N279">
        <v>0</v>
      </c>
      <c r="O279" t="s">
        <v>96</v>
      </c>
      <c r="P279" t="s">
        <v>231</v>
      </c>
      <c r="Q279" s="30">
        <f>IF(CustomerHierarchyLevels[[#This Row],[HgLvCust.]]=0,CustomerHierarchyLevels[[#This Row],[Customer]],CustomerHierarchyLevels[[#This Row],[HgLvCust.]])</f>
        <v>6327</v>
      </c>
      <c r="R279" s="30">
        <f>IF(VLOOKUP(CustomerHierarchyLevels[[#This Row],[Level1]],CustomerHierarchyLevels[],7,FALSE)=0,CustomerHierarchyLevels[[#This Row],[Level1]],VLOOKUP(CustomerHierarchyLevels[[#This Row],[Level1]],CustomerHierarchyLevels[],7,FALSE))</f>
        <v>2126</v>
      </c>
      <c r="S279" s="30">
        <f>IF(VLOOKUP(CustomerHierarchyLevels[[#This Row],[Level2]],CustomerHierarchyLevels[],7,FALSE)=0,CustomerHierarchyLevels[[#This Row],[Level2]],VLOOKUP(CustomerHierarchyLevels[[#This Row],[Level2]],CustomerHierarchyLevels[],7,FALSE))</f>
        <v>2125</v>
      </c>
    </row>
    <row r="280" spans="1:19" x14ac:dyDescent="0.25">
      <c r="A280">
        <v>1369</v>
      </c>
      <c r="B280" t="s">
        <v>13</v>
      </c>
      <c r="C280" t="s">
        <v>95</v>
      </c>
      <c r="D280">
        <v>0</v>
      </c>
      <c r="E280">
        <v>39010</v>
      </c>
      <c r="F280">
        <v>2958465</v>
      </c>
      <c r="G280">
        <v>6327</v>
      </c>
      <c r="H280" t="s">
        <v>13</v>
      </c>
      <c r="I280" t="s">
        <v>95</v>
      </c>
      <c r="J280">
        <v>0</v>
      </c>
      <c r="K280">
        <v>0</v>
      </c>
      <c r="N280">
        <v>0</v>
      </c>
      <c r="O280" t="s">
        <v>96</v>
      </c>
      <c r="P280" t="s">
        <v>184</v>
      </c>
      <c r="Q280" s="30">
        <f>IF(CustomerHierarchyLevels[[#This Row],[HgLvCust.]]=0,CustomerHierarchyLevels[[#This Row],[Customer]],CustomerHierarchyLevels[[#This Row],[HgLvCust.]])</f>
        <v>6327</v>
      </c>
      <c r="R280" s="30">
        <f>IF(VLOOKUP(CustomerHierarchyLevels[[#This Row],[Level1]],CustomerHierarchyLevels[],7,FALSE)=0,CustomerHierarchyLevels[[#This Row],[Level1]],VLOOKUP(CustomerHierarchyLevels[[#This Row],[Level1]],CustomerHierarchyLevels[],7,FALSE))</f>
        <v>2126</v>
      </c>
      <c r="S280" s="30">
        <f>IF(VLOOKUP(CustomerHierarchyLevels[[#This Row],[Level2]],CustomerHierarchyLevels[],7,FALSE)=0,CustomerHierarchyLevels[[#This Row],[Level2]],VLOOKUP(CustomerHierarchyLevels[[#This Row],[Level2]],CustomerHierarchyLevels[],7,FALSE))</f>
        <v>2125</v>
      </c>
    </row>
    <row r="281" spans="1:19" x14ac:dyDescent="0.25">
      <c r="A281">
        <v>1324</v>
      </c>
      <c r="B281" t="s">
        <v>13</v>
      </c>
      <c r="C281" t="s">
        <v>95</v>
      </c>
      <c r="D281">
        <v>0</v>
      </c>
      <c r="E281">
        <v>39010</v>
      </c>
      <c r="F281">
        <v>2958465</v>
      </c>
      <c r="G281">
        <v>6327</v>
      </c>
      <c r="H281" t="s">
        <v>13</v>
      </c>
      <c r="I281" t="s">
        <v>95</v>
      </c>
      <c r="J281">
        <v>0</v>
      </c>
      <c r="K281">
        <v>0</v>
      </c>
      <c r="N281">
        <v>0</v>
      </c>
      <c r="O281" t="s">
        <v>96</v>
      </c>
      <c r="P281" t="s">
        <v>221</v>
      </c>
      <c r="Q281" s="30">
        <f>IF(CustomerHierarchyLevels[[#This Row],[HgLvCust.]]=0,CustomerHierarchyLevels[[#This Row],[Customer]],CustomerHierarchyLevels[[#This Row],[HgLvCust.]])</f>
        <v>6327</v>
      </c>
      <c r="R281" s="30">
        <f>IF(VLOOKUP(CustomerHierarchyLevels[[#This Row],[Level1]],CustomerHierarchyLevels[],7,FALSE)=0,CustomerHierarchyLevels[[#This Row],[Level1]],VLOOKUP(CustomerHierarchyLevels[[#This Row],[Level1]],CustomerHierarchyLevels[],7,FALSE))</f>
        <v>2126</v>
      </c>
      <c r="S281" s="30">
        <f>IF(VLOOKUP(CustomerHierarchyLevels[[#This Row],[Level2]],CustomerHierarchyLevels[],7,FALSE)=0,CustomerHierarchyLevels[[#This Row],[Level2]],VLOOKUP(CustomerHierarchyLevels[[#This Row],[Level2]],CustomerHierarchyLevels[],7,FALSE))</f>
        <v>2125</v>
      </c>
    </row>
    <row r="282" spans="1:19" x14ac:dyDescent="0.25">
      <c r="A282">
        <v>1313</v>
      </c>
      <c r="B282" t="s">
        <v>13</v>
      </c>
      <c r="C282" t="s">
        <v>95</v>
      </c>
      <c r="D282">
        <v>0</v>
      </c>
      <c r="E282">
        <v>39010</v>
      </c>
      <c r="F282">
        <v>2958465</v>
      </c>
      <c r="G282">
        <v>6327</v>
      </c>
      <c r="H282" t="s">
        <v>13</v>
      </c>
      <c r="I282" t="s">
        <v>95</v>
      </c>
      <c r="J282">
        <v>0</v>
      </c>
      <c r="K282">
        <v>0</v>
      </c>
      <c r="N282">
        <v>0</v>
      </c>
      <c r="O282" t="s">
        <v>96</v>
      </c>
      <c r="P282" t="s">
        <v>171</v>
      </c>
      <c r="Q282" s="30">
        <f>IF(CustomerHierarchyLevels[[#This Row],[HgLvCust.]]=0,CustomerHierarchyLevels[[#This Row],[Customer]],CustomerHierarchyLevels[[#This Row],[HgLvCust.]])</f>
        <v>6327</v>
      </c>
      <c r="R282" s="30">
        <f>IF(VLOOKUP(CustomerHierarchyLevels[[#This Row],[Level1]],CustomerHierarchyLevels[],7,FALSE)=0,CustomerHierarchyLevels[[#This Row],[Level1]],VLOOKUP(CustomerHierarchyLevels[[#This Row],[Level1]],CustomerHierarchyLevels[],7,FALSE))</f>
        <v>2126</v>
      </c>
      <c r="S282" s="30">
        <f>IF(VLOOKUP(CustomerHierarchyLevels[[#This Row],[Level2]],CustomerHierarchyLevels[],7,FALSE)=0,CustomerHierarchyLevels[[#This Row],[Level2]],VLOOKUP(CustomerHierarchyLevels[[#This Row],[Level2]],CustomerHierarchyLevels[],7,FALSE))</f>
        <v>2125</v>
      </c>
    </row>
    <row r="283" spans="1:19" x14ac:dyDescent="0.25">
      <c r="A283">
        <v>2084</v>
      </c>
      <c r="B283" t="s">
        <v>13</v>
      </c>
      <c r="C283" t="s">
        <v>95</v>
      </c>
      <c r="D283">
        <v>0</v>
      </c>
      <c r="E283">
        <v>39010</v>
      </c>
      <c r="F283">
        <v>2958465</v>
      </c>
      <c r="G283">
        <v>6329</v>
      </c>
      <c r="H283" t="s">
        <v>13</v>
      </c>
      <c r="I283" t="s">
        <v>95</v>
      </c>
      <c r="J283">
        <v>0</v>
      </c>
      <c r="K283">
        <v>0</v>
      </c>
      <c r="N283">
        <v>0</v>
      </c>
      <c r="O283" t="s">
        <v>96</v>
      </c>
      <c r="P283" t="s">
        <v>194</v>
      </c>
      <c r="Q283" s="30">
        <f>IF(CustomerHierarchyLevels[[#This Row],[HgLvCust.]]=0,CustomerHierarchyLevels[[#This Row],[Customer]],CustomerHierarchyLevels[[#This Row],[HgLvCust.]])</f>
        <v>6329</v>
      </c>
      <c r="R283" s="30">
        <f>IF(VLOOKUP(CustomerHierarchyLevels[[#This Row],[Level1]],CustomerHierarchyLevels[],7,FALSE)=0,CustomerHierarchyLevels[[#This Row],[Level1]],VLOOKUP(CustomerHierarchyLevels[[#This Row],[Level1]],CustomerHierarchyLevels[],7,FALSE))</f>
        <v>2126</v>
      </c>
      <c r="S283" s="30">
        <f>IF(VLOOKUP(CustomerHierarchyLevels[[#This Row],[Level2]],CustomerHierarchyLevels[],7,FALSE)=0,CustomerHierarchyLevels[[#This Row],[Level2]],VLOOKUP(CustomerHierarchyLevels[[#This Row],[Level2]],CustomerHierarchyLevels[],7,FALSE))</f>
        <v>2125</v>
      </c>
    </row>
    <row r="284" spans="1:19" x14ac:dyDescent="0.25">
      <c r="A284">
        <v>5731</v>
      </c>
      <c r="B284" t="s">
        <v>13</v>
      </c>
      <c r="C284" t="s">
        <v>95</v>
      </c>
      <c r="D284">
        <v>0</v>
      </c>
      <c r="E284">
        <v>39010</v>
      </c>
      <c r="F284">
        <v>2958465</v>
      </c>
      <c r="G284">
        <v>6336</v>
      </c>
      <c r="H284" t="s">
        <v>13</v>
      </c>
      <c r="I284" t="s">
        <v>95</v>
      </c>
      <c r="J284">
        <v>0</v>
      </c>
      <c r="K284">
        <v>0</v>
      </c>
      <c r="N284">
        <v>0</v>
      </c>
      <c r="O284" t="s">
        <v>96</v>
      </c>
      <c r="P284" t="s">
        <v>1437</v>
      </c>
      <c r="Q284" s="30">
        <f>IF(CustomerHierarchyLevels[[#This Row],[HgLvCust.]]=0,CustomerHierarchyLevels[[#This Row],[Customer]],CustomerHierarchyLevels[[#This Row],[HgLvCust.]])</f>
        <v>6336</v>
      </c>
      <c r="R284" s="30">
        <f>IF(VLOOKUP(CustomerHierarchyLevels[[#This Row],[Level1]],CustomerHierarchyLevels[],7,FALSE)=0,CustomerHierarchyLevels[[#This Row],[Level1]],VLOOKUP(CustomerHierarchyLevels[[#This Row],[Level1]],CustomerHierarchyLevels[],7,FALSE))</f>
        <v>6334</v>
      </c>
      <c r="S284" s="30">
        <f>IF(VLOOKUP(CustomerHierarchyLevels[[#This Row],[Level2]],CustomerHierarchyLevels[],7,FALSE)=0,CustomerHierarchyLevels[[#This Row],[Level2]],VLOOKUP(CustomerHierarchyLevels[[#This Row],[Level2]],CustomerHierarchyLevels[],7,FALSE))</f>
        <v>6333</v>
      </c>
    </row>
    <row r="285" spans="1:19" x14ac:dyDescent="0.25">
      <c r="A285">
        <v>3222</v>
      </c>
      <c r="B285" t="s">
        <v>13</v>
      </c>
      <c r="C285" t="s">
        <v>95</v>
      </c>
      <c r="D285">
        <v>0</v>
      </c>
      <c r="E285">
        <v>39010</v>
      </c>
      <c r="F285">
        <v>2958465</v>
      </c>
      <c r="G285">
        <v>6330</v>
      </c>
      <c r="H285" t="s">
        <v>13</v>
      </c>
      <c r="I285" t="s">
        <v>95</v>
      </c>
      <c r="J285">
        <v>0</v>
      </c>
      <c r="K285">
        <v>0</v>
      </c>
      <c r="N285">
        <v>0</v>
      </c>
      <c r="O285" t="s">
        <v>96</v>
      </c>
      <c r="P285" t="s">
        <v>292</v>
      </c>
      <c r="Q285" s="30">
        <f>IF(CustomerHierarchyLevels[[#This Row],[HgLvCust.]]=0,CustomerHierarchyLevels[[#This Row],[Customer]],CustomerHierarchyLevels[[#This Row],[HgLvCust.]])</f>
        <v>6330</v>
      </c>
      <c r="R285" s="30">
        <f>IF(VLOOKUP(CustomerHierarchyLevels[[#This Row],[Level1]],CustomerHierarchyLevels[],7,FALSE)=0,CustomerHierarchyLevels[[#This Row],[Level1]],VLOOKUP(CustomerHierarchyLevels[[#This Row],[Level1]],CustomerHierarchyLevels[],7,FALSE))</f>
        <v>2158</v>
      </c>
      <c r="S285" s="30">
        <f>IF(VLOOKUP(CustomerHierarchyLevels[[#This Row],[Level2]],CustomerHierarchyLevels[],7,FALSE)=0,CustomerHierarchyLevels[[#This Row],[Level2]],VLOOKUP(CustomerHierarchyLevels[[#This Row],[Level2]],CustomerHierarchyLevels[],7,FALSE))</f>
        <v>2157</v>
      </c>
    </row>
    <row r="286" spans="1:19" x14ac:dyDescent="0.25">
      <c r="A286">
        <v>1221</v>
      </c>
      <c r="B286" t="s">
        <v>13</v>
      </c>
      <c r="C286" t="s">
        <v>95</v>
      </c>
      <c r="D286">
        <v>0</v>
      </c>
      <c r="E286">
        <v>39010</v>
      </c>
      <c r="F286">
        <v>2958465</v>
      </c>
      <c r="G286">
        <v>6332</v>
      </c>
      <c r="H286" t="s">
        <v>13</v>
      </c>
      <c r="I286" t="s">
        <v>95</v>
      </c>
      <c r="J286">
        <v>0</v>
      </c>
      <c r="K286">
        <v>0</v>
      </c>
      <c r="N286">
        <v>0</v>
      </c>
      <c r="O286" t="s">
        <v>96</v>
      </c>
      <c r="P286" t="s">
        <v>206</v>
      </c>
      <c r="Q286" s="30">
        <f>IF(CustomerHierarchyLevels[[#This Row],[HgLvCust.]]=0,CustomerHierarchyLevels[[#This Row],[Customer]],CustomerHierarchyLevels[[#This Row],[HgLvCust.]])</f>
        <v>6332</v>
      </c>
      <c r="R286" s="30">
        <f>IF(VLOOKUP(CustomerHierarchyLevels[[#This Row],[Level1]],CustomerHierarchyLevels[],7,FALSE)=0,CustomerHierarchyLevels[[#This Row],[Level1]],VLOOKUP(CustomerHierarchyLevels[[#This Row],[Level1]],CustomerHierarchyLevels[],7,FALSE))</f>
        <v>2158</v>
      </c>
      <c r="S286" s="30">
        <f>IF(VLOOKUP(CustomerHierarchyLevels[[#This Row],[Level2]],CustomerHierarchyLevels[],7,FALSE)=0,CustomerHierarchyLevels[[#This Row],[Level2]],VLOOKUP(CustomerHierarchyLevels[[#This Row],[Level2]],CustomerHierarchyLevels[],7,FALSE))</f>
        <v>2157</v>
      </c>
    </row>
    <row r="287" spans="1:19" x14ac:dyDescent="0.25">
      <c r="A287">
        <v>1360</v>
      </c>
      <c r="B287" t="s">
        <v>13</v>
      </c>
      <c r="C287" t="s">
        <v>95</v>
      </c>
      <c r="D287">
        <v>0</v>
      </c>
      <c r="E287">
        <v>39010</v>
      </c>
      <c r="F287">
        <v>2958465</v>
      </c>
      <c r="G287">
        <v>6332</v>
      </c>
      <c r="H287" t="s">
        <v>13</v>
      </c>
      <c r="I287" t="s">
        <v>95</v>
      </c>
      <c r="J287">
        <v>0</v>
      </c>
      <c r="K287">
        <v>0</v>
      </c>
      <c r="N287">
        <v>0</v>
      </c>
      <c r="O287" t="s">
        <v>96</v>
      </c>
      <c r="P287" t="s">
        <v>1438</v>
      </c>
      <c r="Q287" s="30">
        <f>IF(CustomerHierarchyLevels[[#This Row],[HgLvCust.]]=0,CustomerHierarchyLevels[[#This Row],[Customer]],CustomerHierarchyLevels[[#This Row],[HgLvCust.]])</f>
        <v>6332</v>
      </c>
      <c r="R287" s="30">
        <f>IF(VLOOKUP(CustomerHierarchyLevels[[#This Row],[Level1]],CustomerHierarchyLevels[],7,FALSE)=0,CustomerHierarchyLevels[[#This Row],[Level1]],VLOOKUP(CustomerHierarchyLevels[[#This Row],[Level1]],CustomerHierarchyLevels[],7,FALSE))</f>
        <v>2158</v>
      </c>
      <c r="S287" s="30">
        <f>IF(VLOOKUP(CustomerHierarchyLevels[[#This Row],[Level2]],CustomerHierarchyLevels[],7,FALSE)=0,CustomerHierarchyLevels[[#This Row],[Level2]],VLOOKUP(CustomerHierarchyLevels[[#This Row],[Level2]],CustomerHierarchyLevels[],7,FALSE))</f>
        <v>2157</v>
      </c>
    </row>
    <row r="288" spans="1:19" x14ac:dyDescent="0.25">
      <c r="A288">
        <v>1402</v>
      </c>
      <c r="B288" t="s">
        <v>13</v>
      </c>
      <c r="C288" t="s">
        <v>95</v>
      </c>
      <c r="D288">
        <v>0</v>
      </c>
      <c r="E288">
        <v>39010</v>
      </c>
      <c r="F288">
        <v>2958465</v>
      </c>
      <c r="G288">
        <v>6332</v>
      </c>
      <c r="H288" t="s">
        <v>13</v>
      </c>
      <c r="I288" t="s">
        <v>95</v>
      </c>
      <c r="J288">
        <v>0</v>
      </c>
      <c r="K288">
        <v>0</v>
      </c>
      <c r="N288">
        <v>0</v>
      </c>
      <c r="O288" t="s">
        <v>96</v>
      </c>
      <c r="P288" t="s">
        <v>275</v>
      </c>
      <c r="Q288" s="30">
        <f>IF(CustomerHierarchyLevels[[#This Row],[HgLvCust.]]=0,CustomerHierarchyLevels[[#This Row],[Customer]],CustomerHierarchyLevels[[#This Row],[HgLvCust.]])</f>
        <v>6332</v>
      </c>
      <c r="R288" s="30">
        <f>IF(VLOOKUP(CustomerHierarchyLevels[[#This Row],[Level1]],CustomerHierarchyLevels[],7,FALSE)=0,CustomerHierarchyLevels[[#This Row],[Level1]],VLOOKUP(CustomerHierarchyLevels[[#This Row],[Level1]],CustomerHierarchyLevels[],7,FALSE))</f>
        <v>2158</v>
      </c>
      <c r="S288" s="30">
        <f>IF(VLOOKUP(CustomerHierarchyLevels[[#This Row],[Level2]],CustomerHierarchyLevels[],7,FALSE)=0,CustomerHierarchyLevels[[#This Row],[Level2]],VLOOKUP(CustomerHierarchyLevels[[#This Row],[Level2]],CustomerHierarchyLevels[],7,FALSE))</f>
        <v>2157</v>
      </c>
    </row>
    <row r="289" spans="1:19" x14ac:dyDescent="0.25">
      <c r="A289">
        <v>1401</v>
      </c>
      <c r="B289" t="s">
        <v>13</v>
      </c>
      <c r="C289" t="s">
        <v>95</v>
      </c>
      <c r="D289">
        <v>0</v>
      </c>
      <c r="E289">
        <v>39010</v>
      </c>
      <c r="F289">
        <v>2958465</v>
      </c>
      <c r="G289">
        <v>6331</v>
      </c>
      <c r="H289" t="s">
        <v>13</v>
      </c>
      <c r="I289" t="s">
        <v>95</v>
      </c>
      <c r="J289">
        <v>0</v>
      </c>
      <c r="K289">
        <v>0</v>
      </c>
      <c r="N289">
        <v>0</v>
      </c>
      <c r="O289" t="s">
        <v>96</v>
      </c>
      <c r="P289" t="s">
        <v>266</v>
      </c>
      <c r="Q289" s="30">
        <f>IF(CustomerHierarchyLevels[[#This Row],[HgLvCust.]]=0,CustomerHierarchyLevels[[#This Row],[Customer]],CustomerHierarchyLevels[[#This Row],[HgLvCust.]])</f>
        <v>6331</v>
      </c>
      <c r="R289" s="30">
        <f>IF(VLOOKUP(CustomerHierarchyLevels[[#This Row],[Level1]],CustomerHierarchyLevels[],7,FALSE)=0,CustomerHierarchyLevels[[#This Row],[Level1]],VLOOKUP(CustomerHierarchyLevels[[#This Row],[Level1]],CustomerHierarchyLevels[],7,FALSE))</f>
        <v>2158</v>
      </c>
      <c r="S289" s="30">
        <f>IF(VLOOKUP(CustomerHierarchyLevels[[#This Row],[Level2]],CustomerHierarchyLevels[],7,FALSE)=0,CustomerHierarchyLevels[[#This Row],[Level2]],VLOOKUP(CustomerHierarchyLevels[[#This Row],[Level2]],CustomerHierarchyLevels[],7,FALSE))</f>
        <v>2157</v>
      </c>
    </row>
    <row r="290" spans="1:19" x14ac:dyDescent="0.25">
      <c r="A290">
        <v>1208</v>
      </c>
      <c r="B290" t="s">
        <v>13</v>
      </c>
      <c r="C290" t="s">
        <v>95</v>
      </c>
      <c r="D290">
        <v>0</v>
      </c>
      <c r="E290">
        <v>39010</v>
      </c>
      <c r="F290">
        <v>2958465</v>
      </c>
      <c r="G290">
        <v>6330</v>
      </c>
      <c r="H290" t="s">
        <v>13</v>
      </c>
      <c r="I290" t="s">
        <v>95</v>
      </c>
      <c r="J290">
        <v>0</v>
      </c>
      <c r="K290">
        <v>0</v>
      </c>
      <c r="N290">
        <v>0</v>
      </c>
      <c r="O290" t="s">
        <v>96</v>
      </c>
      <c r="P290" t="s">
        <v>200</v>
      </c>
      <c r="Q290" s="30">
        <f>IF(CustomerHierarchyLevels[[#This Row],[HgLvCust.]]=0,CustomerHierarchyLevels[[#This Row],[Customer]],CustomerHierarchyLevels[[#This Row],[HgLvCust.]])</f>
        <v>6330</v>
      </c>
      <c r="R290" s="30">
        <f>IF(VLOOKUP(CustomerHierarchyLevels[[#This Row],[Level1]],CustomerHierarchyLevels[],7,FALSE)=0,CustomerHierarchyLevels[[#This Row],[Level1]],VLOOKUP(CustomerHierarchyLevels[[#This Row],[Level1]],CustomerHierarchyLevels[],7,FALSE))</f>
        <v>2158</v>
      </c>
      <c r="S290" s="30">
        <f>IF(VLOOKUP(CustomerHierarchyLevels[[#This Row],[Level2]],CustomerHierarchyLevels[],7,FALSE)=0,CustomerHierarchyLevels[[#This Row],[Level2]],VLOOKUP(CustomerHierarchyLevels[[#This Row],[Level2]],CustomerHierarchyLevels[],7,FALSE))</f>
        <v>2157</v>
      </c>
    </row>
    <row r="291" spans="1:19" x14ac:dyDescent="0.25">
      <c r="A291">
        <v>1465</v>
      </c>
      <c r="B291" t="s">
        <v>13</v>
      </c>
      <c r="C291" t="s">
        <v>95</v>
      </c>
      <c r="D291">
        <v>0</v>
      </c>
      <c r="E291">
        <v>39010</v>
      </c>
      <c r="F291">
        <v>2958465</v>
      </c>
      <c r="G291">
        <v>6533</v>
      </c>
      <c r="H291" t="s">
        <v>13</v>
      </c>
      <c r="I291" t="s">
        <v>95</v>
      </c>
      <c r="J291">
        <v>0</v>
      </c>
      <c r="K291">
        <v>0</v>
      </c>
      <c r="N291">
        <v>0</v>
      </c>
      <c r="O291" t="s">
        <v>96</v>
      </c>
      <c r="P291" t="s">
        <v>1439</v>
      </c>
      <c r="Q291" s="30">
        <f>IF(CustomerHierarchyLevels[[#This Row],[HgLvCust.]]=0,CustomerHierarchyLevels[[#This Row],[Customer]],CustomerHierarchyLevels[[#This Row],[HgLvCust.]])</f>
        <v>6533</v>
      </c>
      <c r="R291" s="30">
        <f>IF(VLOOKUP(CustomerHierarchyLevels[[#This Row],[Level1]],CustomerHierarchyLevels[],7,FALSE)=0,CustomerHierarchyLevels[[#This Row],[Level1]],VLOOKUP(CustomerHierarchyLevels[[#This Row],[Level1]],CustomerHierarchyLevels[],7,FALSE))</f>
        <v>6532</v>
      </c>
      <c r="S291" s="30">
        <f>IF(VLOOKUP(CustomerHierarchyLevels[[#This Row],[Level2]],CustomerHierarchyLevels[],7,FALSE)=0,CustomerHierarchyLevels[[#This Row],[Level2]],VLOOKUP(CustomerHierarchyLevels[[#This Row],[Level2]],CustomerHierarchyLevels[],7,FALSE))</f>
        <v>6705</v>
      </c>
    </row>
    <row r="292" spans="1:19" x14ac:dyDescent="0.25">
      <c r="A292">
        <v>1648</v>
      </c>
      <c r="B292" t="s">
        <v>13</v>
      </c>
      <c r="C292" t="s">
        <v>95</v>
      </c>
      <c r="D292">
        <v>0</v>
      </c>
      <c r="E292">
        <v>39010</v>
      </c>
      <c r="F292">
        <v>2958465</v>
      </c>
      <c r="G292">
        <v>6534</v>
      </c>
      <c r="H292" t="s">
        <v>13</v>
      </c>
      <c r="I292" t="s">
        <v>95</v>
      </c>
      <c r="J292">
        <v>0</v>
      </c>
      <c r="K292">
        <v>0</v>
      </c>
      <c r="N292">
        <v>0</v>
      </c>
      <c r="O292" t="s">
        <v>96</v>
      </c>
      <c r="P292" t="s">
        <v>1440</v>
      </c>
      <c r="Q292" s="30">
        <f>IF(CustomerHierarchyLevels[[#This Row],[HgLvCust.]]=0,CustomerHierarchyLevels[[#This Row],[Customer]],CustomerHierarchyLevels[[#This Row],[HgLvCust.]])</f>
        <v>6534</v>
      </c>
      <c r="R292" s="30">
        <f>IF(VLOOKUP(CustomerHierarchyLevels[[#This Row],[Level1]],CustomerHierarchyLevels[],7,FALSE)=0,CustomerHierarchyLevels[[#This Row],[Level1]],VLOOKUP(CustomerHierarchyLevels[[#This Row],[Level1]],CustomerHierarchyLevels[],7,FALSE))</f>
        <v>6532</v>
      </c>
      <c r="S292" s="30">
        <f>IF(VLOOKUP(CustomerHierarchyLevels[[#This Row],[Level2]],CustomerHierarchyLevels[],7,FALSE)=0,CustomerHierarchyLevels[[#This Row],[Level2]],VLOOKUP(CustomerHierarchyLevels[[#This Row],[Level2]],CustomerHierarchyLevels[],7,FALSE))</f>
        <v>6705</v>
      </c>
    </row>
    <row r="293" spans="1:19" x14ac:dyDescent="0.25">
      <c r="A293">
        <v>1464</v>
      </c>
      <c r="B293" t="s">
        <v>13</v>
      </c>
      <c r="C293" t="s">
        <v>95</v>
      </c>
      <c r="D293">
        <v>0</v>
      </c>
      <c r="E293">
        <v>39010</v>
      </c>
      <c r="F293">
        <v>2958465</v>
      </c>
      <c r="G293">
        <v>6533</v>
      </c>
      <c r="H293" t="s">
        <v>13</v>
      </c>
      <c r="I293" t="s">
        <v>95</v>
      </c>
      <c r="J293">
        <v>0</v>
      </c>
      <c r="K293">
        <v>0</v>
      </c>
      <c r="N293">
        <v>0</v>
      </c>
      <c r="O293" t="s">
        <v>96</v>
      </c>
      <c r="P293" t="s">
        <v>1441</v>
      </c>
      <c r="Q293" s="30">
        <f>IF(CustomerHierarchyLevels[[#This Row],[HgLvCust.]]=0,CustomerHierarchyLevels[[#This Row],[Customer]],CustomerHierarchyLevels[[#This Row],[HgLvCust.]])</f>
        <v>6533</v>
      </c>
      <c r="R293" s="30">
        <f>IF(VLOOKUP(CustomerHierarchyLevels[[#This Row],[Level1]],CustomerHierarchyLevels[],7,FALSE)=0,CustomerHierarchyLevels[[#This Row],[Level1]],VLOOKUP(CustomerHierarchyLevels[[#This Row],[Level1]],CustomerHierarchyLevels[],7,FALSE))</f>
        <v>6532</v>
      </c>
      <c r="S293" s="30">
        <f>IF(VLOOKUP(CustomerHierarchyLevels[[#This Row],[Level2]],CustomerHierarchyLevels[],7,FALSE)=0,CustomerHierarchyLevels[[#This Row],[Level2]],VLOOKUP(CustomerHierarchyLevels[[#This Row],[Level2]],CustomerHierarchyLevels[],7,FALSE))</f>
        <v>6705</v>
      </c>
    </row>
    <row r="294" spans="1:19" x14ac:dyDescent="0.25">
      <c r="A294">
        <v>6206</v>
      </c>
      <c r="B294" t="s">
        <v>13</v>
      </c>
      <c r="C294" t="s">
        <v>95</v>
      </c>
      <c r="D294">
        <v>0</v>
      </c>
      <c r="E294">
        <v>39010</v>
      </c>
      <c r="F294">
        <v>2958465</v>
      </c>
      <c r="G294">
        <v>6533</v>
      </c>
      <c r="H294" t="s">
        <v>13</v>
      </c>
      <c r="I294" t="s">
        <v>95</v>
      </c>
      <c r="J294">
        <v>0</v>
      </c>
      <c r="K294">
        <v>0</v>
      </c>
      <c r="N294">
        <v>0</v>
      </c>
      <c r="O294" t="s">
        <v>96</v>
      </c>
      <c r="P294" t="s">
        <v>1442</v>
      </c>
      <c r="Q294" s="30">
        <f>IF(CustomerHierarchyLevels[[#This Row],[HgLvCust.]]=0,CustomerHierarchyLevels[[#This Row],[Customer]],CustomerHierarchyLevels[[#This Row],[HgLvCust.]])</f>
        <v>6533</v>
      </c>
      <c r="R294" s="30">
        <f>IF(VLOOKUP(CustomerHierarchyLevels[[#This Row],[Level1]],CustomerHierarchyLevels[],7,FALSE)=0,CustomerHierarchyLevels[[#This Row],[Level1]],VLOOKUP(CustomerHierarchyLevels[[#This Row],[Level1]],CustomerHierarchyLevels[],7,FALSE))</f>
        <v>6532</v>
      </c>
      <c r="S294" s="30">
        <f>IF(VLOOKUP(CustomerHierarchyLevels[[#This Row],[Level2]],CustomerHierarchyLevels[],7,FALSE)=0,CustomerHierarchyLevels[[#This Row],[Level2]],VLOOKUP(CustomerHierarchyLevels[[#This Row],[Level2]],CustomerHierarchyLevels[],7,FALSE))</f>
        <v>6705</v>
      </c>
    </row>
    <row r="295" spans="1:19" x14ac:dyDescent="0.25">
      <c r="A295">
        <v>2453</v>
      </c>
      <c r="B295" t="s">
        <v>13</v>
      </c>
      <c r="C295" t="s">
        <v>95</v>
      </c>
      <c r="D295">
        <v>0</v>
      </c>
      <c r="E295">
        <v>39010</v>
      </c>
      <c r="F295">
        <v>2958465</v>
      </c>
      <c r="G295">
        <v>6702</v>
      </c>
      <c r="H295" t="s">
        <v>13</v>
      </c>
      <c r="I295" t="s">
        <v>95</v>
      </c>
      <c r="J295">
        <v>0</v>
      </c>
      <c r="K295">
        <v>0</v>
      </c>
      <c r="N295">
        <v>0</v>
      </c>
      <c r="O295" t="s">
        <v>96</v>
      </c>
      <c r="P295" t="s">
        <v>1443</v>
      </c>
      <c r="Q295" s="30">
        <f>IF(CustomerHierarchyLevels[[#This Row],[HgLvCust.]]=0,CustomerHierarchyLevels[[#This Row],[Customer]],CustomerHierarchyLevels[[#This Row],[HgLvCust.]])</f>
        <v>6702</v>
      </c>
      <c r="R295" s="30">
        <f>IF(VLOOKUP(CustomerHierarchyLevels[[#This Row],[Level1]],CustomerHierarchyLevels[],7,FALSE)=0,CustomerHierarchyLevels[[#This Row],[Level1]],VLOOKUP(CustomerHierarchyLevels[[#This Row],[Level1]],CustomerHierarchyLevels[],7,FALSE))</f>
        <v>6701</v>
      </c>
      <c r="S295" s="30">
        <f>IF(VLOOKUP(CustomerHierarchyLevels[[#This Row],[Level2]],CustomerHierarchyLevels[],7,FALSE)=0,CustomerHierarchyLevels[[#This Row],[Level2]],VLOOKUP(CustomerHierarchyLevels[[#This Row],[Level2]],CustomerHierarchyLevels[],7,FALSE))</f>
        <v>6700</v>
      </c>
    </row>
    <row r="296" spans="1:19" x14ac:dyDescent="0.25">
      <c r="A296">
        <v>1180</v>
      </c>
      <c r="B296" t="s">
        <v>13</v>
      </c>
      <c r="C296" t="s">
        <v>95</v>
      </c>
      <c r="D296">
        <v>0</v>
      </c>
      <c r="E296">
        <v>39010</v>
      </c>
      <c r="F296">
        <v>2958465</v>
      </c>
      <c r="G296">
        <v>6702</v>
      </c>
      <c r="H296" t="s">
        <v>13</v>
      </c>
      <c r="I296" t="s">
        <v>95</v>
      </c>
      <c r="J296">
        <v>0</v>
      </c>
      <c r="K296">
        <v>0</v>
      </c>
      <c r="N296">
        <v>0</v>
      </c>
      <c r="O296" t="s">
        <v>96</v>
      </c>
      <c r="P296" t="s">
        <v>1444</v>
      </c>
      <c r="Q296" s="30">
        <f>IF(CustomerHierarchyLevels[[#This Row],[HgLvCust.]]=0,CustomerHierarchyLevels[[#This Row],[Customer]],CustomerHierarchyLevels[[#This Row],[HgLvCust.]])</f>
        <v>6702</v>
      </c>
      <c r="R296" s="30">
        <f>IF(VLOOKUP(CustomerHierarchyLevels[[#This Row],[Level1]],CustomerHierarchyLevels[],7,FALSE)=0,CustomerHierarchyLevels[[#This Row],[Level1]],VLOOKUP(CustomerHierarchyLevels[[#This Row],[Level1]],CustomerHierarchyLevels[],7,FALSE))</f>
        <v>6701</v>
      </c>
      <c r="S296" s="30">
        <f>IF(VLOOKUP(CustomerHierarchyLevels[[#This Row],[Level2]],CustomerHierarchyLevels[],7,FALSE)=0,CustomerHierarchyLevels[[#This Row],[Level2]],VLOOKUP(CustomerHierarchyLevels[[#This Row],[Level2]],CustomerHierarchyLevels[],7,FALSE))</f>
        <v>6700</v>
      </c>
    </row>
    <row r="297" spans="1:19" x14ac:dyDescent="0.25">
      <c r="A297">
        <v>1204</v>
      </c>
      <c r="B297" t="s">
        <v>13</v>
      </c>
      <c r="C297" t="s">
        <v>95</v>
      </c>
      <c r="D297">
        <v>0</v>
      </c>
      <c r="E297">
        <v>39010</v>
      </c>
      <c r="F297">
        <v>2958465</v>
      </c>
      <c r="G297">
        <v>6702</v>
      </c>
      <c r="H297" t="s">
        <v>13</v>
      </c>
      <c r="I297" t="s">
        <v>95</v>
      </c>
      <c r="J297">
        <v>0</v>
      </c>
      <c r="K297">
        <v>0</v>
      </c>
      <c r="N297">
        <v>0</v>
      </c>
      <c r="O297" t="s">
        <v>96</v>
      </c>
      <c r="P297" t="s">
        <v>1445</v>
      </c>
      <c r="Q297" s="30">
        <f>IF(CustomerHierarchyLevels[[#This Row],[HgLvCust.]]=0,CustomerHierarchyLevels[[#This Row],[Customer]],CustomerHierarchyLevels[[#This Row],[HgLvCust.]])</f>
        <v>6702</v>
      </c>
      <c r="R297" s="30">
        <f>IF(VLOOKUP(CustomerHierarchyLevels[[#This Row],[Level1]],CustomerHierarchyLevels[],7,FALSE)=0,CustomerHierarchyLevels[[#This Row],[Level1]],VLOOKUP(CustomerHierarchyLevels[[#This Row],[Level1]],CustomerHierarchyLevels[],7,FALSE))</f>
        <v>6701</v>
      </c>
      <c r="S297" s="30">
        <f>IF(VLOOKUP(CustomerHierarchyLevels[[#This Row],[Level2]],CustomerHierarchyLevels[],7,FALSE)=0,CustomerHierarchyLevels[[#This Row],[Level2]],VLOOKUP(CustomerHierarchyLevels[[#This Row],[Level2]],CustomerHierarchyLevels[],7,FALSE))</f>
        <v>6700</v>
      </c>
    </row>
    <row r="298" spans="1:19" x14ac:dyDescent="0.25">
      <c r="A298">
        <v>1206</v>
      </c>
      <c r="B298" t="s">
        <v>13</v>
      </c>
      <c r="C298" t="s">
        <v>95</v>
      </c>
      <c r="D298">
        <v>0</v>
      </c>
      <c r="E298">
        <v>39010</v>
      </c>
      <c r="F298">
        <v>2958465</v>
      </c>
      <c r="G298">
        <v>6702</v>
      </c>
      <c r="H298" t="s">
        <v>13</v>
      </c>
      <c r="I298" t="s">
        <v>95</v>
      </c>
      <c r="J298">
        <v>0</v>
      </c>
      <c r="K298">
        <v>0</v>
      </c>
      <c r="N298">
        <v>0</v>
      </c>
      <c r="O298" t="s">
        <v>96</v>
      </c>
      <c r="P298" t="s">
        <v>1446</v>
      </c>
      <c r="Q298" s="30">
        <f>IF(CustomerHierarchyLevels[[#This Row],[HgLvCust.]]=0,CustomerHierarchyLevels[[#This Row],[Customer]],CustomerHierarchyLevels[[#This Row],[HgLvCust.]])</f>
        <v>6702</v>
      </c>
      <c r="R298" s="30">
        <f>IF(VLOOKUP(CustomerHierarchyLevels[[#This Row],[Level1]],CustomerHierarchyLevels[],7,FALSE)=0,CustomerHierarchyLevels[[#This Row],[Level1]],VLOOKUP(CustomerHierarchyLevels[[#This Row],[Level1]],CustomerHierarchyLevels[],7,FALSE))</f>
        <v>6701</v>
      </c>
      <c r="S298" s="30">
        <f>IF(VLOOKUP(CustomerHierarchyLevels[[#This Row],[Level2]],CustomerHierarchyLevels[],7,FALSE)=0,CustomerHierarchyLevels[[#This Row],[Level2]],VLOOKUP(CustomerHierarchyLevels[[#This Row],[Level2]],CustomerHierarchyLevels[],7,FALSE))</f>
        <v>6700</v>
      </c>
    </row>
    <row r="299" spans="1:19" x14ac:dyDescent="0.25">
      <c r="A299">
        <v>1351</v>
      </c>
      <c r="B299" t="s">
        <v>13</v>
      </c>
      <c r="C299" t="s">
        <v>95</v>
      </c>
      <c r="D299">
        <v>0</v>
      </c>
      <c r="E299">
        <v>39010</v>
      </c>
      <c r="F299">
        <v>2958465</v>
      </c>
      <c r="G299">
        <v>6702</v>
      </c>
      <c r="H299" t="s">
        <v>13</v>
      </c>
      <c r="I299" t="s">
        <v>95</v>
      </c>
      <c r="J299">
        <v>0</v>
      </c>
      <c r="K299">
        <v>0</v>
      </c>
      <c r="N299">
        <v>0</v>
      </c>
      <c r="O299" t="s">
        <v>96</v>
      </c>
      <c r="P299" t="s">
        <v>1447</v>
      </c>
      <c r="Q299" s="30">
        <f>IF(CustomerHierarchyLevels[[#This Row],[HgLvCust.]]=0,CustomerHierarchyLevels[[#This Row],[Customer]],CustomerHierarchyLevels[[#This Row],[HgLvCust.]])</f>
        <v>6702</v>
      </c>
      <c r="R299" s="30">
        <f>IF(VLOOKUP(CustomerHierarchyLevels[[#This Row],[Level1]],CustomerHierarchyLevels[],7,FALSE)=0,CustomerHierarchyLevels[[#This Row],[Level1]],VLOOKUP(CustomerHierarchyLevels[[#This Row],[Level1]],CustomerHierarchyLevels[],7,FALSE))</f>
        <v>6701</v>
      </c>
      <c r="S299" s="30">
        <f>IF(VLOOKUP(CustomerHierarchyLevels[[#This Row],[Level2]],CustomerHierarchyLevels[],7,FALSE)=0,CustomerHierarchyLevels[[#This Row],[Level2]],VLOOKUP(CustomerHierarchyLevels[[#This Row],[Level2]],CustomerHierarchyLevels[],7,FALSE))</f>
        <v>6700</v>
      </c>
    </row>
    <row r="300" spans="1:19" x14ac:dyDescent="0.25">
      <c r="A300">
        <v>1354</v>
      </c>
      <c r="B300" t="s">
        <v>13</v>
      </c>
      <c r="C300" t="s">
        <v>95</v>
      </c>
      <c r="D300">
        <v>0</v>
      </c>
      <c r="E300">
        <v>39010</v>
      </c>
      <c r="F300">
        <v>2958465</v>
      </c>
      <c r="G300">
        <v>6702</v>
      </c>
      <c r="H300" t="s">
        <v>13</v>
      </c>
      <c r="I300" t="s">
        <v>95</v>
      </c>
      <c r="J300">
        <v>0</v>
      </c>
      <c r="K300">
        <v>0</v>
      </c>
      <c r="N300">
        <v>0</v>
      </c>
      <c r="O300" t="s">
        <v>96</v>
      </c>
      <c r="P300" t="s">
        <v>1448</v>
      </c>
      <c r="Q300" s="30">
        <f>IF(CustomerHierarchyLevels[[#This Row],[HgLvCust.]]=0,CustomerHierarchyLevels[[#This Row],[Customer]],CustomerHierarchyLevels[[#This Row],[HgLvCust.]])</f>
        <v>6702</v>
      </c>
      <c r="R300" s="30">
        <f>IF(VLOOKUP(CustomerHierarchyLevels[[#This Row],[Level1]],CustomerHierarchyLevels[],7,FALSE)=0,CustomerHierarchyLevels[[#This Row],[Level1]],VLOOKUP(CustomerHierarchyLevels[[#This Row],[Level1]],CustomerHierarchyLevels[],7,FALSE))</f>
        <v>6701</v>
      </c>
      <c r="S300" s="30">
        <f>IF(VLOOKUP(CustomerHierarchyLevels[[#This Row],[Level2]],CustomerHierarchyLevels[],7,FALSE)=0,CustomerHierarchyLevels[[#This Row],[Level2]],VLOOKUP(CustomerHierarchyLevels[[#This Row],[Level2]],CustomerHierarchyLevels[],7,FALSE))</f>
        <v>6700</v>
      </c>
    </row>
    <row r="301" spans="1:19" x14ac:dyDescent="0.25">
      <c r="A301">
        <v>1365</v>
      </c>
      <c r="B301" t="s">
        <v>13</v>
      </c>
      <c r="C301" t="s">
        <v>95</v>
      </c>
      <c r="D301">
        <v>0</v>
      </c>
      <c r="E301">
        <v>39010</v>
      </c>
      <c r="F301">
        <v>2958465</v>
      </c>
      <c r="G301">
        <v>6702</v>
      </c>
      <c r="H301" t="s">
        <v>13</v>
      </c>
      <c r="I301" t="s">
        <v>95</v>
      </c>
      <c r="J301">
        <v>0</v>
      </c>
      <c r="K301">
        <v>0</v>
      </c>
      <c r="N301">
        <v>0</v>
      </c>
      <c r="O301" t="s">
        <v>96</v>
      </c>
      <c r="P301" t="s">
        <v>1449</v>
      </c>
      <c r="Q301" s="30">
        <f>IF(CustomerHierarchyLevels[[#This Row],[HgLvCust.]]=0,CustomerHierarchyLevels[[#This Row],[Customer]],CustomerHierarchyLevels[[#This Row],[HgLvCust.]])</f>
        <v>6702</v>
      </c>
      <c r="R301" s="30">
        <f>IF(VLOOKUP(CustomerHierarchyLevels[[#This Row],[Level1]],CustomerHierarchyLevels[],7,FALSE)=0,CustomerHierarchyLevels[[#This Row],[Level1]],VLOOKUP(CustomerHierarchyLevels[[#This Row],[Level1]],CustomerHierarchyLevels[],7,FALSE))</f>
        <v>6701</v>
      </c>
      <c r="S301" s="30">
        <f>IF(VLOOKUP(CustomerHierarchyLevels[[#This Row],[Level2]],CustomerHierarchyLevels[],7,FALSE)=0,CustomerHierarchyLevels[[#This Row],[Level2]],VLOOKUP(CustomerHierarchyLevels[[#This Row],[Level2]],CustomerHierarchyLevels[],7,FALSE))</f>
        <v>6700</v>
      </c>
    </row>
    <row r="302" spans="1:19" x14ac:dyDescent="0.25">
      <c r="A302">
        <v>1366</v>
      </c>
      <c r="B302" t="s">
        <v>13</v>
      </c>
      <c r="C302" t="s">
        <v>95</v>
      </c>
      <c r="D302">
        <v>0</v>
      </c>
      <c r="E302">
        <v>39010</v>
      </c>
      <c r="F302">
        <v>2958465</v>
      </c>
      <c r="G302">
        <v>6702</v>
      </c>
      <c r="H302" t="s">
        <v>13</v>
      </c>
      <c r="I302" t="s">
        <v>95</v>
      </c>
      <c r="J302">
        <v>0</v>
      </c>
      <c r="K302">
        <v>0</v>
      </c>
      <c r="N302">
        <v>0</v>
      </c>
      <c r="O302" t="s">
        <v>96</v>
      </c>
      <c r="P302" t="s">
        <v>1450</v>
      </c>
      <c r="Q302" s="30">
        <f>IF(CustomerHierarchyLevels[[#This Row],[HgLvCust.]]=0,CustomerHierarchyLevels[[#This Row],[Customer]],CustomerHierarchyLevels[[#This Row],[HgLvCust.]])</f>
        <v>6702</v>
      </c>
      <c r="R302" s="30">
        <f>IF(VLOOKUP(CustomerHierarchyLevels[[#This Row],[Level1]],CustomerHierarchyLevels[],7,FALSE)=0,CustomerHierarchyLevels[[#This Row],[Level1]],VLOOKUP(CustomerHierarchyLevels[[#This Row],[Level1]],CustomerHierarchyLevels[],7,FALSE))</f>
        <v>6701</v>
      </c>
      <c r="S302" s="30">
        <f>IF(VLOOKUP(CustomerHierarchyLevels[[#This Row],[Level2]],CustomerHierarchyLevels[],7,FALSE)=0,CustomerHierarchyLevels[[#This Row],[Level2]],VLOOKUP(CustomerHierarchyLevels[[#This Row],[Level2]],CustomerHierarchyLevels[],7,FALSE))</f>
        <v>6700</v>
      </c>
    </row>
    <row r="303" spans="1:19" x14ac:dyDescent="0.25">
      <c r="A303">
        <v>1387</v>
      </c>
      <c r="B303" t="s">
        <v>13</v>
      </c>
      <c r="C303" t="s">
        <v>95</v>
      </c>
      <c r="D303">
        <v>0</v>
      </c>
      <c r="E303">
        <v>39010</v>
      </c>
      <c r="F303">
        <v>2958465</v>
      </c>
      <c r="G303">
        <v>6702</v>
      </c>
      <c r="H303" t="s">
        <v>13</v>
      </c>
      <c r="I303" t="s">
        <v>95</v>
      </c>
      <c r="J303">
        <v>0</v>
      </c>
      <c r="K303">
        <v>0</v>
      </c>
      <c r="N303">
        <v>0</v>
      </c>
      <c r="O303" t="s">
        <v>96</v>
      </c>
      <c r="P303" t="s">
        <v>1451</v>
      </c>
      <c r="Q303" s="30">
        <f>IF(CustomerHierarchyLevels[[#This Row],[HgLvCust.]]=0,CustomerHierarchyLevels[[#This Row],[Customer]],CustomerHierarchyLevels[[#This Row],[HgLvCust.]])</f>
        <v>6702</v>
      </c>
      <c r="R303" s="30">
        <f>IF(VLOOKUP(CustomerHierarchyLevels[[#This Row],[Level1]],CustomerHierarchyLevels[],7,FALSE)=0,CustomerHierarchyLevels[[#This Row],[Level1]],VLOOKUP(CustomerHierarchyLevels[[#This Row],[Level1]],CustomerHierarchyLevels[],7,FALSE))</f>
        <v>6701</v>
      </c>
      <c r="S303" s="30">
        <f>IF(VLOOKUP(CustomerHierarchyLevels[[#This Row],[Level2]],CustomerHierarchyLevels[],7,FALSE)=0,CustomerHierarchyLevels[[#This Row],[Level2]],VLOOKUP(CustomerHierarchyLevels[[#This Row],[Level2]],CustomerHierarchyLevels[],7,FALSE))</f>
        <v>6700</v>
      </c>
    </row>
    <row r="304" spans="1:19" x14ac:dyDescent="0.25">
      <c r="A304">
        <v>1422</v>
      </c>
      <c r="B304" t="s">
        <v>13</v>
      </c>
      <c r="C304" t="s">
        <v>95</v>
      </c>
      <c r="D304">
        <v>0</v>
      </c>
      <c r="E304">
        <v>39010</v>
      </c>
      <c r="F304">
        <v>2958465</v>
      </c>
      <c r="G304">
        <v>6702</v>
      </c>
      <c r="H304" t="s">
        <v>13</v>
      </c>
      <c r="I304" t="s">
        <v>95</v>
      </c>
      <c r="J304">
        <v>0</v>
      </c>
      <c r="K304">
        <v>0</v>
      </c>
      <c r="N304">
        <v>0</v>
      </c>
      <c r="O304" t="s">
        <v>96</v>
      </c>
      <c r="P304" t="s">
        <v>1452</v>
      </c>
      <c r="Q304" s="30">
        <f>IF(CustomerHierarchyLevels[[#This Row],[HgLvCust.]]=0,CustomerHierarchyLevels[[#This Row],[Customer]],CustomerHierarchyLevels[[#This Row],[HgLvCust.]])</f>
        <v>6702</v>
      </c>
      <c r="R304" s="30">
        <f>IF(VLOOKUP(CustomerHierarchyLevels[[#This Row],[Level1]],CustomerHierarchyLevels[],7,FALSE)=0,CustomerHierarchyLevels[[#This Row],[Level1]],VLOOKUP(CustomerHierarchyLevels[[#This Row],[Level1]],CustomerHierarchyLevels[],7,FALSE))</f>
        <v>6701</v>
      </c>
      <c r="S304" s="30">
        <f>IF(VLOOKUP(CustomerHierarchyLevels[[#This Row],[Level2]],CustomerHierarchyLevels[],7,FALSE)=0,CustomerHierarchyLevels[[#This Row],[Level2]],VLOOKUP(CustomerHierarchyLevels[[#This Row],[Level2]],CustomerHierarchyLevels[],7,FALSE))</f>
        <v>6700</v>
      </c>
    </row>
    <row r="305" spans="1:19" x14ac:dyDescent="0.25">
      <c r="A305">
        <v>1458</v>
      </c>
      <c r="B305" t="s">
        <v>13</v>
      </c>
      <c r="C305" t="s">
        <v>95</v>
      </c>
      <c r="D305">
        <v>0</v>
      </c>
      <c r="E305">
        <v>39010</v>
      </c>
      <c r="F305">
        <v>2958465</v>
      </c>
      <c r="G305">
        <v>6702</v>
      </c>
      <c r="H305" t="s">
        <v>13</v>
      </c>
      <c r="I305" t="s">
        <v>95</v>
      </c>
      <c r="J305">
        <v>0</v>
      </c>
      <c r="K305">
        <v>0</v>
      </c>
      <c r="N305">
        <v>0</v>
      </c>
      <c r="O305" t="s">
        <v>96</v>
      </c>
      <c r="P305" t="s">
        <v>1453</v>
      </c>
      <c r="Q305" s="30">
        <f>IF(CustomerHierarchyLevels[[#This Row],[HgLvCust.]]=0,CustomerHierarchyLevels[[#This Row],[Customer]],CustomerHierarchyLevels[[#This Row],[HgLvCust.]])</f>
        <v>6702</v>
      </c>
      <c r="R305" s="30">
        <f>IF(VLOOKUP(CustomerHierarchyLevels[[#This Row],[Level1]],CustomerHierarchyLevels[],7,FALSE)=0,CustomerHierarchyLevels[[#This Row],[Level1]],VLOOKUP(CustomerHierarchyLevels[[#This Row],[Level1]],CustomerHierarchyLevels[],7,FALSE))</f>
        <v>6701</v>
      </c>
      <c r="S305" s="30">
        <f>IF(VLOOKUP(CustomerHierarchyLevels[[#This Row],[Level2]],CustomerHierarchyLevels[],7,FALSE)=0,CustomerHierarchyLevels[[#This Row],[Level2]],VLOOKUP(CustomerHierarchyLevels[[#This Row],[Level2]],CustomerHierarchyLevels[],7,FALSE))</f>
        <v>6700</v>
      </c>
    </row>
    <row r="306" spans="1:19" x14ac:dyDescent="0.25">
      <c r="A306">
        <v>1909</v>
      </c>
      <c r="B306" t="s">
        <v>13</v>
      </c>
      <c r="C306" t="s">
        <v>95</v>
      </c>
      <c r="D306">
        <v>0</v>
      </c>
      <c r="E306">
        <v>39010</v>
      </c>
      <c r="F306">
        <v>2958465</v>
      </c>
      <c r="G306">
        <v>6702</v>
      </c>
      <c r="H306" t="s">
        <v>13</v>
      </c>
      <c r="I306" t="s">
        <v>95</v>
      </c>
      <c r="J306">
        <v>0</v>
      </c>
      <c r="K306">
        <v>0</v>
      </c>
      <c r="N306">
        <v>0</v>
      </c>
      <c r="O306" t="s">
        <v>96</v>
      </c>
      <c r="P306" t="s">
        <v>1454</v>
      </c>
      <c r="Q306" s="30">
        <f>IF(CustomerHierarchyLevels[[#This Row],[HgLvCust.]]=0,CustomerHierarchyLevels[[#This Row],[Customer]],CustomerHierarchyLevels[[#This Row],[HgLvCust.]])</f>
        <v>6702</v>
      </c>
      <c r="R306" s="30">
        <f>IF(VLOOKUP(CustomerHierarchyLevels[[#This Row],[Level1]],CustomerHierarchyLevels[],7,FALSE)=0,CustomerHierarchyLevels[[#This Row],[Level1]],VLOOKUP(CustomerHierarchyLevels[[#This Row],[Level1]],CustomerHierarchyLevels[],7,FALSE))</f>
        <v>6701</v>
      </c>
      <c r="S306" s="30">
        <f>IF(VLOOKUP(CustomerHierarchyLevels[[#This Row],[Level2]],CustomerHierarchyLevels[],7,FALSE)=0,CustomerHierarchyLevels[[#This Row],[Level2]],VLOOKUP(CustomerHierarchyLevels[[#This Row],[Level2]],CustomerHierarchyLevels[],7,FALSE))</f>
        <v>6700</v>
      </c>
    </row>
    <row r="307" spans="1:19" x14ac:dyDescent="0.25">
      <c r="A307">
        <v>2297</v>
      </c>
      <c r="B307" t="s">
        <v>13</v>
      </c>
      <c r="C307" t="s">
        <v>95</v>
      </c>
      <c r="D307">
        <v>0</v>
      </c>
      <c r="E307">
        <v>39010</v>
      </c>
      <c r="F307">
        <v>2958465</v>
      </c>
      <c r="G307">
        <v>6538</v>
      </c>
      <c r="H307" t="s">
        <v>13</v>
      </c>
      <c r="I307" t="s">
        <v>95</v>
      </c>
      <c r="J307">
        <v>0</v>
      </c>
      <c r="K307">
        <v>0</v>
      </c>
      <c r="N307">
        <v>0</v>
      </c>
      <c r="O307" t="s">
        <v>96</v>
      </c>
      <c r="P307" t="s">
        <v>1455</v>
      </c>
      <c r="Q307" s="30">
        <f>IF(CustomerHierarchyLevels[[#This Row],[HgLvCust.]]=0,CustomerHierarchyLevels[[#This Row],[Customer]],CustomerHierarchyLevels[[#This Row],[HgLvCust.]])</f>
        <v>6538</v>
      </c>
      <c r="R307" s="30">
        <f>IF(VLOOKUP(CustomerHierarchyLevels[[#This Row],[Level1]],CustomerHierarchyLevels[],7,FALSE)=0,CustomerHierarchyLevels[[#This Row],[Level1]],VLOOKUP(CustomerHierarchyLevels[[#This Row],[Level1]],CustomerHierarchyLevels[],7,FALSE))</f>
        <v>6535</v>
      </c>
      <c r="S307" s="30">
        <f>IF(VLOOKUP(CustomerHierarchyLevels[[#This Row],[Level2]],CustomerHierarchyLevels[],7,FALSE)=0,CustomerHierarchyLevels[[#This Row],[Level2]],VLOOKUP(CustomerHierarchyLevels[[#This Row],[Level2]],CustomerHierarchyLevels[],7,FALSE))</f>
        <v>6535</v>
      </c>
    </row>
    <row r="308" spans="1:19" x14ac:dyDescent="0.25">
      <c r="A308">
        <v>2306</v>
      </c>
      <c r="B308" t="s">
        <v>13</v>
      </c>
      <c r="C308" t="s">
        <v>95</v>
      </c>
      <c r="D308">
        <v>0</v>
      </c>
      <c r="E308">
        <v>39010</v>
      </c>
      <c r="F308">
        <v>2958465</v>
      </c>
      <c r="G308">
        <v>6536</v>
      </c>
      <c r="H308" t="s">
        <v>13</v>
      </c>
      <c r="I308" t="s">
        <v>95</v>
      </c>
      <c r="J308">
        <v>0</v>
      </c>
      <c r="K308">
        <v>0</v>
      </c>
      <c r="N308">
        <v>0</v>
      </c>
      <c r="O308" t="s">
        <v>96</v>
      </c>
      <c r="P308" t="s">
        <v>173</v>
      </c>
      <c r="Q308" s="30">
        <f>IF(CustomerHierarchyLevels[[#This Row],[HgLvCust.]]=0,CustomerHierarchyLevels[[#This Row],[Customer]],CustomerHierarchyLevels[[#This Row],[HgLvCust.]])</f>
        <v>6536</v>
      </c>
      <c r="R308" s="30">
        <f>IF(VLOOKUP(CustomerHierarchyLevels[[#This Row],[Level1]],CustomerHierarchyLevels[],7,FALSE)=0,CustomerHierarchyLevels[[#This Row],[Level1]],VLOOKUP(CustomerHierarchyLevels[[#This Row],[Level1]],CustomerHierarchyLevels[],7,FALSE))</f>
        <v>6535</v>
      </c>
      <c r="S308" s="30">
        <f>IF(VLOOKUP(CustomerHierarchyLevels[[#This Row],[Level2]],CustomerHierarchyLevels[],7,FALSE)=0,CustomerHierarchyLevels[[#This Row],[Level2]],VLOOKUP(CustomerHierarchyLevels[[#This Row],[Level2]],CustomerHierarchyLevels[],7,FALSE))</f>
        <v>6535</v>
      </c>
    </row>
    <row r="309" spans="1:19" x14ac:dyDescent="0.25">
      <c r="A309">
        <v>2295</v>
      </c>
      <c r="B309" t="s">
        <v>13</v>
      </c>
      <c r="C309" t="s">
        <v>95</v>
      </c>
      <c r="D309">
        <v>0</v>
      </c>
      <c r="E309">
        <v>39010</v>
      </c>
      <c r="F309">
        <v>2958465</v>
      </c>
      <c r="G309">
        <v>6537</v>
      </c>
      <c r="H309" t="s">
        <v>13</v>
      </c>
      <c r="I309" t="s">
        <v>95</v>
      </c>
      <c r="J309">
        <v>0</v>
      </c>
      <c r="K309">
        <v>0</v>
      </c>
      <c r="N309">
        <v>0</v>
      </c>
      <c r="O309" t="s">
        <v>96</v>
      </c>
      <c r="P309" t="s">
        <v>1456</v>
      </c>
      <c r="Q309" s="30">
        <f>IF(CustomerHierarchyLevels[[#This Row],[HgLvCust.]]=0,CustomerHierarchyLevels[[#This Row],[Customer]],CustomerHierarchyLevels[[#This Row],[HgLvCust.]])</f>
        <v>6537</v>
      </c>
      <c r="R309" s="30">
        <f>IF(VLOOKUP(CustomerHierarchyLevels[[#This Row],[Level1]],CustomerHierarchyLevels[],7,FALSE)=0,CustomerHierarchyLevels[[#This Row],[Level1]],VLOOKUP(CustomerHierarchyLevels[[#This Row],[Level1]],CustomerHierarchyLevels[],7,FALSE))</f>
        <v>6535</v>
      </c>
      <c r="S309" s="30">
        <f>IF(VLOOKUP(CustomerHierarchyLevels[[#This Row],[Level2]],CustomerHierarchyLevels[],7,FALSE)=0,CustomerHierarchyLevels[[#This Row],[Level2]],VLOOKUP(CustomerHierarchyLevels[[#This Row],[Level2]],CustomerHierarchyLevels[],7,FALSE))</f>
        <v>6535</v>
      </c>
    </row>
    <row r="310" spans="1:19" x14ac:dyDescent="0.25">
      <c r="A310">
        <v>6281</v>
      </c>
      <c r="B310" t="s">
        <v>13</v>
      </c>
      <c r="C310" t="s">
        <v>95</v>
      </c>
      <c r="D310">
        <v>0</v>
      </c>
      <c r="E310">
        <v>39010</v>
      </c>
      <c r="F310">
        <v>2958465</v>
      </c>
      <c r="G310">
        <v>6710</v>
      </c>
      <c r="H310" t="s">
        <v>13</v>
      </c>
      <c r="I310" t="s">
        <v>95</v>
      </c>
      <c r="J310">
        <v>0</v>
      </c>
      <c r="K310">
        <v>0</v>
      </c>
      <c r="L310" t="s">
        <v>1200</v>
      </c>
      <c r="M310" t="s">
        <v>1200</v>
      </c>
      <c r="N310">
        <v>2</v>
      </c>
      <c r="O310" t="s">
        <v>96</v>
      </c>
      <c r="P310" t="s">
        <v>1457</v>
      </c>
      <c r="Q310" s="30">
        <f>IF(CustomerHierarchyLevels[[#This Row],[HgLvCust.]]=0,CustomerHierarchyLevels[[#This Row],[Customer]],CustomerHierarchyLevels[[#This Row],[HgLvCust.]])</f>
        <v>6710</v>
      </c>
      <c r="R310" s="30">
        <f>IF(VLOOKUP(CustomerHierarchyLevels[[#This Row],[Level1]],CustomerHierarchyLevels[],7,FALSE)=0,CustomerHierarchyLevels[[#This Row],[Level1]],VLOOKUP(CustomerHierarchyLevels[[#This Row],[Level1]],CustomerHierarchyLevels[],7,FALSE))</f>
        <v>6710</v>
      </c>
      <c r="S310" s="30">
        <f>IF(VLOOKUP(CustomerHierarchyLevels[[#This Row],[Level2]],CustomerHierarchyLevels[],7,FALSE)=0,CustomerHierarchyLevels[[#This Row],[Level2]],VLOOKUP(CustomerHierarchyLevels[[#This Row],[Level2]],CustomerHierarchyLevels[],7,FALSE))</f>
        <v>6710</v>
      </c>
    </row>
    <row r="311" spans="1:19" x14ac:dyDescent="0.25">
      <c r="A311">
        <v>6710</v>
      </c>
      <c r="B311" t="s">
        <v>13</v>
      </c>
      <c r="C311" t="s">
        <v>95</v>
      </c>
      <c r="D311">
        <v>0</v>
      </c>
      <c r="E311">
        <v>39010</v>
      </c>
      <c r="F311">
        <v>2958465</v>
      </c>
      <c r="K311">
        <v>0</v>
      </c>
      <c r="L311" t="s">
        <v>1200</v>
      </c>
      <c r="M311" t="s">
        <v>1200</v>
      </c>
      <c r="N311">
        <v>0</v>
      </c>
      <c r="O311" t="s">
        <v>96</v>
      </c>
      <c r="P311" t="s">
        <v>1458</v>
      </c>
      <c r="Q311" s="30">
        <f>IF(CustomerHierarchyLevels[[#This Row],[HgLvCust.]]=0,CustomerHierarchyLevels[[#This Row],[Customer]],CustomerHierarchyLevels[[#This Row],[HgLvCust.]])</f>
        <v>6710</v>
      </c>
      <c r="R311" s="30">
        <f>IF(VLOOKUP(CustomerHierarchyLevels[[#This Row],[Level1]],CustomerHierarchyLevels[],7,FALSE)=0,CustomerHierarchyLevels[[#This Row],[Level1]],VLOOKUP(CustomerHierarchyLevels[[#This Row],[Level1]],CustomerHierarchyLevels[],7,FALSE))</f>
        <v>6710</v>
      </c>
      <c r="S311" s="30">
        <f>IF(VLOOKUP(CustomerHierarchyLevels[[#This Row],[Level2]],CustomerHierarchyLevels[],7,FALSE)=0,CustomerHierarchyLevels[[#This Row],[Level2]],VLOOKUP(CustomerHierarchyLevels[[#This Row],[Level2]],CustomerHierarchyLevels[],7,FALSE))</f>
        <v>6710</v>
      </c>
    </row>
    <row r="312" spans="1:19" x14ac:dyDescent="0.25">
      <c r="A312">
        <v>6283</v>
      </c>
      <c r="B312" t="s">
        <v>13</v>
      </c>
      <c r="C312" t="s">
        <v>95</v>
      </c>
      <c r="D312">
        <v>0</v>
      </c>
      <c r="E312">
        <v>39010</v>
      </c>
      <c r="F312">
        <v>2958465</v>
      </c>
      <c r="G312">
        <v>6711</v>
      </c>
      <c r="H312" t="s">
        <v>13</v>
      </c>
      <c r="I312" t="s">
        <v>95</v>
      </c>
      <c r="J312">
        <v>0</v>
      </c>
      <c r="K312">
        <v>0</v>
      </c>
      <c r="L312" t="s">
        <v>1200</v>
      </c>
      <c r="M312" t="s">
        <v>1200</v>
      </c>
      <c r="N312">
        <v>2</v>
      </c>
      <c r="O312" t="s">
        <v>96</v>
      </c>
      <c r="P312" t="s">
        <v>1459</v>
      </c>
      <c r="Q312" s="30">
        <f>IF(CustomerHierarchyLevels[[#This Row],[HgLvCust.]]=0,CustomerHierarchyLevels[[#This Row],[Customer]],CustomerHierarchyLevels[[#This Row],[HgLvCust.]])</f>
        <v>6711</v>
      </c>
      <c r="R312" s="30">
        <f>IF(VLOOKUP(CustomerHierarchyLevels[[#This Row],[Level1]],CustomerHierarchyLevels[],7,FALSE)=0,CustomerHierarchyLevels[[#This Row],[Level1]],VLOOKUP(CustomerHierarchyLevels[[#This Row],[Level1]],CustomerHierarchyLevels[],7,FALSE))</f>
        <v>6711</v>
      </c>
      <c r="S312" s="30">
        <f>IF(VLOOKUP(CustomerHierarchyLevels[[#This Row],[Level2]],CustomerHierarchyLevels[],7,FALSE)=0,CustomerHierarchyLevels[[#This Row],[Level2]],VLOOKUP(CustomerHierarchyLevels[[#This Row],[Level2]],CustomerHierarchyLevels[],7,FALSE))</f>
        <v>6711</v>
      </c>
    </row>
    <row r="313" spans="1:19" x14ac:dyDescent="0.25">
      <c r="A313">
        <v>6711</v>
      </c>
      <c r="B313" t="s">
        <v>13</v>
      </c>
      <c r="C313" t="s">
        <v>95</v>
      </c>
      <c r="D313">
        <v>0</v>
      </c>
      <c r="E313">
        <v>39010</v>
      </c>
      <c r="F313">
        <v>2958465</v>
      </c>
      <c r="K313">
        <v>0</v>
      </c>
      <c r="L313" t="s">
        <v>1200</v>
      </c>
      <c r="M313" t="s">
        <v>1200</v>
      </c>
      <c r="N313">
        <v>0</v>
      </c>
      <c r="O313" t="s">
        <v>96</v>
      </c>
      <c r="P313" t="s">
        <v>1460</v>
      </c>
      <c r="Q313" s="30">
        <f>IF(CustomerHierarchyLevels[[#This Row],[HgLvCust.]]=0,CustomerHierarchyLevels[[#This Row],[Customer]],CustomerHierarchyLevels[[#This Row],[HgLvCust.]])</f>
        <v>6711</v>
      </c>
      <c r="R313" s="30">
        <f>IF(VLOOKUP(CustomerHierarchyLevels[[#This Row],[Level1]],CustomerHierarchyLevels[],7,FALSE)=0,CustomerHierarchyLevels[[#This Row],[Level1]],VLOOKUP(CustomerHierarchyLevels[[#This Row],[Level1]],CustomerHierarchyLevels[],7,FALSE))</f>
        <v>6711</v>
      </c>
      <c r="S313" s="30">
        <f>IF(VLOOKUP(CustomerHierarchyLevels[[#This Row],[Level2]],CustomerHierarchyLevels[],7,FALSE)=0,CustomerHierarchyLevels[[#This Row],[Level2]],VLOOKUP(CustomerHierarchyLevels[[#This Row],[Level2]],CustomerHierarchyLevels[],7,FALSE))</f>
        <v>6711</v>
      </c>
    </row>
    <row r="314" spans="1:19" x14ac:dyDescent="0.25">
      <c r="A314">
        <v>6285</v>
      </c>
      <c r="B314" t="s">
        <v>13</v>
      </c>
      <c r="C314" t="s">
        <v>95</v>
      </c>
      <c r="D314">
        <v>0</v>
      </c>
      <c r="E314">
        <v>39010</v>
      </c>
      <c r="F314">
        <v>2958465</v>
      </c>
      <c r="G314">
        <v>6712</v>
      </c>
      <c r="H314" t="s">
        <v>13</v>
      </c>
      <c r="I314" t="s">
        <v>95</v>
      </c>
      <c r="J314">
        <v>0</v>
      </c>
      <c r="K314">
        <v>0</v>
      </c>
      <c r="L314" t="s">
        <v>1200</v>
      </c>
      <c r="M314" t="s">
        <v>1200</v>
      </c>
      <c r="N314">
        <v>2</v>
      </c>
      <c r="O314" t="s">
        <v>96</v>
      </c>
      <c r="P314" t="s">
        <v>1461</v>
      </c>
      <c r="Q314" s="30">
        <f>IF(CustomerHierarchyLevels[[#This Row],[HgLvCust.]]=0,CustomerHierarchyLevels[[#This Row],[Customer]],CustomerHierarchyLevels[[#This Row],[HgLvCust.]])</f>
        <v>6712</v>
      </c>
      <c r="R314" s="30">
        <f>IF(VLOOKUP(CustomerHierarchyLevels[[#This Row],[Level1]],CustomerHierarchyLevels[],7,FALSE)=0,CustomerHierarchyLevels[[#This Row],[Level1]],VLOOKUP(CustomerHierarchyLevels[[#This Row],[Level1]],CustomerHierarchyLevels[],7,FALSE))</f>
        <v>6712</v>
      </c>
      <c r="S314" s="30">
        <f>IF(VLOOKUP(CustomerHierarchyLevels[[#This Row],[Level2]],CustomerHierarchyLevels[],7,FALSE)=0,CustomerHierarchyLevels[[#This Row],[Level2]],VLOOKUP(CustomerHierarchyLevels[[#This Row],[Level2]],CustomerHierarchyLevels[],7,FALSE))</f>
        <v>6712</v>
      </c>
    </row>
    <row r="315" spans="1:19" x14ac:dyDescent="0.25">
      <c r="A315">
        <v>6712</v>
      </c>
      <c r="B315" t="s">
        <v>13</v>
      </c>
      <c r="C315" t="s">
        <v>95</v>
      </c>
      <c r="D315">
        <v>0</v>
      </c>
      <c r="E315">
        <v>39010</v>
      </c>
      <c r="F315">
        <v>2958465</v>
      </c>
      <c r="K315">
        <v>0</v>
      </c>
      <c r="L315" t="s">
        <v>1200</v>
      </c>
      <c r="M315" t="s">
        <v>1200</v>
      </c>
      <c r="N315">
        <v>0</v>
      </c>
      <c r="O315" t="s">
        <v>96</v>
      </c>
      <c r="P315" t="s">
        <v>1462</v>
      </c>
      <c r="Q315" s="30">
        <f>IF(CustomerHierarchyLevels[[#This Row],[HgLvCust.]]=0,CustomerHierarchyLevels[[#This Row],[Customer]],CustomerHierarchyLevels[[#This Row],[HgLvCust.]])</f>
        <v>6712</v>
      </c>
      <c r="R315" s="30">
        <f>IF(VLOOKUP(CustomerHierarchyLevels[[#This Row],[Level1]],CustomerHierarchyLevels[],7,FALSE)=0,CustomerHierarchyLevels[[#This Row],[Level1]],VLOOKUP(CustomerHierarchyLevels[[#This Row],[Level1]],CustomerHierarchyLevels[],7,FALSE))</f>
        <v>6712</v>
      </c>
      <c r="S315" s="30">
        <f>IF(VLOOKUP(CustomerHierarchyLevels[[#This Row],[Level2]],CustomerHierarchyLevels[],7,FALSE)=0,CustomerHierarchyLevels[[#This Row],[Level2]],VLOOKUP(CustomerHierarchyLevels[[#This Row],[Level2]],CustomerHierarchyLevels[],7,FALSE))</f>
        <v>6712</v>
      </c>
    </row>
    <row r="316" spans="1:19" x14ac:dyDescent="0.25">
      <c r="A316">
        <v>6287</v>
      </c>
      <c r="B316" t="s">
        <v>13</v>
      </c>
      <c r="C316" t="s">
        <v>95</v>
      </c>
      <c r="D316">
        <v>0</v>
      </c>
      <c r="E316">
        <v>39010</v>
      </c>
      <c r="F316">
        <v>2958465</v>
      </c>
      <c r="G316">
        <v>6713</v>
      </c>
      <c r="H316" t="s">
        <v>13</v>
      </c>
      <c r="I316" t="s">
        <v>95</v>
      </c>
      <c r="J316">
        <v>0</v>
      </c>
      <c r="K316">
        <v>0</v>
      </c>
      <c r="L316" t="s">
        <v>1200</v>
      </c>
      <c r="M316" t="s">
        <v>1200</v>
      </c>
      <c r="N316">
        <v>2</v>
      </c>
      <c r="O316" t="s">
        <v>96</v>
      </c>
      <c r="P316" t="s">
        <v>1463</v>
      </c>
      <c r="Q316" s="30">
        <f>IF(CustomerHierarchyLevels[[#This Row],[HgLvCust.]]=0,CustomerHierarchyLevels[[#This Row],[Customer]],CustomerHierarchyLevels[[#This Row],[HgLvCust.]])</f>
        <v>6713</v>
      </c>
      <c r="R316" s="30">
        <f>IF(VLOOKUP(CustomerHierarchyLevels[[#This Row],[Level1]],CustomerHierarchyLevels[],7,FALSE)=0,CustomerHierarchyLevels[[#This Row],[Level1]],VLOOKUP(CustomerHierarchyLevels[[#This Row],[Level1]],CustomerHierarchyLevels[],7,FALSE))</f>
        <v>6713</v>
      </c>
      <c r="S316" s="30">
        <f>IF(VLOOKUP(CustomerHierarchyLevels[[#This Row],[Level2]],CustomerHierarchyLevels[],7,FALSE)=0,CustomerHierarchyLevels[[#This Row],[Level2]],VLOOKUP(CustomerHierarchyLevels[[#This Row],[Level2]],CustomerHierarchyLevels[],7,FALSE))</f>
        <v>6713</v>
      </c>
    </row>
    <row r="317" spans="1:19" x14ac:dyDescent="0.25">
      <c r="A317">
        <v>6713</v>
      </c>
      <c r="B317" t="s">
        <v>13</v>
      </c>
      <c r="C317" t="s">
        <v>95</v>
      </c>
      <c r="D317">
        <v>0</v>
      </c>
      <c r="E317">
        <v>39010</v>
      </c>
      <c r="F317">
        <v>2958465</v>
      </c>
      <c r="K317">
        <v>0</v>
      </c>
      <c r="L317" t="s">
        <v>1200</v>
      </c>
      <c r="M317" t="s">
        <v>1200</v>
      </c>
      <c r="N317">
        <v>0</v>
      </c>
      <c r="O317" t="s">
        <v>96</v>
      </c>
      <c r="P317" t="s">
        <v>1464</v>
      </c>
      <c r="Q317" s="30">
        <f>IF(CustomerHierarchyLevels[[#This Row],[HgLvCust.]]=0,CustomerHierarchyLevels[[#This Row],[Customer]],CustomerHierarchyLevels[[#This Row],[HgLvCust.]])</f>
        <v>6713</v>
      </c>
      <c r="R317" s="30">
        <f>IF(VLOOKUP(CustomerHierarchyLevels[[#This Row],[Level1]],CustomerHierarchyLevels[],7,FALSE)=0,CustomerHierarchyLevels[[#This Row],[Level1]],VLOOKUP(CustomerHierarchyLevels[[#This Row],[Level1]],CustomerHierarchyLevels[],7,FALSE))</f>
        <v>6713</v>
      </c>
      <c r="S317" s="30">
        <f>IF(VLOOKUP(CustomerHierarchyLevels[[#This Row],[Level2]],CustomerHierarchyLevels[],7,FALSE)=0,CustomerHierarchyLevels[[#This Row],[Level2]],VLOOKUP(CustomerHierarchyLevels[[#This Row],[Level2]],CustomerHierarchyLevels[],7,FALSE))</f>
        <v>6713</v>
      </c>
    </row>
    <row r="318" spans="1:19" x14ac:dyDescent="0.25">
      <c r="A318">
        <v>6289</v>
      </c>
      <c r="B318" t="s">
        <v>13</v>
      </c>
      <c r="C318" t="s">
        <v>95</v>
      </c>
      <c r="D318">
        <v>0</v>
      </c>
      <c r="E318">
        <v>39010</v>
      </c>
      <c r="F318">
        <v>2958465</v>
      </c>
      <c r="G318">
        <v>6714</v>
      </c>
      <c r="H318" t="s">
        <v>13</v>
      </c>
      <c r="I318" t="s">
        <v>95</v>
      </c>
      <c r="J318">
        <v>0</v>
      </c>
      <c r="K318">
        <v>0</v>
      </c>
      <c r="L318" t="s">
        <v>1200</v>
      </c>
      <c r="M318" t="s">
        <v>1200</v>
      </c>
      <c r="N318">
        <v>2</v>
      </c>
      <c r="O318" t="s">
        <v>96</v>
      </c>
      <c r="P318" t="s">
        <v>1465</v>
      </c>
      <c r="Q318" s="30">
        <f>IF(CustomerHierarchyLevels[[#This Row],[HgLvCust.]]=0,CustomerHierarchyLevels[[#This Row],[Customer]],CustomerHierarchyLevels[[#This Row],[HgLvCust.]])</f>
        <v>6714</v>
      </c>
      <c r="R318" s="30">
        <f>IF(VLOOKUP(CustomerHierarchyLevels[[#This Row],[Level1]],CustomerHierarchyLevels[],7,FALSE)=0,CustomerHierarchyLevels[[#This Row],[Level1]],VLOOKUP(CustomerHierarchyLevels[[#This Row],[Level1]],CustomerHierarchyLevels[],7,FALSE))</f>
        <v>6714</v>
      </c>
      <c r="S318" s="30">
        <f>IF(VLOOKUP(CustomerHierarchyLevels[[#This Row],[Level2]],CustomerHierarchyLevels[],7,FALSE)=0,CustomerHierarchyLevels[[#This Row],[Level2]],VLOOKUP(CustomerHierarchyLevels[[#This Row],[Level2]],CustomerHierarchyLevels[],7,FALSE))</f>
        <v>6714</v>
      </c>
    </row>
    <row r="319" spans="1:19" x14ac:dyDescent="0.25">
      <c r="A319">
        <v>6714</v>
      </c>
      <c r="B319" t="s">
        <v>13</v>
      </c>
      <c r="C319" t="s">
        <v>95</v>
      </c>
      <c r="D319">
        <v>0</v>
      </c>
      <c r="E319">
        <v>39010</v>
      </c>
      <c r="F319">
        <v>2958465</v>
      </c>
      <c r="K319">
        <v>0</v>
      </c>
      <c r="L319" t="s">
        <v>1200</v>
      </c>
      <c r="M319" t="s">
        <v>1200</v>
      </c>
      <c r="N319">
        <v>0</v>
      </c>
      <c r="O319" t="s">
        <v>96</v>
      </c>
      <c r="P319" t="s">
        <v>1466</v>
      </c>
      <c r="Q319" s="30">
        <f>IF(CustomerHierarchyLevels[[#This Row],[HgLvCust.]]=0,CustomerHierarchyLevels[[#This Row],[Customer]],CustomerHierarchyLevels[[#This Row],[HgLvCust.]])</f>
        <v>6714</v>
      </c>
      <c r="R319" s="30">
        <f>IF(VLOOKUP(CustomerHierarchyLevels[[#This Row],[Level1]],CustomerHierarchyLevels[],7,FALSE)=0,CustomerHierarchyLevels[[#This Row],[Level1]],VLOOKUP(CustomerHierarchyLevels[[#This Row],[Level1]],CustomerHierarchyLevels[],7,FALSE))</f>
        <v>6714</v>
      </c>
      <c r="S319" s="30">
        <f>IF(VLOOKUP(CustomerHierarchyLevels[[#This Row],[Level2]],CustomerHierarchyLevels[],7,FALSE)=0,CustomerHierarchyLevels[[#This Row],[Level2]],VLOOKUP(CustomerHierarchyLevels[[#This Row],[Level2]],CustomerHierarchyLevels[],7,FALSE))</f>
        <v>6714</v>
      </c>
    </row>
    <row r="320" spans="1:19" x14ac:dyDescent="0.25">
      <c r="A320">
        <v>6291</v>
      </c>
      <c r="B320" t="s">
        <v>13</v>
      </c>
      <c r="C320" t="s">
        <v>95</v>
      </c>
      <c r="D320">
        <v>0</v>
      </c>
      <c r="E320">
        <v>39010</v>
      </c>
      <c r="F320">
        <v>2958465</v>
      </c>
      <c r="G320">
        <v>6715</v>
      </c>
      <c r="H320" t="s">
        <v>13</v>
      </c>
      <c r="I320" t="s">
        <v>95</v>
      </c>
      <c r="J320">
        <v>0</v>
      </c>
      <c r="K320">
        <v>0</v>
      </c>
      <c r="L320" t="s">
        <v>1200</v>
      </c>
      <c r="M320" t="s">
        <v>1200</v>
      </c>
      <c r="N320">
        <v>2</v>
      </c>
      <c r="O320" t="s">
        <v>96</v>
      </c>
      <c r="P320" t="s">
        <v>1467</v>
      </c>
      <c r="Q320" s="30">
        <f>IF(CustomerHierarchyLevels[[#This Row],[HgLvCust.]]=0,CustomerHierarchyLevels[[#This Row],[Customer]],CustomerHierarchyLevels[[#This Row],[HgLvCust.]])</f>
        <v>6715</v>
      </c>
      <c r="R320" s="30">
        <f>IF(VLOOKUP(CustomerHierarchyLevels[[#This Row],[Level1]],CustomerHierarchyLevels[],7,FALSE)=0,CustomerHierarchyLevels[[#This Row],[Level1]],VLOOKUP(CustomerHierarchyLevels[[#This Row],[Level1]],CustomerHierarchyLevels[],7,FALSE))</f>
        <v>6715</v>
      </c>
      <c r="S320" s="30">
        <f>IF(VLOOKUP(CustomerHierarchyLevels[[#This Row],[Level2]],CustomerHierarchyLevels[],7,FALSE)=0,CustomerHierarchyLevels[[#This Row],[Level2]],VLOOKUP(CustomerHierarchyLevels[[#This Row],[Level2]],CustomerHierarchyLevels[],7,FALSE))</f>
        <v>6715</v>
      </c>
    </row>
    <row r="321" spans="1:19" x14ac:dyDescent="0.25">
      <c r="A321">
        <v>6715</v>
      </c>
      <c r="B321" t="s">
        <v>13</v>
      </c>
      <c r="C321" t="s">
        <v>95</v>
      </c>
      <c r="D321">
        <v>0</v>
      </c>
      <c r="E321">
        <v>39010</v>
      </c>
      <c r="F321">
        <v>2958465</v>
      </c>
      <c r="K321">
        <v>0</v>
      </c>
      <c r="L321" t="s">
        <v>1200</v>
      </c>
      <c r="M321" t="s">
        <v>1200</v>
      </c>
      <c r="N321">
        <v>0</v>
      </c>
      <c r="O321" t="s">
        <v>96</v>
      </c>
      <c r="P321" t="s">
        <v>1468</v>
      </c>
      <c r="Q321" s="30">
        <f>IF(CustomerHierarchyLevels[[#This Row],[HgLvCust.]]=0,CustomerHierarchyLevels[[#This Row],[Customer]],CustomerHierarchyLevels[[#This Row],[HgLvCust.]])</f>
        <v>6715</v>
      </c>
      <c r="R321" s="30">
        <f>IF(VLOOKUP(CustomerHierarchyLevels[[#This Row],[Level1]],CustomerHierarchyLevels[],7,FALSE)=0,CustomerHierarchyLevels[[#This Row],[Level1]],VLOOKUP(CustomerHierarchyLevels[[#This Row],[Level1]],CustomerHierarchyLevels[],7,FALSE))</f>
        <v>6715</v>
      </c>
      <c r="S321" s="30">
        <f>IF(VLOOKUP(CustomerHierarchyLevels[[#This Row],[Level2]],CustomerHierarchyLevels[],7,FALSE)=0,CustomerHierarchyLevels[[#This Row],[Level2]],VLOOKUP(CustomerHierarchyLevels[[#This Row],[Level2]],CustomerHierarchyLevels[],7,FALSE))</f>
        <v>6715</v>
      </c>
    </row>
    <row r="322" spans="1:19" x14ac:dyDescent="0.25">
      <c r="A322">
        <v>6293</v>
      </c>
      <c r="B322" t="s">
        <v>13</v>
      </c>
      <c r="C322" t="s">
        <v>95</v>
      </c>
      <c r="D322">
        <v>0</v>
      </c>
      <c r="E322">
        <v>39010</v>
      </c>
      <c r="F322">
        <v>2958465</v>
      </c>
      <c r="G322">
        <v>6716</v>
      </c>
      <c r="H322" t="s">
        <v>13</v>
      </c>
      <c r="I322" t="s">
        <v>95</v>
      </c>
      <c r="J322">
        <v>0</v>
      </c>
      <c r="K322">
        <v>0</v>
      </c>
      <c r="L322" t="s">
        <v>1200</v>
      </c>
      <c r="M322" t="s">
        <v>1200</v>
      </c>
      <c r="N322">
        <v>2</v>
      </c>
      <c r="O322" t="s">
        <v>96</v>
      </c>
      <c r="P322" t="s">
        <v>1469</v>
      </c>
      <c r="Q322" s="30">
        <f>IF(CustomerHierarchyLevels[[#This Row],[HgLvCust.]]=0,CustomerHierarchyLevels[[#This Row],[Customer]],CustomerHierarchyLevels[[#This Row],[HgLvCust.]])</f>
        <v>6716</v>
      </c>
      <c r="R322" s="30">
        <f>IF(VLOOKUP(CustomerHierarchyLevels[[#This Row],[Level1]],CustomerHierarchyLevels[],7,FALSE)=0,CustomerHierarchyLevels[[#This Row],[Level1]],VLOOKUP(CustomerHierarchyLevels[[#This Row],[Level1]],CustomerHierarchyLevels[],7,FALSE))</f>
        <v>6716</v>
      </c>
      <c r="S322" s="30">
        <f>IF(VLOOKUP(CustomerHierarchyLevels[[#This Row],[Level2]],CustomerHierarchyLevels[],7,FALSE)=0,CustomerHierarchyLevels[[#This Row],[Level2]],VLOOKUP(CustomerHierarchyLevels[[#This Row],[Level2]],CustomerHierarchyLevels[],7,FALSE))</f>
        <v>6716</v>
      </c>
    </row>
    <row r="323" spans="1:19" x14ac:dyDescent="0.25">
      <c r="A323">
        <v>6716</v>
      </c>
      <c r="B323" t="s">
        <v>13</v>
      </c>
      <c r="C323" t="s">
        <v>95</v>
      </c>
      <c r="D323">
        <v>0</v>
      </c>
      <c r="E323">
        <v>39010</v>
      </c>
      <c r="F323">
        <v>2958465</v>
      </c>
      <c r="K323">
        <v>0</v>
      </c>
      <c r="L323" t="s">
        <v>1200</v>
      </c>
      <c r="M323" t="s">
        <v>1200</v>
      </c>
      <c r="N323">
        <v>1</v>
      </c>
      <c r="O323" t="s">
        <v>96</v>
      </c>
      <c r="P323" t="s">
        <v>1470</v>
      </c>
      <c r="Q323" s="30">
        <f>IF(CustomerHierarchyLevels[[#This Row],[HgLvCust.]]=0,CustomerHierarchyLevels[[#This Row],[Customer]],CustomerHierarchyLevels[[#This Row],[HgLvCust.]])</f>
        <v>6716</v>
      </c>
      <c r="R323" s="30">
        <f>IF(VLOOKUP(CustomerHierarchyLevels[[#This Row],[Level1]],CustomerHierarchyLevels[],7,FALSE)=0,CustomerHierarchyLevels[[#This Row],[Level1]],VLOOKUP(CustomerHierarchyLevels[[#This Row],[Level1]],CustomerHierarchyLevels[],7,FALSE))</f>
        <v>6716</v>
      </c>
      <c r="S323" s="30">
        <f>IF(VLOOKUP(CustomerHierarchyLevels[[#This Row],[Level2]],CustomerHierarchyLevels[],7,FALSE)=0,CustomerHierarchyLevels[[#This Row],[Level2]],VLOOKUP(CustomerHierarchyLevels[[#This Row],[Level2]],CustomerHierarchyLevels[],7,FALSE))</f>
        <v>6716</v>
      </c>
    </row>
    <row r="324" spans="1:19" x14ac:dyDescent="0.25">
      <c r="A324">
        <v>6295</v>
      </c>
      <c r="B324" t="s">
        <v>13</v>
      </c>
      <c r="C324" t="s">
        <v>95</v>
      </c>
      <c r="D324">
        <v>0</v>
      </c>
      <c r="E324">
        <v>39010</v>
      </c>
      <c r="F324">
        <v>2958465</v>
      </c>
      <c r="G324">
        <v>6717</v>
      </c>
      <c r="H324" t="s">
        <v>13</v>
      </c>
      <c r="I324" t="s">
        <v>95</v>
      </c>
      <c r="J324">
        <v>0</v>
      </c>
      <c r="K324">
        <v>0</v>
      </c>
      <c r="L324" t="s">
        <v>1200</v>
      </c>
      <c r="M324" t="s">
        <v>1200</v>
      </c>
      <c r="N324">
        <v>2</v>
      </c>
      <c r="O324" t="s">
        <v>96</v>
      </c>
      <c r="P324" t="s">
        <v>1471</v>
      </c>
      <c r="Q324" s="30">
        <f>IF(CustomerHierarchyLevels[[#This Row],[HgLvCust.]]=0,CustomerHierarchyLevels[[#This Row],[Customer]],CustomerHierarchyLevels[[#This Row],[HgLvCust.]])</f>
        <v>6717</v>
      </c>
      <c r="R324" s="30">
        <f>IF(VLOOKUP(CustomerHierarchyLevels[[#This Row],[Level1]],CustomerHierarchyLevels[],7,FALSE)=0,CustomerHierarchyLevels[[#This Row],[Level1]],VLOOKUP(CustomerHierarchyLevels[[#This Row],[Level1]],CustomerHierarchyLevels[],7,FALSE))</f>
        <v>6717</v>
      </c>
      <c r="S324" s="30">
        <f>IF(VLOOKUP(CustomerHierarchyLevels[[#This Row],[Level2]],CustomerHierarchyLevels[],7,FALSE)=0,CustomerHierarchyLevels[[#This Row],[Level2]],VLOOKUP(CustomerHierarchyLevels[[#This Row],[Level2]],CustomerHierarchyLevels[],7,FALSE))</f>
        <v>6717</v>
      </c>
    </row>
    <row r="325" spans="1:19" x14ac:dyDescent="0.25">
      <c r="A325">
        <v>6717</v>
      </c>
      <c r="B325" t="s">
        <v>13</v>
      </c>
      <c r="C325" t="s">
        <v>95</v>
      </c>
      <c r="D325">
        <v>0</v>
      </c>
      <c r="E325">
        <v>39010</v>
      </c>
      <c r="F325">
        <v>2958465</v>
      </c>
      <c r="K325">
        <v>0</v>
      </c>
      <c r="L325" t="s">
        <v>1200</v>
      </c>
      <c r="M325" t="s">
        <v>1200</v>
      </c>
      <c r="N325">
        <v>0</v>
      </c>
      <c r="O325" t="s">
        <v>96</v>
      </c>
      <c r="P325" t="s">
        <v>1472</v>
      </c>
      <c r="Q325" s="30">
        <f>IF(CustomerHierarchyLevels[[#This Row],[HgLvCust.]]=0,CustomerHierarchyLevels[[#This Row],[Customer]],CustomerHierarchyLevels[[#This Row],[HgLvCust.]])</f>
        <v>6717</v>
      </c>
      <c r="R325" s="30">
        <f>IF(VLOOKUP(CustomerHierarchyLevels[[#This Row],[Level1]],CustomerHierarchyLevels[],7,FALSE)=0,CustomerHierarchyLevels[[#This Row],[Level1]],VLOOKUP(CustomerHierarchyLevels[[#This Row],[Level1]],CustomerHierarchyLevels[],7,FALSE))</f>
        <v>6717</v>
      </c>
      <c r="S325" s="30">
        <f>IF(VLOOKUP(CustomerHierarchyLevels[[#This Row],[Level2]],CustomerHierarchyLevels[],7,FALSE)=0,CustomerHierarchyLevels[[#This Row],[Level2]],VLOOKUP(CustomerHierarchyLevels[[#This Row],[Level2]],CustomerHierarchyLevels[],7,FALSE))</f>
        <v>6717</v>
      </c>
    </row>
    <row r="326" spans="1:19" x14ac:dyDescent="0.25">
      <c r="A326">
        <v>6297</v>
      </c>
      <c r="B326" t="s">
        <v>13</v>
      </c>
      <c r="C326" t="s">
        <v>95</v>
      </c>
      <c r="D326">
        <v>0</v>
      </c>
      <c r="E326">
        <v>39010</v>
      </c>
      <c r="F326">
        <v>2958465</v>
      </c>
      <c r="G326">
        <v>6718</v>
      </c>
      <c r="H326" t="s">
        <v>13</v>
      </c>
      <c r="I326" t="s">
        <v>95</v>
      </c>
      <c r="J326">
        <v>0</v>
      </c>
      <c r="K326">
        <v>0</v>
      </c>
      <c r="L326" t="s">
        <v>1200</v>
      </c>
      <c r="M326" t="s">
        <v>1200</v>
      </c>
      <c r="N326">
        <v>2</v>
      </c>
      <c r="O326" t="s">
        <v>96</v>
      </c>
      <c r="P326" t="s">
        <v>1473</v>
      </c>
      <c r="Q326" s="30">
        <f>IF(CustomerHierarchyLevels[[#This Row],[HgLvCust.]]=0,CustomerHierarchyLevels[[#This Row],[Customer]],CustomerHierarchyLevels[[#This Row],[HgLvCust.]])</f>
        <v>6718</v>
      </c>
      <c r="R326" s="30">
        <f>IF(VLOOKUP(CustomerHierarchyLevels[[#This Row],[Level1]],CustomerHierarchyLevels[],7,FALSE)=0,CustomerHierarchyLevels[[#This Row],[Level1]],VLOOKUP(CustomerHierarchyLevels[[#This Row],[Level1]],CustomerHierarchyLevels[],7,FALSE))</f>
        <v>6718</v>
      </c>
      <c r="S326" s="30">
        <f>IF(VLOOKUP(CustomerHierarchyLevels[[#This Row],[Level2]],CustomerHierarchyLevels[],7,FALSE)=0,CustomerHierarchyLevels[[#This Row],[Level2]],VLOOKUP(CustomerHierarchyLevels[[#This Row],[Level2]],CustomerHierarchyLevels[],7,FALSE))</f>
        <v>6718</v>
      </c>
    </row>
    <row r="327" spans="1:19" x14ac:dyDescent="0.25">
      <c r="A327">
        <v>6718</v>
      </c>
      <c r="B327" t="s">
        <v>13</v>
      </c>
      <c r="C327" t="s">
        <v>95</v>
      </c>
      <c r="D327">
        <v>0</v>
      </c>
      <c r="E327">
        <v>39010</v>
      </c>
      <c r="F327">
        <v>2958465</v>
      </c>
      <c r="K327">
        <v>0</v>
      </c>
      <c r="L327" t="s">
        <v>1200</v>
      </c>
      <c r="M327" t="s">
        <v>1200</v>
      </c>
      <c r="N327">
        <v>0</v>
      </c>
      <c r="O327" t="s">
        <v>96</v>
      </c>
      <c r="P327" t="s">
        <v>1474</v>
      </c>
      <c r="Q327" s="30">
        <f>IF(CustomerHierarchyLevels[[#This Row],[HgLvCust.]]=0,CustomerHierarchyLevels[[#This Row],[Customer]],CustomerHierarchyLevels[[#This Row],[HgLvCust.]])</f>
        <v>6718</v>
      </c>
      <c r="R327" s="30">
        <f>IF(VLOOKUP(CustomerHierarchyLevels[[#This Row],[Level1]],CustomerHierarchyLevels[],7,FALSE)=0,CustomerHierarchyLevels[[#This Row],[Level1]],VLOOKUP(CustomerHierarchyLevels[[#This Row],[Level1]],CustomerHierarchyLevels[],7,FALSE))</f>
        <v>6718</v>
      </c>
      <c r="S327" s="30">
        <f>IF(VLOOKUP(CustomerHierarchyLevels[[#This Row],[Level2]],CustomerHierarchyLevels[],7,FALSE)=0,CustomerHierarchyLevels[[#This Row],[Level2]],VLOOKUP(CustomerHierarchyLevels[[#This Row],[Level2]],CustomerHierarchyLevels[],7,FALSE))</f>
        <v>6718</v>
      </c>
    </row>
    <row r="328" spans="1:19" x14ac:dyDescent="0.25">
      <c r="A328">
        <v>6299</v>
      </c>
      <c r="B328" t="s">
        <v>13</v>
      </c>
      <c r="C328" t="s">
        <v>95</v>
      </c>
      <c r="D328">
        <v>0</v>
      </c>
      <c r="E328">
        <v>39010</v>
      </c>
      <c r="F328">
        <v>2958465</v>
      </c>
      <c r="G328">
        <v>6719</v>
      </c>
      <c r="H328" t="s">
        <v>13</v>
      </c>
      <c r="I328" t="s">
        <v>95</v>
      </c>
      <c r="J328">
        <v>0</v>
      </c>
      <c r="K328">
        <v>0</v>
      </c>
      <c r="L328" t="s">
        <v>1200</v>
      </c>
      <c r="M328" t="s">
        <v>1200</v>
      </c>
      <c r="N328">
        <v>2</v>
      </c>
      <c r="O328" t="s">
        <v>96</v>
      </c>
      <c r="P328" t="s">
        <v>1475</v>
      </c>
      <c r="Q328" s="30">
        <f>IF(CustomerHierarchyLevels[[#This Row],[HgLvCust.]]=0,CustomerHierarchyLevels[[#This Row],[Customer]],CustomerHierarchyLevels[[#This Row],[HgLvCust.]])</f>
        <v>6719</v>
      </c>
      <c r="R328" s="30">
        <f>IF(VLOOKUP(CustomerHierarchyLevels[[#This Row],[Level1]],CustomerHierarchyLevels[],7,FALSE)=0,CustomerHierarchyLevels[[#This Row],[Level1]],VLOOKUP(CustomerHierarchyLevels[[#This Row],[Level1]],CustomerHierarchyLevels[],7,FALSE))</f>
        <v>6719</v>
      </c>
      <c r="S328" s="30">
        <f>IF(VLOOKUP(CustomerHierarchyLevels[[#This Row],[Level2]],CustomerHierarchyLevels[],7,FALSE)=0,CustomerHierarchyLevels[[#This Row],[Level2]],VLOOKUP(CustomerHierarchyLevels[[#This Row],[Level2]],CustomerHierarchyLevels[],7,FALSE))</f>
        <v>6719</v>
      </c>
    </row>
    <row r="329" spans="1:19" x14ac:dyDescent="0.25">
      <c r="A329">
        <v>6719</v>
      </c>
      <c r="B329" t="s">
        <v>13</v>
      </c>
      <c r="C329" t="s">
        <v>95</v>
      </c>
      <c r="D329">
        <v>0</v>
      </c>
      <c r="E329">
        <v>39010</v>
      </c>
      <c r="F329">
        <v>2958465</v>
      </c>
      <c r="K329">
        <v>0</v>
      </c>
      <c r="L329" t="s">
        <v>1200</v>
      </c>
      <c r="M329" t="s">
        <v>1200</v>
      </c>
      <c r="N329">
        <v>0</v>
      </c>
      <c r="O329" t="s">
        <v>96</v>
      </c>
      <c r="P329" t="s">
        <v>1476</v>
      </c>
      <c r="Q329" s="30">
        <f>IF(CustomerHierarchyLevels[[#This Row],[HgLvCust.]]=0,CustomerHierarchyLevels[[#This Row],[Customer]],CustomerHierarchyLevels[[#This Row],[HgLvCust.]])</f>
        <v>6719</v>
      </c>
      <c r="R329" s="30">
        <f>IF(VLOOKUP(CustomerHierarchyLevels[[#This Row],[Level1]],CustomerHierarchyLevels[],7,FALSE)=0,CustomerHierarchyLevels[[#This Row],[Level1]],VLOOKUP(CustomerHierarchyLevels[[#This Row],[Level1]],CustomerHierarchyLevels[],7,FALSE))</f>
        <v>6719</v>
      </c>
      <c r="S329" s="30">
        <f>IF(VLOOKUP(CustomerHierarchyLevels[[#This Row],[Level2]],CustomerHierarchyLevels[],7,FALSE)=0,CustomerHierarchyLevels[[#This Row],[Level2]],VLOOKUP(CustomerHierarchyLevels[[#This Row],[Level2]],CustomerHierarchyLevels[],7,FALSE))</f>
        <v>6719</v>
      </c>
    </row>
    <row r="330" spans="1:19" x14ac:dyDescent="0.25">
      <c r="A330">
        <v>6280</v>
      </c>
      <c r="B330" t="s">
        <v>13</v>
      </c>
      <c r="C330" t="s">
        <v>95</v>
      </c>
      <c r="D330">
        <v>0</v>
      </c>
      <c r="E330">
        <v>39010</v>
      </c>
      <c r="F330">
        <v>2958465</v>
      </c>
      <c r="G330">
        <v>6281</v>
      </c>
      <c r="H330" t="s">
        <v>13</v>
      </c>
      <c r="I330" t="s">
        <v>95</v>
      </c>
      <c r="J330">
        <v>0</v>
      </c>
      <c r="K330">
        <v>0</v>
      </c>
      <c r="L330" t="s">
        <v>1200</v>
      </c>
      <c r="M330" t="s">
        <v>1200</v>
      </c>
      <c r="N330">
        <v>0</v>
      </c>
      <c r="O330" t="s">
        <v>96</v>
      </c>
      <c r="P330" t="s">
        <v>1477</v>
      </c>
      <c r="Q330" s="30">
        <f>IF(CustomerHierarchyLevels[[#This Row],[HgLvCust.]]=0,CustomerHierarchyLevels[[#This Row],[Customer]],CustomerHierarchyLevels[[#This Row],[HgLvCust.]])</f>
        <v>6281</v>
      </c>
      <c r="R330" s="30">
        <f>IF(VLOOKUP(CustomerHierarchyLevels[[#This Row],[Level1]],CustomerHierarchyLevels[],7,FALSE)=0,CustomerHierarchyLevels[[#This Row],[Level1]],VLOOKUP(CustomerHierarchyLevels[[#This Row],[Level1]],CustomerHierarchyLevels[],7,FALSE))</f>
        <v>6710</v>
      </c>
      <c r="S330" s="30">
        <f>IF(VLOOKUP(CustomerHierarchyLevels[[#This Row],[Level2]],CustomerHierarchyLevels[],7,FALSE)=0,CustomerHierarchyLevels[[#This Row],[Level2]],VLOOKUP(CustomerHierarchyLevels[[#This Row],[Level2]],CustomerHierarchyLevels[],7,FALSE))</f>
        <v>6710</v>
      </c>
    </row>
    <row r="331" spans="1:19" x14ac:dyDescent="0.25">
      <c r="A331">
        <v>6284</v>
      </c>
      <c r="B331" t="s">
        <v>13</v>
      </c>
      <c r="C331" t="s">
        <v>95</v>
      </c>
      <c r="D331">
        <v>0</v>
      </c>
      <c r="E331">
        <v>39010</v>
      </c>
      <c r="F331">
        <v>2958465</v>
      </c>
      <c r="G331">
        <v>6285</v>
      </c>
      <c r="H331" t="s">
        <v>13</v>
      </c>
      <c r="I331" t="s">
        <v>95</v>
      </c>
      <c r="J331">
        <v>0</v>
      </c>
      <c r="K331">
        <v>0</v>
      </c>
      <c r="L331" t="s">
        <v>1200</v>
      </c>
      <c r="M331" t="s">
        <v>1200</v>
      </c>
      <c r="N331">
        <v>0</v>
      </c>
      <c r="O331" t="s">
        <v>96</v>
      </c>
      <c r="P331" t="s">
        <v>1478</v>
      </c>
      <c r="Q331" s="30">
        <f>IF(CustomerHierarchyLevels[[#This Row],[HgLvCust.]]=0,CustomerHierarchyLevels[[#This Row],[Customer]],CustomerHierarchyLevels[[#This Row],[HgLvCust.]])</f>
        <v>6285</v>
      </c>
      <c r="R331" s="30">
        <f>IF(VLOOKUP(CustomerHierarchyLevels[[#This Row],[Level1]],CustomerHierarchyLevels[],7,FALSE)=0,CustomerHierarchyLevels[[#This Row],[Level1]],VLOOKUP(CustomerHierarchyLevels[[#This Row],[Level1]],CustomerHierarchyLevels[],7,FALSE))</f>
        <v>6712</v>
      </c>
      <c r="S331" s="30">
        <f>IF(VLOOKUP(CustomerHierarchyLevels[[#This Row],[Level2]],CustomerHierarchyLevels[],7,FALSE)=0,CustomerHierarchyLevels[[#This Row],[Level2]],VLOOKUP(CustomerHierarchyLevels[[#This Row],[Level2]],CustomerHierarchyLevels[],7,FALSE))</f>
        <v>6712</v>
      </c>
    </row>
    <row r="332" spans="1:19" x14ac:dyDescent="0.25">
      <c r="A332">
        <v>6286</v>
      </c>
      <c r="B332" t="s">
        <v>13</v>
      </c>
      <c r="C332" t="s">
        <v>95</v>
      </c>
      <c r="D332">
        <v>0</v>
      </c>
      <c r="E332">
        <v>39010</v>
      </c>
      <c r="F332">
        <v>2958465</v>
      </c>
      <c r="G332">
        <v>6287</v>
      </c>
      <c r="H332" t="s">
        <v>13</v>
      </c>
      <c r="I332" t="s">
        <v>95</v>
      </c>
      <c r="J332">
        <v>0</v>
      </c>
      <c r="K332">
        <v>0</v>
      </c>
      <c r="L332" t="s">
        <v>1200</v>
      </c>
      <c r="M332" t="s">
        <v>1200</v>
      </c>
      <c r="N332">
        <v>0</v>
      </c>
      <c r="O332" t="s">
        <v>96</v>
      </c>
      <c r="P332" t="s">
        <v>1479</v>
      </c>
      <c r="Q332" s="30">
        <f>IF(CustomerHierarchyLevels[[#This Row],[HgLvCust.]]=0,CustomerHierarchyLevels[[#This Row],[Customer]],CustomerHierarchyLevels[[#This Row],[HgLvCust.]])</f>
        <v>6287</v>
      </c>
      <c r="R332" s="30">
        <f>IF(VLOOKUP(CustomerHierarchyLevels[[#This Row],[Level1]],CustomerHierarchyLevels[],7,FALSE)=0,CustomerHierarchyLevels[[#This Row],[Level1]],VLOOKUP(CustomerHierarchyLevels[[#This Row],[Level1]],CustomerHierarchyLevels[],7,FALSE))</f>
        <v>6713</v>
      </c>
      <c r="S332" s="30">
        <f>IF(VLOOKUP(CustomerHierarchyLevels[[#This Row],[Level2]],CustomerHierarchyLevels[],7,FALSE)=0,CustomerHierarchyLevels[[#This Row],[Level2]],VLOOKUP(CustomerHierarchyLevels[[#This Row],[Level2]],CustomerHierarchyLevels[],7,FALSE))</f>
        <v>6713</v>
      </c>
    </row>
    <row r="333" spans="1:19" x14ac:dyDescent="0.25">
      <c r="A333">
        <v>6288</v>
      </c>
      <c r="B333" t="s">
        <v>13</v>
      </c>
      <c r="C333" t="s">
        <v>95</v>
      </c>
      <c r="D333">
        <v>0</v>
      </c>
      <c r="E333">
        <v>39010</v>
      </c>
      <c r="F333">
        <v>2958465</v>
      </c>
      <c r="G333">
        <v>6289</v>
      </c>
      <c r="H333" t="s">
        <v>13</v>
      </c>
      <c r="I333" t="s">
        <v>95</v>
      </c>
      <c r="J333">
        <v>0</v>
      </c>
      <c r="K333">
        <v>0</v>
      </c>
      <c r="L333" t="s">
        <v>1200</v>
      </c>
      <c r="M333" t="s">
        <v>1200</v>
      </c>
      <c r="N333">
        <v>0</v>
      </c>
      <c r="O333" t="s">
        <v>96</v>
      </c>
      <c r="P333" t="s">
        <v>1480</v>
      </c>
      <c r="Q333" s="30">
        <f>IF(CustomerHierarchyLevels[[#This Row],[HgLvCust.]]=0,CustomerHierarchyLevels[[#This Row],[Customer]],CustomerHierarchyLevels[[#This Row],[HgLvCust.]])</f>
        <v>6289</v>
      </c>
      <c r="R333" s="30">
        <f>IF(VLOOKUP(CustomerHierarchyLevels[[#This Row],[Level1]],CustomerHierarchyLevels[],7,FALSE)=0,CustomerHierarchyLevels[[#This Row],[Level1]],VLOOKUP(CustomerHierarchyLevels[[#This Row],[Level1]],CustomerHierarchyLevels[],7,FALSE))</f>
        <v>6714</v>
      </c>
      <c r="S333" s="30">
        <f>IF(VLOOKUP(CustomerHierarchyLevels[[#This Row],[Level2]],CustomerHierarchyLevels[],7,FALSE)=0,CustomerHierarchyLevels[[#This Row],[Level2]],VLOOKUP(CustomerHierarchyLevels[[#This Row],[Level2]],CustomerHierarchyLevels[],7,FALSE))</f>
        <v>6714</v>
      </c>
    </row>
    <row r="334" spans="1:19" x14ac:dyDescent="0.25">
      <c r="A334">
        <v>6290</v>
      </c>
      <c r="B334" t="s">
        <v>13</v>
      </c>
      <c r="C334" t="s">
        <v>95</v>
      </c>
      <c r="D334">
        <v>0</v>
      </c>
      <c r="E334">
        <v>39010</v>
      </c>
      <c r="F334">
        <v>2958465</v>
      </c>
      <c r="G334">
        <v>6291</v>
      </c>
      <c r="H334" t="s">
        <v>13</v>
      </c>
      <c r="I334" t="s">
        <v>95</v>
      </c>
      <c r="J334">
        <v>0</v>
      </c>
      <c r="K334">
        <v>0</v>
      </c>
      <c r="L334" t="s">
        <v>1200</v>
      </c>
      <c r="M334" t="s">
        <v>1200</v>
      </c>
      <c r="N334">
        <v>0</v>
      </c>
      <c r="O334" t="s">
        <v>96</v>
      </c>
      <c r="P334" t="s">
        <v>1481</v>
      </c>
      <c r="Q334" s="30">
        <f>IF(CustomerHierarchyLevels[[#This Row],[HgLvCust.]]=0,CustomerHierarchyLevels[[#This Row],[Customer]],CustomerHierarchyLevels[[#This Row],[HgLvCust.]])</f>
        <v>6291</v>
      </c>
      <c r="R334" s="30">
        <f>IF(VLOOKUP(CustomerHierarchyLevels[[#This Row],[Level1]],CustomerHierarchyLevels[],7,FALSE)=0,CustomerHierarchyLevels[[#This Row],[Level1]],VLOOKUP(CustomerHierarchyLevels[[#This Row],[Level1]],CustomerHierarchyLevels[],7,FALSE))</f>
        <v>6715</v>
      </c>
      <c r="S334" s="30">
        <f>IF(VLOOKUP(CustomerHierarchyLevels[[#This Row],[Level2]],CustomerHierarchyLevels[],7,FALSE)=0,CustomerHierarchyLevels[[#This Row],[Level2]],VLOOKUP(CustomerHierarchyLevels[[#This Row],[Level2]],CustomerHierarchyLevels[],7,FALSE))</f>
        <v>6715</v>
      </c>
    </row>
    <row r="335" spans="1:19" x14ac:dyDescent="0.25">
      <c r="A335">
        <v>6294</v>
      </c>
      <c r="B335" t="s">
        <v>13</v>
      </c>
      <c r="C335" t="s">
        <v>95</v>
      </c>
      <c r="D335">
        <v>0</v>
      </c>
      <c r="E335">
        <v>39010</v>
      </c>
      <c r="F335">
        <v>2958465</v>
      </c>
      <c r="G335">
        <v>6295</v>
      </c>
      <c r="H335" t="s">
        <v>13</v>
      </c>
      <c r="I335" t="s">
        <v>95</v>
      </c>
      <c r="J335">
        <v>0</v>
      </c>
      <c r="K335">
        <v>0</v>
      </c>
      <c r="L335" t="s">
        <v>1200</v>
      </c>
      <c r="M335" t="s">
        <v>1200</v>
      </c>
      <c r="N335">
        <v>0</v>
      </c>
      <c r="O335" t="s">
        <v>96</v>
      </c>
      <c r="P335" t="s">
        <v>1482</v>
      </c>
      <c r="Q335" s="30">
        <f>IF(CustomerHierarchyLevels[[#This Row],[HgLvCust.]]=0,CustomerHierarchyLevels[[#This Row],[Customer]],CustomerHierarchyLevels[[#This Row],[HgLvCust.]])</f>
        <v>6295</v>
      </c>
      <c r="R335" s="30">
        <f>IF(VLOOKUP(CustomerHierarchyLevels[[#This Row],[Level1]],CustomerHierarchyLevels[],7,FALSE)=0,CustomerHierarchyLevels[[#This Row],[Level1]],VLOOKUP(CustomerHierarchyLevels[[#This Row],[Level1]],CustomerHierarchyLevels[],7,FALSE))</f>
        <v>6717</v>
      </c>
      <c r="S335" s="30">
        <f>IF(VLOOKUP(CustomerHierarchyLevels[[#This Row],[Level2]],CustomerHierarchyLevels[],7,FALSE)=0,CustomerHierarchyLevels[[#This Row],[Level2]],VLOOKUP(CustomerHierarchyLevels[[#This Row],[Level2]],CustomerHierarchyLevels[],7,FALSE))</f>
        <v>6717</v>
      </c>
    </row>
    <row r="336" spans="1:19" x14ac:dyDescent="0.25">
      <c r="A336">
        <v>6296</v>
      </c>
      <c r="B336" t="s">
        <v>13</v>
      </c>
      <c r="C336" t="s">
        <v>95</v>
      </c>
      <c r="D336">
        <v>0</v>
      </c>
      <c r="E336">
        <v>39010</v>
      </c>
      <c r="F336">
        <v>2958465</v>
      </c>
      <c r="G336">
        <v>6297</v>
      </c>
      <c r="H336" t="s">
        <v>13</v>
      </c>
      <c r="I336" t="s">
        <v>95</v>
      </c>
      <c r="J336">
        <v>0</v>
      </c>
      <c r="K336">
        <v>0</v>
      </c>
      <c r="L336" t="s">
        <v>1200</v>
      </c>
      <c r="M336" t="s">
        <v>1200</v>
      </c>
      <c r="N336">
        <v>0</v>
      </c>
      <c r="O336" t="s">
        <v>96</v>
      </c>
      <c r="P336" t="s">
        <v>1483</v>
      </c>
      <c r="Q336" s="30">
        <f>IF(CustomerHierarchyLevels[[#This Row],[HgLvCust.]]=0,CustomerHierarchyLevels[[#This Row],[Customer]],CustomerHierarchyLevels[[#This Row],[HgLvCust.]])</f>
        <v>6297</v>
      </c>
      <c r="R336" s="30">
        <f>IF(VLOOKUP(CustomerHierarchyLevels[[#This Row],[Level1]],CustomerHierarchyLevels[],7,FALSE)=0,CustomerHierarchyLevels[[#This Row],[Level1]],VLOOKUP(CustomerHierarchyLevels[[#This Row],[Level1]],CustomerHierarchyLevels[],7,FALSE))</f>
        <v>6718</v>
      </c>
      <c r="S336" s="30">
        <f>IF(VLOOKUP(CustomerHierarchyLevels[[#This Row],[Level2]],CustomerHierarchyLevels[],7,FALSE)=0,CustomerHierarchyLevels[[#This Row],[Level2]],VLOOKUP(CustomerHierarchyLevels[[#This Row],[Level2]],CustomerHierarchyLevels[],7,FALSE))</f>
        <v>6718</v>
      </c>
    </row>
    <row r="337" spans="1:19" x14ac:dyDescent="0.25">
      <c r="A337">
        <v>6298</v>
      </c>
      <c r="B337" t="s">
        <v>13</v>
      </c>
      <c r="C337" t="s">
        <v>95</v>
      </c>
      <c r="D337">
        <v>0</v>
      </c>
      <c r="E337">
        <v>39010</v>
      </c>
      <c r="F337">
        <v>2958465</v>
      </c>
      <c r="G337">
        <v>6299</v>
      </c>
      <c r="H337" t="s">
        <v>13</v>
      </c>
      <c r="I337" t="s">
        <v>95</v>
      </c>
      <c r="J337">
        <v>0</v>
      </c>
      <c r="K337">
        <v>0</v>
      </c>
      <c r="L337" t="s">
        <v>1200</v>
      </c>
      <c r="M337" t="s">
        <v>1200</v>
      </c>
      <c r="N337">
        <v>0</v>
      </c>
      <c r="O337" t="s">
        <v>96</v>
      </c>
      <c r="P337" t="s">
        <v>1484</v>
      </c>
      <c r="Q337" s="30">
        <f>IF(CustomerHierarchyLevels[[#This Row],[HgLvCust.]]=0,CustomerHierarchyLevels[[#This Row],[Customer]],CustomerHierarchyLevels[[#This Row],[HgLvCust.]])</f>
        <v>6299</v>
      </c>
      <c r="R337" s="30">
        <f>IF(VLOOKUP(CustomerHierarchyLevels[[#This Row],[Level1]],CustomerHierarchyLevels[],7,FALSE)=0,CustomerHierarchyLevels[[#This Row],[Level1]],VLOOKUP(CustomerHierarchyLevels[[#This Row],[Level1]],CustomerHierarchyLevels[],7,FALSE))</f>
        <v>6719</v>
      </c>
      <c r="S337" s="30">
        <f>IF(VLOOKUP(CustomerHierarchyLevels[[#This Row],[Level2]],CustomerHierarchyLevels[],7,FALSE)=0,CustomerHierarchyLevels[[#This Row],[Level2]],VLOOKUP(CustomerHierarchyLevels[[#This Row],[Level2]],CustomerHierarchyLevels[],7,FALSE))</f>
        <v>6719</v>
      </c>
    </row>
    <row r="338" spans="1:19" x14ac:dyDescent="0.25">
      <c r="A338">
        <v>6557</v>
      </c>
      <c r="B338" t="s">
        <v>13</v>
      </c>
      <c r="C338" t="s">
        <v>95</v>
      </c>
      <c r="D338">
        <v>0</v>
      </c>
      <c r="E338">
        <v>39010</v>
      </c>
      <c r="F338">
        <v>2958465</v>
      </c>
      <c r="G338">
        <v>6280</v>
      </c>
      <c r="H338" t="s">
        <v>13</v>
      </c>
      <c r="I338" t="s">
        <v>95</v>
      </c>
      <c r="J338">
        <v>0</v>
      </c>
      <c r="K338">
        <v>0</v>
      </c>
      <c r="N338">
        <v>0</v>
      </c>
      <c r="O338" t="s">
        <v>96</v>
      </c>
      <c r="P338" t="s">
        <v>1485</v>
      </c>
      <c r="Q338" s="30">
        <f>IF(CustomerHierarchyLevels[[#This Row],[HgLvCust.]]=0,CustomerHierarchyLevels[[#This Row],[Customer]],CustomerHierarchyLevels[[#This Row],[HgLvCust.]])</f>
        <v>6280</v>
      </c>
      <c r="R338" s="30">
        <f>IF(VLOOKUP(CustomerHierarchyLevels[[#This Row],[Level1]],CustomerHierarchyLevels[],7,FALSE)=0,CustomerHierarchyLevels[[#This Row],[Level1]],VLOOKUP(CustomerHierarchyLevels[[#This Row],[Level1]],CustomerHierarchyLevels[],7,FALSE))</f>
        <v>6281</v>
      </c>
      <c r="S338" s="30">
        <f>IF(VLOOKUP(CustomerHierarchyLevels[[#This Row],[Level2]],CustomerHierarchyLevels[],7,FALSE)=0,CustomerHierarchyLevels[[#This Row],[Level2]],VLOOKUP(CustomerHierarchyLevels[[#This Row],[Level2]],CustomerHierarchyLevels[],7,FALSE))</f>
        <v>6710</v>
      </c>
    </row>
    <row r="339" spans="1:19" x14ac:dyDescent="0.25">
      <c r="A339">
        <v>1448</v>
      </c>
      <c r="B339" t="s">
        <v>13</v>
      </c>
      <c r="C339" t="s">
        <v>95</v>
      </c>
      <c r="D339">
        <v>0</v>
      </c>
      <c r="E339">
        <v>39010</v>
      </c>
      <c r="F339">
        <v>2958465</v>
      </c>
      <c r="G339">
        <v>6280</v>
      </c>
      <c r="H339" t="s">
        <v>13</v>
      </c>
      <c r="I339" t="s">
        <v>95</v>
      </c>
      <c r="J339">
        <v>0</v>
      </c>
      <c r="K339">
        <v>0</v>
      </c>
      <c r="N339">
        <v>0</v>
      </c>
      <c r="O339" t="s">
        <v>96</v>
      </c>
      <c r="P339" t="s">
        <v>1486</v>
      </c>
      <c r="Q339" s="30">
        <f>IF(CustomerHierarchyLevels[[#This Row],[HgLvCust.]]=0,CustomerHierarchyLevels[[#This Row],[Customer]],CustomerHierarchyLevels[[#This Row],[HgLvCust.]])</f>
        <v>6280</v>
      </c>
      <c r="R339" s="30">
        <f>IF(VLOOKUP(CustomerHierarchyLevels[[#This Row],[Level1]],CustomerHierarchyLevels[],7,FALSE)=0,CustomerHierarchyLevels[[#This Row],[Level1]],VLOOKUP(CustomerHierarchyLevels[[#This Row],[Level1]],CustomerHierarchyLevels[],7,FALSE))</f>
        <v>6281</v>
      </c>
      <c r="S339" s="30">
        <f>IF(VLOOKUP(CustomerHierarchyLevels[[#This Row],[Level2]],CustomerHierarchyLevels[],7,FALSE)=0,CustomerHierarchyLevels[[#This Row],[Level2]],VLOOKUP(CustomerHierarchyLevels[[#This Row],[Level2]],CustomerHierarchyLevels[],7,FALSE))</f>
        <v>6710</v>
      </c>
    </row>
    <row r="340" spans="1:19" x14ac:dyDescent="0.25">
      <c r="A340">
        <v>2941</v>
      </c>
      <c r="B340" t="s">
        <v>13</v>
      </c>
      <c r="C340" t="s">
        <v>95</v>
      </c>
      <c r="D340">
        <v>0</v>
      </c>
      <c r="E340">
        <v>39010</v>
      </c>
      <c r="F340">
        <v>2958465</v>
      </c>
      <c r="G340">
        <v>6282</v>
      </c>
      <c r="H340" t="s">
        <v>13</v>
      </c>
      <c r="I340" t="s">
        <v>95</v>
      </c>
      <c r="J340">
        <v>0</v>
      </c>
      <c r="K340">
        <v>0</v>
      </c>
      <c r="N340">
        <v>0</v>
      </c>
      <c r="O340" t="s">
        <v>96</v>
      </c>
      <c r="P340" t="s">
        <v>1487</v>
      </c>
      <c r="Q340" s="30">
        <f>IF(CustomerHierarchyLevels[[#This Row],[HgLvCust.]]=0,CustomerHierarchyLevels[[#This Row],[Customer]],CustomerHierarchyLevels[[#This Row],[HgLvCust.]])</f>
        <v>6282</v>
      </c>
      <c r="R340" s="30">
        <f>IF(VLOOKUP(CustomerHierarchyLevels[[#This Row],[Level1]],CustomerHierarchyLevels[],7,FALSE)=0,CustomerHierarchyLevels[[#This Row],[Level1]],VLOOKUP(CustomerHierarchyLevels[[#This Row],[Level1]],CustomerHierarchyLevels[],7,FALSE))</f>
        <v>6283</v>
      </c>
      <c r="S340" s="30">
        <f>IF(VLOOKUP(CustomerHierarchyLevels[[#This Row],[Level2]],CustomerHierarchyLevels[],7,FALSE)=0,CustomerHierarchyLevels[[#This Row],[Level2]],VLOOKUP(CustomerHierarchyLevels[[#This Row],[Level2]],CustomerHierarchyLevels[],7,FALSE))</f>
        <v>6711</v>
      </c>
    </row>
    <row r="341" spans="1:19" x14ac:dyDescent="0.25">
      <c r="A341">
        <v>1261</v>
      </c>
      <c r="B341" t="s">
        <v>13</v>
      </c>
      <c r="C341" t="s">
        <v>95</v>
      </c>
      <c r="D341">
        <v>0</v>
      </c>
      <c r="E341">
        <v>39010</v>
      </c>
      <c r="F341">
        <v>2958465</v>
      </c>
      <c r="G341">
        <v>6282</v>
      </c>
      <c r="H341" t="s">
        <v>13</v>
      </c>
      <c r="I341" t="s">
        <v>95</v>
      </c>
      <c r="J341">
        <v>0</v>
      </c>
      <c r="K341">
        <v>0</v>
      </c>
      <c r="N341">
        <v>0</v>
      </c>
      <c r="O341" t="s">
        <v>96</v>
      </c>
      <c r="P341" t="s">
        <v>1488</v>
      </c>
      <c r="Q341" s="30">
        <f>IF(CustomerHierarchyLevels[[#This Row],[HgLvCust.]]=0,CustomerHierarchyLevels[[#This Row],[Customer]],CustomerHierarchyLevels[[#This Row],[HgLvCust.]])</f>
        <v>6282</v>
      </c>
      <c r="R341" s="30">
        <f>IF(VLOOKUP(CustomerHierarchyLevels[[#This Row],[Level1]],CustomerHierarchyLevels[],7,FALSE)=0,CustomerHierarchyLevels[[#This Row],[Level1]],VLOOKUP(CustomerHierarchyLevels[[#This Row],[Level1]],CustomerHierarchyLevels[],7,FALSE))</f>
        <v>6283</v>
      </c>
      <c r="S341" s="30">
        <f>IF(VLOOKUP(CustomerHierarchyLevels[[#This Row],[Level2]],CustomerHierarchyLevels[],7,FALSE)=0,CustomerHierarchyLevels[[#This Row],[Level2]],VLOOKUP(CustomerHierarchyLevels[[#This Row],[Level2]],CustomerHierarchyLevels[],7,FALSE))</f>
        <v>6711</v>
      </c>
    </row>
    <row r="342" spans="1:19" x14ac:dyDescent="0.25">
      <c r="A342">
        <v>1431</v>
      </c>
      <c r="B342" t="s">
        <v>13</v>
      </c>
      <c r="C342" t="s">
        <v>95</v>
      </c>
      <c r="D342">
        <v>0</v>
      </c>
      <c r="E342">
        <v>39010</v>
      </c>
      <c r="F342">
        <v>2958465</v>
      </c>
      <c r="G342">
        <v>6282</v>
      </c>
      <c r="H342" t="s">
        <v>13</v>
      </c>
      <c r="I342" t="s">
        <v>95</v>
      </c>
      <c r="J342">
        <v>0</v>
      </c>
      <c r="K342">
        <v>0</v>
      </c>
      <c r="N342">
        <v>0</v>
      </c>
      <c r="O342" t="s">
        <v>96</v>
      </c>
      <c r="P342" t="s">
        <v>1489</v>
      </c>
      <c r="Q342" s="30">
        <f>IF(CustomerHierarchyLevels[[#This Row],[HgLvCust.]]=0,CustomerHierarchyLevels[[#This Row],[Customer]],CustomerHierarchyLevels[[#This Row],[HgLvCust.]])</f>
        <v>6282</v>
      </c>
      <c r="R342" s="30">
        <f>IF(VLOOKUP(CustomerHierarchyLevels[[#This Row],[Level1]],CustomerHierarchyLevels[],7,FALSE)=0,CustomerHierarchyLevels[[#This Row],[Level1]],VLOOKUP(CustomerHierarchyLevels[[#This Row],[Level1]],CustomerHierarchyLevels[],7,FALSE))</f>
        <v>6283</v>
      </c>
      <c r="S342" s="30">
        <f>IF(VLOOKUP(CustomerHierarchyLevels[[#This Row],[Level2]],CustomerHierarchyLevels[],7,FALSE)=0,CustomerHierarchyLevels[[#This Row],[Level2]],VLOOKUP(CustomerHierarchyLevels[[#This Row],[Level2]],CustomerHierarchyLevels[],7,FALSE))</f>
        <v>6711</v>
      </c>
    </row>
    <row r="343" spans="1:19" x14ac:dyDescent="0.25">
      <c r="A343">
        <v>1170</v>
      </c>
      <c r="B343" t="s">
        <v>13</v>
      </c>
      <c r="C343" t="s">
        <v>95</v>
      </c>
      <c r="D343">
        <v>0</v>
      </c>
      <c r="E343">
        <v>39010</v>
      </c>
      <c r="F343">
        <v>2958465</v>
      </c>
      <c r="G343">
        <v>6282</v>
      </c>
      <c r="H343" t="s">
        <v>13</v>
      </c>
      <c r="I343" t="s">
        <v>95</v>
      </c>
      <c r="J343">
        <v>0</v>
      </c>
      <c r="K343">
        <v>0</v>
      </c>
      <c r="N343">
        <v>0</v>
      </c>
      <c r="O343" t="s">
        <v>96</v>
      </c>
      <c r="P343" t="s">
        <v>1490</v>
      </c>
      <c r="Q343" s="30">
        <f>IF(CustomerHierarchyLevels[[#This Row],[HgLvCust.]]=0,CustomerHierarchyLevels[[#This Row],[Customer]],CustomerHierarchyLevels[[#This Row],[HgLvCust.]])</f>
        <v>6282</v>
      </c>
      <c r="R343" s="30">
        <f>IF(VLOOKUP(CustomerHierarchyLevels[[#This Row],[Level1]],CustomerHierarchyLevels[],7,FALSE)=0,CustomerHierarchyLevels[[#This Row],[Level1]],VLOOKUP(CustomerHierarchyLevels[[#This Row],[Level1]],CustomerHierarchyLevels[],7,FALSE))</f>
        <v>6283</v>
      </c>
      <c r="S343" s="30">
        <f>IF(VLOOKUP(CustomerHierarchyLevels[[#This Row],[Level2]],CustomerHierarchyLevels[],7,FALSE)=0,CustomerHierarchyLevels[[#This Row],[Level2]],VLOOKUP(CustomerHierarchyLevels[[#This Row],[Level2]],CustomerHierarchyLevels[],7,FALSE))</f>
        <v>6711</v>
      </c>
    </row>
    <row r="344" spans="1:19" x14ac:dyDescent="0.25">
      <c r="A344">
        <v>1173</v>
      </c>
      <c r="B344" t="s">
        <v>13</v>
      </c>
      <c r="C344" t="s">
        <v>95</v>
      </c>
      <c r="D344">
        <v>0</v>
      </c>
      <c r="E344">
        <v>39010</v>
      </c>
      <c r="F344">
        <v>2958465</v>
      </c>
      <c r="G344">
        <v>6282</v>
      </c>
      <c r="H344" t="s">
        <v>13</v>
      </c>
      <c r="I344" t="s">
        <v>95</v>
      </c>
      <c r="J344">
        <v>0</v>
      </c>
      <c r="K344">
        <v>0</v>
      </c>
      <c r="N344">
        <v>0</v>
      </c>
      <c r="O344" t="s">
        <v>96</v>
      </c>
      <c r="P344" t="s">
        <v>1491</v>
      </c>
      <c r="Q344" s="30">
        <f>IF(CustomerHierarchyLevels[[#This Row],[HgLvCust.]]=0,CustomerHierarchyLevels[[#This Row],[Customer]],CustomerHierarchyLevels[[#This Row],[HgLvCust.]])</f>
        <v>6282</v>
      </c>
      <c r="R344" s="30">
        <f>IF(VLOOKUP(CustomerHierarchyLevels[[#This Row],[Level1]],CustomerHierarchyLevels[],7,FALSE)=0,CustomerHierarchyLevels[[#This Row],[Level1]],VLOOKUP(CustomerHierarchyLevels[[#This Row],[Level1]],CustomerHierarchyLevels[],7,FALSE))</f>
        <v>6283</v>
      </c>
      <c r="S344" s="30">
        <f>IF(VLOOKUP(CustomerHierarchyLevels[[#This Row],[Level2]],CustomerHierarchyLevels[],7,FALSE)=0,CustomerHierarchyLevels[[#This Row],[Level2]],VLOOKUP(CustomerHierarchyLevels[[#This Row],[Level2]],CustomerHierarchyLevels[],7,FALSE))</f>
        <v>6711</v>
      </c>
    </row>
    <row r="345" spans="1:19" x14ac:dyDescent="0.25">
      <c r="A345">
        <v>3546</v>
      </c>
      <c r="B345" t="s">
        <v>13</v>
      </c>
      <c r="C345" t="s">
        <v>95</v>
      </c>
      <c r="D345">
        <v>0</v>
      </c>
      <c r="E345">
        <v>39010</v>
      </c>
      <c r="F345">
        <v>2958465</v>
      </c>
      <c r="G345">
        <v>6282</v>
      </c>
      <c r="H345" t="s">
        <v>13</v>
      </c>
      <c r="I345" t="s">
        <v>95</v>
      </c>
      <c r="J345">
        <v>0</v>
      </c>
      <c r="K345">
        <v>0</v>
      </c>
      <c r="N345">
        <v>0</v>
      </c>
      <c r="O345" t="s">
        <v>96</v>
      </c>
      <c r="P345" t="s">
        <v>1492</v>
      </c>
      <c r="Q345" s="30">
        <f>IF(CustomerHierarchyLevels[[#This Row],[HgLvCust.]]=0,CustomerHierarchyLevels[[#This Row],[Customer]],CustomerHierarchyLevels[[#This Row],[HgLvCust.]])</f>
        <v>6282</v>
      </c>
      <c r="R345" s="30">
        <f>IF(VLOOKUP(CustomerHierarchyLevels[[#This Row],[Level1]],CustomerHierarchyLevels[],7,FALSE)=0,CustomerHierarchyLevels[[#This Row],[Level1]],VLOOKUP(CustomerHierarchyLevels[[#This Row],[Level1]],CustomerHierarchyLevels[],7,FALSE))</f>
        <v>6283</v>
      </c>
      <c r="S345" s="30">
        <f>IF(VLOOKUP(CustomerHierarchyLevels[[#This Row],[Level2]],CustomerHierarchyLevels[],7,FALSE)=0,CustomerHierarchyLevels[[#This Row],[Level2]],VLOOKUP(CustomerHierarchyLevels[[#This Row],[Level2]],CustomerHierarchyLevels[],7,FALSE))</f>
        <v>6711</v>
      </c>
    </row>
    <row r="346" spans="1:19" x14ac:dyDescent="0.25">
      <c r="A346">
        <v>1421</v>
      </c>
      <c r="B346" t="s">
        <v>13</v>
      </c>
      <c r="C346" t="s">
        <v>95</v>
      </c>
      <c r="D346">
        <v>0</v>
      </c>
      <c r="E346">
        <v>39010</v>
      </c>
      <c r="F346">
        <v>2958465</v>
      </c>
      <c r="G346">
        <v>6282</v>
      </c>
      <c r="H346" t="s">
        <v>13</v>
      </c>
      <c r="I346" t="s">
        <v>95</v>
      </c>
      <c r="J346">
        <v>0</v>
      </c>
      <c r="K346">
        <v>0</v>
      </c>
      <c r="N346">
        <v>0</v>
      </c>
      <c r="O346" t="s">
        <v>96</v>
      </c>
      <c r="P346" t="s">
        <v>1493</v>
      </c>
      <c r="Q346" s="30">
        <f>IF(CustomerHierarchyLevels[[#This Row],[HgLvCust.]]=0,CustomerHierarchyLevels[[#This Row],[Customer]],CustomerHierarchyLevels[[#This Row],[HgLvCust.]])</f>
        <v>6282</v>
      </c>
      <c r="R346" s="30">
        <f>IF(VLOOKUP(CustomerHierarchyLevels[[#This Row],[Level1]],CustomerHierarchyLevels[],7,FALSE)=0,CustomerHierarchyLevels[[#This Row],[Level1]],VLOOKUP(CustomerHierarchyLevels[[#This Row],[Level1]],CustomerHierarchyLevels[],7,FALSE))</f>
        <v>6283</v>
      </c>
      <c r="S346" s="30">
        <f>IF(VLOOKUP(CustomerHierarchyLevels[[#This Row],[Level2]],CustomerHierarchyLevels[],7,FALSE)=0,CustomerHierarchyLevels[[#This Row],[Level2]],VLOOKUP(CustomerHierarchyLevels[[#This Row],[Level2]],CustomerHierarchyLevels[],7,FALSE))</f>
        <v>6711</v>
      </c>
    </row>
    <row r="347" spans="1:19" x14ac:dyDescent="0.25">
      <c r="A347">
        <v>3547</v>
      </c>
      <c r="B347" t="s">
        <v>13</v>
      </c>
      <c r="C347" t="s">
        <v>95</v>
      </c>
      <c r="D347">
        <v>0</v>
      </c>
      <c r="E347">
        <v>39010</v>
      </c>
      <c r="F347">
        <v>2958465</v>
      </c>
      <c r="G347">
        <v>6282</v>
      </c>
      <c r="H347" t="s">
        <v>13</v>
      </c>
      <c r="I347" t="s">
        <v>95</v>
      </c>
      <c r="J347">
        <v>0</v>
      </c>
      <c r="K347">
        <v>0</v>
      </c>
      <c r="N347">
        <v>0</v>
      </c>
      <c r="O347" t="s">
        <v>96</v>
      </c>
      <c r="P347" t="s">
        <v>1494</v>
      </c>
      <c r="Q347" s="30">
        <f>IF(CustomerHierarchyLevels[[#This Row],[HgLvCust.]]=0,CustomerHierarchyLevels[[#This Row],[Customer]],CustomerHierarchyLevels[[#This Row],[HgLvCust.]])</f>
        <v>6282</v>
      </c>
      <c r="R347" s="30">
        <f>IF(VLOOKUP(CustomerHierarchyLevels[[#This Row],[Level1]],CustomerHierarchyLevels[],7,FALSE)=0,CustomerHierarchyLevels[[#This Row],[Level1]],VLOOKUP(CustomerHierarchyLevels[[#This Row],[Level1]],CustomerHierarchyLevels[],7,FALSE))</f>
        <v>6283</v>
      </c>
      <c r="S347" s="30">
        <f>IF(VLOOKUP(CustomerHierarchyLevels[[#This Row],[Level2]],CustomerHierarchyLevels[],7,FALSE)=0,CustomerHierarchyLevels[[#This Row],[Level2]],VLOOKUP(CustomerHierarchyLevels[[#This Row],[Level2]],CustomerHierarchyLevels[],7,FALSE))</f>
        <v>6711</v>
      </c>
    </row>
    <row r="348" spans="1:19" x14ac:dyDescent="0.25">
      <c r="A348">
        <v>1829</v>
      </c>
      <c r="B348" t="s">
        <v>13</v>
      </c>
      <c r="C348" t="s">
        <v>95</v>
      </c>
      <c r="D348">
        <v>0</v>
      </c>
      <c r="E348">
        <v>39010</v>
      </c>
      <c r="F348">
        <v>2958465</v>
      </c>
      <c r="G348">
        <v>6282</v>
      </c>
      <c r="H348" t="s">
        <v>13</v>
      </c>
      <c r="I348" t="s">
        <v>95</v>
      </c>
      <c r="J348">
        <v>0</v>
      </c>
      <c r="K348">
        <v>0</v>
      </c>
      <c r="N348">
        <v>0</v>
      </c>
      <c r="O348" t="s">
        <v>96</v>
      </c>
      <c r="P348" t="s">
        <v>1495</v>
      </c>
      <c r="Q348" s="30">
        <f>IF(CustomerHierarchyLevels[[#This Row],[HgLvCust.]]=0,CustomerHierarchyLevels[[#This Row],[Customer]],CustomerHierarchyLevels[[#This Row],[HgLvCust.]])</f>
        <v>6282</v>
      </c>
      <c r="R348" s="30">
        <f>IF(VLOOKUP(CustomerHierarchyLevels[[#This Row],[Level1]],CustomerHierarchyLevels[],7,FALSE)=0,CustomerHierarchyLevels[[#This Row],[Level1]],VLOOKUP(CustomerHierarchyLevels[[#This Row],[Level1]],CustomerHierarchyLevels[],7,FALSE))</f>
        <v>6283</v>
      </c>
      <c r="S348" s="30">
        <f>IF(VLOOKUP(CustomerHierarchyLevels[[#This Row],[Level2]],CustomerHierarchyLevels[],7,FALSE)=0,CustomerHierarchyLevels[[#This Row],[Level2]],VLOOKUP(CustomerHierarchyLevels[[#This Row],[Level2]],CustomerHierarchyLevels[],7,FALSE))</f>
        <v>6711</v>
      </c>
    </row>
    <row r="349" spans="1:19" x14ac:dyDescent="0.25">
      <c r="A349">
        <v>1273</v>
      </c>
      <c r="B349" t="s">
        <v>13</v>
      </c>
      <c r="C349" t="s">
        <v>95</v>
      </c>
      <c r="D349">
        <v>0</v>
      </c>
      <c r="E349">
        <v>39010</v>
      </c>
      <c r="F349">
        <v>2958465</v>
      </c>
      <c r="G349">
        <v>6282</v>
      </c>
      <c r="H349" t="s">
        <v>13</v>
      </c>
      <c r="I349" t="s">
        <v>95</v>
      </c>
      <c r="J349">
        <v>0</v>
      </c>
      <c r="K349">
        <v>0</v>
      </c>
      <c r="N349">
        <v>0</v>
      </c>
      <c r="O349" t="s">
        <v>96</v>
      </c>
      <c r="P349" t="s">
        <v>1496</v>
      </c>
      <c r="Q349" s="30">
        <f>IF(CustomerHierarchyLevels[[#This Row],[HgLvCust.]]=0,CustomerHierarchyLevels[[#This Row],[Customer]],CustomerHierarchyLevels[[#This Row],[HgLvCust.]])</f>
        <v>6282</v>
      </c>
      <c r="R349" s="30">
        <f>IF(VLOOKUP(CustomerHierarchyLevels[[#This Row],[Level1]],CustomerHierarchyLevels[],7,FALSE)=0,CustomerHierarchyLevels[[#This Row],[Level1]],VLOOKUP(CustomerHierarchyLevels[[#This Row],[Level1]],CustomerHierarchyLevels[],7,FALSE))</f>
        <v>6283</v>
      </c>
      <c r="S349" s="30">
        <f>IF(VLOOKUP(CustomerHierarchyLevels[[#This Row],[Level2]],CustomerHierarchyLevels[],7,FALSE)=0,CustomerHierarchyLevels[[#This Row],[Level2]],VLOOKUP(CustomerHierarchyLevels[[#This Row],[Level2]],CustomerHierarchyLevels[],7,FALSE))</f>
        <v>6711</v>
      </c>
    </row>
    <row r="350" spans="1:19" x14ac:dyDescent="0.25">
      <c r="A350">
        <v>3232</v>
      </c>
      <c r="B350" t="s">
        <v>13</v>
      </c>
      <c r="C350" t="s">
        <v>95</v>
      </c>
      <c r="D350">
        <v>0</v>
      </c>
      <c r="E350">
        <v>39010</v>
      </c>
      <c r="F350">
        <v>2958465</v>
      </c>
      <c r="G350">
        <v>6282</v>
      </c>
      <c r="H350" t="s">
        <v>13</v>
      </c>
      <c r="I350" t="s">
        <v>95</v>
      </c>
      <c r="J350">
        <v>0</v>
      </c>
      <c r="K350">
        <v>0</v>
      </c>
      <c r="N350">
        <v>0</v>
      </c>
      <c r="O350" t="s">
        <v>96</v>
      </c>
      <c r="P350" t="s">
        <v>1497</v>
      </c>
      <c r="Q350" s="30">
        <f>IF(CustomerHierarchyLevels[[#This Row],[HgLvCust.]]=0,CustomerHierarchyLevels[[#This Row],[Customer]],CustomerHierarchyLevels[[#This Row],[HgLvCust.]])</f>
        <v>6282</v>
      </c>
      <c r="R350" s="30">
        <f>IF(VLOOKUP(CustomerHierarchyLevels[[#This Row],[Level1]],CustomerHierarchyLevels[],7,FALSE)=0,CustomerHierarchyLevels[[#This Row],[Level1]],VLOOKUP(CustomerHierarchyLevels[[#This Row],[Level1]],CustomerHierarchyLevels[],7,FALSE))</f>
        <v>6283</v>
      </c>
      <c r="S350" s="30">
        <f>IF(VLOOKUP(CustomerHierarchyLevels[[#This Row],[Level2]],CustomerHierarchyLevels[],7,FALSE)=0,CustomerHierarchyLevels[[#This Row],[Level2]],VLOOKUP(CustomerHierarchyLevels[[#This Row],[Level2]],CustomerHierarchyLevels[],7,FALSE))</f>
        <v>6711</v>
      </c>
    </row>
    <row r="351" spans="1:19" x14ac:dyDescent="0.25">
      <c r="A351">
        <v>1367</v>
      </c>
      <c r="B351" t="s">
        <v>13</v>
      </c>
      <c r="C351" t="s">
        <v>95</v>
      </c>
      <c r="D351">
        <v>0</v>
      </c>
      <c r="E351">
        <v>39010</v>
      </c>
      <c r="F351">
        <v>2958465</v>
      </c>
      <c r="G351">
        <v>6282</v>
      </c>
      <c r="H351" t="s">
        <v>13</v>
      </c>
      <c r="I351" t="s">
        <v>95</v>
      </c>
      <c r="J351">
        <v>0</v>
      </c>
      <c r="K351">
        <v>0</v>
      </c>
      <c r="N351">
        <v>0</v>
      </c>
      <c r="O351" t="s">
        <v>96</v>
      </c>
      <c r="P351" t="s">
        <v>1498</v>
      </c>
      <c r="Q351" s="30">
        <f>IF(CustomerHierarchyLevels[[#This Row],[HgLvCust.]]=0,CustomerHierarchyLevels[[#This Row],[Customer]],CustomerHierarchyLevels[[#This Row],[HgLvCust.]])</f>
        <v>6282</v>
      </c>
      <c r="R351" s="30">
        <f>IF(VLOOKUP(CustomerHierarchyLevels[[#This Row],[Level1]],CustomerHierarchyLevels[],7,FALSE)=0,CustomerHierarchyLevels[[#This Row],[Level1]],VLOOKUP(CustomerHierarchyLevels[[#This Row],[Level1]],CustomerHierarchyLevels[],7,FALSE))</f>
        <v>6283</v>
      </c>
      <c r="S351" s="30">
        <f>IF(VLOOKUP(CustomerHierarchyLevels[[#This Row],[Level2]],CustomerHierarchyLevels[],7,FALSE)=0,CustomerHierarchyLevels[[#This Row],[Level2]],VLOOKUP(CustomerHierarchyLevels[[#This Row],[Level2]],CustomerHierarchyLevels[],7,FALSE))</f>
        <v>6711</v>
      </c>
    </row>
    <row r="352" spans="1:19" x14ac:dyDescent="0.25">
      <c r="A352">
        <v>3228</v>
      </c>
      <c r="B352" t="s">
        <v>13</v>
      </c>
      <c r="C352" t="s">
        <v>95</v>
      </c>
      <c r="D352">
        <v>0</v>
      </c>
      <c r="E352">
        <v>39010</v>
      </c>
      <c r="F352">
        <v>2958465</v>
      </c>
      <c r="G352">
        <v>6282</v>
      </c>
      <c r="H352" t="s">
        <v>13</v>
      </c>
      <c r="I352" t="s">
        <v>95</v>
      </c>
      <c r="J352">
        <v>0</v>
      </c>
      <c r="K352">
        <v>0</v>
      </c>
      <c r="N352">
        <v>0</v>
      </c>
      <c r="O352" t="s">
        <v>96</v>
      </c>
      <c r="P352" t="s">
        <v>1499</v>
      </c>
      <c r="Q352" s="30">
        <f>IF(CustomerHierarchyLevels[[#This Row],[HgLvCust.]]=0,CustomerHierarchyLevels[[#This Row],[Customer]],CustomerHierarchyLevels[[#This Row],[HgLvCust.]])</f>
        <v>6282</v>
      </c>
      <c r="R352" s="30">
        <f>IF(VLOOKUP(CustomerHierarchyLevels[[#This Row],[Level1]],CustomerHierarchyLevels[],7,FALSE)=0,CustomerHierarchyLevels[[#This Row],[Level1]],VLOOKUP(CustomerHierarchyLevels[[#This Row],[Level1]],CustomerHierarchyLevels[],7,FALSE))</f>
        <v>6283</v>
      </c>
      <c r="S352" s="30">
        <f>IF(VLOOKUP(CustomerHierarchyLevels[[#This Row],[Level2]],CustomerHierarchyLevels[],7,FALSE)=0,CustomerHierarchyLevels[[#This Row],[Level2]],VLOOKUP(CustomerHierarchyLevels[[#This Row],[Level2]],CustomerHierarchyLevels[],7,FALSE))</f>
        <v>6711</v>
      </c>
    </row>
    <row r="353" spans="1:19" x14ac:dyDescent="0.25">
      <c r="A353">
        <v>1704</v>
      </c>
      <c r="B353" t="s">
        <v>13</v>
      </c>
      <c r="C353" t="s">
        <v>95</v>
      </c>
      <c r="D353">
        <v>0</v>
      </c>
      <c r="E353">
        <v>39010</v>
      </c>
      <c r="F353">
        <v>2958465</v>
      </c>
      <c r="G353">
        <v>6284</v>
      </c>
      <c r="H353" t="s">
        <v>13</v>
      </c>
      <c r="I353" t="s">
        <v>95</v>
      </c>
      <c r="J353">
        <v>0</v>
      </c>
      <c r="K353">
        <v>0</v>
      </c>
      <c r="N353">
        <v>0</v>
      </c>
      <c r="O353" t="s">
        <v>96</v>
      </c>
      <c r="P353" t="s">
        <v>1500</v>
      </c>
      <c r="Q353" s="30">
        <f>IF(CustomerHierarchyLevels[[#This Row],[HgLvCust.]]=0,CustomerHierarchyLevels[[#This Row],[Customer]],CustomerHierarchyLevels[[#This Row],[HgLvCust.]])</f>
        <v>6284</v>
      </c>
      <c r="R353" s="30">
        <f>IF(VLOOKUP(CustomerHierarchyLevels[[#This Row],[Level1]],CustomerHierarchyLevels[],7,FALSE)=0,CustomerHierarchyLevels[[#This Row],[Level1]],VLOOKUP(CustomerHierarchyLevels[[#This Row],[Level1]],CustomerHierarchyLevels[],7,FALSE))</f>
        <v>6285</v>
      </c>
      <c r="S353" s="30">
        <f>IF(VLOOKUP(CustomerHierarchyLevels[[#This Row],[Level2]],CustomerHierarchyLevels[],7,FALSE)=0,CustomerHierarchyLevels[[#This Row],[Level2]],VLOOKUP(CustomerHierarchyLevels[[#This Row],[Level2]],CustomerHierarchyLevels[],7,FALSE))</f>
        <v>6712</v>
      </c>
    </row>
    <row r="354" spans="1:19" x14ac:dyDescent="0.25">
      <c r="A354">
        <v>1455</v>
      </c>
      <c r="B354" t="s">
        <v>13</v>
      </c>
      <c r="C354" t="s">
        <v>95</v>
      </c>
      <c r="D354">
        <v>0</v>
      </c>
      <c r="E354">
        <v>39010</v>
      </c>
      <c r="F354">
        <v>2958465</v>
      </c>
      <c r="G354">
        <v>6284</v>
      </c>
      <c r="H354" t="s">
        <v>13</v>
      </c>
      <c r="I354" t="s">
        <v>95</v>
      </c>
      <c r="J354">
        <v>0</v>
      </c>
      <c r="K354">
        <v>0</v>
      </c>
      <c r="N354">
        <v>0</v>
      </c>
      <c r="O354" t="s">
        <v>96</v>
      </c>
      <c r="P354" t="s">
        <v>1501</v>
      </c>
      <c r="Q354" s="30">
        <f>IF(CustomerHierarchyLevels[[#This Row],[HgLvCust.]]=0,CustomerHierarchyLevels[[#This Row],[Customer]],CustomerHierarchyLevels[[#This Row],[HgLvCust.]])</f>
        <v>6284</v>
      </c>
      <c r="R354" s="30">
        <f>IF(VLOOKUP(CustomerHierarchyLevels[[#This Row],[Level1]],CustomerHierarchyLevels[],7,FALSE)=0,CustomerHierarchyLevels[[#This Row],[Level1]],VLOOKUP(CustomerHierarchyLevels[[#This Row],[Level1]],CustomerHierarchyLevels[],7,FALSE))</f>
        <v>6285</v>
      </c>
      <c r="S354" s="30">
        <f>IF(VLOOKUP(CustomerHierarchyLevels[[#This Row],[Level2]],CustomerHierarchyLevels[],7,FALSE)=0,CustomerHierarchyLevels[[#This Row],[Level2]],VLOOKUP(CustomerHierarchyLevels[[#This Row],[Level2]],CustomerHierarchyLevels[],7,FALSE))</f>
        <v>6712</v>
      </c>
    </row>
    <row r="355" spans="1:19" x14ac:dyDescent="0.25">
      <c r="A355">
        <v>2392</v>
      </c>
      <c r="B355" t="s">
        <v>13</v>
      </c>
      <c r="C355" t="s">
        <v>95</v>
      </c>
      <c r="D355">
        <v>0</v>
      </c>
      <c r="E355">
        <v>39010</v>
      </c>
      <c r="F355">
        <v>2958465</v>
      </c>
      <c r="G355">
        <v>6284</v>
      </c>
      <c r="H355" t="s">
        <v>13</v>
      </c>
      <c r="I355" t="s">
        <v>95</v>
      </c>
      <c r="J355">
        <v>0</v>
      </c>
      <c r="K355">
        <v>0</v>
      </c>
      <c r="N355">
        <v>0</v>
      </c>
      <c r="O355" t="s">
        <v>96</v>
      </c>
      <c r="P355" t="s">
        <v>1502</v>
      </c>
      <c r="Q355" s="30">
        <f>IF(CustomerHierarchyLevels[[#This Row],[HgLvCust.]]=0,CustomerHierarchyLevels[[#This Row],[Customer]],CustomerHierarchyLevels[[#This Row],[HgLvCust.]])</f>
        <v>6284</v>
      </c>
      <c r="R355" s="30">
        <f>IF(VLOOKUP(CustomerHierarchyLevels[[#This Row],[Level1]],CustomerHierarchyLevels[],7,FALSE)=0,CustomerHierarchyLevels[[#This Row],[Level1]],VLOOKUP(CustomerHierarchyLevels[[#This Row],[Level1]],CustomerHierarchyLevels[],7,FALSE))</f>
        <v>6285</v>
      </c>
      <c r="S355" s="30">
        <f>IF(VLOOKUP(CustomerHierarchyLevels[[#This Row],[Level2]],CustomerHierarchyLevels[],7,FALSE)=0,CustomerHierarchyLevels[[#This Row],[Level2]],VLOOKUP(CustomerHierarchyLevels[[#This Row],[Level2]],CustomerHierarchyLevels[],7,FALSE))</f>
        <v>6712</v>
      </c>
    </row>
    <row r="356" spans="1:19" x14ac:dyDescent="0.25">
      <c r="A356">
        <v>1580</v>
      </c>
      <c r="B356" t="s">
        <v>13</v>
      </c>
      <c r="C356" t="s">
        <v>95</v>
      </c>
      <c r="D356">
        <v>0</v>
      </c>
      <c r="E356">
        <v>39010</v>
      </c>
      <c r="F356">
        <v>2958465</v>
      </c>
      <c r="G356">
        <v>6284</v>
      </c>
      <c r="H356" t="s">
        <v>13</v>
      </c>
      <c r="I356" t="s">
        <v>95</v>
      </c>
      <c r="J356">
        <v>0</v>
      </c>
      <c r="K356">
        <v>0</v>
      </c>
      <c r="N356">
        <v>0</v>
      </c>
      <c r="O356" t="s">
        <v>96</v>
      </c>
      <c r="P356" t="s">
        <v>1503</v>
      </c>
      <c r="Q356" s="30">
        <f>IF(CustomerHierarchyLevels[[#This Row],[HgLvCust.]]=0,CustomerHierarchyLevels[[#This Row],[Customer]],CustomerHierarchyLevels[[#This Row],[HgLvCust.]])</f>
        <v>6284</v>
      </c>
      <c r="R356" s="30">
        <f>IF(VLOOKUP(CustomerHierarchyLevels[[#This Row],[Level1]],CustomerHierarchyLevels[],7,FALSE)=0,CustomerHierarchyLevels[[#This Row],[Level1]],VLOOKUP(CustomerHierarchyLevels[[#This Row],[Level1]],CustomerHierarchyLevels[],7,FALSE))</f>
        <v>6285</v>
      </c>
      <c r="S356" s="30">
        <f>IF(VLOOKUP(CustomerHierarchyLevels[[#This Row],[Level2]],CustomerHierarchyLevels[],7,FALSE)=0,CustomerHierarchyLevels[[#This Row],[Level2]],VLOOKUP(CustomerHierarchyLevels[[#This Row],[Level2]],CustomerHierarchyLevels[],7,FALSE))</f>
        <v>6712</v>
      </c>
    </row>
    <row r="357" spans="1:19" x14ac:dyDescent="0.25">
      <c r="A357">
        <v>2952</v>
      </c>
      <c r="B357" t="s">
        <v>13</v>
      </c>
      <c r="C357" t="s">
        <v>95</v>
      </c>
      <c r="D357">
        <v>0</v>
      </c>
      <c r="E357">
        <v>39010</v>
      </c>
      <c r="F357">
        <v>2958465</v>
      </c>
      <c r="G357">
        <v>6286</v>
      </c>
      <c r="H357" t="s">
        <v>13</v>
      </c>
      <c r="I357" t="s">
        <v>95</v>
      </c>
      <c r="J357">
        <v>0</v>
      </c>
      <c r="K357">
        <v>0</v>
      </c>
      <c r="N357">
        <v>0</v>
      </c>
      <c r="O357" t="s">
        <v>96</v>
      </c>
      <c r="P357" t="s">
        <v>1504</v>
      </c>
      <c r="Q357" s="30">
        <f>IF(CustomerHierarchyLevels[[#This Row],[HgLvCust.]]=0,CustomerHierarchyLevels[[#This Row],[Customer]],CustomerHierarchyLevels[[#This Row],[HgLvCust.]])</f>
        <v>6286</v>
      </c>
      <c r="R357" s="30">
        <f>IF(VLOOKUP(CustomerHierarchyLevels[[#This Row],[Level1]],CustomerHierarchyLevels[],7,FALSE)=0,CustomerHierarchyLevels[[#This Row],[Level1]],VLOOKUP(CustomerHierarchyLevels[[#This Row],[Level1]],CustomerHierarchyLevels[],7,FALSE))</f>
        <v>6287</v>
      </c>
      <c r="S357" s="30">
        <f>IF(VLOOKUP(CustomerHierarchyLevels[[#This Row],[Level2]],CustomerHierarchyLevels[],7,FALSE)=0,CustomerHierarchyLevels[[#This Row],[Level2]],VLOOKUP(CustomerHierarchyLevels[[#This Row],[Level2]],CustomerHierarchyLevels[],7,FALSE))</f>
        <v>6713</v>
      </c>
    </row>
    <row r="358" spans="1:19" x14ac:dyDescent="0.25">
      <c r="A358">
        <v>1584</v>
      </c>
      <c r="B358" t="s">
        <v>13</v>
      </c>
      <c r="C358" t="s">
        <v>95</v>
      </c>
      <c r="D358">
        <v>0</v>
      </c>
      <c r="E358">
        <v>39010</v>
      </c>
      <c r="F358">
        <v>2958465</v>
      </c>
      <c r="G358">
        <v>6286</v>
      </c>
      <c r="H358" t="s">
        <v>13</v>
      </c>
      <c r="I358" t="s">
        <v>95</v>
      </c>
      <c r="J358">
        <v>0</v>
      </c>
      <c r="K358">
        <v>0</v>
      </c>
      <c r="N358">
        <v>0</v>
      </c>
      <c r="O358" t="s">
        <v>96</v>
      </c>
      <c r="P358" t="s">
        <v>1505</v>
      </c>
      <c r="Q358" s="30">
        <f>IF(CustomerHierarchyLevels[[#This Row],[HgLvCust.]]=0,CustomerHierarchyLevels[[#This Row],[Customer]],CustomerHierarchyLevels[[#This Row],[HgLvCust.]])</f>
        <v>6286</v>
      </c>
      <c r="R358" s="30">
        <f>IF(VLOOKUP(CustomerHierarchyLevels[[#This Row],[Level1]],CustomerHierarchyLevels[],7,FALSE)=0,CustomerHierarchyLevels[[#This Row],[Level1]],VLOOKUP(CustomerHierarchyLevels[[#This Row],[Level1]],CustomerHierarchyLevels[],7,FALSE))</f>
        <v>6287</v>
      </c>
      <c r="S358" s="30">
        <f>IF(VLOOKUP(CustomerHierarchyLevels[[#This Row],[Level2]],CustomerHierarchyLevels[],7,FALSE)=0,CustomerHierarchyLevels[[#This Row],[Level2]],VLOOKUP(CustomerHierarchyLevels[[#This Row],[Level2]],CustomerHierarchyLevels[],7,FALSE))</f>
        <v>6713</v>
      </c>
    </row>
    <row r="359" spans="1:19" x14ac:dyDescent="0.25">
      <c r="A359">
        <v>1355</v>
      </c>
      <c r="B359" t="s">
        <v>13</v>
      </c>
      <c r="C359" t="s">
        <v>95</v>
      </c>
      <c r="D359">
        <v>0</v>
      </c>
      <c r="E359">
        <v>39010</v>
      </c>
      <c r="F359">
        <v>2958465</v>
      </c>
      <c r="G359">
        <v>6288</v>
      </c>
      <c r="H359" t="s">
        <v>13</v>
      </c>
      <c r="I359" t="s">
        <v>95</v>
      </c>
      <c r="J359">
        <v>0</v>
      </c>
      <c r="K359">
        <v>0</v>
      </c>
      <c r="N359">
        <v>0</v>
      </c>
      <c r="O359" t="s">
        <v>96</v>
      </c>
      <c r="P359" t="s">
        <v>1506</v>
      </c>
      <c r="Q359" s="30">
        <f>IF(CustomerHierarchyLevels[[#This Row],[HgLvCust.]]=0,CustomerHierarchyLevels[[#This Row],[Customer]],CustomerHierarchyLevels[[#This Row],[HgLvCust.]])</f>
        <v>6288</v>
      </c>
      <c r="R359" s="30">
        <f>IF(VLOOKUP(CustomerHierarchyLevels[[#This Row],[Level1]],CustomerHierarchyLevels[],7,FALSE)=0,CustomerHierarchyLevels[[#This Row],[Level1]],VLOOKUP(CustomerHierarchyLevels[[#This Row],[Level1]],CustomerHierarchyLevels[],7,FALSE))</f>
        <v>6289</v>
      </c>
      <c r="S359" s="30">
        <f>IF(VLOOKUP(CustomerHierarchyLevels[[#This Row],[Level2]],CustomerHierarchyLevels[],7,FALSE)=0,CustomerHierarchyLevels[[#This Row],[Level2]],VLOOKUP(CustomerHierarchyLevels[[#This Row],[Level2]],CustomerHierarchyLevels[],7,FALSE))</f>
        <v>6714</v>
      </c>
    </row>
    <row r="360" spans="1:19" x14ac:dyDescent="0.25">
      <c r="A360">
        <v>3422</v>
      </c>
      <c r="B360" t="s">
        <v>13</v>
      </c>
      <c r="C360" t="s">
        <v>95</v>
      </c>
      <c r="D360">
        <v>0</v>
      </c>
      <c r="E360">
        <v>39010</v>
      </c>
      <c r="F360">
        <v>2958465</v>
      </c>
      <c r="G360">
        <v>6288</v>
      </c>
      <c r="H360" t="s">
        <v>13</v>
      </c>
      <c r="I360" t="s">
        <v>95</v>
      </c>
      <c r="J360">
        <v>0</v>
      </c>
      <c r="K360">
        <v>0</v>
      </c>
      <c r="N360">
        <v>0</v>
      </c>
      <c r="O360" t="s">
        <v>96</v>
      </c>
      <c r="P360" t="s">
        <v>1507</v>
      </c>
      <c r="Q360" s="30">
        <f>IF(CustomerHierarchyLevels[[#This Row],[HgLvCust.]]=0,CustomerHierarchyLevels[[#This Row],[Customer]],CustomerHierarchyLevels[[#This Row],[HgLvCust.]])</f>
        <v>6288</v>
      </c>
      <c r="R360" s="30">
        <f>IF(VLOOKUP(CustomerHierarchyLevels[[#This Row],[Level1]],CustomerHierarchyLevels[],7,FALSE)=0,CustomerHierarchyLevels[[#This Row],[Level1]],VLOOKUP(CustomerHierarchyLevels[[#This Row],[Level1]],CustomerHierarchyLevels[],7,FALSE))</f>
        <v>6289</v>
      </c>
      <c r="S360" s="30">
        <f>IF(VLOOKUP(CustomerHierarchyLevels[[#This Row],[Level2]],CustomerHierarchyLevels[],7,FALSE)=0,CustomerHierarchyLevels[[#This Row],[Level2]],VLOOKUP(CustomerHierarchyLevels[[#This Row],[Level2]],CustomerHierarchyLevels[],7,FALSE))</f>
        <v>6714</v>
      </c>
    </row>
    <row r="361" spans="1:19" x14ac:dyDescent="0.25">
      <c r="A361">
        <v>1429</v>
      </c>
      <c r="B361" t="s">
        <v>13</v>
      </c>
      <c r="C361" t="s">
        <v>95</v>
      </c>
      <c r="D361">
        <v>0</v>
      </c>
      <c r="E361">
        <v>39010</v>
      </c>
      <c r="F361">
        <v>2958465</v>
      </c>
      <c r="G361">
        <v>6288</v>
      </c>
      <c r="H361" t="s">
        <v>13</v>
      </c>
      <c r="I361" t="s">
        <v>95</v>
      </c>
      <c r="J361">
        <v>0</v>
      </c>
      <c r="K361">
        <v>0</v>
      </c>
      <c r="N361">
        <v>0</v>
      </c>
      <c r="O361" t="s">
        <v>96</v>
      </c>
      <c r="P361" t="s">
        <v>1508</v>
      </c>
      <c r="Q361" s="30">
        <f>IF(CustomerHierarchyLevels[[#This Row],[HgLvCust.]]=0,CustomerHierarchyLevels[[#This Row],[Customer]],CustomerHierarchyLevels[[#This Row],[HgLvCust.]])</f>
        <v>6288</v>
      </c>
      <c r="R361" s="30">
        <f>IF(VLOOKUP(CustomerHierarchyLevels[[#This Row],[Level1]],CustomerHierarchyLevels[],7,FALSE)=0,CustomerHierarchyLevels[[#This Row],[Level1]],VLOOKUP(CustomerHierarchyLevels[[#This Row],[Level1]],CustomerHierarchyLevels[],7,FALSE))</f>
        <v>6289</v>
      </c>
      <c r="S361" s="30">
        <f>IF(VLOOKUP(CustomerHierarchyLevels[[#This Row],[Level2]],CustomerHierarchyLevels[],7,FALSE)=0,CustomerHierarchyLevels[[#This Row],[Level2]],VLOOKUP(CustomerHierarchyLevels[[#This Row],[Level2]],CustomerHierarchyLevels[],7,FALSE))</f>
        <v>6714</v>
      </c>
    </row>
    <row r="362" spans="1:19" x14ac:dyDescent="0.25">
      <c r="A362">
        <v>1412</v>
      </c>
      <c r="B362" t="s">
        <v>13</v>
      </c>
      <c r="C362" t="s">
        <v>95</v>
      </c>
      <c r="D362">
        <v>0</v>
      </c>
      <c r="E362">
        <v>39010</v>
      </c>
      <c r="F362">
        <v>2958465</v>
      </c>
      <c r="G362">
        <v>6290</v>
      </c>
      <c r="H362" t="s">
        <v>13</v>
      </c>
      <c r="I362" t="s">
        <v>95</v>
      </c>
      <c r="J362">
        <v>0</v>
      </c>
      <c r="K362">
        <v>0</v>
      </c>
      <c r="N362">
        <v>0</v>
      </c>
      <c r="O362" t="s">
        <v>96</v>
      </c>
      <c r="P362" t="s">
        <v>1509</v>
      </c>
      <c r="Q362" s="30">
        <f>IF(CustomerHierarchyLevels[[#This Row],[HgLvCust.]]=0,CustomerHierarchyLevels[[#This Row],[Customer]],CustomerHierarchyLevels[[#This Row],[HgLvCust.]])</f>
        <v>6290</v>
      </c>
      <c r="R362" s="30">
        <f>IF(VLOOKUP(CustomerHierarchyLevels[[#This Row],[Level1]],CustomerHierarchyLevels[],7,FALSE)=0,CustomerHierarchyLevels[[#This Row],[Level1]],VLOOKUP(CustomerHierarchyLevels[[#This Row],[Level1]],CustomerHierarchyLevels[],7,FALSE))</f>
        <v>6291</v>
      </c>
      <c r="S362" s="30">
        <f>IF(VLOOKUP(CustomerHierarchyLevels[[#This Row],[Level2]],CustomerHierarchyLevels[],7,FALSE)=0,CustomerHierarchyLevels[[#This Row],[Level2]],VLOOKUP(CustomerHierarchyLevels[[#This Row],[Level2]],CustomerHierarchyLevels[],7,FALSE))</f>
        <v>6715</v>
      </c>
    </row>
    <row r="363" spans="1:19" x14ac:dyDescent="0.25">
      <c r="A363">
        <v>1598</v>
      </c>
      <c r="B363" t="s">
        <v>13</v>
      </c>
      <c r="C363" t="s">
        <v>95</v>
      </c>
      <c r="D363">
        <v>0</v>
      </c>
      <c r="E363">
        <v>39010</v>
      </c>
      <c r="F363">
        <v>2958465</v>
      </c>
      <c r="G363">
        <v>6290</v>
      </c>
      <c r="H363" t="s">
        <v>13</v>
      </c>
      <c r="I363" t="s">
        <v>95</v>
      </c>
      <c r="J363">
        <v>0</v>
      </c>
      <c r="K363">
        <v>0</v>
      </c>
      <c r="N363">
        <v>0</v>
      </c>
      <c r="O363" t="s">
        <v>96</v>
      </c>
      <c r="P363" t="s">
        <v>1510</v>
      </c>
      <c r="Q363" s="30">
        <f>IF(CustomerHierarchyLevels[[#This Row],[HgLvCust.]]=0,CustomerHierarchyLevels[[#This Row],[Customer]],CustomerHierarchyLevels[[#This Row],[HgLvCust.]])</f>
        <v>6290</v>
      </c>
      <c r="R363" s="30">
        <f>IF(VLOOKUP(CustomerHierarchyLevels[[#This Row],[Level1]],CustomerHierarchyLevels[],7,FALSE)=0,CustomerHierarchyLevels[[#This Row],[Level1]],VLOOKUP(CustomerHierarchyLevels[[#This Row],[Level1]],CustomerHierarchyLevels[],7,FALSE))</f>
        <v>6291</v>
      </c>
      <c r="S363" s="30">
        <f>IF(VLOOKUP(CustomerHierarchyLevels[[#This Row],[Level2]],CustomerHierarchyLevels[],7,FALSE)=0,CustomerHierarchyLevels[[#This Row],[Level2]],VLOOKUP(CustomerHierarchyLevels[[#This Row],[Level2]],CustomerHierarchyLevels[],7,FALSE))</f>
        <v>6715</v>
      </c>
    </row>
    <row r="364" spans="1:19" x14ac:dyDescent="0.25">
      <c r="A364">
        <v>1664</v>
      </c>
      <c r="B364" t="s">
        <v>13</v>
      </c>
      <c r="C364" t="s">
        <v>95</v>
      </c>
      <c r="D364">
        <v>0</v>
      </c>
      <c r="E364">
        <v>39010</v>
      </c>
      <c r="F364">
        <v>2958465</v>
      </c>
      <c r="G364">
        <v>6290</v>
      </c>
      <c r="H364" t="s">
        <v>13</v>
      </c>
      <c r="I364" t="s">
        <v>95</v>
      </c>
      <c r="J364">
        <v>0</v>
      </c>
      <c r="K364">
        <v>0</v>
      </c>
      <c r="N364">
        <v>0</v>
      </c>
      <c r="O364" t="s">
        <v>96</v>
      </c>
      <c r="P364" t="s">
        <v>1511</v>
      </c>
      <c r="Q364" s="30">
        <f>IF(CustomerHierarchyLevels[[#This Row],[HgLvCust.]]=0,CustomerHierarchyLevels[[#This Row],[Customer]],CustomerHierarchyLevels[[#This Row],[HgLvCust.]])</f>
        <v>6290</v>
      </c>
      <c r="R364" s="30">
        <f>IF(VLOOKUP(CustomerHierarchyLevels[[#This Row],[Level1]],CustomerHierarchyLevels[],7,FALSE)=0,CustomerHierarchyLevels[[#This Row],[Level1]],VLOOKUP(CustomerHierarchyLevels[[#This Row],[Level1]],CustomerHierarchyLevels[],7,FALSE))</f>
        <v>6291</v>
      </c>
      <c r="S364" s="30">
        <f>IF(VLOOKUP(CustomerHierarchyLevels[[#This Row],[Level2]],CustomerHierarchyLevels[],7,FALSE)=0,CustomerHierarchyLevels[[#This Row],[Level2]],VLOOKUP(CustomerHierarchyLevels[[#This Row],[Level2]],CustomerHierarchyLevels[],7,FALSE))</f>
        <v>6715</v>
      </c>
    </row>
    <row r="365" spans="1:19" x14ac:dyDescent="0.25">
      <c r="A365">
        <v>1143</v>
      </c>
      <c r="B365" t="s">
        <v>13</v>
      </c>
      <c r="C365" t="s">
        <v>95</v>
      </c>
      <c r="D365">
        <v>0</v>
      </c>
      <c r="E365">
        <v>39010</v>
      </c>
      <c r="F365">
        <v>2958465</v>
      </c>
      <c r="G365">
        <v>6292</v>
      </c>
      <c r="H365" t="s">
        <v>13</v>
      </c>
      <c r="I365" t="s">
        <v>95</v>
      </c>
      <c r="J365">
        <v>0</v>
      </c>
      <c r="K365">
        <v>0</v>
      </c>
      <c r="L365" t="s">
        <v>1200</v>
      </c>
      <c r="N365">
        <v>0</v>
      </c>
      <c r="O365" t="s">
        <v>96</v>
      </c>
      <c r="P365" t="s">
        <v>1512</v>
      </c>
      <c r="Q365" s="30">
        <f>IF(CustomerHierarchyLevels[[#This Row],[HgLvCust.]]=0,CustomerHierarchyLevels[[#This Row],[Customer]],CustomerHierarchyLevels[[#This Row],[HgLvCust.]])</f>
        <v>6292</v>
      </c>
      <c r="R365" s="30">
        <f>IF(VLOOKUP(CustomerHierarchyLevels[[#This Row],[Level1]],CustomerHierarchyLevels[],7,FALSE)=0,CustomerHierarchyLevels[[#This Row],[Level1]],VLOOKUP(CustomerHierarchyLevels[[#This Row],[Level1]],CustomerHierarchyLevels[],7,FALSE))</f>
        <v>6293</v>
      </c>
      <c r="S365" s="30">
        <f>IF(VLOOKUP(CustomerHierarchyLevels[[#This Row],[Level2]],CustomerHierarchyLevels[],7,FALSE)=0,CustomerHierarchyLevels[[#This Row],[Level2]],VLOOKUP(CustomerHierarchyLevels[[#This Row],[Level2]],CustomerHierarchyLevels[],7,FALSE))</f>
        <v>6716</v>
      </c>
    </row>
    <row r="366" spans="1:19" x14ac:dyDescent="0.25">
      <c r="A366">
        <v>1172</v>
      </c>
      <c r="B366" t="s">
        <v>13</v>
      </c>
      <c r="C366" t="s">
        <v>95</v>
      </c>
      <c r="D366">
        <v>0</v>
      </c>
      <c r="E366">
        <v>39010</v>
      </c>
      <c r="F366">
        <v>2958465</v>
      </c>
      <c r="G366">
        <v>6292</v>
      </c>
      <c r="H366" t="s">
        <v>13</v>
      </c>
      <c r="I366" t="s">
        <v>95</v>
      </c>
      <c r="J366">
        <v>0</v>
      </c>
      <c r="K366">
        <v>0</v>
      </c>
      <c r="N366">
        <v>0</v>
      </c>
      <c r="O366" t="s">
        <v>96</v>
      </c>
      <c r="P366" t="s">
        <v>1513</v>
      </c>
      <c r="Q366" s="30">
        <f>IF(CustomerHierarchyLevels[[#This Row],[HgLvCust.]]=0,CustomerHierarchyLevels[[#This Row],[Customer]],CustomerHierarchyLevels[[#This Row],[HgLvCust.]])</f>
        <v>6292</v>
      </c>
      <c r="R366" s="30">
        <f>IF(VLOOKUP(CustomerHierarchyLevels[[#This Row],[Level1]],CustomerHierarchyLevels[],7,FALSE)=0,CustomerHierarchyLevels[[#This Row],[Level1]],VLOOKUP(CustomerHierarchyLevels[[#This Row],[Level1]],CustomerHierarchyLevels[],7,FALSE))</f>
        <v>6293</v>
      </c>
      <c r="S366" s="30">
        <f>IF(VLOOKUP(CustomerHierarchyLevels[[#This Row],[Level2]],CustomerHierarchyLevels[],7,FALSE)=0,CustomerHierarchyLevels[[#This Row],[Level2]],VLOOKUP(CustomerHierarchyLevels[[#This Row],[Level2]],CustomerHierarchyLevels[],7,FALSE))</f>
        <v>6716</v>
      </c>
    </row>
    <row r="367" spans="1:19" x14ac:dyDescent="0.25">
      <c r="A367">
        <v>1428</v>
      </c>
      <c r="B367" t="s">
        <v>13</v>
      </c>
      <c r="C367" t="s">
        <v>95</v>
      </c>
      <c r="D367">
        <v>0</v>
      </c>
      <c r="E367">
        <v>39010</v>
      </c>
      <c r="F367">
        <v>2958465</v>
      </c>
      <c r="G367">
        <v>6292</v>
      </c>
      <c r="H367" t="s">
        <v>13</v>
      </c>
      <c r="I367" t="s">
        <v>95</v>
      </c>
      <c r="J367">
        <v>0</v>
      </c>
      <c r="K367">
        <v>0</v>
      </c>
      <c r="N367">
        <v>0</v>
      </c>
      <c r="O367" t="s">
        <v>96</v>
      </c>
      <c r="P367" t="s">
        <v>1514</v>
      </c>
      <c r="Q367" s="30">
        <f>IF(CustomerHierarchyLevels[[#This Row],[HgLvCust.]]=0,CustomerHierarchyLevels[[#This Row],[Customer]],CustomerHierarchyLevels[[#This Row],[HgLvCust.]])</f>
        <v>6292</v>
      </c>
      <c r="R367" s="30">
        <f>IF(VLOOKUP(CustomerHierarchyLevels[[#This Row],[Level1]],CustomerHierarchyLevels[],7,FALSE)=0,CustomerHierarchyLevels[[#This Row],[Level1]],VLOOKUP(CustomerHierarchyLevels[[#This Row],[Level1]],CustomerHierarchyLevels[],7,FALSE))</f>
        <v>6293</v>
      </c>
      <c r="S367" s="30">
        <f>IF(VLOOKUP(CustomerHierarchyLevels[[#This Row],[Level2]],CustomerHierarchyLevels[],7,FALSE)=0,CustomerHierarchyLevels[[#This Row],[Level2]],VLOOKUP(CustomerHierarchyLevels[[#This Row],[Level2]],CustomerHierarchyLevels[],7,FALSE))</f>
        <v>6716</v>
      </c>
    </row>
    <row r="368" spans="1:19" x14ac:dyDescent="0.25">
      <c r="A368">
        <v>6556</v>
      </c>
      <c r="B368" t="s">
        <v>13</v>
      </c>
      <c r="C368" t="s">
        <v>95</v>
      </c>
      <c r="D368">
        <v>0</v>
      </c>
      <c r="E368">
        <v>39010</v>
      </c>
      <c r="F368">
        <v>2958465</v>
      </c>
      <c r="G368">
        <v>6292</v>
      </c>
      <c r="H368" t="s">
        <v>13</v>
      </c>
      <c r="I368" t="s">
        <v>95</v>
      </c>
      <c r="J368">
        <v>0</v>
      </c>
      <c r="K368">
        <v>0</v>
      </c>
      <c r="N368">
        <v>0</v>
      </c>
      <c r="O368" t="s">
        <v>96</v>
      </c>
      <c r="P368" t="s">
        <v>1515</v>
      </c>
      <c r="Q368" s="30">
        <f>IF(CustomerHierarchyLevels[[#This Row],[HgLvCust.]]=0,CustomerHierarchyLevels[[#This Row],[Customer]],CustomerHierarchyLevels[[#This Row],[HgLvCust.]])</f>
        <v>6292</v>
      </c>
      <c r="R368" s="30">
        <f>IF(VLOOKUP(CustomerHierarchyLevels[[#This Row],[Level1]],CustomerHierarchyLevels[],7,FALSE)=0,CustomerHierarchyLevels[[#This Row],[Level1]],VLOOKUP(CustomerHierarchyLevels[[#This Row],[Level1]],CustomerHierarchyLevels[],7,FALSE))</f>
        <v>6293</v>
      </c>
      <c r="S368" s="30">
        <f>IF(VLOOKUP(CustomerHierarchyLevels[[#This Row],[Level2]],CustomerHierarchyLevels[],7,FALSE)=0,CustomerHierarchyLevels[[#This Row],[Level2]],VLOOKUP(CustomerHierarchyLevels[[#This Row],[Level2]],CustomerHierarchyLevels[],7,FALSE))</f>
        <v>6716</v>
      </c>
    </row>
    <row r="369" spans="1:19" x14ac:dyDescent="0.25">
      <c r="A369">
        <v>1722</v>
      </c>
      <c r="B369" t="s">
        <v>13</v>
      </c>
      <c r="C369" t="s">
        <v>95</v>
      </c>
      <c r="D369">
        <v>0</v>
      </c>
      <c r="E369">
        <v>39010</v>
      </c>
      <c r="F369">
        <v>2958465</v>
      </c>
      <c r="G369">
        <v>6292</v>
      </c>
      <c r="H369" t="s">
        <v>13</v>
      </c>
      <c r="I369" t="s">
        <v>95</v>
      </c>
      <c r="J369">
        <v>0</v>
      </c>
      <c r="K369">
        <v>0</v>
      </c>
      <c r="N369">
        <v>0</v>
      </c>
      <c r="O369" t="s">
        <v>96</v>
      </c>
      <c r="P369" t="s">
        <v>1516</v>
      </c>
      <c r="Q369" s="30">
        <f>IF(CustomerHierarchyLevels[[#This Row],[HgLvCust.]]=0,CustomerHierarchyLevels[[#This Row],[Customer]],CustomerHierarchyLevels[[#This Row],[HgLvCust.]])</f>
        <v>6292</v>
      </c>
      <c r="R369" s="30">
        <f>IF(VLOOKUP(CustomerHierarchyLevels[[#This Row],[Level1]],CustomerHierarchyLevels[],7,FALSE)=0,CustomerHierarchyLevels[[#This Row],[Level1]],VLOOKUP(CustomerHierarchyLevels[[#This Row],[Level1]],CustomerHierarchyLevels[],7,FALSE))</f>
        <v>6293</v>
      </c>
      <c r="S369" s="30">
        <f>IF(VLOOKUP(CustomerHierarchyLevels[[#This Row],[Level2]],CustomerHierarchyLevels[],7,FALSE)=0,CustomerHierarchyLevels[[#This Row],[Level2]],VLOOKUP(CustomerHierarchyLevels[[#This Row],[Level2]],CustomerHierarchyLevels[],7,FALSE))</f>
        <v>6716</v>
      </c>
    </row>
    <row r="370" spans="1:19" x14ac:dyDescent="0.25">
      <c r="A370">
        <v>3548</v>
      </c>
      <c r="B370" t="s">
        <v>13</v>
      </c>
      <c r="C370" t="s">
        <v>95</v>
      </c>
      <c r="D370">
        <v>0</v>
      </c>
      <c r="E370">
        <v>39010</v>
      </c>
      <c r="F370">
        <v>2958465</v>
      </c>
      <c r="G370">
        <v>6292</v>
      </c>
      <c r="H370" t="s">
        <v>13</v>
      </c>
      <c r="I370" t="s">
        <v>95</v>
      </c>
      <c r="J370">
        <v>0</v>
      </c>
      <c r="K370">
        <v>0</v>
      </c>
      <c r="N370">
        <v>0</v>
      </c>
      <c r="O370" t="s">
        <v>96</v>
      </c>
      <c r="P370" t="s">
        <v>1517</v>
      </c>
      <c r="Q370" s="30">
        <f>IF(CustomerHierarchyLevels[[#This Row],[HgLvCust.]]=0,CustomerHierarchyLevels[[#This Row],[Customer]],CustomerHierarchyLevels[[#This Row],[HgLvCust.]])</f>
        <v>6292</v>
      </c>
      <c r="R370" s="30">
        <f>IF(VLOOKUP(CustomerHierarchyLevels[[#This Row],[Level1]],CustomerHierarchyLevels[],7,FALSE)=0,CustomerHierarchyLevels[[#This Row],[Level1]],VLOOKUP(CustomerHierarchyLevels[[#This Row],[Level1]],CustomerHierarchyLevels[],7,FALSE))</f>
        <v>6293</v>
      </c>
      <c r="S370" s="30">
        <f>IF(VLOOKUP(CustomerHierarchyLevels[[#This Row],[Level2]],CustomerHierarchyLevels[],7,FALSE)=0,CustomerHierarchyLevels[[#This Row],[Level2]],VLOOKUP(CustomerHierarchyLevels[[#This Row],[Level2]],CustomerHierarchyLevels[],7,FALSE))</f>
        <v>6716</v>
      </c>
    </row>
    <row r="371" spans="1:19" x14ac:dyDescent="0.25">
      <c r="A371">
        <v>1708</v>
      </c>
      <c r="B371" t="s">
        <v>13</v>
      </c>
      <c r="C371" t="s">
        <v>95</v>
      </c>
      <c r="D371">
        <v>0</v>
      </c>
      <c r="E371">
        <v>39010</v>
      </c>
      <c r="F371">
        <v>2958465</v>
      </c>
      <c r="G371">
        <v>6294</v>
      </c>
      <c r="H371" t="s">
        <v>13</v>
      </c>
      <c r="I371" t="s">
        <v>95</v>
      </c>
      <c r="J371">
        <v>0</v>
      </c>
      <c r="K371">
        <v>0</v>
      </c>
      <c r="N371">
        <v>0</v>
      </c>
      <c r="O371" t="s">
        <v>96</v>
      </c>
      <c r="P371" t="s">
        <v>1518</v>
      </c>
      <c r="Q371" s="30">
        <f>IF(CustomerHierarchyLevels[[#This Row],[HgLvCust.]]=0,CustomerHierarchyLevels[[#This Row],[Customer]],CustomerHierarchyLevels[[#This Row],[HgLvCust.]])</f>
        <v>6294</v>
      </c>
      <c r="R371" s="30">
        <f>IF(VLOOKUP(CustomerHierarchyLevels[[#This Row],[Level1]],CustomerHierarchyLevels[],7,FALSE)=0,CustomerHierarchyLevels[[#This Row],[Level1]],VLOOKUP(CustomerHierarchyLevels[[#This Row],[Level1]],CustomerHierarchyLevels[],7,FALSE))</f>
        <v>6295</v>
      </c>
      <c r="S371" s="30">
        <f>IF(VLOOKUP(CustomerHierarchyLevels[[#This Row],[Level2]],CustomerHierarchyLevels[],7,FALSE)=0,CustomerHierarchyLevels[[#This Row],[Level2]],VLOOKUP(CustomerHierarchyLevels[[#This Row],[Level2]],CustomerHierarchyLevels[],7,FALSE))</f>
        <v>6717</v>
      </c>
    </row>
    <row r="372" spans="1:19" x14ac:dyDescent="0.25">
      <c r="A372">
        <v>2681</v>
      </c>
      <c r="B372" t="s">
        <v>13</v>
      </c>
      <c r="C372" t="s">
        <v>95</v>
      </c>
      <c r="D372">
        <v>0</v>
      </c>
      <c r="E372">
        <v>39010</v>
      </c>
      <c r="F372">
        <v>2958465</v>
      </c>
      <c r="G372">
        <v>6294</v>
      </c>
      <c r="H372" t="s">
        <v>13</v>
      </c>
      <c r="I372" t="s">
        <v>95</v>
      </c>
      <c r="J372">
        <v>0</v>
      </c>
      <c r="K372">
        <v>0</v>
      </c>
      <c r="N372">
        <v>0</v>
      </c>
      <c r="O372" t="s">
        <v>96</v>
      </c>
      <c r="P372" t="s">
        <v>1519</v>
      </c>
      <c r="Q372" s="30">
        <f>IF(CustomerHierarchyLevels[[#This Row],[HgLvCust.]]=0,CustomerHierarchyLevels[[#This Row],[Customer]],CustomerHierarchyLevels[[#This Row],[HgLvCust.]])</f>
        <v>6294</v>
      </c>
      <c r="R372" s="30">
        <f>IF(VLOOKUP(CustomerHierarchyLevels[[#This Row],[Level1]],CustomerHierarchyLevels[],7,FALSE)=0,CustomerHierarchyLevels[[#This Row],[Level1]],VLOOKUP(CustomerHierarchyLevels[[#This Row],[Level1]],CustomerHierarchyLevels[],7,FALSE))</f>
        <v>6295</v>
      </c>
      <c r="S372" s="30">
        <f>IF(VLOOKUP(CustomerHierarchyLevels[[#This Row],[Level2]],CustomerHierarchyLevels[],7,FALSE)=0,CustomerHierarchyLevels[[#This Row],[Level2]],VLOOKUP(CustomerHierarchyLevels[[#This Row],[Level2]],CustomerHierarchyLevels[],7,FALSE))</f>
        <v>6717</v>
      </c>
    </row>
    <row r="373" spans="1:19" x14ac:dyDescent="0.25">
      <c r="A373">
        <v>1709</v>
      </c>
      <c r="B373" t="s">
        <v>13</v>
      </c>
      <c r="C373" t="s">
        <v>95</v>
      </c>
      <c r="D373">
        <v>0</v>
      </c>
      <c r="E373">
        <v>39010</v>
      </c>
      <c r="F373">
        <v>2958465</v>
      </c>
      <c r="G373">
        <v>6294</v>
      </c>
      <c r="H373" t="s">
        <v>13</v>
      </c>
      <c r="I373" t="s">
        <v>95</v>
      </c>
      <c r="J373">
        <v>0</v>
      </c>
      <c r="K373">
        <v>0</v>
      </c>
      <c r="N373">
        <v>0</v>
      </c>
      <c r="O373" t="s">
        <v>96</v>
      </c>
      <c r="P373" t="s">
        <v>1520</v>
      </c>
      <c r="Q373" s="30">
        <f>IF(CustomerHierarchyLevels[[#This Row],[HgLvCust.]]=0,CustomerHierarchyLevels[[#This Row],[Customer]],CustomerHierarchyLevels[[#This Row],[HgLvCust.]])</f>
        <v>6294</v>
      </c>
      <c r="R373" s="30">
        <f>IF(VLOOKUP(CustomerHierarchyLevels[[#This Row],[Level1]],CustomerHierarchyLevels[],7,FALSE)=0,CustomerHierarchyLevels[[#This Row],[Level1]],VLOOKUP(CustomerHierarchyLevels[[#This Row],[Level1]],CustomerHierarchyLevels[],7,FALSE))</f>
        <v>6295</v>
      </c>
      <c r="S373" s="30">
        <f>IF(VLOOKUP(CustomerHierarchyLevels[[#This Row],[Level2]],CustomerHierarchyLevels[],7,FALSE)=0,CustomerHierarchyLevels[[#This Row],[Level2]],VLOOKUP(CustomerHierarchyLevels[[#This Row],[Level2]],CustomerHierarchyLevels[],7,FALSE))</f>
        <v>6717</v>
      </c>
    </row>
    <row r="374" spans="1:19" x14ac:dyDescent="0.25">
      <c r="A374">
        <v>1754</v>
      </c>
      <c r="B374" t="s">
        <v>13</v>
      </c>
      <c r="C374" t="s">
        <v>95</v>
      </c>
      <c r="D374">
        <v>0</v>
      </c>
      <c r="E374">
        <v>39010</v>
      </c>
      <c r="F374">
        <v>2958465</v>
      </c>
      <c r="G374">
        <v>6296</v>
      </c>
      <c r="H374" t="s">
        <v>13</v>
      </c>
      <c r="I374" t="s">
        <v>95</v>
      </c>
      <c r="J374">
        <v>0</v>
      </c>
      <c r="K374">
        <v>0</v>
      </c>
      <c r="N374">
        <v>0</v>
      </c>
      <c r="O374" t="s">
        <v>96</v>
      </c>
      <c r="P374" t="s">
        <v>1521</v>
      </c>
      <c r="Q374" s="30">
        <f>IF(CustomerHierarchyLevels[[#This Row],[HgLvCust.]]=0,CustomerHierarchyLevels[[#This Row],[Customer]],CustomerHierarchyLevels[[#This Row],[HgLvCust.]])</f>
        <v>6296</v>
      </c>
      <c r="R374" s="30">
        <f>IF(VLOOKUP(CustomerHierarchyLevels[[#This Row],[Level1]],CustomerHierarchyLevels[],7,FALSE)=0,CustomerHierarchyLevels[[#This Row],[Level1]],VLOOKUP(CustomerHierarchyLevels[[#This Row],[Level1]],CustomerHierarchyLevels[],7,FALSE))</f>
        <v>6297</v>
      </c>
      <c r="S374" s="30">
        <f>IF(VLOOKUP(CustomerHierarchyLevels[[#This Row],[Level2]],CustomerHierarchyLevels[],7,FALSE)=0,CustomerHierarchyLevels[[#This Row],[Level2]],VLOOKUP(CustomerHierarchyLevels[[#This Row],[Level2]],CustomerHierarchyLevels[],7,FALSE))</f>
        <v>6718</v>
      </c>
    </row>
    <row r="375" spans="1:19" x14ac:dyDescent="0.25">
      <c r="A375">
        <v>2748</v>
      </c>
      <c r="B375" t="s">
        <v>13</v>
      </c>
      <c r="C375" t="s">
        <v>95</v>
      </c>
      <c r="D375">
        <v>0</v>
      </c>
      <c r="E375">
        <v>39010</v>
      </c>
      <c r="F375">
        <v>2958465</v>
      </c>
      <c r="G375">
        <v>6296</v>
      </c>
      <c r="H375" t="s">
        <v>13</v>
      </c>
      <c r="I375" t="s">
        <v>95</v>
      </c>
      <c r="J375">
        <v>0</v>
      </c>
      <c r="K375">
        <v>0</v>
      </c>
      <c r="N375">
        <v>0</v>
      </c>
      <c r="O375" t="s">
        <v>96</v>
      </c>
      <c r="P375" t="s">
        <v>1522</v>
      </c>
      <c r="Q375" s="30">
        <f>IF(CustomerHierarchyLevels[[#This Row],[HgLvCust.]]=0,CustomerHierarchyLevels[[#This Row],[Customer]],CustomerHierarchyLevels[[#This Row],[HgLvCust.]])</f>
        <v>6296</v>
      </c>
      <c r="R375" s="30">
        <f>IF(VLOOKUP(CustomerHierarchyLevels[[#This Row],[Level1]],CustomerHierarchyLevels[],7,FALSE)=0,CustomerHierarchyLevels[[#This Row],[Level1]],VLOOKUP(CustomerHierarchyLevels[[#This Row],[Level1]],CustomerHierarchyLevels[],7,FALSE))</f>
        <v>6297</v>
      </c>
      <c r="S375" s="30">
        <f>IF(VLOOKUP(CustomerHierarchyLevels[[#This Row],[Level2]],CustomerHierarchyLevels[],7,FALSE)=0,CustomerHierarchyLevels[[#This Row],[Level2]],VLOOKUP(CustomerHierarchyLevels[[#This Row],[Level2]],CustomerHierarchyLevels[],7,FALSE))</f>
        <v>6718</v>
      </c>
    </row>
    <row r="376" spans="1:19" x14ac:dyDescent="0.25">
      <c r="A376">
        <v>2482</v>
      </c>
      <c r="B376" t="s">
        <v>13</v>
      </c>
      <c r="C376" t="s">
        <v>95</v>
      </c>
      <c r="D376">
        <v>0</v>
      </c>
      <c r="E376">
        <v>39010</v>
      </c>
      <c r="F376">
        <v>2958465</v>
      </c>
      <c r="G376">
        <v>6296</v>
      </c>
      <c r="H376" t="s">
        <v>13</v>
      </c>
      <c r="I376" t="s">
        <v>95</v>
      </c>
      <c r="J376">
        <v>0</v>
      </c>
      <c r="K376">
        <v>0</v>
      </c>
      <c r="N376">
        <v>0</v>
      </c>
      <c r="O376" t="s">
        <v>96</v>
      </c>
      <c r="P376" t="s">
        <v>1523</v>
      </c>
      <c r="Q376" s="30">
        <f>IF(CustomerHierarchyLevels[[#This Row],[HgLvCust.]]=0,CustomerHierarchyLevels[[#This Row],[Customer]],CustomerHierarchyLevels[[#This Row],[HgLvCust.]])</f>
        <v>6296</v>
      </c>
      <c r="R376" s="30">
        <f>IF(VLOOKUP(CustomerHierarchyLevels[[#This Row],[Level1]],CustomerHierarchyLevels[],7,FALSE)=0,CustomerHierarchyLevels[[#This Row],[Level1]],VLOOKUP(CustomerHierarchyLevels[[#This Row],[Level1]],CustomerHierarchyLevels[],7,FALSE))</f>
        <v>6297</v>
      </c>
      <c r="S376" s="30">
        <f>IF(VLOOKUP(CustomerHierarchyLevels[[#This Row],[Level2]],CustomerHierarchyLevels[],7,FALSE)=0,CustomerHierarchyLevels[[#This Row],[Level2]],VLOOKUP(CustomerHierarchyLevels[[#This Row],[Level2]],CustomerHierarchyLevels[],7,FALSE))</f>
        <v>6718</v>
      </c>
    </row>
    <row r="377" spans="1:19" x14ac:dyDescent="0.25">
      <c r="A377">
        <v>3404</v>
      </c>
      <c r="B377" t="s">
        <v>13</v>
      </c>
      <c r="C377" t="s">
        <v>95</v>
      </c>
      <c r="D377">
        <v>0</v>
      </c>
      <c r="E377">
        <v>39010</v>
      </c>
      <c r="F377">
        <v>2958465</v>
      </c>
      <c r="G377">
        <v>6296</v>
      </c>
      <c r="H377" t="s">
        <v>13</v>
      </c>
      <c r="I377" t="s">
        <v>95</v>
      </c>
      <c r="J377">
        <v>0</v>
      </c>
      <c r="K377">
        <v>0</v>
      </c>
      <c r="N377">
        <v>0</v>
      </c>
      <c r="O377" t="s">
        <v>96</v>
      </c>
      <c r="P377" t="s">
        <v>1524</v>
      </c>
      <c r="Q377" s="30">
        <f>IF(CustomerHierarchyLevels[[#This Row],[HgLvCust.]]=0,CustomerHierarchyLevels[[#This Row],[Customer]],CustomerHierarchyLevels[[#This Row],[HgLvCust.]])</f>
        <v>6296</v>
      </c>
      <c r="R377" s="30">
        <f>IF(VLOOKUP(CustomerHierarchyLevels[[#This Row],[Level1]],CustomerHierarchyLevels[],7,FALSE)=0,CustomerHierarchyLevels[[#This Row],[Level1]],VLOOKUP(CustomerHierarchyLevels[[#This Row],[Level1]],CustomerHierarchyLevels[],7,FALSE))</f>
        <v>6297</v>
      </c>
      <c r="S377" s="30">
        <f>IF(VLOOKUP(CustomerHierarchyLevels[[#This Row],[Level2]],CustomerHierarchyLevels[],7,FALSE)=0,CustomerHierarchyLevels[[#This Row],[Level2]],VLOOKUP(CustomerHierarchyLevels[[#This Row],[Level2]],CustomerHierarchyLevels[],7,FALSE))</f>
        <v>6718</v>
      </c>
    </row>
    <row r="378" spans="1:19" x14ac:dyDescent="0.25">
      <c r="A378">
        <v>1439</v>
      </c>
      <c r="B378" t="s">
        <v>13</v>
      </c>
      <c r="C378" t="s">
        <v>95</v>
      </c>
      <c r="D378">
        <v>0</v>
      </c>
      <c r="E378">
        <v>39010</v>
      </c>
      <c r="F378">
        <v>2958465</v>
      </c>
      <c r="G378">
        <v>6298</v>
      </c>
      <c r="H378" t="s">
        <v>13</v>
      </c>
      <c r="I378" t="s">
        <v>95</v>
      </c>
      <c r="J378">
        <v>0</v>
      </c>
      <c r="K378">
        <v>0</v>
      </c>
      <c r="N378">
        <v>0</v>
      </c>
      <c r="O378" t="s">
        <v>96</v>
      </c>
      <c r="P378" t="s">
        <v>1525</v>
      </c>
      <c r="Q378" s="30">
        <f>IF(CustomerHierarchyLevels[[#This Row],[HgLvCust.]]=0,CustomerHierarchyLevels[[#This Row],[Customer]],CustomerHierarchyLevels[[#This Row],[HgLvCust.]])</f>
        <v>6298</v>
      </c>
      <c r="R378" s="30">
        <f>IF(VLOOKUP(CustomerHierarchyLevels[[#This Row],[Level1]],CustomerHierarchyLevels[],7,FALSE)=0,CustomerHierarchyLevels[[#This Row],[Level1]],VLOOKUP(CustomerHierarchyLevels[[#This Row],[Level1]],CustomerHierarchyLevels[],7,FALSE))</f>
        <v>6299</v>
      </c>
      <c r="S378" s="30">
        <f>IF(VLOOKUP(CustomerHierarchyLevels[[#This Row],[Level2]],CustomerHierarchyLevels[],7,FALSE)=0,CustomerHierarchyLevels[[#This Row],[Level2]],VLOOKUP(CustomerHierarchyLevels[[#This Row],[Level2]],CustomerHierarchyLevels[],7,FALSE))</f>
        <v>6719</v>
      </c>
    </row>
    <row r="379" spans="1:19" x14ac:dyDescent="0.25">
      <c r="A379">
        <v>6255</v>
      </c>
      <c r="B379" t="s">
        <v>13</v>
      </c>
      <c r="C379" t="s">
        <v>59</v>
      </c>
      <c r="D379">
        <v>0</v>
      </c>
      <c r="E379">
        <v>39010</v>
      </c>
      <c r="F379">
        <v>2958465</v>
      </c>
      <c r="G379">
        <v>6720</v>
      </c>
      <c r="H379" t="s">
        <v>13</v>
      </c>
      <c r="I379" t="s">
        <v>59</v>
      </c>
      <c r="J379">
        <v>0</v>
      </c>
      <c r="K379">
        <v>0</v>
      </c>
      <c r="L379" t="s">
        <v>1200</v>
      </c>
      <c r="M379" t="s">
        <v>1200</v>
      </c>
      <c r="N379">
        <v>2</v>
      </c>
      <c r="O379" t="s">
        <v>96</v>
      </c>
      <c r="P379" t="s">
        <v>1526</v>
      </c>
      <c r="Q379" s="30">
        <f>IF(CustomerHierarchyLevels[[#This Row],[HgLvCust.]]=0,CustomerHierarchyLevels[[#This Row],[Customer]],CustomerHierarchyLevels[[#This Row],[HgLvCust.]])</f>
        <v>6720</v>
      </c>
      <c r="R379" s="30">
        <f>IF(VLOOKUP(CustomerHierarchyLevels[[#This Row],[Level1]],CustomerHierarchyLevels[],7,FALSE)=0,CustomerHierarchyLevels[[#This Row],[Level1]],VLOOKUP(CustomerHierarchyLevels[[#This Row],[Level1]],CustomerHierarchyLevels[],7,FALSE))</f>
        <v>6720</v>
      </c>
      <c r="S379" s="30">
        <f>IF(VLOOKUP(CustomerHierarchyLevels[[#This Row],[Level2]],CustomerHierarchyLevels[],7,FALSE)=0,CustomerHierarchyLevels[[#This Row],[Level2]],VLOOKUP(CustomerHierarchyLevels[[#This Row],[Level2]],CustomerHierarchyLevels[],7,FALSE))</f>
        <v>6720</v>
      </c>
    </row>
    <row r="380" spans="1:19" x14ac:dyDescent="0.25">
      <c r="A380">
        <v>6720</v>
      </c>
      <c r="B380" t="s">
        <v>13</v>
      </c>
      <c r="C380" t="s">
        <v>59</v>
      </c>
      <c r="D380">
        <v>0</v>
      </c>
      <c r="E380">
        <v>39010</v>
      </c>
      <c r="F380">
        <v>2958465</v>
      </c>
      <c r="K380">
        <v>0</v>
      </c>
      <c r="L380" t="s">
        <v>1200</v>
      </c>
      <c r="M380" t="s">
        <v>1200</v>
      </c>
      <c r="N380">
        <v>0</v>
      </c>
      <c r="O380" t="s">
        <v>96</v>
      </c>
      <c r="P380" t="s">
        <v>1527</v>
      </c>
      <c r="Q380" s="30">
        <f>IF(CustomerHierarchyLevels[[#This Row],[HgLvCust.]]=0,CustomerHierarchyLevels[[#This Row],[Customer]],CustomerHierarchyLevels[[#This Row],[HgLvCust.]])</f>
        <v>6720</v>
      </c>
      <c r="R380" s="30">
        <f>IF(VLOOKUP(CustomerHierarchyLevels[[#This Row],[Level1]],CustomerHierarchyLevels[],7,FALSE)=0,CustomerHierarchyLevels[[#This Row],[Level1]],VLOOKUP(CustomerHierarchyLevels[[#This Row],[Level1]],CustomerHierarchyLevels[],7,FALSE))</f>
        <v>6720</v>
      </c>
      <c r="S380" s="30">
        <f>IF(VLOOKUP(CustomerHierarchyLevels[[#This Row],[Level2]],CustomerHierarchyLevels[],7,FALSE)=0,CustomerHierarchyLevels[[#This Row],[Level2]],VLOOKUP(CustomerHierarchyLevels[[#This Row],[Level2]],CustomerHierarchyLevels[],7,FALSE))</f>
        <v>6720</v>
      </c>
    </row>
    <row r="381" spans="1:19" x14ac:dyDescent="0.25">
      <c r="A381">
        <v>6257</v>
      </c>
      <c r="B381" t="s">
        <v>13</v>
      </c>
      <c r="C381" t="s">
        <v>59</v>
      </c>
      <c r="D381">
        <v>0</v>
      </c>
      <c r="E381">
        <v>39010</v>
      </c>
      <c r="F381">
        <v>2958465</v>
      </c>
      <c r="G381">
        <v>6721</v>
      </c>
      <c r="H381" t="s">
        <v>13</v>
      </c>
      <c r="I381" t="s">
        <v>59</v>
      </c>
      <c r="J381">
        <v>0</v>
      </c>
      <c r="K381">
        <v>0</v>
      </c>
      <c r="L381" t="s">
        <v>1200</v>
      </c>
      <c r="M381" t="s">
        <v>1200</v>
      </c>
      <c r="N381">
        <v>2</v>
      </c>
      <c r="O381" t="s">
        <v>96</v>
      </c>
      <c r="P381" t="s">
        <v>1528</v>
      </c>
      <c r="Q381" s="30">
        <f>IF(CustomerHierarchyLevels[[#This Row],[HgLvCust.]]=0,CustomerHierarchyLevels[[#This Row],[Customer]],CustomerHierarchyLevels[[#This Row],[HgLvCust.]])</f>
        <v>6721</v>
      </c>
      <c r="R381" s="30">
        <f>IF(VLOOKUP(CustomerHierarchyLevels[[#This Row],[Level1]],CustomerHierarchyLevels[],7,FALSE)=0,CustomerHierarchyLevels[[#This Row],[Level1]],VLOOKUP(CustomerHierarchyLevels[[#This Row],[Level1]],CustomerHierarchyLevels[],7,FALSE))</f>
        <v>6721</v>
      </c>
      <c r="S381" s="30">
        <f>IF(VLOOKUP(CustomerHierarchyLevels[[#This Row],[Level2]],CustomerHierarchyLevels[],7,FALSE)=0,CustomerHierarchyLevels[[#This Row],[Level2]],VLOOKUP(CustomerHierarchyLevels[[#This Row],[Level2]],CustomerHierarchyLevels[],7,FALSE))</f>
        <v>6721</v>
      </c>
    </row>
    <row r="382" spans="1:19" x14ac:dyDescent="0.25">
      <c r="A382">
        <v>6259</v>
      </c>
      <c r="B382" t="s">
        <v>13</v>
      </c>
      <c r="C382" t="s">
        <v>59</v>
      </c>
      <c r="D382">
        <v>0</v>
      </c>
      <c r="E382">
        <v>39010</v>
      </c>
      <c r="F382">
        <v>2958465</v>
      </c>
      <c r="G382">
        <v>6722</v>
      </c>
      <c r="H382" t="s">
        <v>13</v>
      </c>
      <c r="I382" t="s">
        <v>59</v>
      </c>
      <c r="J382">
        <v>0</v>
      </c>
      <c r="K382">
        <v>0</v>
      </c>
      <c r="L382" t="s">
        <v>1200</v>
      </c>
      <c r="M382" t="s">
        <v>1200</v>
      </c>
      <c r="N382">
        <v>2</v>
      </c>
      <c r="O382" t="s">
        <v>96</v>
      </c>
      <c r="P382" t="s">
        <v>1529</v>
      </c>
      <c r="Q382" s="30">
        <f>IF(CustomerHierarchyLevels[[#This Row],[HgLvCust.]]=0,CustomerHierarchyLevels[[#This Row],[Customer]],CustomerHierarchyLevels[[#This Row],[HgLvCust.]])</f>
        <v>6722</v>
      </c>
      <c r="R382" s="30">
        <f>IF(VLOOKUP(CustomerHierarchyLevels[[#This Row],[Level1]],CustomerHierarchyLevels[],7,FALSE)=0,CustomerHierarchyLevels[[#This Row],[Level1]],VLOOKUP(CustomerHierarchyLevels[[#This Row],[Level1]],CustomerHierarchyLevels[],7,FALSE))</f>
        <v>6722</v>
      </c>
      <c r="S382" s="30">
        <f>IF(VLOOKUP(CustomerHierarchyLevels[[#This Row],[Level2]],CustomerHierarchyLevels[],7,FALSE)=0,CustomerHierarchyLevels[[#This Row],[Level2]],VLOOKUP(CustomerHierarchyLevels[[#This Row],[Level2]],CustomerHierarchyLevels[],7,FALSE))</f>
        <v>6722</v>
      </c>
    </row>
    <row r="383" spans="1:19" x14ac:dyDescent="0.25">
      <c r="A383">
        <v>6722</v>
      </c>
      <c r="B383" t="s">
        <v>13</v>
      </c>
      <c r="C383" t="s">
        <v>59</v>
      </c>
      <c r="D383">
        <v>0</v>
      </c>
      <c r="E383">
        <v>39010</v>
      </c>
      <c r="F383">
        <v>2958465</v>
      </c>
      <c r="K383">
        <v>0</v>
      </c>
      <c r="L383" t="s">
        <v>1200</v>
      </c>
      <c r="M383" t="s">
        <v>1200</v>
      </c>
      <c r="N383">
        <v>0</v>
      </c>
      <c r="O383" t="s">
        <v>96</v>
      </c>
      <c r="P383" t="s">
        <v>1530</v>
      </c>
      <c r="Q383" s="30">
        <f>IF(CustomerHierarchyLevels[[#This Row],[HgLvCust.]]=0,CustomerHierarchyLevels[[#This Row],[Customer]],CustomerHierarchyLevels[[#This Row],[HgLvCust.]])</f>
        <v>6722</v>
      </c>
      <c r="R383" s="30">
        <f>IF(VLOOKUP(CustomerHierarchyLevels[[#This Row],[Level1]],CustomerHierarchyLevels[],7,FALSE)=0,CustomerHierarchyLevels[[#This Row],[Level1]],VLOOKUP(CustomerHierarchyLevels[[#This Row],[Level1]],CustomerHierarchyLevels[],7,FALSE))</f>
        <v>6722</v>
      </c>
      <c r="S383" s="30">
        <f>IF(VLOOKUP(CustomerHierarchyLevels[[#This Row],[Level2]],CustomerHierarchyLevels[],7,FALSE)=0,CustomerHierarchyLevels[[#This Row],[Level2]],VLOOKUP(CustomerHierarchyLevels[[#This Row],[Level2]],CustomerHierarchyLevels[],7,FALSE))</f>
        <v>6722</v>
      </c>
    </row>
    <row r="384" spans="1:19" x14ac:dyDescent="0.25">
      <c r="A384">
        <v>6261</v>
      </c>
      <c r="B384" t="s">
        <v>13</v>
      </c>
      <c r="C384" t="s">
        <v>59</v>
      </c>
      <c r="D384">
        <v>0</v>
      </c>
      <c r="E384">
        <v>39010</v>
      </c>
      <c r="F384">
        <v>2958465</v>
      </c>
      <c r="G384">
        <v>6723</v>
      </c>
      <c r="H384" t="s">
        <v>13</v>
      </c>
      <c r="I384" t="s">
        <v>59</v>
      </c>
      <c r="J384">
        <v>0</v>
      </c>
      <c r="K384">
        <v>0</v>
      </c>
      <c r="L384" t="s">
        <v>1200</v>
      </c>
      <c r="M384" t="s">
        <v>1200</v>
      </c>
      <c r="N384">
        <v>2</v>
      </c>
      <c r="O384" t="s">
        <v>96</v>
      </c>
      <c r="P384" t="s">
        <v>1531</v>
      </c>
      <c r="Q384" s="30">
        <f>IF(CustomerHierarchyLevels[[#This Row],[HgLvCust.]]=0,CustomerHierarchyLevels[[#This Row],[Customer]],CustomerHierarchyLevels[[#This Row],[HgLvCust.]])</f>
        <v>6723</v>
      </c>
      <c r="R384" s="30">
        <f>IF(VLOOKUP(CustomerHierarchyLevels[[#This Row],[Level1]],CustomerHierarchyLevels[],7,FALSE)=0,CustomerHierarchyLevels[[#This Row],[Level1]],VLOOKUP(CustomerHierarchyLevels[[#This Row],[Level1]],CustomerHierarchyLevels[],7,FALSE))</f>
        <v>6723</v>
      </c>
      <c r="S384" s="30">
        <f>IF(VLOOKUP(CustomerHierarchyLevels[[#This Row],[Level2]],CustomerHierarchyLevels[],7,FALSE)=0,CustomerHierarchyLevels[[#This Row],[Level2]],VLOOKUP(CustomerHierarchyLevels[[#This Row],[Level2]],CustomerHierarchyLevels[],7,FALSE))</f>
        <v>6723</v>
      </c>
    </row>
    <row r="385" spans="1:19" x14ac:dyDescent="0.25">
      <c r="A385">
        <v>6723</v>
      </c>
      <c r="B385" t="s">
        <v>13</v>
      </c>
      <c r="C385" t="s">
        <v>59</v>
      </c>
      <c r="D385">
        <v>0</v>
      </c>
      <c r="E385">
        <v>39010</v>
      </c>
      <c r="F385">
        <v>2958465</v>
      </c>
      <c r="K385">
        <v>0</v>
      </c>
      <c r="L385" t="s">
        <v>1200</v>
      </c>
      <c r="M385" t="s">
        <v>1200</v>
      </c>
      <c r="N385">
        <v>0</v>
      </c>
      <c r="O385" t="s">
        <v>96</v>
      </c>
      <c r="P385" t="s">
        <v>1532</v>
      </c>
      <c r="Q385" s="30">
        <f>IF(CustomerHierarchyLevels[[#This Row],[HgLvCust.]]=0,CustomerHierarchyLevels[[#This Row],[Customer]],CustomerHierarchyLevels[[#This Row],[HgLvCust.]])</f>
        <v>6723</v>
      </c>
      <c r="R385" s="30">
        <f>IF(VLOOKUP(CustomerHierarchyLevels[[#This Row],[Level1]],CustomerHierarchyLevels[],7,FALSE)=0,CustomerHierarchyLevels[[#This Row],[Level1]],VLOOKUP(CustomerHierarchyLevels[[#This Row],[Level1]],CustomerHierarchyLevels[],7,FALSE))</f>
        <v>6723</v>
      </c>
      <c r="S385" s="30">
        <f>IF(VLOOKUP(CustomerHierarchyLevels[[#This Row],[Level2]],CustomerHierarchyLevels[],7,FALSE)=0,CustomerHierarchyLevels[[#This Row],[Level2]],VLOOKUP(CustomerHierarchyLevels[[#This Row],[Level2]],CustomerHierarchyLevels[],7,FALSE))</f>
        <v>6723</v>
      </c>
    </row>
    <row r="386" spans="1:19" x14ac:dyDescent="0.25">
      <c r="A386">
        <v>6263</v>
      </c>
      <c r="B386" t="s">
        <v>13</v>
      </c>
      <c r="C386" t="s">
        <v>59</v>
      </c>
      <c r="D386">
        <v>0</v>
      </c>
      <c r="E386">
        <v>39010</v>
      </c>
      <c r="F386">
        <v>2958465</v>
      </c>
      <c r="G386">
        <v>6724</v>
      </c>
      <c r="H386" t="s">
        <v>13</v>
      </c>
      <c r="I386" t="s">
        <v>59</v>
      </c>
      <c r="J386">
        <v>0</v>
      </c>
      <c r="K386">
        <v>0</v>
      </c>
      <c r="L386" t="s">
        <v>1200</v>
      </c>
      <c r="M386" t="s">
        <v>1200</v>
      </c>
      <c r="N386">
        <v>2</v>
      </c>
      <c r="O386" t="s">
        <v>96</v>
      </c>
      <c r="P386" t="s">
        <v>1533</v>
      </c>
      <c r="Q386" s="30">
        <f>IF(CustomerHierarchyLevels[[#This Row],[HgLvCust.]]=0,CustomerHierarchyLevels[[#This Row],[Customer]],CustomerHierarchyLevels[[#This Row],[HgLvCust.]])</f>
        <v>6724</v>
      </c>
      <c r="R386" s="30">
        <f>IF(VLOOKUP(CustomerHierarchyLevels[[#This Row],[Level1]],CustomerHierarchyLevels[],7,FALSE)=0,CustomerHierarchyLevels[[#This Row],[Level1]],VLOOKUP(CustomerHierarchyLevels[[#This Row],[Level1]],CustomerHierarchyLevels[],7,FALSE))</f>
        <v>6724</v>
      </c>
      <c r="S386" s="30">
        <f>IF(VLOOKUP(CustomerHierarchyLevels[[#This Row],[Level2]],CustomerHierarchyLevels[],7,FALSE)=0,CustomerHierarchyLevels[[#This Row],[Level2]],VLOOKUP(CustomerHierarchyLevels[[#This Row],[Level2]],CustomerHierarchyLevels[],7,FALSE))</f>
        <v>6724</v>
      </c>
    </row>
    <row r="387" spans="1:19" x14ac:dyDescent="0.25">
      <c r="A387">
        <v>6724</v>
      </c>
      <c r="B387" t="s">
        <v>13</v>
      </c>
      <c r="C387" t="s">
        <v>59</v>
      </c>
      <c r="D387">
        <v>0</v>
      </c>
      <c r="E387">
        <v>39010</v>
      </c>
      <c r="F387">
        <v>2958465</v>
      </c>
      <c r="K387">
        <v>0</v>
      </c>
      <c r="L387" t="s">
        <v>1200</v>
      </c>
      <c r="M387" t="s">
        <v>1200</v>
      </c>
      <c r="N387">
        <v>0</v>
      </c>
      <c r="O387" t="s">
        <v>96</v>
      </c>
      <c r="P387" t="s">
        <v>1534</v>
      </c>
      <c r="Q387" s="30">
        <f>IF(CustomerHierarchyLevels[[#This Row],[HgLvCust.]]=0,CustomerHierarchyLevels[[#This Row],[Customer]],CustomerHierarchyLevels[[#This Row],[HgLvCust.]])</f>
        <v>6724</v>
      </c>
      <c r="R387" s="30">
        <f>IF(VLOOKUP(CustomerHierarchyLevels[[#This Row],[Level1]],CustomerHierarchyLevels[],7,FALSE)=0,CustomerHierarchyLevels[[#This Row],[Level1]],VLOOKUP(CustomerHierarchyLevels[[#This Row],[Level1]],CustomerHierarchyLevels[],7,FALSE))</f>
        <v>6724</v>
      </c>
      <c r="S387" s="30">
        <f>IF(VLOOKUP(CustomerHierarchyLevels[[#This Row],[Level2]],CustomerHierarchyLevels[],7,FALSE)=0,CustomerHierarchyLevels[[#This Row],[Level2]],VLOOKUP(CustomerHierarchyLevels[[#This Row],[Level2]],CustomerHierarchyLevels[],7,FALSE))</f>
        <v>6724</v>
      </c>
    </row>
    <row r="388" spans="1:19" x14ac:dyDescent="0.25">
      <c r="A388">
        <v>6265</v>
      </c>
      <c r="B388" t="s">
        <v>13</v>
      </c>
      <c r="C388" t="s">
        <v>59</v>
      </c>
      <c r="D388">
        <v>0</v>
      </c>
      <c r="E388">
        <v>39010</v>
      </c>
      <c r="F388">
        <v>2958465</v>
      </c>
      <c r="G388">
        <v>6725</v>
      </c>
      <c r="H388" t="s">
        <v>13</v>
      </c>
      <c r="I388" t="s">
        <v>59</v>
      </c>
      <c r="J388">
        <v>0</v>
      </c>
      <c r="K388">
        <v>0</v>
      </c>
      <c r="L388" t="s">
        <v>1200</v>
      </c>
      <c r="M388" t="s">
        <v>1200</v>
      </c>
      <c r="N388">
        <v>2</v>
      </c>
      <c r="O388" t="s">
        <v>96</v>
      </c>
      <c r="P388" t="s">
        <v>1535</v>
      </c>
      <c r="Q388" s="30">
        <f>IF(CustomerHierarchyLevels[[#This Row],[HgLvCust.]]=0,CustomerHierarchyLevels[[#This Row],[Customer]],CustomerHierarchyLevels[[#This Row],[HgLvCust.]])</f>
        <v>6725</v>
      </c>
      <c r="R388" s="30">
        <f>IF(VLOOKUP(CustomerHierarchyLevels[[#This Row],[Level1]],CustomerHierarchyLevels[],7,FALSE)=0,CustomerHierarchyLevels[[#This Row],[Level1]],VLOOKUP(CustomerHierarchyLevels[[#This Row],[Level1]],CustomerHierarchyLevels[],7,FALSE))</f>
        <v>6725</v>
      </c>
      <c r="S388" s="30">
        <f>IF(VLOOKUP(CustomerHierarchyLevels[[#This Row],[Level2]],CustomerHierarchyLevels[],7,FALSE)=0,CustomerHierarchyLevels[[#This Row],[Level2]],VLOOKUP(CustomerHierarchyLevels[[#This Row],[Level2]],CustomerHierarchyLevels[],7,FALSE))</f>
        <v>6725</v>
      </c>
    </row>
    <row r="389" spans="1:19" x14ac:dyDescent="0.25">
      <c r="A389">
        <v>6725</v>
      </c>
      <c r="B389" t="s">
        <v>13</v>
      </c>
      <c r="C389" t="s">
        <v>59</v>
      </c>
      <c r="D389">
        <v>0</v>
      </c>
      <c r="E389">
        <v>39010</v>
      </c>
      <c r="F389">
        <v>2958465</v>
      </c>
      <c r="K389">
        <v>0</v>
      </c>
      <c r="L389" t="s">
        <v>1200</v>
      </c>
      <c r="M389" t="s">
        <v>1200</v>
      </c>
      <c r="N389">
        <v>0</v>
      </c>
      <c r="O389" t="s">
        <v>96</v>
      </c>
      <c r="P389" t="s">
        <v>1536</v>
      </c>
      <c r="Q389" s="30">
        <f>IF(CustomerHierarchyLevels[[#This Row],[HgLvCust.]]=0,CustomerHierarchyLevels[[#This Row],[Customer]],CustomerHierarchyLevels[[#This Row],[HgLvCust.]])</f>
        <v>6725</v>
      </c>
      <c r="R389" s="30">
        <f>IF(VLOOKUP(CustomerHierarchyLevels[[#This Row],[Level1]],CustomerHierarchyLevels[],7,FALSE)=0,CustomerHierarchyLevels[[#This Row],[Level1]],VLOOKUP(CustomerHierarchyLevels[[#This Row],[Level1]],CustomerHierarchyLevels[],7,FALSE))</f>
        <v>6725</v>
      </c>
      <c r="S389" s="30">
        <f>IF(VLOOKUP(CustomerHierarchyLevels[[#This Row],[Level2]],CustomerHierarchyLevels[],7,FALSE)=0,CustomerHierarchyLevels[[#This Row],[Level2]],VLOOKUP(CustomerHierarchyLevels[[#This Row],[Level2]],CustomerHierarchyLevels[],7,FALSE))</f>
        <v>6725</v>
      </c>
    </row>
    <row r="390" spans="1:19" x14ac:dyDescent="0.25">
      <c r="A390">
        <v>6267</v>
      </c>
      <c r="B390" t="s">
        <v>13</v>
      </c>
      <c r="C390" t="s">
        <v>59</v>
      </c>
      <c r="D390">
        <v>0</v>
      </c>
      <c r="E390">
        <v>39010</v>
      </c>
      <c r="F390">
        <v>2958465</v>
      </c>
      <c r="G390">
        <v>6726</v>
      </c>
      <c r="H390" t="s">
        <v>13</v>
      </c>
      <c r="I390" t="s">
        <v>59</v>
      </c>
      <c r="J390">
        <v>0</v>
      </c>
      <c r="K390">
        <v>0</v>
      </c>
      <c r="L390" t="s">
        <v>1200</v>
      </c>
      <c r="M390" t="s">
        <v>1200</v>
      </c>
      <c r="N390">
        <v>2</v>
      </c>
      <c r="O390" t="s">
        <v>96</v>
      </c>
      <c r="P390" t="s">
        <v>1537</v>
      </c>
      <c r="Q390" s="30">
        <f>IF(CustomerHierarchyLevels[[#This Row],[HgLvCust.]]=0,CustomerHierarchyLevels[[#This Row],[Customer]],CustomerHierarchyLevels[[#This Row],[HgLvCust.]])</f>
        <v>6726</v>
      </c>
      <c r="R390" s="30">
        <f>IF(VLOOKUP(CustomerHierarchyLevels[[#This Row],[Level1]],CustomerHierarchyLevels[],7,FALSE)=0,CustomerHierarchyLevels[[#This Row],[Level1]],VLOOKUP(CustomerHierarchyLevels[[#This Row],[Level1]],CustomerHierarchyLevels[],7,FALSE))</f>
        <v>6726</v>
      </c>
      <c r="S390" s="30">
        <f>IF(VLOOKUP(CustomerHierarchyLevels[[#This Row],[Level2]],CustomerHierarchyLevels[],7,FALSE)=0,CustomerHierarchyLevels[[#This Row],[Level2]],VLOOKUP(CustomerHierarchyLevels[[#This Row],[Level2]],CustomerHierarchyLevels[],7,FALSE))</f>
        <v>6726</v>
      </c>
    </row>
    <row r="391" spans="1:19" x14ac:dyDescent="0.25">
      <c r="A391">
        <v>6726</v>
      </c>
      <c r="B391" t="s">
        <v>13</v>
      </c>
      <c r="C391" t="s">
        <v>59</v>
      </c>
      <c r="D391">
        <v>0</v>
      </c>
      <c r="E391">
        <v>39010</v>
      </c>
      <c r="F391">
        <v>2958465</v>
      </c>
      <c r="K391">
        <v>0</v>
      </c>
      <c r="L391" t="s">
        <v>1200</v>
      </c>
      <c r="M391" t="s">
        <v>1200</v>
      </c>
      <c r="N391">
        <v>1</v>
      </c>
      <c r="O391" t="s">
        <v>96</v>
      </c>
      <c r="P391" t="s">
        <v>1538</v>
      </c>
      <c r="Q391" s="30">
        <f>IF(CustomerHierarchyLevels[[#This Row],[HgLvCust.]]=0,CustomerHierarchyLevels[[#This Row],[Customer]],CustomerHierarchyLevels[[#This Row],[HgLvCust.]])</f>
        <v>6726</v>
      </c>
      <c r="R391" s="30">
        <f>IF(VLOOKUP(CustomerHierarchyLevels[[#This Row],[Level1]],CustomerHierarchyLevels[],7,FALSE)=0,CustomerHierarchyLevels[[#This Row],[Level1]],VLOOKUP(CustomerHierarchyLevels[[#This Row],[Level1]],CustomerHierarchyLevels[],7,FALSE))</f>
        <v>6726</v>
      </c>
      <c r="S391" s="30">
        <f>IF(VLOOKUP(CustomerHierarchyLevels[[#This Row],[Level2]],CustomerHierarchyLevels[],7,FALSE)=0,CustomerHierarchyLevels[[#This Row],[Level2]],VLOOKUP(CustomerHierarchyLevels[[#This Row],[Level2]],CustomerHierarchyLevels[],7,FALSE))</f>
        <v>6726</v>
      </c>
    </row>
    <row r="392" spans="1:19" x14ac:dyDescent="0.25">
      <c r="A392">
        <v>6269</v>
      </c>
      <c r="B392" t="s">
        <v>13</v>
      </c>
      <c r="C392" t="s">
        <v>59</v>
      </c>
      <c r="D392">
        <v>0</v>
      </c>
      <c r="E392">
        <v>39010</v>
      </c>
      <c r="F392">
        <v>2958465</v>
      </c>
      <c r="G392">
        <v>6727</v>
      </c>
      <c r="H392" t="s">
        <v>13</v>
      </c>
      <c r="I392" t="s">
        <v>59</v>
      </c>
      <c r="J392">
        <v>0</v>
      </c>
      <c r="K392">
        <v>0</v>
      </c>
      <c r="L392" t="s">
        <v>1200</v>
      </c>
      <c r="M392" t="s">
        <v>1200</v>
      </c>
      <c r="N392">
        <v>2</v>
      </c>
      <c r="O392" t="s">
        <v>96</v>
      </c>
      <c r="P392" t="s">
        <v>1539</v>
      </c>
      <c r="Q392" s="30">
        <f>IF(CustomerHierarchyLevels[[#This Row],[HgLvCust.]]=0,CustomerHierarchyLevels[[#This Row],[Customer]],CustomerHierarchyLevels[[#This Row],[HgLvCust.]])</f>
        <v>6727</v>
      </c>
      <c r="R392" s="30">
        <f>IF(VLOOKUP(CustomerHierarchyLevels[[#This Row],[Level1]],CustomerHierarchyLevels[],7,FALSE)=0,CustomerHierarchyLevels[[#This Row],[Level1]],VLOOKUP(CustomerHierarchyLevels[[#This Row],[Level1]],CustomerHierarchyLevels[],7,FALSE))</f>
        <v>6727</v>
      </c>
      <c r="S392" s="30">
        <f>IF(VLOOKUP(CustomerHierarchyLevels[[#This Row],[Level2]],CustomerHierarchyLevels[],7,FALSE)=0,CustomerHierarchyLevels[[#This Row],[Level2]],VLOOKUP(CustomerHierarchyLevels[[#This Row],[Level2]],CustomerHierarchyLevels[],7,FALSE))</f>
        <v>6727</v>
      </c>
    </row>
    <row r="393" spans="1:19" x14ac:dyDescent="0.25">
      <c r="A393">
        <v>6727</v>
      </c>
      <c r="B393" t="s">
        <v>13</v>
      </c>
      <c r="C393" t="s">
        <v>59</v>
      </c>
      <c r="D393">
        <v>0</v>
      </c>
      <c r="E393">
        <v>39010</v>
      </c>
      <c r="F393">
        <v>2958465</v>
      </c>
      <c r="K393">
        <v>0</v>
      </c>
      <c r="L393" t="s">
        <v>1200</v>
      </c>
      <c r="M393" t="s">
        <v>1200</v>
      </c>
      <c r="N393">
        <v>1</v>
      </c>
      <c r="O393" t="s">
        <v>96</v>
      </c>
      <c r="P393" t="s">
        <v>1540</v>
      </c>
      <c r="Q393" s="30">
        <f>IF(CustomerHierarchyLevels[[#This Row],[HgLvCust.]]=0,CustomerHierarchyLevels[[#This Row],[Customer]],CustomerHierarchyLevels[[#This Row],[HgLvCust.]])</f>
        <v>6727</v>
      </c>
      <c r="R393" s="30">
        <f>IF(VLOOKUP(CustomerHierarchyLevels[[#This Row],[Level1]],CustomerHierarchyLevels[],7,FALSE)=0,CustomerHierarchyLevels[[#This Row],[Level1]],VLOOKUP(CustomerHierarchyLevels[[#This Row],[Level1]],CustomerHierarchyLevels[],7,FALSE))</f>
        <v>6727</v>
      </c>
      <c r="S393" s="30">
        <f>IF(VLOOKUP(CustomerHierarchyLevels[[#This Row],[Level2]],CustomerHierarchyLevels[],7,FALSE)=0,CustomerHierarchyLevels[[#This Row],[Level2]],VLOOKUP(CustomerHierarchyLevels[[#This Row],[Level2]],CustomerHierarchyLevels[],7,FALSE))</f>
        <v>6727</v>
      </c>
    </row>
    <row r="394" spans="1:19" x14ac:dyDescent="0.25">
      <c r="A394">
        <v>6271</v>
      </c>
      <c r="B394" t="s">
        <v>13</v>
      </c>
      <c r="C394" t="s">
        <v>59</v>
      </c>
      <c r="D394">
        <v>0</v>
      </c>
      <c r="E394">
        <v>39010</v>
      </c>
      <c r="F394">
        <v>2958465</v>
      </c>
      <c r="G394">
        <v>6728</v>
      </c>
      <c r="H394" t="s">
        <v>13</v>
      </c>
      <c r="I394" t="s">
        <v>59</v>
      </c>
      <c r="J394">
        <v>0</v>
      </c>
      <c r="K394">
        <v>0</v>
      </c>
      <c r="L394" t="s">
        <v>1200</v>
      </c>
      <c r="M394" t="s">
        <v>1200</v>
      </c>
      <c r="N394">
        <v>2</v>
      </c>
      <c r="O394" t="s">
        <v>96</v>
      </c>
      <c r="P394" t="s">
        <v>1541</v>
      </c>
      <c r="Q394" s="30">
        <f>IF(CustomerHierarchyLevels[[#This Row],[HgLvCust.]]=0,CustomerHierarchyLevels[[#This Row],[Customer]],CustomerHierarchyLevels[[#This Row],[HgLvCust.]])</f>
        <v>6728</v>
      </c>
      <c r="R394" s="30">
        <f>IF(VLOOKUP(CustomerHierarchyLevels[[#This Row],[Level1]],CustomerHierarchyLevels[],7,FALSE)=0,CustomerHierarchyLevels[[#This Row],[Level1]],VLOOKUP(CustomerHierarchyLevels[[#This Row],[Level1]],CustomerHierarchyLevels[],7,FALSE))</f>
        <v>6728</v>
      </c>
      <c r="S394" s="30">
        <f>IF(VLOOKUP(CustomerHierarchyLevels[[#This Row],[Level2]],CustomerHierarchyLevels[],7,FALSE)=0,CustomerHierarchyLevels[[#This Row],[Level2]],VLOOKUP(CustomerHierarchyLevels[[#This Row],[Level2]],CustomerHierarchyLevels[],7,FALSE))</f>
        <v>6728</v>
      </c>
    </row>
    <row r="395" spans="1:19" x14ac:dyDescent="0.25">
      <c r="A395">
        <v>6728</v>
      </c>
      <c r="B395" t="s">
        <v>13</v>
      </c>
      <c r="C395" t="s">
        <v>59</v>
      </c>
      <c r="D395">
        <v>0</v>
      </c>
      <c r="E395">
        <v>39010</v>
      </c>
      <c r="F395">
        <v>2958465</v>
      </c>
      <c r="K395">
        <v>0</v>
      </c>
      <c r="L395" t="s">
        <v>1200</v>
      </c>
      <c r="M395" t="s">
        <v>1200</v>
      </c>
      <c r="N395">
        <v>0</v>
      </c>
      <c r="O395" t="s">
        <v>96</v>
      </c>
      <c r="P395" t="s">
        <v>1542</v>
      </c>
      <c r="Q395" s="30">
        <f>IF(CustomerHierarchyLevels[[#This Row],[HgLvCust.]]=0,CustomerHierarchyLevels[[#This Row],[Customer]],CustomerHierarchyLevels[[#This Row],[HgLvCust.]])</f>
        <v>6728</v>
      </c>
      <c r="R395" s="30">
        <f>IF(VLOOKUP(CustomerHierarchyLevels[[#This Row],[Level1]],CustomerHierarchyLevels[],7,FALSE)=0,CustomerHierarchyLevels[[#This Row],[Level1]],VLOOKUP(CustomerHierarchyLevels[[#This Row],[Level1]],CustomerHierarchyLevels[],7,FALSE))</f>
        <v>6728</v>
      </c>
      <c r="S395" s="30">
        <f>IF(VLOOKUP(CustomerHierarchyLevels[[#This Row],[Level2]],CustomerHierarchyLevels[],7,FALSE)=0,CustomerHierarchyLevels[[#This Row],[Level2]],VLOOKUP(CustomerHierarchyLevels[[#This Row],[Level2]],CustomerHierarchyLevels[],7,FALSE))</f>
        <v>6728</v>
      </c>
    </row>
    <row r="396" spans="1:19" x14ac:dyDescent="0.25">
      <c r="A396">
        <v>6273</v>
      </c>
      <c r="B396" t="s">
        <v>13</v>
      </c>
      <c r="C396" t="s">
        <v>59</v>
      </c>
      <c r="D396">
        <v>0</v>
      </c>
      <c r="E396">
        <v>39010</v>
      </c>
      <c r="F396">
        <v>2958465</v>
      </c>
      <c r="G396">
        <v>6729</v>
      </c>
      <c r="H396" t="s">
        <v>13</v>
      </c>
      <c r="I396" t="s">
        <v>59</v>
      </c>
      <c r="J396">
        <v>0</v>
      </c>
      <c r="K396">
        <v>0</v>
      </c>
      <c r="L396" t="s">
        <v>1200</v>
      </c>
      <c r="M396" t="s">
        <v>1200</v>
      </c>
      <c r="N396">
        <v>2</v>
      </c>
      <c r="O396" t="s">
        <v>96</v>
      </c>
      <c r="P396" t="s">
        <v>1543</v>
      </c>
      <c r="Q396" s="30">
        <f>IF(CustomerHierarchyLevels[[#This Row],[HgLvCust.]]=0,CustomerHierarchyLevels[[#This Row],[Customer]],CustomerHierarchyLevels[[#This Row],[HgLvCust.]])</f>
        <v>6729</v>
      </c>
      <c r="R396" s="30">
        <f>IF(VLOOKUP(CustomerHierarchyLevels[[#This Row],[Level1]],CustomerHierarchyLevels[],7,FALSE)=0,CustomerHierarchyLevels[[#This Row],[Level1]],VLOOKUP(CustomerHierarchyLevels[[#This Row],[Level1]],CustomerHierarchyLevels[],7,FALSE))</f>
        <v>6729</v>
      </c>
      <c r="S396" s="30">
        <f>IF(VLOOKUP(CustomerHierarchyLevels[[#This Row],[Level2]],CustomerHierarchyLevels[],7,FALSE)=0,CustomerHierarchyLevels[[#This Row],[Level2]],VLOOKUP(CustomerHierarchyLevels[[#This Row],[Level2]],CustomerHierarchyLevels[],7,FALSE))</f>
        <v>6729</v>
      </c>
    </row>
    <row r="397" spans="1:19" x14ac:dyDescent="0.25">
      <c r="A397">
        <v>6729</v>
      </c>
      <c r="B397" t="s">
        <v>13</v>
      </c>
      <c r="C397" t="s">
        <v>59</v>
      </c>
      <c r="D397">
        <v>0</v>
      </c>
      <c r="E397">
        <v>39010</v>
      </c>
      <c r="F397">
        <v>2958465</v>
      </c>
      <c r="K397">
        <v>0</v>
      </c>
      <c r="L397" t="s">
        <v>1200</v>
      </c>
      <c r="M397" t="s">
        <v>1200</v>
      </c>
      <c r="N397">
        <v>0</v>
      </c>
      <c r="O397" t="s">
        <v>96</v>
      </c>
      <c r="P397" t="s">
        <v>1544</v>
      </c>
      <c r="Q397" s="30">
        <f>IF(CustomerHierarchyLevels[[#This Row],[HgLvCust.]]=0,CustomerHierarchyLevels[[#This Row],[Customer]],CustomerHierarchyLevels[[#This Row],[HgLvCust.]])</f>
        <v>6729</v>
      </c>
      <c r="R397" s="30">
        <f>IF(VLOOKUP(CustomerHierarchyLevels[[#This Row],[Level1]],CustomerHierarchyLevels[],7,FALSE)=0,CustomerHierarchyLevels[[#This Row],[Level1]],VLOOKUP(CustomerHierarchyLevels[[#This Row],[Level1]],CustomerHierarchyLevels[],7,FALSE))</f>
        <v>6729</v>
      </c>
      <c r="S397" s="30">
        <f>IF(VLOOKUP(CustomerHierarchyLevels[[#This Row],[Level2]],CustomerHierarchyLevels[],7,FALSE)=0,CustomerHierarchyLevels[[#This Row],[Level2]],VLOOKUP(CustomerHierarchyLevels[[#This Row],[Level2]],CustomerHierarchyLevels[],7,FALSE))</f>
        <v>6729</v>
      </c>
    </row>
    <row r="398" spans="1:19" x14ac:dyDescent="0.25">
      <c r="A398">
        <v>6275</v>
      </c>
      <c r="B398" t="s">
        <v>13</v>
      </c>
      <c r="C398" t="s">
        <v>59</v>
      </c>
      <c r="D398">
        <v>0</v>
      </c>
      <c r="E398">
        <v>39010</v>
      </c>
      <c r="F398">
        <v>2958465</v>
      </c>
      <c r="G398">
        <v>6730</v>
      </c>
      <c r="H398" t="s">
        <v>13</v>
      </c>
      <c r="I398" t="s">
        <v>59</v>
      </c>
      <c r="J398">
        <v>0</v>
      </c>
      <c r="K398">
        <v>0</v>
      </c>
      <c r="L398" t="s">
        <v>1200</v>
      </c>
      <c r="M398" t="s">
        <v>1200</v>
      </c>
      <c r="N398">
        <v>2</v>
      </c>
      <c r="O398" t="s">
        <v>96</v>
      </c>
      <c r="P398" t="s">
        <v>1545</v>
      </c>
      <c r="Q398" s="30">
        <f>IF(CustomerHierarchyLevels[[#This Row],[HgLvCust.]]=0,CustomerHierarchyLevels[[#This Row],[Customer]],CustomerHierarchyLevels[[#This Row],[HgLvCust.]])</f>
        <v>6730</v>
      </c>
      <c r="R398" s="30">
        <f>IF(VLOOKUP(CustomerHierarchyLevels[[#This Row],[Level1]],CustomerHierarchyLevels[],7,FALSE)=0,CustomerHierarchyLevels[[#This Row],[Level1]],VLOOKUP(CustomerHierarchyLevels[[#This Row],[Level1]],CustomerHierarchyLevels[],7,FALSE))</f>
        <v>6730</v>
      </c>
      <c r="S398" s="30">
        <f>IF(VLOOKUP(CustomerHierarchyLevels[[#This Row],[Level2]],CustomerHierarchyLevels[],7,FALSE)=0,CustomerHierarchyLevels[[#This Row],[Level2]],VLOOKUP(CustomerHierarchyLevels[[#This Row],[Level2]],CustomerHierarchyLevels[],7,FALSE))</f>
        <v>6730</v>
      </c>
    </row>
    <row r="399" spans="1:19" x14ac:dyDescent="0.25">
      <c r="A399">
        <v>6730</v>
      </c>
      <c r="B399" t="s">
        <v>13</v>
      </c>
      <c r="C399" t="s">
        <v>59</v>
      </c>
      <c r="D399">
        <v>0</v>
      </c>
      <c r="E399">
        <v>39010</v>
      </c>
      <c r="F399">
        <v>2958465</v>
      </c>
      <c r="K399">
        <v>0</v>
      </c>
      <c r="L399" t="s">
        <v>1200</v>
      </c>
      <c r="M399" t="s">
        <v>1200</v>
      </c>
      <c r="N399">
        <v>0</v>
      </c>
      <c r="O399" t="s">
        <v>96</v>
      </c>
      <c r="P399" t="s">
        <v>1546</v>
      </c>
      <c r="Q399" s="30">
        <f>IF(CustomerHierarchyLevels[[#This Row],[HgLvCust.]]=0,CustomerHierarchyLevels[[#This Row],[Customer]],CustomerHierarchyLevels[[#This Row],[HgLvCust.]])</f>
        <v>6730</v>
      </c>
      <c r="R399" s="30">
        <f>IF(VLOOKUP(CustomerHierarchyLevels[[#This Row],[Level1]],CustomerHierarchyLevels[],7,FALSE)=0,CustomerHierarchyLevels[[#This Row],[Level1]],VLOOKUP(CustomerHierarchyLevels[[#This Row],[Level1]],CustomerHierarchyLevels[],7,FALSE))</f>
        <v>6730</v>
      </c>
      <c r="S399" s="30">
        <f>IF(VLOOKUP(CustomerHierarchyLevels[[#This Row],[Level2]],CustomerHierarchyLevels[],7,FALSE)=0,CustomerHierarchyLevels[[#This Row],[Level2]],VLOOKUP(CustomerHierarchyLevels[[#This Row],[Level2]],CustomerHierarchyLevels[],7,FALSE))</f>
        <v>6730</v>
      </c>
    </row>
    <row r="400" spans="1:19" x14ac:dyDescent="0.25">
      <c r="A400">
        <v>6277</v>
      </c>
      <c r="B400" t="s">
        <v>13</v>
      </c>
      <c r="C400" t="s">
        <v>59</v>
      </c>
      <c r="D400">
        <v>0</v>
      </c>
      <c r="E400">
        <v>39010</v>
      </c>
      <c r="F400">
        <v>2958465</v>
      </c>
      <c r="G400">
        <v>6731</v>
      </c>
      <c r="H400" t="s">
        <v>13</v>
      </c>
      <c r="I400" t="s">
        <v>59</v>
      </c>
      <c r="J400">
        <v>0</v>
      </c>
      <c r="K400">
        <v>0</v>
      </c>
      <c r="L400" t="s">
        <v>1200</v>
      </c>
      <c r="M400" t="s">
        <v>1200</v>
      </c>
      <c r="N400">
        <v>2</v>
      </c>
      <c r="O400" t="s">
        <v>96</v>
      </c>
      <c r="P400" t="s">
        <v>1547</v>
      </c>
      <c r="Q400" s="30">
        <f>IF(CustomerHierarchyLevels[[#This Row],[HgLvCust.]]=0,CustomerHierarchyLevels[[#This Row],[Customer]],CustomerHierarchyLevels[[#This Row],[HgLvCust.]])</f>
        <v>6731</v>
      </c>
      <c r="R400" s="30">
        <f>IF(VLOOKUP(CustomerHierarchyLevels[[#This Row],[Level1]],CustomerHierarchyLevels[],7,FALSE)=0,CustomerHierarchyLevels[[#This Row],[Level1]],VLOOKUP(CustomerHierarchyLevels[[#This Row],[Level1]],CustomerHierarchyLevels[],7,FALSE))</f>
        <v>6731</v>
      </c>
      <c r="S400" s="30">
        <f>IF(VLOOKUP(CustomerHierarchyLevels[[#This Row],[Level2]],CustomerHierarchyLevels[],7,FALSE)=0,CustomerHierarchyLevels[[#This Row],[Level2]],VLOOKUP(CustomerHierarchyLevels[[#This Row],[Level2]],CustomerHierarchyLevels[],7,FALSE))</f>
        <v>6731</v>
      </c>
    </row>
    <row r="401" spans="1:19" x14ac:dyDescent="0.25">
      <c r="A401">
        <v>6731</v>
      </c>
      <c r="B401" t="s">
        <v>13</v>
      </c>
      <c r="C401" t="s">
        <v>59</v>
      </c>
      <c r="D401">
        <v>0</v>
      </c>
      <c r="E401">
        <v>39010</v>
      </c>
      <c r="F401">
        <v>2958465</v>
      </c>
      <c r="K401">
        <v>0</v>
      </c>
      <c r="L401" t="s">
        <v>1200</v>
      </c>
      <c r="M401" t="s">
        <v>1200</v>
      </c>
      <c r="N401">
        <v>0</v>
      </c>
      <c r="O401" t="s">
        <v>96</v>
      </c>
      <c r="P401" t="s">
        <v>1548</v>
      </c>
      <c r="Q401" s="30">
        <f>IF(CustomerHierarchyLevels[[#This Row],[HgLvCust.]]=0,CustomerHierarchyLevels[[#This Row],[Customer]],CustomerHierarchyLevels[[#This Row],[HgLvCust.]])</f>
        <v>6731</v>
      </c>
      <c r="R401" s="30">
        <f>IF(VLOOKUP(CustomerHierarchyLevels[[#This Row],[Level1]],CustomerHierarchyLevels[],7,FALSE)=0,CustomerHierarchyLevels[[#This Row],[Level1]],VLOOKUP(CustomerHierarchyLevels[[#This Row],[Level1]],CustomerHierarchyLevels[],7,FALSE))</f>
        <v>6731</v>
      </c>
      <c r="S401" s="30">
        <f>IF(VLOOKUP(CustomerHierarchyLevels[[#This Row],[Level2]],CustomerHierarchyLevels[],7,FALSE)=0,CustomerHierarchyLevels[[#This Row],[Level2]],VLOOKUP(CustomerHierarchyLevels[[#This Row],[Level2]],CustomerHierarchyLevels[],7,FALSE))</f>
        <v>6731</v>
      </c>
    </row>
    <row r="402" spans="1:19" x14ac:dyDescent="0.25">
      <c r="A402">
        <v>6279</v>
      </c>
      <c r="B402" t="s">
        <v>13</v>
      </c>
      <c r="C402" t="s">
        <v>59</v>
      </c>
      <c r="D402">
        <v>0</v>
      </c>
      <c r="E402">
        <v>39010</v>
      </c>
      <c r="F402">
        <v>2958465</v>
      </c>
      <c r="G402">
        <v>6732</v>
      </c>
      <c r="H402" t="s">
        <v>13</v>
      </c>
      <c r="I402" t="s">
        <v>59</v>
      </c>
      <c r="J402">
        <v>0</v>
      </c>
      <c r="K402">
        <v>0</v>
      </c>
      <c r="L402" t="s">
        <v>1200</v>
      </c>
      <c r="M402" t="s">
        <v>1200</v>
      </c>
      <c r="N402">
        <v>2</v>
      </c>
      <c r="O402" t="s">
        <v>96</v>
      </c>
      <c r="P402" t="s">
        <v>1549</v>
      </c>
      <c r="Q402" s="30">
        <f>IF(CustomerHierarchyLevels[[#This Row],[HgLvCust.]]=0,CustomerHierarchyLevels[[#This Row],[Customer]],CustomerHierarchyLevels[[#This Row],[HgLvCust.]])</f>
        <v>6732</v>
      </c>
      <c r="R402" s="30">
        <f>IF(VLOOKUP(CustomerHierarchyLevels[[#This Row],[Level1]],CustomerHierarchyLevels[],7,FALSE)=0,CustomerHierarchyLevels[[#This Row],[Level1]],VLOOKUP(CustomerHierarchyLevels[[#This Row],[Level1]],CustomerHierarchyLevels[],7,FALSE))</f>
        <v>6732</v>
      </c>
      <c r="S402" s="30">
        <f>IF(VLOOKUP(CustomerHierarchyLevels[[#This Row],[Level2]],CustomerHierarchyLevels[],7,FALSE)=0,CustomerHierarchyLevels[[#This Row],[Level2]],VLOOKUP(CustomerHierarchyLevels[[#This Row],[Level2]],CustomerHierarchyLevels[],7,FALSE))</f>
        <v>6732</v>
      </c>
    </row>
    <row r="403" spans="1:19" x14ac:dyDescent="0.25">
      <c r="A403">
        <v>6732</v>
      </c>
      <c r="B403" t="s">
        <v>13</v>
      </c>
      <c r="C403" t="s">
        <v>59</v>
      </c>
      <c r="D403">
        <v>0</v>
      </c>
      <c r="E403">
        <v>39010</v>
      </c>
      <c r="F403">
        <v>2958465</v>
      </c>
      <c r="K403">
        <v>0</v>
      </c>
      <c r="L403" t="s">
        <v>1200</v>
      </c>
      <c r="M403" t="s">
        <v>1200</v>
      </c>
      <c r="N403">
        <v>0</v>
      </c>
      <c r="O403" t="s">
        <v>96</v>
      </c>
      <c r="P403" t="s">
        <v>1550</v>
      </c>
      <c r="Q403" s="30">
        <f>IF(CustomerHierarchyLevels[[#This Row],[HgLvCust.]]=0,CustomerHierarchyLevels[[#This Row],[Customer]],CustomerHierarchyLevels[[#This Row],[HgLvCust.]])</f>
        <v>6732</v>
      </c>
      <c r="R403" s="30">
        <f>IF(VLOOKUP(CustomerHierarchyLevels[[#This Row],[Level1]],CustomerHierarchyLevels[],7,FALSE)=0,CustomerHierarchyLevels[[#This Row],[Level1]],VLOOKUP(CustomerHierarchyLevels[[#This Row],[Level1]],CustomerHierarchyLevels[],7,FALSE))</f>
        <v>6732</v>
      </c>
      <c r="S403" s="30">
        <f>IF(VLOOKUP(CustomerHierarchyLevels[[#This Row],[Level2]],CustomerHierarchyLevels[],7,FALSE)=0,CustomerHierarchyLevels[[#This Row],[Level2]],VLOOKUP(CustomerHierarchyLevels[[#This Row],[Level2]],CustomerHierarchyLevels[],7,FALSE))</f>
        <v>6732</v>
      </c>
    </row>
    <row r="404" spans="1:19" x14ac:dyDescent="0.25">
      <c r="A404">
        <v>6254</v>
      </c>
      <c r="B404" t="s">
        <v>13</v>
      </c>
      <c r="C404" t="s">
        <v>59</v>
      </c>
      <c r="D404">
        <v>0</v>
      </c>
      <c r="E404">
        <v>39010</v>
      </c>
      <c r="F404">
        <v>2958465</v>
      </c>
      <c r="G404">
        <v>6255</v>
      </c>
      <c r="H404" t="s">
        <v>13</v>
      </c>
      <c r="I404" t="s">
        <v>59</v>
      </c>
      <c r="J404">
        <v>0</v>
      </c>
      <c r="K404">
        <v>0</v>
      </c>
      <c r="L404" t="s">
        <v>1200</v>
      </c>
      <c r="M404" t="s">
        <v>1200</v>
      </c>
      <c r="N404">
        <v>0</v>
      </c>
      <c r="O404" t="s">
        <v>96</v>
      </c>
      <c r="P404" t="s">
        <v>1551</v>
      </c>
      <c r="Q404" s="30">
        <f>IF(CustomerHierarchyLevels[[#This Row],[HgLvCust.]]=0,CustomerHierarchyLevels[[#This Row],[Customer]],CustomerHierarchyLevels[[#This Row],[HgLvCust.]])</f>
        <v>6255</v>
      </c>
      <c r="R404" s="30">
        <f>IF(VLOOKUP(CustomerHierarchyLevels[[#This Row],[Level1]],CustomerHierarchyLevels[],7,FALSE)=0,CustomerHierarchyLevels[[#This Row],[Level1]],VLOOKUP(CustomerHierarchyLevels[[#This Row],[Level1]],CustomerHierarchyLevels[],7,FALSE))</f>
        <v>6720</v>
      </c>
      <c r="S404" s="30">
        <f>IF(VLOOKUP(CustomerHierarchyLevels[[#This Row],[Level2]],CustomerHierarchyLevels[],7,FALSE)=0,CustomerHierarchyLevels[[#This Row],[Level2]],VLOOKUP(CustomerHierarchyLevels[[#This Row],[Level2]],CustomerHierarchyLevels[],7,FALSE))</f>
        <v>6720</v>
      </c>
    </row>
    <row r="405" spans="1:19" x14ac:dyDescent="0.25">
      <c r="A405">
        <v>6258</v>
      </c>
      <c r="B405" t="s">
        <v>13</v>
      </c>
      <c r="C405" t="s">
        <v>59</v>
      </c>
      <c r="D405">
        <v>0</v>
      </c>
      <c r="E405">
        <v>39010</v>
      </c>
      <c r="F405">
        <v>2958465</v>
      </c>
      <c r="G405">
        <v>6259</v>
      </c>
      <c r="H405" t="s">
        <v>13</v>
      </c>
      <c r="I405" t="s">
        <v>59</v>
      </c>
      <c r="J405">
        <v>0</v>
      </c>
      <c r="K405">
        <v>0</v>
      </c>
      <c r="L405" t="s">
        <v>1200</v>
      </c>
      <c r="M405" t="s">
        <v>1200</v>
      </c>
      <c r="N405">
        <v>0</v>
      </c>
      <c r="O405" t="s">
        <v>96</v>
      </c>
      <c r="P405" t="s">
        <v>1552</v>
      </c>
      <c r="Q405" s="30">
        <f>IF(CustomerHierarchyLevels[[#This Row],[HgLvCust.]]=0,CustomerHierarchyLevels[[#This Row],[Customer]],CustomerHierarchyLevels[[#This Row],[HgLvCust.]])</f>
        <v>6259</v>
      </c>
      <c r="R405" s="30">
        <f>IF(VLOOKUP(CustomerHierarchyLevels[[#This Row],[Level1]],CustomerHierarchyLevels[],7,FALSE)=0,CustomerHierarchyLevels[[#This Row],[Level1]],VLOOKUP(CustomerHierarchyLevels[[#This Row],[Level1]],CustomerHierarchyLevels[],7,FALSE))</f>
        <v>6722</v>
      </c>
      <c r="S405" s="30">
        <f>IF(VLOOKUP(CustomerHierarchyLevels[[#This Row],[Level2]],CustomerHierarchyLevels[],7,FALSE)=0,CustomerHierarchyLevels[[#This Row],[Level2]],VLOOKUP(CustomerHierarchyLevels[[#This Row],[Level2]],CustomerHierarchyLevels[],7,FALSE))</f>
        <v>6722</v>
      </c>
    </row>
    <row r="406" spans="1:19" x14ac:dyDescent="0.25">
      <c r="A406">
        <v>6260</v>
      </c>
      <c r="B406" t="s">
        <v>13</v>
      </c>
      <c r="C406" t="s">
        <v>59</v>
      </c>
      <c r="D406">
        <v>0</v>
      </c>
      <c r="E406">
        <v>39010</v>
      </c>
      <c r="F406">
        <v>2958465</v>
      </c>
      <c r="G406">
        <v>6261</v>
      </c>
      <c r="H406" t="s">
        <v>13</v>
      </c>
      <c r="I406" t="s">
        <v>59</v>
      </c>
      <c r="J406">
        <v>0</v>
      </c>
      <c r="K406">
        <v>0</v>
      </c>
      <c r="L406" t="s">
        <v>1200</v>
      </c>
      <c r="M406" t="s">
        <v>1200</v>
      </c>
      <c r="N406">
        <v>0</v>
      </c>
      <c r="O406" t="s">
        <v>96</v>
      </c>
      <c r="P406" t="s">
        <v>1553</v>
      </c>
      <c r="Q406" s="30">
        <f>IF(CustomerHierarchyLevels[[#This Row],[HgLvCust.]]=0,CustomerHierarchyLevels[[#This Row],[Customer]],CustomerHierarchyLevels[[#This Row],[HgLvCust.]])</f>
        <v>6261</v>
      </c>
      <c r="R406" s="30">
        <f>IF(VLOOKUP(CustomerHierarchyLevels[[#This Row],[Level1]],CustomerHierarchyLevels[],7,FALSE)=0,CustomerHierarchyLevels[[#This Row],[Level1]],VLOOKUP(CustomerHierarchyLevels[[#This Row],[Level1]],CustomerHierarchyLevels[],7,FALSE))</f>
        <v>6723</v>
      </c>
      <c r="S406" s="30">
        <f>IF(VLOOKUP(CustomerHierarchyLevels[[#This Row],[Level2]],CustomerHierarchyLevels[],7,FALSE)=0,CustomerHierarchyLevels[[#This Row],[Level2]],VLOOKUP(CustomerHierarchyLevels[[#This Row],[Level2]],CustomerHierarchyLevels[],7,FALSE))</f>
        <v>6723</v>
      </c>
    </row>
    <row r="407" spans="1:19" x14ac:dyDescent="0.25">
      <c r="A407">
        <v>6262</v>
      </c>
      <c r="B407" t="s">
        <v>13</v>
      </c>
      <c r="C407" t="s">
        <v>59</v>
      </c>
      <c r="D407">
        <v>0</v>
      </c>
      <c r="E407">
        <v>39010</v>
      </c>
      <c r="F407">
        <v>2958465</v>
      </c>
      <c r="G407">
        <v>6263</v>
      </c>
      <c r="H407" t="s">
        <v>13</v>
      </c>
      <c r="I407" t="s">
        <v>59</v>
      </c>
      <c r="J407">
        <v>0</v>
      </c>
      <c r="K407">
        <v>0</v>
      </c>
      <c r="L407" t="s">
        <v>1200</v>
      </c>
      <c r="M407" t="s">
        <v>1200</v>
      </c>
      <c r="N407">
        <v>0</v>
      </c>
      <c r="O407" t="s">
        <v>96</v>
      </c>
      <c r="P407" t="s">
        <v>1554</v>
      </c>
      <c r="Q407" s="30">
        <f>IF(CustomerHierarchyLevels[[#This Row],[HgLvCust.]]=0,CustomerHierarchyLevels[[#This Row],[Customer]],CustomerHierarchyLevels[[#This Row],[HgLvCust.]])</f>
        <v>6263</v>
      </c>
      <c r="R407" s="30">
        <f>IF(VLOOKUP(CustomerHierarchyLevels[[#This Row],[Level1]],CustomerHierarchyLevels[],7,FALSE)=0,CustomerHierarchyLevels[[#This Row],[Level1]],VLOOKUP(CustomerHierarchyLevels[[#This Row],[Level1]],CustomerHierarchyLevels[],7,FALSE))</f>
        <v>6724</v>
      </c>
      <c r="S407" s="30">
        <f>IF(VLOOKUP(CustomerHierarchyLevels[[#This Row],[Level2]],CustomerHierarchyLevels[],7,FALSE)=0,CustomerHierarchyLevels[[#This Row],[Level2]],VLOOKUP(CustomerHierarchyLevels[[#This Row],[Level2]],CustomerHierarchyLevels[],7,FALSE))</f>
        <v>6724</v>
      </c>
    </row>
    <row r="408" spans="1:19" x14ac:dyDescent="0.25">
      <c r="A408">
        <v>6264</v>
      </c>
      <c r="B408" t="s">
        <v>13</v>
      </c>
      <c r="C408" t="s">
        <v>59</v>
      </c>
      <c r="D408">
        <v>0</v>
      </c>
      <c r="E408">
        <v>39010</v>
      </c>
      <c r="F408">
        <v>2958465</v>
      </c>
      <c r="G408">
        <v>6265</v>
      </c>
      <c r="H408" t="s">
        <v>13</v>
      </c>
      <c r="I408" t="s">
        <v>59</v>
      </c>
      <c r="J408">
        <v>0</v>
      </c>
      <c r="K408">
        <v>0</v>
      </c>
      <c r="L408" t="s">
        <v>1200</v>
      </c>
      <c r="M408" t="s">
        <v>1200</v>
      </c>
      <c r="N408">
        <v>0</v>
      </c>
      <c r="O408" t="s">
        <v>96</v>
      </c>
      <c r="P408" t="s">
        <v>1555</v>
      </c>
      <c r="Q408" s="30">
        <f>IF(CustomerHierarchyLevels[[#This Row],[HgLvCust.]]=0,CustomerHierarchyLevels[[#This Row],[Customer]],CustomerHierarchyLevels[[#This Row],[HgLvCust.]])</f>
        <v>6265</v>
      </c>
      <c r="R408" s="30">
        <f>IF(VLOOKUP(CustomerHierarchyLevels[[#This Row],[Level1]],CustomerHierarchyLevels[],7,FALSE)=0,CustomerHierarchyLevels[[#This Row],[Level1]],VLOOKUP(CustomerHierarchyLevels[[#This Row],[Level1]],CustomerHierarchyLevels[],7,FALSE))</f>
        <v>6725</v>
      </c>
      <c r="S408" s="30">
        <f>IF(VLOOKUP(CustomerHierarchyLevels[[#This Row],[Level2]],CustomerHierarchyLevels[],7,FALSE)=0,CustomerHierarchyLevels[[#This Row],[Level2]],VLOOKUP(CustomerHierarchyLevels[[#This Row],[Level2]],CustomerHierarchyLevels[],7,FALSE))</f>
        <v>6725</v>
      </c>
    </row>
    <row r="409" spans="1:19" x14ac:dyDescent="0.25">
      <c r="A409">
        <v>6266</v>
      </c>
      <c r="B409" t="s">
        <v>13</v>
      </c>
      <c r="C409" t="s">
        <v>59</v>
      </c>
      <c r="D409">
        <v>0</v>
      </c>
      <c r="E409">
        <v>39010</v>
      </c>
      <c r="F409">
        <v>2958465</v>
      </c>
      <c r="G409">
        <v>6267</v>
      </c>
      <c r="H409" t="s">
        <v>13</v>
      </c>
      <c r="I409" t="s">
        <v>59</v>
      </c>
      <c r="J409">
        <v>0</v>
      </c>
      <c r="K409">
        <v>0</v>
      </c>
      <c r="L409" t="s">
        <v>1200</v>
      </c>
      <c r="M409" t="s">
        <v>1200</v>
      </c>
      <c r="N409">
        <v>3</v>
      </c>
      <c r="O409" t="s">
        <v>96</v>
      </c>
      <c r="P409" t="s">
        <v>1556</v>
      </c>
      <c r="Q409" s="30">
        <f>IF(CustomerHierarchyLevels[[#This Row],[HgLvCust.]]=0,CustomerHierarchyLevels[[#This Row],[Customer]],CustomerHierarchyLevels[[#This Row],[HgLvCust.]])</f>
        <v>6267</v>
      </c>
      <c r="R409" s="30">
        <f>IF(VLOOKUP(CustomerHierarchyLevels[[#This Row],[Level1]],CustomerHierarchyLevels[],7,FALSE)=0,CustomerHierarchyLevels[[#This Row],[Level1]],VLOOKUP(CustomerHierarchyLevels[[#This Row],[Level1]],CustomerHierarchyLevels[],7,FALSE))</f>
        <v>6726</v>
      </c>
      <c r="S409" s="30">
        <f>IF(VLOOKUP(CustomerHierarchyLevels[[#This Row],[Level2]],CustomerHierarchyLevels[],7,FALSE)=0,CustomerHierarchyLevels[[#This Row],[Level2]],VLOOKUP(CustomerHierarchyLevels[[#This Row],[Level2]],CustomerHierarchyLevels[],7,FALSE))</f>
        <v>6726</v>
      </c>
    </row>
    <row r="410" spans="1:19" x14ac:dyDescent="0.25">
      <c r="A410">
        <v>6268</v>
      </c>
      <c r="B410" t="s">
        <v>13</v>
      </c>
      <c r="C410" t="s">
        <v>59</v>
      </c>
      <c r="D410">
        <v>0</v>
      </c>
      <c r="E410">
        <v>39010</v>
      </c>
      <c r="F410">
        <v>2958465</v>
      </c>
      <c r="G410">
        <v>6269</v>
      </c>
      <c r="H410" t="s">
        <v>13</v>
      </c>
      <c r="I410" t="s">
        <v>59</v>
      </c>
      <c r="J410">
        <v>0</v>
      </c>
      <c r="K410">
        <v>0</v>
      </c>
      <c r="L410" t="s">
        <v>1200</v>
      </c>
      <c r="M410" t="s">
        <v>1200</v>
      </c>
      <c r="N410">
        <v>3</v>
      </c>
      <c r="O410" t="s">
        <v>96</v>
      </c>
      <c r="P410" t="s">
        <v>1557</v>
      </c>
      <c r="Q410" s="30">
        <f>IF(CustomerHierarchyLevels[[#This Row],[HgLvCust.]]=0,CustomerHierarchyLevels[[#This Row],[Customer]],CustomerHierarchyLevels[[#This Row],[HgLvCust.]])</f>
        <v>6269</v>
      </c>
      <c r="R410" s="30">
        <f>IF(VLOOKUP(CustomerHierarchyLevels[[#This Row],[Level1]],CustomerHierarchyLevels[],7,FALSE)=0,CustomerHierarchyLevels[[#This Row],[Level1]],VLOOKUP(CustomerHierarchyLevels[[#This Row],[Level1]],CustomerHierarchyLevels[],7,FALSE))</f>
        <v>6727</v>
      </c>
      <c r="S410" s="30">
        <f>IF(VLOOKUP(CustomerHierarchyLevels[[#This Row],[Level2]],CustomerHierarchyLevels[],7,FALSE)=0,CustomerHierarchyLevels[[#This Row],[Level2]],VLOOKUP(CustomerHierarchyLevels[[#This Row],[Level2]],CustomerHierarchyLevels[],7,FALSE))</f>
        <v>6727</v>
      </c>
    </row>
    <row r="411" spans="1:19" x14ac:dyDescent="0.25">
      <c r="A411">
        <v>6270</v>
      </c>
      <c r="B411" t="s">
        <v>13</v>
      </c>
      <c r="C411" t="s">
        <v>59</v>
      </c>
      <c r="D411">
        <v>0</v>
      </c>
      <c r="E411">
        <v>39010</v>
      </c>
      <c r="F411">
        <v>2958465</v>
      </c>
      <c r="G411">
        <v>6271</v>
      </c>
      <c r="H411" t="s">
        <v>13</v>
      </c>
      <c r="I411" t="s">
        <v>59</v>
      </c>
      <c r="J411">
        <v>0</v>
      </c>
      <c r="K411">
        <v>0</v>
      </c>
      <c r="L411" t="s">
        <v>1200</v>
      </c>
      <c r="M411" t="s">
        <v>1200</v>
      </c>
      <c r="N411">
        <v>0</v>
      </c>
      <c r="O411" t="s">
        <v>96</v>
      </c>
      <c r="P411" t="s">
        <v>1558</v>
      </c>
      <c r="Q411" s="30">
        <f>IF(CustomerHierarchyLevels[[#This Row],[HgLvCust.]]=0,CustomerHierarchyLevels[[#This Row],[Customer]],CustomerHierarchyLevels[[#This Row],[HgLvCust.]])</f>
        <v>6271</v>
      </c>
      <c r="R411" s="30">
        <f>IF(VLOOKUP(CustomerHierarchyLevels[[#This Row],[Level1]],CustomerHierarchyLevels[],7,FALSE)=0,CustomerHierarchyLevels[[#This Row],[Level1]],VLOOKUP(CustomerHierarchyLevels[[#This Row],[Level1]],CustomerHierarchyLevels[],7,FALSE))</f>
        <v>6728</v>
      </c>
      <c r="S411" s="30">
        <f>IF(VLOOKUP(CustomerHierarchyLevels[[#This Row],[Level2]],CustomerHierarchyLevels[],7,FALSE)=0,CustomerHierarchyLevels[[#This Row],[Level2]],VLOOKUP(CustomerHierarchyLevels[[#This Row],[Level2]],CustomerHierarchyLevels[],7,FALSE))</f>
        <v>6728</v>
      </c>
    </row>
    <row r="412" spans="1:19" x14ac:dyDescent="0.25">
      <c r="A412">
        <v>6272</v>
      </c>
      <c r="B412" t="s">
        <v>13</v>
      </c>
      <c r="C412" t="s">
        <v>59</v>
      </c>
      <c r="D412">
        <v>0</v>
      </c>
      <c r="E412">
        <v>39010</v>
      </c>
      <c r="F412">
        <v>2958465</v>
      </c>
      <c r="G412">
        <v>6273</v>
      </c>
      <c r="H412" t="s">
        <v>13</v>
      </c>
      <c r="I412" t="s">
        <v>59</v>
      </c>
      <c r="J412">
        <v>0</v>
      </c>
      <c r="K412">
        <v>0</v>
      </c>
      <c r="L412" t="s">
        <v>1200</v>
      </c>
      <c r="M412" t="s">
        <v>1200</v>
      </c>
      <c r="N412">
        <v>0</v>
      </c>
      <c r="O412" t="s">
        <v>96</v>
      </c>
      <c r="P412" t="s">
        <v>1559</v>
      </c>
      <c r="Q412" s="30">
        <f>IF(CustomerHierarchyLevels[[#This Row],[HgLvCust.]]=0,CustomerHierarchyLevels[[#This Row],[Customer]],CustomerHierarchyLevels[[#This Row],[HgLvCust.]])</f>
        <v>6273</v>
      </c>
      <c r="R412" s="30">
        <f>IF(VLOOKUP(CustomerHierarchyLevels[[#This Row],[Level1]],CustomerHierarchyLevels[],7,FALSE)=0,CustomerHierarchyLevels[[#This Row],[Level1]],VLOOKUP(CustomerHierarchyLevels[[#This Row],[Level1]],CustomerHierarchyLevels[],7,FALSE))</f>
        <v>6729</v>
      </c>
      <c r="S412" s="30">
        <f>IF(VLOOKUP(CustomerHierarchyLevels[[#This Row],[Level2]],CustomerHierarchyLevels[],7,FALSE)=0,CustomerHierarchyLevels[[#This Row],[Level2]],VLOOKUP(CustomerHierarchyLevels[[#This Row],[Level2]],CustomerHierarchyLevels[],7,FALSE))</f>
        <v>6729</v>
      </c>
    </row>
    <row r="413" spans="1:19" x14ac:dyDescent="0.25">
      <c r="A413">
        <v>6274</v>
      </c>
      <c r="B413" t="s">
        <v>13</v>
      </c>
      <c r="C413" t="s">
        <v>59</v>
      </c>
      <c r="D413">
        <v>0</v>
      </c>
      <c r="E413">
        <v>39010</v>
      </c>
      <c r="F413">
        <v>2958465</v>
      </c>
      <c r="G413">
        <v>6275</v>
      </c>
      <c r="H413" t="s">
        <v>13</v>
      </c>
      <c r="I413" t="s">
        <v>59</v>
      </c>
      <c r="J413">
        <v>0</v>
      </c>
      <c r="K413">
        <v>0</v>
      </c>
      <c r="L413" t="s">
        <v>1200</v>
      </c>
      <c r="M413" t="s">
        <v>1200</v>
      </c>
      <c r="N413">
        <v>0</v>
      </c>
      <c r="O413" t="s">
        <v>96</v>
      </c>
      <c r="P413" t="s">
        <v>1560</v>
      </c>
      <c r="Q413" s="30">
        <f>IF(CustomerHierarchyLevels[[#This Row],[HgLvCust.]]=0,CustomerHierarchyLevels[[#This Row],[Customer]],CustomerHierarchyLevels[[#This Row],[HgLvCust.]])</f>
        <v>6275</v>
      </c>
      <c r="R413" s="30">
        <f>IF(VLOOKUP(CustomerHierarchyLevels[[#This Row],[Level1]],CustomerHierarchyLevels[],7,FALSE)=0,CustomerHierarchyLevels[[#This Row],[Level1]],VLOOKUP(CustomerHierarchyLevels[[#This Row],[Level1]],CustomerHierarchyLevels[],7,FALSE))</f>
        <v>6730</v>
      </c>
      <c r="S413" s="30">
        <f>IF(VLOOKUP(CustomerHierarchyLevels[[#This Row],[Level2]],CustomerHierarchyLevels[],7,FALSE)=0,CustomerHierarchyLevels[[#This Row],[Level2]],VLOOKUP(CustomerHierarchyLevels[[#This Row],[Level2]],CustomerHierarchyLevels[],7,FALSE))</f>
        <v>6730</v>
      </c>
    </row>
    <row r="414" spans="1:19" x14ac:dyDescent="0.25">
      <c r="A414">
        <v>6276</v>
      </c>
      <c r="B414" t="s">
        <v>13</v>
      </c>
      <c r="C414" t="s">
        <v>59</v>
      </c>
      <c r="D414">
        <v>0</v>
      </c>
      <c r="E414">
        <v>39010</v>
      </c>
      <c r="F414">
        <v>2958465</v>
      </c>
      <c r="G414">
        <v>6277</v>
      </c>
      <c r="H414" t="s">
        <v>13</v>
      </c>
      <c r="I414" t="s">
        <v>59</v>
      </c>
      <c r="J414">
        <v>0</v>
      </c>
      <c r="K414">
        <v>0</v>
      </c>
      <c r="L414" t="s">
        <v>1200</v>
      </c>
      <c r="M414" t="s">
        <v>1200</v>
      </c>
      <c r="N414">
        <v>0</v>
      </c>
      <c r="O414" t="s">
        <v>96</v>
      </c>
      <c r="P414" t="s">
        <v>1561</v>
      </c>
      <c r="Q414" s="30">
        <f>IF(CustomerHierarchyLevels[[#This Row],[HgLvCust.]]=0,CustomerHierarchyLevels[[#This Row],[Customer]],CustomerHierarchyLevels[[#This Row],[HgLvCust.]])</f>
        <v>6277</v>
      </c>
      <c r="R414" s="30">
        <f>IF(VLOOKUP(CustomerHierarchyLevels[[#This Row],[Level1]],CustomerHierarchyLevels[],7,FALSE)=0,CustomerHierarchyLevels[[#This Row],[Level1]],VLOOKUP(CustomerHierarchyLevels[[#This Row],[Level1]],CustomerHierarchyLevels[],7,FALSE))</f>
        <v>6731</v>
      </c>
      <c r="S414" s="30">
        <f>IF(VLOOKUP(CustomerHierarchyLevels[[#This Row],[Level2]],CustomerHierarchyLevels[],7,FALSE)=0,CustomerHierarchyLevels[[#This Row],[Level2]],VLOOKUP(CustomerHierarchyLevels[[#This Row],[Level2]],CustomerHierarchyLevels[],7,FALSE))</f>
        <v>6731</v>
      </c>
    </row>
    <row r="415" spans="1:19" x14ac:dyDescent="0.25">
      <c r="A415">
        <v>6278</v>
      </c>
      <c r="B415" t="s">
        <v>13</v>
      </c>
      <c r="C415" t="s">
        <v>59</v>
      </c>
      <c r="D415">
        <v>0</v>
      </c>
      <c r="E415">
        <v>39010</v>
      </c>
      <c r="F415">
        <v>2958465</v>
      </c>
      <c r="G415">
        <v>6279</v>
      </c>
      <c r="H415" t="s">
        <v>13</v>
      </c>
      <c r="I415" t="s">
        <v>59</v>
      </c>
      <c r="J415">
        <v>0</v>
      </c>
      <c r="K415">
        <v>0</v>
      </c>
      <c r="L415" t="s">
        <v>1200</v>
      </c>
      <c r="M415" t="s">
        <v>1200</v>
      </c>
      <c r="N415">
        <v>0</v>
      </c>
      <c r="O415" t="s">
        <v>96</v>
      </c>
      <c r="P415" t="s">
        <v>1562</v>
      </c>
      <c r="Q415" s="30">
        <f>IF(CustomerHierarchyLevels[[#This Row],[HgLvCust.]]=0,CustomerHierarchyLevels[[#This Row],[Customer]],CustomerHierarchyLevels[[#This Row],[HgLvCust.]])</f>
        <v>6279</v>
      </c>
      <c r="R415" s="30">
        <f>IF(VLOOKUP(CustomerHierarchyLevels[[#This Row],[Level1]],CustomerHierarchyLevels[],7,FALSE)=0,CustomerHierarchyLevels[[#This Row],[Level1]],VLOOKUP(CustomerHierarchyLevels[[#This Row],[Level1]],CustomerHierarchyLevels[],7,FALSE))</f>
        <v>6732</v>
      </c>
      <c r="S415" s="30">
        <f>IF(VLOOKUP(CustomerHierarchyLevels[[#This Row],[Level2]],CustomerHierarchyLevels[],7,FALSE)=0,CustomerHierarchyLevels[[#This Row],[Level2]],VLOOKUP(CustomerHierarchyLevels[[#This Row],[Level2]],CustomerHierarchyLevels[],7,FALSE))</f>
        <v>6732</v>
      </c>
    </row>
    <row r="416" spans="1:19" x14ac:dyDescent="0.25">
      <c r="A416">
        <v>2087</v>
      </c>
      <c r="B416" t="s">
        <v>13</v>
      </c>
      <c r="C416" t="s">
        <v>59</v>
      </c>
      <c r="D416">
        <v>0</v>
      </c>
      <c r="E416">
        <v>39010</v>
      </c>
      <c r="F416">
        <v>2958465</v>
      </c>
      <c r="G416">
        <v>6254</v>
      </c>
      <c r="H416" t="s">
        <v>13</v>
      </c>
      <c r="I416" t="s">
        <v>59</v>
      </c>
      <c r="J416">
        <v>0</v>
      </c>
      <c r="K416">
        <v>0</v>
      </c>
      <c r="N416">
        <v>0</v>
      </c>
      <c r="O416" t="s">
        <v>1563</v>
      </c>
      <c r="P416" t="s">
        <v>1564</v>
      </c>
      <c r="Q416" s="30">
        <f>IF(CustomerHierarchyLevels[[#This Row],[HgLvCust.]]=0,CustomerHierarchyLevels[[#This Row],[Customer]],CustomerHierarchyLevels[[#This Row],[HgLvCust.]])</f>
        <v>6254</v>
      </c>
      <c r="R416" s="30">
        <f>IF(VLOOKUP(CustomerHierarchyLevels[[#This Row],[Level1]],CustomerHierarchyLevels[],7,FALSE)=0,CustomerHierarchyLevels[[#This Row],[Level1]],VLOOKUP(CustomerHierarchyLevels[[#This Row],[Level1]],CustomerHierarchyLevels[],7,FALSE))</f>
        <v>6255</v>
      </c>
      <c r="S416" s="30">
        <f>IF(VLOOKUP(CustomerHierarchyLevels[[#This Row],[Level2]],CustomerHierarchyLevels[],7,FALSE)=0,CustomerHierarchyLevels[[#This Row],[Level2]],VLOOKUP(CustomerHierarchyLevels[[#This Row],[Level2]],CustomerHierarchyLevels[],7,FALSE))</f>
        <v>6720</v>
      </c>
    </row>
    <row r="417" spans="1:19" x14ac:dyDescent="0.25">
      <c r="A417">
        <v>1374</v>
      </c>
      <c r="B417" t="s">
        <v>13</v>
      </c>
      <c r="C417" t="s">
        <v>59</v>
      </c>
      <c r="D417">
        <v>0</v>
      </c>
      <c r="E417">
        <v>39010</v>
      </c>
      <c r="F417">
        <v>2958465</v>
      </c>
      <c r="G417">
        <v>6254</v>
      </c>
      <c r="H417" t="s">
        <v>13</v>
      </c>
      <c r="I417" t="s">
        <v>59</v>
      </c>
      <c r="J417">
        <v>0</v>
      </c>
      <c r="K417">
        <v>0</v>
      </c>
      <c r="N417">
        <v>0</v>
      </c>
      <c r="O417" t="s">
        <v>1565</v>
      </c>
      <c r="P417" t="s">
        <v>1566</v>
      </c>
      <c r="Q417" s="30">
        <f>IF(CustomerHierarchyLevels[[#This Row],[HgLvCust.]]=0,CustomerHierarchyLevels[[#This Row],[Customer]],CustomerHierarchyLevels[[#This Row],[HgLvCust.]])</f>
        <v>6254</v>
      </c>
      <c r="R417" s="30">
        <f>IF(VLOOKUP(CustomerHierarchyLevels[[#This Row],[Level1]],CustomerHierarchyLevels[],7,FALSE)=0,CustomerHierarchyLevels[[#This Row],[Level1]],VLOOKUP(CustomerHierarchyLevels[[#This Row],[Level1]],CustomerHierarchyLevels[],7,FALSE))</f>
        <v>6255</v>
      </c>
      <c r="S417" s="30">
        <f>IF(VLOOKUP(CustomerHierarchyLevels[[#This Row],[Level2]],CustomerHierarchyLevels[],7,FALSE)=0,CustomerHierarchyLevels[[#This Row],[Level2]],VLOOKUP(CustomerHierarchyLevels[[#This Row],[Level2]],CustomerHierarchyLevels[],7,FALSE))</f>
        <v>6720</v>
      </c>
    </row>
    <row r="418" spans="1:19" x14ac:dyDescent="0.25">
      <c r="A418">
        <v>1263</v>
      </c>
      <c r="B418" t="s">
        <v>13</v>
      </c>
      <c r="C418" t="s">
        <v>59</v>
      </c>
      <c r="D418">
        <v>0</v>
      </c>
      <c r="E418">
        <v>39010</v>
      </c>
      <c r="F418">
        <v>2958465</v>
      </c>
      <c r="G418">
        <v>6254</v>
      </c>
      <c r="H418" t="s">
        <v>13</v>
      </c>
      <c r="I418" t="s">
        <v>59</v>
      </c>
      <c r="J418">
        <v>0</v>
      </c>
      <c r="K418">
        <v>0</v>
      </c>
      <c r="N418">
        <v>0</v>
      </c>
      <c r="O418" t="s">
        <v>1567</v>
      </c>
      <c r="P418" t="s">
        <v>1568</v>
      </c>
      <c r="Q418" s="30">
        <f>IF(CustomerHierarchyLevels[[#This Row],[HgLvCust.]]=0,CustomerHierarchyLevels[[#This Row],[Customer]],CustomerHierarchyLevels[[#This Row],[HgLvCust.]])</f>
        <v>6254</v>
      </c>
      <c r="R418" s="30">
        <f>IF(VLOOKUP(CustomerHierarchyLevels[[#This Row],[Level1]],CustomerHierarchyLevels[],7,FALSE)=0,CustomerHierarchyLevels[[#This Row],[Level1]],VLOOKUP(CustomerHierarchyLevels[[#This Row],[Level1]],CustomerHierarchyLevels[],7,FALSE))</f>
        <v>6255</v>
      </c>
      <c r="S418" s="30">
        <f>IF(VLOOKUP(CustomerHierarchyLevels[[#This Row],[Level2]],CustomerHierarchyLevels[],7,FALSE)=0,CustomerHierarchyLevels[[#This Row],[Level2]],VLOOKUP(CustomerHierarchyLevels[[#This Row],[Level2]],CustomerHierarchyLevels[],7,FALSE))</f>
        <v>6720</v>
      </c>
    </row>
    <row r="419" spans="1:19" x14ac:dyDescent="0.25">
      <c r="A419">
        <v>1272</v>
      </c>
      <c r="B419" t="s">
        <v>13</v>
      </c>
      <c r="C419" t="s">
        <v>59</v>
      </c>
      <c r="D419">
        <v>0</v>
      </c>
      <c r="E419">
        <v>39010</v>
      </c>
      <c r="F419">
        <v>2958465</v>
      </c>
      <c r="G419">
        <v>6256</v>
      </c>
      <c r="H419" t="s">
        <v>13</v>
      </c>
      <c r="I419" t="s">
        <v>59</v>
      </c>
      <c r="J419">
        <v>0</v>
      </c>
      <c r="K419">
        <v>0</v>
      </c>
      <c r="N419">
        <v>0</v>
      </c>
      <c r="O419" t="s">
        <v>1569</v>
      </c>
      <c r="P419" t="s">
        <v>1570</v>
      </c>
      <c r="Q419" s="30">
        <f>IF(CustomerHierarchyLevels[[#This Row],[HgLvCust.]]=0,CustomerHierarchyLevels[[#This Row],[Customer]],CustomerHierarchyLevels[[#This Row],[HgLvCust.]])</f>
        <v>6256</v>
      </c>
      <c r="R419" s="30">
        <f>IF(VLOOKUP(CustomerHierarchyLevels[[#This Row],[Level1]],CustomerHierarchyLevels[],7,FALSE)=0,CustomerHierarchyLevels[[#This Row],[Level1]],VLOOKUP(CustomerHierarchyLevels[[#This Row],[Level1]],CustomerHierarchyLevels[],7,FALSE))</f>
        <v>6257</v>
      </c>
      <c r="S419" s="30">
        <f>IF(VLOOKUP(CustomerHierarchyLevels[[#This Row],[Level2]],CustomerHierarchyLevels[],7,FALSE)=0,CustomerHierarchyLevels[[#This Row],[Level2]],VLOOKUP(CustomerHierarchyLevels[[#This Row],[Level2]],CustomerHierarchyLevels[],7,FALSE))</f>
        <v>6721</v>
      </c>
    </row>
    <row r="420" spans="1:19" x14ac:dyDescent="0.25">
      <c r="A420">
        <v>1344</v>
      </c>
      <c r="B420" t="s">
        <v>13</v>
      </c>
      <c r="C420" t="s">
        <v>59</v>
      </c>
      <c r="D420">
        <v>0</v>
      </c>
      <c r="E420">
        <v>39010</v>
      </c>
      <c r="F420">
        <v>2958465</v>
      </c>
      <c r="G420">
        <v>6256</v>
      </c>
      <c r="H420" t="s">
        <v>13</v>
      </c>
      <c r="I420" t="s">
        <v>59</v>
      </c>
      <c r="J420">
        <v>0</v>
      </c>
      <c r="K420">
        <v>0</v>
      </c>
      <c r="N420">
        <v>0</v>
      </c>
      <c r="O420" t="s">
        <v>1571</v>
      </c>
      <c r="P420" t="s">
        <v>1572</v>
      </c>
      <c r="Q420" s="30">
        <f>IF(CustomerHierarchyLevels[[#This Row],[HgLvCust.]]=0,CustomerHierarchyLevels[[#This Row],[Customer]],CustomerHierarchyLevels[[#This Row],[HgLvCust.]])</f>
        <v>6256</v>
      </c>
      <c r="R420" s="30">
        <f>IF(VLOOKUP(CustomerHierarchyLevels[[#This Row],[Level1]],CustomerHierarchyLevels[],7,FALSE)=0,CustomerHierarchyLevels[[#This Row],[Level1]],VLOOKUP(CustomerHierarchyLevels[[#This Row],[Level1]],CustomerHierarchyLevels[],7,FALSE))</f>
        <v>6257</v>
      </c>
      <c r="S420" s="30">
        <f>IF(VLOOKUP(CustomerHierarchyLevels[[#This Row],[Level2]],CustomerHierarchyLevels[],7,FALSE)=0,CustomerHierarchyLevels[[#This Row],[Level2]],VLOOKUP(CustomerHierarchyLevels[[#This Row],[Level2]],CustomerHierarchyLevels[],7,FALSE))</f>
        <v>6721</v>
      </c>
    </row>
    <row r="421" spans="1:19" x14ac:dyDescent="0.25">
      <c r="A421">
        <v>1400</v>
      </c>
      <c r="B421" t="s">
        <v>13</v>
      </c>
      <c r="C421" t="s">
        <v>59</v>
      </c>
      <c r="D421">
        <v>0</v>
      </c>
      <c r="E421">
        <v>39010</v>
      </c>
      <c r="F421">
        <v>2958465</v>
      </c>
      <c r="G421">
        <v>6256</v>
      </c>
      <c r="H421" t="s">
        <v>13</v>
      </c>
      <c r="I421" t="s">
        <v>59</v>
      </c>
      <c r="J421">
        <v>0</v>
      </c>
      <c r="K421">
        <v>0</v>
      </c>
      <c r="N421">
        <v>0</v>
      </c>
      <c r="O421" t="s">
        <v>1573</v>
      </c>
      <c r="P421" t="s">
        <v>1574</v>
      </c>
      <c r="Q421" s="30">
        <f>IF(CustomerHierarchyLevels[[#This Row],[HgLvCust.]]=0,CustomerHierarchyLevels[[#This Row],[Customer]],CustomerHierarchyLevels[[#This Row],[HgLvCust.]])</f>
        <v>6256</v>
      </c>
      <c r="R421" s="30">
        <f>IF(VLOOKUP(CustomerHierarchyLevels[[#This Row],[Level1]],CustomerHierarchyLevels[],7,FALSE)=0,CustomerHierarchyLevels[[#This Row],[Level1]],VLOOKUP(CustomerHierarchyLevels[[#This Row],[Level1]],CustomerHierarchyLevels[],7,FALSE))</f>
        <v>6257</v>
      </c>
      <c r="S421" s="30">
        <f>IF(VLOOKUP(CustomerHierarchyLevels[[#This Row],[Level2]],CustomerHierarchyLevels[],7,FALSE)=0,CustomerHierarchyLevels[[#This Row],[Level2]],VLOOKUP(CustomerHierarchyLevels[[#This Row],[Level2]],CustomerHierarchyLevels[],7,FALSE))</f>
        <v>6721</v>
      </c>
    </row>
    <row r="422" spans="1:19" x14ac:dyDescent="0.25">
      <c r="A422">
        <v>1380</v>
      </c>
      <c r="B422" t="s">
        <v>13</v>
      </c>
      <c r="C422" t="s">
        <v>59</v>
      </c>
      <c r="D422">
        <v>0</v>
      </c>
      <c r="E422">
        <v>39010</v>
      </c>
      <c r="F422">
        <v>2958465</v>
      </c>
      <c r="G422">
        <v>6256</v>
      </c>
      <c r="H422" t="s">
        <v>13</v>
      </c>
      <c r="I422" t="s">
        <v>59</v>
      </c>
      <c r="J422">
        <v>0</v>
      </c>
      <c r="K422">
        <v>0</v>
      </c>
      <c r="N422">
        <v>0</v>
      </c>
      <c r="O422" t="s">
        <v>1575</v>
      </c>
      <c r="P422" t="s">
        <v>1576</v>
      </c>
      <c r="Q422" s="30">
        <f>IF(CustomerHierarchyLevels[[#This Row],[HgLvCust.]]=0,CustomerHierarchyLevels[[#This Row],[Customer]],CustomerHierarchyLevels[[#This Row],[HgLvCust.]])</f>
        <v>6256</v>
      </c>
      <c r="R422" s="30">
        <f>IF(VLOOKUP(CustomerHierarchyLevels[[#This Row],[Level1]],CustomerHierarchyLevels[],7,FALSE)=0,CustomerHierarchyLevels[[#This Row],[Level1]],VLOOKUP(CustomerHierarchyLevels[[#This Row],[Level1]],CustomerHierarchyLevels[],7,FALSE))</f>
        <v>6257</v>
      </c>
      <c r="S422" s="30">
        <f>IF(VLOOKUP(CustomerHierarchyLevels[[#This Row],[Level2]],CustomerHierarchyLevels[],7,FALSE)=0,CustomerHierarchyLevels[[#This Row],[Level2]],VLOOKUP(CustomerHierarchyLevels[[#This Row],[Level2]],CustomerHierarchyLevels[],7,FALSE))</f>
        <v>6721</v>
      </c>
    </row>
    <row r="423" spans="1:19" x14ac:dyDescent="0.25">
      <c r="A423">
        <v>1167</v>
      </c>
      <c r="B423" t="s">
        <v>13</v>
      </c>
      <c r="C423" t="s">
        <v>59</v>
      </c>
      <c r="D423">
        <v>0</v>
      </c>
      <c r="E423">
        <v>39010</v>
      </c>
      <c r="F423">
        <v>2958465</v>
      </c>
      <c r="G423">
        <v>6256</v>
      </c>
      <c r="H423" t="s">
        <v>13</v>
      </c>
      <c r="I423" t="s">
        <v>59</v>
      </c>
      <c r="J423">
        <v>0</v>
      </c>
      <c r="K423">
        <v>0</v>
      </c>
      <c r="N423">
        <v>0</v>
      </c>
      <c r="O423" t="s">
        <v>1577</v>
      </c>
      <c r="P423" t="s">
        <v>1578</v>
      </c>
      <c r="Q423" s="30">
        <f>IF(CustomerHierarchyLevels[[#This Row],[HgLvCust.]]=0,CustomerHierarchyLevels[[#This Row],[Customer]],CustomerHierarchyLevels[[#This Row],[HgLvCust.]])</f>
        <v>6256</v>
      </c>
      <c r="R423" s="30">
        <f>IF(VLOOKUP(CustomerHierarchyLevels[[#This Row],[Level1]],CustomerHierarchyLevels[],7,FALSE)=0,CustomerHierarchyLevels[[#This Row],[Level1]],VLOOKUP(CustomerHierarchyLevels[[#This Row],[Level1]],CustomerHierarchyLevels[],7,FALSE))</f>
        <v>6257</v>
      </c>
      <c r="S423" s="30">
        <f>IF(VLOOKUP(CustomerHierarchyLevels[[#This Row],[Level2]],CustomerHierarchyLevels[],7,FALSE)=0,CustomerHierarchyLevels[[#This Row],[Level2]],VLOOKUP(CustomerHierarchyLevels[[#This Row],[Level2]],CustomerHierarchyLevels[],7,FALSE))</f>
        <v>6721</v>
      </c>
    </row>
    <row r="424" spans="1:19" x14ac:dyDescent="0.25">
      <c r="A424">
        <v>1381</v>
      </c>
      <c r="B424" t="s">
        <v>13</v>
      </c>
      <c r="C424" t="s">
        <v>59</v>
      </c>
      <c r="D424">
        <v>0</v>
      </c>
      <c r="E424">
        <v>39010</v>
      </c>
      <c r="F424">
        <v>2958465</v>
      </c>
      <c r="G424">
        <v>6258</v>
      </c>
      <c r="H424" t="s">
        <v>13</v>
      </c>
      <c r="I424" t="s">
        <v>59</v>
      </c>
      <c r="J424">
        <v>0</v>
      </c>
      <c r="K424">
        <v>0</v>
      </c>
      <c r="N424">
        <v>0</v>
      </c>
      <c r="O424" t="s">
        <v>1579</v>
      </c>
      <c r="P424" t="s">
        <v>1580</v>
      </c>
      <c r="Q424" s="30">
        <f>IF(CustomerHierarchyLevels[[#This Row],[HgLvCust.]]=0,CustomerHierarchyLevels[[#This Row],[Customer]],CustomerHierarchyLevels[[#This Row],[HgLvCust.]])</f>
        <v>6258</v>
      </c>
      <c r="R424" s="30">
        <f>IF(VLOOKUP(CustomerHierarchyLevels[[#This Row],[Level1]],CustomerHierarchyLevels[],7,FALSE)=0,CustomerHierarchyLevels[[#This Row],[Level1]],VLOOKUP(CustomerHierarchyLevels[[#This Row],[Level1]],CustomerHierarchyLevels[],7,FALSE))</f>
        <v>6259</v>
      </c>
      <c r="S424" s="30">
        <f>IF(VLOOKUP(CustomerHierarchyLevels[[#This Row],[Level2]],CustomerHierarchyLevels[],7,FALSE)=0,CustomerHierarchyLevels[[#This Row],[Level2]],VLOOKUP(CustomerHierarchyLevels[[#This Row],[Level2]],CustomerHierarchyLevels[],7,FALSE))</f>
        <v>6722</v>
      </c>
    </row>
    <row r="425" spans="1:19" x14ac:dyDescent="0.25">
      <c r="A425">
        <v>1209</v>
      </c>
      <c r="B425" t="s">
        <v>13</v>
      </c>
      <c r="C425" t="s">
        <v>59</v>
      </c>
      <c r="D425">
        <v>0</v>
      </c>
      <c r="E425">
        <v>39010</v>
      </c>
      <c r="F425">
        <v>2958465</v>
      </c>
      <c r="G425">
        <v>6260</v>
      </c>
      <c r="H425" t="s">
        <v>13</v>
      </c>
      <c r="I425" t="s">
        <v>59</v>
      </c>
      <c r="J425">
        <v>0</v>
      </c>
      <c r="K425">
        <v>0</v>
      </c>
      <c r="N425">
        <v>0</v>
      </c>
      <c r="O425" t="s">
        <v>1579</v>
      </c>
      <c r="P425" t="s">
        <v>1581</v>
      </c>
      <c r="Q425" s="30">
        <f>IF(CustomerHierarchyLevels[[#This Row],[HgLvCust.]]=0,CustomerHierarchyLevels[[#This Row],[Customer]],CustomerHierarchyLevels[[#This Row],[HgLvCust.]])</f>
        <v>6260</v>
      </c>
      <c r="R425" s="30">
        <f>IF(VLOOKUP(CustomerHierarchyLevels[[#This Row],[Level1]],CustomerHierarchyLevels[],7,FALSE)=0,CustomerHierarchyLevels[[#This Row],[Level1]],VLOOKUP(CustomerHierarchyLevels[[#This Row],[Level1]],CustomerHierarchyLevels[],7,FALSE))</f>
        <v>6261</v>
      </c>
      <c r="S425" s="30">
        <f>IF(VLOOKUP(CustomerHierarchyLevels[[#This Row],[Level2]],CustomerHierarchyLevels[],7,FALSE)=0,CustomerHierarchyLevels[[#This Row],[Level2]],VLOOKUP(CustomerHierarchyLevels[[#This Row],[Level2]],CustomerHierarchyLevels[],7,FALSE))</f>
        <v>6723</v>
      </c>
    </row>
    <row r="426" spans="1:19" x14ac:dyDescent="0.25">
      <c r="A426">
        <v>3127</v>
      </c>
      <c r="B426" t="s">
        <v>13</v>
      </c>
      <c r="C426" t="s">
        <v>59</v>
      </c>
      <c r="D426">
        <v>0</v>
      </c>
      <c r="E426">
        <v>39010</v>
      </c>
      <c r="F426">
        <v>2958465</v>
      </c>
      <c r="G426">
        <v>6260</v>
      </c>
      <c r="H426" t="s">
        <v>13</v>
      </c>
      <c r="I426" t="s">
        <v>59</v>
      </c>
      <c r="J426">
        <v>0</v>
      </c>
      <c r="K426">
        <v>0</v>
      </c>
      <c r="N426">
        <v>0</v>
      </c>
      <c r="O426" t="s">
        <v>1582</v>
      </c>
      <c r="P426" t="s">
        <v>1583</v>
      </c>
      <c r="Q426" s="30">
        <f>IF(CustomerHierarchyLevels[[#This Row],[HgLvCust.]]=0,CustomerHierarchyLevels[[#This Row],[Customer]],CustomerHierarchyLevels[[#This Row],[HgLvCust.]])</f>
        <v>6260</v>
      </c>
      <c r="R426" s="30">
        <f>IF(VLOOKUP(CustomerHierarchyLevels[[#This Row],[Level1]],CustomerHierarchyLevels[],7,FALSE)=0,CustomerHierarchyLevels[[#This Row],[Level1]],VLOOKUP(CustomerHierarchyLevels[[#This Row],[Level1]],CustomerHierarchyLevels[],7,FALSE))</f>
        <v>6261</v>
      </c>
      <c r="S426" s="30">
        <f>IF(VLOOKUP(CustomerHierarchyLevels[[#This Row],[Level2]],CustomerHierarchyLevels[],7,FALSE)=0,CustomerHierarchyLevels[[#This Row],[Level2]],VLOOKUP(CustomerHierarchyLevels[[#This Row],[Level2]],CustomerHierarchyLevels[],7,FALSE))</f>
        <v>6723</v>
      </c>
    </row>
    <row r="427" spans="1:19" x14ac:dyDescent="0.25">
      <c r="A427">
        <v>1476</v>
      </c>
      <c r="B427" t="s">
        <v>13</v>
      </c>
      <c r="C427" t="s">
        <v>59</v>
      </c>
      <c r="D427">
        <v>0</v>
      </c>
      <c r="E427">
        <v>39010</v>
      </c>
      <c r="F427">
        <v>2958465</v>
      </c>
      <c r="G427">
        <v>6262</v>
      </c>
      <c r="H427" t="s">
        <v>13</v>
      </c>
      <c r="I427" t="s">
        <v>59</v>
      </c>
      <c r="J427">
        <v>0</v>
      </c>
      <c r="K427">
        <v>0</v>
      </c>
      <c r="N427">
        <v>0</v>
      </c>
      <c r="O427" t="s">
        <v>1579</v>
      </c>
      <c r="P427" t="s">
        <v>1584</v>
      </c>
      <c r="Q427" s="30">
        <f>IF(CustomerHierarchyLevels[[#This Row],[HgLvCust.]]=0,CustomerHierarchyLevels[[#This Row],[Customer]],CustomerHierarchyLevels[[#This Row],[HgLvCust.]])</f>
        <v>6262</v>
      </c>
      <c r="R427" s="30">
        <f>IF(VLOOKUP(CustomerHierarchyLevels[[#This Row],[Level1]],CustomerHierarchyLevels[],7,FALSE)=0,CustomerHierarchyLevels[[#This Row],[Level1]],VLOOKUP(CustomerHierarchyLevels[[#This Row],[Level1]],CustomerHierarchyLevels[],7,FALSE))</f>
        <v>6263</v>
      </c>
      <c r="S427" s="30">
        <f>IF(VLOOKUP(CustomerHierarchyLevels[[#This Row],[Level2]],CustomerHierarchyLevels[],7,FALSE)=0,CustomerHierarchyLevels[[#This Row],[Level2]],VLOOKUP(CustomerHierarchyLevels[[#This Row],[Level2]],CustomerHierarchyLevels[],7,FALSE))</f>
        <v>6724</v>
      </c>
    </row>
    <row r="428" spans="1:19" x14ac:dyDescent="0.25">
      <c r="A428">
        <v>3236</v>
      </c>
      <c r="B428" t="s">
        <v>13</v>
      </c>
      <c r="C428" t="s">
        <v>59</v>
      </c>
      <c r="D428">
        <v>0</v>
      </c>
      <c r="E428">
        <v>39010</v>
      </c>
      <c r="F428">
        <v>2958465</v>
      </c>
      <c r="G428">
        <v>6262</v>
      </c>
      <c r="H428" t="s">
        <v>13</v>
      </c>
      <c r="I428" t="s">
        <v>59</v>
      </c>
      <c r="J428">
        <v>0</v>
      </c>
      <c r="K428">
        <v>0</v>
      </c>
      <c r="N428">
        <v>0</v>
      </c>
      <c r="O428" t="s">
        <v>1569</v>
      </c>
      <c r="P428" t="s">
        <v>1585</v>
      </c>
      <c r="Q428" s="30">
        <f>IF(CustomerHierarchyLevels[[#This Row],[HgLvCust.]]=0,CustomerHierarchyLevels[[#This Row],[Customer]],CustomerHierarchyLevels[[#This Row],[HgLvCust.]])</f>
        <v>6262</v>
      </c>
      <c r="R428" s="30">
        <f>IF(VLOOKUP(CustomerHierarchyLevels[[#This Row],[Level1]],CustomerHierarchyLevels[],7,FALSE)=0,CustomerHierarchyLevels[[#This Row],[Level1]],VLOOKUP(CustomerHierarchyLevels[[#This Row],[Level1]],CustomerHierarchyLevels[],7,FALSE))</f>
        <v>6263</v>
      </c>
      <c r="S428" s="30">
        <f>IF(VLOOKUP(CustomerHierarchyLevels[[#This Row],[Level2]],CustomerHierarchyLevels[],7,FALSE)=0,CustomerHierarchyLevels[[#This Row],[Level2]],VLOOKUP(CustomerHierarchyLevels[[#This Row],[Level2]],CustomerHierarchyLevels[],7,FALSE))</f>
        <v>6724</v>
      </c>
    </row>
    <row r="429" spans="1:19" x14ac:dyDescent="0.25">
      <c r="A429">
        <v>5881</v>
      </c>
      <c r="B429" t="s">
        <v>13</v>
      </c>
      <c r="C429" t="s">
        <v>59</v>
      </c>
      <c r="D429">
        <v>0</v>
      </c>
      <c r="E429">
        <v>39010</v>
      </c>
      <c r="F429">
        <v>2958465</v>
      </c>
      <c r="G429">
        <v>6264</v>
      </c>
      <c r="H429" t="s">
        <v>13</v>
      </c>
      <c r="I429" t="s">
        <v>59</v>
      </c>
      <c r="J429">
        <v>0</v>
      </c>
      <c r="K429">
        <v>0</v>
      </c>
      <c r="N429">
        <v>0</v>
      </c>
      <c r="O429" t="s">
        <v>1567</v>
      </c>
      <c r="P429" t="s">
        <v>1586</v>
      </c>
      <c r="Q429" s="30">
        <f>IF(CustomerHierarchyLevels[[#This Row],[HgLvCust.]]=0,CustomerHierarchyLevels[[#This Row],[Customer]],CustomerHierarchyLevels[[#This Row],[HgLvCust.]])</f>
        <v>6264</v>
      </c>
      <c r="R429" s="30">
        <f>IF(VLOOKUP(CustomerHierarchyLevels[[#This Row],[Level1]],CustomerHierarchyLevels[],7,FALSE)=0,CustomerHierarchyLevels[[#This Row],[Level1]],VLOOKUP(CustomerHierarchyLevels[[#This Row],[Level1]],CustomerHierarchyLevels[],7,FALSE))</f>
        <v>6265</v>
      </c>
      <c r="S429" s="30">
        <f>IF(VLOOKUP(CustomerHierarchyLevels[[#This Row],[Level2]],CustomerHierarchyLevels[],7,FALSE)=0,CustomerHierarchyLevels[[#This Row],[Level2]],VLOOKUP(CustomerHierarchyLevels[[#This Row],[Level2]],CustomerHierarchyLevels[],7,FALSE))</f>
        <v>6725</v>
      </c>
    </row>
    <row r="430" spans="1:19" x14ac:dyDescent="0.25">
      <c r="A430">
        <v>1384</v>
      </c>
      <c r="B430" t="s">
        <v>13</v>
      </c>
      <c r="C430" t="s">
        <v>59</v>
      </c>
      <c r="D430">
        <v>0</v>
      </c>
      <c r="E430">
        <v>39010</v>
      </c>
      <c r="F430">
        <v>2958465</v>
      </c>
      <c r="G430">
        <v>6264</v>
      </c>
      <c r="H430" t="s">
        <v>13</v>
      </c>
      <c r="I430" t="s">
        <v>59</v>
      </c>
      <c r="J430">
        <v>0</v>
      </c>
      <c r="K430">
        <v>0</v>
      </c>
      <c r="N430">
        <v>0</v>
      </c>
      <c r="O430" t="s">
        <v>1587</v>
      </c>
      <c r="P430" t="s">
        <v>1588</v>
      </c>
      <c r="Q430" s="30">
        <f>IF(CustomerHierarchyLevels[[#This Row],[HgLvCust.]]=0,CustomerHierarchyLevels[[#This Row],[Customer]],CustomerHierarchyLevels[[#This Row],[HgLvCust.]])</f>
        <v>6264</v>
      </c>
      <c r="R430" s="30">
        <f>IF(VLOOKUP(CustomerHierarchyLevels[[#This Row],[Level1]],CustomerHierarchyLevels[],7,FALSE)=0,CustomerHierarchyLevels[[#This Row],[Level1]],VLOOKUP(CustomerHierarchyLevels[[#This Row],[Level1]],CustomerHierarchyLevels[],7,FALSE))</f>
        <v>6265</v>
      </c>
      <c r="S430" s="30">
        <f>IF(VLOOKUP(CustomerHierarchyLevels[[#This Row],[Level2]],CustomerHierarchyLevels[],7,FALSE)=0,CustomerHierarchyLevels[[#This Row],[Level2]],VLOOKUP(CustomerHierarchyLevels[[#This Row],[Level2]],CustomerHierarchyLevels[],7,FALSE))</f>
        <v>6725</v>
      </c>
    </row>
    <row r="431" spans="1:19" x14ac:dyDescent="0.25">
      <c r="A431">
        <v>2082</v>
      </c>
      <c r="B431" t="s">
        <v>13</v>
      </c>
      <c r="C431" t="s">
        <v>59</v>
      </c>
      <c r="D431">
        <v>0</v>
      </c>
      <c r="E431">
        <v>39010</v>
      </c>
      <c r="F431">
        <v>2958465</v>
      </c>
      <c r="G431">
        <v>6264</v>
      </c>
      <c r="H431" t="s">
        <v>13</v>
      </c>
      <c r="I431" t="s">
        <v>59</v>
      </c>
      <c r="J431">
        <v>0</v>
      </c>
      <c r="K431">
        <v>0</v>
      </c>
      <c r="N431">
        <v>0</v>
      </c>
      <c r="O431" t="s">
        <v>1569</v>
      </c>
      <c r="P431" t="s">
        <v>1589</v>
      </c>
      <c r="Q431" s="30">
        <f>IF(CustomerHierarchyLevels[[#This Row],[HgLvCust.]]=0,CustomerHierarchyLevels[[#This Row],[Customer]],CustomerHierarchyLevels[[#This Row],[HgLvCust.]])</f>
        <v>6264</v>
      </c>
      <c r="R431" s="30">
        <f>IF(VLOOKUP(CustomerHierarchyLevels[[#This Row],[Level1]],CustomerHierarchyLevels[],7,FALSE)=0,CustomerHierarchyLevels[[#This Row],[Level1]],VLOOKUP(CustomerHierarchyLevels[[#This Row],[Level1]],CustomerHierarchyLevels[],7,FALSE))</f>
        <v>6265</v>
      </c>
      <c r="S431" s="30">
        <f>IF(VLOOKUP(CustomerHierarchyLevels[[#This Row],[Level2]],CustomerHierarchyLevels[],7,FALSE)=0,CustomerHierarchyLevels[[#This Row],[Level2]],VLOOKUP(CustomerHierarchyLevels[[#This Row],[Level2]],CustomerHierarchyLevels[],7,FALSE))</f>
        <v>6725</v>
      </c>
    </row>
    <row r="432" spans="1:19" x14ac:dyDescent="0.25">
      <c r="A432">
        <v>1390</v>
      </c>
      <c r="B432" t="s">
        <v>13</v>
      </c>
      <c r="C432" t="s">
        <v>59</v>
      </c>
      <c r="D432">
        <v>0</v>
      </c>
      <c r="E432">
        <v>39010</v>
      </c>
      <c r="F432">
        <v>2958465</v>
      </c>
      <c r="G432">
        <v>6266</v>
      </c>
      <c r="H432" t="s">
        <v>13</v>
      </c>
      <c r="I432" t="s">
        <v>59</v>
      </c>
      <c r="J432">
        <v>0</v>
      </c>
      <c r="K432">
        <v>0</v>
      </c>
      <c r="N432">
        <v>0</v>
      </c>
      <c r="O432" t="s">
        <v>1590</v>
      </c>
      <c r="P432" t="s">
        <v>1591</v>
      </c>
      <c r="Q432" s="30">
        <f>IF(CustomerHierarchyLevels[[#This Row],[HgLvCust.]]=0,CustomerHierarchyLevels[[#This Row],[Customer]],CustomerHierarchyLevels[[#This Row],[HgLvCust.]])</f>
        <v>6266</v>
      </c>
      <c r="R432" s="30">
        <f>IF(VLOOKUP(CustomerHierarchyLevels[[#This Row],[Level1]],CustomerHierarchyLevels[],7,FALSE)=0,CustomerHierarchyLevels[[#This Row],[Level1]],VLOOKUP(CustomerHierarchyLevels[[#This Row],[Level1]],CustomerHierarchyLevels[],7,FALSE))</f>
        <v>6267</v>
      </c>
      <c r="S432" s="30">
        <f>IF(VLOOKUP(CustomerHierarchyLevels[[#This Row],[Level2]],CustomerHierarchyLevels[],7,FALSE)=0,CustomerHierarchyLevels[[#This Row],[Level2]],VLOOKUP(CustomerHierarchyLevels[[#This Row],[Level2]],CustomerHierarchyLevels[],7,FALSE))</f>
        <v>6726</v>
      </c>
    </row>
    <row r="433" spans="1:19" x14ac:dyDescent="0.25">
      <c r="A433">
        <v>4047</v>
      </c>
      <c r="B433" t="s">
        <v>13</v>
      </c>
      <c r="C433" t="s">
        <v>59</v>
      </c>
      <c r="D433">
        <v>0</v>
      </c>
      <c r="E433">
        <v>39010</v>
      </c>
      <c r="F433">
        <v>2958465</v>
      </c>
      <c r="G433">
        <v>6266</v>
      </c>
      <c r="H433" t="s">
        <v>13</v>
      </c>
      <c r="I433" t="s">
        <v>59</v>
      </c>
      <c r="J433">
        <v>0</v>
      </c>
      <c r="K433">
        <v>0</v>
      </c>
      <c r="N433">
        <v>0</v>
      </c>
      <c r="O433" t="s">
        <v>1573</v>
      </c>
      <c r="P433" t="s">
        <v>1592</v>
      </c>
      <c r="Q433" s="30">
        <f>IF(CustomerHierarchyLevels[[#This Row],[HgLvCust.]]=0,CustomerHierarchyLevels[[#This Row],[Customer]],CustomerHierarchyLevels[[#This Row],[HgLvCust.]])</f>
        <v>6266</v>
      </c>
      <c r="R433" s="30">
        <f>IF(VLOOKUP(CustomerHierarchyLevels[[#This Row],[Level1]],CustomerHierarchyLevels[],7,FALSE)=0,CustomerHierarchyLevels[[#This Row],[Level1]],VLOOKUP(CustomerHierarchyLevels[[#This Row],[Level1]],CustomerHierarchyLevels[],7,FALSE))</f>
        <v>6267</v>
      </c>
      <c r="S433" s="30">
        <f>IF(VLOOKUP(CustomerHierarchyLevels[[#This Row],[Level2]],CustomerHierarchyLevels[],7,FALSE)=0,CustomerHierarchyLevels[[#This Row],[Level2]],VLOOKUP(CustomerHierarchyLevels[[#This Row],[Level2]],CustomerHierarchyLevels[],7,FALSE))</f>
        <v>6726</v>
      </c>
    </row>
    <row r="434" spans="1:19" x14ac:dyDescent="0.25">
      <c r="A434">
        <v>1174</v>
      </c>
      <c r="B434" t="s">
        <v>13</v>
      </c>
      <c r="C434" t="s">
        <v>59</v>
      </c>
      <c r="D434">
        <v>0</v>
      </c>
      <c r="E434">
        <v>39010</v>
      </c>
      <c r="F434">
        <v>2958465</v>
      </c>
      <c r="G434">
        <v>6266</v>
      </c>
      <c r="H434" t="s">
        <v>13</v>
      </c>
      <c r="I434" t="s">
        <v>59</v>
      </c>
      <c r="J434">
        <v>0</v>
      </c>
      <c r="K434">
        <v>0</v>
      </c>
      <c r="N434">
        <v>0</v>
      </c>
      <c r="O434" t="s">
        <v>1593</v>
      </c>
      <c r="P434" t="s">
        <v>1594</v>
      </c>
      <c r="Q434" s="30">
        <f>IF(CustomerHierarchyLevels[[#This Row],[HgLvCust.]]=0,CustomerHierarchyLevels[[#This Row],[Customer]],CustomerHierarchyLevels[[#This Row],[HgLvCust.]])</f>
        <v>6266</v>
      </c>
      <c r="R434" s="30">
        <f>IF(VLOOKUP(CustomerHierarchyLevels[[#This Row],[Level1]],CustomerHierarchyLevels[],7,FALSE)=0,CustomerHierarchyLevels[[#This Row],[Level1]],VLOOKUP(CustomerHierarchyLevels[[#This Row],[Level1]],CustomerHierarchyLevels[],7,FALSE))</f>
        <v>6267</v>
      </c>
      <c r="S434" s="30">
        <f>IF(VLOOKUP(CustomerHierarchyLevels[[#This Row],[Level2]],CustomerHierarchyLevels[],7,FALSE)=0,CustomerHierarchyLevels[[#This Row],[Level2]],VLOOKUP(CustomerHierarchyLevels[[#This Row],[Level2]],CustomerHierarchyLevels[],7,FALSE))</f>
        <v>6726</v>
      </c>
    </row>
    <row r="435" spans="1:19" x14ac:dyDescent="0.25">
      <c r="A435">
        <v>1177</v>
      </c>
      <c r="B435" t="s">
        <v>13</v>
      </c>
      <c r="C435" t="s">
        <v>59</v>
      </c>
      <c r="D435">
        <v>0</v>
      </c>
      <c r="E435">
        <v>39010</v>
      </c>
      <c r="F435">
        <v>2958465</v>
      </c>
      <c r="G435">
        <v>6268</v>
      </c>
      <c r="H435" t="s">
        <v>13</v>
      </c>
      <c r="I435" t="s">
        <v>59</v>
      </c>
      <c r="J435">
        <v>0</v>
      </c>
      <c r="K435">
        <v>0</v>
      </c>
      <c r="N435">
        <v>0</v>
      </c>
      <c r="O435" t="s">
        <v>1587</v>
      </c>
      <c r="P435" t="s">
        <v>1595</v>
      </c>
      <c r="Q435" s="30">
        <f>IF(CustomerHierarchyLevels[[#This Row],[HgLvCust.]]=0,CustomerHierarchyLevels[[#This Row],[Customer]],CustomerHierarchyLevels[[#This Row],[HgLvCust.]])</f>
        <v>6268</v>
      </c>
      <c r="R435" s="30">
        <f>IF(VLOOKUP(CustomerHierarchyLevels[[#This Row],[Level1]],CustomerHierarchyLevels[],7,FALSE)=0,CustomerHierarchyLevels[[#This Row],[Level1]],VLOOKUP(CustomerHierarchyLevels[[#This Row],[Level1]],CustomerHierarchyLevels[],7,FALSE))</f>
        <v>6269</v>
      </c>
      <c r="S435" s="30">
        <f>IF(VLOOKUP(CustomerHierarchyLevels[[#This Row],[Level2]],CustomerHierarchyLevels[],7,FALSE)=0,CustomerHierarchyLevels[[#This Row],[Level2]],VLOOKUP(CustomerHierarchyLevels[[#This Row],[Level2]],CustomerHierarchyLevels[],7,FALSE))</f>
        <v>6727</v>
      </c>
    </row>
    <row r="436" spans="1:19" x14ac:dyDescent="0.25">
      <c r="A436">
        <v>1364</v>
      </c>
      <c r="B436" t="s">
        <v>13</v>
      </c>
      <c r="C436" t="s">
        <v>59</v>
      </c>
      <c r="D436">
        <v>0</v>
      </c>
      <c r="E436">
        <v>39010</v>
      </c>
      <c r="F436">
        <v>2958465</v>
      </c>
      <c r="G436">
        <v>6268</v>
      </c>
      <c r="H436" t="s">
        <v>13</v>
      </c>
      <c r="I436" t="s">
        <v>59</v>
      </c>
      <c r="J436">
        <v>0</v>
      </c>
      <c r="K436">
        <v>0</v>
      </c>
      <c r="N436">
        <v>0</v>
      </c>
      <c r="O436" t="s">
        <v>1582</v>
      </c>
      <c r="P436" t="s">
        <v>1596</v>
      </c>
      <c r="Q436" s="30">
        <f>IF(CustomerHierarchyLevels[[#This Row],[HgLvCust.]]=0,CustomerHierarchyLevels[[#This Row],[Customer]],CustomerHierarchyLevels[[#This Row],[HgLvCust.]])</f>
        <v>6268</v>
      </c>
      <c r="R436" s="30">
        <f>IF(VLOOKUP(CustomerHierarchyLevels[[#This Row],[Level1]],CustomerHierarchyLevels[],7,FALSE)=0,CustomerHierarchyLevels[[#This Row],[Level1]],VLOOKUP(CustomerHierarchyLevels[[#This Row],[Level1]],CustomerHierarchyLevels[],7,FALSE))</f>
        <v>6269</v>
      </c>
      <c r="S436" s="30">
        <f>IF(VLOOKUP(CustomerHierarchyLevels[[#This Row],[Level2]],CustomerHierarchyLevels[],7,FALSE)=0,CustomerHierarchyLevels[[#This Row],[Level2]],VLOOKUP(CustomerHierarchyLevels[[#This Row],[Level2]],CustomerHierarchyLevels[],7,FALSE))</f>
        <v>6727</v>
      </c>
    </row>
    <row r="437" spans="1:19" x14ac:dyDescent="0.25">
      <c r="A437">
        <v>1226</v>
      </c>
      <c r="B437" t="s">
        <v>13</v>
      </c>
      <c r="C437" t="s">
        <v>59</v>
      </c>
      <c r="D437">
        <v>0</v>
      </c>
      <c r="E437">
        <v>39010</v>
      </c>
      <c r="F437">
        <v>2958465</v>
      </c>
      <c r="G437">
        <v>6270</v>
      </c>
      <c r="H437" t="s">
        <v>13</v>
      </c>
      <c r="I437" t="s">
        <v>59</v>
      </c>
      <c r="J437">
        <v>0</v>
      </c>
      <c r="K437">
        <v>0</v>
      </c>
      <c r="N437">
        <v>0</v>
      </c>
      <c r="O437" t="s">
        <v>1597</v>
      </c>
      <c r="P437" t="s">
        <v>1598</v>
      </c>
      <c r="Q437" s="30">
        <f>IF(CustomerHierarchyLevels[[#This Row],[HgLvCust.]]=0,CustomerHierarchyLevels[[#This Row],[Customer]],CustomerHierarchyLevels[[#This Row],[HgLvCust.]])</f>
        <v>6270</v>
      </c>
      <c r="R437" s="30">
        <f>IF(VLOOKUP(CustomerHierarchyLevels[[#This Row],[Level1]],CustomerHierarchyLevels[],7,FALSE)=0,CustomerHierarchyLevels[[#This Row],[Level1]],VLOOKUP(CustomerHierarchyLevels[[#This Row],[Level1]],CustomerHierarchyLevels[],7,FALSE))</f>
        <v>6271</v>
      </c>
      <c r="S437" s="30">
        <f>IF(VLOOKUP(CustomerHierarchyLevels[[#This Row],[Level2]],CustomerHierarchyLevels[],7,FALSE)=0,CustomerHierarchyLevels[[#This Row],[Level2]],VLOOKUP(CustomerHierarchyLevels[[#This Row],[Level2]],CustomerHierarchyLevels[],7,FALSE))</f>
        <v>6728</v>
      </c>
    </row>
    <row r="438" spans="1:19" x14ac:dyDescent="0.25">
      <c r="A438">
        <v>1186</v>
      </c>
      <c r="B438" t="s">
        <v>13</v>
      </c>
      <c r="C438" t="s">
        <v>59</v>
      </c>
      <c r="D438">
        <v>0</v>
      </c>
      <c r="E438">
        <v>39010</v>
      </c>
      <c r="F438">
        <v>2958465</v>
      </c>
      <c r="G438">
        <v>6270</v>
      </c>
      <c r="H438" t="s">
        <v>13</v>
      </c>
      <c r="I438" t="s">
        <v>59</v>
      </c>
      <c r="J438">
        <v>0</v>
      </c>
      <c r="K438">
        <v>0</v>
      </c>
      <c r="N438">
        <v>0</v>
      </c>
      <c r="O438" t="s">
        <v>1597</v>
      </c>
      <c r="P438" t="s">
        <v>1599</v>
      </c>
      <c r="Q438" s="30">
        <f>IF(CustomerHierarchyLevels[[#This Row],[HgLvCust.]]=0,CustomerHierarchyLevels[[#This Row],[Customer]],CustomerHierarchyLevels[[#This Row],[HgLvCust.]])</f>
        <v>6270</v>
      </c>
      <c r="R438" s="30">
        <f>IF(VLOOKUP(CustomerHierarchyLevels[[#This Row],[Level1]],CustomerHierarchyLevels[],7,FALSE)=0,CustomerHierarchyLevels[[#This Row],[Level1]],VLOOKUP(CustomerHierarchyLevels[[#This Row],[Level1]],CustomerHierarchyLevels[],7,FALSE))</f>
        <v>6271</v>
      </c>
      <c r="S438" s="30">
        <f>IF(VLOOKUP(CustomerHierarchyLevels[[#This Row],[Level2]],CustomerHierarchyLevels[],7,FALSE)=0,CustomerHierarchyLevels[[#This Row],[Level2]],VLOOKUP(CustomerHierarchyLevels[[#This Row],[Level2]],CustomerHierarchyLevels[],7,FALSE))</f>
        <v>6728</v>
      </c>
    </row>
    <row r="439" spans="1:19" x14ac:dyDescent="0.25">
      <c r="A439">
        <v>3161</v>
      </c>
      <c r="B439" t="s">
        <v>13</v>
      </c>
      <c r="C439" t="s">
        <v>59</v>
      </c>
      <c r="D439">
        <v>0</v>
      </c>
      <c r="E439">
        <v>39010</v>
      </c>
      <c r="F439">
        <v>2958465</v>
      </c>
      <c r="G439">
        <v>6272</v>
      </c>
      <c r="H439" t="s">
        <v>13</v>
      </c>
      <c r="I439" t="s">
        <v>59</v>
      </c>
      <c r="J439">
        <v>0</v>
      </c>
      <c r="K439">
        <v>0</v>
      </c>
      <c r="N439">
        <v>0</v>
      </c>
      <c r="O439" t="s">
        <v>1600</v>
      </c>
      <c r="P439" t="s">
        <v>1601</v>
      </c>
      <c r="Q439" s="30">
        <f>IF(CustomerHierarchyLevels[[#This Row],[HgLvCust.]]=0,CustomerHierarchyLevels[[#This Row],[Customer]],CustomerHierarchyLevels[[#This Row],[HgLvCust.]])</f>
        <v>6272</v>
      </c>
      <c r="R439" s="30">
        <f>IF(VLOOKUP(CustomerHierarchyLevels[[#This Row],[Level1]],CustomerHierarchyLevels[],7,FALSE)=0,CustomerHierarchyLevels[[#This Row],[Level1]],VLOOKUP(CustomerHierarchyLevels[[#This Row],[Level1]],CustomerHierarchyLevels[],7,FALSE))</f>
        <v>6273</v>
      </c>
      <c r="S439" s="30">
        <f>IF(VLOOKUP(CustomerHierarchyLevels[[#This Row],[Level2]],CustomerHierarchyLevels[],7,FALSE)=0,CustomerHierarchyLevels[[#This Row],[Level2]],VLOOKUP(CustomerHierarchyLevels[[#This Row],[Level2]],CustomerHierarchyLevels[],7,FALSE))</f>
        <v>6729</v>
      </c>
    </row>
    <row r="440" spans="1:19" x14ac:dyDescent="0.25">
      <c r="A440">
        <v>3197</v>
      </c>
      <c r="B440" t="s">
        <v>13</v>
      </c>
      <c r="C440" t="s">
        <v>59</v>
      </c>
      <c r="D440">
        <v>0</v>
      </c>
      <c r="E440">
        <v>39010</v>
      </c>
      <c r="F440">
        <v>2958465</v>
      </c>
      <c r="G440">
        <v>6272</v>
      </c>
      <c r="H440" t="s">
        <v>13</v>
      </c>
      <c r="I440" t="s">
        <v>59</v>
      </c>
      <c r="J440">
        <v>0</v>
      </c>
      <c r="K440">
        <v>0</v>
      </c>
      <c r="N440">
        <v>0</v>
      </c>
      <c r="O440" t="s">
        <v>1602</v>
      </c>
      <c r="P440" t="s">
        <v>1603</v>
      </c>
      <c r="Q440" s="30">
        <f>IF(CustomerHierarchyLevels[[#This Row],[HgLvCust.]]=0,CustomerHierarchyLevels[[#This Row],[Customer]],CustomerHierarchyLevels[[#This Row],[HgLvCust.]])</f>
        <v>6272</v>
      </c>
      <c r="R440" s="30">
        <f>IF(VLOOKUP(CustomerHierarchyLevels[[#This Row],[Level1]],CustomerHierarchyLevels[],7,FALSE)=0,CustomerHierarchyLevels[[#This Row],[Level1]],VLOOKUP(CustomerHierarchyLevels[[#This Row],[Level1]],CustomerHierarchyLevels[],7,FALSE))</f>
        <v>6273</v>
      </c>
      <c r="S440" s="30">
        <f>IF(VLOOKUP(CustomerHierarchyLevels[[#This Row],[Level2]],CustomerHierarchyLevels[],7,FALSE)=0,CustomerHierarchyLevels[[#This Row],[Level2]],VLOOKUP(CustomerHierarchyLevels[[#This Row],[Level2]],CustomerHierarchyLevels[],7,FALSE))</f>
        <v>6729</v>
      </c>
    </row>
    <row r="441" spans="1:19" x14ac:dyDescent="0.25">
      <c r="A441">
        <v>3513</v>
      </c>
      <c r="B441" t="s">
        <v>13</v>
      </c>
      <c r="C441" t="s">
        <v>59</v>
      </c>
      <c r="D441">
        <v>0</v>
      </c>
      <c r="E441">
        <v>39010</v>
      </c>
      <c r="F441">
        <v>2958465</v>
      </c>
      <c r="G441">
        <v>6272</v>
      </c>
      <c r="H441" t="s">
        <v>13</v>
      </c>
      <c r="I441" t="s">
        <v>59</v>
      </c>
      <c r="J441">
        <v>0</v>
      </c>
      <c r="K441">
        <v>0</v>
      </c>
      <c r="N441">
        <v>0</v>
      </c>
      <c r="O441" t="s">
        <v>1604</v>
      </c>
      <c r="P441" t="s">
        <v>1605</v>
      </c>
      <c r="Q441" s="30">
        <f>IF(CustomerHierarchyLevels[[#This Row],[HgLvCust.]]=0,CustomerHierarchyLevels[[#This Row],[Customer]],CustomerHierarchyLevels[[#This Row],[HgLvCust.]])</f>
        <v>6272</v>
      </c>
      <c r="R441" s="30">
        <f>IF(VLOOKUP(CustomerHierarchyLevels[[#This Row],[Level1]],CustomerHierarchyLevels[],7,FALSE)=0,CustomerHierarchyLevels[[#This Row],[Level1]],VLOOKUP(CustomerHierarchyLevels[[#This Row],[Level1]],CustomerHierarchyLevels[],7,FALSE))</f>
        <v>6273</v>
      </c>
      <c r="S441" s="30">
        <f>IF(VLOOKUP(CustomerHierarchyLevels[[#This Row],[Level2]],CustomerHierarchyLevels[],7,FALSE)=0,CustomerHierarchyLevels[[#This Row],[Level2]],VLOOKUP(CustomerHierarchyLevels[[#This Row],[Level2]],CustomerHierarchyLevels[],7,FALSE))</f>
        <v>6729</v>
      </c>
    </row>
    <row r="442" spans="1:19" x14ac:dyDescent="0.25">
      <c r="A442">
        <v>4787</v>
      </c>
      <c r="B442" t="s">
        <v>13</v>
      </c>
      <c r="C442" t="s">
        <v>59</v>
      </c>
      <c r="D442">
        <v>0</v>
      </c>
      <c r="E442">
        <v>39010</v>
      </c>
      <c r="F442">
        <v>2958465</v>
      </c>
      <c r="G442">
        <v>6274</v>
      </c>
      <c r="H442" t="s">
        <v>13</v>
      </c>
      <c r="I442" t="s">
        <v>59</v>
      </c>
      <c r="J442">
        <v>0</v>
      </c>
      <c r="K442">
        <v>0</v>
      </c>
      <c r="N442">
        <v>0</v>
      </c>
      <c r="O442" t="s">
        <v>1569</v>
      </c>
      <c r="P442" t="s">
        <v>1606</v>
      </c>
      <c r="Q442" s="30">
        <f>IF(CustomerHierarchyLevels[[#This Row],[HgLvCust.]]=0,CustomerHierarchyLevels[[#This Row],[Customer]],CustomerHierarchyLevels[[#This Row],[HgLvCust.]])</f>
        <v>6274</v>
      </c>
      <c r="R442" s="30">
        <f>IF(VLOOKUP(CustomerHierarchyLevels[[#This Row],[Level1]],CustomerHierarchyLevels[],7,FALSE)=0,CustomerHierarchyLevels[[#This Row],[Level1]],VLOOKUP(CustomerHierarchyLevels[[#This Row],[Level1]],CustomerHierarchyLevels[],7,FALSE))</f>
        <v>6275</v>
      </c>
      <c r="S442" s="30">
        <f>IF(VLOOKUP(CustomerHierarchyLevels[[#This Row],[Level2]],CustomerHierarchyLevels[],7,FALSE)=0,CustomerHierarchyLevels[[#This Row],[Level2]],VLOOKUP(CustomerHierarchyLevels[[#This Row],[Level2]],CustomerHierarchyLevels[],7,FALSE))</f>
        <v>6730</v>
      </c>
    </row>
    <row r="443" spans="1:19" x14ac:dyDescent="0.25">
      <c r="A443">
        <v>1244</v>
      </c>
      <c r="B443" t="s">
        <v>13</v>
      </c>
      <c r="C443" t="s">
        <v>59</v>
      </c>
      <c r="D443">
        <v>0</v>
      </c>
      <c r="E443">
        <v>39010</v>
      </c>
      <c r="F443">
        <v>2958465</v>
      </c>
      <c r="G443">
        <v>6274</v>
      </c>
      <c r="H443" t="s">
        <v>13</v>
      </c>
      <c r="I443" t="s">
        <v>59</v>
      </c>
      <c r="J443">
        <v>0</v>
      </c>
      <c r="K443">
        <v>0</v>
      </c>
      <c r="N443">
        <v>0</v>
      </c>
      <c r="O443" t="s">
        <v>1607</v>
      </c>
      <c r="P443" t="s">
        <v>1608</v>
      </c>
      <c r="Q443" s="30">
        <f>IF(CustomerHierarchyLevels[[#This Row],[HgLvCust.]]=0,CustomerHierarchyLevels[[#This Row],[Customer]],CustomerHierarchyLevels[[#This Row],[HgLvCust.]])</f>
        <v>6274</v>
      </c>
      <c r="R443" s="30">
        <f>IF(VLOOKUP(CustomerHierarchyLevels[[#This Row],[Level1]],CustomerHierarchyLevels[],7,FALSE)=0,CustomerHierarchyLevels[[#This Row],[Level1]],VLOOKUP(CustomerHierarchyLevels[[#This Row],[Level1]],CustomerHierarchyLevels[],7,FALSE))</f>
        <v>6275</v>
      </c>
      <c r="S443" s="30">
        <f>IF(VLOOKUP(CustomerHierarchyLevels[[#This Row],[Level2]],CustomerHierarchyLevels[],7,FALSE)=0,CustomerHierarchyLevels[[#This Row],[Level2]],VLOOKUP(CustomerHierarchyLevels[[#This Row],[Level2]],CustomerHierarchyLevels[],7,FALSE))</f>
        <v>6730</v>
      </c>
    </row>
    <row r="444" spans="1:19" x14ac:dyDescent="0.25">
      <c r="A444">
        <v>1932</v>
      </c>
      <c r="B444" t="s">
        <v>13</v>
      </c>
      <c r="C444" t="s">
        <v>59</v>
      </c>
      <c r="D444">
        <v>0</v>
      </c>
      <c r="E444">
        <v>39010</v>
      </c>
      <c r="F444">
        <v>2958465</v>
      </c>
      <c r="G444">
        <v>6274</v>
      </c>
      <c r="H444" t="s">
        <v>13</v>
      </c>
      <c r="I444" t="s">
        <v>59</v>
      </c>
      <c r="J444">
        <v>0</v>
      </c>
      <c r="K444">
        <v>0</v>
      </c>
      <c r="N444">
        <v>0</v>
      </c>
      <c r="O444" t="s">
        <v>1609</v>
      </c>
      <c r="P444" t="s">
        <v>1610</v>
      </c>
      <c r="Q444" s="30">
        <f>IF(CustomerHierarchyLevels[[#This Row],[HgLvCust.]]=0,CustomerHierarchyLevels[[#This Row],[Customer]],CustomerHierarchyLevels[[#This Row],[HgLvCust.]])</f>
        <v>6274</v>
      </c>
      <c r="R444" s="30">
        <f>IF(VLOOKUP(CustomerHierarchyLevels[[#This Row],[Level1]],CustomerHierarchyLevels[],7,FALSE)=0,CustomerHierarchyLevels[[#This Row],[Level1]],VLOOKUP(CustomerHierarchyLevels[[#This Row],[Level1]],CustomerHierarchyLevels[],7,FALSE))</f>
        <v>6275</v>
      </c>
      <c r="S444" s="30">
        <f>IF(VLOOKUP(CustomerHierarchyLevels[[#This Row],[Level2]],CustomerHierarchyLevels[],7,FALSE)=0,CustomerHierarchyLevels[[#This Row],[Level2]],VLOOKUP(CustomerHierarchyLevels[[#This Row],[Level2]],CustomerHierarchyLevels[],7,FALSE))</f>
        <v>6730</v>
      </c>
    </row>
    <row r="445" spans="1:19" x14ac:dyDescent="0.25">
      <c r="A445">
        <v>2811</v>
      </c>
      <c r="B445" t="s">
        <v>13</v>
      </c>
      <c r="C445" t="s">
        <v>59</v>
      </c>
      <c r="D445">
        <v>0</v>
      </c>
      <c r="E445">
        <v>39010</v>
      </c>
      <c r="F445">
        <v>2958465</v>
      </c>
      <c r="G445">
        <v>6276</v>
      </c>
      <c r="H445" t="s">
        <v>13</v>
      </c>
      <c r="I445" t="s">
        <v>59</v>
      </c>
      <c r="J445">
        <v>0</v>
      </c>
      <c r="K445">
        <v>0</v>
      </c>
      <c r="N445">
        <v>0</v>
      </c>
      <c r="O445" t="s">
        <v>1611</v>
      </c>
      <c r="P445" t="s">
        <v>1612</v>
      </c>
      <c r="Q445" s="30">
        <f>IF(CustomerHierarchyLevels[[#This Row],[HgLvCust.]]=0,CustomerHierarchyLevels[[#This Row],[Customer]],CustomerHierarchyLevels[[#This Row],[HgLvCust.]])</f>
        <v>6276</v>
      </c>
      <c r="R445" s="30">
        <f>IF(VLOOKUP(CustomerHierarchyLevels[[#This Row],[Level1]],CustomerHierarchyLevels[],7,FALSE)=0,CustomerHierarchyLevels[[#This Row],[Level1]],VLOOKUP(CustomerHierarchyLevels[[#This Row],[Level1]],CustomerHierarchyLevels[],7,FALSE))</f>
        <v>6277</v>
      </c>
      <c r="S445" s="30">
        <f>IF(VLOOKUP(CustomerHierarchyLevels[[#This Row],[Level2]],CustomerHierarchyLevels[],7,FALSE)=0,CustomerHierarchyLevels[[#This Row],[Level2]],VLOOKUP(CustomerHierarchyLevels[[#This Row],[Level2]],CustomerHierarchyLevels[],7,FALSE))</f>
        <v>6731</v>
      </c>
    </row>
    <row r="446" spans="1:19" x14ac:dyDescent="0.25">
      <c r="A446">
        <v>3186</v>
      </c>
      <c r="B446" t="s">
        <v>13</v>
      </c>
      <c r="C446" t="s">
        <v>59</v>
      </c>
      <c r="D446">
        <v>0</v>
      </c>
      <c r="E446">
        <v>39010</v>
      </c>
      <c r="F446">
        <v>2958465</v>
      </c>
      <c r="G446">
        <v>6276</v>
      </c>
      <c r="H446" t="s">
        <v>13</v>
      </c>
      <c r="I446" t="s">
        <v>59</v>
      </c>
      <c r="J446">
        <v>0</v>
      </c>
      <c r="K446">
        <v>0</v>
      </c>
      <c r="N446">
        <v>0</v>
      </c>
      <c r="O446" t="s">
        <v>1613</v>
      </c>
      <c r="P446" t="s">
        <v>1614</v>
      </c>
      <c r="Q446" s="30">
        <f>IF(CustomerHierarchyLevels[[#This Row],[HgLvCust.]]=0,CustomerHierarchyLevels[[#This Row],[Customer]],CustomerHierarchyLevels[[#This Row],[HgLvCust.]])</f>
        <v>6276</v>
      </c>
      <c r="R446" s="30">
        <f>IF(VLOOKUP(CustomerHierarchyLevels[[#This Row],[Level1]],CustomerHierarchyLevels[],7,FALSE)=0,CustomerHierarchyLevels[[#This Row],[Level1]],VLOOKUP(CustomerHierarchyLevels[[#This Row],[Level1]],CustomerHierarchyLevels[],7,FALSE))</f>
        <v>6277</v>
      </c>
      <c r="S446" s="30">
        <f>IF(VLOOKUP(CustomerHierarchyLevels[[#This Row],[Level2]],CustomerHierarchyLevels[],7,FALSE)=0,CustomerHierarchyLevels[[#This Row],[Level2]],VLOOKUP(CustomerHierarchyLevels[[#This Row],[Level2]],CustomerHierarchyLevels[],7,FALSE))</f>
        <v>6731</v>
      </c>
    </row>
    <row r="447" spans="1:19" x14ac:dyDescent="0.25">
      <c r="A447">
        <v>1193</v>
      </c>
      <c r="B447" t="s">
        <v>13</v>
      </c>
      <c r="C447" t="s">
        <v>59</v>
      </c>
      <c r="D447">
        <v>0</v>
      </c>
      <c r="E447">
        <v>39010</v>
      </c>
      <c r="F447">
        <v>2958465</v>
      </c>
      <c r="G447">
        <v>6278</v>
      </c>
      <c r="H447" t="s">
        <v>13</v>
      </c>
      <c r="I447" t="s">
        <v>59</v>
      </c>
      <c r="J447">
        <v>0</v>
      </c>
      <c r="K447">
        <v>0</v>
      </c>
      <c r="N447">
        <v>0</v>
      </c>
      <c r="O447" t="s">
        <v>1615</v>
      </c>
      <c r="P447" t="s">
        <v>1616</v>
      </c>
      <c r="Q447" s="30">
        <f>IF(CustomerHierarchyLevels[[#This Row],[HgLvCust.]]=0,CustomerHierarchyLevels[[#This Row],[Customer]],CustomerHierarchyLevels[[#This Row],[HgLvCust.]])</f>
        <v>6278</v>
      </c>
      <c r="R447" s="30">
        <f>IF(VLOOKUP(CustomerHierarchyLevels[[#This Row],[Level1]],CustomerHierarchyLevels[],7,FALSE)=0,CustomerHierarchyLevels[[#This Row],[Level1]],VLOOKUP(CustomerHierarchyLevels[[#This Row],[Level1]],CustomerHierarchyLevels[],7,FALSE))</f>
        <v>6279</v>
      </c>
      <c r="S447" s="30">
        <f>IF(VLOOKUP(CustomerHierarchyLevels[[#This Row],[Level2]],CustomerHierarchyLevels[],7,FALSE)=0,CustomerHierarchyLevels[[#This Row],[Level2]],VLOOKUP(CustomerHierarchyLevels[[#This Row],[Level2]],CustomerHierarchyLevels[],7,FALSE))</f>
        <v>6732</v>
      </c>
    </row>
    <row r="448" spans="1:19" x14ac:dyDescent="0.25">
      <c r="A448">
        <v>1346</v>
      </c>
      <c r="B448" t="s">
        <v>13</v>
      </c>
      <c r="C448" t="s">
        <v>59</v>
      </c>
      <c r="D448">
        <v>0</v>
      </c>
      <c r="E448">
        <v>39010</v>
      </c>
      <c r="F448">
        <v>2958465</v>
      </c>
      <c r="G448">
        <v>6278</v>
      </c>
      <c r="H448" t="s">
        <v>13</v>
      </c>
      <c r="I448" t="s">
        <v>59</v>
      </c>
      <c r="J448">
        <v>0</v>
      </c>
      <c r="K448">
        <v>0</v>
      </c>
      <c r="N448">
        <v>0</v>
      </c>
      <c r="O448" t="s">
        <v>1615</v>
      </c>
      <c r="P448" t="s">
        <v>1617</v>
      </c>
      <c r="Q448" s="30">
        <f>IF(CustomerHierarchyLevels[[#This Row],[HgLvCust.]]=0,CustomerHierarchyLevels[[#This Row],[Customer]],CustomerHierarchyLevels[[#This Row],[HgLvCust.]])</f>
        <v>6278</v>
      </c>
      <c r="R448" s="30">
        <f>IF(VLOOKUP(CustomerHierarchyLevels[[#This Row],[Level1]],CustomerHierarchyLevels[],7,FALSE)=0,CustomerHierarchyLevels[[#This Row],[Level1]],VLOOKUP(CustomerHierarchyLevels[[#This Row],[Level1]],CustomerHierarchyLevels[],7,FALSE))</f>
        <v>6279</v>
      </c>
      <c r="S448" s="30">
        <f>IF(VLOOKUP(CustomerHierarchyLevels[[#This Row],[Level2]],CustomerHierarchyLevels[],7,FALSE)=0,CustomerHierarchyLevels[[#This Row],[Level2]],VLOOKUP(CustomerHierarchyLevels[[#This Row],[Level2]],CustomerHierarchyLevels[],7,FALSE))</f>
        <v>6732</v>
      </c>
    </row>
    <row r="449" spans="1:19" x14ac:dyDescent="0.25">
      <c r="A449">
        <v>6537</v>
      </c>
      <c r="B449" t="s">
        <v>13</v>
      </c>
      <c r="C449" t="s">
        <v>95</v>
      </c>
      <c r="D449">
        <v>0</v>
      </c>
      <c r="E449">
        <v>39020</v>
      </c>
      <c r="F449">
        <v>2958465</v>
      </c>
      <c r="G449">
        <v>6535</v>
      </c>
      <c r="H449" t="s">
        <v>13</v>
      </c>
      <c r="I449" t="s">
        <v>95</v>
      </c>
      <c r="J449">
        <v>0</v>
      </c>
      <c r="K449">
        <v>0</v>
      </c>
      <c r="L449" t="s">
        <v>1200</v>
      </c>
      <c r="M449" t="s">
        <v>1200</v>
      </c>
      <c r="N449">
        <v>2</v>
      </c>
      <c r="O449" t="s">
        <v>96</v>
      </c>
      <c r="P449" t="s">
        <v>1618</v>
      </c>
      <c r="Q449" s="30">
        <f>IF(CustomerHierarchyLevels[[#This Row],[HgLvCust.]]=0,CustomerHierarchyLevels[[#This Row],[Customer]],CustomerHierarchyLevels[[#This Row],[HgLvCust.]])</f>
        <v>6535</v>
      </c>
      <c r="R449" s="30">
        <f>IF(VLOOKUP(CustomerHierarchyLevels[[#This Row],[Level1]],CustomerHierarchyLevels[],7,FALSE)=0,CustomerHierarchyLevels[[#This Row],[Level1]],VLOOKUP(CustomerHierarchyLevels[[#This Row],[Level1]],CustomerHierarchyLevels[],7,FALSE))</f>
        <v>6535</v>
      </c>
      <c r="S449" s="30">
        <f>IF(VLOOKUP(CustomerHierarchyLevels[[#This Row],[Level2]],CustomerHierarchyLevels[],7,FALSE)=0,CustomerHierarchyLevels[[#This Row],[Level2]],VLOOKUP(CustomerHierarchyLevels[[#This Row],[Level2]],CustomerHierarchyLevels[],7,FALSE))</f>
        <v>6535</v>
      </c>
    </row>
    <row r="450" spans="1:19" x14ac:dyDescent="0.25">
      <c r="A450">
        <v>6535</v>
      </c>
      <c r="B450" t="s">
        <v>13</v>
      </c>
      <c r="C450" t="s">
        <v>95</v>
      </c>
      <c r="D450">
        <v>0</v>
      </c>
      <c r="E450">
        <v>39020</v>
      </c>
      <c r="F450">
        <v>2958465</v>
      </c>
      <c r="K450">
        <v>0</v>
      </c>
      <c r="L450" t="s">
        <v>1200</v>
      </c>
      <c r="M450" t="s">
        <v>1200</v>
      </c>
      <c r="N450">
        <v>0</v>
      </c>
      <c r="O450" t="s">
        <v>96</v>
      </c>
      <c r="P450" t="s">
        <v>1619</v>
      </c>
      <c r="Q450" s="30">
        <f>IF(CustomerHierarchyLevels[[#This Row],[HgLvCust.]]=0,CustomerHierarchyLevels[[#This Row],[Customer]],CustomerHierarchyLevels[[#This Row],[HgLvCust.]])</f>
        <v>6535</v>
      </c>
      <c r="R450" s="30">
        <f>IF(VLOOKUP(CustomerHierarchyLevels[[#This Row],[Level1]],CustomerHierarchyLevels[],7,FALSE)=0,CustomerHierarchyLevels[[#This Row],[Level1]],VLOOKUP(CustomerHierarchyLevels[[#This Row],[Level1]],CustomerHierarchyLevels[],7,FALSE))</f>
        <v>6535</v>
      </c>
      <c r="S450" s="30">
        <f>IF(VLOOKUP(CustomerHierarchyLevels[[#This Row],[Level2]],CustomerHierarchyLevels[],7,FALSE)=0,CustomerHierarchyLevels[[#This Row],[Level2]],VLOOKUP(CustomerHierarchyLevels[[#This Row],[Level2]],CustomerHierarchyLevels[],7,FALSE))</f>
        <v>6535</v>
      </c>
    </row>
    <row r="451" spans="1:19" x14ac:dyDescent="0.25">
      <c r="A451">
        <v>6538</v>
      </c>
      <c r="B451" t="s">
        <v>13</v>
      </c>
      <c r="C451" t="s">
        <v>95</v>
      </c>
      <c r="D451">
        <v>0</v>
      </c>
      <c r="E451">
        <v>39020</v>
      </c>
      <c r="F451">
        <v>2958465</v>
      </c>
      <c r="G451">
        <v>6535</v>
      </c>
      <c r="H451" t="s">
        <v>13</v>
      </c>
      <c r="I451" t="s">
        <v>95</v>
      </c>
      <c r="J451">
        <v>0</v>
      </c>
      <c r="K451">
        <v>0</v>
      </c>
      <c r="L451" t="s">
        <v>1200</v>
      </c>
      <c r="M451" t="s">
        <v>1200</v>
      </c>
      <c r="N451">
        <v>2</v>
      </c>
      <c r="O451" t="s">
        <v>96</v>
      </c>
      <c r="P451" t="s">
        <v>1620</v>
      </c>
      <c r="Q451" s="30">
        <f>IF(CustomerHierarchyLevels[[#This Row],[HgLvCust.]]=0,CustomerHierarchyLevels[[#This Row],[Customer]],CustomerHierarchyLevels[[#This Row],[HgLvCust.]])</f>
        <v>6535</v>
      </c>
      <c r="R451" s="30">
        <f>IF(VLOOKUP(CustomerHierarchyLevels[[#This Row],[Level1]],CustomerHierarchyLevels[],7,FALSE)=0,CustomerHierarchyLevels[[#This Row],[Level1]],VLOOKUP(CustomerHierarchyLevels[[#This Row],[Level1]],CustomerHierarchyLevels[],7,FALSE))</f>
        <v>6535</v>
      </c>
      <c r="S451" s="30">
        <f>IF(VLOOKUP(CustomerHierarchyLevels[[#This Row],[Level2]],CustomerHierarchyLevels[],7,FALSE)=0,CustomerHierarchyLevels[[#This Row],[Level2]],VLOOKUP(CustomerHierarchyLevels[[#This Row],[Level2]],CustomerHierarchyLevels[],7,FALSE))</f>
        <v>6535</v>
      </c>
    </row>
    <row r="452" spans="1:19" x14ac:dyDescent="0.25">
      <c r="A452">
        <v>6536</v>
      </c>
      <c r="B452" t="s">
        <v>13</v>
      </c>
      <c r="C452" t="s">
        <v>95</v>
      </c>
      <c r="D452">
        <v>0</v>
      </c>
      <c r="E452">
        <v>39020</v>
      </c>
      <c r="F452">
        <v>2958465</v>
      </c>
      <c r="G452">
        <v>6535</v>
      </c>
      <c r="H452" t="s">
        <v>13</v>
      </c>
      <c r="I452" t="s">
        <v>95</v>
      </c>
      <c r="J452">
        <v>0</v>
      </c>
      <c r="K452">
        <v>0</v>
      </c>
      <c r="L452" t="s">
        <v>1200</v>
      </c>
      <c r="M452" t="s">
        <v>1200</v>
      </c>
      <c r="N452">
        <v>2</v>
      </c>
      <c r="O452" t="s">
        <v>96</v>
      </c>
      <c r="P452" t="s">
        <v>1621</v>
      </c>
      <c r="Q452" s="30">
        <f>IF(CustomerHierarchyLevels[[#This Row],[HgLvCust.]]=0,CustomerHierarchyLevels[[#This Row],[Customer]],CustomerHierarchyLevels[[#This Row],[HgLvCust.]])</f>
        <v>6535</v>
      </c>
      <c r="R452" s="30">
        <f>IF(VLOOKUP(CustomerHierarchyLevels[[#This Row],[Level1]],CustomerHierarchyLevels[],7,FALSE)=0,CustomerHierarchyLevels[[#This Row],[Level1]],VLOOKUP(CustomerHierarchyLevels[[#This Row],[Level1]],CustomerHierarchyLevels[],7,FALSE))</f>
        <v>6535</v>
      </c>
      <c r="S452" s="30">
        <f>IF(VLOOKUP(CustomerHierarchyLevels[[#This Row],[Level2]],CustomerHierarchyLevels[],7,FALSE)=0,CustomerHierarchyLevels[[#This Row],[Level2]],VLOOKUP(CustomerHierarchyLevels[[#This Row],[Level2]],CustomerHierarchyLevels[],7,FALSE))</f>
        <v>6535</v>
      </c>
    </row>
    <row r="453" spans="1:19" x14ac:dyDescent="0.25">
      <c r="A453">
        <v>2298</v>
      </c>
      <c r="B453" t="s">
        <v>13</v>
      </c>
      <c r="C453" t="s">
        <v>95</v>
      </c>
      <c r="D453">
        <v>0</v>
      </c>
      <c r="E453">
        <v>39020</v>
      </c>
      <c r="F453">
        <v>2958465</v>
      </c>
      <c r="G453">
        <v>6536</v>
      </c>
      <c r="H453" t="s">
        <v>13</v>
      </c>
      <c r="I453" t="s">
        <v>95</v>
      </c>
      <c r="J453">
        <v>0</v>
      </c>
      <c r="K453">
        <v>0</v>
      </c>
      <c r="N453">
        <v>0</v>
      </c>
      <c r="O453" t="s">
        <v>96</v>
      </c>
      <c r="P453" t="s">
        <v>1622</v>
      </c>
      <c r="Q453" s="30">
        <f>IF(CustomerHierarchyLevels[[#This Row],[HgLvCust.]]=0,CustomerHierarchyLevels[[#This Row],[Customer]],CustomerHierarchyLevels[[#This Row],[HgLvCust.]])</f>
        <v>6536</v>
      </c>
      <c r="R453" s="30">
        <f>IF(VLOOKUP(CustomerHierarchyLevels[[#This Row],[Level1]],CustomerHierarchyLevels[],7,FALSE)=0,CustomerHierarchyLevels[[#This Row],[Level1]],VLOOKUP(CustomerHierarchyLevels[[#This Row],[Level1]],CustomerHierarchyLevels[],7,FALSE))</f>
        <v>6535</v>
      </c>
      <c r="S453" s="30">
        <f>IF(VLOOKUP(CustomerHierarchyLevels[[#This Row],[Level2]],CustomerHierarchyLevels[],7,FALSE)=0,CustomerHierarchyLevels[[#This Row],[Level2]],VLOOKUP(CustomerHierarchyLevels[[#This Row],[Level2]],CustomerHierarchyLevels[],7,FALSE))</f>
        <v>6535</v>
      </c>
    </row>
    <row r="454" spans="1:19" x14ac:dyDescent="0.25">
      <c r="A454">
        <v>2313</v>
      </c>
      <c r="B454" t="s">
        <v>13</v>
      </c>
      <c r="C454" t="s">
        <v>95</v>
      </c>
      <c r="D454">
        <v>0</v>
      </c>
      <c r="E454">
        <v>39020</v>
      </c>
      <c r="F454">
        <v>2958465</v>
      </c>
      <c r="G454">
        <v>6537</v>
      </c>
      <c r="H454" t="s">
        <v>13</v>
      </c>
      <c r="I454" t="s">
        <v>95</v>
      </c>
      <c r="J454">
        <v>0</v>
      </c>
      <c r="K454">
        <v>0</v>
      </c>
      <c r="N454">
        <v>0</v>
      </c>
      <c r="O454" t="s">
        <v>96</v>
      </c>
      <c r="P454" t="s">
        <v>1623</v>
      </c>
      <c r="Q454" s="30">
        <f>IF(CustomerHierarchyLevels[[#This Row],[HgLvCust.]]=0,CustomerHierarchyLevels[[#This Row],[Customer]],CustomerHierarchyLevels[[#This Row],[HgLvCust.]])</f>
        <v>6537</v>
      </c>
      <c r="R454" s="30">
        <f>IF(VLOOKUP(CustomerHierarchyLevels[[#This Row],[Level1]],CustomerHierarchyLevels[],7,FALSE)=0,CustomerHierarchyLevels[[#This Row],[Level1]],VLOOKUP(CustomerHierarchyLevels[[#This Row],[Level1]],CustomerHierarchyLevels[],7,FALSE))</f>
        <v>6535</v>
      </c>
      <c r="S454" s="30">
        <f>IF(VLOOKUP(CustomerHierarchyLevels[[#This Row],[Level2]],CustomerHierarchyLevels[],7,FALSE)=0,CustomerHierarchyLevels[[#This Row],[Level2]],VLOOKUP(CustomerHierarchyLevels[[#This Row],[Level2]],CustomerHierarchyLevels[],7,FALSE))</f>
        <v>6535</v>
      </c>
    </row>
    <row r="455" spans="1:19" x14ac:dyDescent="0.25">
      <c r="A455">
        <v>6951</v>
      </c>
      <c r="B455" t="s">
        <v>13</v>
      </c>
      <c r="C455" t="s">
        <v>95</v>
      </c>
      <c r="D455">
        <v>0</v>
      </c>
      <c r="E455">
        <v>39036</v>
      </c>
      <c r="F455">
        <v>2958465</v>
      </c>
      <c r="G455">
        <v>6329</v>
      </c>
      <c r="H455" t="s">
        <v>13</v>
      </c>
      <c r="I455" t="s">
        <v>95</v>
      </c>
      <c r="J455">
        <v>0</v>
      </c>
      <c r="K455">
        <v>0</v>
      </c>
      <c r="N455">
        <v>0</v>
      </c>
      <c r="O455" t="s">
        <v>96</v>
      </c>
      <c r="P455" t="s">
        <v>193</v>
      </c>
      <c r="Q455" s="30">
        <f>IF(CustomerHierarchyLevels[[#This Row],[HgLvCust.]]=0,CustomerHierarchyLevels[[#This Row],[Customer]],CustomerHierarchyLevels[[#This Row],[HgLvCust.]])</f>
        <v>6329</v>
      </c>
      <c r="R455" s="30">
        <f>IF(VLOOKUP(CustomerHierarchyLevels[[#This Row],[Level1]],CustomerHierarchyLevels[],7,FALSE)=0,CustomerHierarchyLevels[[#This Row],[Level1]],VLOOKUP(CustomerHierarchyLevels[[#This Row],[Level1]],CustomerHierarchyLevels[],7,FALSE))</f>
        <v>2126</v>
      </c>
      <c r="S455" s="30">
        <f>IF(VLOOKUP(CustomerHierarchyLevels[[#This Row],[Level2]],CustomerHierarchyLevels[],7,FALSE)=0,CustomerHierarchyLevels[[#This Row],[Level2]],VLOOKUP(CustomerHierarchyLevels[[#This Row],[Level2]],CustomerHierarchyLevels[],7,FALSE))</f>
        <v>2125</v>
      </c>
    </row>
    <row r="456" spans="1:19" x14ac:dyDescent="0.25">
      <c r="A456">
        <v>1339</v>
      </c>
      <c r="B456" t="s">
        <v>13</v>
      </c>
      <c r="C456" t="s">
        <v>95</v>
      </c>
      <c r="D456">
        <v>0</v>
      </c>
      <c r="E456">
        <v>39036</v>
      </c>
      <c r="F456">
        <v>2958465</v>
      </c>
      <c r="G456">
        <v>6312</v>
      </c>
      <c r="H456" t="s">
        <v>13</v>
      </c>
      <c r="I456" t="s">
        <v>95</v>
      </c>
      <c r="J456">
        <v>0</v>
      </c>
      <c r="K456">
        <v>0</v>
      </c>
      <c r="N456">
        <v>0</v>
      </c>
      <c r="O456" t="s">
        <v>96</v>
      </c>
      <c r="P456" t="s">
        <v>1624</v>
      </c>
      <c r="Q456" s="30">
        <f>IF(CustomerHierarchyLevels[[#This Row],[HgLvCust.]]=0,CustomerHierarchyLevels[[#This Row],[Customer]],CustomerHierarchyLevels[[#This Row],[HgLvCust.]])</f>
        <v>6312</v>
      </c>
      <c r="R456" s="30">
        <f>IF(VLOOKUP(CustomerHierarchyLevels[[#This Row],[Level1]],CustomerHierarchyLevels[],7,FALSE)=0,CustomerHierarchyLevels[[#This Row],[Level1]],VLOOKUP(CustomerHierarchyLevels[[#This Row],[Level1]],CustomerHierarchyLevels[],7,FALSE))</f>
        <v>6310</v>
      </c>
      <c r="S456" s="30">
        <f>IF(VLOOKUP(CustomerHierarchyLevels[[#This Row],[Level2]],CustomerHierarchyLevels[],7,FALSE)=0,CustomerHierarchyLevels[[#This Row],[Level2]],VLOOKUP(CustomerHierarchyLevels[[#This Row],[Level2]],CustomerHierarchyLevels[],7,FALSE))</f>
        <v>6309</v>
      </c>
    </row>
    <row r="457" spans="1:19" x14ac:dyDescent="0.25">
      <c r="A457">
        <v>1395</v>
      </c>
      <c r="B457" t="s">
        <v>13</v>
      </c>
      <c r="C457" t="s">
        <v>95</v>
      </c>
      <c r="D457">
        <v>0</v>
      </c>
      <c r="E457">
        <v>39036</v>
      </c>
      <c r="F457">
        <v>2958465</v>
      </c>
      <c r="G457">
        <v>6312</v>
      </c>
      <c r="H457" t="s">
        <v>13</v>
      </c>
      <c r="I457" t="s">
        <v>95</v>
      </c>
      <c r="J457">
        <v>0</v>
      </c>
      <c r="K457">
        <v>0</v>
      </c>
      <c r="N457">
        <v>0</v>
      </c>
      <c r="O457" t="s">
        <v>96</v>
      </c>
      <c r="P457" t="s">
        <v>1625</v>
      </c>
      <c r="Q457" s="30">
        <f>IF(CustomerHierarchyLevels[[#This Row],[HgLvCust.]]=0,CustomerHierarchyLevels[[#This Row],[Customer]],CustomerHierarchyLevels[[#This Row],[HgLvCust.]])</f>
        <v>6312</v>
      </c>
      <c r="R457" s="30">
        <f>IF(VLOOKUP(CustomerHierarchyLevels[[#This Row],[Level1]],CustomerHierarchyLevels[],7,FALSE)=0,CustomerHierarchyLevels[[#This Row],[Level1]],VLOOKUP(CustomerHierarchyLevels[[#This Row],[Level1]],CustomerHierarchyLevels[],7,FALSE))</f>
        <v>6310</v>
      </c>
      <c r="S457" s="30">
        <f>IF(VLOOKUP(CustomerHierarchyLevels[[#This Row],[Level2]],CustomerHierarchyLevels[],7,FALSE)=0,CustomerHierarchyLevels[[#This Row],[Level2]],VLOOKUP(CustomerHierarchyLevels[[#This Row],[Level2]],CustomerHierarchyLevels[],7,FALSE))</f>
        <v>6309</v>
      </c>
    </row>
    <row r="458" spans="1:19" x14ac:dyDescent="0.25">
      <c r="A458">
        <v>1472</v>
      </c>
      <c r="B458" t="s">
        <v>13</v>
      </c>
      <c r="C458" t="s">
        <v>95</v>
      </c>
      <c r="D458">
        <v>0</v>
      </c>
      <c r="E458">
        <v>39036</v>
      </c>
      <c r="F458">
        <v>2958465</v>
      </c>
      <c r="G458">
        <v>6311</v>
      </c>
      <c r="H458" t="s">
        <v>13</v>
      </c>
      <c r="I458" t="s">
        <v>95</v>
      </c>
      <c r="J458">
        <v>0</v>
      </c>
      <c r="K458">
        <v>0</v>
      </c>
      <c r="N458">
        <v>0</v>
      </c>
      <c r="O458" t="s">
        <v>96</v>
      </c>
      <c r="P458" t="s">
        <v>1626</v>
      </c>
      <c r="Q458" s="30">
        <f>IF(CustomerHierarchyLevels[[#This Row],[HgLvCust.]]=0,CustomerHierarchyLevels[[#This Row],[Customer]],CustomerHierarchyLevels[[#This Row],[HgLvCust.]])</f>
        <v>6311</v>
      </c>
      <c r="R458" s="30">
        <f>IF(VLOOKUP(CustomerHierarchyLevels[[#This Row],[Level1]],CustomerHierarchyLevels[],7,FALSE)=0,CustomerHierarchyLevels[[#This Row],[Level1]],VLOOKUP(CustomerHierarchyLevels[[#This Row],[Level1]],CustomerHierarchyLevels[],7,FALSE))</f>
        <v>6310</v>
      </c>
      <c r="S458" s="30">
        <f>IF(VLOOKUP(CustomerHierarchyLevels[[#This Row],[Level2]],CustomerHierarchyLevels[],7,FALSE)=0,CustomerHierarchyLevels[[#This Row],[Level2]],VLOOKUP(CustomerHierarchyLevels[[#This Row],[Level2]],CustomerHierarchyLevels[],7,FALSE))</f>
        <v>6309</v>
      </c>
    </row>
    <row r="459" spans="1:19" x14ac:dyDescent="0.25">
      <c r="A459">
        <v>1241</v>
      </c>
      <c r="B459" t="s">
        <v>13</v>
      </c>
      <c r="C459" t="s">
        <v>95</v>
      </c>
      <c r="D459">
        <v>0</v>
      </c>
      <c r="E459">
        <v>39036</v>
      </c>
      <c r="F459">
        <v>2958465</v>
      </c>
      <c r="G459">
        <v>6311</v>
      </c>
      <c r="H459" t="s">
        <v>13</v>
      </c>
      <c r="I459" t="s">
        <v>95</v>
      </c>
      <c r="J459">
        <v>0</v>
      </c>
      <c r="K459">
        <v>0</v>
      </c>
      <c r="N459">
        <v>0</v>
      </c>
      <c r="O459" t="s">
        <v>96</v>
      </c>
      <c r="P459" t="s">
        <v>1627</v>
      </c>
      <c r="Q459" s="30">
        <f>IF(CustomerHierarchyLevels[[#This Row],[HgLvCust.]]=0,CustomerHierarchyLevels[[#This Row],[Customer]],CustomerHierarchyLevels[[#This Row],[HgLvCust.]])</f>
        <v>6311</v>
      </c>
      <c r="R459" s="30">
        <f>IF(VLOOKUP(CustomerHierarchyLevels[[#This Row],[Level1]],CustomerHierarchyLevels[],7,FALSE)=0,CustomerHierarchyLevels[[#This Row],[Level1]],VLOOKUP(CustomerHierarchyLevels[[#This Row],[Level1]],CustomerHierarchyLevels[],7,FALSE))</f>
        <v>6310</v>
      </c>
      <c r="S459" s="30">
        <f>IF(VLOOKUP(CustomerHierarchyLevels[[#This Row],[Level2]],CustomerHierarchyLevels[],7,FALSE)=0,CustomerHierarchyLevels[[#This Row],[Level2]],VLOOKUP(CustomerHierarchyLevels[[#This Row],[Level2]],CustomerHierarchyLevels[],7,FALSE))</f>
        <v>6309</v>
      </c>
    </row>
    <row r="460" spans="1:19" x14ac:dyDescent="0.25">
      <c r="A460">
        <v>1334</v>
      </c>
      <c r="B460" t="s">
        <v>13</v>
      </c>
      <c r="C460" t="s">
        <v>95</v>
      </c>
      <c r="D460">
        <v>0</v>
      </c>
      <c r="E460">
        <v>39036</v>
      </c>
      <c r="F460">
        <v>2958465</v>
      </c>
      <c r="G460">
        <v>6311</v>
      </c>
      <c r="H460" t="s">
        <v>13</v>
      </c>
      <c r="I460" t="s">
        <v>95</v>
      </c>
      <c r="J460">
        <v>0</v>
      </c>
      <c r="K460">
        <v>0</v>
      </c>
      <c r="N460">
        <v>0</v>
      </c>
      <c r="O460" t="s">
        <v>96</v>
      </c>
      <c r="P460" t="s">
        <v>1628</v>
      </c>
      <c r="Q460" s="30">
        <f>IF(CustomerHierarchyLevels[[#This Row],[HgLvCust.]]=0,CustomerHierarchyLevels[[#This Row],[Customer]],CustomerHierarchyLevels[[#This Row],[HgLvCust.]])</f>
        <v>6311</v>
      </c>
      <c r="R460" s="30">
        <f>IF(VLOOKUP(CustomerHierarchyLevels[[#This Row],[Level1]],CustomerHierarchyLevels[],7,FALSE)=0,CustomerHierarchyLevels[[#This Row],[Level1]],VLOOKUP(CustomerHierarchyLevels[[#This Row],[Level1]],CustomerHierarchyLevels[],7,FALSE))</f>
        <v>6310</v>
      </c>
      <c r="S460" s="30">
        <f>IF(VLOOKUP(CustomerHierarchyLevels[[#This Row],[Level2]],CustomerHierarchyLevels[],7,FALSE)=0,CustomerHierarchyLevels[[#This Row],[Level2]],VLOOKUP(CustomerHierarchyLevels[[#This Row],[Level2]],CustomerHierarchyLevels[],7,FALSE))</f>
        <v>6309</v>
      </c>
    </row>
    <row r="461" spans="1:19" x14ac:dyDescent="0.25">
      <c r="A461">
        <v>1343</v>
      </c>
      <c r="B461" t="s">
        <v>13</v>
      </c>
      <c r="C461" t="s">
        <v>95</v>
      </c>
      <c r="D461">
        <v>0</v>
      </c>
      <c r="E461">
        <v>39036</v>
      </c>
      <c r="F461">
        <v>2958465</v>
      </c>
      <c r="G461">
        <v>6311</v>
      </c>
      <c r="H461" t="s">
        <v>13</v>
      </c>
      <c r="I461" t="s">
        <v>95</v>
      </c>
      <c r="J461">
        <v>0</v>
      </c>
      <c r="K461">
        <v>0</v>
      </c>
      <c r="N461">
        <v>0</v>
      </c>
      <c r="O461" t="s">
        <v>96</v>
      </c>
      <c r="P461" t="s">
        <v>1629</v>
      </c>
      <c r="Q461" s="30">
        <f>IF(CustomerHierarchyLevels[[#This Row],[HgLvCust.]]=0,CustomerHierarchyLevels[[#This Row],[Customer]],CustomerHierarchyLevels[[#This Row],[HgLvCust.]])</f>
        <v>6311</v>
      </c>
      <c r="R461" s="30">
        <f>IF(VLOOKUP(CustomerHierarchyLevels[[#This Row],[Level1]],CustomerHierarchyLevels[],7,FALSE)=0,CustomerHierarchyLevels[[#This Row],[Level1]],VLOOKUP(CustomerHierarchyLevels[[#This Row],[Level1]],CustomerHierarchyLevels[],7,FALSE))</f>
        <v>6310</v>
      </c>
      <c r="S461" s="30">
        <f>IF(VLOOKUP(CustomerHierarchyLevels[[#This Row],[Level2]],CustomerHierarchyLevels[],7,FALSE)=0,CustomerHierarchyLevels[[#This Row],[Level2]],VLOOKUP(CustomerHierarchyLevels[[#This Row],[Level2]],CustomerHierarchyLevels[],7,FALSE))</f>
        <v>6309</v>
      </c>
    </row>
    <row r="462" spans="1:19" x14ac:dyDescent="0.25">
      <c r="A462">
        <v>6300</v>
      </c>
      <c r="B462" t="s">
        <v>13</v>
      </c>
      <c r="C462" t="s">
        <v>95</v>
      </c>
      <c r="D462">
        <v>0</v>
      </c>
      <c r="E462">
        <v>39057</v>
      </c>
      <c r="F462">
        <v>2958465</v>
      </c>
      <c r="G462">
        <v>6535</v>
      </c>
      <c r="H462" t="s">
        <v>13</v>
      </c>
      <c r="I462" t="s">
        <v>95</v>
      </c>
      <c r="J462">
        <v>0</v>
      </c>
      <c r="K462">
        <v>0</v>
      </c>
      <c r="N462">
        <v>0</v>
      </c>
      <c r="O462" t="s">
        <v>96</v>
      </c>
      <c r="P462" t="s">
        <v>1630</v>
      </c>
      <c r="Q462" s="30">
        <f>IF(CustomerHierarchyLevels[[#This Row],[HgLvCust.]]=0,CustomerHierarchyLevels[[#This Row],[Customer]],CustomerHierarchyLevels[[#This Row],[HgLvCust.]])</f>
        <v>6535</v>
      </c>
      <c r="R462" s="30">
        <f>IF(VLOOKUP(CustomerHierarchyLevels[[#This Row],[Level1]],CustomerHierarchyLevels[],7,FALSE)=0,CustomerHierarchyLevels[[#This Row],[Level1]],VLOOKUP(CustomerHierarchyLevels[[#This Row],[Level1]],CustomerHierarchyLevels[],7,FALSE))</f>
        <v>6535</v>
      </c>
      <c r="S462" s="30">
        <f>IF(VLOOKUP(CustomerHierarchyLevels[[#This Row],[Level2]],CustomerHierarchyLevels[],7,FALSE)=0,CustomerHierarchyLevels[[#This Row],[Level2]],VLOOKUP(CustomerHierarchyLevels[[#This Row],[Level2]],CustomerHierarchyLevels[],7,FALSE))</f>
        <v>6535</v>
      </c>
    </row>
    <row r="463" spans="1:19" x14ac:dyDescent="0.25">
      <c r="A463">
        <v>1443</v>
      </c>
      <c r="B463" t="s">
        <v>13</v>
      </c>
      <c r="C463" t="s">
        <v>95</v>
      </c>
      <c r="D463">
        <v>0</v>
      </c>
      <c r="E463">
        <v>39010</v>
      </c>
      <c r="F463">
        <v>2958465</v>
      </c>
      <c r="G463">
        <v>6292</v>
      </c>
      <c r="H463" t="s">
        <v>13</v>
      </c>
      <c r="I463" t="s">
        <v>95</v>
      </c>
      <c r="J463">
        <v>0</v>
      </c>
      <c r="K463">
        <v>0</v>
      </c>
      <c r="N463">
        <v>0</v>
      </c>
      <c r="O463" t="s">
        <v>96</v>
      </c>
      <c r="P463" t="s">
        <v>1631</v>
      </c>
      <c r="Q463" s="30">
        <f>IF(CustomerHierarchyLevels[[#This Row],[HgLvCust.]]=0,CustomerHierarchyLevels[[#This Row],[Customer]],CustomerHierarchyLevels[[#This Row],[HgLvCust.]])</f>
        <v>6292</v>
      </c>
      <c r="R463" s="30">
        <f>IF(VLOOKUP(CustomerHierarchyLevels[[#This Row],[Level1]],CustomerHierarchyLevels[],7,FALSE)=0,CustomerHierarchyLevels[[#This Row],[Level1]],VLOOKUP(CustomerHierarchyLevels[[#This Row],[Level1]],CustomerHierarchyLevels[],7,FALSE))</f>
        <v>6293</v>
      </c>
      <c r="S463" s="30">
        <f>IF(VLOOKUP(CustomerHierarchyLevels[[#This Row],[Level2]],CustomerHierarchyLevels[],7,FALSE)=0,CustomerHierarchyLevels[[#This Row],[Level2]],VLOOKUP(CustomerHierarchyLevels[[#This Row],[Level2]],CustomerHierarchyLevels[],7,FALSE))</f>
        <v>6716</v>
      </c>
    </row>
    <row r="464" spans="1:19" x14ac:dyDescent="0.25">
      <c r="A464">
        <v>1696</v>
      </c>
      <c r="B464" t="s">
        <v>13</v>
      </c>
      <c r="C464" t="s">
        <v>95</v>
      </c>
      <c r="D464">
        <v>0</v>
      </c>
      <c r="E464">
        <v>39010</v>
      </c>
      <c r="F464">
        <v>2958465</v>
      </c>
      <c r="G464">
        <v>6282</v>
      </c>
      <c r="H464" t="s">
        <v>13</v>
      </c>
      <c r="I464" t="s">
        <v>95</v>
      </c>
      <c r="J464">
        <v>0</v>
      </c>
      <c r="K464">
        <v>0</v>
      </c>
      <c r="N464">
        <v>0</v>
      </c>
      <c r="O464" t="s">
        <v>96</v>
      </c>
      <c r="P464" t="s">
        <v>1632</v>
      </c>
      <c r="Q464" s="30">
        <f>IF(CustomerHierarchyLevels[[#This Row],[HgLvCust.]]=0,CustomerHierarchyLevels[[#This Row],[Customer]],CustomerHierarchyLevels[[#This Row],[HgLvCust.]])</f>
        <v>6282</v>
      </c>
      <c r="R464" s="30">
        <f>IF(VLOOKUP(CustomerHierarchyLevels[[#This Row],[Level1]],CustomerHierarchyLevels[],7,FALSE)=0,CustomerHierarchyLevels[[#This Row],[Level1]],VLOOKUP(CustomerHierarchyLevels[[#This Row],[Level1]],CustomerHierarchyLevels[],7,FALSE))</f>
        <v>6283</v>
      </c>
      <c r="S464" s="30">
        <f>IF(VLOOKUP(CustomerHierarchyLevels[[#This Row],[Level2]],CustomerHierarchyLevels[],7,FALSE)=0,CustomerHierarchyLevels[[#This Row],[Level2]],VLOOKUP(CustomerHierarchyLevels[[#This Row],[Level2]],CustomerHierarchyLevels[],7,FALSE))</f>
        <v>6711</v>
      </c>
    </row>
    <row r="465" spans="1:19" x14ac:dyDescent="0.25">
      <c r="A465">
        <v>5934</v>
      </c>
      <c r="B465" t="s">
        <v>13</v>
      </c>
      <c r="C465" t="s">
        <v>95</v>
      </c>
      <c r="D465">
        <v>0</v>
      </c>
      <c r="E465">
        <v>39010</v>
      </c>
      <c r="F465">
        <v>2958465</v>
      </c>
      <c r="G465">
        <v>6294</v>
      </c>
      <c r="H465" t="s">
        <v>13</v>
      </c>
      <c r="I465" t="s">
        <v>95</v>
      </c>
      <c r="J465">
        <v>0</v>
      </c>
      <c r="K465">
        <v>0</v>
      </c>
      <c r="N465">
        <v>0</v>
      </c>
      <c r="O465" t="s">
        <v>96</v>
      </c>
      <c r="P465" t="s">
        <v>1633</v>
      </c>
      <c r="Q465" s="30">
        <f>IF(CustomerHierarchyLevels[[#This Row],[HgLvCust.]]=0,CustomerHierarchyLevels[[#This Row],[Customer]],CustomerHierarchyLevels[[#This Row],[HgLvCust.]])</f>
        <v>6294</v>
      </c>
      <c r="R465" s="30">
        <f>IF(VLOOKUP(CustomerHierarchyLevels[[#This Row],[Level1]],CustomerHierarchyLevels[],7,FALSE)=0,CustomerHierarchyLevels[[#This Row],[Level1]],VLOOKUP(CustomerHierarchyLevels[[#This Row],[Level1]],CustomerHierarchyLevels[],7,FALSE))</f>
        <v>6295</v>
      </c>
      <c r="S465" s="30">
        <f>IF(VLOOKUP(CustomerHierarchyLevels[[#This Row],[Level2]],CustomerHierarchyLevels[],7,FALSE)=0,CustomerHierarchyLevels[[#This Row],[Level2]],VLOOKUP(CustomerHierarchyLevels[[#This Row],[Level2]],CustomerHierarchyLevels[],7,FALSE))</f>
        <v>6717</v>
      </c>
    </row>
    <row r="466" spans="1:19" x14ac:dyDescent="0.25">
      <c r="A466">
        <v>2957</v>
      </c>
      <c r="B466" t="s">
        <v>13</v>
      </c>
      <c r="C466" t="s">
        <v>59</v>
      </c>
      <c r="D466">
        <v>0</v>
      </c>
      <c r="E466">
        <v>39010</v>
      </c>
      <c r="F466">
        <v>2958465</v>
      </c>
      <c r="G466">
        <v>6266</v>
      </c>
      <c r="H466" t="s">
        <v>13</v>
      </c>
      <c r="I466" t="s">
        <v>59</v>
      </c>
      <c r="J466">
        <v>0</v>
      </c>
      <c r="K466">
        <v>0</v>
      </c>
      <c r="N466">
        <v>0</v>
      </c>
      <c r="O466" t="s">
        <v>1567</v>
      </c>
      <c r="P466" t="s">
        <v>1634</v>
      </c>
      <c r="Q466" s="30">
        <f>IF(CustomerHierarchyLevels[[#This Row],[HgLvCust.]]=0,CustomerHierarchyLevels[[#This Row],[Customer]],CustomerHierarchyLevels[[#This Row],[HgLvCust.]])</f>
        <v>6266</v>
      </c>
      <c r="R466" s="30">
        <f>IF(VLOOKUP(CustomerHierarchyLevels[[#This Row],[Level1]],CustomerHierarchyLevels[],7,FALSE)=0,CustomerHierarchyLevels[[#This Row],[Level1]],VLOOKUP(CustomerHierarchyLevels[[#This Row],[Level1]],CustomerHierarchyLevels[],7,FALSE))</f>
        <v>6267</v>
      </c>
      <c r="S466" s="30">
        <f>IF(VLOOKUP(CustomerHierarchyLevels[[#This Row],[Level2]],CustomerHierarchyLevels[],7,FALSE)=0,CustomerHierarchyLevels[[#This Row],[Level2]],VLOOKUP(CustomerHierarchyLevels[[#This Row],[Level2]],CustomerHierarchyLevels[],7,FALSE))</f>
        <v>6726</v>
      </c>
    </row>
    <row r="467" spans="1:19" x14ac:dyDescent="0.25">
      <c r="A467">
        <v>1647</v>
      </c>
      <c r="B467" t="s">
        <v>13</v>
      </c>
      <c r="C467" t="s">
        <v>59</v>
      </c>
      <c r="D467">
        <v>0</v>
      </c>
      <c r="E467">
        <v>39010</v>
      </c>
      <c r="F467">
        <v>2958465</v>
      </c>
      <c r="G467">
        <v>6254</v>
      </c>
      <c r="H467" t="s">
        <v>13</v>
      </c>
      <c r="I467" t="s">
        <v>59</v>
      </c>
      <c r="J467">
        <v>0</v>
      </c>
      <c r="K467">
        <v>0</v>
      </c>
      <c r="N467">
        <v>0</v>
      </c>
      <c r="O467" t="s">
        <v>1575</v>
      </c>
      <c r="P467" t="s">
        <v>1635</v>
      </c>
      <c r="Q467" s="30">
        <f>IF(CustomerHierarchyLevels[[#This Row],[HgLvCust.]]=0,CustomerHierarchyLevels[[#This Row],[Customer]],CustomerHierarchyLevels[[#This Row],[HgLvCust.]])</f>
        <v>6254</v>
      </c>
      <c r="R467" s="30">
        <f>IF(VLOOKUP(CustomerHierarchyLevels[[#This Row],[Level1]],CustomerHierarchyLevels[],7,FALSE)=0,CustomerHierarchyLevels[[#This Row],[Level1]],VLOOKUP(CustomerHierarchyLevels[[#This Row],[Level1]],CustomerHierarchyLevels[],7,FALSE))</f>
        <v>6255</v>
      </c>
      <c r="S467" s="30">
        <f>IF(VLOOKUP(CustomerHierarchyLevels[[#This Row],[Level2]],CustomerHierarchyLevels[],7,FALSE)=0,CustomerHierarchyLevels[[#This Row],[Level2]],VLOOKUP(CustomerHierarchyLevels[[#This Row],[Level2]],CustomerHierarchyLevels[],7,FALSE))</f>
        <v>6720</v>
      </c>
    </row>
    <row r="468" spans="1:19" x14ac:dyDescent="0.25">
      <c r="A468">
        <v>6227</v>
      </c>
      <c r="B468" t="s">
        <v>13</v>
      </c>
      <c r="C468" t="s">
        <v>59</v>
      </c>
      <c r="D468">
        <v>0</v>
      </c>
      <c r="E468">
        <v>39010</v>
      </c>
      <c r="F468">
        <v>2958465</v>
      </c>
      <c r="G468">
        <v>6258</v>
      </c>
      <c r="H468" t="s">
        <v>13</v>
      </c>
      <c r="I468" t="s">
        <v>59</v>
      </c>
      <c r="J468">
        <v>0</v>
      </c>
      <c r="K468">
        <v>0</v>
      </c>
      <c r="N468">
        <v>0</v>
      </c>
      <c r="O468" t="s">
        <v>1577</v>
      </c>
      <c r="P468" t="s">
        <v>1636</v>
      </c>
      <c r="Q468" s="30">
        <f>IF(CustomerHierarchyLevels[[#This Row],[HgLvCust.]]=0,CustomerHierarchyLevels[[#This Row],[Customer]],CustomerHierarchyLevels[[#This Row],[HgLvCust.]])</f>
        <v>6258</v>
      </c>
      <c r="R468" s="30">
        <f>IF(VLOOKUP(CustomerHierarchyLevels[[#This Row],[Level1]],CustomerHierarchyLevels[],7,FALSE)=0,CustomerHierarchyLevels[[#This Row],[Level1]],VLOOKUP(CustomerHierarchyLevels[[#This Row],[Level1]],CustomerHierarchyLevels[],7,FALSE))</f>
        <v>6259</v>
      </c>
      <c r="S468" s="30">
        <f>IF(VLOOKUP(CustomerHierarchyLevels[[#This Row],[Level2]],CustomerHierarchyLevels[],7,FALSE)=0,CustomerHierarchyLevels[[#This Row],[Level2]],VLOOKUP(CustomerHierarchyLevels[[#This Row],[Level2]],CustomerHierarchyLevels[],7,FALSE))</f>
        <v>6722</v>
      </c>
    </row>
    <row r="469" spans="1:19" x14ac:dyDescent="0.25">
      <c r="A469">
        <v>2563</v>
      </c>
      <c r="B469" t="s">
        <v>13</v>
      </c>
      <c r="C469" t="s">
        <v>95</v>
      </c>
      <c r="D469">
        <v>0</v>
      </c>
      <c r="E469">
        <v>39010</v>
      </c>
      <c r="F469">
        <v>2958465</v>
      </c>
      <c r="G469">
        <v>6294</v>
      </c>
      <c r="H469" t="s">
        <v>13</v>
      </c>
      <c r="I469" t="s">
        <v>95</v>
      </c>
      <c r="J469">
        <v>0</v>
      </c>
      <c r="K469">
        <v>0</v>
      </c>
      <c r="N469">
        <v>0</v>
      </c>
      <c r="O469" t="s">
        <v>96</v>
      </c>
      <c r="P469" t="s">
        <v>1637</v>
      </c>
      <c r="Q469" s="30">
        <f>IF(CustomerHierarchyLevels[[#This Row],[HgLvCust.]]=0,CustomerHierarchyLevels[[#This Row],[Customer]],CustomerHierarchyLevels[[#This Row],[HgLvCust.]])</f>
        <v>6294</v>
      </c>
      <c r="R469" s="30">
        <f>IF(VLOOKUP(CustomerHierarchyLevels[[#This Row],[Level1]],CustomerHierarchyLevels[],7,FALSE)=0,CustomerHierarchyLevels[[#This Row],[Level1]],VLOOKUP(CustomerHierarchyLevels[[#This Row],[Level1]],CustomerHierarchyLevels[],7,FALSE))</f>
        <v>6295</v>
      </c>
      <c r="S469" s="30">
        <f>IF(VLOOKUP(CustomerHierarchyLevels[[#This Row],[Level2]],CustomerHierarchyLevels[],7,FALSE)=0,CustomerHierarchyLevels[[#This Row],[Level2]],VLOOKUP(CustomerHierarchyLevels[[#This Row],[Level2]],CustomerHierarchyLevels[],7,FALSE))</f>
        <v>6717</v>
      </c>
    </row>
    <row r="470" spans="1:19" x14ac:dyDescent="0.25">
      <c r="A470">
        <v>1211</v>
      </c>
      <c r="B470" t="s">
        <v>13</v>
      </c>
      <c r="C470" t="s">
        <v>59</v>
      </c>
      <c r="D470">
        <v>0</v>
      </c>
      <c r="E470">
        <v>39010</v>
      </c>
      <c r="F470">
        <v>2958465</v>
      </c>
      <c r="G470">
        <v>6254</v>
      </c>
      <c r="H470" t="s">
        <v>13</v>
      </c>
      <c r="I470" t="s">
        <v>59</v>
      </c>
      <c r="J470">
        <v>0</v>
      </c>
      <c r="K470">
        <v>0</v>
      </c>
      <c r="N470">
        <v>0</v>
      </c>
      <c r="O470" t="s">
        <v>1569</v>
      </c>
      <c r="P470" t="s">
        <v>1638</v>
      </c>
      <c r="Q470" s="30">
        <f>IF(CustomerHierarchyLevels[[#This Row],[HgLvCust.]]=0,CustomerHierarchyLevels[[#This Row],[Customer]],CustomerHierarchyLevels[[#This Row],[HgLvCust.]])</f>
        <v>6254</v>
      </c>
      <c r="R470" s="30">
        <f>IF(VLOOKUP(CustomerHierarchyLevels[[#This Row],[Level1]],CustomerHierarchyLevels[],7,FALSE)=0,CustomerHierarchyLevels[[#This Row],[Level1]],VLOOKUP(CustomerHierarchyLevels[[#This Row],[Level1]],CustomerHierarchyLevels[],7,FALSE))</f>
        <v>6255</v>
      </c>
      <c r="S470" s="30">
        <f>IF(VLOOKUP(CustomerHierarchyLevels[[#This Row],[Level2]],CustomerHierarchyLevels[],7,FALSE)=0,CustomerHierarchyLevels[[#This Row],[Level2]],VLOOKUP(CustomerHierarchyLevels[[#This Row],[Level2]],CustomerHierarchyLevels[],7,FALSE))</f>
        <v>6720</v>
      </c>
    </row>
    <row r="471" spans="1:19" x14ac:dyDescent="0.25">
      <c r="A471">
        <v>7417</v>
      </c>
      <c r="B471" t="s">
        <v>13</v>
      </c>
      <c r="C471" t="s">
        <v>59</v>
      </c>
      <c r="D471">
        <v>0</v>
      </c>
      <c r="E471">
        <v>39155</v>
      </c>
      <c r="F471">
        <v>2958465</v>
      </c>
      <c r="G471">
        <v>7416</v>
      </c>
      <c r="H471" t="s">
        <v>13</v>
      </c>
      <c r="I471" t="s">
        <v>59</v>
      </c>
      <c r="J471">
        <v>0</v>
      </c>
      <c r="K471">
        <v>0</v>
      </c>
      <c r="L471" t="s">
        <v>1200</v>
      </c>
      <c r="M471" t="s">
        <v>1200</v>
      </c>
      <c r="N471">
        <v>0</v>
      </c>
      <c r="O471" t="s">
        <v>1577</v>
      </c>
      <c r="P471" t="s">
        <v>1639</v>
      </c>
      <c r="Q471" s="30">
        <f>IF(CustomerHierarchyLevels[[#This Row],[HgLvCust.]]=0,CustomerHierarchyLevels[[#This Row],[Customer]],CustomerHierarchyLevels[[#This Row],[HgLvCust.]])</f>
        <v>7416</v>
      </c>
      <c r="R471" s="30">
        <f>IF(VLOOKUP(CustomerHierarchyLevels[[#This Row],[Level1]],CustomerHierarchyLevels[],7,FALSE)=0,CustomerHierarchyLevels[[#This Row],[Level1]],VLOOKUP(CustomerHierarchyLevels[[#This Row],[Level1]],CustomerHierarchyLevels[],7,FALSE))</f>
        <v>7416</v>
      </c>
      <c r="S471" s="30">
        <f>IF(VLOOKUP(CustomerHierarchyLevels[[#This Row],[Level2]],CustomerHierarchyLevels[],7,FALSE)=0,CustomerHierarchyLevels[[#This Row],[Level2]],VLOOKUP(CustomerHierarchyLevels[[#This Row],[Level2]],CustomerHierarchyLevels[],7,FALSE))</f>
        <v>7416</v>
      </c>
    </row>
    <row r="472" spans="1:19" x14ac:dyDescent="0.25">
      <c r="A472">
        <v>7416</v>
      </c>
      <c r="B472" t="s">
        <v>13</v>
      </c>
      <c r="C472" t="s">
        <v>59</v>
      </c>
      <c r="D472">
        <v>0</v>
      </c>
      <c r="E472">
        <v>39155</v>
      </c>
      <c r="F472">
        <v>2958465</v>
      </c>
      <c r="K472">
        <v>0</v>
      </c>
      <c r="L472" t="s">
        <v>1200</v>
      </c>
      <c r="M472" t="s">
        <v>1200</v>
      </c>
      <c r="N472">
        <v>0</v>
      </c>
      <c r="O472" t="s">
        <v>1577</v>
      </c>
      <c r="P472" t="s">
        <v>1640</v>
      </c>
      <c r="Q472" s="30">
        <f>IF(CustomerHierarchyLevels[[#This Row],[HgLvCust.]]=0,CustomerHierarchyLevels[[#This Row],[Customer]],CustomerHierarchyLevels[[#This Row],[HgLvCust.]])</f>
        <v>7416</v>
      </c>
      <c r="R472" s="30">
        <f>IF(VLOOKUP(CustomerHierarchyLevels[[#This Row],[Level1]],CustomerHierarchyLevels[],7,FALSE)=0,CustomerHierarchyLevels[[#This Row],[Level1]],VLOOKUP(CustomerHierarchyLevels[[#This Row],[Level1]],CustomerHierarchyLevels[],7,FALSE))</f>
        <v>7416</v>
      </c>
      <c r="S472" s="30">
        <f>IF(VLOOKUP(CustomerHierarchyLevels[[#This Row],[Level2]],CustomerHierarchyLevels[],7,FALSE)=0,CustomerHierarchyLevels[[#This Row],[Level2]],VLOOKUP(CustomerHierarchyLevels[[#This Row],[Level2]],CustomerHierarchyLevels[],7,FALSE))</f>
        <v>7416</v>
      </c>
    </row>
    <row r="473" spans="1:19" x14ac:dyDescent="0.25">
      <c r="A473">
        <v>7418</v>
      </c>
      <c r="B473" t="s">
        <v>13</v>
      </c>
      <c r="C473" t="s">
        <v>59</v>
      </c>
      <c r="D473">
        <v>0</v>
      </c>
      <c r="E473">
        <v>39155</v>
      </c>
      <c r="F473">
        <v>2958465</v>
      </c>
      <c r="G473">
        <v>7417</v>
      </c>
      <c r="H473" t="s">
        <v>13</v>
      </c>
      <c r="I473" t="s">
        <v>59</v>
      </c>
      <c r="J473">
        <v>0</v>
      </c>
      <c r="K473">
        <v>0</v>
      </c>
      <c r="L473" t="s">
        <v>1200</v>
      </c>
      <c r="M473" t="s">
        <v>1200</v>
      </c>
      <c r="N473">
        <v>0</v>
      </c>
      <c r="O473" t="s">
        <v>1577</v>
      </c>
      <c r="P473" t="s">
        <v>1641</v>
      </c>
      <c r="Q473" s="30">
        <f>IF(CustomerHierarchyLevels[[#This Row],[HgLvCust.]]=0,CustomerHierarchyLevels[[#This Row],[Customer]],CustomerHierarchyLevels[[#This Row],[HgLvCust.]])</f>
        <v>7417</v>
      </c>
      <c r="R473" s="30">
        <f>IF(VLOOKUP(CustomerHierarchyLevels[[#This Row],[Level1]],CustomerHierarchyLevels[],7,FALSE)=0,CustomerHierarchyLevels[[#This Row],[Level1]],VLOOKUP(CustomerHierarchyLevels[[#This Row],[Level1]],CustomerHierarchyLevels[],7,FALSE))</f>
        <v>7416</v>
      </c>
      <c r="S473" s="30">
        <f>IF(VLOOKUP(CustomerHierarchyLevels[[#This Row],[Level2]],CustomerHierarchyLevels[],7,FALSE)=0,CustomerHierarchyLevels[[#This Row],[Level2]],VLOOKUP(CustomerHierarchyLevels[[#This Row],[Level2]],CustomerHierarchyLevels[],7,FALSE))</f>
        <v>7416</v>
      </c>
    </row>
    <row r="474" spans="1:19" x14ac:dyDescent="0.25">
      <c r="A474">
        <v>7406</v>
      </c>
      <c r="B474" t="s">
        <v>13</v>
      </c>
      <c r="C474" t="s">
        <v>59</v>
      </c>
      <c r="D474">
        <v>0</v>
      </c>
      <c r="E474">
        <v>39155</v>
      </c>
      <c r="F474">
        <v>2958465</v>
      </c>
      <c r="G474">
        <v>7418</v>
      </c>
      <c r="H474" t="s">
        <v>13</v>
      </c>
      <c r="I474" t="s">
        <v>59</v>
      </c>
      <c r="J474">
        <v>0</v>
      </c>
      <c r="K474">
        <v>0</v>
      </c>
      <c r="N474">
        <v>0</v>
      </c>
      <c r="O474" t="s">
        <v>1577</v>
      </c>
      <c r="P474" t="s">
        <v>1642</v>
      </c>
      <c r="Q474" s="30">
        <f>IF(CustomerHierarchyLevels[[#This Row],[HgLvCust.]]=0,CustomerHierarchyLevels[[#This Row],[Customer]],CustomerHierarchyLevels[[#This Row],[HgLvCust.]])</f>
        <v>7418</v>
      </c>
      <c r="R474" s="30">
        <f>IF(VLOOKUP(CustomerHierarchyLevels[[#This Row],[Level1]],CustomerHierarchyLevels[],7,FALSE)=0,CustomerHierarchyLevels[[#This Row],[Level1]],VLOOKUP(CustomerHierarchyLevels[[#This Row],[Level1]],CustomerHierarchyLevels[],7,FALSE))</f>
        <v>7417</v>
      </c>
      <c r="S474" s="30">
        <f>IF(VLOOKUP(CustomerHierarchyLevels[[#This Row],[Level2]],CustomerHierarchyLevels[],7,FALSE)=0,CustomerHierarchyLevels[[#This Row],[Level2]],VLOOKUP(CustomerHierarchyLevels[[#This Row],[Level2]],CustomerHierarchyLevels[],7,FALSE))</f>
        <v>7416</v>
      </c>
    </row>
    <row r="475" spans="1:19" x14ac:dyDescent="0.25">
      <c r="A475">
        <v>4826</v>
      </c>
      <c r="B475" t="s">
        <v>13</v>
      </c>
      <c r="C475" t="s">
        <v>95</v>
      </c>
      <c r="D475">
        <v>0</v>
      </c>
      <c r="E475">
        <v>39164</v>
      </c>
      <c r="F475">
        <v>2958465</v>
      </c>
      <c r="G475">
        <v>6533</v>
      </c>
      <c r="H475" t="s">
        <v>13</v>
      </c>
      <c r="I475" t="s">
        <v>95</v>
      </c>
      <c r="J475">
        <v>0</v>
      </c>
      <c r="K475">
        <v>0</v>
      </c>
      <c r="N475">
        <v>0</v>
      </c>
      <c r="O475" t="s">
        <v>96</v>
      </c>
      <c r="P475" t="s">
        <v>1643</v>
      </c>
      <c r="Q475" s="30">
        <f>IF(CustomerHierarchyLevels[[#This Row],[HgLvCust.]]=0,CustomerHierarchyLevels[[#This Row],[Customer]],CustomerHierarchyLevels[[#This Row],[HgLvCust.]])</f>
        <v>6533</v>
      </c>
      <c r="R475" s="30">
        <f>IF(VLOOKUP(CustomerHierarchyLevels[[#This Row],[Level1]],CustomerHierarchyLevels[],7,FALSE)=0,CustomerHierarchyLevels[[#This Row],[Level1]],VLOOKUP(CustomerHierarchyLevels[[#This Row],[Level1]],CustomerHierarchyLevels[],7,FALSE))</f>
        <v>6532</v>
      </c>
      <c r="S475" s="30">
        <f>IF(VLOOKUP(CustomerHierarchyLevels[[#This Row],[Level2]],CustomerHierarchyLevels[],7,FALSE)=0,CustomerHierarchyLevels[[#This Row],[Level2]],VLOOKUP(CustomerHierarchyLevels[[#This Row],[Level2]],CustomerHierarchyLevels[],7,FALSE))</f>
        <v>6705</v>
      </c>
    </row>
    <row r="476" spans="1:19" x14ac:dyDescent="0.25">
      <c r="A476">
        <v>1311</v>
      </c>
      <c r="B476" t="s">
        <v>13</v>
      </c>
      <c r="C476" t="s">
        <v>95</v>
      </c>
      <c r="D476">
        <v>0</v>
      </c>
      <c r="E476">
        <v>39169</v>
      </c>
      <c r="F476">
        <v>2958465</v>
      </c>
      <c r="G476">
        <v>6329</v>
      </c>
      <c r="H476" t="s">
        <v>13</v>
      </c>
      <c r="I476" t="s">
        <v>95</v>
      </c>
      <c r="J476">
        <v>0</v>
      </c>
      <c r="K476">
        <v>0</v>
      </c>
      <c r="N476">
        <v>0</v>
      </c>
      <c r="O476" t="s">
        <v>96</v>
      </c>
      <c r="P476" t="s">
        <v>267</v>
      </c>
      <c r="Q476" s="30">
        <f>IF(CustomerHierarchyLevels[[#This Row],[HgLvCust.]]=0,CustomerHierarchyLevels[[#This Row],[Customer]],CustomerHierarchyLevels[[#This Row],[HgLvCust.]])</f>
        <v>6329</v>
      </c>
      <c r="R476" s="30">
        <f>IF(VLOOKUP(CustomerHierarchyLevels[[#This Row],[Level1]],CustomerHierarchyLevels[],7,FALSE)=0,CustomerHierarchyLevels[[#This Row],[Level1]],VLOOKUP(CustomerHierarchyLevels[[#This Row],[Level1]],CustomerHierarchyLevels[],7,FALSE))</f>
        <v>2126</v>
      </c>
      <c r="S476" s="30">
        <f>IF(VLOOKUP(CustomerHierarchyLevels[[#This Row],[Level2]],CustomerHierarchyLevels[],7,FALSE)=0,CustomerHierarchyLevels[[#This Row],[Level2]],VLOOKUP(CustomerHierarchyLevels[[#This Row],[Level2]],CustomerHierarchyLevels[],7,FALSE))</f>
        <v>2125</v>
      </c>
    </row>
    <row r="477" spans="1:19" x14ac:dyDescent="0.25">
      <c r="A477">
        <v>1281</v>
      </c>
      <c r="B477" t="s">
        <v>13</v>
      </c>
      <c r="C477" t="s">
        <v>95</v>
      </c>
      <c r="D477">
        <v>0</v>
      </c>
      <c r="E477">
        <v>39169</v>
      </c>
      <c r="F477">
        <v>2958465</v>
      </c>
      <c r="G477">
        <v>6329</v>
      </c>
      <c r="H477" t="s">
        <v>13</v>
      </c>
      <c r="I477" t="s">
        <v>95</v>
      </c>
      <c r="J477">
        <v>0</v>
      </c>
      <c r="K477">
        <v>0</v>
      </c>
      <c r="N477">
        <v>0</v>
      </c>
      <c r="O477" t="s">
        <v>96</v>
      </c>
      <c r="P477" t="s">
        <v>205</v>
      </c>
      <c r="Q477" s="30">
        <f>IF(CustomerHierarchyLevels[[#This Row],[HgLvCust.]]=0,CustomerHierarchyLevels[[#This Row],[Customer]],CustomerHierarchyLevels[[#This Row],[HgLvCust.]])</f>
        <v>6329</v>
      </c>
      <c r="R477" s="30">
        <f>IF(VLOOKUP(CustomerHierarchyLevels[[#This Row],[Level1]],CustomerHierarchyLevels[],7,FALSE)=0,CustomerHierarchyLevels[[#This Row],[Level1]],VLOOKUP(CustomerHierarchyLevels[[#This Row],[Level1]],CustomerHierarchyLevels[],7,FALSE))</f>
        <v>2126</v>
      </c>
      <c r="S477" s="30">
        <f>IF(VLOOKUP(CustomerHierarchyLevels[[#This Row],[Level2]],CustomerHierarchyLevels[],7,FALSE)=0,CustomerHierarchyLevels[[#This Row],[Level2]],VLOOKUP(CustomerHierarchyLevels[[#This Row],[Level2]],CustomerHierarchyLevels[],7,FALSE))</f>
        <v>2125</v>
      </c>
    </row>
    <row r="478" spans="1:19" x14ac:dyDescent="0.25">
      <c r="A478">
        <v>7564</v>
      </c>
      <c r="B478" t="s">
        <v>13</v>
      </c>
      <c r="C478" t="s">
        <v>95</v>
      </c>
      <c r="D478">
        <v>0</v>
      </c>
      <c r="E478">
        <v>39198</v>
      </c>
      <c r="F478">
        <v>2958465</v>
      </c>
      <c r="G478">
        <v>6535</v>
      </c>
      <c r="H478" t="s">
        <v>13</v>
      </c>
      <c r="I478" t="s">
        <v>95</v>
      </c>
      <c r="J478">
        <v>0</v>
      </c>
      <c r="K478">
        <v>0</v>
      </c>
      <c r="N478">
        <v>0</v>
      </c>
      <c r="O478" t="s">
        <v>96</v>
      </c>
      <c r="P478" t="s">
        <v>1644</v>
      </c>
      <c r="Q478" s="30">
        <f>IF(CustomerHierarchyLevels[[#This Row],[HgLvCust.]]=0,CustomerHierarchyLevels[[#This Row],[Customer]],CustomerHierarchyLevels[[#This Row],[HgLvCust.]])</f>
        <v>6535</v>
      </c>
      <c r="R478" s="30">
        <f>IF(VLOOKUP(CustomerHierarchyLevels[[#This Row],[Level1]],CustomerHierarchyLevels[],7,FALSE)=0,CustomerHierarchyLevels[[#This Row],[Level1]],VLOOKUP(CustomerHierarchyLevels[[#This Row],[Level1]],CustomerHierarchyLevels[],7,FALSE))</f>
        <v>6535</v>
      </c>
      <c r="S478" s="30">
        <f>IF(VLOOKUP(CustomerHierarchyLevels[[#This Row],[Level2]],CustomerHierarchyLevels[],7,FALSE)=0,CustomerHierarchyLevels[[#This Row],[Level2]],VLOOKUP(CustomerHierarchyLevels[[#This Row],[Level2]],CustomerHierarchyLevels[],7,FALSE))</f>
        <v>6535</v>
      </c>
    </row>
    <row r="479" spans="1:19" x14ac:dyDescent="0.25">
      <c r="A479">
        <v>5961</v>
      </c>
      <c r="B479" t="s">
        <v>13</v>
      </c>
      <c r="C479" t="s">
        <v>95</v>
      </c>
      <c r="D479">
        <v>0</v>
      </c>
      <c r="E479">
        <v>39233</v>
      </c>
      <c r="F479">
        <v>2958465</v>
      </c>
      <c r="G479">
        <v>6315</v>
      </c>
      <c r="H479" t="s">
        <v>13</v>
      </c>
      <c r="I479" t="s">
        <v>95</v>
      </c>
      <c r="J479">
        <v>0</v>
      </c>
      <c r="K479">
        <v>0</v>
      </c>
      <c r="N479">
        <v>0</v>
      </c>
      <c r="O479" t="s">
        <v>96</v>
      </c>
      <c r="P479" t="s">
        <v>1645</v>
      </c>
      <c r="Q479" s="30">
        <f>IF(CustomerHierarchyLevels[[#This Row],[HgLvCust.]]=0,CustomerHierarchyLevels[[#This Row],[Customer]],CustomerHierarchyLevels[[#This Row],[HgLvCust.]])</f>
        <v>6315</v>
      </c>
      <c r="R479" s="30">
        <f>IF(VLOOKUP(CustomerHierarchyLevels[[#This Row],[Level1]],CustomerHierarchyLevels[],7,FALSE)=0,CustomerHierarchyLevels[[#This Row],[Level1]],VLOOKUP(CustomerHierarchyLevels[[#This Row],[Level1]],CustomerHierarchyLevels[],7,FALSE))</f>
        <v>6314</v>
      </c>
      <c r="S479" s="30">
        <f>IF(VLOOKUP(CustomerHierarchyLevels[[#This Row],[Level2]],CustomerHierarchyLevels[],7,FALSE)=0,CustomerHierarchyLevels[[#This Row],[Level2]],VLOOKUP(CustomerHierarchyLevels[[#This Row],[Level2]],CustomerHierarchyLevels[],7,FALSE))</f>
        <v>6313</v>
      </c>
    </row>
    <row r="480" spans="1:19" x14ac:dyDescent="0.25">
      <c r="A480">
        <v>7719</v>
      </c>
      <c r="B480" t="s">
        <v>13</v>
      </c>
      <c r="C480" t="s">
        <v>95</v>
      </c>
      <c r="D480">
        <v>0</v>
      </c>
      <c r="E480">
        <v>39251</v>
      </c>
      <c r="F480">
        <v>2958465</v>
      </c>
      <c r="G480">
        <v>2110</v>
      </c>
      <c r="H480" t="s">
        <v>13</v>
      </c>
      <c r="I480" t="s">
        <v>95</v>
      </c>
      <c r="J480">
        <v>0</v>
      </c>
      <c r="K480">
        <v>0</v>
      </c>
      <c r="L480" t="s">
        <v>1200</v>
      </c>
      <c r="M480" t="s">
        <v>1200</v>
      </c>
      <c r="N480">
        <v>0</v>
      </c>
      <c r="O480" t="s">
        <v>96</v>
      </c>
      <c r="P480" t="s">
        <v>1646</v>
      </c>
      <c r="Q480" s="30">
        <f>IF(CustomerHierarchyLevels[[#This Row],[HgLvCust.]]=0,CustomerHierarchyLevels[[#This Row],[Customer]],CustomerHierarchyLevels[[#This Row],[HgLvCust.]])</f>
        <v>2110</v>
      </c>
      <c r="R480" s="30">
        <f>IF(VLOOKUP(CustomerHierarchyLevels[[#This Row],[Level1]],CustomerHierarchyLevels[],7,FALSE)=0,CustomerHierarchyLevels[[#This Row],[Level1]],VLOOKUP(CustomerHierarchyLevels[[#This Row],[Level1]],CustomerHierarchyLevels[],7,FALSE))</f>
        <v>2109</v>
      </c>
      <c r="S480" s="30">
        <f>IF(VLOOKUP(CustomerHierarchyLevels[[#This Row],[Level2]],CustomerHierarchyLevels[],7,FALSE)=0,CustomerHierarchyLevels[[#This Row],[Level2]],VLOOKUP(CustomerHierarchyLevels[[#This Row],[Level2]],CustomerHierarchyLevels[],7,FALSE))</f>
        <v>2109</v>
      </c>
    </row>
    <row r="481" spans="1:19" x14ac:dyDescent="0.25">
      <c r="A481">
        <v>7718</v>
      </c>
      <c r="B481" t="s">
        <v>13</v>
      </c>
      <c r="C481" t="s">
        <v>95</v>
      </c>
      <c r="D481">
        <v>0</v>
      </c>
      <c r="E481">
        <v>39251</v>
      </c>
      <c r="F481">
        <v>2958465</v>
      </c>
      <c r="G481">
        <v>2158</v>
      </c>
      <c r="H481" t="s">
        <v>13</v>
      </c>
      <c r="I481" t="s">
        <v>95</v>
      </c>
      <c r="J481">
        <v>0</v>
      </c>
      <c r="K481">
        <v>0</v>
      </c>
      <c r="L481" t="s">
        <v>1200</v>
      </c>
      <c r="M481" t="s">
        <v>1200</v>
      </c>
      <c r="N481">
        <v>0</v>
      </c>
      <c r="O481" t="s">
        <v>96</v>
      </c>
      <c r="P481" t="s">
        <v>1647</v>
      </c>
      <c r="Q481" s="30">
        <f>IF(CustomerHierarchyLevels[[#This Row],[HgLvCust.]]=0,CustomerHierarchyLevels[[#This Row],[Customer]],CustomerHierarchyLevels[[#This Row],[HgLvCust.]])</f>
        <v>2158</v>
      </c>
      <c r="R481" s="30">
        <f>IF(VLOOKUP(CustomerHierarchyLevels[[#This Row],[Level1]],CustomerHierarchyLevels[],7,FALSE)=0,CustomerHierarchyLevels[[#This Row],[Level1]],VLOOKUP(CustomerHierarchyLevels[[#This Row],[Level1]],CustomerHierarchyLevels[],7,FALSE))</f>
        <v>2157</v>
      </c>
      <c r="S481" s="30">
        <f>IF(VLOOKUP(CustomerHierarchyLevels[[#This Row],[Level2]],CustomerHierarchyLevels[],7,FALSE)=0,CustomerHierarchyLevels[[#This Row],[Level2]],VLOOKUP(CustomerHierarchyLevels[[#This Row],[Level2]],CustomerHierarchyLevels[],7,FALSE))</f>
        <v>2157</v>
      </c>
    </row>
    <row r="482" spans="1:19" x14ac:dyDescent="0.25">
      <c r="A482">
        <v>7717</v>
      </c>
      <c r="B482" t="s">
        <v>13</v>
      </c>
      <c r="C482" t="s">
        <v>95</v>
      </c>
      <c r="D482">
        <v>0</v>
      </c>
      <c r="E482">
        <v>39251</v>
      </c>
      <c r="F482">
        <v>2958465</v>
      </c>
      <c r="G482">
        <v>2126</v>
      </c>
      <c r="H482" t="s">
        <v>13</v>
      </c>
      <c r="I482" t="s">
        <v>95</v>
      </c>
      <c r="J482">
        <v>0</v>
      </c>
      <c r="K482">
        <v>0</v>
      </c>
      <c r="L482" t="s">
        <v>1200</v>
      </c>
      <c r="M482" t="s">
        <v>1200</v>
      </c>
      <c r="N482">
        <v>0</v>
      </c>
      <c r="O482" t="s">
        <v>96</v>
      </c>
      <c r="P482" t="s">
        <v>1648</v>
      </c>
      <c r="Q482" s="30">
        <f>IF(CustomerHierarchyLevels[[#This Row],[HgLvCust.]]=0,CustomerHierarchyLevels[[#This Row],[Customer]],CustomerHierarchyLevels[[#This Row],[HgLvCust.]])</f>
        <v>2126</v>
      </c>
      <c r="R482" s="30">
        <f>IF(VLOOKUP(CustomerHierarchyLevels[[#This Row],[Level1]],CustomerHierarchyLevels[],7,FALSE)=0,CustomerHierarchyLevels[[#This Row],[Level1]],VLOOKUP(CustomerHierarchyLevels[[#This Row],[Level1]],CustomerHierarchyLevels[],7,FALSE))</f>
        <v>2125</v>
      </c>
      <c r="S482" s="30">
        <f>IF(VLOOKUP(CustomerHierarchyLevels[[#This Row],[Level2]],CustomerHierarchyLevels[],7,FALSE)=0,CustomerHierarchyLevels[[#This Row],[Level2]],VLOOKUP(CustomerHierarchyLevels[[#This Row],[Level2]],CustomerHierarchyLevels[],7,FALSE))</f>
        <v>2125</v>
      </c>
    </row>
    <row r="483" spans="1:19" x14ac:dyDescent="0.25">
      <c r="A483">
        <v>7716</v>
      </c>
      <c r="B483" t="s">
        <v>13</v>
      </c>
      <c r="C483" t="s">
        <v>95</v>
      </c>
      <c r="D483">
        <v>0</v>
      </c>
      <c r="E483">
        <v>39251</v>
      </c>
      <c r="F483">
        <v>2958465</v>
      </c>
      <c r="G483">
        <v>2102</v>
      </c>
      <c r="H483" t="s">
        <v>13</v>
      </c>
      <c r="I483" t="s">
        <v>95</v>
      </c>
      <c r="J483">
        <v>0</v>
      </c>
      <c r="K483">
        <v>0</v>
      </c>
      <c r="L483" t="s">
        <v>1200</v>
      </c>
      <c r="M483" t="s">
        <v>1200</v>
      </c>
      <c r="N483">
        <v>0</v>
      </c>
      <c r="O483" t="s">
        <v>96</v>
      </c>
      <c r="P483" t="s">
        <v>1649</v>
      </c>
      <c r="Q483" s="30">
        <f>IF(CustomerHierarchyLevels[[#This Row],[HgLvCust.]]=0,CustomerHierarchyLevels[[#This Row],[Customer]],CustomerHierarchyLevels[[#This Row],[HgLvCust.]])</f>
        <v>2102</v>
      </c>
      <c r="R483" s="30">
        <f>IF(VLOOKUP(CustomerHierarchyLevels[[#This Row],[Level1]],CustomerHierarchyLevels[],7,FALSE)=0,CustomerHierarchyLevels[[#This Row],[Level1]],VLOOKUP(CustomerHierarchyLevels[[#This Row],[Level1]],CustomerHierarchyLevels[],7,FALSE))</f>
        <v>2101</v>
      </c>
      <c r="S483" s="30">
        <f>IF(VLOOKUP(CustomerHierarchyLevels[[#This Row],[Level2]],CustomerHierarchyLevels[],7,FALSE)=0,CustomerHierarchyLevels[[#This Row],[Level2]],VLOOKUP(CustomerHierarchyLevels[[#This Row],[Level2]],CustomerHierarchyLevels[],7,FALSE))</f>
        <v>2101</v>
      </c>
    </row>
    <row r="484" spans="1:19" x14ac:dyDescent="0.25">
      <c r="A484">
        <v>6549</v>
      </c>
      <c r="B484" t="s">
        <v>13</v>
      </c>
      <c r="C484" t="s">
        <v>95</v>
      </c>
      <c r="D484">
        <v>0</v>
      </c>
      <c r="E484">
        <v>39251</v>
      </c>
      <c r="F484">
        <v>2958465</v>
      </c>
      <c r="G484">
        <v>7716</v>
      </c>
      <c r="H484" t="s">
        <v>13</v>
      </c>
      <c r="I484" t="s">
        <v>95</v>
      </c>
      <c r="J484">
        <v>0</v>
      </c>
      <c r="K484">
        <v>0</v>
      </c>
      <c r="N484">
        <v>0</v>
      </c>
      <c r="O484" t="s">
        <v>96</v>
      </c>
      <c r="P484" t="s">
        <v>282</v>
      </c>
      <c r="Q484" s="30">
        <f>IF(CustomerHierarchyLevels[[#This Row],[HgLvCust.]]=0,CustomerHierarchyLevels[[#This Row],[Customer]],CustomerHierarchyLevels[[#This Row],[HgLvCust.]])</f>
        <v>7716</v>
      </c>
      <c r="R484" s="30">
        <f>IF(VLOOKUP(CustomerHierarchyLevels[[#This Row],[Level1]],CustomerHierarchyLevels[],7,FALSE)=0,CustomerHierarchyLevels[[#This Row],[Level1]],VLOOKUP(CustomerHierarchyLevels[[#This Row],[Level1]],CustomerHierarchyLevels[],7,FALSE))</f>
        <v>2102</v>
      </c>
      <c r="S484" s="30">
        <f>IF(VLOOKUP(CustomerHierarchyLevels[[#This Row],[Level2]],CustomerHierarchyLevels[],7,FALSE)=0,CustomerHierarchyLevels[[#This Row],[Level2]],VLOOKUP(CustomerHierarchyLevels[[#This Row],[Level2]],CustomerHierarchyLevels[],7,FALSE))</f>
        <v>2101</v>
      </c>
    </row>
    <row r="485" spans="1:19" x14ac:dyDescent="0.25">
      <c r="A485">
        <v>1294</v>
      </c>
      <c r="B485" t="s">
        <v>13</v>
      </c>
      <c r="C485" t="s">
        <v>95</v>
      </c>
      <c r="D485">
        <v>0</v>
      </c>
      <c r="E485">
        <v>39251</v>
      </c>
      <c r="F485">
        <v>2958465</v>
      </c>
      <c r="G485">
        <v>7717</v>
      </c>
      <c r="H485" t="s">
        <v>13</v>
      </c>
      <c r="I485" t="s">
        <v>95</v>
      </c>
      <c r="J485">
        <v>0</v>
      </c>
      <c r="K485">
        <v>0</v>
      </c>
      <c r="N485">
        <v>0</v>
      </c>
      <c r="O485" t="s">
        <v>96</v>
      </c>
      <c r="P485" t="s">
        <v>1650</v>
      </c>
      <c r="Q485" s="30">
        <f>IF(CustomerHierarchyLevels[[#This Row],[HgLvCust.]]=0,CustomerHierarchyLevels[[#This Row],[Customer]],CustomerHierarchyLevels[[#This Row],[HgLvCust.]])</f>
        <v>7717</v>
      </c>
      <c r="R485" s="30">
        <f>IF(VLOOKUP(CustomerHierarchyLevels[[#This Row],[Level1]],CustomerHierarchyLevels[],7,FALSE)=0,CustomerHierarchyLevels[[#This Row],[Level1]],VLOOKUP(CustomerHierarchyLevels[[#This Row],[Level1]],CustomerHierarchyLevels[],7,FALSE))</f>
        <v>2126</v>
      </c>
      <c r="S485" s="30">
        <f>IF(VLOOKUP(CustomerHierarchyLevels[[#This Row],[Level2]],CustomerHierarchyLevels[],7,FALSE)=0,CustomerHierarchyLevels[[#This Row],[Level2]],VLOOKUP(CustomerHierarchyLevels[[#This Row],[Level2]],CustomerHierarchyLevels[],7,FALSE))</f>
        <v>2125</v>
      </c>
    </row>
    <row r="486" spans="1:19" x14ac:dyDescent="0.25">
      <c r="A486">
        <v>1295</v>
      </c>
      <c r="B486" t="s">
        <v>13</v>
      </c>
      <c r="C486" t="s">
        <v>95</v>
      </c>
      <c r="D486">
        <v>0</v>
      </c>
      <c r="E486">
        <v>39251</v>
      </c>
      <c r="F486">
        <v>2958465</v>
      </c>
      <c r="G486">
        <v>7717</v>
      </c>
      <c r="H486" t="s">
        <v>13</v>
      </c>
      <c r="I486" t="s">
        <v>95</v>
      </c>
      <c r="J486">
        <v>0</v>
      </c>
      <c r="K486">
        <v>0</v>
      </c>
      <c r="N486">
        <v>0</v>
      </c>
      <c r="O486" t="s">
        <v>96</v>
      </c>
      <c r="P486" t="s">
        <v>190</v>
      </c>
      <c r="Q486" s="30">
        <f>IF(CustomerHierarchyLevels[[#This Row],[HgLvCust.]]=0,CustomerHierarchyLevels[[#This Row],[Customer]],CustomerHierarchyLevels[[#This Row],[HgLvCust.]])</f>
        <v>7717</v>
      </c>
      <c r="R486" s="30">
        <f>IF(VLOOKUP(CustomerHierarchyLevels[[#This Row],[Level1]],CustomerHierarchyLevels[],7,FALSE)=0,CustomerHierarchyLevels[[#This Row],[Level1]],VLOOKUP(CustomerHierarchyLevels[[#This Row],[Level1]],CustomerHierarchyLevels[],7,FALSE))</f>
        <v>2126</v>
      </c>
      <c r="S486" s="30">
        <f>IF(VLOOKUP(CustomerHierarchyLevels[[#This Row],[Level2]],CustomerHierarchyLevels[],7,FALSE)=0,CustomerHierarchyLevels[[#This Row],[Level2]],VLOOKUP(CustomerHierarchyLevels[[#This Row],[Level2]],CustomerHierarchyLevels[],7,FALSE))</f>
        <v>2125</v>
      </c>
    </row>
    <row r="487" spans="1:19" x14ac:dyDescent="0.25">
      <c r="A487">
        <v>1286</v>
      </c>
      <c r="B487" t="s">
        <v>13</v>
      </c>
      <c r="C487" t="s">
        <v>95</v>
      </c>
      <c r="D487">
        <v>0</v>
      </c>
      <c r="E487">
        <v>39251</v>
      </c>
      <c r="F487">
        <v>2958465</v>
      </c>
      <c r="G487">
        <v>7717</v>
      </c>
      <c r="H487" t="s">
        <v>13</v>
      </c>
      <c r="I487" t="s">
        <v>95</v>
      </c>
      <c r="J487">
        <v>0</v>
      </c>
      <c r="K487">
        <v>0</v>
      </c>
      <c r="N487">
        <v>0</v>
      </c>
      <c r="O487" t="s">
        <v>96</v>
      </c>
      <c r="P487" t="s">
        <v>232</v>
      </c>
      <c r="Q487" s="30">
        <f>IF(CustomerHierarchyLevels[[#This Row],[HgLvCust.]]=0,CustomerHierarchyLevels[[#This Row],[Customer]],CustomerHierarchyLevels[[#This Row],[HgLvCust.]])</f>
        <v>7717</v>
      </c>
      <c r="R487" s="30">
        <f>IF(VLOOKUP(CustomerHierarchyLevels[[#This Row],[Level1]],CustomerHierarchyLevels[],7,FALSE)=0,CustomerHierarchyLevels[[#This Row],[Level1]],VLOOKUP(CustomerHierarchyLevels[[#This Row],[Level1]],CustomerHierarchyLevels[],7,FALSE))</f>
        <v>2126</v>
      </c>
      <c r="S487" s="30">
        <f>IF(VLOOKUP(CustomerHierarchyLevels[[#This Row],[Level2]],CustomerHierarchyLevels[],7,FALSE)=0,CustomerHierarchyLevels[[#This Row],[Level2]],VLOOKUP(CustomerHierarchyLevels[[#This Row],[Level2]],CustomerHierarchyLevels[],7,FALSE))</f>
        <v>2125</v>
      </c>
    </row>
    <row r="488" spans="1:19" x14ac:dyDescent="0.25">
      <c r="A488">
        <v>2992</v>
      </c>
      <c r="B488" t="s">
        <v>13</v>
      </c>
      <c r="C488" t="s">
        <v>95</v>
      </c>
      <c r="D488">
        <v>0</v>
      </c>
      <c r="E488">
        <v>39251</v>
      </c>
      <c r="F488">
        <v>2958465</v>
      </c>
      <c r="G488">
        <v>7718</v>
      </c>
      <c r="H488" t="s">
        <v>13</v>
      </c>
      <c r="I488" t="s">
        <v>95</v>
      </c>
      <c r="J488">
        <v>0</v>
      </c>
      <c r="K488">
        <v>0</v>
      </c>
      <c r="N488">
        <v>0</v>
      </c>
      <c r="O488" t="s">
        <v>96</v>
      </c>
      <c r="P488" t="s">
        <v>277</v>
      </c>
      <c r="Q488" s="30">
        <f>IF(CustomerHierarchyLevels[[#This Row],[HgLvCust.]]=0,CustomerHierarchyLevels[[#This Row],[Customer]],CustomerHierarchyLevels[[#This Row],[HgLvCust.]])</f>
        <v>7718</v>
      </c>
      <c r="R488" s="30">
        <f>IF(VLOOKUP(CustomerHierarchyLevels[[#This Row],[Level1]],CustomerHierarchyLevels[],7,FALSE)=0,CustomerHierarchyLevels[[#This Row],[Level1]],VLOOKUP(CustomerHierarchyLevels[[#This Row],[Level1]],CustomerHierarchyLevels[],7,FALSE))</f>
        <v>2158</v>
      </c>
      <c r="S488" s="30">
        <f>IF(VLOOKUP(CustomerHierarchyLevels[[#This Row],[Level2]],CustomerHierarchyLevels[],7,FALSE)=0,CustomerHierarchyLevels[[#This Row],[Level2]],VLOOKUP(CustomerHierarchyLevels[[#This Row],[Level2]],CustomerHierarchyLevels[],7,FALSE))</f>
        <v>2157</v>
      </c>
    </row>
    <row r="489" spans="1:19" x14ac:dyDescent="0.25">
      <c r="A489">
        <v>6580</v>
      </c>
      <c r="B489" t="s">
        <v>13</v>
      </c>
      <c r="C489" t="s">
        <v>95</v>
      </c>
      <c r="D489">
        <v>0</v>
      </c>
      <c r="E489">
        <v>39251</v>
      </c>
      <c r="F489">
        <v>2958465</v>
      </c>
      <c r="G489">
        <v>7719</v>
      </c>
      <c r="H489" t="s">
        <v>13</v>
      </c>
      <c r="I489" t="s">
        <v>95</v>
      </c>
      <c r="J489">
        <v>0</v>
      </c>
      <c r="K489">
        <v>0</v>
      </c>
      <c r="N489">
        <v>0</v>
      </c>
      <c r="O489" t="s">
        <v>96</v>
      </c>
      <c r="P489" t="s">
        <v>1651</v>
      </c>
      <c r="Q489" s="30">
        <f>IF(CustomerHierarchyLevels[[#This Row],[HgLvCust.]]=0,CustomerHierarchyLevels[[#This Row],[Customer]],CustomerHierarchyLevels[[#This Row],[HgLvCust.]])</f>
        <v>7719</v>
      </c>
      <c r="R489" s="30">
        <f>IF(VLOOKUP(CustomerHierarchyLevels[[#This Row],[Level1]],CustomerHierarchyLevels[],7,FALSE)=0,CustomerHierarchyLevels[[#This Row],[Level1]],VLOOKUP(CustomerHierarchyLevels[[#This Row],[Level1]],CustomerHierarchyLevels[],7,FALSE))</f>
        <v>2110</v>
      </c>
      <c r="S489" s="30">
        <f>IF(VLOOKUP(CustomerHierarchyLevels[[#This Row],[Level2]],CustomerHierarchyLevels[],7,FALSE)=0,CustomerHierarchyLevels[[#This Row],[Level2]],VLOOKUP(CustomerHierarchyLevels[[#This Row],[Level2]],CustomerHierarchyLevels[],7,FALSE))</f>
        <v>2109</v>
      </c>
    </row>
    <row r="490" spans="1:19" x14ac:dyDescent="0.25">
      <c r="A490">
        <v>7801</v>
      </c>
      <c r="B490" t="s">
        <v>13</v>
      </c>
      <c r="C490" t="s">
        <v>95</v>
      </c>
      <c r="D490">
        <v>0</v>
      </c>
      <c r="E490">
        <v>39268</v>
      </c>
      <c r="F490">
        <v>2958465</v>
      </c>
      <c r="G490">
        <v>6533</v>
      </c>
      <c r="H490" t="s">
        <v>13</v>
      </c>
      <c r="I490" t="s">
        <v>95</v>
      </c>
      <c r="J490">
        <v>0</v>
      </c>
      <c r="K490">
        <v>0</v>
      </c>
      <c r="N490">
        <v>0</v>
      </c>
      <c r="O490" t="s">
        <v>96</v>
      </c>
      <c r="P490" t="s">
        <v>1652</v>
      </c>
      <c r="Q490" s="30">
        <f>IF(CustomerHierarchyLevels[[#This Row],[HgLvCust.]]=0,CustomerHierarchyLevels[[#This Row],[Customer]],CustomerHierarchyLevels[[#This Row],[HgLvCust.]])</f>
        <v>6533</v>
      </c>
      <c r="R490" s="30">
        <f>IF(VLOOKUP(CustomerHierarchyLevels[[#This Row],[Level1]],CustomerHierarchyLevels[],7,FALSE)=0,CustomerHierarchyLevels[[#This Row],[Level1]],VLOOKUP(CustomerHierarchyLevels[[#This Row],[Level1]],CustomerHierarchyLevels[],7,FALSE))</f>
        <v>6532</v>
      </c>
      <c r="S490" s="30">
        <f>IF(VLOOKUP(CustomerHierarchyLevels[[#This Row],[Level2]],CustomerHierarchyLevels[],7,FALSE)=0,CustomerHierarchyLevels[[#This Row],[Level2]],VLOOKUP(CustomerHierarchyLevels[[#This Row],[Level2]],CustomerHierarchyLevels[],7,FALSE))</f>
        <v>6705</v>
      </c>
    </row>
    <row r="491" spans="1:19" x14ac:dyDescent="0.25">
      <c r="A491">
        <v>1290</v>
      </c>
      <c r="B491" t="s">
        <v>13</v>
      </c>
      <c r="C491" t="s">
        <v>95</v>
      </c>
      <c r="D491">
        <v>0</v>
      </c>
      <c r="E491">
        <v>39358</v>
      </c>
      <c r="F491">
        <v>2958465</v>
      </c>
      <c r="G491">
        <v>6329</v>
      </c>
      <c r="H491" t="s">
        <v>13</v>
      </c>
      <c r="I491" t="s">
        <v>95</v>
      </c>
      <c r="J491">
        <v>0</v>
      </c>
      <c r="K491">
        <v>0</v>
      </c>
      <c r="N491">
        <v>0</v>
      </c>
      <c r="O491" t="s">
        <v>96</v>
      </c>
      <c r="P491" t="s">
        <v>193</v>
      </c>
      <c r="Q491" s="30">
        <f>IF(CustomerHierarchyLevels[[#This Row],[HgLvCust.]]=0,CustomerHierarchyLevels[[#This Row],[Customer]],CustomerHierarchyLevels[[#This Row],[HgLvCust.]])</f>
        <v>6329</v>
      </c>
      <c r="R491" s="30">
        <f>IF(VLOOKUP(CustomerHierarchyLevels[[#This Row],[Level1]],CustomerHierarchyLevels[],7,FALSE)=0,CustomerHierarchyLevels[[#This Row],[Level1]],VLOOKUP(CustomerHierarchyLevels[[#This Row],[Level1]],CustomerHierarchyLevels[],7,FALSE))</f>
        <v>2126</v>
      </c>
      <c r="S491" s="30">
        <f>IF(VLOOKUP(CustomerHierarchyLevels[[#This Row],[Level2]],CustomerHierarchyLevels[],7,FALSE)=0,CustomerHierarchyLevels[[#This Row],[Level2]],VLOOKUP(CustomerHierarchyLevels[[#This Row],[Level2]],CustomerHierarchyLevels[],7,FALSE))</f>
        <v>2125</v>
      </c>
    </row>
    <row r="492" spans="1:19" x14ac:dyDescent="0.25">
      <c r="A492">
        <v>8147</v>
      </c>
      <c r="B492" t="s">
        <v>13</v>
      </c>
      <c r="C492" t="s">
        <v>95</v>
      </c>
      <c r="D492">
        <v>0</v>
      </c>
      <c r="E492">
        <v>39379</v>
      </c>
      <c r="F492">
        <v>2958465</v>
      </c>
      <c r="G492">
        <v>6538</v>
      </c>
      <c r="H492" t="s">
        <v>13</v>
      </c>
      <c r="I492" t="s">
        <v>95</v>
      </c>
      <c r="J492">
        <v>0</v>
      </c>
      <c r="K492">
        <v>0</v>
      </c>
      <c r="N492">
        <v>0</v>
      </c>
      <c r="O492" t="s">
        <v>96</v>
      </c>
      <c r="P492" t="s">
        <v>1653</v>
      </c>
      <c r="Q492" s="30">
        <f>IF(CustomerHierarchyLevels[[#This Row],[HgLvCust.]]=0,CustomerHierarchyLevels[[#This Row],[Customer]],CustomerHierarchyLevels[[#This Row],[HgLvCust.]])</f>
        <v>6538</v>
      </c>
      <c r="R492" s="30">
        <f>IF(VLOOKUP(CustomerHierarchyLevels[[#This Row],[Level1]],CustomerHierarchyLevels[],7,FALSE)=0,CustomerHierarchyLevels[[#This Row],[Level1]],VLOOKUP(CustomerHierarchyLevels[[#This Row],[Level1]],CustomerHierarchyLevels[],7,FALSE))</f>
        <v>6535</v>
      </c>
      <c r="S492" s="30">
        <f>IF(VLOOKUP(CustomerHierarchyLevels[[#This Row],[Level2]],CustomerHierarchyLevels[],7,FALSE)=0,CustomerHierarchyLevels[[#This Row],[Level2]],VLOOKUP(CustomerHierarchyLevels[[#This Row],[Level2]],CustomerHierarchyLevels[],7,FALSE))</f>
        <v>6535</v>
      </c>
    </row>
    <row r="493" spans="1:19" x14ac:dyDescent="0.25">
      <c r="A493">
        <v>8201</v>
      </c>
      <c r="B493" t="s">
        <v>13</v>
      </c>
      <c r="C493" t="s">
        <v>95</v>
      </c>
      <c r="D493">
        <v>0</v>
      </c>
      <c r="E493">
        <v>39392</v>
      </c>
      <c r="F493">
        <v>2958465</v>
      </c>
      <c r="G493">
        <v>6533</v>
      </c>
      <c r="H493" t="s">
        <v>13</v>
      </c>
      <c r="I493" t="s">
        <v>95</v>
      </c>
      <c r="J493">
        <v>0</v>
      </c>
      <c r="K493">
        <v>0</v>
      </c>
      <c r="N493">
        <v>0</v>
      </c>
      <c r="O493" t="s">
        <v>96</v>
      </c>
      <c r="P493" t="s">
        <v>1654</v>
      </c>
      <c r="Q493" s="30">
        <f>IF(CustomerHierarchyLevels[[#This Row],[HgLvCust.]]=0,CustomerHierarchyLevels[[#This Row],[Customer]],CustomerHierarchyLevels[[#This Row],[HgLvCust.]])</f>
        <v>6533</v>
      </c>
      <c r="R493" s="30">
        <f>IF(VLOOKUP(CustomerHierarchyLevels[[#This Row],[Level1]],CustomerHierarchyLevels[],7,FALSE)=0,CustomerHierarchyLevels[[#This Row],[Level1]],VLOOKUP(CustomerHierarchyLevels[[#This Row],[Level1]],CustomerHierarchyLevels[],7,FALSE))</f>
        <v>6532</v>
      </c>
      <c r="S493" s="30">
        <f>IF(VLOOKUP(CustomerHierarchyLevels[[#This Row],[Level2]],CustomerHierarchyLevels[],7,FALSE)=0,CustomerHierarchyLevels[[#This Row],[Level2]],VLOOKUP(CustomerHierarchyLevels[[#This Row],[Level2]],CustomerHierarchyLevels[],7,FALSE))</f>
        <v>6705</v>
      </c>
    </row>
    <row r="494" spans="1:19" x14ac:dyDescent="0.25">
      <c r="A494">
        <v>8123</v>
      </c>
      <c r="B494" t="s">
        <v>13</v>
      </c>
      <c r="C494" t="s">
        <v>95</v>
      </c>
      <c r="D494">
        <v>0</v>
      </c>
      <c r="E494">
        <v>39398</v>
      </c>
      <c r="F494">
        <v>2958465</v>
      </c>
      <c r="G494">
        <v>6292</v>
      </c>
      <c r="H494" t="s">
        <v>13</v>
      </c>
      <c r="I494" t="s">
        <v>95</v>
      </c>
      <c r="J494">
        <v>0</v>
      </c>
      <c r="K494">
        <v>0</v>
      </c>
      <c r="N494">
        <v>0</v>
      </c>
      <c r="O494" t="s">
        <v>96</v>
      </c>
      <c r="P494" t="s">
        <v>1655</v>
      </c>
      <c r="Q494" s="30">
        <f>IF(CustomerHierarchyLevels[[#This Row],[HgLvCust.]]=0,CustomerHierarchyLevels[[#This Row],[Customer]],CustomerHierarchyLevels[[#This Row],[HgLvCust.]])</f>
        <v>6292</v>
      </c>
      <c r="R494" s="30">
        <f>IF(VLOOKUP(CustomerHierarchyLevels[[#This Row],[Level1]],CustomerHierarchyLevels[],7,FALSE)=0,CustomerHierarchyLevels[[#This Row],[Level1]],VLOOKUP(CustomerHierarchyLevels[[#This Row],[Level1]],CustomerHierarchyLevels[],7,FALSE))</f>
        <v>6293</v>
      </c>
      <c r="S494" s="30">
        <f>IF(VLOOKUP(CustomerHierarchyLevels[[#This Row],[Level2]],CustomerHierarchyLevels[],7,FALSE)=0,CustomerHierarchyLevels[[#This Row],[Level2]],VLOOKUP(CustomerHierarchyLevels[[#This Row],[Level2]],CustomerHierarchyLevels[],7,FALSE))</f>
        <v>6716</v>
      </c>
    </row>
    <row r="495" spans="1:19" x14ac:dyDescent="0.25">
      <c r="A495">
        <v>6555</v>
      </c>
      <c r="B495" t="s">
        <v>13</v>
      </c>
      <c r="C495" t="s">
        <v>95</v>
      </c>
      <c r="D495">
        <v>0</v>
      </c>
      <c r="E495">
        <v>39462</v>
      </c>
      <c r="F495">
        <v>2958465</v>
      </c>
      <c r="G495">
        <v>6282</v>
      </c>
      <c r="H495" t="s">
        <v>13</v>
      </c>
      <c r="I495" t="s">
        <v>95</v>
      </c>
      <c r="J495">
        <v>0</v>
      </c>
      <c r="K495">
        <v>0</v>
      </c>
      <c r="N495">
        <v>0</v>
      </c>
      <c r="O495" t="s">
        <v>96</v>
      </c>
      <c r="P495" t="s">
        <v>1656</v>
      </c>
      <c r="Q495" s="30">
        <f>IF(CustomerHierarchyLevels[[#This Row],[HgLvCust.]]=0,CustomerHierarchyLevels[[#This Row],[Customer]],CustomerHierarchyLevels[[#This Row],[HgLvCust.]])</f>
        <v>6282</v>
      </c>
      <c r="R495" s="30">
        <f>IF(VLOOKUP(CustomerHierarchyLevels[[#This Row],[Level1]],CustomerHierarchyLevels[],7,FALSE)=0,CustomerHierarchyLevels[[#This Row],[Level1]],VLOOKUP(CustomerHierarchyLevels[[#This Row],[Level1]],CustomerHierarchyLevels[],7,FALSE))</f>
        <v>6283</v>
      </c>
      <c r="S495" s="30">
        <f>IF(VLOOKUP(CustomerHierarchyLevels[[#This Row],[Level2]],CustomerHierarchyLevels[],7,FALSE)=0,CustomerHierarchyLevels[[#This Row],[Level2]],VLOOKUP(CustomerHierarchyLevels[[#This Row],[Level2]],CustomerHierarchyLevels[],7,FALSE))</f>
        <v>6711</v>
      </c>
    </row>
    <row r="496" spans="1:19" x14ac:dyDescent="0.25">
      <c r="A496">
        <v>7521</v>
      </c>
      <c r="B496" t="s">
        <v>13</v>
      </c>
      <c r="C496" t="s">
        <v>95</v>
      </c>
      <c r="D496">
        <v>0</v>
      </c>
      <c r="E496">
        <v>39494</v>
      </c>
      <c r="F496">
        <v>2958465</v>
      </c>
      <c r="G496">
        <v>6294</v>
      </c>
      <c r="H496" t="s">
        <v>13</v>
      </c>
      <c r="I496" t="s">
        <v>95</v>
      </c>
      <c r="J496">
        <v>0</v>
      </c>
      <c r="K496">
        <v>0</v>
      </c>
      <c r="N496">
        <v>0</v>
      </c>
      <c r="O496" t="s">
        <v>96</v>
      </c>
      <c r="P496" t="s">
        <v>1657</v>
      </c>
      <c r="Q496" s="30">
        <f>IF(CustomerHierarchyLevels[[#This Row],[HgLvCust.]]=0,CustomerHierarchyLevels[[#This Row],[Customer]],CustomerHierarchyLevels[[#This Row],[HgLvCust.]])</f>
        <v>6294</v>
      </c>
      <c r="R496" s="30">
        <f>IF(VLOOKUP(CustomerHierarchyLevels[[#This Row],[Level1]],CustomerHierarchyLevels[],7,FALSE)=0,CustomerHierarchyLevels[[#This Row],[Level1]],VLOOKUP(CustomerHierarchyLevels[[#This Row],[Level1]],CustomerHierarchyLevels[],7,FALSE))</f>
        <v>6295</v>
      </c>
      <c r="S496" s="30">
        <f>IF(VLOOKUP(CustomerHierarchyLevels[[#This Row],[Level2]],CustomerHierarchyLevels[],7,FALSE)=0,CustomerHierarchyLevels[[#This Row],[Level2]],VLOOKUP(CustomerHierarchyLevels[[#This Row],[Level2]],CustomerHierarchyLevels[],7,FALSE))</f>
        <v>6717</v>
      </c>
    </row>
    <row r="497" spans="1:19" x14ac:dyDescent="0.25">
      <c r="A497">
        <v>1700</v>
      </c>
      <c r="B497" t="s">
        <v>13</v>
      </c>
      <c r="C497" t="s">
        <v>95</v>
      </c>
      <c r="D497">
        <v>0</v>
      </c>
      <c r="E497">
        <v>39520</v>
      </c>
      <c r="F497">
        <v>2958465</v>
      </c>
      <c r="G497">
        <v>6296</v>
      </c>
      <c r="H497" t="s">
        <v>13</v>
      </c>
      <c r="I497" t="s">
        <v>95</v>
      </c>
      <c r="J497">
        <v>0</v>
      </c>
      <c r="K497">
        <v>0</v>
      </c>
      <c r="N497">
        <v>0</v>
      </c>
      <c r="O497" t="s">
        <v>96</v>
      </c>
      <c r="P497" t="s">
        <v>1658</v>
      </c>
      <c r="Q497" s="30">
        <f>IF(CustomerHierarchyLevels[[#This Row],[HgLvCust.]]=0,CustomerHierarchyLevels[[#This Row],[Customer]],CustomerHierarchyLevels[[#This Row],[HgLvCust.]])</f>
        <v>6296</v>
      </c>
      <c r="R497" s="30">
        <f>IF(VLOOKUP(CustomerHierarchyLevels[[#This Row],[Level1]],CustomerHierarchyLevels[],7,FALSE)=0,CustomerHierarchyLevels[[#This Row],[Level1]],VLOOKUP(CustomerHierarchyLevels[[#This Row],[Level1]],CustomerHierarchyLevels[],7,FALSE))</f>
        <v>6297</v>
      </c>
      <c r="S497" s="30">
        <f>IF(VLOOKUP(CustomerHierarchyLevels[[#This Row],[Level2]],CustomerHierarchyLevels[],7,FALSE)=0,CustomerHierarchyLevels[[#This Row],[Level2]],VLOOKUP(CustomerHierarchyLevels[[#This Row],[Level2]],CustomerHierarchyLevels[],7,FALSE))</f>
        <v>6718</v>
      </c>
    </row>
    <row r="498" spans="1:19" x14ac:dyDescent="0.25">
      <c r="A498">
        <v>1275</v>
      </c>
      <c r="B498" t="s">
        <v>13</v>
      </c>
      <c r="C498" t="s">
        <v>95</v>
      </c>
      <c r="D498">
        <v>0</v>
      </c>
      <c r="E498">
        <v>39588</v>
      </c>
      <c r="F498">
        <v>2958465</v>
      </c>
      <c r="G498">
        <v>6282</v>
      </c>
      <c r="H498" t="s">
        <v>13</v>
      </c>
      <c r="I498" t="s">
        <v>95</v>
      </c>
      <c r="J498">
        <v>0</v>
      </c>
      <c r="K498">
        <v>0</v>
      </c>
      <c r="N498">
        <v>0</v>
      </c>
      <c r="O498" t="s">
        <v>96</v>
      </c>
      <c r="P498" t="s">
        <v>1659</v>
      </c>
      <c r="Q498" s="30">
        <f>IF(CustomerHierarchyLevels[[#This Row],[HgLvCust.]]=0,CustomerHierarchyLevels[[#This Row],[Customer]],CustomerHierarchyLevels[[#This Row],[HgLvCust.]])</f>
        <v>6282</v>
      </c>
      <c r="R498" s="30">
        <f>IF(VLOOKUP(CustomerHierarchyLevels[[#This Row],[Level1]],CustomerHierarchyLevels[],7,FALSE)=0,CustomerHierarchyLevels[[#This Row],[Level1]],VLOOKUP(CustomerHierarchyLevels[[#This Row],[Level1]],CustomerHierarchyLevels[],7,FALSE))</f>
        <v>6283</v>
      </c>
      <c r="S498" s="30">
        <f>IF(VLOOKUP(CustomerHierarchyLevels[[#This Row],[Level2]],CustomerHierarchyLevels[],7,FALSE)=0,CustomerHierarchyLevels[[#This Row],[Level2]],VLOOKUP(CustomerHierarchyLevels[[#This Row],[Level2]],CustomerHierarchyLevels[],7,FALSE))</f>
        <v>6711</v>
      </c>
    </row>
    <row r="499" spans="1:19" x14ac:dyDescent="0.25">
      <c r="A499">
        <v>9262</v>
      </c>
      <c r="B499" t="s">
        <v>13</v>
      </c>
      <c r="C499" t="s">
        <v>95</v>
      </c>
      <c r="D499">
        <v>0</v>
      </c>
      <c r="E499">
        <v>39720</v>
      </c>
      <c r="F499">
        <v>2958465</v>
      </c>
      <c r="G499">
        <v>6330</v>
      </c>
      <c r="H499" t="s">
        <v>13</v>
      </c>
      <c r="I499" t="s">
        <v>95</v>
      </c>
      <c r="J499">
        <v>0</v>
      </c>
      <c r="K499">
        <v>0</v>
      </c>
      <c r="N499">
        <v>0</v>
      </c>
      <c r="O499" t="s">
        <v>96</v>
      </c>
      <c r="P499" t="s">
        <v>204</v>
      </c>
      <c r="Q499" s="30">
        <f>IF(CustomerHierarchyLevels[[#This Row],[HgLvCust.]]=0,CustomerHierarchyLevels[[#This Row],[Customer]],CustomerHierarchyLevels[[#This Row],[HgLvCust.]])</f>
        <v>6330</v>
      </c>
      <c r="R499" s="30">
        <f>IF(VLOOKUP(CustomerHierarchyLevels[[#This Row],[Level1]],CustomerHierarchyLevels[],7,FALSE)=0,CustomerHierarchyLevels[[#This Row],[Level1]],VLOOKUP(CustomerHierarchyLevels[[#This Row],[Level1]],CustomerHierarchyLevels[],7,FALSE))</f>
        <v>2158</v>
      </c>
      <c r="S499" s="30">
        <f>IF(VLOOKUP(CustomerHierarchyLevels[[#This Row],[Level2]],CustomerHierarchyLevels[],7,FALSE)=0,CustomerHierarchyLevels[[#This Row],[Level2]],VLOOKUP(CustomerHierarchyLevels[[#This Row],[Level2]],CustomerHierarchyLevels[],7,FALSE))</f>
        <v>2157</v>
      </c>
    </row>
    <row r="500" spans="1:19" x14ac:dyDescent="0.25">
      <c r="A500">
        <v>9271</v>
      </c>
      <c r="B500" t="s">
        <v>13</v>
      </c>
      <c r="C500" t="s">
        <v>95</v>
      </c>
      <c r="D500">
        <v>0</v>
      </c>
      <c r="E500">
        <v>39723</v>
      </c>
      <c r="F500">
        <v>2958465</v>
      </c>
      <c r="G500">
        <v>6284</v>
      </c>
      <c r="H500" t="s">
        <v>13</v>
      </c>
      <c r="I500" t="s">
        <v>95</v>
      </c>
      <c r="J500">
        <v>0</v>
      </c>
      <c r="K500">
        <v>0</v>
      </c>
      <c r="N500">
        <v>0</v>
      </c>
      <c r="O500" t="s">
        <v>96</v>
      </c>
      <c r="P500" t="s">
        <v>1660</v>
      </c>
      <c r="Q500" s="30">
        <f>IF(CustomerHierarchyLevels[[#This Row],[HgLvCust.]]=0,CustomerHierarchyLevels[[#This Row],[Customer]],CustomerHierarchyLevels[[#This Row],[HgLvCust.]])</f>
        <v>6284</v>
      </c>
      <c r="R500" s="30">
        <f>IF(VLOOKUP(CustomerHierarchyLevels[[#This Row],[Level1]],CustomerHierarchyLevels[],7,FALSE)=0,CustomerHierarchyLevels[[#This Row],[Level1]],VLOOKUP(CustomerHierarchyLevels[[#This Row],[Level1]],CustomerHierarchyLevels[],7,FALSE))</f>
        <v>6285</v>
      </c>
      <c r="S500" s="30">
        <f>IF(VLOOKUP(CustomerHierarchyLevels[[#This Row],[Level2]],CustomerHierarchyLevels[],7,FALSE)=0,CustomerHierarchyLevels[[#This Row],[Level2]],VLOOKUP(CustomerHierarchyLevels[[#This Row],[Level2]],CustomerHierarchyLevels[],7,FALSE))</f>
        <v>6712</v>
      </c>
    </row>
    <row r="501" spans="1:19" x14ac:dyDescent="0.25">
      <c r="A501">
        <v>2954</v>
      </c>
      <c r="B501" t="s">
        <v>13</v>
      </c>
      <c r="C501" t="s">
        <v>95</v>
      </c>
      <c r="D501">
        <v>0</v>
      </c>
      <c r="E501">
        <v>39723</v>
      </c>
      <c r="F501">
        <v>2958465</v>
      </c>
      <c r="G501">
        <v>6284</v>
      </c>
      <c r="H501" t="s">
        <v>13</v>
      </c>
      <c r="I501" t="s">
        <v>95</v>
      </c>
      <c r="J501">
        <v>0</v>
      </c>
      <c r="K501">
        <v>0</v>
      </c>
      <c r="N501">
        <v>0</v>
      </c>
      <c r="O501" t="s">
        <v>96</v>
      </c>
      <c r="P501" t="s">
        <v>1661</v>
      </c>
      <c r="Q501" s="30">
        <f>IF(CustomerHierarchyLevels[[#This Row],[HgLvCust.]]=0,CustomerHierarchyLevels[[#This Row],[Customer]],CustomerHierarchyLevels[[#This Row],[HgLvCust.]])</f>
        <v>6284</v>
      </c>
      <c r="R501" s="30">
        <f>IF(VLOOKUP(CustomerHierarchyLevels[[#This Row],[Level1]],CustomerHierarchyLevels[],7,FALSE)=0,CustomerHierarchyLevels[[#This Row],[Level1]],VLOOKUP(CustomerHierarchyLevels[[#This Row],[Level1]],CustomerHierarchyLevels[],7,FALSE))</f>
        <v>6285</v>
      </c>
      <c r="S501" s="30">
        <f>IF(VLOOKUP(CustomerHierarchyLevels[[#This Row],[Level2]],CustomerHierarchyLevels[],7,FALSE)=0,CustomerHierarchyLevels[[#This Row],[Level2]],VLOOKUP(CustomerHierarchyLevels[[#This Row],[Level2]],CustomerHierarchyLevels[],7,FALSE))</f>
        <v>6712</v>
      </c>
    </row>
    <row r="502" spans="1:19" x14ac:dyDescent="0.25">
      <c r="A502">
        <v>9287</v>
      </c>
      <c r="B502" t="s">
        <v>13</v>
      </c>
      <c r="C502" t="s">
        <v>95</v>
      </c>
      <c r="D502">
        <v>0</v>
      </c>
      <c r="E502">
        <v>39729</v>
      </c>
      <c r="F502">
        <v>2958465</v>
      </c>
      <c r="G502">
        <v>6283</v>
      </c>
      <c r="H502" t="s">
        <v>13</v>
      </c>
      <c r="I502" t="s">
        <v>95</v>
      </c>
      <c r="J502">
        <v>0</v>
      </c>
      <c r="K502">
        <v>0</v>
      </c>
      <c r="N502">
        <v>0</v>
      </c>
      <c r="O502" t="s">
        <v>96</v>
      </c>
      <c r="P502" t="s">
        <v>1662</v>
      </c>
      <c r="Q502" s="30">
        <f>IF(CustomerHierarchyLevels[[#This Row],[HgLvCust.]]=0,CustomerHierarchyLevels[[#This Row],[Customer]],CustomerHierarchyLevels[[#This Row],[HgLvCust.]])</f>
        <v>6283</v>
      </c>
      <c r="R502" s="30">
        <f>IF(VLOOKUP(CustomerHierarchyLevels[[#This Row],[Level1]],CustomerHierarchyLevels[],7,FALSE)=0,CustomerHierarchyLevels[[#This Row],[Level1]],VLOOKUP(CustomerHierarchyLevels[[#This Row],[Level1]],CustomerHierarchyLevels[],7,FALSE))</f>
        <v>6711</v>
      </c>
      <c r="S502" s="30">
        <f>IF(VLOOKUP(CustomerHierarchyLevels[[#This Row],[Level2]],CustomerHierarchyLevels[],7,FALSE)=0,CustomerHierarchyLevels[[#This Row],[Level2]],VLOOKUP(CustomerHierarchyLevels[[#This Row],[Level2]],CustomerHierarchyLevels[],7,FALSE))</f>
        <v>6711</v>
      </c>
    </row>
    <row r="503" spans="1:19" x14ac:dyDescent="0.25">
      <c r="A503">
        <v>9432</v>
      </c>
      <c r="B503" t="s">
        <v>13</v>
      </c>
      <c r="C503" t="s">
        <v>95</v>
      </c>
      <c r="D503">
        <v>0</v>
      </c>
      <c r="E503">
        <v>39772</v>
      </c>
      <c r="F503">
        <v>2958465</v>
      </c>
      <c r="G503">
        <v>6327</v>
      </c>
      <c r="H503" t="s">
        <v>13</v>
      </c>
      <c r="I503" t="s">
        <v>95</v>
      </c>
      <c r="J503">
        <v>0</v>
      </c>
      <c r="K503">
        <v>0</v>
      </c>
      <c r="N503">
        <v>0</v>
      </c>
      <c r="O503" t="s">
        <v>96</v>
      </c>
      <c r="P503" t="s">
        <v>1663</v>
      </c>
      <c r="Q503" s="30">
        <f>IF(CustomerHierarchyLevels[[#This Row],[HgLvCust.]]=0,CustomerHierarchyLevels[[#This Row],[Customer]],CustomerHierarchyLevels[[#This Row],[HgLvCust.]])</f>
        <v>6327</v>
      </c>
      <c r="R503" s="30">
        <f>IF(VLOOKUP(CustomerHierarchyLevels[[#This Row],[Level1]],CustomerHierarchyLevels[],7,FALSE)=0,CustomerHierarchyLevels[[#This Row],[Level1]],VLOOKUP(CustomerHierarchyLevels[[#This Row],[Level1]],CustomerHierarchyLevels[],7,FALSE))</f>
        <v>2126</v>
      </c>
      <c r="S503" s="30">
        <f>IF(VLOOKUP(CustomerHierarchyLevels[[#This Row],[Level2]],CustomerHierarchyLevels[],7,FALSE)=0,CustomerHierarchyLevels[[#This Row],[Level2]],VLOOKUP(CustomerHierarchyLevels[[#This Row],[Level2]],CustomerHierarchyLevels[],7,FALSE))</f>
        <v>2125</v>
      </c>
    </row>
    <row r="504" spans="1:19" x14ac:dyDescent="0.25">
      <c r="A504">
        <v>9551</v>
      </c>
      <c r="B504" t="s">
        <v>13</v>
      </c>
      <c r="C504" t="s">
        <v>95</v>
      </c>
      <c r="D504">
        <v>0</v>
      </c>
      <c r="E504">
        <v>39821</v>
      </c>
      <c r="F504">
        <v>2958465</v>
      </c>
      <c r="G504">
        <v>6294</v>
      </c>
      <c r="H504" t="s">
        <v>13</v>
      </c>
      <c r="I504" t="s">
        <v>95</v>
      </c>
      <c r="J504">
        <v>0</v>
      </c>
      <c r="K504">
        <v>0</v>
      </c>
      <c r="N504">
        <v>0</v>
      </c>
      <c r="O504" t="s">
        <v>96</v>
      </c>
      <c r="P504" t="s">
        <v>1664</v>
      </c>
      <c r="Q504" s="30">
        <f>IF(CustomerHierarchyLevels[[#This Row],[HgLvCust.]]=0,CustomerHierarchyLevels[[#This Row],[Customer]],CustomerHierarchyLevels[[#This Row],[HgLvCust.]])</f>
        <v>6294</v>
      </c>
      <c r="R504" s="30">
        <f>IF(VLOOKUP(CustomerHierarchyLevels[[#This Row],[Level1]],CustomerHierarchyLevels[],7,FALSE)=0,CustomerHierarchyLevels[[#This Row],[Level1]],VLOOKUP(CustomerHierarchyLevels[[#This Row],[Level1]],CustomerHierarchyLevels[],7,FALSE))</f>
        <v>6295</v>
      </c>
      <c r="S504" s="30">
        <f>IF(VLOOKUP(CustomerHierarchyLevels[[#This Row],[Level2]],CustomerHierarchyLevels[],7,FALSE)=0,CustomerHierarchyLevels[[#This Row],[Level2]],VLOOKUP(CustomerHierarchyLevels[[#This Row],[Level2]],CustomerHierarchyLevels[],7,FALSE))</f>
        <v>6717</v>
      </c>
    </row>
    <row r="505" spans="1:19" x14ac:dyDescent="0.25">
      <c r="A505">
        <v>2046</v>
      </c>
      <c r="B505" t="s">
        <v>13</v>
      </c>
      <c r="C505" t="s">
        <v>95</v>
      </c>
      <c r="D505">
        <v>0</v>
      </c>
      <c r="E505">
        <v>39821</v>
      </c>
      <c r="F505">
        <v>2958465</v>
      </c>
      <c r="G505">
        <v>6294</v>
      </c>
      <c r="H505" t="s">
        <v>13</v>
      </c>
      <c r="I505" t="s">
        <v>95</v>
      </c>
      <c r="J505">
        <v>0</v>
      </c>
      <c r="K505">
        <v>0</v>
      </c>
      <c r="N505">
        <v>0</v>
      </c>
      <c r="O505" t="s">
        <v>96</v>
      </c>
      <c r="P505" t="s">
        <v>1665</v>
      </c>
      <c r="Q505" s="30">
        <f>IF(CustomerHierarchyLevels[[#This Row],[HgLvCust.]]=0,CustomerHierarchyLevels[[#This Row],[Customer]],CustomerHierarchyLevels[[#This Row],[HgLvCust.]])</f>
        <v>6294</v>
      </c>
      <c r="R505" s="30">
        <f>IF(VLOOKUP(CustomerHierarchyLevels[[#This Row],[Level1]],CustomerHierarchyLevels[],7,FALSE)=0,CustomerHierarchyLevels[[#This Row],[Level1]],VLOOKUP(CustomerHierarchyLevels[[#This Row],[Level1]],CustomerHierarchyLevels[],7,FALSE))</f>
        <v>6295</v>
      </c>
      <c r="S505" s="30">
        <f>IF(VLOOKUP(CustomerHierarchyLevels[[#This Row],[Level2]],CustomerHierarchyLevels[],7,FALSE)=0,CustomerHierarchyLevels[[#This Row],[Level2]],VLOOKUP(CustomerHierarchyLevels[[#This Row],[Level2]],CustomerHierarchyLevels[],7,FALSE))</f>
        <v>6717</v>
      </c>
    </row>
    <row r="506" spans="1:19" x14ac:dyDescent="0.25">
      <c r="A506">
        <v>10851</v>
      </c>
      <c r="B506" t="s">
        <v>13</v>
      </c>
      <c r="C506" t="s">
        <v>95</v>
      </c>
      <c r="D506">
        <v>0</v>
      </c>
      <c r="E506">
        <v>40466</v>
      </c>
      <c r="F506">
        <v>2958465</v>
      </c>
      <c r="G506">
        <v>6327</v>
      </c>
      <c r="H506" t="s">
        <v>13</v>
      </c>
      <c r="I506" t="s">
        <v>95</v>
      </c>
      <c r="J506">
        <v>0</v>
      </c>
      <c r="K506">
        <v>0</v>
      </c>
      <c r="N506">
        <v>0</v>
      </c>
      <c r="O506" t="s">
        <v>96</v>
      </c>
      <c r="P506" t="s">
        <v>1666</v>
      </c>
      <c r="Q506" s="30">
        <f>IF(CustomerHierarchyLevels[[#This Row],[HgLvCust.]]=0,CustomerHierarchyLevels[[#This Row],[Customer]],CustomerHierarchyLevels[[#This Row],[HgLvCust.]])</f>
        <v>6327</v>
      </c>
      <c r="R506" s="30">
        <f>IF(VLOOKUP(CustomerHierarchyLevels[[#This Row],[Level1]],CustomerHierarchyLevels[],7,FALSE)=0,CustomerHierarchyLevels[[#This Row],[Level1]],VLOOKUP(CustomerHierarchyLevels[[#This Row],[Level1]],CustomerHierarchyLevels[],7,FALSE))</f>
        <v>2126</v>
      </c>
      <c r="S506" s="30">
        <f>IF(VLOOKUP(CustomerHierarchyLevels[[#This Row],[Level2]],CustomerHierarchyLevels[],7,FALSE)=0,CustomerHierarchyLevels[[#This Row],[Level2]],VLOOKUP(CustomerHierarchyLevels[[#This Row],[Level2]],CustomerHierarchyLevels[],7,FALSE))</f>
        <v>2125</v>
      </c>
    </row>
    <row r="507" spans="1:19" x14ac:dyDescent="0.25">
      <c r="A507">
        <v>1414</v>
      </c>
      <c r="B507" t="s">
        <v>13</v>
      </c>
      <c r="C507" t="s">
        <v>95</v>
      </c>
      <c r="D507">
        <v>0</v>
      </c>
      <c r="E507">
        <v>40221</v>
      </c>
      <c r="F507">
        <v>2958465</v>
      </c>
      <c r="G507">
        <v>6304</v>
      </c>
      <c r="H507" t="s">
        <v>13</v>
      </c>
      <c r="I507" t="s">
        <v>95</v>
      </c>
      <c r="J507">
        <v>0</v>
      </c>
      <c r="K507">
        <v>0</v>
      </c>
      <c r="N507">
        <v>0</v>
      </c>
      <c r="O507" t="s">
        <v>96</v>
      </c>
      <c r="P507" t="s">
        <v>1667</v>
      </c>
      <c r="Q507" s="30">
        <f>IF(CustomerHierarchyLevels[[#This Row],[HgLvCust.]]=0,CustomerHierarchyLevels[[#This Row],[Customer]],CustomerHierarchyLevels[[#This Row],[HgLvCust.]])</f>
        <v>6304</v>
      </c>
      <c r="R507" s="30">
        <f>IF(VLOOKUP(CustomerHierarchyLevels[[#This Row],[Level1]],CustomerHierarchyLevels[],7,FALSE)=0,CustomerHierarchyLevels[[#This Row],[Level1]],VLOOKUP(CustomerHierarchyLevels[[#This Row],[Level1]],CustomerHierarchyLevels[],7,FALSE))</f>
        <v>6302</v>
      </c>
      <c r="S507" s="30">
        <f>IF(VLOOKUP(CustomerHierarchyLevels[[#This Row],[Level2]],CustomerHierarchyLevels[],7,FALSE)=0,CustomerHierarchyLevels[[#This Row],[Level2]],VLOOKUP(CustomerHierarchyLevels[[#This Row],[Level2]],CustomerHierarchyLevels[],7,FALSE))</f>
        <v>6301</v>
      </c>
    </row>
    <row r="508" spans="1:19" x14ac:dyDescent="0.25">
      <c r="A508">
        <v>6292</v>
      </c>
      <c r="B508" t="s">
        <v>13</v>
      </c>
      <c r="C508" t="s">
        <v>95</v>
      </c>
      <c r="D508">
        <v>0</v>
      </c>
      <c r="E508">
        <v>39011</v>
      </c>
      <c r="F508">
        <v>2958465</v>
      </c>
      <c r="G508">
        <v>6293</v>
      </c>
      <c r="H508" t="s">
        <v>13</v>
      </c>
      <c r="I508" t="s">
        <v>95</v>
      </c>
      <c r="J508">
        <v>0</v>
      </c>
      <c r="K508">
        <v>0</v>
      </c>
      <c r="L508" t="s">
        <v>1200</v>
      </c>
      <c r="M508" t="s">
        <v>1200</v>
      </c>
      <c r="N508">
        <v>3</v>
      </c>
      <c r="O508" t="s">
        <v>96</v>
      </c>
      <c r="P508" t="s">
        <v>1668</v>
      </c>
      <c r="Q508" s="30">
        <f>IF(CustomerHierarchyLevels[[#This Row],[HgLvCust.]]=0,CustomerHierarchyLevels[[#This Row],[Customer]],CustomerHierarchyLevels[[#This Row],[HgLvCust.]])</f>
        <v>6293</v>
      </c>
      <c r="R508" s="30">
        <f>IF(VLOOKUP(CustomerHierarchyLevels[[#This Row],[Level1]],CustomerHierarchyLevels[],7,FALSE)=0,CustomerHierarchyLevels[[#This Row],[Level1]],VLOOKUP(CustomerHierarchyLevels[[#This Row],[Level1]],CustomerHierarchyLevels[],7,FALSE))</f>
        <v>6716</v>
      </c>
      <c r="S508" s="30">
        <f>IF(VLOOKUP(CustomerHierarchyLevels[[#This Row],[Level2]],CustomerHierarchyLevels[],7,FALSE)=0,CustomerHierarchyLevels[[#This Row],[Level2]],VLOOKUP(CustomerHierarchyLevels[[#This Row],[Level2]],CustomerHierarchyLevels[],7,FALSE))</f>
        <v>6716</v>
      </c>
    </row>
    <row r="509" spans="1:19" x14ac:dyDescent="0.25">
      <c r="A509">
        <v>11202</v>
      </c>
      <c r="B509" t="s">
        <v>13</v>
      </c>
      <c r="C509" t="s">
        <v>95</v>
      </c>
      <c r="D509">
        <v>0</v>
      </c>
      <c r="E509">
        <v>40526</v>
      </c>
      <c r="F509">
        <v>2958465</v>
      </c>
      <c r="G509">
        <v>6296</v>
      </c>
      <c r="H509" t="s">
        <v>13</v>
      </c>
      <c r="I509" t="s">
        <v>95</v>
      </c>
      <c r="J509">
        <v>0</v>
      </c>
      <c r="K509">
        <v>0</v>
      </c>
      <c r="N509">
        <v>0</v>
      </c>
      <c r="O509" t="s">
        <v>96</v>
      </c>
      <c r="P509" t="s">
        <v>1669</v>
      </c>
      <c r="Q509" s="30">
        <f>IF(CustomerHierarchyLevels[[#This Row],[HgLvCust.]]=0,CustomerHierarchyLevels[[#This Row],[Customer]],CustomerHierarchyLevels[[#This Row],[HgLvCust.]])</f>
        <v>6296</v>
      </c>
      <c r="R509" s="30">
        <f>IF(VLOOKUP(CustomerHierarchyLevels[[#This Row],[Level1]],CustomerHierarchyLevels[],7,FALSE)=0,CustomerHierarchyLevels[[#This Row],[Level1]],VLOOKUP(CustomerHierarchyLevels[[#This Row],[Level1]],CustomerHierarchyLevels[],7,FALSE))</f>
        <v>6297</v>
      </c>
      <c r="S509" s="30">
        <f>IF(VLOOKUP(CustomerHierarchyLevels[[#This Row],[Level2]],CustomerHierarchyLevels[],7,FALSE)=0,CustomerHierarchyLevels[[#This Row],[Level2]],VLOOKUP(CustomerHierarchyLevels[[#This Row],[Level2]],CustomerHierarchyLevels[],7,FALSE))</f>
        <v>6718</v>
      </c>
    </row>
    <row r="510" spans="1:19" x14ac:dyDescent="0.25">
      <c r="A510">
        <v>7973</v>
      </c>
      <c r="B510" t="s">
        <v>13</v>
      </c>
      <c r="C510" t="s">
        <v>95</v>
      </c>
      <c r="D510">
        <v>0</v>
      </c>
      <c r="E510">
        <v>40228</v>
      </c>
      <c r="F510">
        <v>2958465</v>
      </c>
      <c r="G510">
        <v>6311</v>
      </c>
      <c r="H510" t="s">
        <v>13</v>
      </c>
      <c r="I510" t="s">
        <v>95</v>
      </c>
      <c r="J510">
        <v>0</v>
      </c>
      <c r="K510">
        <v>0</v>
      </c>
      <c r="N510">
        <v>0</v>
      </c>
      <c r="O510" t="s">
        <v>96</v>
      </c>
      <c r="P510" t="s">
        <v>1670</v>
      </c>
      <c r="Q510" s="30">
        <f>IF(CustomerHierarchyLevels[[#This Row],[HgLvCust.]]=0,CustomerHierarchyLevels[[#This Row],[Customer]],CustomerHierarchyLevels[[#This Row],[HgLvCust.]])</f>
        <v>6311</v>
      </c>
      <c r="R510" s="30">
        <f>IF(VLOOKUP(CustomerHierarchyLevels[[#This Row],[Level1]],CustomerHierarchyLevels[],7,FALSE)=0,CustomerHierarchyLevels[[#This Row],[Level1]],VLOOKUP(CustomerHierarchyLevels[[#This Row],[Level1]],CustomerHierarchyLevels[],7,FALSE))</f>
        <v>6310</v>
      </c>
      <c r="S510" s="30">
        <f>IF(VLOOKUP(CustomerHierarchyLevels[[#This Row],[Level2]],CustomerHierarchyLevels[],7,FALSE)=0,CustomerHierarchyLevels[[#This Row],[Level2]],VLOOKUP(CustomerHierarchyLevels[[#This Row],[Level2]],CustomerHierarchyLevels[],7,FALSE))</f>
        <v>6309</v>
      </c>
    </row>
    <row r="511" spans="1:19" x14ac:dyDescent="0.25">
      <c r="A511">
        <v>6303</v>
      </c>
      <c r="B511" t="s">
        <v>13</v>
      </c>
      <c r="C511" t="s">
        <v>95</v>
      </c>
      <c r="D511">
        <v>0</v>
      </c>
      <c r="E511">
        <v>39083</v>
      </c>
      <c r="F511">
        <v>2958465</v>
      </c>
      <c r="G511">
        <v>6302</v>
      </c>
      <c r="H511" t="s">
        <v>13</v>
      </c>
      <c r="I511" t="s">
        <v>95</v>
      </c>
      <c r="J511">
        <v>0</v>
      </c>
      <c r="K511">
        <v>0</v>
      </c>
      <c r="L511" t="s">
        <v>1200</v>
      </c>
      <c r="M511" t="s">
        <v>1200</v>
      </c>
      <c r="N511">
        <v>3</v>
      </c>
      <c r="O511" t="s">
        <v>96</v>
      </c>
      <c r="P511" t="s">
        <v>1671</v>
      </c>
      <c r="Q511" s="30">
        <f>IF(CustomerHierarchyLevels[[#This Row],[HgLvCust.]]=0,CustomerHierarchyLevels[[#This Row],[Customer]],CustomerHierarchyLevels[[#This Row],[HgLvCust.]])</f>
        <v>6302</v>
      </c>
      <c r="R511" s="30">
        <f>IF(VLOOKUP(CustomerHierarchyLevels[[#This Row],[Level1]],CustomerHierarchyLevels[],7,FALSE)=0,CustomerHierarchyLevels[[#This Row],[Level1]],VLOOKUP(CustomerHierarchyLevels[[#This Row],[Level1]],CustomerHierarchyLevels[],7,FALSE))</f>
        <v>6301</v>
      </c>
      <c r="S511" s="30">
        <f>IF(VLOOKUP(CustomerHierarchyLevels[[#This Row],[Level2]],CustomerHierarchyLevels[],7,FALSE)=0,CustomerHierarchyLevels[[#This Row],[Level2]],VLOOKUP(CustomerHierarchyLevels[[#This Row],[Level2]],CustomerHierarchyLevels[],7,FALSE))</f>
        <v>6301</v>
      </c>
    </row>
    <row r="512" spans="1:19" x14ac:dyDescent="0.25">
      <c r="A512">
        <v>6302</v>
      </c>
      <c r="B512" t="s">
        <v>13</v>
      </c>
      <c r="C512" t="s">
        <v>95</v>
      </c>
      <c r="D512">
        <v>0</v>
      </c>
      <c r="E512">
        <v>39083</v>
      </c>
      <c r="F512">
        <v>2958465</v>
      </c>
      <c r="G512">
        <v>6301</v>
      </c>
      <c r="H512" t="s">
        <v>13</v>
      </c>
      <c r="I512" t="s">
        <v>95</v>
      </c>
      <c r="J512">
        <v>0</v>
      </c>
      <c r="K512">
        <v>0</v>
      </c>
      <c r="M512" t="s">
        <v>1200</v>
      </c>
      <c r="N512">
        <v>2</v>
      </c>
      <c r="O512" t="s">
        <v>96</v>
      </c>
      <c r="P512" t="s">
        <v>1672</v>
      </c>
      <c r="Q512" s="30">
        <f>IF(CustomerHierarchyLevels[[#This Row],[HgLvCust.]]=0,CustomerHierarchyLevels[[#This Row],[Customer]],CustomerHierarchyLevels[[#This Row],[HgLvCust.]])</f>
        <v>6301</v>
      </c>
      <c r="R512" s="30">
        <f>IF(VLOOKUP(CustomerHierarchyLevels[[#This Row],[Level1]],CustomerHierarchyLevels[],7,FALSE)=0,CustomerHierarchyLevels[[#This Row],[Level1]],VLOOKUP(CustomerHierarchyLevels[[#This Row],[Level1]],CustomerHierarchyLevels[],7,FALSE))</f>
        <v>6301</v>
      </c>
      <c r="S512" s="30">
        <f>IF(VLOOKUP(CustomerHierarchyLevels[[#This Row],[Level2]],CustomerHierarchyLevels[],7,FALSE)=0,CustomerHierarchyLevels[[#This Row],[Level2]],VLOOKUP(CustomerHierarchyLevels[[#This Row],[Level2]],CustomerHierarchyLevels[],7,FALSE))</f>
        <v>6301</v>
      </c>
    </row>
    <row r="513" spans="1:19" x14ac:dyDescent="0.25">
      <c r="A513">
        <v>6301</v>
      </c>
      <c r="B513" t="s">
        <v>13</v>
      </c>
      <c r="C513" t="s">
        <v>95</v>
      </c>
      <c r="D513">
        <v>0</v>
      </c>
      <c r="E513">
        <v>39083</v>
      </c>
      <c r="F513">
        <v>2958465</v>
      </c>
      <c r="K513">
        <v>0</v>
      </c>
      <c r="L513" t="s">
        <v>1200</v>
      </c>
      <c r="M513" t="s">
        <v>1200</v>
      </c>
      <c r="N513">
        <v>1</v>
      </c>
      <c r="O513" t="s">
        <v>96</v>
      </c>
      <c r="P513" t="s">
        <v>1673</v>
      </c>
      <c r="Q513" s="30">
        <f>IF(CustomerHierarchyLevels[[#This Row],[HgLvCust.]]=0,CustomerHierarchyLevels[[#This Row],[Customer]],CustomerHierarchyLevels[[#This Row],[HgLvCust.]])</f>
        <v>6301</v>
      </c>
      <c r="R513" s="30">
        <f>IF(VLOOKUP(CustomerHierarchyLevels[[#This Row],[Level1]],CustomerHierarchyLevels[],7,FALSE)=0,CustomerHierarchyLevels[[#This Row],[Level1]],VLOOKUP(CustomerHierarchyLevels[[#This Row],[Level1]],CustomerHierarchyLevels[],7,FALSE))</f>
        <v>6301</v>
      </c>
      <c r="S513" s="30">
        <f>IF(VLOOKUP(CustomerHierarchyLevels[[#This Row],[Level2]],CustomerHierarchyLevels[],7,FALSE)=0,CustomerHierarchyLevels[[#This Row],[Level2]],VLOOKUP(CustomerHierarchyLevels[[#This Row],[Level2]],CustomerHierarchyLevels[],7,FALSE))</f>
        <v>6301</v>
      </c>
    </row>
    <row r="514" spans="1:19" x14ac:dyDescent="0.25">
      <c r="A514">
        <v>6256</v>
      </c>
      <c r="B514" t="s">
        <v>13</v>
      </c>
      <c r="C514" t="s">
        <v>59</v>
      </c>
      <c r="D514">
        <v>0</v>
      </c>
      <c r="E514">
        <v>39083</v>
      </c>
      <c r="F514">
        <v>2958465</v>
      </c>
      <c r="G514">
        <v>6257</v>
      </c>
      <c r="H514" t="s">
        <v>13</v>
      </c>
      <c r="I514" t="s">
        <v>59</v>
      </c>
      <c r="J514">
        <v>0</v>
      </c>
      <c r="K514">
        <v>0</v>
      </c>
      <c r="L514" t="s">
        <v>1200</v>
      </c>
      <c r="M514" t="s">
        <v>1200</v>
      </c>
      <c r="N514">
        <v>3</v>
      </c>
      <c r="O514" t="s">
        <v>96</v>
      </c>
      <c r="P514" t="s">
        <v>1674</v>
      </c>
      <c r="Q514" s="30">
        <f>IF(CustomerHierarchyLevels[[#This Row],[HgLvCust.]]=0,CustomerHierarchyLevels[[#This Row],[Customer]],CustomerHierarchyLevels[[#This Row],[HgLvCust.]])</f>
        <v>6257</v>
      </c>
      <c r="R514" s="30">
        <f>IF(VLOOKUP(CustomerHierarchyLevels[[#This Row],[Level1]],CustomerHierarchyLevels[],7,FALSE)=0,CustomerHierarchyLevels[[#This Row],[Level1]],VLOOKUP(CustomerHierarchyLevels[[#This Row],[Level1]],CustomerHierarchyLevels[],7,FALSE))</f>
        <v>6721</v>
      </c>
      <c r="S514" s="30">
        <f>IF(VLOOKUP(CustomerHierarchyLevels[[#This Row],[Level2]],CustomerHierarchyLevels[],7,FALSE)=0,CustomerHierarchyLevels[[#This Row],[Level2]],VLOOKUP(CustomerHierarchyLevels[[#This Row],[Level2]],CustomerHierarchyLevels[],7,FALSE))</f>
        <v>6721</v>
      </c>
    </row>
    <row r="515" spans="1:19" x14ac:dyDescent="0.25">
      <c r="A515">
        <v>6721</v>
      </c>
      <c r="B515" t="s">
        <v>13</v>
      </c>
      <c r="C515" t="s">
        <v>59</v>
      </c>
      <c r="D515">
        <v>0</v>
      </c>
      <c r="E515">
        <v>39083</v>
      </c>
      <c r="F515">
        <v>2958465</v>
      </c>
      <c r="K515">
        <v>0</v>
      </c>
      <c r="L515" t="s">
        <v>1200</v>
      </c>
      <c r="M515" t="s">
        <v>1200</v>
      </c>
      <c r="N515">
        <v>1</v>
      </c>
      <c r="O515" t="s">
        <v>96</v>
      </c>
      <c r="P515" t="s">
        <v>1675</v>
      </c>
      <c r="Q515" s="30">
        <f>IF(CustomerHierarchyLevels[[#This Row],[HgLvCust.]]=0,CustomerHierarchyLevels[[#This Row],[Customer]],CustomerHierarchyLevels[[#This Row],[HgLvCust.]])</f>
        <v>6721</v>
      </c>
      <c r="R515" s="30">
        <f>IF(VLOOKUP(CustomerHierarchyLevels[[#This Row],[Level1]],CustomerHierarchyLevels[],7,FALSE)=0,CustomerHierarchyLevels[[#This Row],[Level1]],VLOOKUP(CustomerHierarchyLevels[[#This Row],[Level1]],CustomerHierarchyLevels[],7,FALSE))</f>
        <v>6721</v>
      </c>
      <c r="S515" s="30">
        <f>IF(VLOOKUP(CustomerHierarchyLevels[[#This Row],[Level2]],CustomerHierarchyLevels[],7,FALSE)=0,CustomerHierarchyLevels[[#This Row],[Level2]],VLOOKUP(CustomerHierarchyLevels[[#This Row],[Level2]],CustomerHierarchyLevels[],7,FALSE))</f>
        <v>6721</v>
      </c>
    </row>
    <row r="516" spans="1:19" x14ac:dyDescent="0.25">
      <c r="A516">
        <v>6703</v>
      </c>
      <c r="B516" t="s">
        <v>13</v>
      </c>
      <c r="C516" t="s">
        <v>95</v>
      </c>
      <c r="D516">
        <v>0</v>
      </c>
      <c r="E516">
        <v>39083</v>
      </c>
      <c r="F516">
        <v>2958465</v>
      </c>
      <c r="G516">
        <v>6701</v>
      </c>
      <c r="H516" t="s">
        <v>13</v>
      </c>
      <c r="I516" t="s">
        <v>95</v>
      </c>
      <c r="J516">
        <v>0</v>
      </c>
      <c r="K516">
        <v>0</v>
      </c>
      <c r="L516" t="s">
        <v>1200</v>
      </c>
      <c r="M516" t="s">
        <v>1200</v>
      </c>
      <c r="N516">
        <v>3</v>
      </c>
      <c r="O516" t="s">
        <v>96</v>
      </c>
      <c r="P516" t="s">
        <v>1676</v>
      </c>
      <c r="Q516" s="30">
        <f>IF(CustomerHierarchyLevels[[#This Row],[HgLvCust.]]=0,CustomerHierarchyLevels[[#This Row],[Customer]],CustomerHierarchyLevels[[#This Row],[HgLvCust.]])</f>
        <v>6701</v>
      </c>
      <c r="R516" s="30">
        <f>IF(VLOOKUP(CustomerHierarchyLevels[[#This Row],[Level1]],CustomerHierarchyLevels[],7,FALSE)=0,CustomerHierarchyLevels[[#This Row],[Level1]],VLOOKUP(CustomerHierarchyLevels[[#This Row],[Level1]],CustomerHierarchyLevels[],7,FALSE))</f>
        <v>6700</v>
      </c>
      <c r="S516" s="30">
        <f>IF(VLOOKUP(CustomerHierarchyLevels[[#This Row],[Level2]],CustomerHierarchyLevels[],7,FALSE)=0,CustomerHierarchyLevels[[#This Row],[Level2]],VLOOKUP(CustomerHierarchyLevels[[#This Row],[Level2]],CustomerHierarchyLevels[],7,FALSE))</f>
        <v>6700</v>
      </c>
    </row>
    <row r="517" spans="1:19" x14ac:dyDescent="0.25">
      <c r="A517">
        <v>6282</v>
      </c>
      <c r="B517" t="s">
        <v>13</v>
      </c>
      <c r="C517" t="s">
        <v>95</v>
      </c>
      <c r="D517">
        <v>0</v>
      </c>
      <c r="E517">
        <v>39083</v>
      </c>
      <c r="F517">
        <v>2958465</v>
      </c>
      <c r="G517">
        <v>6283</v>
      </c>
      <c r="H517" t="s">
        <v>13</v>
      </c>
      <c r="I517" t="s">
        <v>95</v>
      </c>
      <c r="J517">
        <v>0</v>
      </c>
      <c r="K517">
        <v>0</v>
      </c>
      <c r="L517" t="s">
        <v>1200</v>
      </c>
      <c r="M517" t="s">
        <v>1200</v>
      </c>
      <c r="N517">
        <v>0</v>
      </c>
      <c r="O517" t="s">
        <v>96</v>
      </c>
      <c r="P517" t="s">
        <v>1677</v>
      </c>
      <c r="Q517" s="30">
        <f>IF(CustomerHierarchyLevels[[#This Row],[HgLvCust.]]=0,CustomerHierarchyLevels[[#This Row],[Customer]],CustomerHierarchyLevels[[#This Row],[HgLvCust.]])</f>
        <v>6283</v>
      </c>
      <c r="R517" s="30">
        <f>IF(VLOOKUP(CustomerHierarchyLevels[[#This Row],[Level1]],CustomerHierarchyLevels[],7,FALSE)=0,CustomerHierarchyLevels[[#This Row],[Level1]],VLOOKUP(CustomerHierarchyLevels[[#This Row],[Level1]],CustomerHierarchyLevels[],7,FALSE))</f>
        <v>6711</v>
      </c>
      <c r="S517" s="30">
        <f>IF(VLOOKUP(CustomerHierarchyLevels[[#This Row],[Level2]],CustomerHierarchyLevels[],7,FALSE)=0,CustomerHierarchyLevels[[#This Row],[Level2]],VLOOKUP(CustomerHierarchyLevels[[#This Row],[Level2]],CustomerHierarchyLevels[],7,FALSE))</f>
        <v>6711</v>
      </c>
    </row>
    <row r="518" spans="1:19" x14ac:dyDescent="0.25">
      <c r="A518">
        <v>6304</v>
      </c>
      <c r="B518" t="s">
        <v>13</v>
      </c>
      <c r="C518" t="s">
        <v>95</v>
      </c>
      <c r="D518">
        <v>0</v>
      </c>
      <c r="E518">
        <v>39082</v>
      </c>
      <c r="F518">
        <v>2958465</v>
      </c>
      <c r="G518">
        <v>6302</v>
      </c>
      <c r="H518" t="s">
        <v>13</v>
      </c>
      <c r="I518" t="s">
        <v>95</v>
      </c>
      <c r="J518">
        <v>0</v>
      </c>
      <c r="K518">
        <v>0</v>
      </c>
      <c r="L518" t="s">
        <v>1200</v>
      </c>
      <c r="M518" t="s">
        <v>1200</v>
      </c>
      <c r="N518">
        <v>3</v>
      </c>
      <c r="O518" t="s">
        <v>96</v>
      </c>
      <c r="P518" t="s">
        <v>1678</v>
      </c>
      <c r="Q518" s="30">
        <f>IF(CustomerHierarchyLevels[[#This Row],[HgLvCust.]]=0,CustomerHierarchyLevels[[#This Row],[Customer]],CustomerHierarchyLevels[[#This Row],[HgLvCust.]])</f>
        <v>6302</v>
      </c>
      <c r="R518" s="30">
        <f>IF(VLOOKUP(CustomerHierarchyLevels[[#This Row],[Level1]],CustomerHierarchyLevels[],7,FALSE)=0,CustomerHierarchyLevels[[#This Row],[Level1]],VLOOKUP(CustomerHierarchyLevels[[#This Row],[Level1]],CustomerHierarchyLevels[],7,FALSE))</f>
        <v>6301</v>
      </c>
      <c r="S518" s="30">
        <f>IF(VLOOKUP(CustomerHierarchyLevels[[#This Row],[Level2]],CustomerHierarchyLevels[],7,FALSE)=0,CustomerHierarchyLevels[[#This Row],[Level2]],VLOOKUP(CustomerHierarchyLevels[[#This Row],[Level2]],CustomerHierarchyLevels[],7,FALSE))</f>
        <v>6301</v>
      </c>
    </row>
    <row r="519" spans="1:19" x14ac:dyDescent="0.25">
      <c r="A519">
        <v>11271</v>
      </c>
      <c r="B519" t="s">
        <v>13</v>
      </c>
      <c r="C519" t="s">
        <v>59</v>
      </c>
      <c r="D519">
        <v>0</v>
      </c>
      <c r="E519">
        <v>40507</v>
      </c>
      <c r="F519">
        <v>2958465</v>
      </c>
      <c r="G519">
        <v>6270</v>
      </c>
      <c r="H519" t="s">
        <v>13</v>
      </c>
      <c r="I519" t="s">
        <v>59</v>
      </c>
      <c r="J519">
        <v>0</v>
      </c>
      <c r="K519">
        <v>0</v>
      </c>
      <c r="N519">
        <v>0</v>
      </c>
      <c r="O519" t="s">
        <v>1597</v>
      </c>
      <c r="P519" t="s">
        <v>1679</v>
      </c>
      <c r="Q519" s="30">
        <f>IF(CustomerHierarchyLevels[[#This Row],[HgLvCust.]]=0,CustomerHierarchyLevels[[#This Row],[Customer]],CustomerHierarchyLevels[[#This Row],[HgLvCust.]])</f>
        <v>6270</v>
      </c>
      <c r="R519" s="30">
        <f>IF(VLOOKUP(CustomerHierarchyLevels[[#This Row],[Level1]],CustomerHierarchyLevels[],7,FALSE)=0,CustomerHierarchyLevels[[#This Row],[Level1]],VLOOKUP(CustomerHierarchyLevels[[#This Row],[Level1]],CustomerHierarchyLevels[],7,FALSE))</f>
        <v>6271</v>
      </c>
      <c r="S519" s="30">
        <f>IF(VLOOKUP(CustomerHierarchyLevels[[#This Row],[Level2]],CustomerHierarchyLevels[],7,FALSE)=0,CustomerHierarchyLevels[[#This Row],[Level2]],VLOOKUP(CustomerHierarchyLevels[[#This Row],[Level2]],CustomerHierarchyLevels[],7,FALSE))</f>
        <v>6728</v>
      </c>
    </row>
    <row r="520" spans="1:19" x14ac:dyDescent="0.25">
      <c r="A520">
        <v>12122</v>
      </c>
      <c r="B520" t="s">
        <v>13</v>
      </c>
      <c r="C520" t="s">
        <v>95</v>
      </c>
      <c r="D520">
        <v>0</v>
      </c>
      <c r="E520">
        <v>41050</v>
      </c>
      <c r="F520">
        <v>2958465</v>
      </c>
      <c r="G520">
        <v>12121</v>
      </c>
      <c r="H520" t="s">
        <v>13</v>
      </c>
      <c r="I520" t="s">
        <v>95</v>
      </c>
      <c r="J520">
        <v>0</v>
      </c>
      <c r="K520">
        <v>0</v>
      </c>
      <c r="M520" t="s">
        <v>1200</v>
      </c>
      <c r="N520">
        <v>0</v>
      </c>
      <c r="O520" t="s">
        <v>96</v>
      </c>
      <c r="P520" t="s">
        <v>1680</v>
      </c>
      <c r="Q520" s="30">
        <f>IF(CustomerHierarchyLevels[[#This Row],[HgLvCust.]]=0,CustomerHierarchyLevels[[#This Row],[Customer]],CustomerHierarchyLevels[[#This Row],[HgLvCust.]])</f>
        <v>12121</v>
      </c>
      <c r="R520" s="30">
        <f>IF(VLOOKUP(CustomerHierarchyLevels[[#This Row],[Level1]],CustomerHierarchyLevels[],7,FALSE)=0,CustomerHierarchyLevels[[#This Row],[Level1]],VLOOKUP(CustomerHierarchyLevels[[#This Row],[Level1]],CustomerHierarchyLevels[],7,FALSE))</f>
        <v>12121</v>
      </c>
      <c r="S520" s="30">
        <f>IF(VLOOKUP(CustomerHierarchyLevels[[#This Row],[Level2]],CustomerHierarchyLevels[],7,FALSE)=0,CustomerHierarchyLevels[[#This Row],[Level2]],VLOOKUP(CustomerHierarchyLevels[[#This Row],[Level2]],CustomerHierarchyLevels[],7,FALSE))</f>
        <v>12121</v>
      </c>
    </row>
    <row r="521" spans="1:19" x14ac:dyDescent="0.25">
      <c r="A521">
        <v>12121</v>
      </c>
      <c r="B521" t="s">
        <v>13</v>
      </c>
      <c r="C521" t="s">
        <v>95</v>
      </c>
      <c r="D521">
        <v>0</v>
      </c>
      <c r="E521">
        <v>41050</v>
      </c>
      <c r="F521">
        <v>2958465</v>
      </c>
      <c r="K521">
        <v>0</v>
      </c>
      <c r="L521" t="s">
        <v>1200</v>
      </c>
      <c r="M521" t="s">
        <v>1200</v>
      </c>
      <c r="N521">
        <v>0</v>
      </c>
      <c r="O521" t="s">
        <v>96</v>
      </c>
      <c r="P521" t="s">
        <v>1681</v>
      </c>
      <c r="Q521" s="30">
        <f>IF(CustomerHierarchyLevels[[#This Row],[HgLvCust.]]=0,CustomerHierarchyLevels[[#This Row],[Customer]],CustomerHierarchyLevels[[#This Row],[HgLvCust.]])</f>
        <v>12121</v>
      </c>
      <c r="R521" s="30">
        <f>IF(VLOOKUP(CustomerHierarchyLevels[[#This Row],[Level1]],CustomerHierarchyLevels[],7,FALSE)=0,CustomerHierarchyLevels[[#This Row],[Level1]],VLOOKUP(CustomerHierarchyLevels[[#This Row],[Level1]],CustomerHierarchyLevels[],7,FALSE))</f>
        <v>12121</v>
      </c>
      <c r="S521" s="30">
        <f>IF(VLOOKUP(CustomerHierarchyLevels[[#This Row],[Level2]],CustomerHierarchyLevels[],7,FALSE)=0,CustomerHierarchyLevels[[#This Row],[Level2]],VLOOKUP(CustomerHierarchyLevels[[#This Row],[Level2]],CustomerHierarchyLevels[],7,FALSE))</f>
        <v>12121</v>
      </c>
    </row>
    <row r="522" spans="1:19" x14ac:dyDescent="0.25">
      <c r="A522">
        <v>12115</v>
      </c>
      <c r="B522" t="s">
        <v>13</v>
      </c>
      <c r="C522" t="s">
        <v>95</v>
      </c>
      <c r="D522">
        <v>0</v>
      </c>
      <c r="E522">
        <v>41050</v>
      </c>
      <c r="F522">
        <v>2958465</v>
      </c>
      <c r="G522">
        <v>12122</v>
      </c>
      <c r="H522" t="s">
        <v>13</v>
      </c>
      <c r="I522" t="s">
        <v>95</v>
      </c>
      <c r="J522">
        <v>0</v>
      </c>
      <c r="K522">
        <v>0</v>
      </c>
      <c r="N522">
        <v>0</v>
      </c>
      <c r="O522" t="s">
        <v>96</v>
      </c>
      <c r="P522" t="s">
        <v>1682</v>
      </c>
      <c r="Q522" s="30">
        <f>IF(CustomerHierarchyLevels[[#This Row],[HgLvCust.]]=0,CustomerHierarchyLevels[[#This Row],[Customer]],CustomerHierarchyLevels[[#This Row],[HgLvCust.]])</f>
        <v>12122</v>
      </c>
      <c r="R522" s="30">
        <f>IF(VLOOKUP(CustomerHierarchyLevels[[#This Row],[Level1]],CustomerHierarchyLevels[],7,FALSE)=0,CustomerHierarchyLevels[[#This Row],[Level1]],VLOOKUP(CustomerHierarchyLevels[[#This Row],[Level1]],CustomerHierarchyLevels[],7,FALSE))</f>
        <v>12121</v>
      </c>
      <c r="S522" s="30">
        <f>IF(VLOOKUP(CustomerHierarchyLevels[[#This Row],[Level2]],CustomerHierarchyLevels[],7,FALSE)=0,CustomerHierarchyLevels[[#This Row],[Level2]],VLOOKUP(CustomerHierarchyLevels[[#This Row],[Level2]],CustomerHierarchyLevels[],7,FALSE))</f>
        <v>12121</v>
      </c>
    </row>
    <row r="523" spans="1:19" x14ac:dyDescent="0.25">
      <c r="A523">
        <v>12101</v>
      </c>
      <c r="B523" t="s">
        <v>13</v>
      </c>
      <c r="C523" t="s">
        <v>95</v>
      </c>
      <c r="D523">
        <v>0</v>
      </c>
      <c r="E523">
        <v>41050</v>
      </c>
      <c r="F523">
        <v>2958465</v>
      </c>
      <c r="G523">
        <v>12122</v>
      </c>
      <c r="H523" t="s">
        <v>13</v>
      </c>
      <c r="I523" t="s">
        <v>95</v>
      </c>
      <c r="J523">
        <v>0</v>
      </c>
      <c r="K523">
        <v>0</v>
      </c>
      <c r="N523">
        <v>0</v>
      </c>
      <c r="O523" t="s">
        <v>96</v>
      </c>
      <c r="P523" t="s">
        <v>1683</v>
      </c>
      <c r="Q523" s="30">
        <f>IF(CustomerHierarchyLevels[[#This Row],[HgLvCust.]]=0,CustomerHierarchyLevels[[#This Row],[Customer]],CustomerHierarchyLevels[[#This Row],[HgLvCust.]])</f>
        <v>12122</v>
      </c>
      <c r="R523" s="30">
        <f>IF(VLOOKUP(CustomerHierarchyLevels[[#This Row],[Level1]],CustomerHierarchyLevels[],7,FALSE)=0,CustomerHierarchyLevels[[#This Row],[Level1]],VLOOKUP(CustomerHierarchyLevels[[#This Row],[Level1]],CustomerHierarchyLevels[],7,FALSE))</f>
        <v>12121</v>
      </c>
      <c r="S523" s="30">
        <f>IF(VLOOKUP(CustomerHierarchyLevels[[#This Row],[Level2]],CustomerHierarchyLevels[],7,FALSE)=0,CustomerHierarchyLevels[[#This Row],[Level2]],VLOOKUP(CustomerHierarchyLevels[[#This Row],[Level2]],CustomerHierarchyLevels[],7,FALSE))</f>
        <v>12121</v>
      </c>
    </row>
    <row r="524" spans="1:19" x14ac:dyDescent="0.25">
      <c r="A524">
        <v>11639</v>
      </c>
      <c r="B524" t="s">
        <v>13</v>
      </c>
      <c r="C524" t="s">
        <v>95</v>
      </c>
      <c r="D524">
        <v>0</v>
      </c>
      <c r="E524">
        <v>40704</v>
      </c>
      <c r="F524">
        <v>2958465</v>
      </c>
      <c r="K524">
        <v>0</v>
      </c>
      <c r="N524">
        <v>1</v>
      </c>
      <c r="O524" t="s">
        <v>96</v>
      </c>
      <c r="P524" t="s">
        <v>1684</v>
      </c>
      <c r="Q524" s="30">
        <f>IF(CustomerHierarchyLevels[[#This Row],[HgLvCust.]]=0,CustomerHierarchyLevels[[#This Row],[Customer]],CustomerHierarchyLevels[[#This Row],[HgLvCust.]])</f>
        <v>11639</v>
      </c>
      <c r="R524" s="30">
        <f>IF(VLOOKUP(CustomerHierarchyLevels[[#This Row],[Level1]],CustomerHierarchyLevels[],7,FALSE)=0,CustomerHierarchyLevels[[#This Row],[Level1]],VLOOKUP(CustomerHierarchyLevels[[#This Row],[Level1]],CustomerHierarchyLevels[],7,FALSE))</f>
        <v>11639</v>
      </c>
      <c r="S524" s="30">
        <f>IF(VLOOKUP(CustomerHierarchyLevels[[#This Row],[Level2]],CustomerHierarchyLevels[],7,FALSE)=0,CustomerHierarchyLevels[[#This Row],[Level2]],VLOOKUP(CustomerHierarchyLevels[[#This Row],[Level2]],CustomerHierarchyLevels[],7,FALSE))</f>
        <v>11639</v>
      </c>
    </row>
    <row r="525" spans="1:19" x14ac:dyDescent="0.25">
      <c r="A525">
        <v>11640</v>
      </c>
      <c r="B525" t="s">
        <v>13</v>
      </c>
      <c r="C525" t="s">
        <v>95</v>
      </c>
      <c r="D525">
        <v>0</v>
      </c>
      <c r="E525">
        <v>40704</v>
      </c>
      <c r="F525">
        <v>2958465</v>
      </c>
      <c r="G525">
        <v>11639</v>
      </c>
      <c r="H525" t="s">
        <v>13</v>
      </c>
      <c r="I525" t="s">
        <v>95</v>
      </c>
      <c r="J525">
        <v>0</v>
      </c>
      <c r="K525">
        <v>0</v>
      </c>
      <c r="L525" t="s">
        <v>1200</v>
      </c>
      <c r="M525" t="s">
        <v>1200</v>
      </c>
      <c r="N525">
        <v>2</v>
      </c>
      <c r="O525" t="s">
        <v>96</v>
      </c>
      <c r="P525" t="s">
        <v>1685</v>
      </c>
      <c r="Q525" s="30">
        <f>IF(CustomerHierarchyLevels[[#This Row],[HgLvCust.]]=0,CustomerHierarchyLevels[[#This Row],[Customer]],CustomerHierarchyLevels[[#This Row],[HgLvCust.]])</f>
        <v>11639</v>
      </c>
      <c r="R525" s="30">
        <f>IF(VLOOKUP(CustomerHierarchyLevels[[#This Row],[Level1]],CustomerHierarchyLevels[],7,FALSE)=0,CustomerHierarchyLevels[[#This Row],[Level1]],VLOOKUP(CustomerHierarchyLevels[[#This Row],[Level1]],CustomerHierarchyLevels[],7,FALSE))</f>
        <v>11639</v>
      </c>
      <c r="S525" s="30">
        <f>IF(VLOOKUP(CustomerHierarchyLevels[[#This Row],[Level2]],CustomerHierarchyLevels[],7,FALSE)=0,CustomerHierarchyLevels[[#This Row],[Level2]],VLOOKUP(CustomerHierarchyLevels[[#This Row],[Level2]],CustomerHierarchyLevels[],7,FALSE))</f>
        <v>11639</v>
      </c>
    </row>
    <row r="526" spans="1:19" x14ac:dyDescent="0.25">
      <c r="A526">
        <v>11896</v>
      </c>
      <c r="B526" t="s">
        <v>13</v>
      </c>
      <c r="C526" t="s">
        <v>95</v>
      </c>
      <c r="D526">
        <v>0</v>
      </c>
      <c r="E526">
        <v>40869</v>
      </c>
      <c r="F526">
        <v>2958465</v>
      </c>
      <c r="G526">
        <v>11902</v>
      </c>
      <c r="H526" t="s">
        <v>13</v>
      </c>
      <c r="I526" t="s">
        <v>95</v>
      </c>
      <c r="J526">
        <v>0</v>
      </c>
      <c r="K526">
        <v>0</v>
      </c>
      <c r="L526" t="s">
        <v>1200</v>
      </c>
      <c r="M526" t="s">
        <v>1200</v>
      </c>
      <c r="N526">
        <v>2</v>
      </c>
      <c r="O526" t="s">
        <v>96</v>
      </c>
      <c r="P526" t="s">
        <v>1686</v>
      </c>
      <c r="Q526" s="30">
        <f>IF(CustomerHierarchyLevels[[#This Row],[HgLvCust.]]=0,CustomerHierarchyLevels[[#This Row],[Customer]],CustomerHierarchyLevels[[#This Row],[HgLvCust.]])</f>
        <v>11902</v>
      </c>
      <c r="R526" s="30">
        <f>IF(VLOOKUP(CustomerHierarchyLevels[[#This Row],[Level1]],CustomerHierarchyLevels[],7,FALSE)=0,CustomerHierarchyLevels[[#This Row],[Level1]],VLOOKUP(CustomerHierarchyLevels[[#This Row],[Level1]],CustomerHierarchyLevels[],7,FALSE))</f>
        <v>11902</v>
      </c>
      <c r="S526" s="30">
        <f>IF(VLOOKUP(CustomerHierarchyLevels[[#This Row],[Level2]],CustomerHierarchyLevels[],7,FALSE)=0,CustomerHierarchyLevels[[#This Row],[Level2]],VLOOKUP(CustomerHierarchyLevels[[#This Row],[Level2]],CustomerHierarchyLevels[],7,FALSE))</f>
        <v>11902</v>
      </c>
    </row>
    <row r="527" spans="1:19" x14ac:dyDescent="0.25">
      <c r="A527">
        <v>11902</v>
      </c>
      <c r="B527" t="s">
        <v>13</v>
      </c>
      <c r="C527" t="s">
        <v>95</v>
      </c>
      <c r="D527">
        <v>0</v>
      </c>
      <c r="E527">
        <v>40869</v>
      </c>
      <c r="F527">
        <v>2958465</v>
      </c>
      <c r="K527">
        <v>0</v>
      </c>
      <c r="N527">
        <v>1</v>
      </c>
      <c r="O527" t="s">
        <v>96</v>
      </c>
      <c r="P527" t="s">
        <v>1687</v>
      </c>
      <c r="Q527" s="30">
        <f>IF(CustomerHierarchyLevels[[#This Row],[HgLvCust.]]=0,CustomerHierarchyLevels[[#This Row],[Customer]],CustomerHierarchyLevels[[#This Row],[HgLvCust.]])</f>
        <v>11902</v>
      </c>
      <c r="R527" s="30">
        <f>IF(VLOOKUP(CustomerHierarchyLevels[[#This Row],[Level1]],CustomerHierarchyLevels[],7,FALSE)=0,CustomerHierarchyLevels[[#This Row],[Level1]],VLOOKUP(CustomerHierarchyLevels[[#This Row],[Level1]],CustomerHierarchyLevels[],7,FALSE))</f>
        <v>11902</v>
      </c>
      <c r="S527" s="30">
        <f>IF(VLOOKUP(CustomerHierarchyLevels[[#This Row],[Level2]],CustomerHierarchyLevels[],7,FALSE)=0,CustomerHierarchyLevels[[#This Row],[Level2]],VLOOKUP(CustomerHierarchyLevels[[#This Row],[Level2]],CustomerHierarchyLevels[],7,FALSE))</f>
        <v>11902</v>
      </c>
    </row>
    <row r="528" spans="1:19" x14ac:dyDescent="0.25">
      <c r="A528">
        <v>1323</v>
      </c>
      <c r="B528" t="s">
        <v>13</v>
      </c>
      <c r="C528" t="s">
        <v>95</v>
      </c>
      <c r="D528">
        <v>0</v>
      </c>
      <c r="E528">
        <v>40869</v>
      </c>
      <c r="F528">
        <v>2958465</v>
      </c>
      <c r="G528">
        <v>11896</v>
      </c>
      <c r="H528" t="s">
        <v>13</v>
      </c>
      <c r="I528" t="s">
        <v>95</v>
      </c>
      <c r="J528">
        <v>0</v>
      </c>
      <c r="K528">
        <v>0</v>
      </c>
      <c r="N528">
        <v>0</v>
      </c>
      <c r="O528" t="s">
        <v>96</v>
      </c>
      <c r="P528" t="s">
        <v>1688</v>
      </c>
      <c r="Q528" s="30">
        <f>IF(CustomerHierarchyLevels[[#This Row],[HgLvCust.]]=0,CustomerHierarchyLevels[[#This Row],[Customer]],CustomerHierarchyLevels[[#This Row],[HgLvCust.]])</f>
        <v>11896</v>
      </c>
      <c r="R528" s="30">
        <f>IF(VLOOKUP(CustomerHierarchyLevels[[#This Row],[Level1]],CustomerHierarchyLevels[],7,FALSE)=0,CustomerHierarchyLevels[[#This Row],[Level1]],VLOOKUP(CustomerHierarchyLevels[[#This Row],[Level1]],CustomerHierarchyLevels[],7,FALSE))</f>
        <v>11902</v>
      </c>
      <c r="S528" s="30">
        <f>IF(VLOOKUP(CustomerHierarchyLevels[[#This Row],[Level2]],CustomerHierarchyLevels[],7,FALSE)=0,CustomerHierarchyLevels[[#This Row],[Level2]],VLOOKUP(CustomerHierarchyLevels[[#This Row],[Level2]],CustomerHierarchyLevels[],7,FALSE))</f>
        <v>11902</v>
      </c>
    </row>
    <row r="529" spans="1:19" x14ac:dyDescent="0.25">
      <c r="A529">
        <v>1361</v>
      </c>
      <c r="B529" t="s">
        <v>13</v>
      </c>
      <c r="C529" t="s">
        <v>95</v>
      </c>
      <c r="D529">
        <v>0</v>
      </c>
      <c r="E529">
        <v>40869</v>
      </c>
      <c r="F529">
        <v>2958465</v>
      </c>
      <c r="G529">
        <v>11896</v>
      </c>
      <c r="H529" t="s">
        <v>13</v>
      </c>
      <c r="I529" t="s">
        <v>95</v>
      </c>
      <c r="J529">
        <v>0</v>
      </c>
      <c r="K529">
        <v>0</v>
      </c>
      <c r="N529">
        <v>0</v>
      </c>
      <c r="O529" t="s">
        <v>96</v>
      </c>
      <c r="P529" t="s">
        <v>1689</v>
      </c>
      <c r="Q529" s="30">
        <f>IF(CustomerHierarchyLevels[[#This Row],[HgLvCust.]]=0,CustomerHierarchyLevels[[#This Row],[Customer]],CustomerHierarchyLevels[[#This Row],[HgLvCust.]])</f>
        <v>11896</v>
      </c>
      <c r="R529" s="30">
        <f>IF(VLOOKUP(CustomerHierarchyLevels[[#This Row],[Level1]],CustomerHierarchyLevels[],7,FALSE)=0,CustomerHierarchyLevels[[#This Row],[Level1]],VLOOKUP(CustomerHierarchyLevels[[#This Row],[Level1]],CustomerHierarchyLevels[],7,FALSE))</f>
        <v>11902</v>
      </c>
      <c r="S529" s="30">
        <f>IF(VLOOKUP(CustomerHierarchyLevels[[#This Row],[Level2]],CustomerHierarchyLevels[],7,FALSE)=0,CustomerHierarchyLevels[[#This Row],[Level2]],VLOOKUP(CustomerHierarchyLevels[[#This Row],[Level2]],CustomerHierarchyLevels[],7,FALSE))</f>
        <v>11902</v>
      </c>
    </row>
    <row r="530" spans="1:19" x14ac:dyDescent="0.25">
      <c r="A530">
        <v>1327</v>
      </c>
      <c r="B530" t="s">
        <v>13</v>
      </c>
      <c r="C530" t="s">
        <v>95</v>
      </c>
      <c r="D530">
        <v>0</v>
      </c>
      <c r="E530">
        <v>40869</v>
      </c>
      <c r="F530">
        <v>2958465</v>
      </c>
      <c r="G530">
        <v>11896</v>
      </c>
      <c r="H530" t="s">
        <v>13</v>
      </c>
      <c r="I530" t="s">
        <v>95</v>
      </c>
      <c r="J530">
        <v>0</v>
      </c>
      <c r="K530">
        <v>0</v>
      </c>
      <c r="N530">
        <v>0</v>
      </c>
      <c r="O530" t="s">
        <v>96</v>
      </c>
      <c r="P530" t="s">
        <v>1690</v>
      </c>
      <c r="Q530" s="30">
        <f>IF(CustomerHierarchyLevels[[#This Row],[HgLvCust.]]=0,CustomerHierarchyLevels[[#This Row],[Customer]],CustomerHierarchyLevels[[#This Row],[HgLvCust.]])</f>
        <v>11896</v>
      </c>
      <c r="R530" s="30">
        <f>IF(VLOOKUP(CustomerHierarchyLevels[[#This Row],[Level1]],CustomerHierarchyLevels[],7,FALSE)=0,CustomerHierarchyLevels[[#This Row],[Level1]],VLOOKUP(CustomerHierarchyLevels[[#This Row],[Level1]],CustomerHierarchyLevels[],7,FALSE))</f>
        <v>11902</v>
      </c>
      <c r="S530" s="30">
        <f>IF(VLOOKUP(CustomerHierarchyLevels[[#This Row],[Level2]],CustomerHierarchyLevels[],7,FALSE)=0,CustomerHierarchyLevels[[#This Row],[Level2]],VLOOKUP(CustomerHierarchyLevels[[#This Row],[Level2]],CustomerHierarchyLevels[],7,FALSE))</f>
        <v>11902</v>
      </c>
    </row>
    <row r="531" spans="1:19" x14ac:dyDescent="0.25">
      <c r="A531">
        <v>1330</v>
      </c>
      <c r="B531" t="s">
        <v>13</v>
      </c>
      <c r="C531" t="s">
        <v>95</v>
      </c>
      <c r="D531">
        <v>0</v>
      </c>
      <c r="E531">
        <v>40869</v>
      </c>
      <c r="F531">
        <v>2958465</v>
      </c>
      <c r="G531">
        <v>11896</v>
      </c>
      <c r="H531" t="s">
        <v>13</v>
      </c>
      <c r="I531" t="s">
        <v>95</v>
      </c>
      <c r="J531">
        <v>0</v>
      </c>
      <c r="K531">
        <v>0</v>
      </c>
      <c r="N531">
        <v>0</v>
      </c>
      <c r="O531" t="s">
        <v>96</v>
      </c>
      <c r="P531" t="s">
        <v>1691</v>
      </c>
      <c r="Q531" s="30">
        <f>IF(CustomerHierarchyLevels[[#This Row],[HgLvCust.]]=0,CustomerHierarchyLevels[[#This Row],[Customer]],CustomerHierarchyLevels[[#This Row],[HgLvCust.]])</f>
        <v>11896</v>
      </c>
      <c r="R531" s="30">
        <f>IF(VLOOKUP(CustomerHierarchyLevels[[#This Row],[Level1]],CustomerHierarchyLevels[],7,FALSE)=0,CustomerHierarchyLevels[[#This Row],[Level1]],VLOOKUP(CustomerHierarchyLevels[[#This Row],[Level1]],CustomerHierarchyLevels[],7,FALSE))</f>
        <v>11902</v>
      </c>
      <c r="S531" s="30">
        <f>IF(VLOOKUP(CustomerHierarchyLevels[[#This Row],[Level2]],CustomerHierarchyLevels[],7,FALSE)=0,CustomerHierarchyLevels[[#This Row],[Level2]],VLOOKUP(CustomerHierarchyLevels[[#This Row],[Level2]],CustomerHierarchyLevels[],7,FALSE))</f>
        <v>11902</v>
      </c>
    </row>
    <row r="532" spans="1:19" x14ac:dyDescent="0.25">
      <c r="A532">
        <v>1242</v>
      </c>
      <c r="B532" t="s">
        <v>13</v>
      </c>
      <c r="C532" t="s">
        <v>95</v>
      </c>
      <c r="D532">
        <v>0</v>
      </c>
      <c r="E532">
        <v>40869</v>
      </c>
      <c r="F532">
        <v>2958465</v>
      </c>
      <c r="G532">
        <v>11896</v>
      </c>
      <c r="H532" t="s">
        <v>13</v>
      </c>
      <c r="I532" t="s">
        <v>95</v>
      </c>
      <c r="J532">
        <v>0</v>
      </c>
      <c r="K532">
        <v>0</v>
      </c>
      <c r="N532">
        <v>0</v>
      </c>
      <c r="O532" t="s">
        <v>96</v>
      </c>
      <c r="P532" t="s">
        <v>1692</v>
      </c>
      <c r="Q532" s="30">
        <f>IF(CustomerHierarchyLevels[[#This Row],[HgLvCust.]]=0,CustomerHierarchyLevels[[#This Row],[Customer]],CustomerHierarchyLevels[[#This Row],[HgLvCust.]])</f>
        <v>11896</v>
      </c>
      <c r="R532" s="30">
        <f>IF(VLOOKUP(CustomerHierarchyLevels[[#This Row],[Level1]],CustomerHierarchyLevels[],7,FALSE)=0,CustomerHierarchyLevels[[#This Row],[Level1]],VLOOKUP(CustomerHierarchyLevels[[#This Row],[Level1]],CustomerHierarchyLevels[],7,FALSE))</f>
        <v>11902</v>
      </c>
      <c r="S532" s="30">
        <f>IF(VLOOKUP(CustomerHierarchyLevels[[#This Row],[Level2]],CustomerHierarchyLevels[],7,FALSE)=0,CustomerHierarchyLevels[[#This Row],[Level2]],VLOOKUP(CustomerHierarchyLevels[[#This Row],[Level2]],CustomerHierarchyLevels[],7,FALSE))</f>
        <v>11902</v>
      </c>
    </row>
    <row r="533" spans="1:19" x14ac:dyDescent="0.25">
      <c r="A533">
        <v>11147</v>
      </c>
      <c r="B533" t="s">
        <v>13</v>
      </c>
      <c r="C533" t="s">
        <v>95</v>
      </c>
      <c r="D533">
        <v>0</v>
      </c>
      <c r="E533">
        <v>40912</v>
      </c>
      <c r="F533">
        <v>2958465</v>
      </c>
      <c r="G533">
        <v>6304</v>
      </c>
      <c r="H533" t="s">
        <v>13</v>
      </c>
      <c r="I533" t="s">
        <v>95</v>
      </c>
      <c r="J533">
        <v>0</v>
      </c>
      <c r="K533">
        <v>0</v>
      </c>
      <c r="N533">
        <v>0</v>
      </c>
      <c r="O533" t="s">
        <v>96</v>
      </c>
      <c r="P533" t="s">
        <v>284</v>
      </c>
      <c r="Q533" s="30">
        <f>IF(CustomerHierarchyLevels[[#This Row],[HgLvCust.]]=0,CustomerHierarchyLevels[[#This Row],[Customer]],CustomerHierarchyLevels[[#This Row],[HgLvCust.]])</f>
        <v>6304</v>
      </c>
      <c r="R533" s="30">
        <f>IF(VLOOKUP(CustomerHierarchyLevels[[#This Row],[Level1]],CustomerHierarchyLevels[],7,FALSE)=0,CustomerHierarchyLevels[[#This Row],[Level1]],VLOOKUP(CustomerHierarchyLevels[[#This Row],[Level1]],CustomerHierarchyLevels[],7,FALSE))</f>
        <v>6302</v>
      </c>
      <c r="S533" s="30">
        <f>IF(VLOOKUP(CustomerHierarchyLevels[[#This Row],[Level2]],CustomerHierarchyLevels[],7,FALSE)=0,CustomerHierarchyLevels[[#This Row],[Level2]],VLOOKUP(CustomerHierarchyLevels[[#This Row],[Level2]],CustomerHierarchyLevels[],7,FALSE))</f>
        <v>6301</v>
      </c>
    </row>
    <row r="534" spans="1:19" x14ac:dyDescent="0.25">
      <c r="A534">
        <v>12002</v>
      </c>
      <c r="B534" t="s">
        <v>13</v>
      </c>
      <c r="C534" t="s">
        <v>95</v>
      </c>
      <c r="D534">
        <v>0</v>
      </c>
      <c r="E534">
        <v>40946</v>
      </c>
      <c r="F534">
        <v>2958465</v>
      </c>
      <c r="G534">
        <v>12001</v>
      </c>
      <c r="H534" t="s">
        <v>13</v>
      </c>
      <c r="I534" t="s">
        <v>95</v>
      </c>
      <c r="J534">
        <v>0</v>
      </c>
      <c r="K534">
        <v>0</v>
      </c>
      <c r="M534" t="s">
        <v>1200</v>
      </c>
      <c r="N534">
        <v>2</v>
      </c>
      <c r="O534" t="s">
        <v>96</v>
      </c>
      <c r="P534" t="s">
        <v>1693</v>
      </c>
      <c r="Q534" s="30">
        <f>IF(CustomerHierarchyLevels[[#This Row],[HgLvCust.]]=0,CustomerHierarchyLevels[[#This Row],[Customer]],CustomerHierarchyLevels[[#This Row],[HgLvCust.]])</f>
        <v>12001</v>
      </c>
      <c r="R534" s="30">
        <f>IF(VLOOKUP(CustomerHierarchyLevels[[#This Row],[Level1]],CustomerHierarchyLevels[],7,FALSE)=0,CustomerHierarchyLevels[[#This Row],[Level1]],VLOOKUP(CustomerHierarchyLevels[[#This Row],[Level1]],CustomerHierarchyLevels[],7,FALSE))</f>
        <v>12001</v>
      </c>
      <c r="S534" s="30">
        <f>IF(VLOOKUP(CustomerHierarchyLevels[[#This Row],[Level2]],CustomerHierarchyLevels[],7,FALSE)=0,CustomerHierarchyLevels[[#This Row],[Level2]],VLOOKUP(CustomerHierarchyLevels[[#This Row],[Level2]],CustomerHierarchyLevels[],7,FALSE))</f>
        <v>12001</v>
      </c>
    </row>
    <row r="535" spans="1:19" x14ac:dyDescent="0.25">
      <c r="A535">
        <v>12001</v>
      </c>
      <c r="B535" t="s">
        <v>13</v>
      </c>
      <c r="C535" t="s">
        <v>95</v>
      </c>
      <c r="D535">
        <v>0</v>
      </c>
      <c r="E535">
        <v>40946</v>
      </c>
      <c r="F535">
        <v>2958465</v>
      </c>
      <c r="K535">
        <v>0</v>
      </c>
      <c r="M535" t="s">
        <v>1200</v>
      </c>
      <c r="N535">
        <v>1</v>
      </c>
      <c r="O535" t="s">
        <v>96</v>
      </c>
      <c r="P535" t="s">
        <v>1694</v>
      </c>
      <c r="Q535" s="30">
        <f>IF(CustomerHierarchyLevels[[#This Row],[HgLvCust.]]=0,CustomerHierarchyLevels[[#This Row],[Customer]],CustomerHierarchyLevels[[#This Row],[HgLvCust.]])</f>
        <v>12001</v>
      </c>
      <c r="R535" s="30">
        <f>IF(VLOOKUP(CustomerHierarchyLevels[[#This Row],[Level1]],CustomerHierarchyLevels[],7,FALSE)=0,CustomerHierarchyLevels[[#This Row],[Level1]],VLOOKUP(CustomerHierarchyLevels[[#This Row],[Level1]],CustomerHierarchyLevels[],7,FALSE))</f>
        <v>12001</v>
      </c>
      <c r="S535" s="30">
        <f>IF(VLOOKUP(CustomerHierarchyLevels[[#This Row],[Level2]],CustomerHierarchyLevels[],7,FALSE)=0,CustomerHierarchyLevels[[#This Row],[Level2]],VLOOKUP(CustomerHierarchyLevels[[#This Row],[Level2]],CustomerHierarchyLevels[],7,FALSE))</f>
        <v>12001</v>
      </c>
    </row>
    <row r="536" spans="1:19" x14ac:dyDescent="0.25">
      <c r="A536">
        <v>3406</v>
      </c>
      <c r="B536" t="s">
        <v>13</v>
      </c>
      <c r="C536" t="s">
        <v>95</v>
      </c>
      <c r="D536">
        <v>0</v>
      </c>
      <c r="E536">
        <v>40946</v>
      </c>
      <c r="F536">
        <v>2958465</v>
      </c>
      <c r="G536">
        <v>12002</v>
      </c>
      <c r="H536" t="s">
        <v>13</v>
      </c>
      <c r="I536" t="s">
        <v>95</v>
      </c>
      <c r="J536">
        <v>0</v>
      </c>
      <c r="K536">
        <v>0</v>
      </c>
      <c r="N536">
        <v>0</v>
      </c>
      <c r="O536" t="s">
        <v>96</v>
      </c>
      <c r="P536" t="s">
        <v>125</v>
      </c>
      <c r="Q536" s="30">
        <f>IF(CustomerHierarchyLevels[[#This Row],[HgLvCust.]]=0,CustomerHierarchyLevels[[#This Row],[Customer]],CustomerHierarchyLevels[[#This Row],[HgLvCust.]])</f>
        <v>12002</v>
      </c>
      <c r="R536" s="30">
        <f>IF(VLOOKUP(CustomerHierarchyLevels[[#This Row],[Level1]],CustomerHierarchyLevels[],7,FALSE)=0,CustomerHierarchyLevels[[#This Row],[Level1]],VLOOKUP(CustomerHierarchyLevels[[#This Row],[Level1]],CustomerHierarchyLevels[],7,FALSE))</f>
        <v>12001</v>
      </c>
      <c r="S536" s="30">
        <f>IF(VLOOKUP(CustomerHierarchyLevels[[#This Row],[Level2]],CustomerHierarchyLevels[],7,FALSE)=0,CustomerHierarchyLevels[[#This Row],[Level2]],VLOOKUP(CustomerHierarchyLevels[[#This Row],[Level2]],CustomerHierarchyLevels[],7,FALSE))</f>
        <v>12001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3">
    <tabColor rgb="FFFF8080"/>
  </sheetPr>
  <dimension ref="A1:B47"/>
  <sheetViews>
    <sheetView showGridLines="0" topLeftCell="A7" zoomScale="85" zoomScaleNormal="85" workbookViewId="0">
      <selection activeCell="A12" sqref="A12"/>
    </sheetView>
  </sheetViews>
  <sheetFormatPr defaultColWidth="11.42578125" defaultRowHeight="15" x14ac:dyDescent="0.25"/>
  <cols>
    <col min="1" max="1" width="29.140625" bestFit="1" customWidth="1"/>
    <col min="2" max="2" width="81.85546875" bestFit="1" customWidth="1"/>
  </cols>
  <sheetData>
    <row r="1" spans="1:2" x14ac:dyDescent="0.25">
      <c r="A1" s="14" t="s">
        <v>45</v>
      </c>
      <c r="B1" s="14" t="s">
        <v>18</v>
      </c>
    </row>
    <row r="2" spans="1:2" x14ac:dyDescent="0.25">
      <c r="A2" s="47" t="s">
        <v>6</v>
      </c>
      <c r="B2" s="47" t="s">
        <v>1787</v>
      </c>
    </row>
    <row r="3" spans="1:2" x14ac:dyDescent="0.25">
      <c r="A3" s="47" t="s">
        <v>5</v>
      </c>
      <c r="B3" s="47" t="s">
        <v>46</v>
      </c>
    </row>
    <row r="4" spans="1:2" x14ac:dyDescent="0.25">
      <c r="A4" s="47" t="s">
        <v>1731</v>
      </c>
      <c r="B4" s="47" t="s">
        <v>1788</v>
      </c>
    </row>
    <row r="5" spans="1:2" x14ac:dyDescent="0.25">
      <c r="A5" s="47" t="s">
        <v>86</v>
      </c>
      <c r="B5" s="47" t="s">
        <v>1789</v>
      </c>
    </row>
    <row r="6" spans="1:2" x14ac:dyDescent="0.25">
      <c r="A6" s="47" t="s">
        <v>42</v>
      </c>
      <c r="B6" s="47" t="s">
        <v>1790</v>
      </c>
    </row>
    <row r="7" spans="1:2" x14ac:dyDescent="0.25">
      <c r="A7" s="47" t="s">
        <v>1732</v>
      </c>
      <c r="B7" s="47" t="s">
        <v>1791</v>
      </c>
    </row>
    <row r="8" spans="1:2" x14ac:dyDescent="0.25">
      <c r="A8" s="47" t="s">
        <v>1733</v>
      </c>
      <c r="B8" s="47" t="s">
        <v>1792</v>
      </c>
    </row>
    <row r="9" spans="1:2" x14ac:dyDescent="0.25">
      <c r="A9" s="47" t="s">
        <v>1734</v>
      </c>
      <c r="B9" s="47" t="s">
        <v>1793</v>
      </c>
    </row>
    <row r="10" spans="1:2" x14ac:dyDescent="0.25">
      <c r="A10" s="47" t="s">
        <v>1735</v>
      </c>
      <c r="B10" s="47" t="s">
        <v>1794</v>
      </c>
    </row>
    <row r="11" spans="1:2" x14ac:dyDescent="0.25">
      <c r="A11" s="47" t="s">
        <v>1736</v>
      </c>
      <c r="B11" s="47" t="s">
        <v>1795</v>
      </c>
    </row>
    <row r="12" spans="1:2" x14ac:dyDescent="0.25">
      <c r="A12" s="47" t="s">
        <v>1737</v>
      </c>
      <c r="B12" s="47" t="s">
        <v>1796</v>
      </c>
    </row>
    <row r="13" spans="1:2" x14ac:dyDescent="0.25">
      <c r="A13" s="47" t="s">
        <v>1738</v>
      </c>
      <c r="B13" s="47" t="s">
        <v>1797</v>
      </c>
    </row>
    <row r="14" spans="1:2" x14ac:dyDescent="0.25">
      <c r="A14" s="47" t="s">
        <v>1739</v>
      </c>
      <c r="B14" s="47" t="s">
        <v>1798</v>
      </c>
    </row>
    <row r="15" spans="1:2" x14ac:dyDescent="0.25">
      <c r="A15" s="47" t="s">
        <v>1740</v>
      </c>
      <c r="B15" s="47" t="s">
        <v>1799</v>
      </c>
    </row>
    <row r="16" spans="1:2" x14ac:dyDescent="0.25">
      <c r="A16" s="47" t="s">
        <v>8</v>
      </c>
      <c r="B16" s="47" t="s">
        <v>1800</v>
      </c>
    </row>
    <row r="17" spans="1:2" x14ac:dyDescent="0.25">
      <c r="A17" s="47" t="s">
        <v>57</v>
      </c>
      <c r="B17" s="47" t="s">
        <v>1801</v>
      </c>
    </row>
    <row r="18" spans="1:2" x14ac:dyDescent="0.25">
      <c r="A18" s="47" t="s">
        <v>42</v>
      </c>
      <c r="B18" s="47" t="s">
        <v>1790</v>
      </c>
    </row>
    <row r="19" spans="1:2" x14ac:dyDescent="0.25">
      <c r="A19" s="47" t="s">
        <v>1741</v>
      </c>
      <c r="B19" s="47" t="s">
        <v>1802</v>
      </c>
    </row>
    <row r="20" spans="1:2" x14ac:dyDescent="0.25">
      <c r="A20" s="47" t="s">
        <v>1742</v>
      </c>
      <c r="B20" s="47" t="s">
        <v>1803</v>
      </c>
    </row>
    <row r="21" spans="1:2" x14ac:dyDescent="0.25">
      <c r="A21" s="47" t="s">
        <v>1743</v>
      </c>
      <c r="B21" s="47" t="s">
        <v>1804</v>
      </c>
    </row>
    <row r="22" spans="1:2" x14ac:dyDescent="0.25">
      <c r="A22" s="47" t="s">
        <v>1744</v>
      </c>
      <c r="B22" s="47" t="s">
        <v>1805</v>
      </c>
    </row>
    <row r="23" spans="1:2" x14ac:dyDescent="0.25">
      <c r="A23" s="47" t="s">
        <v>1745</v>
      </c>
      <c r="B23" s="47" t="s">
        <v>1806</v>
      </c>
    </row>
    <row r="24" spans="1:2" x14ac:dyDescent="0.25">
      <c r="A24" s="47" t="s">
        <v>1746</v>
      </c>
      <c r="B24" s="47" t="s">
        <v>1807</v>
      </c>
    </row>
    <row r="25" spans="1:2" x14ac:dyDescent="0.25">
      <c r="A25" s="47" t="s">
        <v>1747</v>
      </c>
      <c r="B25" s="47" t="s">
        <v>1808</v>
      </c>
    </row>
    <row r="26" spans="1:2" x14ac:dyDescent="0.25">
      <c r="A26" s="47" t="s">
        <v>7</v>
      </c>
      <c r="B26" s="47" t="s">
        <v>1809</v>
      </c>
    </row>
    <row r="27" spans="1:2" x14ac:dyDescent="0.25">
      <c r="A27" s="47" t="s">
        <v>1748</v>
      </c>
      <c r="B27" s="47" t="s">
        <v>1810</v>
      </c>
    </row>
    <row r="28" spans="1:2" x14ac:dyDescent="0.25">
      <c r="A28" s="47" t="s">
        <v>1749</v>
      </c>
      <c r="B28" s="47" t="s">
        <v>1749</v>
      </c>
    </row>
    <row r="29" spans="1:2" x14ac:dyDescent="0.25">
      <c r="A29" s="47" t="s">
        <v>1811</v>
      </c>
      <c r="B29" s="47" t="s">
        <v>1812</v>
      </c>
    </row>
    <row r="30" spans="1:2" x14ac:dyDescent="0.25">
      <c r="A30" s="47" t="s">
        <v>1813</v>
      </c>
      <c r="B30" s="47" t="s">
        <v>1814</v>
      </c>
    </row>
    <row r="31" spans="1:2" x14ac:dyDescent="0.25">
      <c r="A31" s="47" t="s">
        <v>7</v>
      </c>
      <c r="B31" s="47" t="s">
        <v>1809</v>
      </c>
    </row>
    <row r="32" spans="1:2" x14ac:dyDescent="0.25">
      <c r="A32" s="47" t="s">
        <v>9</v>
      </c>
      <c r="B32" s="47" t="s">
        <v>1815</v>
      </c>
    </row>
    <row r="33" spans="1:2" x14ac:dyDescent="0.25">
      <c r="A33" s="47" t="s">
        <v>7</v>
      </c>
      <c r="B33" s="47" t="s">
        <v>1809</v>
      </c>
    </row>
    <row r="34" spans="1:2" x14ac:dyDescent="0.25">
      <c r="A34" s="47" t="s">
        <v>1768</v>
      </c>
      <c r="B34" s="47" t="s">
        <v>1816</v>
      </c>
    </row>
    <row r="35" spans="1:2" x14ac:dyDescent="0.25">
      <c r="A35" s="47" t="s">
        <v>1769</v>
      </c>
      <c r="B35" s="47" t="s">
        <v>1817</v>
      </c>
    </row>
    <row r="36" spans="1:2" x14ac:dyDescent="0.25">
      <c r="A36" s="47" t="s">
        <v>1770</v>
      </c>
      <c r="B36" s="47" t="s">
        <v>1818</v>
      </c>
    </row>
    <row r="37" spans="1:2" x14ac:dyDescent="0.25">
      <c r="A37" s="47" t="s">
        <v>1769</v>
      </c>
      <c r="B37" s="47" t="s">
        <v>1817</v>
      </c>
    </row>
    <row r="38" spans="1:2" x14ac:dyDescent="0.25">
      <c r="A38" s="47" t="s">
        <v>1771</v>
      </c>
      <c r="B38" s="47" t="s">
        <v>1771</v>
      </c>
    </row>
    <row r="39" spans="1:2" x14ac:dyDescent="0.25">
      <c r="A39" s="47" t="s">
        <v>1769</v>
      </c>
      <c r="B39" s="47" t="s">
        <v>1817</v>
      </c>
    </row>
    <row r="40" spans="1:2" x14ac:dyDescent="0.25">
      <c r="A40" s="47" t="s">
        <v>1772</v>
      </c>
      <c r="B40" s="47" t="s">
        <v>1819</v>
      </c>
    </row>
    <row r="41" spans="1:2" x14ac:dyDescent="0.25">
      <c r="A41" s="47" t="s">
        <v>1773</v>
      </c>
      <c r="B41" s="47" t="s">
        <v>1820</v>
      </c>
    </row>
    <row r="42" spans="1:2" x14ac:dyDescent="0.25">
      <c r="A42" s="47" t="s">
        <v>1769</v>
      </c>
      <c r="B42" s="47" t="s">
        <v>1817</v>
      </c>
    </row>
    <row r="43" spans="1:2" x14ac:dyDescent="0.25">
      <c r="A43" s="47" t="s">
        <v>20</v>
      </c>
      <c r="B43" s="47" t="s">
        <v>1821</v>
      </c>
    </row>
    <row r="44" spans="1:2" x14ac:dyDescent="0.25">
      <c r="A44" s="47" t="s">
        <v>1755</v>
      </c>
      <c r="B44" s="47" t="s">
        <v>1822</v>
      </c>
    </row>
    <row r="45" spans="1:2" x14ac:dyDescent="0.25">
      <c r="A45" s="47" t="s">
        <v>0</v>
      </c>
      <c r="B45" s="47" t="s">
        <v>1823</v>
      </c>
    </row>
    <row r="46" spans="1:2" x14ac:dyDescent="0.25">
      <c r="A46" s="47" t="s">
        <v>1756</v>
      </c>
      <c r="B46" s="47" t="s">
        <v>1824</v>
      </c>
    </row>
    <row r="47" spans="1:2" x14ac:dyDescent="0.25">
      <c r="A47" s="47" t="s">
        <v>1825</v>
      </c>
      <c r="B47" s="47" t="s">
        <v>1826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8080"/>
  </sheetPr>
  <dimension ref="A1:AG76"/>
  <sheetViews>
    <sheetView workbookViewId="0"/>
  </sheetViews>
  <sheetFormatPr defaultRowHeight="15" x14ac:dyDescent="0.25"/>
  <cols>
    <col min="1" max="1" width="11" customWidth="1"/>
    <col min="2" max="2" width="11.140625" bestFit="1" customWidth="1"/>
    <col min="3" max="3" width="11.5703125" bestFit="1" customWidth="1"/>
    <col min="4" max="4" width="13.7109375" customWidth="1"/>
    <col min="5" max="5" width="13.42578125" bestFit="1" customWidth="1"/>
    <col min="6" max="6" width="11" customWidth="1"/>
    <col min="7" max="7" width="15.42578125" bestFit="1" customWidth="1"/>
    <col min="8" max="8" width="14.5703125" bestFit="1" customWidth="1"/>
    <col min="9" max="9" width="15.7109375" bestFit="1" customWidth="1"/>
    <col min="10" max="10" width="12.5703125" bestFit="1" customWidth="1"/>
    <col min="11" max="11" width="19.28515625" bestFit="1" customWidth="1"/>
    <col min="12" max="12" width="12.28515625" bestFit="1" customWidth="1"/>
    <col min="13" max="14" width="12" customWidth="1"/>
    <col min="15" max="15" width="17" customWidth="1"/>
    <col min="16" max="16" width="20.85546875" bestFit="1" customWidth="1"/>
    <col min="17" max="17" width="12" customWidth="1"/>
    <col min="18" max="18" width="8.5703125" customWidth="1"/>
    <col min="19" max="19" width="9.28515625" customWidth="1"/>
    <col min="20" max="20" width="13.5703125" customWidth="1"/>
    <col min="21" max="21" width="11" customWidth="1"/>
    <col min="22" max="23" width="12" customWidth="1"/>
    <col min="24" max="24" width="12.85546875" customWidth="1"/>
    <col min="25" max="51" width="12" customWidth="1"/>
  </cols>
  <sheetData>
    <row r="1" spans="1:33" x14ac:dyDescent="0.25">
      <c r="A1" t="s">
        <v>1695</v>
      </c>
      <c r="B1" t="s">
        <v>4</v>
      </c>
      <c r="C1" t="s">
        <v>1696</v>
      </c>
      <c r="D1" t="s">
        <v>1697</v>
      </c>
      <c r="E1" t="s">
        <v>1698</v>
      </c>
      <c r="F1" t="s">
        <v>1699</v>
      </c>
      <c r="G1" t="s">
        <v>1700</v>
      </c>
      <c r="H1" t="s">
        <v>1701</v>
      </c>
      <c r="I1" t="s">
        <v>1702</v>
      </c>
      <c r="J1" t="s">
        <v>1703</v>
      </c>
      <c r="K1" t="s">
        <v>1704</v>
      </c>
      <c r="L1" t="s">
        <v>1705</v>
      </c>
      <c r="M1" t="s">
        <v>1706</v>
      </c>
      <c r="N1" t="s">
        <v>1707</v>
      </c>
      <c r="O1" t="s">
        <v>1708</v>
      </c>
      <c r="P1" t="s">
        <v>1709</v>
      </c>
      <c r="Q1" t="s">
        <v>1710</v>
      </c>
      <c r="R1" t="s">
        <v>1711</v>
      </c>
      <c r="S1" t="s">
        <v>1712</v>
      </c>
      <c r="T1" t="s">
        <v>1713</v>
      </c>
      <c r="U1" t="s">
        <v>1714</v>
      </c>
      <c r="V1" t="s">
        <v>1715</v>
      </c>
      <c r="W1" t="s">
        <v>1716</v>
      </c>
      <c r="X1" t="s">
        <v>1717</v>
      </c>
      <c r="Y1" t="s">
        <v>1718</v>
      </c>
      <c r="Z1" t="s">
        <v>1719</v>
      </c>
      <c r="AA1" t="s">
        <v>1720</v>
      </c>
      <c r="AB1" t="s">
        <v>1721</v>
      </c>
      <c r="AC1" t="s">
        <v>1722</v>
      </c>
      <c r="AD1" t="s">
        <v>1723</v>
      </c>
      <c r="AE1" t="s">
        <v>1724</v>
      </c>
      <c r="AF1" t="s">
        <v>1725</v>
      </c>
      <c r="AG1" t="s">
        <v>1726</v>
      </c>
    </row>
    <row r="2" spans="1:33" x14ac:dyDescent="0.25">
      <c r="A2" s="18"/>
      <c r="C2" s="18"/>
      <c r="D2" s="18"/>
      <c r="E2" s="18"/>
      <c r="F2" s="18"/>
      <c r="G2" s="18"/>
      <c r="H2" s="18"/>
      <c r="I2" s="18"/>
      <c r="L2" s="18"/>
      <c r="M2" s="18"/>
      <c r="N2" s="18"/>
      <c r="O2" s="18"/>
      <c r="P2" s="18"/>
      <c r="Q2" s="18"/>
      <c r="R2" s="18"/>
      <c r="S2" s="18"/>
      <c r="U2" s="18"/>
      <c r="V2" s="18"/>
      <c r="W2" s="18"/>
      <c r="X2" s="18"/>
      <c r="AA2" s="18"/>
      <c r="AE2" s="18"/>
      <c r="AF2" s="18"/>
    </row>
    <row r="3" spans="1:33" x14ac:dyDescent="0.25">
      <c r="D3" s="18"/>
      <c r="E3" s="18"/>
      <c r="G3" s="18"/>
      <c r="H3" s="18"/>
      <c r="L3" s="18"/>
      <c r="M3" s="18"/>
      <c r="N3" s="18"/>
      <c r="O3" s="18"/>
      <c r="Q3" s="18"/>
      <c r="R3" s="18"/>
      <c r="S3" s="18"/>
      <c r="U3" s="18"/>
    </row>
    <row r="4" spans="1:33" x14ac:dyDescent="0.25">
      <c r="D4" s="18"/>
      <c r="E4" s="18"/>
      <c r="G4" s="18"/>
      <c r="H4" s="18"/>
      <c r="L4" s="18"/>
      <c r="M4" s="18"/>
      <c r="N4" s="18"/>
      <c r="O4" s="18"/>
      <c r="Q4" s="18"/>
      <c r="R4" s="18"/>
      <c r="S4" s="18"/>
      <c r="U4" s="18"/>
    </row>
    <row r="5" spans="1:33" x14ac:dyDescent="0.25">
      <c r="D5" s="18"/>
      <c r="E5" s="18"/>
      <c r="G5" s="18"/>
      <c r="H5" s="18"/>
      <c r="L5" s="18"/>
      <c r="M5" s="18"/>
      <c r="N5" s="18"/>
      <c r="O5" s="18"/>
      <c r="Q5" s="18"/>
      <c r="R5" s="18"/>
      <c r="S5" s="18"/>
      <c r="U5" s="18"/>
    </row>
    <row r="6" spans="1:33" x14ac:dyDescent="0.25">
      <c r="D6" s="18"/>
      <c r="E6" s="18"/>
      <c r="G6" s="18"/>
      <c r="H6" s="18"/>
      <c r="L6" s="18"/>
      <c r="M6" s="18"/>
      <c r="N6" s="18"/>
      <c r="O6" s="18"/>
      <c r="Q6" s="18"/>
      <c r="R6" s="18"/>
      <c r="S6" s="18"/>
      <c r="U6" s="18"/>
    </row>
    <row r="7" spans="1:33" x14ac:dyDescent="0.25">
      <c r="D7" s="18"/>
      <c r="E7" s="18"/>
      <c r="G7" s="18"/>
      <c r="H7" s="18"/>
      <c r="L7" s="18"/>
      <c r="M7" s="18"/>
      <c r="N7" s="18"/>
      <c r="O7" s="18"/>
      <c r="Q7" s="18"/>
      <c r="R7" s="18"/>
      <c r="S7" s="18"/>
      <c r="U7" s="18"/>
    </row>
    <row r="8" spans="1:33" x14ac:dyDescent="0.25">
      <c r="D8" s="18"/>
      <c r="E8" s="18"/>
      <c r="G8" s="18"/>
      <c r="H8" s="18"/>
      <c r="L8" s="18"/>
      <c r="M8" s="18"/>
      <c r="N8" s="18"/>
      <c r="O8" s="18"/>
      <c r="Q8" s="18"/>
      <c r="R8" s="18"/>
      <c r="S8" s="18"/>
      <c r="U8" s="18"/>
    </row>
    <row r="9" spans="1:33" x14ac:dyDescent="0.25">
      <c r="D9" s="18"/>
      <c r="E9" s="18"/>
      <c r="G9" s="18"/>
      <c r="H9" s="18"/>
      <c r="L9" s="18"/>
      <c r="M9" s="18"/>
      <c r="N9" s="18"/>
      <c r="O9" s="18"/>
      <c r="Q9" s="18"/>
      <c r="R9" s="18"/>
      <c r="S9" s="18"/>
      <c r="U9" s="18"/>
    </row>
    <row r="10" spans="1:33" x14ac:dyDescent="0.25">
      <c r="D10" s="18"/>
      <c r="E10" s="18"/>
      <c r="G10" s="18"/>
      <c r="H10" s="18"/>
      <c r="L10" s="18"/>
      <c r="M10" s="18"/>
      <c r="N10" s="18"/>
      <c r="O10" s="18"/>
      <c r="Q10" s="18"/>
      <c r="R10" s="18"/>
      <c r="S10" s="18"/>
      <c r="U10" s="18"/>
    </row>
    <row r="11" spans="1:33" x14ac:dyDescent="0.25">
      <c r="D11" s="18"/>
      <c r="E11" s="18"/>
      <c r="G11" s="18"/>
      <c r="H11" s="18"/>
      <c r="L11" s="18"/>
      <c r="M11" s="18"/>
      <c r="N11" s="18"/>
      <c r="O11" s="18"/>
      <c r="Q11" s="18"/>
      <c r="R11" s="18"/>
      <c r="S11" s="18"/>
      <c r="U11" s="18"/>
    </row>
    <row r="12" spans="1:33" x14ac:dyDescent="0.25">
      <c r="D12" s="18"/>
      <c r="E12" s="18"/>
      <c r="G12" s="18"/>
      <c r="H12" s="18"/>
      <c r="L12" s="18"/>
      <c r="M12" s="18"/>
      <c r="N12" s="18"/>
      <c r="O12" s="18"/>
      <c r="Q12" s="18"/>
      <c r="R12" s="18"/>
      <c r="S12" s="18"/>
      <c r="U12" s="18"/>
    </row>
    <row r="13" spans="1:33" x14ac:dyDescent="0.25">
      <c r="D13" s="18"/>
      <c r="E13" s="18"/>
      <c r="G13" s="18"/>
      <c r="H13" s="18"/>
      <c r="L13" s="18"/>
      <c r="M13" s="18"/>
      <c r="N13" s="18"/>
      <c r="O13" s="18"/>
      <c r="Q13" s="18"/>
      <c r="R13" s="18"/>
      <c r="S13" s="18"/>
      <c r="U13" s="18"/>
    </row>
    <row r="14" spans="1:33" x14ac:dyDescent="0.25">
      <c r="D14" s="18"/>
      <c r="E14" s="18"/>
      <c r="G14" s="18"/>
      <c r="H14" s="18"/>
      <c r="L14" s="18"/>
      <c r="M14" s="18"/>
      <c r="N14" s="18"/>
      <c r="O14" s="18"/>
      <c r="Q14" s="18"/>
      <c r="R14" s="18"/>
      <c r="S14" s="18"/>
      <c r="U14" s="18"/>
    </row>
    <row r="15" spans="1:33" x14ac:dyDescent="0.25">
      <c r="D15" s="18"/>
      <c r="E15" s="18"/>
      <c r="G15" s="18"/>
      <c r="H15" s="18"/>
      <c r="L15" s="18"/>
      <c r="M15" s="18"/>
      <c r="N15" s="18"/>
      <c r="O15" s="18"/>
      <c r="Q15" s="18"/>
      <c r="R15" s="18"/>
      <c r="S15" s="18"/>
      <c r="U15" s="18"/>
    </row>
    <row r="16" spans="1:33" x14ac:dyDescent="0.25">
      <c r="D16" s="18"/>
      <c r="E16" s="18"/>
      <c r="G16" s="18"/>
      <c r="H16" s="18"/>
      <c r="L16" s="18"/>
      <c r="M16" s="18"/>
      <c r="N16" s="18"/>
      <c r="O16" s="18"/>
      <c r="Q16" s="18"/>
      <c r="R16" s="18"/>
      <c r="S16" s="18"/>
      <c r="U16" s="18"/>
    </row>
    <row r="17" spans="4:21" x14ac:dyDescent="0.25">
      <c r="D17" s="18"/>
      <c r="E17" s="18"/>
      <c r="G17" s="18"/>
      <c r="H17" s="18"/>
      <c r="L17" s="18"/>
      <c r="M17" s="18"/>
      <c r="N17" s="18"/>
      <c r="O17" s="18"/>
      <c r="Q17" s="18"/>
      <c r="R17" s="18"/>
      <c r="S17" s="18"/>
      <c r="U17" s="18"/>
    </row>
    <row r="18" spans="4:21" x14ac:dyDescent="0.25">
      <c r="D18" s="18"/>
      <c r="E18" s="18"/>
      <c r="G18" s="18"/>
      <c r="H18" s="18"/>
      <c r="L18" s="18"/>
      <c r="M18" s="18"/>
      <c r="N18" s="18"/>
      <c r="O18" s="18"/>
      <c r="Q18" s="18"/>
      <c r="R18" s="18"/>
      <c r="S18" s="18"/>
      <c r="U18" s="18"/>
    </row>
    <row r="19" spans="4:21" x14ac:dyDescent="0.25">
      <c r="D19" s="18"/>
      <c r="E19" s="18"/>
      <c r="G19" s="18"/>
      <c r="H19" s="18"/>
      <c r="L19" s="18"/>
      <c r="M19" s="18"/>
      <c r="N19" s="18"/>
      <c r="O19" s="18"/>
      <c r="Q19" s="18"/>
      <c r="R19" s="18"/>
      <c r="S19" s="18"/>
      <c r="U19" s="18"/>
    </row>
    <row r="20" spans="4:21" x14ac:dyDescent="0.25">
      <c r="D20" s="18"/>
      <c r="E20" s="18"/>
      <c r="G20" s="18"/>
      <c r="H20" s="18"/>
      <c r="L20" s="18"/>
      <c r="M20" s="18"/>
      <c r="N20" s="18"/>
      <c r="O20" s="18"/>
      <c r="Q20" s="18"/>
      <c r="R20" s="18"/>
      <c r="S20" s="18"/>
      <c r="U20" s="18"/>
    </row>
    <row r="21" spans="4:21" x14ac:dyDescent="0.25">
      <c r="D21" s="18"/>
      <c r="E21" s="18"/>
      <c r="G21" s="18"/>
      <c r="H21" s="18"/>
      <c r="L21" s="18"/>
      <c r="M21" s="18"/>
      <c r="N21" s="18"/>
      <c r="O21" s="18"/>
      <c r="Q21" s="18"/>
      <c r="R21" s="18"/>
      <c r="S21" s="18"/>
      <c r="U21" s="18"/>
    </row>
    <row r="22" spans="4:21" x14ac:dyDescent="0.25">
      <c r="D22" s="18"/>
      <c r="E22" s="18"/>
      <c r="G22" s="18"/>
      <c r="H22" s="18"/>
      <c r="L22" s="18"/>
      <c r="M22" s="18"/>
      <c r="N22" s="18"/>
      <c r="O22" s="18"/>
      <c r="Q22" s="18"/>
      <c r="R22" s="18"/>
      <c r="S22" s="18"/>
      <c r="U22" s="18"/>
    </row>
    <row r="23" spans="4:21" x14ac:dyDescent="0.25">
      <c r="D23" s="18"/>
      <c r="E23" s="18"/>
      <c r="G23" s="18"/>
      <c r="H23" s="18"/>
      <c r="L23" s="18"/>
      <c r="M23" s="18"/>
      <c r="N23" s="18"/>
      <c r="O23" s="18"/>
      <c r="Q23" s="18"/>
      <c r="R23" s="18"/>
      <c r="S23" s="18"/>
      <c r="U23" s="18"/>
    </row>
    <row r="24" spans="4:21" x14ac:dyDescent="0.25">
      <c r="D24" s="18"/>
      <c r="E24" s="18"/>
      <c r="G24" s="18"/>
      <c r="H24" s="18"/>
      <c r="L24" s="18"/>
      <c r="M24" s="18"/>
      <c r="N24" s="18"/>
      <c r="O24" s="18"/>
      <c r="Q24" s="18"/>
      <c r="R24" s="18"/>
      <c r="S24" s="18"/>
      <c r="U24" s="18"/>
    </row>
    <row r="25" spans="4:21" x14ac:dyDescent="0.25">
      <c r="D25" s="18"/>
      <c r="E25" s="18"/>
      <c r="G25" s="18"/>
      <c r="H25" s="18"/>
      <c r="L25" s="18"/>
      <c r="M25" s="18"/>
      <c r="N25" s="18"/>
      <c r="O25" s="18"/>
      <c r="Q25" s="18"/>
      <c r="R25" s="18"/>
      <c r="S25" s="18"/>
      <c r="U25" s="18"/>
    </row>
    <row r="26" spans="4:21" x14ac:dyDescent="0.25">
      <c r="D26" s="18"/>
      <c r="E26" s="18"/>
      <c r="G26" s="18"/>
      <c r="H26" s="18"/>
      <c r="L26" s="18"/>
      <c r="M26" s="18"/>
      <c r="N26" s="18"/>
      <c r="O26" s="18"/>
      <c r="Q26" s="18"/>
      <c r="R26" s="18"/>
      <c r="S26" s="18"/>
      <c r="U26" s="18"/>
    </row>
    <row r="27" spans="4:21" x14ac:dyDescent="0.25">
      <c r="D27" s="18"/>
      <c r="E27" s="18"/>
      <c r="G27" s="18"/>
      <c r="H27" s="18"/>
      <c r="L27" s="18"/>
      <c r="M27" s="18"/>
      <c r="N27" s="18"/>
      <c r="O27" s="18"/>
      <c r="Q27" s="18"/>
      <c r="R27" s="18"/>
      <c r="S27" s="18"/>
      <c r="U27" s="18"/>
    </row>
    <row r="28" spans="4:21" x14ac:dyDescent="0.25">
      <c r="D28" s="18"/>
      <c r="E28" s="18"/>
      <c r="G28" s="18"/>
      <c r="H28" s="18"/>
      <c r="L28" s="18"/>
      <c r="M28" s="18"/>
      <c r="N28" s="18"/>
      <c r="O28" s="18"/>
      <c r="Q28" s="18"/>
      <c r="R28" s="18"/>
      <c r="S28" s="18"/>
      <c r="U28" s="18"/>
    </row>
    <row r="29" spans="4:21" x14ac:dyDescent="0.25">
      <c r="D29" s="18"/>
      <c r="E29" s="18"/>
      <c r="G29" s="18"/>
      <c r="H29" s="18"/>
      <c r="L29" s="18"/>
      <c r="M29" s="18"/>
      <c r="N29" s="18"/>
      <c r="O29" s="18"/>
      <c r="Q29" s="18"/>
      <c r="R29" s="18"/>
      <c r="S29" s="18"/>
      <c r="U29" s="18"/>
    </row>
    <row r="30" spans="4:21" x14ac:dyDescent="0.25">
      <c r="D30" s="18"/>
      <c r="E30" s="18"/>
      <c r="G30" s="18"/>
      <c r="H30" s="18"/>
      <c r="L30" s="18"/>
      <c r="M30" s="18"/>
      <c r="N30" s="18"/>
      <c r="O30" s="18"/>
      <c r="Q30" s="18"/>
      <c r="R30" s="18"/>
      <c r="S30" s="18"/>
      <c r="U30" s="18"/>
    </row>
    <row r="31" spans="4:21" x14ac:dyDescent="0.25">
      <c r="D31" s="18"/>
      <c r="E31" s="18"/>
      <c r="G31" s="18"/>
      <c r="H31" s="18"/>
      <c r="L31" s="18"/>
      <c r="M31" s="18"/>
      <c r="N31" s="18"/>
      <c r="O31" s="18"/>
      <c r="Q31" s="18"/>
      <c r="R31" s="18"/>
      <c r="S31" s="18"/>
      <c r="U31" s="18"/>
    </row>
    <row r="32" spans="4:21" x14ac:dyDescent="0.25">
      <c r="D32" s="18"/>
      <c r="E32" s="18"/>
      <c r="G32" s="18"/>
      <c r="H32" s="18"/>
      <c r="L32" s="18"/>
      <c r="M32" s="18"/>
      <c r="N32" s="18"/>
      <c r="O32" s="18"/>
      <c r="Q32" s="18"/>
      <c r="R32" s="18"/>
      <c r="S32" s="18"/>
      <c r="U32" s="18"/>
    </row>
    <row r="33" spans="4:21" x14ac:dyDescent="0.25">
      <c r="D33" s="18"/>
      <c r="E33" s="18"/>
      <c r="G33" s="18"/>
      <c r="H33" s="18"/>
      <c r="L33" s="18"/>
      <c r="M33" s="18"/>
      <c r="N33" s="18"/>
      <c r="O33" s="18"/>
      <c r="Q33" s="18"/>
      <c r="R33" s="18"/>
      <c r="S33" s="18"/>
      <c r="U33" s="18"/>
    </row>
    <row r="34" spans="4:21" x14ac:dyDescent="0.25">
      <c r="D34" s="18"/>
      <c r="E34" s="18"/>
      <c r="G34" s="18"/>
      <c r="H34" s="18"/>
      <c r="L34" s="18"/>
      <c r="M34" s="18"/>
      <c r="N34" s="18"/>
      <c r="O34" s="18"/>
      <c r="Q34" s="18"/>
      <c r="R34" s="18"/>
      <c r="S34" s="18"/>
      <c r="U34" s="18"/>
    </row>
    <row r="35" spans="4:21" x14ac:dyDescent="0.25">
      <c r="D35" s="18"/>
      <c r="E35" s="18"/>
      <c r="G35" s="18"/>
      <c r="H35" s="18"/>
      <c r="L35" s="18"/>
      <c r="M35" s="18"/>
      <c r="N35" s="18"/>
      <c r="O35" s="18"/>
      <c r="Q35" s="18"/>
      <c r="R35" s="18"/>
      <c r="S35" s="18"/>
      <c r="U35" s="18"/>
    </row>
    <row r="36" spans="4:21" x14ac:dyDescent="0.25">
      <c r="D36" s="18"/>
      <c r="E36" s="18"/>
      <c r="G36" s="18"/>
      <c r="H36" s="18"/>
      <c r="L36" s="18"/>
      <c r="M36" s="18"/>
      <c r="N36" s="18"/>
      <c r="O36" s="18"/>
      <c r="Q36" s="18"/>
      <c r="R36" s="18"/>
      <c r="S36" s="18"/>
      <c r="U36" s="18"/>
    </row>
    <row r="37" spans="4:21" x14ac:dyDescent="0.25">
      <c r="D37" s="18"/>
      <c r="E37" s="18"/>
      <c r="G37" s="18"/>
      <c r="H37" s="18"/>
      <c r="L37" s="18"/>
      <c r="M37" s="18"/>
      <c r="N37" s="18"/>
      <c r="O37" s="18"/>
      <c r="Q37" s="18"/>
      <c r="R37" s="18"/>
      <c r="S37" s="18"/>
      <c r="U37" s="18"/>
    </row>
    <row r="38" spans="4:21" x14ac:dyDescent="0.25">
      <c r="D38" s="18"/>
      <c r="E38" s="18"/>
      <c r="G38" s="18"/>
      <c r="H38" s="18"/>
      <c r="L38" s="18"/>
      <c r="M38" s="18"/>
      <c r="N38" s="18"/>
      <c r="O38" s="18"/>
      <c r="Q38" s="18"/>
      <c r="R38" s="18"/>
      <c r="S38" s="18"/>
      <c r="U38" s="18"/>
    </row>
    <row r="39" spans="4:21" x14ac:dyDescent="0.25">
      <c r="D39" s="18"/>
      <c r="E39" s="18"/>
      <c r="G39" s="18"/>
      <c r="H39" s="18"/>
      <c r="L39" s="18"/>
      <c r="M39" s="18"/>
      <c r="N39" s="18"/>
      <c r="O39" s="18"/>
      <c r="Q39" s="18"/>
      <c r="R39" s="18"/>
      <c r="S39" s="18"/>
      <c r="U39" s="18"/>
    </row>
    <row r="40" spans="4:21" x14ac:dyDescent="0.25">
      <c r="D40" s="18"/>
      <c r="E40" s="18"/>
      <c r="G40" s="18"/>
      <c r="H40" s="18"/>
      <c r="L40" s="18"/>
      <c r="M40" s="18"/>
      <c r="N40" s="18"/>
      <c r="O40" s="18"/>
      <c r="Q40" s="18"/>
      <c r="R40" s="18"/>
      <c r="S40" s="18"/>
      <c r="U40" s="18"/>
    </row>
    <row r="41" spans="4:21" x14ac:dyDescent="0.25">
      <c r="D41" s="18"/>
      <c r="E41" s="18"/>
      <c r="G41" s="18"/>
      <c r="H41" s="18"/>
      <c r="L41" s="18"/>
      <c r="M41" s="18"/>
      <c r="N41" s="18"/>
      <c r="O41" s="18"/>
      <c r="Q41" s="18"/>
      <c r="R41" s="18"/>
      <c r="S41" s="18"/>
      <c r="U41" s="18"/>
    </row>
    <row r="42" spans="4:21" x14ac:dyDescent="0.25">
      <c r="D42" s="18"/>
      <c r="E42" s="18"/>
      <c r="G42" s="18"/>
      <c r="H42" s="18"/>
      <c r="L42" s="18"/>
      <c r="M42" s="18"/>
      <c r="N42" s="18"/>
      <c r="O42" s="18"/>
      <c r="Q42" s="18"/>
      <c r="R42" s="18"/>
      <c r="S42" s="18"/>
      <c r="U42" s="18"/>
    </row>
    <row r="43" spans="4:21" x14ac:dyDescent="0.25">
      <c r="D43" s="18"/>
      <c r="E43" s="18"/>
      <c r="G43" s="18"/>
      <c r="H43" s="18"/>
      <c r="L43" s="18"/>
      <c r="M43" s="18"/>
      <c r="N43" s="18"/>
      <c r="O43" s="18"/>
      <c r="Q43" s="18"/>
      <c r="R43" s="18"/>
      <c r="S43" s="18"/>
      <c r="U43" s="18"/>
    </row>
    <row r="44" spans="4:21" x14ac:dyDescent="0.25">
      <c r="D44" s="18"/>
      <c r="E44" s="18"/>
      <c r="G44" s="18"/>
      <c r="H44" s="18"/>
      <c r="L44" s="18"/>
      <c r="M44" s="18"/>
      <c r="N44" s="18"/>
      <c r="O44" s="18"/>
      <c r="Q44" s="18"/>
      <c r="R44" s="18"/>
      <c r="S44" s="18"/>
      <c r="U44" s="18"/>
    </row>
    <row r="45" spans="4:21" x14ac:dyDescent="0.25">
      <c r="D45" s="18"/>
      <c r="E45" s="18"/>
      <c r="G45" s="18"/>
      <c r="H45" s="18"/>
      <c r="L45" s="18"/>
      <c r="M45" s="18"/>
      <c r="N45" s="18"/>
      <c r="O45" s="18"/>
      <c r="Q45" s="18"/>
      <c r="R45" s="18"/>
      <c r="S45" s="18"/>
      <c r="U45" s="18"/>
    </row>
    <row r="46" spans="4:21" x14ac:dyDescent="0.25">
      <c r="D46" s="18"/>
      <c r="E46" s="18"/>
      <c r="G46" s="18"/>
      <c r="H46" s="18"/>
      <c r="L46" s="18"/>
      <c r="M46" s="18"/>
      <c r="N46" s="18"/>
      <c r="O46" s="18"/>
      <c r="Q46" s="18"/>
      <c r="R46" s="18"/>
      <c r="S46" s="18"/>
      <c r="U46" s="18"/>
    </row>
    <row r="47" spans="4:21" x14ac:dyDescent="0.25">
      <c r="D47" s="18"/>
      <c r="E47" s="18"/>
      <c r="G47" s="18"/>
      <c r="H47" s="18"/>
      <c r="L47" s="18"/>
      <c r="M47" s="18"/>
      <c r="N47" s="18"/>
      <c r="O47" s="18"/>
      <c r="Q47" s="18"/>
      <c r="R47" s="18"/>
      <c r="S47" s="18"/>
      <c r="U47" s="18"/>
    </row>
    <row r="48" spans="4:21" x14ac:dyDescent="0.25">
      <c r="D48" s="18"/>
      <c r="E48" s="18"/>
      <c r="G48" s="18"/>
      <c r="H48" s="18"/>
      <c r="L48" s="18"/>
      <c r="M48" s="18"/>
      <c r="N48" s="18"/>
      <c r="O48" s="18"/>
      <c r="Q48" s="18"/>
      <c r="R48" s="18"/>
      <c r="S48" s="18"/>
      <c r="U48" s="18"/>
    </row>
    <row r="49" spans="4:21" x14ac:dyDescent="0.25">
      <c r="D49" s="18"/>
      <c r="E49" s="18"/>
      <c r="G49" s="18"/>
      <c r="H49" s="18"/>
      <c r="L49" s="18"/>
      <c r="M49" s="18"/>
      <c r="N49" s="18"/>
      <c r="O49" s="18"/>
      <c r="Q49" s="18"/>
      <c r="R49" s="18"/>
      <c r="S49" s="18"/>
      <c r="U49" s="18"/>
    </row>
    <row r="50" spans="4:21" x14ac:dyDescent="0.25">
      <c r="D50" s="18"/>
      <c r="E50" s="18"/>
      <c r="G50" s="18"/>
      <c r="H50" s="18"/>
      <c r="L50" s="18"/>
      <c r="M50" s="18"/>
      <c r="N50" s="18"/>
      <c r="O50" s="18"/>
      <c r="Q50" s="18"/>
      <c r="R50" s="18"/>
      <c r="S50" s="18"/>
      <c r="U50" s="18"/>
    </row>
    <row r="51" spans="4:21" x14ac:dyDescent="0.25">
      <c r="D51" s="18"/>
      <c r="E51" s="18"/>
      <c r="G51" s="18"/>
      <c r="H51" s="18"/>
      <c r="L51" s="18"/>
      <c r="M51" s="18"/>
      <c r="N51" s="18"/>
      <c r="O51" s="18"/>
      <c r="Q51" s="18"/>
      <c r="R51" s="18"/>
      <c r="S51" s="18"/>
      <c r="U51" s="18"/>
    </row>
    <row r="52" spans="4:21" x14ac:dyDescent="0.25">
      <c r="D52" s="18"/>
      <c r="E52" s="18"/>
      <c r="G52" s="18"/>
      <c r="H52" s="18"/>
      <c r="L52" s="18"/>
      <c r="M52" s="18"/>
      <c r="N52" s="18"/>
      <c r="O52" s="18"/>
      <c r="Q52" s="18"/>
      <c r="R52" s="18"/>
      <c r="S52" s="18"/>
      <c r="U52" s="18"/>
    </row>
    <row r="53" spans="4:21" x14ac:dyDescent="0.25">
      <c r="D53" s="18"/>
      <c r="E53" s="18"/>
      <c r="G53" s="18"/>
      <c r="H53" s="18"/>
      <c r="L53" s="18"/>
      <c r="M53" s="18"/>
      <c r="N53" s="18"/>
      <c r="O53" s="18"/>
      <c r="Q53" s="18"/>
      <c r="R53" s="18"/>
      <c r="S53" s="18"/>
      <c r="U53" s="18"/>
    </row>
    <row r="54" spans="4:21" x14ac:dyDescent="0.25">
      <c r="D54" s="18"/>
      <c r="E54" s="18"/>
      <c r="G54" s="18"/>
      <c r="H54" s="18"/>
      <c r="L54" s="18"/>
      <c r="M54" s="18"/>
      <c r="N54" s="18"/>
      <c r="O54" s="18"/>
      <c r="Q54" s="18"/>
      <c r="R54" s="18"/>
      <c r="S54" s="18"/>
      <c r="U54" s="18"/>
    </row>
    <row r="55" spans="4:21" x14ac:dyDescent="0.25">
      <c r="D55" s="18"/>
      <c r="E55" s="18"/>
      <c r="G55" s="18"/>
      <c r="H55" s="18"/>
      <c r="L55" s="18"/>
      <c r="M55" s="18"/>
      <c r="N55" s="18"/>
      <c r="O55" s="18"/>
      <c r="Q55" s="18"/>
      <c r="R55" s="18"/>
      <c r="S55" s="18"/>
      <c r="U55" s="18"/>
    </row>
    <row r="56" spans="4:21" x14ac:dyDescent="0.25">
      <c r="D56" s="18"/>
      <c r="E56" s="18"/>
      <c r="G56" s="18"/>
      <c r="H56" s="18"/>
      <c r="L56" s="18"/>
      <c r="M56" s="18"/>
      <c r="N56" s="18"/>
      <c r="O56" s="18"/>
      <c r="Q56" s="18"/>
      <c r="R56" s="18"/>
      <c r="S56" s="18"/>
      <c r="U56" s="18"/>
    </row>
    <row r="57" spans="4:21" x14ac:dyDescent="0.25">
      <c r="D57" s="18"/>
      <c r="E57" s="18"/>
      <c r="G57" s="18"/>
      <c r="H57" s="18"/>
      <c r="L57" s="18"/>
      <c r="M57" s="18"/>
      <c r="N57" s="18"/>
      <c r="O57" s="18"/>
      <c r="Q57" s="18"/>
      <c r="R57" s="18"/>
      <c r="S57" s="18"/>
      <c r="U57" s="18"/>
    </row>
    <row r="58" spans="4:21" x14ac:dyDescent="0.25">
      <c r="D58" s="18"/>
      <c r="E58" s="18"/>
      <c r="G58" s="18"/>
      <c r="H58" s="18"/>
      <c r="L58" s="18"/>
      <c r="M58" s="18"/>
      <c r="N58" s="18"/>
      <c r="O58" s="18"/>
      <c r="Q58" s="18"/>
      <c r="R58" s="18"/>
      <c r="S58" s="18"/>
      <c r="U58" s="18"/>
    </row>
    <row r="59" spans="4:21" x14ac:dyDescent="0.25">
      <c r="D59" s="18"/>
      <c r="E59" s="18"/>
      <c r="G59" s="18"/>
      <c r="H59" s="18"/>
      <c r="L59" s="18"/>
      <c r="M59" s="18"/>
      <c r="N59" s="18"/>
      <c r="O59" s="18"/>
      <c r="Q59" s="18"/>
      <c r="R59" s="18"/>
      <c r="S59" s="18"/>
      <c r="U59" s="18"/>
    </row>
    <row r="60" spans="4:21" x14ac:dyDescent="0.25">
      <c r="D60" s="18"/>
      <c r="E60" s="18"/>
      <c r="G60" s="18"/>
      <c r="H60" s="18"/>
      <c r="L60" s="18"/>
      <c r="M60" s="18"/>
      <c r="N60" s="18"/>
      <c r="O60" s="18"/>
      <c r="Q60" s="18"/>
      <c r="R60" s="18"/>
      <c r="S60" s="18"/>
      <c r="U60" s="18"/>
    </row>
    <row r="61" spans="4:21" x14ac:dyDescent="0.25">
      <c r="D61" s="18"/>
      <c r="E61" s="18"/>
      <c r="G61" s="18"/>
      <c r="H61" s="18"/>
      <c r="L61" s="18"/>
      <c r="M61" s="18"/>
      <c r="N61" s="18"/>
      <c r="O61" s="18"/>
      <c r="Q61" s="18"/>
      <c r="R61" s="18"/>
      <c r="S61" s="18"/>
      <c r="U61" s="18"/>
    </row>
    <row r="62" spans="4:21" x14ac:dyDescent="0.25">
      <c r="D62" s="18"/>
      <c r="E62" s="18"/>
      <c r="G62" s="18"/>
      <c r="H62" s="18"/>
      <c r="L62" s="18"/>
      <c r="M62" s="18"/>
      <c r="N62" s="18"/>
      <c r="O62" s="18"/>
      <c r="Q62" s="18"/>
      <c r="R62" s="18"/>
      <c r="S62" s="18"/>
      <c r="U62" s="18"/>
    </row>
    <row r="63" spans="4:21" x14ac:dyDescent="0.25">
      <c r="D63" s="18"/>
      <c r="E63" s="18"/>
      <c r="G63" s="18"/>
      <c r="H63" s="18"/>
      <c r="L63" s="18"/>
      <c r="M63" s="18"/>
      <c r="N63" s="18"/>
      <c r="O63" s="18"/>
      <c r="Q63" s="18"/>
      <c r="R63" s="18"/>
      <c r="S63" s="18"/>
      <c r="U63" s="18"/>
    </row>
    <row r="64" spans="4:21" x14ac:dyDescent="0.25">
      <c r="D64" s="18"/>
      <c r="E64" s="18"/>
      <c r="G64" s="18"/>
      <c r="H64" s="18"/>
      <c r="L64" s="18"/>
      <c r="M64" s="18"/>
      <c r="N64" s="18"/>
      <c r="O64" s="18"/>
      <c r="Q64" s="18"/>
      <c r="R64" s="18"/>
      <c r="S64" s="18"/>
      <c r="U64" s="18"/>
    </row>
    <row r="65" spans="4:21" x14ac:dyDescent="0.25">
      <c r="D65" s="18"/>
      <c r="E65" s="18"/>
      <c r="G65" s="18"/>
      <c r="H65" s="18"/>
      <c r="L65" s="18"/>
      <c r="M65" s="18"/>
      <c r="N65" s="18"/>
      <c r="O65" s="18"/>
      <c r="Q65" s="18"/>
      <c r="R65" s="18"/>
      <c r="S65" s="18"/>
      <c r="U65" s="18"/>
    </row>
    <row r="66" spans="4:21" x14ac:dyDescent="0.25">
      <c r="D66" s="18"/>
      <c r="E66" s="18"/>
      <c r="G66" s="18"/>
      <c r="H66" s="18"/>
      <c r="L66" s="18"/>
      <c r="M66" s="18"/>
      <c r="N66" s="18"/>
      <c r="O66" s="18"/>
      <c r="Q66" s="18"/>
      <c r="R66" s="18"/>
      <c r="S66" s="18"/>
      <c r="U66" s="18"/>
    </row>
    <row r="67" spans="4:21" x14ac:dyDescent="0.25">
      <c r="D67" s="18"/>
      <c r="E67" s="18"/>
      <c r="G67" s="18"/>
      <c r="H67" s="18"/>
      <c r="L67" s="18"/>
      <c r="M67" s="18"/>
      <c r="N67" s="18"/>
      <c r="O67" s="18"/>
      <c r="Q67" s="18"/>
      <c r="R67" s="18"/>
      <c r="S67" s="18"/>
      <c r="U67" s="18"/>
    </row>
    <row r="68" spans="4:21" x14ac:dyDescent="0.25">
      <c r="D68" s="18"/>
      <c r="E68" s="18"/>
      <c r="G68" s="18"/>
      <c r="H68" s="18"/>
      <c r="L68" s="18"/>
      <c r="M68" s="18"/>
      <c r="N68" s="18"/>
      <c r="O68" s="18"/>
      <c r="Q68" s="18"/>
      <c r="R68" s="18"/>
      <c r="S68" s="18"/>
      <c r="U68" s="18"/>
    </row>
    <row r="69" spans="4:21" x14ac:dyDescent="0.25">
      <c r="D69" s="18"/>
      <c r="E69" s="18"/>
      <c r="G69" s="18"/>
      <c r="H69" s="18"/>
      <c r="L69" s="18"/>
      <c r="M69" s="18"/>
      <c r="N69" s="18"/>
      <c r="O69" s="18"/>
      <c r="Q69" s="18"/>
      <c r="R69" s="18"/>
      <c r="S69" s="18"/>
      <c r="U69" s="18"/>
    </row>
    <row r="70" spans="4:21" x14ac:dyDescent="0.25">
      <c r="D70" s="18"/>
      <c r="E70" s="18"/>
      <c r="G70" s="18"/>
      <c r="H70" s="18"/>
      <c r="L70" s="18"/>
      <c r="M70" s="18"/>
      <c r="N70" s="18"/>
      <c r="O70" s="18"/>
      <c r="Q70" s="18"/>
      <c r="R70" s="18"/>
      <c r="S70" s="18"/>
      <c r="U70" s="18"/>
    </row>
    <row r="71" spans="4:21" x14ac:dyDescent="0.25">
      <c r="D71" s="18"/>
      <c r="E71" s="18"/>
      <c r="G71" s="18"/>
      <c r="H71" s="18"/>
      <c r="L71" s="18"/>
      <c r="M71" s="18"/>
      <c r="N71" s="18"/>
      <c r="O71" s="18"/>
      <c r="Q71" s="18"/>
      <c r="R71" s="18"/>
      <c r="S71" s="18"/>
      <c r="U71" s="18"/>
    </row>
    <row r="72" spans="4:21" x14ac:dyDescent="0.25">
      <c r="D72" s="18"/>
      <c r="E72" s="18"/>
      <c r="G72" s="18"/>
      <c r="H72" s="18"/>
      <c r="L72" s="18"/>
      <c r="M72" s="18"/>
      <c r="N72" s="18"/>
      <c r="O72" s="18"/>
      <c r="Q72" s="18"/>
      <c r="R72" s="18"/>
      <c r="S72" s="18"/>
      <c r="U72" s="18"/>
    </row>
    <row r="73" spans="4:21" x14ac:dyDescent="0.25">
      <c r="D73" s="18"/>
      <c r="E73" s="18"/>
      <c r="G73" s="18"/>
      <c r="H73" s="18"/>
      <c r="L73" s="18"/>
      <c r="M73" s="18"/>
      <c r="N73" s="18"/>
      <c r="O73" s="18"/>
      <c r="Q73" s="18"/>
      <c r="R73" s="18"/>
      <c r="S73" s="18"/>
      <c r="U73" s="18"/>
    </row>
    <row r="74" spans="4:21" x14ac:dyDescent="0.25">
      <c r="D74" s="18"/>
      <c r="E74" s="18"/>
      <c r="G74" s="18"/>
      <c r="H74" s="18"/>
      <c r="L74" s="18"/>
      <c r="M74" s="18"/>
      <c r="N74" s="18"/>
      <c r="O74" s="18"/>
      <c r="Q74" s="18"/>
      <c r="R74" s="18"/>
      <c r="S74" s="18"/>
      <c r="U74" s="18"/>
    </row>
    <row r="75" spans="4:21" x14ac:dyDescent="0.25">
      <c r="D75" s="18"/>
      <c r="E75" s="18"/>
      <c r="G75" s="18"/>
      <c r="H75" s="18"/>
      <c r="L75" s="18"/>
      <c r="M75" s="18"/>
      <c r="N75" s="18"/>
      <c r="O75" s="18"/>
      <c r="Q75" s="18"/>
      <c r="R75" s="18"/>
      <c r="S75" s="18"/>
      <c r="U75" s="18"/>
    </row>
    <row r="76" spans="4:21" x14ac:dyDescent="0.25">
      <c r="D76" s="18"/>
      <c r="E76" s="18"/>
      <c r="G76" s="18"/>
      <c r="H76" s="18"/>
      <c r="L76" s="18"/>
      <c r="M76" s="18"/>
      <c r="N76" s="18"/>
      <c r="O76" s="18"/>
      <c r="Q76" s="18"/>
      <c r="R76" s="18"/>
      <c r="S76" s="18"/>
      <c r="U76" s="18"/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16">
    <tabColor rgb="FFFF8080"/>
  </sheetPr>
  <dimension ref="A1:F6"/>
  <sheetViews>
    <sheetView showGridLines="0" zoomScale="85" zoomScaleNormal="85" workbookViewId="0"/>
  </sheetViews>
  <sheetFormatPr defaultColWidth="11.42578125" defaultRowHeight="15" x14ac:dyDescent="0.25"/>
  <cols>
    <col min="1" max="2" width="11.28515625" bestFit="1" customWidth="1"/>
    <col min="3" max="3" width="18.85546875" bestFit="1" customWidth="1"/>
    <col min="5" max="5" width="14.42578125" bestFit="1" customWidth="1"/>
    <col min="6" max="6" width="9.28515625" bestFit="1" customWidth="1"/>
  </cols>
  <sheetData>
    <row r="1" spans="1:6" x14ac:dyDescent="0.25">
      <c r="A1" t="s">
        <v>75</v>
      </c>
      <c r="B1" t="s">
        <v>74</v>
      </c>
      <c r="C1" t="s">
        <v>18</v>
      </c>
      <c r="E1" t="s">
        <v>43</v>
      </c>
      <c r="F1" t="s">
        <v>121</v>
      </c>
    </row>
    <row r="2" spans="1:6" x14ac:dyDescent="0.25">
      <c r="C2" t="s">
        <v>73</v>
      </c>
      <c r="E2" t="s">
        <v>12</v>
      </c>
      <c r="F2" t="s">
        <v>115</v>
      </c>
    </row>
    <row r="3" spans="1:6" x14ac:dyDescent="0.25">
      <c r="A3" t="s">
        <v>62</v>
      </c>
      <c r="B3" t="s">
        <v>72</v>
      </c>
      <c r="C3" t="s">
        <v>71</v>
      </c>
      <c r="E3" t="s">
        <v>58</v>
      </c>
      <c r="F3" t="s">
        <v>116</v>
      </c>
    </row>
    <row r="4" spans="1:6" x14ac:dyDescent="0.25">
      <c r="A4" t="s">
        <v>70</v>
      </c>
      <c r="B4" t="s">
        <v>69</v>
      </c>
      <c r="C4" t="s">
        <v>68</v>
      </c>
      <c r="E4" t="s">
        <v>117</v>
      </c>
      <c r="F4" t="s">
        <v>118</v>
      </c>
    </row>
    <row r="5" spans="1:6" x14ac:dyDescent="0.25">
      <c r="A5" t="s">
        <v>61</v>
      </c>
      <c r="B5" t="s">
        <v>67</v>
      </c>
      <c r="C5" t="s">
        <v>66</v>
      </c>
      <c r="E5" t="s">
        <v>119</v>
      </c>
      <c r="F5" t="s">
        <v>115</v>
      </c>
    </row>
    <row r="6" spans="1:6" x14ac:dyDescent="0.25">
      <c r="E6" t="s">
        <v>120</v>
      </c>
      <c r="F6" t="s">
        <v>115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7">
    <tabColor rgb="FFFF8080"/>
  </sheetPr>
  <dimension ref="A1:O10"/>
  <sheetViews>
    <sheetView showGridLines="0" zoomScale="85" zoomScaleNormal="85" workbookViewId="0"/>
  </sheetViews>
  <sheetFormatPr defaultColWidth="11.42578125" defaultRowHeight="15" x14ac:dyDescent="0.25"/>
  <cols>
    <col min="1" max="1" width="17.140625" customWidth="1"/>
    <col min="2" max="2" width="13.140625" customWidth="1"/>
    <col min="3" max="3" width="11.85546875" customWidth="1"/>
    <col min="4" max="4" width="5.28515625" customWidth="1"/>
    <col min="5" max="5" width="15.5703125" customWidth="1"/>
    <col min="6" max="6" width="8" customWidth="1"/>
    <col min="7" max="7" width="34.5703125" bestFit="1" customWidth="1"/>
    <col min="8" max="8" width="4" customWidth="1"/>
    <col min="9" max="9" width="8.140625" customWidth="1"/>
    <col min="10" max="10" width="10.28515625" customWidth="1"/>
    <col min="11" max="11" width="13.5703125" bestFit="1" customWidth="1"/>
    <col min="12" max="12" width="3" customWidth="1"/>
    <col min="13" max="13" width="8.140625" customWidth="1"/>
    <col min="14" max="14" width="12.85546875" customWidth="1"/>
    <col min="15" max="15" width="22.42578125" bestFit="1" customWidth="1"/>
  </cols>
  <sheetData>
    <row r="1" spans="1:15" ht="23.85" x14ac:dyDescent="0.4">
      <c r="A1" s="15" t="s">
        <v>17</v>
      </c>
    </row>
    <row r="4" spans="1:15" ht="14.25" x14ac:dyDescent="0.25">
      <c r="A4" s="26" t="s">
        <v>19</v>
      </c>
      <c r="B4" s="27" t="s">
        <v>24</v>
      </c>
      <c r="C4" s="28" t="s">
        <v>20</v>
      </c>
      <c r="E4" s="14" t="s">
        <v>122</v>
      </c>
      <c r="F4" s="16" t="s">
        <v>20</v>
      </c>
      <c r="G4" s="14" t="s">
        <v>18</v>
      </c>
      <c r="I4" t="s">
        <v>104</v>
      </c>
      <c r="J4" t="s">
        <v>105</v>
      </c>
      <c r="K4" t="s">
        <v>18</v>
      </c>
      <c r="M4" t="s">
        <v>104</v>
      </c>
      <c r="N4" t="s">
        <v>110</v>
      </c>
      <c r="O4" t="s">
        <v>18</v>
      </c>
    </row>
    <row r="5" spans="1:15" ht="14.25" x14ac:dyDescent="0.25">
      <c r="A5" t="s">
        <v>52</v>
      </c>
      <c r="B5" s="13"/>
      <c r="C5" t="str">
        <f>IFERROR(VLOOKUP(MaterialPrice,tMaterialPrice[],2,FALSE),"")</f>
        <v/>
      </c>
      <c r="E5" s="9" t="s">
        <v>22</v>
      </c>
      <c r="G5" t="s">
        <v>15</v>
      </c>
      <c r="I5" t="s">
        <v>106</v>
      </c>
      <c r="J5">
        <f>COLUMN(CustomerHierarchyLevels[[#Headers],[Customer]])</f>
        <v>1</v>
      </c>
      <c r="K5" t="s">
        <v>100</v>
      </c>
      <c r="M5" t="s">
        <v>106</v>
      </c>
      <c r="N5">
        <v>2</v>
      </c>
      <c r="O5" t="s">
        <v>111</v>
      </c>
    </row>
    <row r="6" spans="1:15" ht="14.25" x14ac:dyDescent="0.25">
      <c r="A6" t="s">
        <v>51</v>
      </c>
      <c r="B6" s="13" t="s">
        <v>106</v>
      </c>
      <c r="C6">
        <f>IFERROR(VLOOKUP(ProductHierarchy,tProductHierarchyLevel[],2,FALSE),"")</f>
        <v>2</v>
      </c>
      <c r="E6" s="9" t="s">
        <v>21</v>
      </c>
      <c r="G6" t="s">
        <v>25</v>
      </c>
      <c r="I6" t="s">
        <v>107</v>
      </c>
      <c r="J6">
        <f>COLUMN(CustomerHierarchyLevels[[#Headers],[Level1]])</f>
        <v>17</v>
      </c>
      <c r="K6" t="s">
        <v>101</v>
      </c>
      <c r="M6" t="s">
        <v>107</v>
      </c>
      <c r="N6">
        <v>5</v>
      </c>
      <c r="O6" t="s">
        <v>112</v>
      </c>
    </row>
    <row r="7" spans="1:15" ht="14.25" x14ac:dyDescent="0.25">
      <c r="A7" t="s">
        <v>50</v>
      </c>
      <c r="B7" s="13" t="s">
        <v>108</v>
      </c>
      <c r="C7">
        <f>IFERROR(VLOOKUP(CustomerHierarchy,tCustomerLevel[],2,FALSE),"")</f>
        <v>18</v>
      </c>
      <c r="E7" s="9" t="s">
        <v>23</v>
      </c>
      <c r="G7" t="s">
        <v>16</v>
      </c>
      <c r="I7" t="s">
        <v>108</v>
      </c>
      <c r="J7">
        <f>COLUMN(CustomerHierarchyLevels[[#Headers],[Level2]])</f>
        <v>18</v>
      </c>
      <c r="K7" t="s">
        <v>102</v>
      </c>
      <c r="M7" t="s">
        <v>108</v>
      </c>
      <c r="N7">
        <v>8</v>
      </c>
      <c r="O7" t="s">
        <v>113</v>
      </c>
    </row>
    <row r="8" spans="1:15" ht="14.25" x14ac:dyDescent="0.25">
      <c r="A8" t="s">
        <v>49</v>
      </c>
      <c r="B8" s="13" t="s">
        <v>1728</v>
      </c>
      <c r="C8" t="str">
        <f t="shared" ref="C8:C10" si="0">B8</f>
        <v>Gross</v>
      </c>
      <c r="I8" t="s">
        <v>109</v>
      </c>
      <c r="J8">
        <f>COLUMN(CustomerHierarchyLevels[[#Headers],[Level3]])</f>
        <v>19</v>
      </c>
      <c r="K8" t="s">
        <v>103</v>
      </c>
      <c r="M8" t="s">
        <v>109</v>
      </c>
      <c r="N8">
        <v>12</v>
      </c>
      <c r="O8" t="s">
        <v>114</v>
      </c>
    </row>
    <row r="9" spans="1:15" ht="14.25" x14ac:dyDescent="0.25">
      <c r="A9" t="s">
        <v>48</v>
      </c>
      <c r="B9" s="13">
        <v>1</v>
      </c>
      <c r="C9">
        <f t="shared" si="0"/>
        <v>1</v>
      </c>
    </row>
    <row r="10" spans="1:15" ht="14.25" x14ac:dyDescent="0.25">
      <c r="A10" t="s">
        <v>14</v>
      </c>
      <c r="B10" s="13" t="s">
        <v>1729</v>
      </c>
      <c r="C10" t="str">
        <f t="shared" si="0"/>
        <v>Default</v>
      </c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4">
    <tabColor rgb="FFFF8080"/>
  </sheetPr>
  <dimension ref="A1:B10"/>
  <sheetViews>
    <sheetView showGridLines="0" zoomScale="85" zoomScaleNormal="85" workbookViewId="0">
      <selection activeCell="B9" sqref="B9"/>
    </sheetView>
  </sheetViews>
  <sheetFormatPr defaultColWidth="11.42578125" defaultRowHeight="15" x14ac:dyDescent="0.25"/>
  <cols>
    <col min="1" max="1" width="16" customWidth="1"/>
    <col min="2" max="2" width="56.140625" bestFit="1" customWidth="1"/>
  </cols>
  <sheetData>
    <row r="1" spans="1:2" ht="23.85" x14ac:dyDescent="0.4">
      <c r="A1" s="15" t="s">
        <v>99</v>
      </c>
    </row>
    <row r="4" spans="1:2" ht="14.25" x14ac:dyDescent="0.25">
      <c r="A4" t="s">
        <v>4</v>
      </c>
      <c r="B4" s="36">
        <v>15</v>
      </c>
    </row>
    <row r="5" spans="1:2" ht="14.25" x14ac:dyDescent="0.25">
      <c r="A5" t="s">
        <v>3</v>
      </c>
      <c r="B5" s="36" t="s">
        <v>1871</v>
      </c>
    </row>
    <row r="6" spans="1:2" ht="14.25" x14ac:dyDescent="0.25">
      <c r="A6" t="s">
        <v>26</v>
      </c>
      <c r="B6" s="36" t="s">
        <v>1872</v>
      </c>
    </row>
    <row r="7" spans="1:2" ht="14.25" x14ac:dyDescent="0.25">
      <c r="A7" t="s">
        <v>27</v>
      </c>
      <c r="B7" s="36"/>
    </row>
    <row r="8" spans="1:2" ht="14.25" x14ac:dyDescent="0.25">
      <c r="A8" t="s">
        <v>123</v>
      </c>
      <c r="B8" s="36" t="s">
        <v>1871</v>
      </c>
    </row>
    <row r="9" spans="1:2" x14ac:dyDescent="0.25">
      <c r="A9" t="s">
        <v>1873</v>
      </c>
      <c r="B9" s="13" t="str">
        <f ca="1">"Materials on Work Center "&amp;WC_Name</f>
        <v>Materials on Work Center 3115 Maskin T - Messanin B</v>
      </c>
    </row>
    <row r="10" spans="1:2" x14ac:dyDescent="0.25">
      <c r="A10" t="s">
        <v>1874</v>
      </c>
      <c r="B10" s="13" t="s">
        <v>1864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61">
    <tabColor indexed="29"/>
  </sheetPr>
  <dimension ref="A1:E9"/>
  <sheetViews>
    <sheetView showGridLines="0" zoomScale="85" workbookViewId="0">
      <pane ySplit="8" topLeftCell="A9" activePane="bottomLeft" state="frozen"/>
      <selection pane="bottomLeft" activeCell="B6" sqref="B6"/>
    </sheetView>
  </sheetViews>
  <sheetFormatPr defaultColWidth="11.42578125" defaultRowHeight="12.75" x14ac:dyDescent="0.2"/>
  <cols>
    <col min="1" max="1" width="40.85546875" style="47" customWidth="1"/>
    <col min="2" max="2" width="19.28515625" style="47" customWidth="1"/>
    <col min="3" max="3" width="12.85546875" style="47" customWidth="1"/>
    <col min="4" max="4" width="3.5703125" style="47" customWidth="1"/>
    <col min="5" max="5" width="8.140625" style="47" customWidth="1"/>
    <col min="6" max="25" width="32.140625" style="47" bestFit="1" customWidth="1"/>
    <col min="26" max="26" width="6.42578125" style="47" customWidth="1"/>
    <col min="27" max="16384" width="11.42578125" style="47"/>
  </cols>
  <sheetData>
    <row r="1" spans="1:5" ht="20.25" x14ac:dyDescent="0.3">
      <c r="A1" s="48" t="str">
        <f>SapExlReportName</f>
        <v>Rieber Optimized Lot Size Calculation</v>
      </c>
    </row>
    <row r="6" spans="1:5" ht="15" x14ac:dyDescent="0.25">
      <c r="A6" s="5" t="s">
        <v>1756</v>
      </c>
      <c r="B6" s="1" t="s">
        <v>1729</v>
      </c>
    </row>
    <row r="8" spans="1:5" ht="15" x14ac:dyDescent="0.25">
      <c r="A8" s="6" t="s">
        <v>0</v>
      </c>
      <c r="B8" s="7" t="s">
        <v>1836</v>
      </c>
      <c r="C8" s="8" t="s">
        <v>1837</v>
      </c>
      <c r="D8" s="8" t="s">
        <v>1838</v>
      </c>
      <c r="E8" s="23" t="s">
        <v>1839</v>
      </c>
    </row>
    <row r="9" spans="1:5" ht="15" x14ac:dyDescent="0.25">
      <c r="A9" s="95" t="s">
        <v>1840</v>
      </c>
      <c r="B9" s="77">
        <v>4286000</v>
      </c>
      <c r="C9" s="85">
        <v>7880025.3000000007</v>
      </c>
      <c r="D9" s="85">
        <v>7</v>
      </c>
      <c r="E9" s="78">
        <v>191374</v>
      </c>
    </row>
  </sheetData>
  <pageMargins left="0.78740157499999996" right="0.78740157499999996" top="0.984251969" bottom="0.984251969" header="0.5" footer="0.5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1"/>
  <dimension ref="B2:K25"/>
  <sheetViews>
    <sheetView showGridLines="0" showRowColHeaders="0" tabSelected="1" zoomScale="85" zoomScaleNormal="85" workbookViewId="0">
      <pane ySplit="64" topLeftCell="A65" activePane="bottomLeft" state="frozen"/>
      <selection activeCell="B2" sqref="B2"/>
      <selection pane="bottomLeft" activeCell="A65" sqref="A65"/>
    </sheetView>
  </sheetViews>
  <sheetFormatPr defaultColWidth="11" defaultRowHeight="15.75" x14ac:dyDescent="0.25"/>
  <cols>
    <col min="1" max="1" width="4.42578125" style="9" customWidth="1"/>
    <col min="2" max="3" width="11" style="11"/>
    <col min="4" max="16384" width="11" style="9"/>
  </cols>
  <sheetData>
    <row r="2" spans="2:11" ht="18.399999999999999" x14ac:dyDescent="0.3">
      <c r="K2" s="10"/>
    </row>
    <row r="5" spans="2:11" ht="16.350000000000001" x14ac:dyDescent="0.3">
      <c r="E5" s="11" t="s">
        <v>2</v>
      </c>
    </row>
    <row r="9" spans="2:11" ht="21.2" x14ac:dyDescent="0.35">
      <c r="B9" s="12" t="s">
        <v>1</v>
      </c>
      <c r="J9" s="20"/>
      <c r="K9" s="20" t="s">
        <v>47</v>
      </c>
    </row>
    <row r="10" spans="2:11" x14ac:dyDescent="0.25">
      <c r="B10" s="11" t="s">
        <v>1827</v>
      </c>
    </row>
    <row r="11" spans="2:11" x14ac:dyDescent="0.25">
      <c r="B11" s="11" t="s">
        <v>1828</v>
      </c>
    </row>
    <row r="12" spans="2:11" x14ac:dyDescent="0.25">
      <c r="B12" s="11" t="s">
        <v>1829</v>
      </c>
    </row>
    <row r="13" spans="2:11" x14ac:dyDescent="0.25">
      <c r="B13" s="11" t="s">
        <v>1830</v>
      </c>
    </row>
    <row r="14" spans="2:11" x14ac:dyDescent="0.25">
      <c r="B14" s="11" t="s">
        <v>1831</v>
      </c>
    </row>
    <row r="15" spans="2:11" x14ac:dyDescent="0.25">
      <c r="B15" s="11" t="s">
        <v>1832</v>
      </c>
    </row>
    <row r="16" spans="2:11" x14ac:dyDescent="0.25">
      <c r="B16" s="11" t="s">
        <v>1833</v>
      </c>
    </row>
    <row r="18" spans="2:2" x14ac:dyDescent="0.25">
      <c r="B18" s="11" t="s">
        <v>1834</v>
      </c>
    </row>
    <row r="19" spans="2:2" x14ac:dyDescent="0.25">
      <c r="B19" s="29" t="s">
        <v>1835</v>
      </c>
    </row>
    <row r="20" spans="2:2" ht="16.350000000000001" x14ac:dyDescent="0.3"/>
    <row r="22" spans="2:2" ht="16.350000000000001" x14ac:dyDescent="0.3">
      <c r="B22" s="37"/>
    </row>
    <row r="24" spans="2:2" ht="16.350000000000001" x14ac:dyDescent="0.3">
      <c r="B24" s="29"/>
    </row>
    <row r="25" spans="2:2" ht="16.350000000000001" x14ac:dyDescent="0.3">
      <c r="B25" s="38"/>
    </row>
  </sheetData>
  <sheetProtection password="CB87" sheet="1" objects="1" scenarios="1" pivotTables="0"/>
  <pageMargins left="0.7" right="0.7" top="0.75" bottom="0.75" header="0.3" footer="0.3"/>
  <pageSetup paperSize="9" orientation="portrait" horizontalDpi="300" verticalDpi="300" r:id="rId1"/>
  <drawing r:id="rId2"/>
  <picture r:id="rId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rk31">
    <tabColor rgb="FFC00000"/>
    <pageSetUpPr fitToPage="1"/>
  </sheetPr>
  <dimension ref="A1:N578"/>
  <sheetViews>
    <sheetView showGridLines="0" showZeros="0" zoomScale="85" workbookViewId="0">
      <pane ySplit="13" topLeftCell="A14" activePane="bottomLeft" state="frozen"/>
      <selection activeCell="I14" sqref="I14"/>
      <selection pane="bottomLeft" activeCell="A14" sqref="A14"/>
    </sheetView>
  </sheetViews>
  <sheetFormatPr defaultColWidth="11.42578125" defaultRowHeight="12.75" x14ac:dyDescent="0.2"/>
  <cols>
    <col min="1" max="1" width="36.28515625" style="47" customWidth="1"/>
    <col min="2" max="2" width="10.42578125" style="47" customWidth="1"/>
    <col min="3" max="3" width="11.28515625" style="47" customWidth="1"/>
    <col min="4" max="5" width="9.5703125" style="47" customWidth="1"/>
    <col min="6" max="6" width="10.140625" style="47" customWidth="1"/>
    <col min="7" max="8" width="10.42578125" style="47" customWidth="1"/>
    <col min="9" max="9" width="7.140625" style="47" customWidth="1"/>
    <col min="10" max="10" width="13.7109375" style="47" hidden="1" customWidth="1"/>
    <col min="11" max="11" width="9" style="47" customWidth="1"/>
    <col min="12" max="12" width="9.5703125" style="47" customWidth="1"/>
    <col min="13" max="14" width="10.42578125" style="47" customWidth="1"/>
    <col min="15" max="16384" width="11.42578125" style="47"/>
  </cols>
  <sheetData>
    <row r="1" spans="1:14" ht="20.25" x14ac:dyDescent="0.3">
      <c r="A1" s="48"/>
    </row>
    <row r="4" spans="1:14" x14ac:dyDescent="0.2">
      <c r="A4" s="49" t="str">
        <f ca="1">"Simulations "&amp;OFFSET(Y111_Data!BC1,3,0)</f>
        <v xml:space="preserve">Simulations </v>
      </c>
      <c r="B4" s="50"/>
      <c r="C4" s="51" t="s">
        <v>1841</v>
      </c>
    </row>
    <row r="5" spans="1:14" x14ac:dyDescent="0.2">
      <c r="A5" s="52" t="s">
        <v>1842</v>
      </c>
      <c r="B5" s="53"/>
      <c r="C5" s="54">
        <f>IF(N11=0,0,M11/N11)</f>
        <v>0</v>
      </c>
    </row>
    <row r="6" spans="1:14" x14ac:dyDescent="0.2">
      <c r="A6" s="55" t="s">
        <v>1843</v>
      </c>
      <c r="B6" s="56">
        <v>5</v>
      </c>
      <c r="C6" s="54"/>
    </row>
    <row r="7" spans="1:14" x14ac:dyDescent="0.2">
      <c r="A7" s="55" t="s">
        <v>1844</v>
      </c>
      <c r="B7" s="57">
        <v>5</v>
      </c>
      <c r="C7" s="54">
        <f>IF(N11=0,0,1-C5)</f>
        <v>0</v>
      </c>
    </row>
    <row r="10" spans="1:14" x14ac:dyDescent="0.2">
      <c r="K10" s="58">
        <f>IF(K11=0,0,F11/K11-1)</f>
        <v>0</v>
      </c>
      <c r="M10" s="58">
        <f>IF(G11=0,0,M11/G11-1)</f>
        <v>0</v>
      </c>
      <c r="N10" s="58">
        <f>IF(H11=0,0,N11/H11-1)</f>
        <v>0</v>
      </c>
    </row>
    <row r="11" spans="1:14" s="62" customFormat="1" x14ac:dyDescent="0.2">
      <c r="A11" s="59" t="s">
        <v>1845</v>
      </c>
      <c r="B11" s="60">
        <f>SUM(B14:B503)</f>
        <v>0</v>
      </c>
      <c r="C11" s="60">
        <f>SUM(C14:C503)</f>
        <v>0</v>
      </c>
      <c r="D11" s="61"/>
      <c r="E11" s="61"/>
      <c r="F11" s="60">
        <f>ROUND(SUM(F14:F503),0)</f>
        <v>0</v>
      </c>
      <c r="G11" s="60">
        <f>SUM(G14:G578)</f>
        <v>0</v>
      </c>
      <c r="H11" s="60">
        <f>SUM(H14:H578)</f>
        <v>0</v>
      </c>
      <c r="I11" s="61"/>
      <c r="J11" s="60">
        <f>SUM(J14:J503)</f>
        <v>0</v>
      </c>
      <c r="K11" s="60">
        <f>ROUND(SUM(K14:K503),0)</f>
        <v>0</v>
      </c>
      <c r="L11" s="61"/>
      <c r="M11" s="60">
        <f>SUM(M14:M578)</f>
        <v>0</v>
      </c>
      <c r="N11" s="60">
        <f>SUM(N14:N578)</f>
        <v>0</v>
      </c>
    </row>
    <row r="13" spans="1:14" s="66" customFormat="1" ht="63.75" x14ac:dyDescent="0.2">
      <c r="A13" s="63" t="s">
        <v>0</v>
      </c>
      <c r="B13" s="64" t="s">
        <v>1846</v>
      </c>
      <c r="C13" s="64" t="s">
        <v>1847</v>
      </c>
      <c r="D13" s="64" t="s">
        <v>1848</v>
      </c>
      <c r="E13" s="64" t="s">
        <v>1849</v>
      </c>
      <c r="F13" s="64" t="s">
        <v>1850</v>
      </c>
      <c r="G13" s="64" t="s">
        <v>1851</v>
      </c>
      <c r="H13" s="64" t="s">
        <v>1852</v>
      </c>
      <c r="I13" s="65" t="s">
        <v>1853</v>
      </c>
      <c r="J13" s="65" t="s">
        <v>1854</v>
      </c>
      <c r="K13" s="65" t="s">
        <v>1855</v>
      </c>
      <c r="L13" s="65" t="s">
        <v>1856</v>
      </c>
      <c r="M13" s="65" t="s">
        <v>1857</v>
      </c>
      <c r="N13" s="65" t="s">
        <v>1858</v>
      </c>
    </row>
    <row r="14" spans="1:14" x14ac:dyDescent="0.2">
      <c r="F14" s="67">
        <f t="shared" ref="F14:F77" si="0">ROUND(IF(ROUND(C14,0)=0,0,IF(D14&gt;0,251/D14,IF(ISERROR(VALUE(F13)),0,IF(C13=0,0,F13/C13*C14)))),0)</f>
        <v>0</v>
      </c>
      <c r="G14" s="67">
        <f t="shared" ref="G14:G77" si="1">IF(F14&gt;0,C14/F14/2,0)</f>
        <v>0</v>
      </c>
      <c r="H14" s="67">
        <f t="shared" ref="H14:H77" si="2">IF(G14=0,0,G14+C14/251*$B$6)</f>
        <v>0</v>
      </c>
      <c r="I14" s="68">
        <f t="shared" ref="I14:I77" si="3">IF(K14&gt;0,IF(ROUND(251/K14,0)&gt;100,100,ROUND(251/K14,0)),0)</f>
        <v>0</v>
      </c>
      <c r="J14" s="68">
        <f t="shared" ref="J14:J74" si="4">IF($C$14=0,0,IF(ROUND(C14,0)=0,0,SQRT(C14/$C$14)))</f>
        <v>0</v>
      </c>
      <c r="K14" s="69">
        <f t="shared" ref="K14:K77" si="5">IF($J$11=0,0,$B$5/$J$11*J14)</f>
        <v>0</v>
      </c>
      <c r="L14" s="69">
        <f t="shared" ref="L14:L77" si="6">IF(K14=0,0,IF(B14/K14&lt;1000,1000,B14/K14))</f>
        <v>0</v>
      </c>
      <c r="M14" s="69">
        <f>IF(K14&gt;0,C14/K14/2,0)</f>
        <v>0</v>
      </c>
      <c r="N14" s="67">
        <f t="shared" ref="N14:N77" si="7">IF(M14=0,0,M14+C14/251*$B$7)</f>
        <v>0</v>
      </c>
    </row>
    <row r="15" spans="1:14" x14ac:dyDescent="0.2">
      <c r="F15" s="67">
        <f t="shared" si="0"/>
        <v>0</v>
      </c>
      <c r="G15" s="67">
        <f t="shared" si="1"/>
        <v>0</v>
      </c>
      <c r="H15" s="67">
        <f t="shared" si="2"/>
        <v>0</v>
      </c>
      <c r="I15" s="68">
        <f t="shared" si="3"/>
        <v>0</v>
      </c>
      <c r="J15" s="68">
        <f t="shared" si="4"/>
        <v>0</v>
      </c>
      <c r="K15" s="69">
        <f t="shared" si="5"/>
        <v>0</v>
      </c>
      <c r="L15" s="69">
        <f t="shared" si="6"/>
        <v>0</v>
      </c>
      <c r="M15" s="69">
        <f t="shared" ref="M15:M78" si="8">IF(K15&gt;0,C15/K15/2,0)</f>
        <v>0</v>
      </c>
      <c r="N15" s="67">
        <f t="shared" si="7"/>
        <v>0</v>
      </c>
    </row>
    <row r="16" spans="1:14" x14ac:dyDescent="0.2">
      <c r="F16" s="67">
        <f t="shared" si="0"/>
        <v>0</v>
      </c>
      <c r="G16" s="67">
        <f t="shared" si="1"/>
        <v>0</v>
      </c>
      <c r="H16" s="67">
        <f t="shared" si="2"/>
        <v>0</v>
      </c>
      <c r="I16" s="68">
        <f t="shared" si="3"/>
        <v>0</v>
      </c>
      <c r="J16" s="68">
        <f t="shared" si="4"/>
        <v>0</v>
      </c>
      <c r="K16" s="69">
        <f t="shared" si="5"/>
        <v>0</v>
      </c>
      <c r="L16" s="69">
        <f t="shared" si="6"/>
        <v>0</v>
      </c>
      <c r="M16" s="69">
        <f t="shared" si="8"/>
        <v>0</v>
      </c>
      <c r="N16" s="67">
        <f t="shared" si="7"/>
        <v>0</v>
      </c>
    </row>
    <row r="17" spans="6:14" x14ac:dyDescent="0.2">
      <c r="F17" s="67">
        <f t="shared" si="0"/>
        <v>0</v>
      </c>
      <c r="G17" s="67">
        <f t="shared" si="1"/>
        <v>0</v>
      </c>
      <c r="H17" s="67">
        <f t="shared" si="2"/>
        <v>0</v>
      </c>
      <c r="I17" s="68">
        <f t="shared" si="3"/>
        <v>0</v>
      </c>
      <c r="J17" s="68">
        <f t="shared" si="4"/>
        <v>0</v>
      </c>
      <c r="K17" s="69">
        <f t="shared" si="5"/>
        <v>0</v>
      </c>
      <c r="L17" s="69">
        <f t="shared" si="6"/>
        <v>0</v>
      </c>
      <c r="M17" s="69">
        <f t="shared" si="8"/>
        <v>0</v>
      </c>
      <c r="N17" s="67">
        <f t="shared" si="7"/>
        <v>0</v>
      </c>
    </row>
    <row r="18" spans="6:14" x14ac:dyDescent="0.2">
      <c r="F18" s="67">
        <f t="shared" si="0"/>
        <v>0</v>
      </c>
      <c r="G18" s="67">
        <f t="shared" si="1"/>
        <v>0</v>
      </c>
      <c r="H18" s="67">
        <f t="shared" si="2"/>
        <v>0</v>
      </c>
      <c r="I18" s="68">
        <f t="shared" si="3"/>
        <v>0</v>
      </c>
      <c r="J18" s="68">
        <f t="shared" si="4"/>
        <v>0</v>
      </c>
      <c r="K18" s="69">
        <f t="shared" si="5"/>
        <v>0</v>
      </c>
      <c r="L18" s="69">
        <f t="shared" si="6"/>
        <v>0</v>
      </c>
      <c r="M18" s="69">
        <f t="shared" si="8"/>
        <v>0</v>
      </c>
      <c r="N18" s="67">
        <f t="shared" si="7"/>
        <v>0</v>
      </c>
    </row>
    <row r="19" spans="6:14" x14ac:dyDescent="0.2">
      <c r="F19" s="67">
        <f t="shared" si="0"/>
        <v>0</v>
      </c>
      <c r="G19" s="67">
        <f t="shared" si="1"/>
        <v>0</v>
      </c>
      <c r="H19" s="67">
        <f t="shared" si="2"/>
        <v>0</v>
      </c>
      <c r="I19" s="68">
        <f t="shared" si="3"/>
        <v>0</v>
      </c>
      <c r="J19" s="68">
        <f t="shared" si="4"/>
        <v>0</v>
      </c>
      <c r="K19" s="69">
        <f t="shared" si="5"/>
        <v>0</v>
      </c>
      <c r="L19" s="69">
        <f t="shared" si="6"/>
        <v>0</v>
      </c>
      <c r="M19" s="69">
        <f t="shared" si="8"/>
        <v>0</v>
      </c>
      <c r="N19" s="67">
        <f t="shared" si="7"/>
        <v>0</v>
      </c>
    </row>
    <row r="20" spans="6:14" x14ac:dyDescent="0.2">
      <c r="F20" s="67">
        <f t="shared" si="0"/>
        <v>0</v>
      </c>
      <c r="G20" s="67">
        <f t="shared" si="1"/>
        <v>0</v>
      </c>
      <c r="H20" s="67">
        <f t="shared" si="2"/>
        <v>0</v>
      </c>
      <c r="I20" s="68">
        <f t="shared" si="3"/>
        <v>0</v>
      </c>
      <c r="J20" s="68">
        <f t="shared" si="4"/>
        <v>0</v>
      </c>
      <c r="K20" s="69">
        <f t="shared" si="5"/>
        <v>0</v>
      </c>
      <c r="L20" s="69">
        <f t="shared" si="6"/>
        <v>0</v>
      </c>
      <c r="M20" s="69">
        <f t="shared" si="8"/>
        <v>0</v>
      </c>
      <c r="N20" s="67">
        <f t="shared" si="7"/>
        <v>0</v>
      </c>
    </row>
    <row r="21" spans="6:14" x14ac:dyDescent="0.2">
      <c r="F21" s="67">
        <f t="shared" si="0"/>
        <v>0</v>
      </c>
      <c r="G21" s="67">
        <f t="shared" si="1"/>
        <v>0</v>
      </c>
      <c r="H21" s="67">
        <f t="shared" si="2"/>
        <v>0</v>
      </c>
      <c r="I21" s="68">
        <f t="shared" si="3"/>
        <v>0</v>
      </c>
      <c r="J21" s="68">
        <f t="shared" si="4"/>
        <v>0</v>
      </c>
      <c r="K21" s="69">
        <f t="shared" si="5"/>
        <v>0</v>
      </c>
      <c r="L21" s="69">
        <f t="shared" si="6"/>
        <v>0</v>
      </c>
      <c r="M21" s="69">
        <f t="shared" si="8"/>
        <v>0</v>
      </c>
      <c r="N21" s="67">
        <f t="shared" si="7"/>
        <v>0</v>
      </c>
    </row>
    <row r="22" spans="6:14" x14ac:dyDescent="0.2">
      <c r="F22" s="67">
        <f t="shared" si="0"/>
        <v>0</v>
      </c>
      <c r="G22" s="67">
        <f t="shared" si="1"/>
        <v>0</v>
      </c>
      <c r="H22" s="67">
        <f t="shared" si="2"/>
        <v>0</v>
      </c>
      <c r="I22" s="68">
        <f t="shared" si="3"/>
        <v>0</v>
      </c>
      <c r="J22" s="68">
        <f t="shared" si="4"/>
        <v>0</v>
      </c>
      <c r="K22" s="69">
        <f t="shared" si="5"/>
        <v>0</v>
      </c>
      <c r="L22" s="69">
        <f t="shared" si="6"/>
        <v>0</v>
      </c>
      <c r="M22" s="69">
        <f t="shared" si="8"/>
        <v>0</v>
      </c>
      <c r="N22" s="67">
        <f t="shared" si="7"/>
        <v>0</v>
      </c>
    </row>
    <row r="23" spans="6:14" x14ac:dyDescent="0.2">
      <c r="F23" s="67">
        <f t="shared" si="0"/>
        <v>0</v>
      </c>
      <c r="G23" s="67">
        <f t="shared" si="1"/>
        <v>0</v>
      </c>
      <c r="H23" s="67">
        <f t="shared" si="2"/>
        <v>0</v>
      </c>
      <c r="I23" s="68">
        <f t="shared" si="3"/>
        <v>0</v>
      </c>
      <c r="J23" s="68">
        <f t="shared" si="4"/>
        <v>0</v>
      </c>
      <c r="K23" s="69">
        <f t="shared" si="5"/>
        <v>0</v>
      </c>
      <c r="L23" s="69">
        <f t="shared" si="6"/>
        <v>0</v>
      </c>
      <c r="M23" s="69">
        <f t="shared" si="8"/>
        <v>0</v>
      </c>
      <c r="N23" s="67">
        <f t="shared" si="7"/>
        <v>0</v>
      </c>
    </row>
    <row r="24" spans="6:14" x14ac:dyDescent="0.2">
      <c r="F24" s="67">
        <f t="shared" si="0"/>
        <v>0</v>
      </c>
      <c r="G24" s="67">
        <f t="shared" si="1"/>
        <v>0</v>
      </c>
      <c r="H24" s="67">
        <f t="shared" si="2"/>
        <v>0</v>
      </c>
      <c r="I24" s="68">
        <f t="shared" si="3"/>
        <v>0</v>
      </c>
      <c r="J24" s="68">
        <f t="shared" si="4"/>
        <v>0</v>
      </c>
      <c r="K24" s="69">
        <f t="shared" si="5"/>
        <v>0</v>
      </c>
      <c r="L24" s="69">
        <f t="shared" si="6"/>
        <v>0</v>
      </c>
      <c r="M24" s="69">
        <f t="shared" si="8"/>
        <v>0</v>
      </c>
      <c r="N24" s="67">
        <f t="shared" si="7"/>
        <v>0</v>
      </c>
    </row>
    <row r="25" spans="6:14" x14ac:dyDescent="0.2">
      <c r="F25" s="67">
        <f t="shared" si="0"/>
        <v>0</v>
      </c>
      <c r="G25" s="67">
        <f t="shared" si="1"/>
        <v>0</v>
      </c>
      <c r="H25" s="67">
        <f t="shared" si="2"/>
        <v>0</v>
      </c>
      <c r="I25" s="68">
        <f t="shared" si="3"/>
        <v>0</v>
      </c>
      <c r="J25" s="68">
        <f t="shared" si="4"/>
        <v>0</v>
      </c>
      <c r="K25" s="69">
        <f t="shared" si="5"/>
        <v>0</v>
      </c>
      <c r="L25" s="69">
        <f t="shared" si="6"/>
        <v>0</v>
      </c>
      <c r="M25" s="69">
        <f t="shared" si="8"/>
        <v>0</v>
      </c>
      <c r="N25" s="67">
        <f t="shared" si="7"/>
        <v>0</v>
      </c>
    </row>
    <row r="26" spans="6:14" x14ac:dyDescent="0.2">
      <c r="F26" s="67">
        <f t="shared" si="0"/>
        <v>0</v>
      </c>
      <c r="G26" s="67">
        <f t="shared" si="1"/>
        <v>0</v>
      </c>
      <c r="H26" s="67">
        <f t="shared" si="2"/>
        <v>0</v>
      </c>
      <c r="I26" s="68">
        <f t="shared" si="3"/>
        <v>0</v>
      </c>
      <c r="J26" s="68">
        <f t="shared" si="4"/>
        <v>0</v>
      </c>
      <c r="K26" s="69">
        <f t="shared" si="5"/>
        <v>0</v>
      </c>
      <c r="L26" s="69">
        <f t="shared" si="6"/>
        <v>0</v>
      </c>
      <c r="M26" s="69">
        <f t="shared" si="8"/>
        <v>0</v>
      </c>
      <c r="N26" s="67">
        <f t="shared" si="7"/>
        <v>0</v>
      </c>
    </row>
    <row r="27" spans="6:14" x14ac:dyDescent="0.2">
      <c r="F27" s="67">
        <f t="shared" si="0"/>
        <v>0</v>
      </c>
      <c r="G27" s="67">
        <f t="shared" si="1"/>
        <v>0</v>
      </c>
      <c r="H27" s="67">
        <f t="shared" si="2"/>
        <v>0</v>
      </c>
      <c r="I27" s="70">
        <f t="shared" si="3"/>
        <v>0</v>
      </c>
      <c r="J27" s="68">
        <f t="shared" si="4"/>
        <v>0</v>
      </c>
      <c r="K27" s="69">
        <f t="shared" si="5"/>
        <v>0</v>
      </c>
      <c r="L27" s="69">
        <f t="shared" si="6"/>
        <v>0</v>
      </c>
      <c r="M27" s="69">
        <f t="shared" si="8"/>
        <v>0</v>
      </c>
      <c r="N27" s="67">
        <f t="shared" si="7"/>
        <v>0</v>
      </c>
    </row>
    <row r="28" spans="6:14" x14ac:dyDescent="0.2">
      <c r="F28" s="67">
        <f t="shared" si="0"/>
        <v>0</v>
      </c>
      <c r="G28" s="67">
        <f t="shared" si="1"/>
        <v>0</v>
      </c>
      <c r="H28" s="67">
        <f t="shared" si="2"/>
        <v>0</v>
      </c>
      <c r="I28" s="68">
        <f t="shared" si="3"/>
        <v>0</v>
      </c>
      <c r="J28" s="68">
        <f t="shared" si="4"/>
        <v>0</v>
      </c>
      <c r="K28" s="69">
        <f t="shared" si="5"/>
        <v>0</v>
      </c>
      <c r="L28" s="69">
        <f t="shared" si="6"/>
        <v>0</v>
      </c>
      <c r="M28" s="69">
        <f t="shared" si="8"/>
        <v>0</v>
      </c>
      <c r="N28" s="67">
        <f t="shared" si="7"/>
        <v>0</v>
      </c>
    </row>
    <row r="29" spans="6:14" x14ac:dyDescent="0.2">
      <c r="F29" s="67">
        <f t="shared" si="0"/>
        <v>0</v>
      </c>
      <c r="G29" s="67">
        <f t="shared" si="1"/>
        <v>0</v>
      </c>
      <c r="H29" s="67">
        <f t="shared" si="2"/>
        <v>0</v>
      </c>
      <c r="I29" s="68">
        <f t="shared" si="3"/>
        <v>0</v>
      </c>
      <c r="J29" s="68">
        <f t="shared" si="4"/>
        <v>0</v>
      </c>
      <c r="K29" s="69">
        <f t="shared" si="5"/>
        <v>0</v>
      </c>
      <c r="L29" s="69">
        <f t="shared" si="6"/>
        <v>0</v>
      </c>
      <c r="M29" s="69">
        <f t="shared" si="8"/>
        <v>0</v>
      </c>
      <c r="N29" s="67">
        <f t="shared" si="7"/>
        <v>0</v>
      </c>
    </row>
    <row r="30" spans="6:14" x14ac:dyDescent="0.2">
      <c r="F30" s="67">
        <f t="shared" si="0"/>
        <v>0</v>
      </c>
      <c r="G30" s="67">
        <f t="shared" si="1"/>
        <v>0</v>
      </c>
      <c r="H30" s="67">
        <f t="shared" si="2"/>
        <v>0</v>
      </c>
      <c r="I30" s="68">
        <f t="shared" si="3"/>
        <v>0</v>
      </c>
      <c r="J30" s="68">
        <f t="shared" si="4"/>
        <v>0</v>
      </c>
      <c r="K30" s="69">
        <f t="shared" si="5"/>
        <v>0</v>
      </c>
      <c r="L30" s="69">
        <f t="shared" si="6"/>
        <v>0</v>
      </c>
      <c r="M30" s="69">
        <f t="shared" si="8"/>
        <v>0</v>
      </c>
      <c r="N30" s="67">
        <f t="shared" si="7"/>
        <v>0</v>
      </c>
    </row>
    <row r="31" spans="6:14" x14ac:dyDescent="0.2">
      <c r="F31" s="67">
        <f t="shared" si="0"/>
        <v>0</v>
      </c>
      <c r="G31" s="67">
        <f t="shared" si="1"/>
        <v>0</v>
      </c>
      <c r="H31" s="67">
        <f t="shared" si="2"/>
        <v>0</v>
      </c>
      <c r="I31" s="68">
        <f t="shared" si="3"/>
        <v>0</v>
      </c>
      <c r="J31" s="68">
        <f t="shared" si="4"/>
        <v>0</v>
      </c>
      <c r="K31" s="69">
        <f t="shared" si="5"/>
        <v>0</v>
      </c>
      <c r="L31" s="69">
        <f t="shared" si="6"/>
        <v>0</v>
      </c>
      <c r="M31" s="69">
        <f t="shared" si="8"/>
        <v>0</v>
      </c>
      <c r="N31" s="67">
        <f t="shared" si="7"/>
        <v>0</v>
      </c>
    </row>
    <row r="32" spans="6:14" x14ac:dyDescent="0.2">
      <c r="F32" s="67">
        <f t="shared" si="0"/>
        <v>0</v>
      </c>
      <c r="G32" s="67">
        <f t="shared" si="1"/>
        <v>0</v>
      </c>
      <c r="H32" s="67">
        <f t="shared" si="2"/>
        <v>0</v>
      </c>
      <c r="I32" s="68">
        <f t="shared" si="3"/>
        <v>0</v>
      </c>
      <c r="J32" s="68">
        <f t="shared" si="4"/>
        <v>0</v>
      </c>
      <c r="K32" s="69">
        <f t="shared" si="5"/>
        <v>0</v>
      </c>
      <c r="L32" s="69">
        <f t="shared" si="6"/>
        <v>0</v>
      </c>
      <c r="M32" s="69">
        <f t="shared" si="8"/>
        <v>0</v>
      </c>
      <c r="N32" s="67">
        <f t="shared" si="7"/>
        <v>0</v>
      </c>
    </row>
    <row r="33" spans="6:14" x14ac:dyDescent="0.2">
      <c r="F33" s="67">
        <f t="shared" si="0"/>
        <v>0</v>
      </c>
      <c r="G33" s="67">
        <f t="shared" si="1"/>
        <v>0</v>
      </c>
      <c r="H33" s="67">
        <f t="shared" si="2"/>
        <v>0</v>
      </c>
      <c r="I33" s="68">
        <f t="shared" si="3"/>
        <v>0</v>
      </c>
      <c r="J33" s="68">
        <f t="shared" si="4"/>
        <v>0</v>
      </c>
      <c r="K33" s="69">
        <f t="shared" si="5"/>
        <v>0</v>
      </c>
      <c r="L33" s="69">
        <f t="shared" si="6"/>
        <v>0</v>
      </c>
      <c r="M33" s="69">
        <f t="shared" si="8"/>
        <v>0</v>
      </c>
      <c r="N33" s="67">
        <f t="shared" si="7"/>
        <v>0</v>
      </c>
    </row>
    <row r="34" spans="6:14" x14ac:dyDescent="0.2">
      <c r="F34" s="67">
        <f t="shared" si="0"/>
        <v>0</v>
      </c>
      <c r="G34" s="67">
        <f t="shared" si="1"/>
        <v>0</v>
      </c>
      <c r="H34" s="67">
        <f t="shared" si="2"/>
        <v>0</v>
      </c>
      <c r="I34" s="68">
        <f t="shared" si="3"/>
        <v>0</v>
      </c>
      <c r="J34" s="68">
        <f t="shared" si="4"/>
        <v>0</v>
      </c>
      <c r="K34" s="69">
        <f t="shared" si="5"/>
        <v>0</v>
      </c>
      <c r="L34" s="69">
        <f t="shared" si="6"/>
        <v>0</v>
      </c>
      <c r="M34" s="69">
        <f t="shared" si="8"/>
        <v>0</v>
      </c>
      <c r="N34" s="67">
        <f t="shared" si="7"/>
        <v>0</v>
      </c>
    </row>
    <row r="35" spans="6:14" x14ac:dyDescent="0.2">
      <c r="F35" s="67">
        <f t="shared" si="0"/>
        <v>0</v>
      </c>
      <c r="G35" s="67">
        <f t="shared" si="1"/>
        <v>0</v>
      </c>
      <c r="H35" s="67">
        <f t="shared" si="2"/>
        <v>0</v>
      </c>
      <c r="I35" s="68">
        <f t="shared" si="3"/>
        <v>0</v>
      </c>
      <c r="J35" s="68">
        <f t="shared" si="4"/>
        <v>0</v>
      </c>
      <c r="K35" s="69">
        <f t="shared" si="5"/>
        <v>0</v>
      </c>
      <c r="L35" s="69">
        <f t="shared" si="6"/>
        <v>0</v>
      </c>
      <c r="M35" s="69">
        <f t="shared" si="8"/>
        <v>0</v>
      </c>
      <c r="N35" s="67">
        <f t="shared" si="7"/>
        <v>0</v>
      </c>
    </row>
    <row r="36" spans="6:14" x14ac:dyDescent="0.2">
      <c r="F36" s="67">
        <f t="shared" si="0"/>
        <v>0</v>
      </c>
      <c r="G36" s="67">
        <f t="shared" si="1"/>
        <v>0</v>
      </c>
      <c r="H36" s="67">
        <f t="shared" si="2"/>
        <v>0</v>
      </c>
      <c r="I36" s="68">
        <f t="shared" si="3"/>
        <v>0</v>
      </c>
      <c r="J36" s="68">
        <f t="shared" si="4"/>
        <v>0</v>
      </c>
      <c r="K36" s="69">
        <f t="shared" si="5"/>
        <v>0</v>
      </c>
      <c r="L36" s="69">
        <f t="shared" si="6"/>
        <v>0</v>
      </c>
      <c r="M36" s="69">
        <f t="shared" si="8"/>
        <v>0</v>
      </c>
      <c r="N36" s="67">
        <f t="shared" si="7"/>
        <v>0</v>
      </c>
    </row>
    <row r="37" spans="6:14" x14ac:dyDescent="0.2">
      <c r="F37" s="67">
        <f t="shared" si="0"/>
        <v>0</v>
      </c>
      <c r="G37" s="67">
        <f t="shared" si="1"/>
        <v>0</v>
      </c>
      <c r="H37" s="67">
        <f t="shared" si="2"/>
        <v>0</v>
      </c>
      <c r="I37" s="68">
        <f t="shared" si="3"/>
        <v>0</v>
      </c>
      <c r="J37" s="68">
        <f t="shared" si="4"/>
        <v>0</v>
      </c>
      <c r="K37" s="69">
        <f t="shared" si="5"/>
        <v>0</v>
      </c>
      <c r="L37" s="69">
        <f t="shared" si="6"/>
        <v>0</v>
      </c>
      <c r="M37" s="69">
        <f t="shared" si="8"/>
        <v>0</v>
      </c>
      <c r="N37" s="67">
        <f t="shared" si="7"/>
        <v>0</v>
      </c>
    </row>
    <row r="38" spans="6:14" x14ac:dyDescent="0.2">
      <c r="F38" s="67">
        <f t="shared" si="0"/>
        <v>0</v>
      </c>
      <c r="G38" s="67">
        <f t="shared" si="1"/>
        <v>0</v>
      </c>
      <c r="H38" s="67">
        <f t="shared" si="2"/>
        <v>0</v>
      </c>
      <c r="I38" s="68">
        <f t="shared" si="3"/>
        <v>0</v>
      </c>
      <c r="J38" s="68">
        <f t="shared" si="4"/>
        <v>0</v>
      </c>
      <c r="K38" s="69">
        <f t="shared" si="5"/>
        <v>0</v>
      </c>
      <c r="L38" s="69">
        <f t="shared" si="6"/>
        <v>0</v>
      </c>
      <c r="M38" s="69">
        <f t="shared" si="8"/>
        <v>0</v>
      </c>
      <c r="N38" s="67">
        <f t="shared" si="7"/>
        <v>0</v>
      </c>
    </row>
    <row r="39" spans="6:14" x14ac:dyDescent="0.2">
      <c r="F39" s="67">
        <f t="shared" si="0"/>
        <v>0</v>
      </c>
      <c r="G39" s="67">
        <f t="shared" si="1"/>
        <v>0</v>
      </c>
      <c r="H39" s="67">
        <f t="shared" si="2"/>
        <v>0</v>
      </c>
      <c r="I39" s="68">
        <f t="shared" si="3"/>
        <v>0</v>
      </c>
      <c r="J39" s="68">
        <f t="shared" si="4"/>
        <v>0</v>
      </c>
      <c r="K39" s="69">
        <f t="shared" si="5"/>
        <v>0</v>
      </c>
      <c r="L39" s="69">
        <f t="shared" si="6"/>
        <v>0</v>
      </c>
      <c r="M39" s="69">
        <f t="shared" si="8"/>
        <v>0</v>
      </c>
      <c r="N39" s="67">
        <f t="shared" si="7"/>
        <v>0</v>
      </c>
    </row>
    <row r="40" spans="6:14" x14ac:dyDescent="0.2">
      <c r="F40" s="67">
        <f t="shared" si="0"/>
        <v>0</v>
      </c>
      <c r="G40" s="67">
        <f t="shared" si="1"/>
        <v>0</v>
      </c>
      <c r="H40" s="67">
        <f t="shared" si="2"/>
        <v>0</v>
      </c>
      <c r="I40" s="68">
        <f t="shared" si="3"/>
        <v>0</v>
      </c>
      <c r="J40" s="68">
        <f t="shared" si="4"/>
        <v>0</v>
      </c>
      <c r="K40" s="69">
        <f t="shared" si="5"/>
        <v>0</v>
      </c>
      <c r="L40" s="69">
        <f t="shared" si="6"/>
        <v>0</v>
      </c>
      <c r="M40" s="69">
        <f t="shared" si="8"/>
        <v>0</v>
      </c>
      <c r="N40" s="67">
        <f t="shared" si="7"/>
        <v>0</v>
      </c>
    </row>
    <row r="41" spans="6:14" x14ac:dyDescent="0.2">
      <c r="F41" s="67">
        <f t="shared" si="0"/>
        <v>0</v>
      </c>
      <c r="G41" s="67">
        <f t="shared" si="1"/>
        <v>0</v>
      </c>
      <c r="H41" s="67">
        <f t="shared" si="2"/>
        <v>0</v>
      </c>
      <c r="I41" s="68">
        <f t="shared" si="3"/>
        <v>0</v>
      </c>
      <c r="J41" s="68">
        <f t="shared" si="4"/>
        <v>0</v>
      </c>
      <c r="K41" s="69">
        <f t="shared" si="5"/>
        <v>0</v>
      </c>
      <c r="L41" s="69">
        <f t="shared" si="6"/>
        <v>0</v>
      </c>
      <c r="M41" s="69">
        <f t="shared" si="8"/>
        <v>0</v>
      </c>
      <c r="N41" s="67">
        <f t="shared" si="7"/>
        <v>0</v>
      </c>
    </row>
    <row r="42" spans="6:14" x14ac:dyDescent="0.2">
      <c r="F42" s="67">
        <f t="shared" si="0"/>
        <v>0</v>
      </c>
      <c r="G42" s="67">
        <f t="shared" si="1"/>
        <v>0</v>
      </c>
      <c r="H42" s="67">
        <f t="shared" si="2"/>
        <v>0</v>
      </c>
      <c r="I42" s="68">
        <f t="shared" si="3"/>
        <v>0</v>
      </c>
      <c r="J42" s="68">
        <f t="shared" si="4"/>
        <v>0</v>
      </c>
      <c r="K42" s="69">
        <f t="shared" si="5"/>
        <v>0</v>
      </c>
      <c r="L42" s="69">
        <f t="shared" si="6"/>
        <v>0</v>
      </c>
      <c r="M42" s="69">
        <f t="shared" si="8"/>
        <v>0</v>
      </c>
      <c r="N42" s="67">
        <f t="shared" si="7"/>
        <v>0</v>
      </c>
    </row>
    <row r="43" spans="6:14" x14ac:dyDescent="0.2">
      <c r="F43" s="67">
        <f t="shared" si="0"/>
        <v>0</v>
      </c>
      <c r="G43" s="67">
        <f t="shared" si="1"/>
        <v>0</v>
      </c>
      <c r="H43" s="67">
        <f t="shared" si="2"/>
        <v>0</v>
      </c>
      <c r="I43" s="68">
        <f t="shared" si="3"/>
        <v>0</v>
      </c>
      <c r="J43" s="68">
        <f t="shared" si="4"/>
        <v>0</v>
      </c>
      <c r="K43" s="69">
        <f t="shared" si="5"/>
        <v>0</v>
      </c>
      <c r="L43" s="69">
        <f t="shared" si="6"/>
        <v>0</v>
      </c>
      <c r="M43" s="69">
        <f t="shared" si="8"/>
        <v>0</v>
      </c>
      <c r="N43" s="67">
        <f t="shared" si="7"/>
        <v>0</v>
      </c>
    </row>
    <row r="44" spans="6:14" x14ac:dyDescent="0.2">
      <c r="F44" s="67">
        <f t="shared" si="0"/>
        <v>0</v>
      </c>
      <c r="G44" s="67">
        <f t="shared" si="1"/>
        <v>0</v>
      </c>
      <c r="H44" s="67">
        <f t="shared" si="2"/>
        <v>0</v>
      </c>
      <c r="I44" s="68">
        <f t="shared" si="3"/>
        <v>0</v>
      </c>
      <c r="J44" s="68">
        <f t="shared" si="4"/>
        <v>0</v>
      </c>
      <c r="K44" s="69">
        <f t="shared" si="5"/>
        <v>0</v>
      </c>
      <c r="L44" s="69">
        <f t="shared" si="6"/>
        <v>0</v>
      </c>
      <c r="M44" s="69">
        <f t="shared" si="8"/>
        <v>0</v>
      </c>
      <c r="N44" s="67">
        <f t="shared" si="7"/>
        <v>0</v>
      </c>
    </row>
    <row r="45" spans="6:14" x14ac:dyDescent="0.2">
      <c r="F45" s="67">
        <f t="shared" si="0"/>
        <v>0</v>
      </c>
      <c r="G45" s="67">
        <f t="shared" si="1"/>
        <v>0</v>
      </c>
      <c r="H45" s="67">
        <f t="shared" si="2"/>
        <v>0</v>
      </c>
      <c r="I45" s="68">
        <f t="shared" si="3"/>
        <v>0</v>
      </c>
      <c r="J45" s="68">
        <f t="shared" si="4"/>
        <v>0</v>
      </c>
      <c r="K45" s="69">
        <f t="shared" si="5"/>
        <v>0</v>
      </c>
      <c r="L45" s="69">
        <f t="shared" si="6"/>
        <v>0</v>
      </c>
      <c r="M45" s="69">
        <f t="shared" si="8"/>
        <v>0</v>
      </c>
      <c r="N45" s="67">
        <f t="shared" si="7"/>
        <v>0</v>
      </c>
    </row>
    <row r="46" spans="6:14" x14ac:dyDescent="0.2">
      <c r="F46" s="67">
        <f t="shared" si="0"/>
        <v>0</v>
      </c>
      <c r="G46" s="67">
        <f t="shared" si="1"/>
        <v>0</v>
      </c>
      <c r="H46" s="67">
        <f t="shared" si="2"/>
        <v>0</v>
      </c>
      <c r="I46" s="68">
        <f t="shared" si="3"/>
        <v>0</v>
      </c>
      <c r="J46" s="68">
        <f t="shared" si="4"/>
        <v>0</v>
      </c>
      <c r="K46" s="69">
        <f t="shared" si="5"/>
        <v>0</v>
      </c>
      <c r="L46" s="69">
        <f t="shared" si="6"/>
        <v>0</v>
      </c>
      <c r="M46" s="69">
        <f t="shared" si="8"/>
        <v>0</v>
      </c>
      <c r="N46" s="67">
        <f t="shared" si="7"/>
        <v>0</v>
      </c>
    </row>
    <row r="47" spans="6:14" x14ac:dyDescent="0.2">
      <c r="F47" s="67">
        <f t="shared" si="0"/>
        <v>0</v>
      </c>
      <c r="G47" s="67">
        <f t="shared" si="1"/>
        <v>0</v>
      </c>
      <c r="H47" s="67">
        <f t="shared" si="2"/>
        <v>0</v>
      </c>
      <c r="I47" s="68">
        <f t="shared" si="3"/>
        <v>0</v>
      </c>
      <c r="J47" s="68">
        <f t="shared" si="4"/>
        <v>0</v>
      </c>
      <c r="K47" s="69">
        <f t="shared" si="5"/>
        <v>0</v>
      </c>
      <c r="L47" s="69">
        <f t="shared" si="6"/>
        <v>0</v>
      </c>
      <c r="M47" s="69">
        <f t="shared" si="8"/>
        <v>0</v>
      </c>
      <c r="N47" s="67">
        <f t="shared" si="7"/>
        <v>0</v>
      </c>
    </row>
    <row r="48" spans="6:14" x14ac:dyDescent="0.2">
      <c r="F48" s="67">
        <f t="shared" si="0"/>
        <v>0</v>
      </c>
      <c r="G48" s="67">
        <f t="shared" si="1"/>
        <v>0</v>
      </c>
      <c r="H48" s="67">
        <f t="shared" si="2"/>
        <v>0</v>
      </c>
      <c r="I48" s="68">
        <f t="shared" si="3"/>
        <v>0</v>
      </c>
      <c r="J48" s="68">
        <f t="shared" si="4"/>
        <v>0</v>
      </c>
      <c r="K48" s="69">
        <f t="shared" si="5"/>
        <v>0</v>
      </c>
      <c r="L48" s="69">
        <f t="shared" si="6"/>
        <v>0</v>
      </c>
      <c r="M48" s="69">
        <f t="shared" si="8"/>
        <v>0</v>
      </c>
      <c r="N48" s="67">
        <f t="shared" si="7"/>
        <v>0</v>
      </c>
    </row>
    <row r="49" spans="6:14" x14ac:dyDescent="0.2">
      <c r="F49" s="67">
        <f t="shared" si="0"/>
        <v>0</v>
      </c>
      <c r="G49" s="67">
        <f t="shared" si="1"/>
        <v>0</v>
      </c>
      <c r="H49" s="67">
        <f t="shared" si="2"/>
        <v>0</v>
      </c>
      <c r="I49" s="68">
        <f t="shared" si="3"/>
        <v>0</v>
      </c>
      <c r="J49" s="68">
        <f t="shared" si="4"/>
        <v>0</v>
      </c>
      <c r="K49" s="69">
        <f t="shared" si="5"/>
        <v>0</v>
      </c>
      <c r="L49" s="69">
        <f t="shared" si="6"/>
        <v>0</v>
      </c>
      <c r="M49" s="69">
        <f t="shared" si="8"/>
        <v>0</v>
      </c>
      <c r="N49" s="67">
        <f t="shared" si="7"/>
        <v>0</v>
      </c>
    </row>
    <row r="50" spans="6:14" x14ac:dyDescent="0.2">
      <c r="F50" s="67">
        <f t="shared" si="0"/>
        <v>0</v>
      </c>
      <c r="G50" s="67">
        <f t="shared" si="1"/>
        <v>0</v>
      </c>
      <c r="H50" s="67">
        <f t="shared" si="2"/>
        <v>0</v>
      </c>
      <c r="I50" s="68">
        <f t="shared" si="3"/>
        <v>0</v>
      </c>
      <c r="J50" s="68">
        <f t="shared" si="4"/>
        <v>0</v>
      </c>
      <c r="K50" s="69">
        <f t="shared" si="5"/>
        <v>0</v>
      </c>
      <c r="L50" s="69">
        <f t="shared" si="6"/>
        <v>0</v>
      </c>
      <c r="M50" s="69">
        <f t="shared" si="8"/>
        <v>0</v>
      </c>
      <c r="N50" s="67">
        <f t="shared" si="7"/>
        <v>0</v>
      </c>
    </row>
    <row r="51" spans="6:14" x14ac:dyDescent="0.2">
      <c r="F51" s="67">
        <f t="shared" si="0"/>
        <v>0</v>
      </c>
      <c r="G51" s="67">
        <f t="shared" si="1"/>
        <v>0</v>
      </c>
      <c r="H51" s="67">
        <f t="shared" si="2"/>
        <v>0</v>
      </c>
      <c r="I51" s="68">
        <f t="shared" si="3"/>
        <v>0</v>
      </c>
      <c r="J51" s="68">
        <f t="shared" si="4"/>
        <v>0</v>
      </c>
      <c r="K51" s="69">
        <f t="shared" si="5"/>
        <v>0</v>
      </c>
      <c r="L51" s="69">
        <f t="shared" si="6"/>
        <v>0</v>
      </c>
      <c r="M51" s="69">
        <f t="shared" si="8"/>
        <v>0</v>
      </c>
      <c r="N51" s="67">
        <f t="shared" si="7"/>
        <v>0</v>
      </c>
    </row>
    <row r="52" spans="6:14" x14ac:dyDescent="0.2">
      <c r="F52" s="67">
        <f t="shared" si="0"/>
        <v>0</v>
      </c>
      <c r="G52" s="67">
        <f t="shared" si="1"/>
        <v>0</v>
      </c>
      <c r="H52" s="67">
        <f t="shared" si="2"/>
        <v>0</v>
      </c>
      <c r="I52" s="68">
        <f t="shared" si="3"/>
        <v>0</v>
      </c>
      <c r="J52" s="68">
        <f t="shared" si="4"/>
        <v>0</v>
      </c>
      <c r="K52" s="69">
        <f t="shared" si="5"/>
        <v>0</v>
      </c>
      <c r="L52" s="69">
        <f t="shared" si="6"/>
        <v>0</v>
      </c>
      <c r="M52" s="69">
        <f t="shared" si="8"/>
        <v>0</v>
      </c>
      <c r="N52" s="67">
        <f t="shared" si="7"/>
        <v>0</v>
      </c>
    </row>
    <row r="53" spans="6:14" x14ac:dyDescent="0.2">
      <c r="F53" s="67">
        <f t="shared" si="0"/>
        <v>0</v>
      </c>
      <c r="G53" s="67">
        <f t="shared" si="1"/>
        <v>0</v>
      </c>
      <c r="H53" s="67">
        <f t="shared" si="2"/>
        <v>0</v>
      </c>
      <c r="I53" s="68">
        <f t="shared" si="3"/>
        <v>0</v>
      </c>
      <c r="J53" s="68">
        <f t="shared" si="4"/>
        <v>0</v>
      </c>
      <c r="K53" s="69">
        <f t="shared" si="5"/>
        <v>0</v>
      </c>
      <c r="L53" s="69">
        <f t="shared" si="6"/>
        <v>0</v>
      </c>
      <c r="M53" s="69">
        <f t="shared" si="8"/>
        <v>0</v>
      </c>
      <c r="N53" s="67">
        <f t="shared" si="7"/>
        <v>0</v>
      </c>
    </row>
    <row r="54" spans="6:14" x14ac:dyDescent="0.2">
      <c r="F54" s="67">
        <f t="shared" si="0"/>
        <v>0</v>
      </c>
      <c r="G54" s="67">
        <f t="shared" si="1"/>
        <v>0</v>
      </c>
      <c r="H54" s="67">
        <f t="shared" si="2"/>
        <v>0</v>
      </c>
      <c r="I54" s="68">
        <f t="shared" si="3"/>
        <v>0</v>
      </c>
      <c r="J54" s="68">
        <f t="shared" si="4"/>
        <v>0</v>
      </c>
      <c r="K54" s="69">
        <f t="shared" si="5"/>
        <v>0</v>
      </c>
      <c r="L54" s="69">
        <f t="shared" si="6"/>
        <v>0</v>
      </c>
      <c r="M54" s="69">
        <f t="shared" si="8"/>
        <v>0</v>
      </c>
      <c r="N54" s="67">
        <f t="shared" si="7"/>
        <v>0</v>
      </c>
    </row>
    <row r="55" spans="6:14" x14ac:dyDescent="0.2">
      <c r="F55" s="67">
        <f t="shared" si="0"/>
        <v>0</v>
      </c>
      <c r="G55" s="67">
        <f t="shared" si="1"/>
        <v>0</v>
      </c>
      <c r="H55" s="67">
        <f t="shared" si="2"/>
        <v>0</v>
      </c>
      <c r="I55" s="68">
        <f t="shared" si="3"/>
        <v>0</v>
      </c>
      <c r="J55" s="68">
        <f t="shared" si="4"/>
        <v>0</v>
      </c>
      <c r="K55" s="69">
        <f t="shared" si="5"/>
        <v>0</v>
      </c>
      <c r="L55" s="69">
        <f t="shared" si="6"/>
        <v>0</v>
      </c>
      <c r="M55" s="69">
        <f t="shared" si="8"/>
        <v>0</v>
      </c>
      <c r="N55" s="67">
        <f t="shared" si="7"/>
        <v>0</v>
      </c>
    </row>
    <row r="56" spans="6:14" x14ac:dyDescent="0.2">
      <c r="F56" s="67">
        <f t="shared" si="0"/>
        <v>0</v>
      </c>
      <c r="G56" s="67">
        <f t="shared" si="1"/>
        <v>0</v>
      </c>
      <c r="H56" s="67">
        <f t="shared" si="2"/>
        <v>0</v>
      </c>
      <c r="I56" s="68">
        <f t="shared" si="3"/>
        <v>0</v>
      </c>
      <c r="J56" s="68">
        <f t="shared" si="4"/>
        <v>0</v>
      </c>
      <c r="K56" s="69">
        <f t="shared" si="5"/>
        <v>0</v>
      </c>
      <c r="L56" s="69">
        <f t="shared" si="6"/>
        <v>0</v>
      </c>
      <c r="M56" s="69">
        <f t="shared" si="8"/>
        <v>0</v>
      </c>
      <c r="N56" s="67">
        <f t="shared" si="7"/>
        <v>0</v>
      </c>
    </row>
    <row r="57" spans="6:14" x14ac:dyDescent="0.2">
      <c r="F57" s="67">
        <f t="shared" si="0"/>
        <v>0</v>
      </c>
      <c r="G57" s="67">
        <f t="shared" si="1"/>
        <v>0</v>
      </c>
      <c r="H57" s="67">
        <f t="shared" si="2"/>
        <v>0</v>
      </c>
      <c r="I57" s="68">
        <f t="shared" si="3"/>
        <v>0</v>
      </c>
      <c r="J57" s="68">
        <f t="shared" si="4"/>
        <v>0</v>
      </c>
      <c r="K57" s="69">
        <f t="shared" si="5"/>
        <v>0</v>
      </c>
      <c r="L57" s="69">
        <f t="shared" si="6"/>
        <v>0</v>
      </c>
      <c r="M57" s="69">
        <f t="shared" si="8"/>
        <v>0</v>
      </c>
      <c r="N57" s="67">
        <f t="shared" si="7"/>
        <v>0</v>
      </c>
    </row>
    <row r="58" spans="6:14" x14ac:dyDescent="0.2">
      <c r="F58" s="67">
        <f t="shared" si="0"/>
        <v>0</v>
      </c>
      <c r="G58" s="67">
        <f t="shared" si="1"/>
        <v>0</v>
      </c>
      <c r="H58" s="67">
        <f t="shared" si="2"/>
        <v>0</v>
      </c>
      <c r="I58" s="68">
        <f t="shared" si="3"/>
        <v>0</v>
      </c>
      <c r="J58" s="68">
        <f t="shared" si="4"/>
        <v>0</v>
      </c>
      <c r="K58" s="69">
        <f t="shared" si="5"/>
        <v>0</v>
      </c>
      <c r="L58" s="69">
        <f t="shared" si="6"/>
        <v>0</v>
      </c>
      <c r="M58" s="69">
        <f t="shared" si="8"/>
        <v>0</v>
      </c>
      <c r="N58" s="67">
        <f t="shared" si="7"/>
        <v>0</v>
      </c>
    </row>
    <row r="59" spans="6:14" x14ac:dyDescent="0.2">
      <c r="F59" s="67">
        <f t="shared" si="0"/>
        <v>0</v>
      </c>
      <c r="G59" s="67">
        <f t="shared" si="1"/>
        <v>0</v>
      </c>
      <c r="H59" s="67">
        <f t="shared" si="2"/>
        <v>0</v>
      </c>
      <c r="I59" s="68">
        <f t="shared" si="3"/>
        <v>0</v>
      </c>
      <c r="J59" s="68">
        <f t="shared" si="4"/>
        <v>0</v>
      </c>
      <c r="K59" s="69">
        <f t="shared" si="5"/>
        <v>0</v>
      </c>
      <c r="L59" s="69">
        <f t="shared" si="6"/>
        <v>0</v>
      </c>
      <c r="M59" s="69">
        <f t="shared" si="8"/>
        <v>0</v>
      </c>
      <c r="N59" s="67">
        <f t="shared" si="7"/>
        <v>0</v>
      </c>
    </row>
    <row r="60" spans="6:14" x14ac:dyDescent="0.2">
      <c r="F60" s="67">
        <f t="shared" si="0"/>
        <v>0</v>
      </c>
      <c r="G60" s="67">
        <f t="shared" si="1"/>
        <v>0</v>
      </c>
      <c r="H60" s="67">
        <f t="shared" si="2"/>
        <v>0</v>
      </c>
      <c r="I60" s="68">
        <f t="shared" si="3"/>
        <v>0</v>
      </c>
      <c r="J60" s="68">
        <f t="shared" si="4"/>
        <v>0</v>
      </c>
      <c r="K60" s="69">
        <f t="shared" si="5"/>
        <v>0</v>
      </c>
      <c r="L60" s="69">
        <f t="shared" si="6"/>
        <v>0</v>
      </c>
      <c r="M60" s="69">
        <f t="shared" si="8"/>
        <v>0</v>
      </c>
      <c r="N60" s="67">
        <f t="shared" si="7"/>
        <v>0</v>
      </c>
    </row>
    <row r="61" spans="6:14" x14ac:dyDescent="0.2">
      <c r="F61" s="67">
        <f t="shared" si="0"/>
        <v>0</v>
      </c>
      <c r="G61" s="67">
        <f t="shared" si="1"/>
        <v>0</v>
      </c>
      <c r="H61" s="67">
        <f t="shared" si="2"/>
        <v>0</v>
      </c>
      <c r="I61" s="68">
        <f t="shared" si="3"/>
        <v>0</v>
      </c>
      <c r="J61" s="68">
        <f t="shared" si="4"/>
        <v>0</v>
      </c>
      <c r="K61" s="69">
        <f t="shared" si="5"/>
        <v>0</v>
      </c>
      <c r="L61" s="69">
        <f t="shared" si="6"/>
        <v>0</v>
      </c>
      <c r="M61" s="69">
        <f t="shared" si="8"/>
        <v>0</v>
      </c>
      <c r="N61" s="67">
        <f t="shared" si="7"/>
        <v>0</v>
      </c>
    </row>
    <row r="62" spans="6:14" x14ac:dyDescent="0.2">
      <c r="F62" s="67">
        <f t="shared" si="0"/>
        <v>0</v>
      </c>
      <c r="G62" s="67">
        <f t="shared" si="1"/>
        <v>0</v>
      </c>
      <c r="H62" s="67">
        <f t="shared" si="2"/>
        <v>0</v>
      </c>
      <c r="I62" s="68">
        <f t="shared" si="3"/>
        <v>0</v>
      </c>
      <c r="J62" s="68">
        <f t="shared" si="4"/>
        <v>0</v>
      </c>
      <c r="K62" s="69">
        <f t="shared" si="5"/>
        <v>0</v>
      </c>
      <c r="L62" s="69">
        <f t="shared" si="6"/>
        <v>0</v>
      </c>
      <c r="M62" s="69">
        <f t="shared" si="8"/>
        <v>0</v>
      </c>
      <c r="N62" s="67">
        <f t="shared" si="7"/>
        <v>0</v>
      </c>
    </row>
    <row r="63" spans="6:14" x14ac:dyDescent="0.2">
      <c r="F63" s="67">
        <f t="shared" si="0"/>
        <v>0</v>
      </c>
      <c r="G63" s="67">
        <f t="shared" si="1"/>
        <v>0</v>
      </c>
      <c r="H63" s="67">
        <f t="shared" si="2"/>
        <v>0</v>
      </c>
      <c r="I63" s="68">
        <f t="shared" si="3"/>
        <v>0</v>
      </c>
      <c r="J63" s="68">
        <f t="shared" si="4"/>
        <v>0</v>
      </c>
      <c r="K63" s="69">
        <f t="shared" si="5"/>
        <v>0</v>
      </c>
      <c r="L63" s="69">
        <f t="shared" si="6"/>
        <v>0</v>
      </c>
      <c r="M63" s="69">
        <f t="shared" si="8"/>
        <v>0</v>
      </c>
      <c r="N63" s="67">
        <f t="shared" si="7"/>
        <v>0</v>
      </c>
    </row>
    <row r="64" spans="6:14" x14ac:dyDescent="0.2">
      <c r="F64" s="67">
        <f t="shared" si="0"/>
        <v>0</v>
      </c>
      <c r="G64" s="67">
        <f t="shared" si="1"/>
        <v>0</v>
      </c>
      <c r="H64" s="67">
        <f t="shared" si="2"/>
        <v>0</v>
      </c>
      <c r="I64" s="68">
        <f t="shared" si="3"/>
        <v>0</v>
      </c>
      <c r="J64" s="68">
        <f t="shared" si="4"/>
        <v>0</v>
      </c>
      <c r="K64" s="69">
        <f t="shared" si="5"/>
        <v>0</v>
      </c>
      <c r="L64" s="69">
        <f t="shared" si="6"/>
        <v>0</v>
      </c>
      <c r="M64" s="69">
        <f t="shared" si="8"/>
        <v>0</v>
      </c>
      <c r="N64" s="67">
        <f t="shared" si="7"/>
        <v>0</v>
      </c>
    </row>
    <row r="65" spans="6:14" x14ac:dyDescent="0.2">
      <c r="F65" s="67">
        <f t="shared" si="0"/>
        <v>0</v>
      </c>
      <c r="G65" s="67">
        <f t="shared" si="1"/>
        <v>0</v>
      </c>
      <c r="H65" s="67">
        <f t="shared" si="2"/>
        <v>0</v>
      </c>
      <c r="I65" s="68">
        <f t="shared" si="3"/>
        <v>0</v>
      </c>
      <c r="J65" s="68">
        <f t="shared" si="4"/>
        <v>0</v>
      </c>
      <c r="K65" s="69">
        <f t="shared" si="5"/>
        <v>0</v>
      </c>
      <c r="L65" s="69">
        <f t="shared" si="6"/>
        <v>0</v>
      </c>
      <c r="M65" s="69">
        <f t="shared" si="8"/>
        <v>0</v>
      </c>
      <c r="N65" s="67">
        <f t="shared" si="7"/>
        <v>0</v>
      </c>
    </row>
    <row r="66" spans="6:14" x14ac:dyDescent="0.2">
      <c r="F66" s="67">
        <f t="shared" si="0"/>
        <v>0</v>
      </c>
      <c r="G66" s="67">
        <f t="shared" si="1"/>
        <v>0</v>
      </c>
      <c r="H66" s="67">
        <f t="shared" si="2"/>
        <v>0</v>
      </c>
      <c r="I66" s="68">
        <f t="shared" si="3"/>
        <v>0</v>
      </c>
      <c r="J66" s="68">
        <f t="shared" si="4"/>
        <v>0</v>
      </c>
      <c r="K66" s="69">
        <f t="shared" si="5"/>
        <v>0</v>
      </c>
      <c r="L66" s="69">
        <f t="shared" si="6"/>
        <v>0</v>
      </c>
      <c r="M66" s="69">
        <f t="shared" si="8"/>
        <v>0</v>
      </c>
      <c r="N66" s="67">
        <f t="shared" si="7"/>
        <v>0</v>
      </c>
    </row>
    <row r="67" spans="6:14" x14ac:dyDescent="0.2">
      <c r="F67" s="67">
        <f t="shared" si="0"/>
        <v>0</v>
      </c>
      <c r="G67" s="67">
        <f t="shared" si="1"/>
        <v>0</v>
      </c>
      <c r="H67" s="67">
        <f t="shared" si="2"/>
        <v>0</v>
      </c>
      <c r="I67" s="68">
        <f t="shared" si="3"/>
        <v>0</v>
      </c>
      <c r="J67" s="68">
        <f t="shared" si="4"/>
        <v>0</v>
      </c>
      <c r="K67" s="69">
        <f t="shared" si="5"/>
        <v>0</v>
      </c>
      <c r="L67" s="69">
        <f t="shared" si="6"/>
        <v>0</v>
      </c>
      <c r="M67" s="69">
        <f t="shared" si="8"/>
        <v>0</v>
      </c>
      <c r="N67" s="67">
        <f t="shared" si="7"/>
        <v>0</v>
      </c>
    </row>
    <row r="68" spans="6:14" x14ac:dyDescent="0.2">
      <c r="F68" s="67">
        <f t="shared" si="0"/>
        <v>0</v>
      </c>
      <c r="G68" s="67">
        <f t="shared" si="1"/>
        <v>0</v>
      </c>
      <c r="H68" s="67">
        <f t="shared" si="2"/>
        <v>0</v>
      </c>
      <c r="I68" s="68">
        <f t="shared" si="3"/>
        <v>0</v>
      </c>
      <c r="J68" s="68">
        <f t="shared" si="4"/>
        <v>0</v>
      </c>
      <c r="K68" s="69">
        <f t="shared" si="5"/>
        <v>0</v>
      </c>
      <c r="L68" s="69">
        <f t="shared" si="6"/>
        <v>0</v>
      </c>
      <c r="M68" s="69">
        <f t="shared" si="8"/>
        <v>0</v>
      </c>
      <c r="N68" s="67">
        <f t="shared" si="7"/>
        <v>0</v>
      </c>
    </row>
    <row r="69" spans="6:14" x14ac:dyDescent="0.2">
      <c r="F69" s="67">
        <f t="shared" si="0"/>
        <v>0</v>
      </c>
      <c r="G69" s="67">
        <f t="shared" si="1"/>
        <v>0</v>
      </c>
      <c r="H69" s="67">
        <f t="shared" si="2"/>
        <v>0</v>
      </c>
      <c r="I69" s="68">
        <f t="shared" si="3"/>
        <v>0</v>
      </c>
      <c r="J69" s="68">
        <f t="shared" si="4"/>
        <v>0</v>
      </c>
      <c r="K69" s="69">
        <f t="shared" si="5"/>
        <v>0</v>
      </c>
      <c r="L69" s="69">
        <f t="shared" si="6"/>
        <v>0</v>
      </c>
      <c r="M69" s="69">
        <f t="shared" si="8"/>
        <v>0</v>
      </c>
      <c r="N69" s="67">
        <f t="shared" si="7"/>
        <v>0</v>
      </c>
    </row>
    <row r="70" spans="6:14" x14ac:dyDescent="0.2">
      <c r="F70" s="67">
        <f t="shared" si="0"/>
        <v>0</v>
      </c>
      <c r="G70" s="67">
        <f t="shared" si="1"/>
        <v>0</v>
      </c>
      <c r="H70" s="67">
        <f t="shared" si="2"/>
        <v>0</v>
      </c>
      <c r="I70" s="68">
        <f t="shared" si="3"/>
        <v>0</v>
      </c>
      <c r="J70" s="68">
        <f t="shared" si="4"/>
        <v>0</v>
      </c>
      <c r="K70" s="69">
        <f t="shared" si="5"/>
        <v>0</v>
      </c>
      <c r="L70" s="69">
        <f t="shared" si="6"/>
        <v>0</v>
      </c>
      <c r="M70" s="69">
        <f t="shared" si="8"/>
        <v>0</v>
      </c>
      <c r="N70" s="67">
        <f t="shared" si="7"/>
        <v>0</v>
      </c>
    </row>
    <row r="71" spans="6:14" x14ac:dyDescent="0.2">
      <c r="F71" s="67">
        <f t="shared" si="0"/>
        <v>0</v>
      </c>
      <c r="G71" s="67">
        <f t="shared" si="1"/>
        <v>0</v>
      </c>
      <c r="H71" s="67">
        <f t="shared" si="2"/>
        <v>0</v>
      </c>
      <c r="I71" s="68">
        <f t="shared" si="3"/>
        <v>0</v>
      </c>
      <c r="J71" s="68">
        <f t="shared" si="4"/>
        <v>0</v>
      </c>
      <c r="K71" s="69">
        <f t="shared" si="5"/>
        <v>0</v>
      </c>
      <c r="L71" s="69">
        <f t="shared" si="6"/>
        <v>0</v>
      </c>
      <c r="M71" s="69">
        <f t="shared" si="8"/>
        <v>0</v>
      </c>
      <c r="N71" s="67">
        <f t="shared" si="7"/>
        <v>0</v>
      </c>
    </row>
    <row r="72" spans="6:14" x14ac:dyDescent="0.2">
      <c r="F72" s="67">
        <f t="shared" si="0"/>
        <v>0</v>
      </c>
      <c r="G72" s="67">
        <f t="shared" si="1"/>
        <v>0</v>
      </c>
      <c r="H72" s="67">
        <f t="shared" si="2"/>
        <v>0</v>
      </c>
      <c r="I72" s="68">
        <f t="shared" si="3"/>
        <v>0</v>
      </c>
      <c r="J72" s="68">
        <f t="shared" si="4"/>
        <v>0</v>
      </c>
      <c r="K72" s="69">
        <f t="shared" si="5"/>
        <v>0</v>
      </c>
      <c r="L72" s="69">
        <f t="shared" si="6"/>
        <v>0</v>
      </c>
      <c r="M72" s="69">
        <f t="shared" si="8"/>
        <v>0</v>
      </c>
      <c r="N72" s="67">
        <f t="shared" si="7"/>
        <v>0</v>
      </c>
    </row>
    <row r="73" spans="6:14" x14ac:dyDescent="0.2">
      <c r="F73" s="67">
        <f t="shared" si="0"/>
        <v>0</v>
      </c>
      <c r="G73" s="67">
        <f t="shared" si="1"/>
        <v>0</v>
      </c>
      <c r="H73" s="67">
        <f t="shared" si="2"/>
        <v>0</v>
      </c>
      <c r="I73" s="68">
        <f t="shared" si="3"/>
        <v>0</v>
      </c>
      <c r="J73" s="68">
        <f t="shared" si="4"/>
        <v>0</v>
      </c>
      <c r="K73" s="69">
        <f t="shared" si="5"/>
        <v>0</v>
      </c>
      <c r="L73" s="69">
        <f t="shared" si="6"/>
        <v>0</v>
      </c>
      <c r="M73" s="69">
        <f t="shared" si="8"/>
        <v>0</v>
      </c>
      <c r="N73" s="67">
        <f t="shared" si="7"/>
        <v>0</v>
      </c>
    </row>
    <row r="74" spans="6:14" x14ac:dyDescent="0.2">
      <c r="F74" s="67">
        <f t="shared" si="0"/>
        <v>0</v>
      </c>
      <c r="G74" s="67">
        <f t="shared" si="1"/>
        <v>0</v>
      </c>
      <c r="H74" s="67">
        <f t="shared" si="2"/>
        <v>0</v>
      </c>
      <c r="I74" s="68">
        <f t="shared" si="3"/>
        <v>0</v>
      </c>
      <c r="J74" s="68">
        <f t="shared" si="4"/>
        <v>0</v>
      </c>
      <c r="K74" s="69">
        <f t="shared" si="5"/>
        <v>0</v>
      </c>
      <c r="L74" s="69">
        <f t="shared" si="6"/>
        <v>0</v>
      </c>
      <c r="M74" s="69">
        <f t="shared" si="8"/>
        <v>0</v>
      </c>
      <c r="N74" s="67">
        <f t="shared" si="7"/>
        <v>0</v>
      </c>
    </row>
    <row r="75" spans="6:14" x14ac:dyDescent="0.2">
      <c r="F75" s="67">
        <f t="shared" si="0"/>
        <v>0</v>
      </c>
      <c r="G75" s="67">
        <f t="shared" si="1"/>
        <v>0</v>
      </c>
      <c r="H75" s="67">
        <f t="shared" si="2"/>
        <v>0</v>
      </c>
      <c r="I75" s="68">
        <f t="shared" si="3"/>
        <v>0</v>
      </c>
      <c r="J75" s="68">
        <f>IF($C$14=0,0,IF(ROUND(C75,0)=0,0,SQRT(C75/$C$14)))</f>
        <v>0</v>
      </c>
      <c r="K75" s="69">
        <f t="shared" si="5"/>
        <v>0</v>
      </c>
      <c r="L75" s="69">
        <f t="shared" si="6"/>
        <v>0</v>
      </c>
      <c r="M75" s="69">
        <f t="shared" si="8"/>
        <v>0</v>
      </c>
      <c r="N75" s="67">
        <f t="shared" si="7"/>
        <v>0</v>
      </c>
    </row>
    <row r="76" spans="6:14" x14ac:dyDescent="0.2">
      <c r="F76" s="67">
        <f t="shared" si="0"/>
        <v>0</v>
      </c>
      <c r="G76" s="67">
        <f t="shared" si="1"/>
        <v>0</v>
      </c>
      <c r="H76" s="67">
        <f t="shared" si="2"/>
        <v>0</v>
      </c>
      <c r="I76" s="68">
        <f t="shared" si="3"/>
        <v>0</v>
      </c>
      <c r="J76" s="68">
        <f t="shared" ref="J76:J139" si="9">IF($C$14=0,0,IF(ROUND(C76,0)=0,0,SQRT(C76/$C$14)))</f>
        <v>0</v>
      </c>
      <c r="K76" s="69">
        <f t="shared" si="5"/>
        <v>0</v>
      </c>
      <c r="L76" s="69">
        <f t="shared" si="6"/>
        <v>0</v>
      </c>
      <c r="M76" s="69">
        <f t="shared" si="8"/>
        <v>0</v>
      </c>
      <c r="N76" s="67">
        <f t="shared" si="7"/>
        <v>0</v>
      </c>
    </row>
    <row r="77" spans="6:14" x14ac:dyDescent="0.2">
      <c r="F77" s="67">
        <f t="shared" si="0"/>
        <v>0</v>
      </c>
      <c r="G77" s="67">
        <f t="shared" si="1"/>
        <v>0</v>
      </c>
      <c r="H77" s="67">
        <f t="shared" si="2"/>
        <v>0</v>
      </c>
      <c r="I77" s="68">
        <f t="shared" si="3"/>
        <v>0</v>
      </c>
      <c r="J77" s="68">
        <f t="shared" si="9"/>
        <v>0</v>
      </c>
      <c r="K77" s="69">
        <f t="shared" si="5"/>
        <v>0</v>
      </c>
      <c r="L77" s="69">
        <f t="shared" si="6"/>
        <v>0</v>
      </c>
      <c r="M77" s="69">
        <f t="shared" si="8"/>
        <v>0</v>
      </c>
      <c r="N77" s="67">
        <f t="shared" si="7"/>
        <v>0</v>
      </c>
    </row>
    <row r="78" spans="6:14" x14ac:dyDescent="0.2">
      <c r="F78" s="67">
        <f t="shared" ref="F78:F141" si="10">ROUND(IF(ROUND(C78,0)=0,0,IF(D78&gt;0,251/D78,IF(ISERROR(VALUE(F77)),0,IF(C77=0,0,F77/C77*C78)))),0)</f>
        <v>0</v>
      </c>
      <c r="G78" s="67">
        <f t="shared" ref="G78:G141" si="11">IF(F78&gt;0,C78/F78/2,0)</f>
        <v>0</v>
      </c>
      <c r="H78" s="67">
        <f t="shared" ref="H78:H141" si="12">IF(G78=0,0,G78+C78/251*$B$6)</f>
        <v>0</v>
      </c>
      <c r="I78" s="68">
        <f t="shared" ref="I78:I141" si="13">IF(K78&gt;0,IF(ROUND(251/K78,0)&gt;100,100,ROUND(251/K78,0)),0)</f>
        <v>0</v>
      </c>
      <c r="J78" s="68">
        <f t="shared" si="9"/>
        <v>0</v>
      </c>
      <c r="K78" s="69">
        <f t="shared" ref="K78:K141" si="14">IF($J$11=0,0,$B$5/$J$11*J78)</f>
        <v>0</v>
      </c>
      <c r="L78" s="69">
        <f t="shared" ref="L78:L141" si="15">IF(K78=0,0,IF(B78/K78&lt;1000,1000,B78/K78))</f>
        <v>0</v>
      </c>
      <c r="M78" s="69">
        <f t="shared" si="8"/>
        <v>0</v>
      </c>
      <c r="N78" s="67">
        <f t="shared" ref="N78:N141" si="16">IF(M78=0,0,M78+C78/251*$B$7)</f>
        <v>0</v>
      </c>
    </row>
    <row r="79" spans="6:14" x14ac:dyDescent="0.2">
      <c r="F79" s="67">
        <f t="shared" si="10"/>
        <v>0</v>
      </c>
      <c r="G79" s="67">
        <f t="shared" si="11"/>
        <v>0</v>
      </c>
      <c r="H79" s="67">
        <f t="shared" si="12"/>
        <v>0</v>
      </c>
      <c r="I79" s="68">
        <f t="shared" si="13"/>
        <v>0</v>
      </c>
      <c r="J79" s="68">
        <f t="shared" si="9"/>
        <v>0</v>
      </c>
      <c r="K79" s="69">
        <f t="shared" si="14"/>
        <v>0</v>
      </c>
      <c r="L79" s="69">
        <f t="shared" si="15"/>
        <v>0</v>
      </c>
      <c r="M79" s="69">
        <f t="shared" ref="M79:M142" si="17">IF(K79&gt;0,C79/K79/2,0)</f>
        <v>0</v>
      </c>
      <c r="N79" s="67">
        <f t="shared" si="16"/>
        <v>0</v>
      </c>
    </row>
    <row r="80" spans="6:14" x14ac:dyDescent="0.2">
      <c r="F80" s="67">
        <f t="shared" si="10"/>
        <v>0</v>
      </c>
      <c r="G80" s="67">
        <f t="shared" si="11"/>
        <v>0</v>
      </c>
      <c r="H80" s="67">
        <f t="shared" si="12"/>
        <v>0</v>
      </c>
      <c r="I80" s="68">
        <f t="shared" si="13"/>
        <v>0</v>
      </c>
      <c r="J80" s="68">
        <f t="shared" si="9"/>
        <v>0</v>
      </c>
      <c r="K80" s="69">
        <f t="shared" si="14"/>
        <v>0</v>
      </c>
      <c r="L80" s="69">
        <f t="shared" si="15"/>
        <v>0</v>
      </c>
      <c r="M80" s="69">
        <f t="shared" si="17"/>
        <v>0</v>
      </c>
      <c r="N80" s="67">
        <f t="shared" si="16"/>
        <v>0</v>
      </c>
    </row>
    <row r="81" spans="6:14" x14ac:dyDescent="0.2">
      <c r="F81" s="67">
        <f t="shared" si="10"/>
        <v>0</v>
      </c>
      <c r="G81" s="67">
        <f t="shared" si="11"/>
        <v>0</v>
      </c>
      <c r="H81" s="67">
        <f t="shared" si="12"/>
        <v>0</v>
      </c>
      <c r="I81" s="68">
        <f t="shared" si="13"/>
        <v>0</v>
      </c>
      <c r="J81" s="68">
        <f t="shared" si="9"/>
        <v>0</v>
      </c>
      <c r="K81" s="69">
        <f t="shared" si="14"/>
        <v>0</v>
      </c>
      <c r="L81" s="69">
        <f t="shared" si="15"/>
        <v>0</v>
      </c>
      <c r="M81" s="69">
        <f t="shared" si="17"/>
        <v>0</v>
      </c>
      <c r="N81" s="67">
        <f t="shared" si="16"/>
        <v>0</v>
      </c>
    </row>
    <row r="82" spans="6:14" x14ac:dyDescent="0.2">
      <c r="F82" s="67">
        <f t="shared" si="10"/>
        <v>0</v>
      </c>
      <c r="G82" s="67">
        <f t="shared" si="11"/>
        <v>0</v>
      </c>
      <c r="H82" s="67">
        <f t="shared" si="12"/>
        <v>0</v>
      </c>
      <c r="I82" s="68">
        <f t="shared" si="13"/>
        <v>0</v>
      </c>
      <c r="J82" s="68">
        <f t="shared" si="9"/>
        <v>0</v>
      </c>
      <c r="K82" s="69">
        <f t="shared" si="14"/>
        <v>0</v>
      </c>
      <c r="L82" s="69">
        <f t="shared" si="15"/>
        <v>0</v>
      </c>
      <c r="M82" s="69">
        <f t="shared" si="17"/>
        <v>0</v>
      </c>
      <c r="N82" s="67">
        <f t="shared" si="16"/>
        <v>0</v>
      </c>
    </row>
    <row r="83" spans="6:14" x14ac:dyDescent="0.2">
      <c r="F83" s="67">
        <f t="shared" si="10"/>
        <v>0</v>
      </c>
      <c r="G83" s="67">
        <f t="shared" si="11"/>
        <v>0</v>
      </c>
      <c r="H83" s="67">
        <f t="shared" si="12"/>
        <v>0</v>
      </c>
      <c r="I83" s="68">
        <f t="shared" si="13"/>
        <v>0</v>
      </c>
      <c r="J83" s="68">
        <f t="shared" si="9"/>
        <v>0</v>
      </c>
      <c r="K83" s="69">
        <f t="shared" si="14"/>
        <v>0</v>
      </c>
      <c r="L83" s="69">
        <f t="shared" si="15"/>
        <v>0</v>
      </c>
      <c r="M83" s="69">
        <f t="shared" si="17"/>
        <v>0</v>
      </c>
      <c r="N83" s="67">
        <f t="shared" si="16"/>
        <v>0</v>
      </c>
    </row>
    <row r="84" spans="6:14" x14ac:dyDescent="0.2">
      <c r="F84" s="67">
        <f t="shared" si="10"/>
        <v>0</v>
      </c>
      <c r="G84" s="67">
        <f t="shared" si="11"/>
        <v>0</v>
      </c>
      <c r="H84" s="67">
        <f t="shared" si="12"/>
        <v>0</v>
      </c>
      <c r="I84" s="68">
        <f t="shared" si="13"/>
        <v>0</v>
      </c>
      <c r="J84" s="68">
        <f t="shared" si="9"/>
        <v>0</v>
      </c>
      <c r="K84" s="69">
        <f t="shared" si="14"/>
        <v>0</v>
      </c>
      <c r="L84" s="69">
        <f t="shared" si="15"/>
        <v>0</v>
      </c>
      <c r="M84" s="69">
        <f t="shared" si="17"/>
        <v>0</v>
      </c>
      <c r="N84" s="67">
        <f t="shared" si="16"/>
        <v>0</v>
      </c>
    </row>
    <row r="85" spans="6:14" x14ac:dyDescent="0.2">
      <c r="F85" s="67">
        <f t="shared" si="10"/>
        <v>0</v>
      </c>
      <c r="G85" s="67">
        <f t="shared" si="11"/>
        <v>0</v>
      </c>
      <c r="H85" s="67">
        <f t="shared" si="12"/>
        <v>0</v>
      </c>
      <c r="I85" s="68">
        <f t="shared" si="13"/>
        <v>0</v>
      </c>
      <c r="J85" s="68">
        <f t="shared" si="9"/>
        <v>0</v>
      </c>
      <c r="K85" s="69">
        <f t="shared" si="14"/>
        <v>0</v>
      </c>
      <c r="L85" s="69">
        <f t="shared" si="15"/>
        <v>0</v>
      </c>
      <c r="M85" s="69">
        <f t="shared" si="17"/>
        <v>0</v>
      </c>
      <c r="N85" s="67">
        <f t="shared" si="16"/>
        <v>0</v>
      </c>
    </row>
    <row r="86" spans="6:14" x14ac:dyDescent="0.2">
      <c r="F86" s="67">
        <f t="shared" si="10"/>
        <v>0</v>
      </c>
      <c r="G86" s="67">
        <f t="shared" si="11"/>
        <v>0</v>
      </c>
      <c r="H86" s="67">
        <f t="shared" si="12"/>
        <v>0</v>
      </c>
      <c r="I86" s="68">
        <f t="shared" si="13"/>
        <v>0</v>
      </c>
      <c r="J86" s="68">
        <f t="shared" si="9"/>
        <v>0</v>
      </c>
      <c r="K86" s="69">
        <f t="shared" si="14"/>
        <v>0</v>
      </c>
      <c r="L86" s="69">
        <f t="shared" si="15"/>
        <v>0</v>
      </c>
      <c r="M86" s="69">
        <f t="shared" si="17"/>
        <v>0</v>
      </c>
      <c r="N86" s="67">
        <f t="shared" si="16"/>
        <v>0</v>
      </c>
    </row>
    <row r="87" spans="6:14" x14ac:dyDescent="0.2">
      <c r="F87" s="67">
        <f t="shared" si="10"/>
        <v>0</v>
      </c>
      <c r="G87" s="67">
        <f t="shared" si="11"/>
        <v>0</v>
      </c>
      <c r="H87" s="67">
        <f t="shared" si="12"/>
        <v>0</v>
      </c>
      <c r="I87" s="68">
        <f t="shared" si="13"/>
        <v>0</v>
      </c>
      <c r="J87" s="68">
        <f t="shared" si="9"/>
        <v>0</v>
      </c>
      <c r="K87" s="69">
        <f t="shared" si="14"/>
        <v>0</v>
      </c>
      <c r="L87" s="69">
        <f t="shared" si="15"/>
        <v>0</v>
      </c>
      <c r="M87" s="69">
        <f t="shared" si="17"/>
        <v>0</v>
      </c>
      <c r="N87" s="67">
        <f t="shared" si="16"/>
        <v>0</v>
      </c>
    </row>
    <row r="88" spans="6:14" x14ac:dyDescent="0.2">
      <c r="F88" s="67">
        <f t="shared" si="10"/>
        <v>0</v>
      </c>
      <c r="G88" s="67">
        <f t="shared" si="11"/>
        <v>0</v>
      </c>
      <c r="H88" s="67">
        <f t="shared" si="12"/>
        <v>0</v>
      </c>
      <c r="I88" s="68">
        <f t="shared" si="13"/>
        <v>0</v>
      </c>
      <c r="J88" s="68">
        <f t="shared" si="9"/>
        <v>0</v>
      </c>
      <c r="K88" s="69">
        <f t="shared" si="14"/>
        <v>0</v>
      </c>
      <c r="L88" s="69">
        <f t="shared" si="15"/>
        <v>0</v>
      </c>
      <c r="M88" s="69">
        <f t="shared" si="17"/>
        <v>0</v>
      </c>
      <c r="N88" s="67">
        <f t="shared" si="16"/>
        <v>0</v>
      </c>
    </row>
    <row r="89" spans="6:14" x14ac:dyDescent="0.2">
      <c r="F89" s="67">
        <f t="shared" si="10"/>
        <v>0</v>
      </c>
      <c r="G89" s="67">
        <f t="shared" si="11"/>
        <v>0</v>
      </c>
      <c r="H89" s="67">
        <f t="shared" si="12"/>
        <v>0</v>
      </c>
      <c r="I89" s="68">
        <f t="shared" si="13"/>
        <v>0</v>
      </c>
      <c r="J89" s="68">
        <f t="shared" si="9"/>
        <v>0</v>
      </c>
      <c r="K89" s="69">
        <f t="shared" si="14"/>
        <v>0</v>
      </c>
      <c r="L89" s="69">
        <f t="shared" si="15"/>
        <v>0</v>
      </c>
      <c r="M89" s="69">
        <f t="shared" si="17"/>
        <v>0</v>
      </c>
      <c r="N89" s="67">
        <f t="shared" si="16"/>
        <v>0</v>
      </c>
    </row>
    <row r="90" spans="6:14" x14ac:dyDescent="0.2">
      <c r="F90" s="67">
        <f t="shared" si="10"/>
        <v>0</v>
      </c>
      <c r="G90" s="67">
        <f t="shared" si="11"/>
        <v>0</v>
      </c>
      <c r="H90" s="67">
        <f t="shared" si="12"/>
        <v>0</v>
      </c>
      <c r="I90" s="68">
        <f t="shared" si="13"/>
        <v>0</v>
      </c>
      <c r="J90" s="68">
        <f t="shared" si="9"/>
        <v>0</v>
      </c>
      <c r="K90" s="69">
        <f t="shared" si="14"/>
        <v>0</v>
      </c>
      <c r="L90" s="69">
        <f t="shared" si="15"/>
        <v>0</v>
      </c>
      <c r="M90" s="69">
        <f t="shared" si="17"/>
        <v>0</v>
      </c>
      <c r="N90" s="67">
        <f t="shared" si="16"/>
        <v>0</v>
      </c>
    </row>
    <row r="91" spans="6:14" x14ac:dyDescent="0.2">
      <c r="F91" s="67">
        <f t="shared" si="10"/>
        <v>0</v>
      </c>
      <c r="G91" s="67">
        <f t="shared" si="11"/>
        <v>0</v>
      </c>
      <c r="H91" s="67">
        <f t="shared" si="12"/>
        <v>0</v>
      </c>
      <c r="I91" s="68">
        <f t="shared" si="13"/>
        <v>0</v>
      </c>
      <c r="J91" s="68">
        <f t="shared" si="9"/>
        <v>0</v>
      </c>
      <c r="K91" s="69">
        <f t="shared" si="14"/>
        <v>0</v>
      </c>
      <c r="L91" s="69">
        <f t="shared" si="15"/>
        <v>0</v>
      </c>
      <c r="M91" s="69">
        <f t="shared" si="17"/>
        <v>0</v>
      </c>
      <c r="N91" s="67">
        <f t="shared" si="16"/>
        <v>0</v>
      </c>
    </row>
    <row r="92" spans="6:14" x14ac:dyDescent="0.2">
      <c r="F92" s="67">
        <f t="shared" si="10"/>
        <v>0</v>
      </c>
      <c r="G92" s="67">
        <f t="shared" si="11"/>
        <v>0</v>
      </c>
      <c r="H92" s="67">
        <f t="shared" si="12"/>
        <v>0</v>
      </c>
      <c r="I92" s="68">
        <f t="shared" si="13"/>
        <v>0</v>
      </c>
      <c r="J92" s="68">
        <f t="shared" si="9"/>
        <v>0</v>
      </c>
      <c r="K92" s="69">
        <f t="shared" si="14"/>
        <v>0</v>
      </c>
      <c r="L92" s="69">
        <f t="shared" si="15"/>
        <v>0</v>
      </c>
      <c r="M92" s="69">
        <f t="shared" si="17"/>
        <v>0</v>
      </c>
      <c r="N92" s="67">
        <f t="shared" si="16"/>
        <v>0</v>
      </c>
    </row>
    <row r="93" spans="6:14" x14ac:dyDescent="0.2">
      <c r="F93" s="67">
        <f t="shared" si="10"/>
        <v>0</v>
      </c>
      <c r="G93" s="67">
        <f t="shared" si="11"/>
        <v>0</v>
      </c>
      <c r="H93" s="67">
        <f t="shared" si="12"/>
        <v>0</v>
      </c>
      <c r="I93" s="68">
        <f t="shared" si="13"/>
        <v>0</v>
      </c>
      <c r="J93" s="68">
        <f t="shared" si="9"/>
        <v>0</v>
      </c>
      <c r="K93" s="69">
        <f t="shared" si="14"/>
        <v>0</v>
      </c>
      <c r="L93" s="69">
        <f t="shared" si="15"/>
        <v>0</v>
      </c>
      <c r="M93" s="69">
        <f t="shared" si="17"/>
        <v>0</v>
      </c>
      <c r="N93" s="67">
        <f t="shared" si="16"/>
        <v>0</v>
      </c>
    </row>
    <row r="94" spans="6:14" x14ac:dyDescent="0.2">
      <c r="F94" s="67">
        <f t="shared" si="10"/>
        <v>0</v>
      </c>
      <c r="G94" s="67">
        <f t="shared" si="11"/>
        <v>0</v>
      </c>
      <c r="H94" s="67">
        <f t="shared" si="12"/>
        <v>0</v>
      </c>
      <c r="I94" s="68">
        <f t="shared" si="13"/>
        <v>0</v>
      </c>
      <c r="J94" s="68">
        <f t="shared" si="9"/>
        <v>0</v>
      </c>
      <c r="K94" s="69">
        <f t="shared" si="14"/>
        <v>0</v>
      </c>
      <c r="L94" s="69">
        <f t="shared" si="15"/>
        <v>0</v>
      </c>
      <c r="M94" s="69">
        <f t="shared" si="17"/>
        <v>0</v>
      </c>
      <c r="N94" s="67">
        <f t="shared" si="16"/>
        <v>0</v>
      </c>
    </row>
    <row r="95" spans="6:14" x14ac:dyDescent="0.2">
      <c r="F95" s="67">
        <f t="shared" si="10"/>
        <v>0</v>
      </c>
      <c r="G95" s="67">
        <f t="shared" si="11"/>
        <v>0</v>
      </c>
      <c r="H95" s="67">
        <f t="shared" si="12"/>
        <v>0</v>
      </c>
      <c r="I95" s="68">
        <f t="shared" si="13"/>
        <v>0</v>
      </c>
      <c r="J95" s="68">
        <f t="shared" si="9"/>
        <v>0</v>
      </c>
      <c r="K95" s="69">
        <f t="shared" si="14"/>
        <v>0</v>
      </c>
      <c r="L95" s="69">
        <f t="shared" si="15"/>
        <v>0</v>
      </c>
      <c r="M95" s="69">
        <f t="shared" si="17"/>
        <v>0</v>
      </c>
      <c r="N95" s="67">
        <f t="shared" si="16"/>
        <v>0</v>
      </c>
    </row>
    <row r="96" spans="6:14" x14ac:dyDescent="0.2">
      <c r="F96" s="67">
        <f t="shared" si="10"/>
        <v>0</v>
      </c>
      <c r="G96" s="67">
        <f t="shared" si="11"/>
        <v>0</v>
      </c>
      <c r="H96" s="67">
        <f t="shared" si="12"/>
        <v>0</v>
      </c>
      <c r="I96" s="68">
        <f t="shared" si="13"/>
        <v>0</v>
      </c>
      <c r="J96" s="68">
        <f t="shared" si="9"/>
        <v>0</v>
      </c>
      <c r="K96" s="69">
        <f t="shared" si="14"/>
        <v>0</v>
      </c>
      <c r="L96" s="69">
        <f t="shared" si="15"/>
        <v>0</v>
      </c>
      <c r="M96" s="69">
        <f t="shared" si="17"/>
        <v>0</v>
      </c>
      <c r="N96" s="67">
        <f t="shared" si="16"/>
        <v>0</v>
      </c>
    </row>
    <row r="97" spans="6:14" x14ac:dyDescent="0.2">
      <c r="F97" s="67">
        <f t="shared" si="10"/>
        <v>0</v>
      </c>
      <c r="G97" s="67">
        <f t="shared" si="11"/>
        <v>0</v>
      </c>
      <c r="H97" s="67">
        <f t="shared" si="12"/>
        <v>0</v>
      </c>
      <c r="I97" s="68">
        <f t="shared" si="13"/>
        <v>0</v>
      </c>
      <c r="J97" s="68">
        <f t="shared" si="9"/>
        <v>0</v>
      </c>
      <c r="K97" s="69">
        <f t="shared" si="14"/>
        <v>0</v>
      </c>
      <c r="L97" s="69">
        <f t="shared" si="15"/>
        <v>0</v>
      </c>
      <c r="M97" s="69">
        <f t="shared" si="17"/>
        <v>0</v>
      </c>
      <c r="N97" s="67">
        <f t="shared" si="16"/>
        <v>0</v>
      </c>
    </row>
    <row r="98" spans="6:14" x14ac:dyDescent="0.2">
      <c r="F98" s="67">
        <f t="shared" si="10"/>
        <v>0</v>
      </c>
      <c r="G98" s="67">
        <f t="shared" si="11"/>
        <v>0</v>
      </c>
      <c r="H98" s="67">
        <f t="shared" si="12"/>
        <v>0</v>
      </c>
      <c r="I98" s="68">
        <f t="shared" si="13"/>
        <v>0</v>
      </c>
      <c r="J98" s="68">
        <f t="shared" si="9"/>
        <v>0</v>
      </c>
      <c r="K98" s="69">
        <f t="shared" si="14"/>
        <v>0</v>
      </c>
      <c r="L98" s="69">
        <f t="shared" si="15"/>
        <v>0</v>
      </c>
      <c r="M98" s="69">
        <f t="shared" si="17"/>
        <v>0</v>
      </c>
      <c r="N98" s="67">
        <f t="shared" si="16"/>
        <v>0</v>
      </c>
    </row>
    <row r="99" spans="6:14" x14ac:dyDescent="0.2">
      <c r="F99" s="67">
        <f t="shared" si="10"/>
        <v>0</v>
      </c>
      <c r="G99" s="67">
        <f t="shared" si="11"/>
        <v>0</v>
      </c>
      <c r="H99" s="67">
        <f t="shared" si="12"/>
        <v>0</v>
      </c>
      <c r="I99" s="68">
        <f t="shared" si="13"/>
        <v>0</v>
      </c>
      <c r="J99" s="68">
        <f t="shared" si="9"/>
        <v>0</v>
      </c>
      <c r="K99" s="69">
        <f t="shared" si="14"/>
        <v>0</v>
      </c>
      <c r="L99" s="69">
        <f t="shared" si="15"/>
        <v>0</v>
      </c>
      <c r="M99" s="69">
        <f t="shared" si="17"/>
        <v>0</v>
      </c>
      <c r="N99" s="67">
        <f t="shared" si="16"/>
        <v>0</v>
      </c>
    </row>
    <row r="100" spans="6:14" x14ac:dyDescent="0.2">
      <c r="F100" s="67">
        <f t="shared" si="10"/>
        <v>0</v>
      </c>
      <c r="G100" s="67">
        <f t="shared" si="11"/>
        <v>0</v>
      </c>
      <c r="H100" s="67">
        <f t="shared" si="12"/>
        <v>0</v>
      </c>
      <c r="I100" s="68">
        <f t="shared" si="13"/>
        <v>0</v>
      </c>
      <c r="J100" s="68">
        <f t="shared" si="9"/>
        <v>0</v>
      </c>
      <c r="K100" s="69">
        <f t="shared" si="14"/>
        <v>0</v>
      </c>
      <c r="L100" s="69">
        <f t="shared" si="15"/>
        <v>0</v>
      </c>
      <c r="M100" s="69">
        <f t="shared" si="17"/>
        <v>0</v>
      </c>
      <c r="N100" s="67">
        <f t="shared" si="16"/>
        <v>0</v>
      </c>
    </row>
    <row r="101" spans="6:14" x14ac:dyDescent="0.2">
      <c r="F101" s="67">
        <f t="shared" si="10"/>
        <v>0</v>
      </c>
      <c r="G101" s="67">
        <f t="shared" si="11"/>
        <v>0</v>
      </c>
      <c r="H101" s="67">
        <f t="shared" si="12"/>
        <v>0</v>
      </c>
      <c r="I101" s="68">
        <f t="shared" si="13"/>
        <v>0</v>
      </c>
      <c r="J101" s="68">
        <f t="shared" si="9"/>
        <v>0</v>
      </c>
      <c r="K101" s="69">
        <f t="shared" si="14"/>
        <v>0</v>
      </c>
      <c r="L101" s="69">
        <f t="shared" si="15"/>
        <v>0</v>
      </c>
      <c r="M101" s="69">
        <f t="shared" si="17"/>
        <v>0</v>
      </c>
      <c r="N101" s="67">
        <f t="shared" si="16"/>
        <v>0</v>
      </c>
    </row>
    <row r="102" spans="6:14" x14ac:dyDescent="0.2">
      <c r="F102" s="67">
        <f t="shared" si="10"/>
        <v>0</v>
      </c>
      <c r="G102" s="67">
        <f t="shared" si="11"/>
        <v>0</v>
      </c>
      <c r="H102" s="67">
        <f t="shared" si="12"/>
        <v>0</v>
      </c>
      <c r="I102" s="68">
        <f t="shared" si="13"/>
        <v>0</v>
      </c>
      <c r="J102" s="68">
        <f t="shared" si="9"/>
        <v>0</v>
      </c>
      <c r="K102" s="69">
        <f t="shared" si="14"/>
        <v>0</v>
      </c>
      <c r="L102" s="69">
        <f t="shared" si="15"/>
        <v>0</v>
      </c>
      <c r="M102" s="69">
        <f t="shared" si="17"/>
        <v>0</v>
      </c>
      <c r="N102" s="67">
        <f t="shared" si="16"/>
        <v>0</v>
      </c>
    </row>
    <row r="103" spans="6:14" x14ac:dyDescent="0.2">
      <c r="F103" s="67">
        <f t="shared" si="10"/>
        <v>0</v>
      </c>
      <c r="G103" s="67">
        <f t="shared" si="11"/>
        <v>0</v>
      </c>
      <c r="H103" s="67">
        <f t="shared" si="12"/>
        <v>0</v>
      </c>
      <c r="I103" s="68">
        <f t="shared" si="13"/>
        <v>0</v>
      </c>
      <c r="J103" s="68">
        <f t="shared" si="9"/>
        <v>0</v>
      </c>
      <c r="K103" s="69">
        <f t="shared" si="14"/>
        <v>0</v>
      </c>
      <c r="L103" s="69">
        <f t="shared" si="15"/>
        <v>0</v>
      </c>
      <c r="M103" s="69">
        <f t="shared" si="17"/>
        <v>0</v>
      </c>
      <c r="N103" s="67">
        <f t="shared" si="16"/>
        <v>0</v>
      </c>
    </row>
    <row r="104" spans="6:14" x14ac:dyDescent="0.2">
      <c r="F104" s="67">
        <f t="shared" si="10"/>
        <v>0</v>
      </c>
      <c r="G104" s="67">
        <f t="shared" si="11"/>
        <v>0</v>
      </c>
      <c r="H104" s="67">
        <f t="shared" si="12"/>
        <v>0</v>
      </c>
      <c r="I104" s="68">
        <f t="shared" si="13"/>
        <v>0</v>
      </c>
      <c r="J104" s="68">
        <f t="shared" si="9"/>
        <v>0</v>
      </c>
      <c r="K104" s="69">
        <f t="shared" si="14"/>
        <v>0</v>
      </c>
      <c r="L104" s="69">
        <f t="shared" si="15"/>
        <v>0</v>
      </c>
      <c r="M104" s="69">
        <f t="shared" si="17"/>
        <v>0</v>
      </c>
      <c r="N104" s="67">
        <f t="shared" si="16"/>
        <v>0</v>
      </c>
    </row>
    <row r="105" spans="6:14" x14ac:dyDescent="0.2">
      <c r="F105" s="67">
        <f t="shared" si="10"/>
        <v>0</v>
      </c>
      <c r="G105" s="67">
        <f t="shared" si="11"/>
        <v>0</v>
      </c>
      <c r="H105" s="67">
        <f t="shared" si="12"/>
        <v>0</v>
      </c>
      <c r="I105" s="68">
        <f t="shared" si="13"/>
        <v>0</v>
      </c>
      <c r="J105" s="68">
        <f t="shared" si="9"/>
        <v>0</v>
      </c>
      <c r="K105" s="69">
        <f t="shared" si="14"/>
        <v>0</v>
      </c>
      <c r="L105" s="69">
        <f t="shared" si="15"/>
        <v>0</v>
      </c>
      <c r="M105" s="69">
        <f t="shared" si="17"/>
        <v>0</v>
      </c>
      <c r="N105" s="67">
        <f t="shared" si="16"/>
        <v>0</v>
      </c>
    </row>
    <row r="106" spans="6:14" x14ac:dyDescent="0.2">
      <c r="F106" s="67">
        <f t="shared" si="10"/>
        <v>0</v>
      </c>
      <c r="G106" s="67">
        <f t="shared" si="11"/>
        <v>0</v>
      </c>
      <c r="H106" s="67">
        <f t="shared" si="12"/>
        <v>0</v>
      </c>
      <c r="I106" s="68">
        <f t="shared" si="13"/>
        <v>0</v>
      </c>
      <c r="J106" s="68">
        <f t="shared" si="9"/>
        <v>0</v>
      </c>
      <c r="K106" s="69">
        <f t="shared" si="14"/>
        <v>0</v>
      </c>
      <c r="L106" s="69">
        <f t="shared" si="15"/>
        <v>0</v>
      </c>
      <c r="M106" s="69">
        <f t="shared" si="17"/>
        <v>0</v>
      </c>
      <c r="N106" s="67">
        <f t="shared" si="16"/>
        <v>0</v>
      </c>
    </row>
    <row r="107" spans="6:14" x14ac:dyDescent="0.2">
      <c r="F107" s="67">
        <f t="shared" si="10"/>
        <v>0</v>
      </c>
      <c r="G107" s="67">
        <f t="shared" si="11"/>
        <v>0</v>
      </c>
      <c r="H107" s="67">
        <f t="shared" si="12"/>
        <v>0</v>
      </c>
      <c r="I107" s="68">
        <f t="shared" si="13"/>
        <v>0</v>
      </c>
      <c r="J107" s="68">
        <f t="shared" si="9"/>
        <v>0</v>
      </c>
      <c r="K107" s="69">
        <f t="shared" si="14"/>
        <v>0</v>
      </c>
      <c r="L107" s="69">
        <f t="shared" si="15"/>
        <v>0</v>
      </c>
      <c r="M107" s="69">
        <f t="shared" si="17"/>
        <v>0</v>
      </c>
      <c r="N107" s="67">
        <f t="shared" si="16"/>
        <v>0</v>
      </c>
    </row>
    <row r="108" spans="6:14" x14ac:dyDescent="0.2">
      <c r="F108" s="67">
        <f t="shared" si="10"/>
        <v>0</v>
      </c>
      <c r="G108" s="67">
        <f t="shared" si="11"/>
        <v>0</v>
      </c>
      <c r="H108" s="67">
        <f t="shared" si="12"/>
        <v>0</v>
      </c>
      <c r="I108" s="68">
        <f t="shared" si="13"/>
        <v>0</v>
      </c>
      <c r="J108" s="68">
        <f t="shared" si="9"/>
        <v>0</v>
      </c>
      <c r="K108" s="69">
        <f t="shared" si="14"/>
        <v>0</v>
      </c>
      <c r="L108" s="69">
        <f t="shared" si="15"/>
        <v>0</v>
      </c>
      <c r="M108" s="69">
        <f t="shared" si="17"/>
        <v>0</v>
      </c>
      <c r="N108" s="67">
        <f t="shared" si="16"/>
        <v>0</v>
      </c>
    </row>
    <row r="109" spans="6:14" x14ac:dyDescent="0.2">
      <c r="F109" s="67">
        <f t="shared" si="10"/>
        <v>0</v>
      </c>
      <c r="G109" s="67">
        <f t="shared" si="11"/>
        <v>0</v>
      </c>
      <c r="H109" s="67">
        <f t="shared" si="12"/>
        <v>0</v>
      </c>
      <c r="I109" s="68">
        <f t="shared" si="13"/>
        <v>0</v>
      </c>
      <c r="J109" s="68">
        <f t="shared" si="9"/>
        <v>0</v>
      </c>
      <c r="K109" s="69">
        <f t="shared" si="14"/>
        <v>0</v>
      </c>
      <c r="L109" s="69">
        <f t="shared" si="15"/>
        <v>0</v>
      </c>
      <c r="M109" s="69">
        <f t="shared" si="17"/>
        <v>0</v>
      </c>
      <c r="N109" s="67">
        <f t="shared" si="16"/>
        <v>0</v>
      </c>
    </row>
    <row r="110" spans="6:14" x14ac:dyDescent="0.2">
      <c r="F110" s="67">
        <f t="shared" si="10"/>
        <v>0</v>
      </c>
      <c r="G110" s="67">
        <f t="shared" si="11"/>
        <v>0</v>
      </c>
      <c r="H110" s="67">
        <f t="shared" si="12"/>
        <v>0</v>
      </c>
      <c r="I110" s="68">
        <f t="shared" si="13"/>
        <v>0</v>
      </c>
      <c r="J110" s="68">
        <f t="shared" si="9"/>
        <v>0</v>
      </c>
      <c r="K110" s="69">
        <f t="shared" si="14"/>
        <v>0</v>
      </c>
      <c r="L110" s="69">
        <f t="shared" si="15"/>
        <v>0</v>
      </c>
      <c r="M110" s="69">
        <f t="shared" si="17"/>
        <v>0</v>
      </c>
      <c r="N110" s="67">
        <f t="shared" si="16"/>
        <v>0</v>
      </c>
    </row>
    <row r="111" spans="6:14" x14ac:dyDescent="0.2">
      <c r="F111" s="67">
        <f t="shared" si="10"/>
        <v>0</v>
      </c>
      <c r="G111" s="67">
        <f t="shared" si="11"/>
        <v>0</v>
      </c>
      <c r="H111" s="67">
        <f t="shared" si="12"/>
        <v>0</v>
      </c>
      <c r="I111" s="68">
        <f t="shared" si="13"/>
        <v>0</v>
      </c>
      <c r="J111" s="68">
        <f t="shared" si="9"/>
        <v>0</v>
      </c>
      <c r="K111" s="69">
        <f t="shared" si="14"/>
        <v>0</v>
      </c>
      <c r="L111" s="69">
        <f t="shared" si="15"/>
        <v>0</v>
      </c>
      <c r="M111" s="69">
        <f t="shared" si="17"/>
        <v>0</v>
      </c>
      <c r="N111" s="67">
        <f t="shared" si="16"/>
        <v>0</v>
      </c>
    </row>
    <row r="112" spans="6:14" x14ac:dyDescent="0.2">
      <c r="F112" s="67">
        <f t="shared" si="10"/>
        <v>0</v>
      </c>
      <c r="G112" s="67">
        <f t="shared" si="11"/>
        <v>0</v>
      </c>
      <c r="H112" s="67">
        <f t="shared" si="12"/>
        <v>0</v>
      </c>
      <c r="I112" s="68">
        <f t="shared" si="13"/>
        <v>0</v>
      </c>
      <c r="J112" s="68">
        <f t="shared" si="9"/>
        <v>0</v>
      </c>
      <c r="K112" s="69">
        <f t="shared" si="14"/>
        <v>0</v>
      </c>
      <c r="L112" s="69">
        <f t="shared" si="15"/>
        <v>0</v>
      </c>
      <c r="M112" s="69">
        <f t="shared" si="17"/>
        <v>0</v>
      </c>
      <c r="N112" s="67">
        <f t="shared" si="16"/>
        <v>0</v>
      </c>
    </row>
    <row r="113" spans="6:14" x14ac:dyDescent="0.2">
      <c r="F113" s="67">
        <f t="shared" si="10"/>
        <v>0</v>
      </c>
      <c r="G113" s="67">
        <f t="shared" si="11"/>
        <v>0</v>
      </c>
      <c r="H113" s="67">
        <f t="shared" si="12"/>
        <v>0</v>
      </c>
      <c r="I113" s="68">
        <f t="shared" si="13"/>
        <v>0</v>
      </c>
      <c r="J113" s="68">
        <f t="shared" si="9"/>
        <v>0</v>
      </c>
      <c r="K113" s="69">
        <f t="shared" si="14"/>
        <v>0</v>
      </c>
      <c r="L113" s="69">
        <f t="shared" si="15"/>
        <v>0</v>
      </c>
      <c r="M113" s="69">
        <f t="shared" si="17"/>
        <v>0</v>
      </c>
      <c r="N113" s="67">
        <f t="shared" si="16"/>
        <v>0</v>
      </c>
    </row>
    <row r="114" spans="6:14" x14ac:dyDescent="0.2">
      <c r="F114" s="67">
        <f t="shared" si="10"/>
        <v>0</v>
      </c>
      <c r="G114" s="67">
        <f t="shared" si="11"/>
        <v>0</v>
      </c>
      <c r="H114" s="67">
        <f t="shared" si="12"/>
        <v>0</v>
      </c>
      <c r="I114" s="68">
        <f t="shared" si="13"/>
        <v>0</v>
      </c>
      <c r="J114" s="68">
        <f t="shared" si="9"/>
        <v>0</v>
      </c>
      <c r="K114" s="69">
        <f t="shared" si="14"/>
        <v>0</v>
      </c>
      <c r="L114" s="69">
        <f t="shared" si="15"/>
        <v>0</v>
      </c>
      <c r="M114" s="69">
        <f t="shared" si="17"/>
        <v>0</v>
      </c>
      <c r="N114" s="67">
        <f t="shared" si="16"/>
        <v>0</v>
      </c>
    </row>
    <row r="115" spans="6:14" x14ac:dyDescent="0.2">
      <c r="F115" s="67">
        <f t="shared" si="10"/>
        <v>0</v>
      </c>
      <c r="G115" s="67">
        <f t="shared" si="11"/>
        <v>0</v>
      </c>
      <c r="H115" s="67">
        <f t="shared" si="12"/>
        <v>0</v>
      </c>
      <c r="I115" s="68">
        <f t="shared" si="13"/>
        <v>0</v>
      </c>
      <c r="J115" s="68">
        <f t="shared" si="9"/>
        <v>0</v>
      </c>
      <c r="K115" s="69">
        <f t="shared" si="14"/>
        <v>0</v>
      </c>
      <c r="L115" s="69">
        <f t="shared" si="15"/>
        <v>0</v>
      </c>
      <c r="M115" s="69">
        <f t="shared" si="17"/>
        <v>0</v>
      </c>
      <c r="N115" s="67">
        <f t="shared" si="16"/>
        <v>0</v>
      </c>
    </row>
    <row r="116" spans="6:14" x14ac:dyDescent="0.2">
      <c r="F116" s="67">
        <f t="shared" si="10"/>
        <v>0</v>
      </c>
      <c r="G116" s="67">
        <f t="shared" si="11"/>
        <v>0</v>
      </c>
      <c r="H116" s="67">
        <f t="shared" si="12"/>
        <v>0</v>
      </c>
      <c r="I116" s="68">
        <f t="shared" si="13"/>
        <v>0</v>
      </c>
      <c r="J116" s="68">
        <f t="shared" si="9"/>
        <v>0</v>
      </c>
      <c r="K116" s="69">
        <f t="shared" si="14"/>
        <v>0</v>
      </c>
      <c r="L116" s="69">
        <f t="shared" si="15"/>
        <v>0</v>
      </c>
      <c r="M116" s="69">
        <f t="shared" si="17"/>
        <v>0</v>
      </c>
      <c r="N116" s="67">
        <f t="shared" si="16"/>
        <v>0</v>
      </c>
    </row>
    <row r="117" spans="6:14" x14ac:dyDescent="0.2">
      <c r="F117" s="67">
        <f t="shared" si="10"/>
        <v>0</v>
      </c>
      <c r="G117" s="67">
        <f t="shared" si="11"/>
        <v>0</v>
      </c>
      <c r="H117" s="67">
        <f t="shared" si="12"/>
        <v>0</v>
      </c>
      <c r="I117" s="68">
        <f t="shared" si="13"/>
        <v>0</v>
      </c>
      <c r="J117" s="68">
        <f t="shared" si="9"/>
        <v>0</v>
      </c>
      <c r="K117" s="69">
        <f t="shared" si="14"/>
        <v>0</v>
      </c>
      <c r="L117" s="69">
        <f t="shared" si="15"/>
        <v>0</v>
      </c>
      <c r="M117" s="69">
        <f t="shared" si="17"/>
        <v>0</v>
      </c>
      <c r="N117" s="67">
        <f t="shared" si="16"/>
        <v>0</v>
      </c>
    </row>
    <row r="118" spans="6:14" x14ac:dyDescent="0.2">
      <c r="F118" s="67">
        <f t="shared" si="10"/>
        <v>0</v>
      </c>
      <c r="G118" s="67">
        <f t="shared" si="11"/>
        <v>0</v>
      </c>
      <c r="H118" s="67">
        <f t="shared" si="12"/>
        <v>0</v>
      </c>
      <c r="I118" s="68">
        <f t="shared" si="13"/>
        <v>0</v>
      </c>
      <c r="J118" s="68">
        <f t="shared" si="9"/>
        <v>0</v>
      </c>
      <c r="K118" s="69">
        <f t="shared" si="14"/>
        <v>0</v>
      </c>
      <c r="L118" s="69">
        <f t="shared" si="15"/>
        <v>0</v>
      </c>
      <c r="M118" s="69">
        <f t="shared" si="17"/>
        <v>0</v>
      </c>
      <c r="N118" s="67">
        <f t="shared" si="16"/>
        <v>0</v>
      </c>
    </row>
    <row r="119" spans="6:14" x14ac:dyDescent="0.2">
      <c r="F119" s="67">
        <f t="shared" si="10"/>
        <v>0</v>
      </c>
      <c r="G119" s="67">
        <f t="shared" si="11"/>
        <v>0</v>
      </c>
      <c r="H119" s="67">
        <f t="shared" si="12"/>
        <v>0</v>
      </c>
      <c r="I119" s="68">
        <f t="shared" si="13"/>
        <v>0</v>
      </c>
      <c r="J119" s="68">
        <f t="shared" si="9"/>
        <v>0</v>
      </c>
      <c r="K119" s="69">
        <f t="shared" si="14"/>
        <v>0</v>
      </c>
      <c r="L119" s="69">
        <f t="shared" si="15"/>
        <v>0</v>
      </c>
      <c r="M119" s="69">
        <f t="shared" si="17"/>
        <v>0</v>
      </c>
      <c r="N119" s="67">
        <f t="shared" si="16"/>
        <v>0</v>
      </c>
    </row>
    <row r="120" spans="6:14" x14ac:dyDescent="0.2">
      <c r="F120" s="67">
        <f t="shared" si="10"/>
        <v>0</v>
      </c>
      <c r="G120" s="67">
        <f t="shared" si="11"/>
        <v>0</v>
      </c>
      <c r="H120" s="67">
        <f t="shared" si="12"/>
        <v>0</v>
      </c>
      <c r="I120" s="68">
        <f t="shared" si="13"/>
        <v>0</v>
      </c>
      <c r="J120" s="68">
        <f t="shared" si="9"/>
        <v>0</v>
      </c>
      <c r="K120" s="69">
        <f t="shared" si="14"/>
        <v>0</v>
      </c>
      <c r="L120" s="69">
        <f t="shared" si="15"/>
        <v>0</v>
      </c>
      <c r="M120" s="69">
        <f t="shared" si="17"/>
        <v>0</v>
      </c>
      <c r="N120" s="67">
        <f t="shared" si="16"/>
        <v>0</v>
      </c>
    </row>
    <row r="121" spans="6:14" x14ac:dyDescent="0.2">
      <c r="F121" s="67">
        <f t="shared" si="10"/>
        <v>0</v>
      </c>
      <c r="G121" s="67">
        <f t="shared" si="11"/>
        <v>0</v>
      </c>
      <c r="H121" s="67">
        <f t="shared" si="12"/>
        <v>0</v>
      </c>
      <c r="I121" s="68">
        <f t="shared" si="13"/>
        <v>0</v>
      </c>
      <c r="J121" s="68">
        <f t="shared" si="9"/>
        <v>0</v>
      </c>
      <c r="K121" s="69">
        <f t="shared" si="14"/>
        <v>0</v>
      </c>
      <c r="L121" s="69">
        <f t="shared" si="15"/>
        <v>0</v>
      </c>
      <c r="M121" s="69">
        <f t="shared" si="17"/>
        <v>0</v>
      </c>
      <c r="N121" s="67">
        <f t="shared" si="16"/>
        <v>0</v>
      </c>
    </row>
    <row r="122" spans="6:14" x14ac:dyDescent="0.2">
      <c r="F122" s="67">
        <f t="shared" si="10"/>
        <v>0</v>
      </c>
      <c r="G122" s="67">
        <f t="shared" si="11"/>
        <v>0</v>
      </c>
      <c r="H122" s="67">
        <f t="shared" si="12"/>
        <v>0</v>
      </c>
      <c r="I122" s="68">
        <f t="shared" si="13"/>
        <v>0</v>
      </c>
      <c r="J122" s="68">
        <f t="shared" si="9"/>
        <v>0</v>
      </c>
      <c r="K122" s="69">
        <f t="shared" si="14"/>
        <v>0</v>
      </c>
      <c r="L122" s="69">
        <f t="shared" si="15"/>
        <v>0</v>
      </c>
      <c r="M122" s="69">
        <f t="shared" si="17"/>
        <v>0</v>
      </c>
      <c r="N122" s="67">
        <f t="shared" si="16"/>
        <v>0</v>
      </c>
    </row>
    <row r="123" spans="6:14" x14ac:dyDescent="0.2">
      <c r="F123" s="67">
        <f t="shared" si="10"/>
        <v>0</v>
      </c>
      <c r="G123" s="67">
        <f t="shared" si="11"/>
        <v>0</v>
      </c>
      <c r="H123" s="67">
        <f t="shared" si="12"/>
        <v>0</v>
      </c>
      <c r="I123" s="68">
        <f t="shared" si="13"/>
        <v>0</v>
      </c>
      <c r="J123" s="68">
        <f t="shared" si="9"/>
        <v>0</v>
      </c>
      <c r="K123" s="69">
        <f t="shared" si="14"/>
        <v>0</v>
      </c>
      <c r="L123" s="69">
        <f t="shared" si="15"/>
        <v>0</v>
      </c>
      <c r="M123" s="69">
        <f t="shared" si="17"/>
        <v>0</v>
      </c>
      <c r="N123" s="67">
        <f t="shared" si="16"/>
        <v>0</v>
      </c>
    </row>
    <row r="124" spans="6:14" x14ac:dyDescent="0.2">
      <c r="F124" s="67">
        <f t="shared" si="10"/>
        <v>0</v>
      </c>
      <c r="G124" s="67">
        <f t="shared" si="11"/>
        <v>0</v>
      </c>
      <c r="H124" s="67">
        <f t="shared" si="12"/>
        <v>0</v>
      </c>
      <c r="I124" s="68">
        <f t="shared" si="13"/>
        <v>0</v>
      </c>
      <c r="J124" s="68">
        <f t="shared" si="9"/>
        <v>0</v>
      </c>
      <c r="K124" s="69">
        <f t="shared" si="14"/>
        <v>0</v>
      </c>
      <c r="L124" s="69">
        <f t="shared" si="15"/>
        <v>0</v>
      </c>
      <c r="M124" s="69">
        <f t="shared" si="17"/>
        <v>0</v>
      </c>
      <c r="N124" s="67">
        <f t="shared" si="16"/>
        <v>0</v>
      </c>
    </row>
    <row r="125" spans="6:14" x14ac:dyDescent="0.2">
      <c r="F125" s="67">
        <f t="shared" si="10"/>
        <v>0</v>
      </c>
      <c r="G125" s="67">
        <f t="shared" si="11"/>
        <v>0</v>
      </c>
      <c r="H125" s="67">
        <f t="shared" si="12"/>
        <v>0</v>
      </c>
      <c r="I125" s="68">
        <f t="shared" si="13"/>
        <v>0</v>
      </c>
      <c r="J125" s="68">
        <f t="shared" si="9"/>
        <v>0</v>
      </c>
      <c r="K125" s="69">
        <f t="shared" si="14"/>
        <v>0</v>
      </c>
      <c r="L125" s="69">
        <f t="shared" si="15"/>
        <v>0</v>
      </c>
      <c r="M125" s="69">
        <f t="shared" si="17"/>
        <v>0</v>
      </c>
      <c r="N125" s="67">
        <f t="shared" si="16"/>
        <v>0</v>
      </c>
    </row>
    <row r="126" spans="6:14" x14ac:dyDescent="0.2">
      <c r="F126" s="67">
        <f t="shared" si="10"/>
        <v>0</v>
      </c>
      <c r="G126" s="67">
        <f t="shared" si="11"/>
        <v>0</v>
      </c>
      <c r="H126" s="67">
        <f t="shared" si="12"/>
        <v>0</v>
      </c>
      <c r="I126" s="68">
        <f t="shared" si="13"/>
        <v>0</v>
      </c>
      <c r="J126" s="68">
        <f t="shared" si="9"/>
        <v>0</v>
      </c>
      <c r="K126" s="69">
        <f t="shared" si="14"/>
        <v>0</v>
      </c>
      <c r="L126" s="69">
        <f t="shared" si="15"/>
        <v>0</v>
      </c>
      <c r="M126" s="69">
        <f t="shared" si="17"/>
        <v>0</v>
      </c>
      <c r="N126" s="67">
        <f t="shared" si="16"/>
        <v>0</v>
      </c>
    </row>
    <row r="127" spans="6:14" x14ac:dyDescent="0.2">
      <c r="F127" s="67">
        <f t="shared" si="10"/>
        <v>0</v>
      </c>
      <c r="G127" s="67">
        <f t="shared" si="11"/>
        <v>0</v>
      </c>
      <c r="H127" s="67">
        <f t="shared" si="12"/>
        <v>0</v>
      </c>
      <c r="I127" s="68">
        <f t="shared" si="13"/>
        <v>0</v>
      </c>
      <c r="J127" s="68">
        <f t="shared" si="9"/>
        <v>0</v>
      </c>
      <c r="K127" s="69">
        <f t="shared" si="14"/>
        <v>0</v>
      </c>
      <c r="L127" s="69">
        <f t="shared" si="15"/>
        <v>0</v>
      </c>
      <c r="M127" s="69">
        <f t="shared" si="17"/>
        <v>0</v>
      </c>
      <c r="N127" s="67">
        <f t="shared" si="16"/>
        <v>0</v>
      </c>
    </row>
    <row r="128" spans="6:14" x14ac:dyDescent="0.2">
      <c r="F128" s="67">
        <f t="shared" si="10"/>
        <v>0</v>
      </c>
      <c r="G128" s="67">
        <f t="shared" si="11"/>
        <v>0</v>
      </c>
      <c r="H128" s="67">
        <f t="shared" si="12"/>
        <v>0</v>
      </c>
      <c r="I128" s="68">
        <f t="shared" si="13"/>
        <v>0</v>
      </c>
      <c r="J128" s="68">
        <f t="shared" si="9"/>
        <v>0</v>
      </c>
      <c r="K128" s="69">
        <f t="shared" si="14"/>
        <v>0</v>
      </c>
      <c r="L128" s="69">
        <f t="shared" si="15"/>
        <v>0</v>
      </c>
      <c r="M128" s="69">
        <f t="shared" si="17"/>
        <v>0</v>
      </c>
      <c r="N128" s="67">
        <f t="shared" si="16"/>
        <v>0</v>
      </c>
    </row>
    <row r="129" spans="6:14" x14ac:dyDescent="0.2">
      <c r="F129" s="67">
        <f t="shared" si="10"/>
        <v>0</v>
      </c>
      <c r="G129" s="67">
        <f t="shared" si="11"/>
        <v>0</v>
      </c>
      <c r="H129" s="67">
        <f t="shared" si="12"/>
        <v>0</v>
      </c>
      <c r="I129" s="68">
        <f t="shared" si="13"/>
        <v>0</v>
      </c>
      <c r="J129" s="68">
        <f t="shared" si="9"/>
        <v>0</v>
      </c>
      <c r="K129" s="69">
        <f t="shared" si="14"/>
        <v>0</v>
      </c>
      <c r="L129" s="69">
        <f t="shared" si="15"/>
        <v>0</v>
      </c>
      <c r="M129" s="69">
        <f t="shared" si="17"/>
        <v>0</v>
      </c>
      <c r="N129" s="67">
        <f t="shared" si="16"/>
        <v>0</v>
      </c>
    </row>
    <row r="130" spans="6:14" x14ac:dyDescent="0.2">
      <c r="F130" s="67">
        <f t="shared" si="10"/>
        <v>0</v>
      </c>
      <c r="G130" s="67">
        <f t="shared" si="11"/>
        <v>0</v>
      </c>
      <c r="H130" s="67">
        <f t="shared" si="12"/>
        <v>0</v>
      </c>
      <c r="I130" s="68">
        <f t="shared" si="13"/>
        <v>0</v>
      </c>
      <c r="J130" s="68">
        <f t="shared" si="9"/>
        <v>0</v>
      </c>
      <c r="K130" s="69">
        <f t="shared" si="14"/>
        <v>0</v>
      </c>
      <c r="L130" s="69">
        <f t="shared" si="15"/>
        <v>0</v>
      </c>
      <c r="M130" s="69">
        <f t="shared" si="17"/>
        <v>0</v>
      </c>
      <c r="N130" s="67">
        <f t="shared" si="16"/>
        <v>0</v>
      </c>
    </row>
    <row r="131" spans="6:14" x14ac:dyDescent="0.2">
      <c r="F131" s="67">
        <f t="shared" si="10"/>
        <v>0</v>
      </c>
      <c r="G131" s="67">
        <f t="shared" si="11"/>
        <v>0</v>
      </c>
      <c r="H131" s="67">
        <f t="shared" si="12"/>
        <v>0</v>
      </c>
      <c r="I131" s="68">
        <f t="shared" si="13"/>
        <v>0</v>
      </c>
      <c r="J131" s="68">
        <f t="shared" si="9"/>
        <v>0</v>
      </c>
      <c r="K131" s="69">
        <f t="shared" si="14"/>
        <v>0</v>
      </c>
      <c r="L131" s="69">
        <f t="shared" si="15"/>
        <v>0</v>
      </c>
      <c r="M131" s="69">
        <f t="shared" si="17"/>
        <v>0</v>
      </c>
      <c r="N131" s="67">
        <f t="shared" si="16"/>
        <v>0</v>
      </c>
    </row>
    <row r="132" spans="6:14" x14ac:dyDescent="0.2">
      <c r="F132" s="67">
        <f t="shared" si="10"/>
        <v>0</v>
      </c>
      <c r="G132" s="67">
        <f t="shared" si="11"/>
        <v>0</v>
      </c>
      <c r="H132" s="67">
        <f t="shared" si="12"/>
        <v>0</v>
      </c>
      <c r="I132" s="68">
        <f t="shared" si="13"/>
        <v>0</v>
      </c>
      <c r="J132" s="68">
        <f t="shared" si="9"/>
        <v>0</v>
      </c>
      <c r="K132" s="69">
        <f t="shared" si="14"/>
        <v>0</v>
      </c>
      <c r="L132" s="69">
        <f t="shared" si="15"/>
        <v>0</v>
      </c>
      <c r="M132" s="69">
        <f t="shared" si="17"/>
        <v>0</v>
      </c>
      <c r="N132" s="67">
        <f t="shared" si="16"/>
        <v>0</v>
      </c>
    </row>
    <row r="133" spans="6:14" x14ac:dyDescent="0.2">
      <c r="F133" s="67">
        <f t="shared" si="10"/>
        <v>0</v>
      </c>
      <c r="G133" s="67">
        <f t="shared" si="11"/>
        <v>0</v>
      </c>
      <c r="H133" s="67">
        <f t="shared" si="12"/>
        <v>0</v>
      </c>
      <c r="I133" s="68">
        <f t="shared" si="13"/>
        <v>0</v>
      </c>
      <c r="J133" s="68">
        <f t="shared" si="9"/>
        <v>0</v>
      </c>
      <c r="K133" s="69">
        <f t="shared" si="14"/>
        <v>0</v>
      </c>
      <c r="L133" s="69">
        <f t="shared" si="15"/>
        <v>0</v>
      </c>
      <c r="M133" s="69">
        <f t="shared" si="17"/>
        <v>0</v>
      </c>
      <c r="N133" s="67">
        <f t="shared" si="16"/>
        <v>0</v>
      </c>
    </row>
    <row r="134" spans="6:14" x14ac:dyDescent="0.2">
      <c r="F134" s="67">
        <f t="shared" si="10"/>
        <v>0</v>
      </c>
      <c r="G134" s="67">
        <f t="shared" si="11"/>
        <v>0</v>
      </c>
      <c r="H134" s="67">
        <f t="shared" si="12"/>
        <v>0</v>
      </c>
      <c r="I134" s="68">
        <f t="shared" si="13"/>
        <v>0</v>
      </c>
      <c r="J134" s="68">
        <f t="shared" si="9"/>
        <v>0</v>
      </c>
      <c r="K134" s="69">
        <f t="shared" si="14"/>
        <v>0</v>
      </c>
      <c r="L134" s="69">
        <f t="shared" si="15"/>
        <v>0</v>
      </c>
      <c r="M134" s="69">
        <f t="shared" si="17"/>
        <v>0</v>
      </c>
      <c r="N134" s="67">
        <f t="shared" si="16"/>
        <v>0</v>
      </c>
    </row>
    <row r="135" spans="6:14" x14ac:dyDescent="0.2">
      <c r="F135" s="67">
        <f t="shared" si="10"/>
        <v>0</v>
      </c>
      <c r="G135" s="67">
        <f t="shared" si="11"/>
        <v>0</v>
      </c>
      <c r="H135" s="67">
        <f t="shared" si="12"/>
        <v>0</v>
      </c>
      <c r="I135" s="68">
        <f t="shared" si="13"/>
        <v>0</v>
      </c>
      <c r="J135" s="68">
        <f t="shared" si="9"/>
        <v>0</v>
      </c>
      <c r="K135" s="69">
        <f t="shared" si="14"/>
        <v>0</v>
      </c>
      <c r="L135" s="69">
        <f t="shared" si="15"/>
        <v>0</v>
      </c>
      <c r="M135" s="69">
        <f t="shared" si="17"/>
        <v>0</v>
      </c>
      <c r="N135" s="67">
        <f t="shared" si="16"/>
        <v>0</v>
      </c>
    </row>
    <row r="136" spans="6:14" x14ac:dyDescent="0.2">
      <c r="F136" s="67">
        <f t="shared" si="10"/>
        <v>0</v>
      </c>
      <c r="G136" s="67">
        <f t="shared" si="11"/>
        <v>0</v>
      </c>
      <c r="H136" s="67">
        <f t="shared" si="12"/>
        <v>0</v>
      </c>
      <c r="I136" s="68">
        <f t="shared" si="13"/>
        <v>0</v>
      </c>
      <c r="J136" s="68">
        <f t="shared" si="9"/>
        <v>0</v>
      </c>
      <c r="K136" s="69">
        <f t="shared" si="14"/>
        <v>0</v>
      </c>
      <c r="L136" s="69">
        <f t="shared" si="15"/>
        <v>0</v>
      </c>
      <c r="M136" s="69">
        <f t="shared" si="17"/>
        <v>0</v>
      </c>
      <c r="N136" s="67">
        <f t="shared" si="16"/>
        <v>0</v>
      </c>
    </row>
    <row r="137" spans="6:14" x14ac:dyDescent="0.2">
      <c r="F137" s="67">
        <f t="shared" si="10"/>
        <v>0</v>
      </c>
      <c r="G137" s="67">
        <f t="shared" si="11"/>
        <v>0</v>
      </c>
      <c r="H137" s="67">
        <f t="shared" si="12"/>
        <v>0</v>
      </c>
      <c r="I137" s="68">
        <f t="shared" si="13"/>
        <v>0</v>
      </c>
      <c r="J137" s="68">
        <f t="shared" si="9"/>
        <v>0</v>
      </c>
      <c r="K137" s="69">
        <f t="shared" si="14"/>
        <v>0</v>
      </c>
      <c r="L137" s="69">
        <f t="shared" si="15"/>
        <v>0</v>
      </c>
      <c r="M137" s="69">
        <f t="shared" si="17"/>
        <v>0</v>
      </c>
      <c r="N137" s="67">
        <f t="shared" si="16"/>
        <v>0</v>
      </c>
    </row>
    <row r="138" spans="6:14" x14ac:dyDescent="0.2">
      <c r="F138" s="67">
        <f t="shared" si="10"/>
        <v>0</v>
      </c>
      <c r="G138" s="67">
        <f t="shared" si="11"/>
        <v>0</v>
      </c>
      <c r="H138" s="67">
        <f t="shared" si="12"/>
        <v>0</v>
      </c>
      <c r="I138" s="68">
        <f t="shared" si="13"/>
        <v>0</v>
      </c>
      <c r="J138" s="68">
        <f t="shared" si="9"/>
        <v>0</v>
      </c>
      <c r="K138" s="69">
        <f t="shared" si="14"/>
        <v>0</v>
      </c>
      <c r="L138" s="69">
        <f t="shared" si="15"/>
        <v>0</v>
      </c>
      <c r="M138" s="69">
        <f t="shared" si="17"/>
        <v>0</v>
      </c>
      <c r="N138" s="67">
        <f t="shared" si="16"/>
        <v>0</v>
      </c>
    </row>
    <row r="139" spans="6:14" x14ac:dyDescent="0.2">
      <c r="F139" s="67">
        <f t="shared" si="10"/>
        <v>0</v>
      </c>
      <c r="G139" s="67">
        <f t="shared" si="11"/>
        <v>0</v>
      </c>
      <c r="H139" s="67">
        <f t="shared" si="12"/>
        <v>0</v>
      </c>
      <c r="I139" s="68">
        <f t="shared" si="13"/>
        <v>0</v>
      </c>
      <c r="J139" s="68">
        <f t="shared" si="9"/>
        <v>0</v>
      </c>
      <c r="K139" s="69">
        <f t="shared" si="14"/>
        <v>0</v>
      </c>
      <c r="L139" s="69">
        <f t="shared" si="15"/>
        <v>0</v>
      </c>
      <c r="M139" s="69">
        <f t="shared" si="17"/>
        <v>0</v>
      </c>
      <c r="N139" s="67">
        <f t="shared" si="16"/>
        <v>0</v>
      </c>
    </row>
    <row r="140" spans="6:14" x14ac:dyDescent="0.2">
      <c r="F140" s="67">
        <f t="shared" si="10"/>
        <v>0</v>
      </c>
      <c r="G140" s="67">
        <f t="shared" si="11"/>
        <v>0</v>
      </c>
      <c r="H140" s="67">
        <f t="shared" si="12"/>
        <v>0</v>
      </c>
      <c r="I140" s="68">
        <f t="shared" si="13"/>
        <v>0</v>
      </c>
      <c r="J140" s="68">
        <f t="shared" ref="J140:J203" si="18">IF($C$14=0,0,IF(ROUND(C140,0)=0,0,SQRT(C140/$C$14)))</f>
        <v>0</v>
      </c>
      <c r="K140" s="69">
        <f t="shared" si="14"/>
        <v>0</v>
      </c>
      <c r="L140" s="69">
        <f t="shared" si="15"/>
        <v>0</v>
      </c>
      <c r="M140" s="69">
        <f t="shared" si="17"/>
        <v>0</v>
      </c>
      <c r="N140" s="67">
        <f t="shared" si="16"/>
        <v>0</v>
      </c>
    </row>
    <row r="141" spans="6:14" x14ac:dyDescent="0.2">
      <c r="F141" s="67">
        <f t="shared" si="10"/>
        <v>0</v>
      </c>
      <c r="G141" s="67">
        <f t="shared" si="11"/>
        <v>0</v>
      </c>
      <c r="H141" s="67">
        <f t="shared" si="12"/>
        <v>0</v>
      </c>
      <c r="I141" s="68">
        <f t="shared" si="13"/>
        <v>0</v>
      </c>
      <c r="J141" s="68">
        <f t="shared" si="18"/>
        <v>0</v>
      </c>
      <c r="K141" s="69">
        <f t="shared" si="14"/>
        <v>0</v>
      </c>
      <c r="L141" s="69">
        <f t="shared" si="15"/>
        <v>0</v>
      </c>
      <c r="M141" s="69">
        <f t="shared" si="17"/>
        <v>0</v>
      </c>
      <c r="N141" s="67">
        <f t="shared" si="16"/>
        <v>0</v>
      </c>
    </row>
    <row r="142" spans="6:14" x14ac:dyDescent="0.2">
      <c r="F142" s="67">
        <f t="shared" ref="F142:F205" si="19">ROUND(IF(ROUND(C142,0)=0,0,IF(D142&gt;0,251/D142,IF(ISERROR(VALUE(F141)),0,IF(C141=0,0,F141/C141*C142)))),0)</f>
        <v>0</v>
      </c>
      <c r="G142" s="67">
        <f t="shared" ref="G142:G205" si="20">IF(F142&gt;0,C142/F142/2,0)</f>
        <v>0</v>
      </c>
      <c r="H142" s="67">
        <f t="shared" ref="H142:H205" si="21">IF(G142=0,0,G142+C142/251*$B$6)</f>
        <v>0</v>
      </c>
      <c r="I142" s="68">
        <f t="shared" ref="I142:I205" si="22">IF(K142&gt;0,IF(ROUND(251/K142,0)&gt;100,100,ROUND(251/K142,0)),0)</f>
        <v>0</v>
      </c>
      <c r="J142" s="68">
        <f t="shared" si="18"/>
        <v>0</v>
      </c>
      <c r="K142" s="69">
        <f t="shared" ref="K142:K205" si="23">IF($J$11=0,0,$B$5/$J$11*J142)</f>
        <v>0</v>
      </c>
      <c r="L142" s="69">
        <f t="shared" ref="L142:L205" si="24">IF(K142=0,0,IF(B142/K142&lt;1000,1000,B142/K142))</f>
        <v>0</v>
      </c>
      <c r="M142" s="69">
        <f t="shared" si="17"/>
        <v>0</v>
      </c>
      <c r="N142" s="67">
        <f t="shared" ref="N142:N205" si="25">IF(M142=0,0,M142+C142/251*$B$7)</f>
        <v>0</v>
      </c>
    </row>
    <row r="143" spans="6:14" x14ac:dyDescent="0.2">
      <c r="F143" s="67">
        <f t="shared" si="19"/>
        <v>0</v>
      </c>
      <c r="G143" s="67">
        <f t="shared" si="20"/>
        <v>0</v>
      </c>
      <c r="H143" s="67">
        <f t="shared" si="21"/>
        <v>0</v>
      </c>
      <c r="I143" s="68">
        <f t="shared" si="22"/>
        <v>0</v>
      </c>
      <c r="J143" s="68">
        <f t="shared" si="18"/>
        <v>0</v>
      </c>
      <c r="K143" s="69">
        <f t="shared" si="23"/>
        <v>0</v>
      </c>
      <c r="L143" s="69">
        <f t="shared" si="24"/>
        <v>0</v>
      </c>
      <c r="M143" s="69">
        <f t="shared" ref="M143:M206" si="26">IF(K143&gt;0,C143/K143/2,0)</f>
        <v>0</v>
      </c>
      <c r="N143" s="67">
        <f t="shared" si="25"/>
        <v>0</v>
      </c>
    </row>
    <row r="144" spans="6:14" x14ac:dyDescent="0.2">
      <c r="F144" s="67">
        <f t="shared" si="19"/>
        <v>0</v>
      </c>
      <c r="G144" s="67">
        <f t="shared" si="20"/>
        <v>0</v>
      </c>
      <c r="H144" s="67">
        <f t="shared" si="21"/>
        <v>0</v>
      </c>
      <c r="I144" s="68">
        <f t="shared" si="22"/>
        <v>0</v>
      </c>
      <c r="J144" s="68">
        <f t="shared" si="18"/>
        <v>0</v>
      </c>
      <c r="K144" s="69">
        <f t="shared" si="23"/>
        <v>0</v>
      </c>
      <c r="L144" s="69">
        <f t="shared" si="24"/>
        <v>0</v>
      </c>
      <c r="M144" s="69">
        <f t="shared" si="26"/>
        <v>0</v>
      </c>
      <c r="N144" s="67">
        <f t="shared" si="25"/>
        <v>0</v>
      </c>
    </row>
    <row r="145" spans="6:14" x14ac:dyDescent="0.2">
      <c r="F145" s="67">
        <f t="shared" si="19"/>
        <v>0</v>
      </c>
      <c r="G145" s="67">
        <f t="shared" si="20"/>
        <v>0</v>
      </c>
      <c r="H145" s="67">
        <f t="shared" si="21"/>
        <v>0</v>
      </c>
      <c r="I145" s="68">
        <f t="shared" si="22"/>
        <v>0</v>
      </c>
      <c r="J145" s="68">
        <f t="shared" si="18"/>
        <v>0</v>
      </c>
      <c r="K145" s="69">
        <f t="shared" si="23"/>
        <v>0</v>
      </c>
      <c r="L145" s="69">
        <f t="shared" si="24"/>
        <v>0</v>
      </c>
      <c r="M145" s="69">
        <f t="shared" si="26"/>
        <v>0</v>
      </c>
      <c r="N145" s="67">
        <f t="shared" si="25"/>
        <v>0</v>
      </c>
    </row>
    <row r="146" spans="6:14" x14ac:dyDescent="0.2">
      <c r="F146" s="67">
        <f t="shared" si="19"/>
        <v>0</v>
      </c>
      <c r="G146" s="67">
        <f t="shared" si="20"/>
        <v>0</v>
      </c>
      <c r="H146" s="67">
        <f t="shared" si="21"/>
        <v>0</v>
      </c>
      <c r="I146" s="68">
        <f t="shared" si="22"/>
        <v>0</v>
      </c>
      <c r="J146" s="68">
        <f t="shared" si="18"/>
        <v>0</v>
      </c>
      <c r="K146" s="69">
        <f t="shared" si="23"/>
        <v>0</v>
      </c>
      <c r="L146" s="69">
        <f t="shared" si="24"/>
        <v>0</v>
      </c>
      <c r="M146" s="69">
        <f t="shared" si="26"/>
        <v>0</v>
      </c>
      <c r="N146" s="67">
        <f t="shared" si="25"/>
        <v>0</v>
      </c>
    </row>
    <row r="147" spans="6:14" x14ac:dyDescent="0.2">
      <c r="F147" s="67">
        <f t="shared" si="19"/>
        <v>0</v>
      </c>
      <c r="G147" s="67">
        <f t="shared" si="20"/>
        <v>0</v>
      </c>
      <c r="H147" s="67">
        <f t="shared" si="21"/>
        <v>0</v>
      </c>
      <c r="I147" s="68">
        <f t="shared" si="22"/>
        <v>0</v>
      </c>
      <c r="J147" s="68">
        <f t="shared" si="18"/>
        <v>0</v>
      </c>
      <c r="K147" s="69">
        <f t="shared" si="23"/>
        <v>0</v>
      </c>
      <c r="L147" s="69">
        <f t="shared" si="24"/>
        <v>0</v>
      </c>
      <c r="M147" s="69">
        <f t="shared" si="26"/>
        <v>0</v>
      </c>
      <c r="N147" s="67">
        <f t="shared" si="25"/>
        <v>0</v>
      </c>
    </row>
    <row r="148" spans="6:14" x14ac:dyDescent="0.2">
      <c r="F148" s="67">
        <f t="shared" si="19"/>
        <v>0</v>
      </c>
      <c r="G148" s="67">
        <f t="shared" si="20"/>
        <v>0</v>
      </c>
      <c r="H148" s="67">
        <f t="shared" si="21"/>
        <v>0</v>
      </c>
      <c r="I148" s="68">
        <f t="shared" si="22"/>
        <v>0</v>
      </c>
      <c r="J148" s="68">
        <f t="shared" si="18"/>
        <v>0</v>
      </c>
      <c r="K148" s="69">
        <f t="shared" si="23"/>
        <v>0</v>
      </c>
      <c r="L148" s="69">
        <f t="shared" si="24"/>
        <v>0</v>
      </c>
      <c r="M148" s="69">
        <f t="shared" si="26"/>
        <v>0</v>
      </c>
      <c r="N148" s="67">
        <f t="shared" si="25"/>
        <v>0</v>
      </c>
    </row>
    <row r="149" spans="6:14" x14ac:dyDescent="0.2">
      <c r="F149" s="67">
        <f t="shared" si="19"/>
        <v>0</v>
      </c>
      <c r="G149" s="67">
        <f t="shared" si="20"/>
        <v>0</v>
      </c>
      <c r="H149" s="67">
        <f t="shared" si="21"/>
        <v>0</v>
      </c>
      <c r="I149" s="68">
        <f t="shared" si="22"/>
        <v>0</v>
      </c>
      <c r="J149" s="68">
        <f t="shared" si="18"/>
        <v>0</v>
      </c>
      <c r="K149" s="69">
        <f t="shared" si="23"/>
        <v>0</v>
      </c>
      <c r="L149" s="69">
        <f t="shared" si="24"/>
        <v>0</v>
      </c>
      <c r="M149" s="69">
        <f t="shared" si="26"/>
        <v>0</v>
      </c>
      <c r="N149" s="67">
        <f t="shared" si="25"/>
        <v>0</v>
      </c>
    </row>
    <row r="150" spans="6:14" x14ac:dyDescent="0.2">
      <c r="F150" s="67">
        <f t="shared" si="19"/>
        <v>0</v>
      </c>
      <c r="G150" s="67">
        <f t="shared" si="20"/>
        <v>0</v>
      </c>
      <c r="H150" s="67">
        <f t="shared" si="21"/>
        <v>0</v>
      </c>
      <c r="I150" s="68">
        <f t="shared" si="22"/>
        <v>0</v>
      </c>
      <c r="J150" s="68">
        <f t="shared" si="18"/>
        <v>0</v>
      </c>
      <c r="K150" s="69">
        <f t="shared" si="23"/>
        <v>0</v>
      </c>
      <c r="L150" s="69">
        <f t="shared" si="24"/>
        <v>0</v>
      </c>
      <c r="M150" s="69">
        <f t="shared" si="26"/>
        <v>0</v>
      </c>
      <c r="N150" s="67">
        <f t="shared" si="25"/>
        <v>0</v>
      </c>
    </row>
    <row r="151" spans="6:14" x14ac:dyDescent="0.2">
      <c r="F151" s="67">
        <f t="shared" si="19"/>
        <v>0</v>
      </c>
      <c r="G151" s="67">
        <f t="shared" si="20"/>
        <v>0</v>
      </c>
      <c r="H151" s="67">
        <f t="shared" si="21"/>
        <v>0</v>
      </c>
      <c r="I151" s="68">
        <f t="shared" si="22"/>
        <v>0</v>
      </c>
      <c r="J151" s="68">
        <f t="shared" si="18"/>
        <v>0</v>
      </c>
      <c r="K151" s="69">
        <f t="shared" si="23"/>
        <v>0</v>
      </c>
      <c r="L151" s="69">
        <f t="shared" si="24"/>
        <v>0</v>
      </c>
      <c r="M151" s="69">
        <f t="shared" si="26"/>
        <v>0</v>
      </c>
      <c r="N151" s="67">
        <f t="shared" si="25"/>
        <v>0</v>
      </c>
    </row>
    <row r="152" spans="6:14" x14ac:dyDescent="0.2">
      <c r="F152" s="67">
        <f t="shared" si="19"/>
        <v>0</v>
      </c>
      <c r="G152" s="67">
        <f t="shared" si="20"/>
        <v>0</v>
      </c>
      <c r="H152" s="67">
        <f t="shared" si="21"/>
        <v>0</v>
      </c>
      <c r="I152" s="68">
        <f t="shared" si="22"/>
        <v>0</v>
      </c>
      <c r="J152" s="68">
        <f t="shared" si="18"/>
        <v>0</v>
      </c>
      <c r="K152" s="69">
        <f t="shared" si="23"/>
        <v>0</v>
      </c>
      <c r="L152" s="69">
        <f t="shared" si="24"/>
        <v>0</v>
      </c>
      <c r="M152" s="69">
        <f t="shared" si="26"/>
        <v>0</v>
      </c>
      <c r="N152" s="67">
        <f t="shared" si="25"/>
        <v>0</v>
      </c>
    </row>
    <row r="153" spans="6:14" x14ac:dyDescent="0.2">
      <c r="F153" s="67">
        <f t="shared" si="19"/>
        <v>0</v>
      </c>
      <c r="G153" s="67">
        <f t="shared" si="20"/>
        <v>0</v>
      </c>
      <c r="H153" s="67">
        <f t="shared" si="21"/>
        <v>0</v>
      </c>
      <c r="I153" s="68">
        <f t="shared" si="22"/>
        <v>0</v>
      </c>
      <c r="J153" s="68">
        <f t="shared" si="18"/>
        <v>0</v>
      </c>
      <c r="K153" s="69">
        <f t="shared" si="23"/>
        <v>0</v>
      </c>
      <c r="L153" s="69">
        <f t="shared" si="24"/>
        <v>0</v>
      </c>
      <c r="M153" s="69">
        <f t="shared" si="26"/>
        <v>0</v>
      </c>
      <c r="N153" s="67">
        <f t="shared" si="25"/>
        <v>0</v>
      </c>
    </row>
    <row r="154" spans="6:14" x14ac:dyDescent="0.2">
      <c r="F154" s="67">
        <f t="shared" si="19"/>
        <v>0</v>
      </c>
      <c r="G154" s="67">
        <f t="shared" si="20"/>
        <v>0</v>
      </c>
      <c r="H154" s="67">
        <f t="shared" si="21"/>
        <v>0</v>
      </c>
      <c r="I154" s="68">
        <f t="shared" si="22"/>
        <v>0</v>
      </c>
      <c r="J154" s="68">
        <f t="shared" si="18"/>
        <v>0</v>
      </c>
      <c r="K154" s="69">
        <f t="shared" si="23"/>
        <v>0</v>
      </c>
      <c r="L154" s="69">
        <f t="shared" si="24"/>
        <v>0</v>
      </c>
      <c r="M154" s="69">
        <f t="shared" si="26"/>
        <v>0</v>
      </c>
      <c r="N154" s="67">
        <f t="shared" si="25"/>
        <v>0</v>
      </c>
    </row>
    <row r="155" spans="6:14" x14ac:dyDescent="0.2">
      <c r="F155" s="67">
        <f t="shared" si="19"/>
        <v>0</v>
      </c>
      <c r="G155" s="67">
        <f t="shared" si="20"/>
        <v>0</v>
      </c>
      <c r="H155" s="67">
        <f t="shared" si="21"/>
        <v>0</v>
      </c>
      <c r="I155" s="68">
        <f t="shared" si="22"/>
        <v>0</v>
      </c>
      <c r="J155" s="68">
        <f t="shared" si="18"/>
        <v>0</v>
      </c>
      <c r="K155" s="69">
        <f t="shared" si="23"/>
        <v>0</v>
      </c>
      <c r="L155" s="69">
        <f t="shared" si="24"/>
        <v>0</v>
      </c>
      <c r="M155" s="69">
        <f t="shared" si="26"/>
        <v>0</v>
      </c>
      <c r="N155" s="67">
        <f t="shared" si="25"/>
        <v>0</v>
      </c>
    </row>
    <row r="156" spans="6:14" x14ac:dyDescent="0.2">
      <c r="F156" s="67">
        <f t="shared" si="19"/>
        <v>0</v>
      </c>
      <c r="G156" s="67">
        <f t="shared" si="20"/>
        <v>0</v>
      </c>
      <c r="H156" s="67">
        <f t="shared" si="21"/>
        <v>0</v>
      </c>
      <c r="I156" s="68">
        <f t="shared" si="22"/>
        <v>0</v>
      </c>
      <c r="J156" s="68">
        <f t="shared" si="18"/>
        <v>0</v>
      </c>
      <c r="K156" s="69">
        <f t="shared" si="23"/>
        <v>0</v>
      </c>
      <c r="L156" s="69">
        <f t="shared" si="24"/>
        <v>0</v>
      </c>
      <c r="M156" s="69">
        <f t="shared" si="26"/>
        <v>0</v>
      </c>
      <c r="N156" s="67">
        <f t="shared" si="25"/>
        <v>0</v>
      </c>
    </row>
    <row r="157" spans="6:14" x14ac:dyDescent="0.2">
      <c r="F157" s="67">
        <f t="shared" si="19"/>
        <v>0</v>
      </c>
      <c r="G157" s="67">
        <f t="shared" si="20"/>
        <v>0</v>
      </c>
      <c r="H157" s="67">
        <f t="shared" si="21"/>
        <v>0</v>
      </c>
      <c r="I157" s="68">
        <f t="shared" si="22"/>
        <v>0</v>
      </c>
      <c r="J157" s="68">
        <f t="shared" si="18"/>
        <v>0</v>
      </c>
      <c r="K157" s="69">
        <f t="shared" si="23"/>
        <v>0</v>
      </c>
      <c r="L157" s="69">
        <f t="shared" si="24"/>
        <v>0</v>
      </c>
      <c r="M157" s="69">
        <f t="shared" si="26"/>
        <v>0</v>
      </c>
      <c r="N157" s="67">
        <f t="shared" si="25"/>
        <v>0</v>
      </c>
    </row>
    <row r="158" spans="6:14" x14ac:dyDescent="0.2">
      <c r="F158" s="67">
        <f t="shared" si="19"/>
        <v>0</v>
      </c>
      <c r="G158" s="67">
        <f t="shared" si="20"/>
        <v>0</v>
      </c>
      <c r="H158" s="67">
        <f t="shared" si="21"/>
        <v>0</v>
      </c>
      <c r="I158" s="68">
        <f t="shared" si="22"/>
        <v>0</v>
      </c>
      <c r="J158" s="68">
        <f t="shared" si="18"/>
        <v>0</v>
      </c>
      <c r="K158" s="69">
        <f t="shared" si="23"/>
        <v>0</v>
      </c>
      <c r="L158" s="69">
        <f t="shared" si="24"/>
        <v>0</v>
      </c>
      <c r="M158" s="69">
        <f t="shared" si="26"/>
        <v>0</v>
      </c>
      <c r="N158" s="67">
        <f t="shared" si="25"/>
        <v>0</v>
      </c>
    </row>
    <row r="159" spans="6:14" x14ac:dyDescent="0.2">
      <c r="F159" s="67">
        <f t="shared" si="19"/>
        <v>0</v>
      </c>
      <c r="G159" s="67">
        <f t="shared" si="20"/>
        <v>0</v>
      </c>
      <c r="H159" s="67">
        <f t="shared" si="21"/>
        <v>0</v>
      </c>
      <c r="I159" s="68">
        <f t="shared" si="22"/>
        <v>0</v>
      </c>
      <c r="J159" s="68">
        <f t="shared" si="18"/>
        <v>0</v>
      </c>
      <c r="K159" s="69">
        <f t="shared" si="23"/>
        <v>0</v>
      </c>
      <c r="L159" s="69">
        <f t="shared" si="24"/>
        <v>0</v>
      </c>
      <c r="M159" s="69">
        <f t="shared" si="26"/>
        <v>0</v>
      </c>
      <c r="N159" s="67">
        <f t="shared" si="25"/>
        <v>0</v>
      </c>
    </row>
    <row r="160" spans="6:14" x14ac:dyDescent="0.2">
      <c r="F160" s="67">
        <f t="shared" si="19"/>
        <v>0</v>
      </c>
      <c r="G160" s="67">
        <f t="shared" si="20"/>
        <v>0</v>
      </c>
      <c r="H160" s="67">
        <f t="shared" si="21"/>
        <v>0</v>
      </c>
      <c r="I160" s="68">
        <f t="shared" si="22"/>
        <v>0</v>
      </c>
      <c r="J160" s="68">
        <f t="shared" si="18"/>
        <v>0</v>
      </c>
      <c r="K160" s="69">
        <f t="shared" si="23"/>
        <v>0</v>
      </c>
      <c r="L160" s="69">
        <f t="shared" si="24"/>
        <v>0</v>
      </c>
      <c r="M160" s="69">
        <f t="shared" si="26"/>
        <v>0</v>
      </c>
      <c r="N160" s="67">
        <f t="shared" si="25"/>
        <v>0</v>
      </c>
    </row>
    <row r="161" spans="6:14" x14ac:dyDescent="0.2">
      <c r="F161" s="67">
        <f t="shared" si="19"/>
        <v>0</v>
      </c>
      <c r="G161" s="67">
        <f t="shared" si="20"/>
        <v>0</v>
      </c>
      <c r="H161" s="67">
        <f t="shared" si="21"/>
        <v>0</v>
      </c>
      <c r="I161" s="68">
        <f t="shared" si="22"/>
        <v>0</v>
      </c>
      <c r="J161" s="68">
        <f t="shared" si="18"/>
        <v>0</v>
      </c>
      <c r="K161" s="69">
        <f t="shared" si="23"/>
        <v>0</v>
      </c>
      <c r="L161" s="69">
        <f t="shared" si="24"/>
        <v>0</v>
      </c>
      <c r="M161" s="69">
        <f t="shared" si="26"/>
        <v>0</v>
      </c>
      <c r="N161" s="67">
        <f t="shared" si="25"/>
        <v>0</v>
      </c>
    </row>
    <row r="162" spans="6:14" x14ac:dyDescent="0.2">
      <c r="F162" s="67">
        <f t="shared" si="19"/>
        <v>0</v>
      </c>
      <c r="G162" s="67">
        <f t="shared" si="20"/>
        <v>0</v>
      </c>
      <c r="H162" s="67">
        <f t="shared" si="21"/>
        <v>0</v>
      </c>
      <c r="I162" s="68">
        <f t="shared" si="22"/>
        <v>0</v>
      </c>
      <c r="J162" s="68">
        <f t="shared" si="18"/>
        <v>0</v>
      </c>
      <c r="K162" s="69">
        <f t="shared" si="23"/>
        <v>0</v>
      </c>
      <c r="L162" s="69">
        <f t="shared" si="24"/>
        <v>0</v>
      </c>
      <c r="M162" s="69">
        <f t="shared" si="26"/>
        <v>0</v>
      </c>
      <c r="N162" s="67">
        <f t="shared" si="25"/>
        <v>0</v>
      </c>
    </row>
    <row r="163" spans="6:14" x14ac:dyDescent="0.2">
      <c r="F163" s="67">
        <f t="shared" si="19"/>
        <v>0</v>
      </c>
      <c r="G163" s="67">
        <f t="shared" si="20"/>
        <v>0</v>
      </c>
      <c r="H163" s="67">
        <f t="shared" si="21"/>
        <v>0</v>
      </c>
      <c r="I163" s="68">
        <f t="shared" si="22"/>
        <v>0</v>
      </c>
      <c r="J163" s="68">
        <f t="shared" si="18"/>
        <v>0</v>
      </c>
      <c r="K163" s="69">
        <f t="shared" si="23"/>
        <v>0</v>
      </c>
      <c r="L163" s="69">
        <f t="shared" si="24"/>
        <v>0</v>
      </c>
      <c r="M163" s="69">
        <f t="shared" si="26"/>
        <v>0</v>
      </c>
      <c r="N163" s="67">
        <f t="shared" si="25"/>
        <v>0</v>
      </c>
    </row>
    <row r="164" spans="6:14" x14ac:dyDescent="0.2">
      <c r="F164" s="67">
        <f t="shared" si="19"/>
        <v>0</v>
      </c>
      <c r="G164" s="67">
        <f t="shared" si="20"/>
        <v>0</v>
      </c>
      <c r="H164" s="67">
        <f t="shared" si="21"/>
        <v>0</v>
      </c>
      <c r="I164" s="68">
        <f t="shared" si="22"/>
        <v>0</v>
      </c>
      <c r="J164" s="68">
        <f t="shared" si="18"/>
        <v>0</v>
      </c>
      <c r="K164" s="69">
        <f t="shared" si="23"/>
        <v>0</v>
      </c>
      <c r="L164" s="69">
        <f t="shared" si="24"/>
        <v>0</v>
      </c>
      <c r="M164" s="69">
        <f t="shared" si="26"/>
        <v>0</v>
      </c>
      <c r="N164" s="67">
        <f t="shared" si="25"/>
        <v>0</v>
      </c>
    </row>
    <row r="165" spans="6:14" x14ac:dyDescent="0.2">
      <c r="F165" s="67">
        <f t="shared" si="19"/>
        <v>0</v>
      </c>
      <c r="G165" s="67">
        <f t="shared" si="20"/>
        <v>0</v>
      </c>
      <c r="H165" s="67">
        <f t="shared" si="21"/>
        <v>0</v>
      </c>
      <c r="I165" s="68">
        <f t="shared" si="22"/>
        <v>0</v>
      </c>
      <c r="J165" s="68">
        <f t="shared" si="18"/>
        <v>0</v>
      </c>
      <c r="K165" s="69">
        <f t="shared" si="23"/>
        <v>0</v>
      </c>
      <c r="L165" s="69">
        <f t="shared" si="24"/>
        <v>0</v>
      </c>
      <c r="M165" s="69">
        <f t="shared" si="26"/>
        <v>0</v>
      </c>
      <c r="N165" s="67">
        <f t="shared" si="25"/>
        <v>0</v>
      </c>
    </row>
    <row r="166" spans="6:14" x14ac:dyDescent="0.2">
      <c r="F166" s="67">
        <f t="shared" si="19"/>
        <v>0</v>
      </c>
      <c r="G166" s="67">
        <f t="shared" si="20"/>
        <v>0</v>
      </c>
      <c r="H166" s="67">
        <f t="shared" si="21"/>
        <v>0</v>
      </c>
      <c r="I166" s="68">
        <f t="shared" si="22"/>
        <v>0</v>
      </c>
      <c r="J166" s="68">
        <f t="shared" si="18"/>
        <v>0</v>
      </c>
      <c r="K166" s="69">
        <f t="shared" si="23"/>
        <v>0</v>
      </c>
      <c r="L166" s="69">
        <f t="shared" si="24"/>
        <v>0</v>
      </c>
      <c r="M166" s="69">
        <f t="shared" si="26"/>
        <v>0</v>
      </c>
      <c r="N166" s="67">
        <f t="shared" si="25"/>
        <v>0</v>
      </c>
    </row>
    <row r="167" spans="6:14" x14ac:dyDescent="0.2">
      <c r="F167" s="67">
        <f t="shared" si="19"/>
        <v>0</v>
      </c>
      <c r="G167" s="67">
        <f t="shared" si="20"/>
        <v>0</v>
      </c>
      <c r="H167" s="67">
        <f t="shared" si="21"/>
        <v>0</v>
      </c>
      <c r="I167" s="68">
        <f t="shared" si="22"/>
        <v>0</v>
      </c>
      <c r="J167" s="68">
        <f t="shared" si="18"/>
        <v>0</v>
      </c>
      <c r="K167" s="69">
        <f t="shared" si="23"/>
        <v>0</v>
      </c>
      <c r="L167" s="69">
        <f t="shared" si="24"/>
        <v>0</v>
      </c>
      <c r="M167" s="69">
        <f t="shared" si="26"/>
        <v>0</v>
      </c>
      <c r="N167" s="67">
        <f t="shared" si="25"/>
        <v>0</v>
      </c>
    </row>
    <row r="168" spans="6:14" x14ac:dyDescent="0.2">
      <c r="F168" s="67">
        <f t="shared" si="19"/>
        <v>0</v>
      </c>
      <c r="G168" s="67">
        <f t="shared" si="20"/>
        <v>0</v>
      </c>
      <c r="H168" s="67">
        <f t="shared" si="21"/>
        <v>0</v>
      </c>
      <c r="I168" s="68">
        <f t="shared" si="22"/>
        <v>0</v>
      </c>
      <c r="J168" s="68">
        <f t="shared" si="18"/>
        <v>0</v>
      </c>
      <c r="K168" s="69">
        <f t="shared" si="23"/>
        <v>0</v>
      </c>
      <c r="L168" s="69">
        <f t="shared" si="24"/>
        <v>0</v>
      </c>
      <c r="M168" s="69">
        <f t="shared" si="26"/>
        <v>0</v>
      </c>
      <c r="N168" s="67">
        <f t="shared" si="25"/>
        <v>0</v>
      </c>
    </row>
    <row r="169" spans="6:14" x14ac:dyDescent="0.2">
      <c r="F169" s="67">
        <f t="shared" si="19"/>
        <v>0</v>
      </c>
      <c r="G169" s="67">
        <f t="shared" si="20"/>
        <v>0</v>
      </c>
      <c r="H169" s="67">
        <f t="shared" si="21"/>
        <v>0</v>
      </c>
      <c r="I169" s="68">
        <f t="shared" si="22"/>
        <v>0</v>
      </c>
      <c r="J169" s="68">
        <f t="shared" si="18"/>
        <v>0</v>
      </c>
      <c r="K169" s="69">
        <f t="shared" si="23"/>
        <v>0</v>
      </c>
      <c r="L169" s="69">
        <f t="shared" si="24"/>
        <v>0</v>
      </c>
      <c r="M169" s="69">
        <f t="shared" si="26"/>
        <v>0</v>
      </c>
      <c r="N169" s="67">
        <f t="shared" si="25"/>
        <v>0</v>
      </c>
    </row>
    <row r="170" spans="6:14" x14ac:dyDescent="0.2">
      <c r="F170" s="67">
        <f t="shared" si="19"/>
        <v>0</v>
      </c>
      <c r="G170" s="67">
        <f t="shared" si="20"/>
        <v>0</v>
      </c>
      <c r="H170" s="67">
        <f t="shared" si="21"/>
        <v>0</v>
      </c>
      <c r="I170" s="68">
        <f t="shared" si="22"/>
        <v>0</v>
      </c>
      <c r="J170" s="68">
        <f t="shared" si="18"/>
        <v>0</v>
      </c>
      <c r="K170" s="69">
        <f t="shared" si="23"/>
        <v>0</v>
      </c>
      <c r="L170" s="69">
        <f t="shared" si="24"/>
        <v>0</v>
      </c>
      <c r="M170" s="69">
        <f t="shared" si="26"/>
        <v>0</v>
      </c>
      <c r="N170" s="67">
        <f t="shared" si="25"/>
        <v>0</v>
      </c>
    </row>
    <row r="171" spans="6:14" x14ac:dyDescent="0.2">
      <c r="F171" s="67">
        <f t="shared" si="19"/>
        <v>0</v>
      </c>
      <c r="G171" s="67">
        <f t="shared" si="20"/>
        <v>0</v>
      </c>
      <c r="H171" s="67">
        <f t="shared" si="21"/>
        <v>0</v>
      </c>
      <c r="I171" s="68">
        <f t="shared" si="22"/>
        <v>0</v>
      </c>
      <c r="J171" s="68">
        <f t="shared" si="18"/>
        <v>0</v>
      </c>
      <c r="K171" s="69">
        <f t="shared" si="23"/>
        <v>0</v>
      </c>
      <c r="L171" s="69">
        <f t="shared" si="24"/>
        <v>0</v>
      </c>
      <c r="M171" s="69">
        <f t="shared" si="26"/>
        <v>0</v>
      </c>
      <c r="N171" s="67">
        <f t="shared" si="25"/>
        <v>0</v>
      </c>
    </row>
    <row r="172" spans="6:14" x14ac:dyDescent="0.2">
      <c r="F172" s="67">
        <f t="shared" si="19"/>
        <v>0</v>
      </c>
      <c r="G172" s="67">
        <f t="shared" si="20"/>
        <v>0</v>
      </c>
      <c r="H172" s="67">
        <f t="shared" si="21"/>
        <v>0</v>
      </c>
      <c r="I172" s="68">
        <f t="shared" si="22"/>
        <v>0</v>
      </c>
      <c r="J172" s="68">
        <f t="shared" si="18"/>
        <v>0</v>
      </c>
      <c r="K172" s="69">
        <f t="shared" si="23"/>
        <v>0</v>
      </c>
      <c r="L172" s="69">
        <f t="shared" si="24"/>
        <v>0</v>
      </c>
      <c r="M172" s="69">
        <f t="shared" si="26"/>
        <v>0</v>
      </c>
      <c r="N172" s="67">
        <f t="shared" si="25"/>
        <v>0</v>
      </c>
    </row>
    <row r="173" spans="6:14" x14ac:dyDescent="0.2">
      <c r="F173" s="67">
        <f t="shared" si="19"/>
        <v>0</v>
      </c>
      <c r="G173" s="67">
        <f t="shared" si="20"/>
        <v>0</v>
      </c>
      <c r="H173" s="67">
        <f t="shared" si="21"/>
        <v>0</v>
      </c>
      <c r="I173" s="68">
        <f t="shared" si="22"/>
        <v>0</v>
      </c>
      <c r="J173" s="68">
        <f t="shared" si="18"/>
        <v>0</v>
      </c>
      <c r="K173" s="69">
        <f t="shared" si="23"/>
        <v>0</v>
      </c>
      <c r="L173" s="69">
        <f t="shared" si="24"/>
        <v>0</v>
      </c>
      <c r="M173" s="69">
        <f t="shared" si="26"/>
        <v>0</v>
      </c>
      <c r="N173" s="67">
        <f t="shared" si="25"/>
        <v>0</v>
      </c>
    </row>
    <row r="174" spans="6:14" x14ac:dyDescent="0.2">
      <c r="F174" s="67">
        <f t="shared" si="19"/>
        <v>0</v>
      </c>
      <c r="G174" s="67">
        <f t="shared" si="20"/>
        <v>0</v>
      </c>
      <c r="H174" s="67">
        <f t="shared" si="21"/>
        <v>0</v>
      </c>
      <c r="I174" s="68">
        <f t="shared" si="22"/>
        <v>0</v>
      </c>
      <c r="J174" s="68">
        <f t="shared" si="18"/>
        <v>0</v>
      </c>
      <c r="K174" s="69">
        <f t="shared" si="23"/>
        <v>0</v>
      </c>
      <c r="L174" s="69">
        <f t="shared" si="24"/>
        <v>0</v>
      </c>
      <c r="M174" s="69">
        <f t="shared" si="26"/>
        <v>0</v>
      </c>
      <c r="N174" s="67">
        <f t="shared" si="25"/>
        <v>0</v>
      </c>
    </row>
    <row r="175" spans="6:14" x14ac:dyDescent="0.2">
      <c r="F175" s="67">
        <f t="shared" si="19"/>
        <v>0</v>
      </c>
      <c r="G175" s="67">
        <f t="shared" si="20"/>
        <v>0</v>
      </c>
      <c r="H175" s="67">
        <f t="shared" si="21"/>
        <v>0</v>
      </c>
      <c r="I175" s="68">
        <f t="shared" si="22"/>
        <v>0</v>
      </c>
      <c r="J175" s="68">
        <f t="shared" si="18"/>
        <v>0</v>
      </c>
      <c r="K175" s="69">
        <f t="shared" si="23"/>
        <v>0</v>
      </c>
      <c r="L175" s="69">
        <f t="shared" si="24"/>
        <v>0</v>
      </c>
      <c r="M175" s="69">
        <f t="shared" si="26"/>
        <v>0</v>
      </c>
      <c r="N175" s="67">
        <f t="shared" si="25"/>
        <v>0</v>
      </c>
    </row>
    <row r="176" spans="6:14" x14ac:dyDescent="0.2">
      <c r="F176" s="67">
        <f t="shared" si="19"/>
        <v>0</v>
      </c>
      <c r="G176" s="67">
        <f t="shared" si="20"/>
        <v>0</v>
      </c>
      <c r="H176" s="67">
        <f t="shared" si="21"/>
        <v>0</v>
      </c>
      <c r="I176" s="68">
        <f t="shared" si="22"/>
        <v>0</v>
      </c>
      <c r="J176" s="68">
        <f t="shared" si="18"/>
        <v>0</v>
      </c>
      <c r="K176" s="69">
        <f t="shared" si="23"/>
        <v>0</v>
      </c>
      <c r="L176" s="69">
        <f t="shared" si="24"/>
        <v>0</v>
      </c>
      <c r="M176" s="69">
        <f t="shared" si="26"/>
        <v>0</v>
      </c>
      <c r="N176" s="67">
        <f t="shared" si="25"/>
        <v>0</v>
      </c>
    </row>
    <row r="177" spans="6:14" x14ac:dyDescent="0.2">
      <c r="F177" s="67">
        <f t="shared" si="19"/>
        <v>0</v>
      </c>
      <c r="G177" s="67">
        <f t="shared" si="20"/>
        <v>0</v>
      </c>
      <c r="H177" s="67">
        <f t="shared" si="21"/>
        <v>0</v>
      </c>
      <c r="I177" s="68">
        <f t="shared" si="22"/>
        <v>0</v>
      </c>
      <c r="J177" s="68">
        <f t="shared" si="18"/>
        <v>0</v>
      </c>
      <c r="K177" s="69">
        <f t="shared" si="23"/>
        <v>0</v>
      </c>
      <c r="L177" s="69">
        <f t="shared" si="24"/>
        <v>0</v>
      </c>
      <c r="M177" s="69">
        <f t="shared" si="26"/>
        <v>0</v>
      </c>
      <c r="N177" s="67">
        <f t="shared" si="25"/>
        <v>0</v>
      </c>
    </row>
    <row r="178" spans="6:14" x14ac:dyDescent="0.2">
      <c r="F178" s="67">
        <f t="shared" si="19"/>
        <v>0</v>
      </c>
      <c r="G178" s="67">
        <f t="shared" si="20"/>
        <v>0</v>
      </c>
      <c r="H178" s="67">
        <f t="shared" si="21"/>
        <v>0</v>
      </c>
      <c r="I178" s="68">
        <f t="shared" si="22"/>
        <v>0</v>
      </c>
      <c r="J178" s="68">
        <f t="shared" si="18"/>
        <v>0</v>
      </c>
      <c r="K178" s="69">
        <f t="shared" si="23"/>
        <v>0</v>
      </c>
      <c r="L178" s="69">
        <f t="shared" si="24"/>
        <v>0</v>
      </c>
      <c r="M178" s="69">
        <f t="shared" si="26"/>
        <v>0</v>
      </c>
      <c r="N178" s="67">
        <f t="shared" si="25"/>
        <v>0</v>
      </c>
    </row>
    <row r="179" spans="6:14" x14ac:dyDescent="0.2">
      <c r="F179" s="67">
        <f t="shared" si="19"/>
        <v>0</v>
      </c>
      <c r="G179" s="67">
        <f t="shared" si="20"/>
        <v>0</v>
      </c>
      <c r="H179" s="67">
        <f t="shared" si="21"/>
        <v>0</v>
      </c>
      <c r="I179" s="68">
        <f t="shared" si="22"/>
        <v>0</v>
      </c>
      <c r="J179" s="68">
        <f t="shared" si="18"/>
        <v>0</v>
      </c>
      <c r="K179" s="69">
        <f t="shared" si="23"/>
        <v>0</v>
      </c>
      <c r="L179" s="69">
        <f t="shared" si="24"/>
        <v>0</v>
      </c>
      <c r="M179" s="69">
        <f t="shared" si="26"/>
        <v>0</v>
      </c>
      <c r="N179" s="67">
        <f t="shared" si="25"/>
        <v>0</v>
      </c>
    </row>
    <row r="180" spans="6:14" x14ac:dyDescent="0.2">
      <c r="F180" s="67">
        <f t="shared" si="19"/>
        <v>0</v>
      </c>
      <c r="G180" s="67">
        <f t="shared" si="20"/>
        <v>0</v>
      </c>
      <c r="H180" s="67">
        <f t="shared" si="21"/>
        <v>0</v>
      </c>
      <c r="I180" s="68">
        <f t="shared" si="22"/>
        <v>0</v>
      </c>
      <c r="J180" s="68">
        <f t="shared" si="18"/>
        <v>0</v>
      </c>
      <c r="K180" s="69">
        <f t="shared" si="23"/>
        <v>0</v>
      </c>
      <c r="L180" s="69">
        <f t="shared" si="24"/>
        <v>0</v>
      </c>
      <c r="M180" s="69">
        <f t="shared" si="26"/>
        <v>0</v>
      </c>
      <c r="N180" s="67">
        <f t="shared" si="25"/>
        <v>0</v>
      </c>
    </row>
    <row r="181" spans="6:14" x14ac:dyDescent="0.2">
      <c r="F181" s="67">
        <f t="shared" si="19"/>
        <v>0</v>
      </c>
      <c r="G181" s="67">
        <f t="shared" si="20"/>
        <v>0</v>
      </c>
      <c r="H181" s="67">
        <f t="shared" si="21"/>
        <v>0</v>
      </c>
      <c r="I181" s="68">
        <f t="shared" si="22"/>
        <v>0</v>
      </c>
      <c r="J181" s="68">
        <f t="shared" si="18"/>
        <v>0</v>
      </c>
      <c r="K181" s="69">
        <f t="shared" si="23"/>
        <v>0</v>
      </c>
      <c r="L181" s="69">
        <f t="shared" si="24"/>
        <v>0</v>
      </c>
      <c r="M181" s="69">
        <f t="shared" si="26"/>
        <v>0</v>
      </c>
      <c r="N181" s="67">
        <f t="shared" si="25"/>
        <v>0</v>
      </c>
    </row>
    <row r="182" spans="6:14" x14ac:dyDescent="0.2">
      <c r="F182" s="67">
        <f t="shared" si="19"/>
        <v>0</v>
      </c>
      <c r="G182" s="67">
        <f t="shared" si="20"/>
        <v>0</v>
      </c>
      <c r="H182" s="67">
        <f t="shared" si="21"/>
        <v>0</v>
      </c>
      <c r="I182" s="68">
        <f t="shared" si="22"/>
        <v>0</v>
      </c>
      <c r="J182" s="68">
        <f t="shared" si="18"/>
        <v>0</v>
      </c>
      <c r="K182" s="69">
        <f t="shared" si="23"/>
        <v>0</v>
      </c>
      <c r="L182" s="69">
        <f t="shared" si="24"/>
        <v>0</v>
      </c>
      <c r="M182" s="69">
        <f t="shared" si="26"/>
        <v>0</v>
      </c>
      <c r="N182" s="67">
        <f t="shared" si="25"/>
        <v>0</v>
      </c>
    </row>
    <row r="183" spans="6:14" x14ac:dyDescent="0.2">
      <c r="F183" s="67">
        <f t="shared" si="19"/>
        <v>0</v>
      </c>
      <c r="G183" s="67">
        <f t="shared" si="20"/>
        <v>0</v>
      </c>
      <c r="H183" s="67">
        <f t="shared" si="21"/>
        <v>0</v>
      </c>
      <c r="I183" s="68">
        <f t="shared" si="22"/>
        <v>0</v>
      </c>
      <c r="J183" s="68">
        <f t="shared" si="18"/>
        <v>0</v>
      </c>
      <c r="K183" s="69">
        <f t="shared" si="23"/>
        <v>0</v>
      </c>
      <c r="L183" s="69">
        <f t="shared" si="24"/>
        <v>0</v>
      </c>
      <c r="M183" s="69">
        <f t="shared" si="26"/>
        <v>0</v>
      </c>
      <c r="N183" s="67">
        <f t="shared" si="25"/>
        <v>0</v>
      </c>
    </row>
    <row r="184" spans="6:14" x14ac:dyDescent="0.2">
      <c r="F184" s="67">
        <f t="shared" si="19"/>
        <v>0</v>
      </c>
      <c r="G184" s="67">
        <f t="shared" si="20"/>
        <v>0</v>
      </c>
      <c r="H184" s="67">
        <f t="shared" si="21"/>
        <v>0</v>
      </c>
      <c r="I184" s="68">
        <f t="shared" si="22"/>
        <v>0</v>
      </c>
      <c r="J184" s="68">
        <f t="shared" si="18"/>
        <v>0</v>
      </c>
      <c r="K184" s="69">
        <f t="shared" si="23"/>
        <v>0</v>
      </c>
      <c r="L184" s="69">
        <f t="shared" si="24"/>
        <v>0</v>
      </c>
      <c r="M184" s="69">
        <f t="shared" si="26"/>
        <v>0</v>
      </c>
      <c r="N184" s="67">
        <f t="shared" si="25"/>
        <v>0</v>
      </c>
    </row>
    <row r="185" spans="6:14" x14ac:dyDescent="0.2">
      <c r="F185" s="67">
        <f t="shared" si="19"/>
        <v>0</v>
      </c>
      <c r="G185" s="67">
        <f t="shared" si="20"/>
        <v>0</v>
      </c>
      <c r="H185" s="67">
        <f t="shared" si="21"/>
        <v>0</v>
      </c>
      <c r="I185" s="68">
        <f t="shared" si="22"/>
        <v>0</v>
      </c>
      <c r="J185" s="68">
        <f t="shared" si="18"/>
        <v>0</v>
      </c>
      <c r="K185" s="69">
        <f t="shared" si="23"/>
        <v>0</v>
      </c>
      <c r="L185" s="69">
        <f t="shared" si="24"/>
        <v>0</v>
      </c>
      <c r="M185" s="69">
        <f t="shared" si="26"/>
        <v>0</v>
      </c>
      <c r="N185" s="67">
        <f t="shared" si="25"/>
        <v>0</v>
      </c>
    </row>
    <row r="186" spans="6:14" x14ac:dyDescent="0.2">
      <c r="F186" s="67">
        <f t="shared" si="19"/>
        <v>0</v>
      </c>
      <c r="G186" s="67">
        <f t="shared" si="20"/>
        <v>0</v>
      </c>
      <c r="H186" s="67">
        <f t="shared" si="21"/>
        <v>0</v>
      </c>
      <c r="I186" s="68">
        <f t="shared" si="22"/>
        <v>0</v>
      </c>
      <c r="J186" s="68">
        <f t="shared" si="18"/>
        <v>0</v>
      </c>
      <c r="K186" s="69">
        <f t="shared" si="23"/>
        <v>0</v>
      </c>
      <c r="L186" s="69">
        <f t="shared" si="24"/>
        <v>0</v>
      </c>
      <c r="M186" s="69">
        <f t="shared" si="26"/>
        <v>0</v>
      </c>
      <c r="N186" s="67">
        <f t="shared" si="25"/>
        <v>0</v>
      </c>
    </row>
    <row r="187" spans="6:14" x14ac:dyDescent="0.2">
      <c r="F187" s="67">
        <f t="shared" si="19"/>
        <v>0</v>
      </c>
      <c r="G187" s="67">
        <f t="shared" si="20"/>
        <v>0</v>
      </c>
      <c r="H187" s="67">
        <f t="shared" si="21"/>
        <v>0</v>
      </c>
      <c r="I187" s="68">
        <f t="shared" si="22"/>
        <v>0</v>
      </c>
      <c r="J187" s="68">
        <f t="shared" si="18"/>
        <v>0</v>
      </c>
      <c r="K187" s="69">
        <f t="shared" si="23"/>
        <v>0</v>
      </c>
      <c r="L187" s="69">
        <f t="shared" si="24"/>
        <v>0</v>
      </c>
      <c r="M187" s="69">
        <f t="shared" si="26"/>
        <v>0</v>
      </c>
      <c r="N187" s="67">
        <f t="shared" si="25"/>
        <v>0</v>
      </c>
    </row>
    <row r="188" spans="6:14" x14ac:dyDescent="0.2">
      <c r="F188" s="67">
        <f t="shared" si="19"/>
        <v>0</v>
      </c>
      <c r="G188" s="67">
        <f t="shared" si="20"/>
        <v>0</v>
      </c>
      <c r="H188" s="67">
        <f t="shared" si="21"/>
        <v>0</v>
      </c>
      <c r="I188" s="68">
        <f t="shared" si="22"/>
        <v>0</v>
      </c>
      <c r="J188" s="68">
        <f t="shared" si="18"/>
        <v>0</v>
      </c>
      <c r="K188" s="69">
        <f t="shared" si="23"/>
        <v>0</v>
      </c>
      <c r="L188" s="69">
        <f t="shared" si="24"/>
        <v>0</v>
      </c>
      <c r="M188" s="69">
        <f t="shared" si="26"/>
        <v>0</v>
      </c>
      <c r="N188" s="67">
        <f t="shared" si="25"/>
        <v>0</v>
      </c>
    </row>
    <row r="189" spans="6:14" x14ac:dyDescent="0.2">
      <c r="F189" s="67">
        <f t="shared" si="19"/>
        <v>0</v>
      </c>
      <c r="G189" s="67">
        <f t="shared" si="20"/>
        <v>0</v>
      </c>
      <c r="H189" s="67">
        <f t="shared" si="21"/>
        <v>0</v>
      </c>
      <c r="I189" s="68">
        <f t="shared" si="22"/>
        <v>0</v>
      </c>
      <c r="J189" s="68">
        <f t="shared" si="18"/>
        <v>0</v>
      </c>
      <c r="K189" s="69">
        <f t="shared" si="23"/>
        <v>0</v>
      </c>
      <c r="L189" s="69">
        <f t="shared" si="24"/>
        <v>0</v>
      </c>
      <c r="M189" s="69">
        <f t="shared" si="26"/>
        <v>0</v>
      </c>
      <c r="N189" s="67">
        <f t="shared" si="25"/>
        <v>0</v>
      </c>
    </row>
    <row r="190" spans="6:14" x14ac:dyDescent="0.2">
      <c r="F190" s="67">
        <f t="shared" si="19"/>
        <v>0</v>
      </c>
      <c r="G190" s="67">
        <f t="shared" si="20"/>
        <v>0</v>
      </c>
      <c r="H190" s="67">
        <f t="shared" si="21"/>
        <v>0</v>
      </c>
      <c r="I190" s="68">
        <f t="shared" si="22"/>
        <v>0</v>
      </c>
      <c r="J190" s="68">
        <f t="shared" si="18"/>
        <v>0</v>
      </c>
      <c r="K190" s="69">
        <f t="shared" si="23"/>
        <v>0</v>
      </c>
      <c r="L190" s="69">
        <f t="shared" si="24"/>
        <v>0</v>
      </c>
      <c r="M190" s="69">
        <f t="shared" si="26"/>
        <v>0</v>
      </c>
      <c r="N190" s="67">
        <f t="shared" si="25"/>
        <v>0</v>
      </c>
    </row>
    <row r="191" spans="6:14" x14ac:dyDescent="0.2">
      <c r="F191" s="67">
        <f t="shared" si="19"/>
        <v>0</v>
      </c>
      <c r="G191" s="67">
        <f t="shared" si="20"/>
        <v>0</v>
      </c>
      <c r="H191" s="67">
        <f t="shared" si="21"/>
        <v>0</v>
      </c>
      <c r="I191" s="68">
        <f t="shared" si="22"/>
        <v>0</v>
      </c>
      <c r="J191" s="68">
        <f t="shared" si="18"/>
        <v>0</v>
      </c>
      <c r="K191" s="69">
        <f t="shared" si="23"/>
        <v>0</v>
      </c>
      <c r="L191" s="69">
        <f t="shared" si="24"/>
        <v>0</v>
      </c>
      <c r="M191" s="69">
        <f t="shared" si="26"/>
        <v>0</v>
      </c>
      <c r="N191" s="67">
        <f t="shared" si="25"/>
        <v>0</v>
      </c>
    </row>
    <row r="192" spans="6:14" x14ac:dyDescent="0.2">
      <c r="F192" s="67">
        <f t="shared" si="19"/>
        <v>0</v>
      </c>
      <c r="G192" s="67">
        <f t="shared" si="20"/>
        <v>0</v>
      </c>
      <c r="H192" s="67">
        <f t="shared" si="21"/>
        <v>0</v>
      </c>
      <c r="I192" s="68">
        <f t="shared" si="22"/>
        <v>0</v>
      </c>
      <c r="J192" s="68">
        <f t="shared" si="18"/>
        <v>0</v>
      </c>
      <c r="K192" s="69">
        <f t="shared" si="23"/>
        <v>0</v>
      </c>
      <c r="L192" s="69">
        <f t="shared" si="24"/>
        <v>0</v>
      </c>
      <c r="M192" s="69">
        <f t="shared" si="26"/>
        <v>0</v>
      </c>
      <c r="N192" s="67">
        <f t="shared" si="25"/>
        <v>0</v>
      </c>
    </row>
    <row r="193" spans="6:14" x14ac:dyDescent="0.2">
      <c r="F193" s="67">
        <f t="shared" si="19"/>
        <v>0</v>
      </c>
      <c r="G193" s="67">
        <f t="shared" si="20"/>
        <v>0</v>
      </c>
      <c r="H193" s="67">
        <f t="shared" si="21"/>
        <v>0</v>
      </c>
      <c r="I193" s="68">
        <f t="shared" si="22"/>
        <v>0</v>
      </c>
      <c r="J193" s="68">
        <f t="shared" si="18"/>
        <v>0</v>
      </c>
      <c r="K193" s="69">
        <f t="shared" si="23"/>
        <v>0</v>
      </c>
      <c r="L193" s="69">
        <f t="shared" si="24"/>
        <v>0</v>
      </c>
      <c r="M193" s="69">
        <f t="shared" si="26"/>
        <v>0</v>
      </c>
      <c r="N193" s="67">
        <f t="shared" si="25"/>
        <v>0</v>
      </c>
    </row>
    <row r="194" spans="6:14" x14ac:dyDescent="0.2">
      <c r="F194" s="67">
        <f t="shared" si="19"/>
        <v>0</v>
      </c>
      <c r="G194" s="67">
        <f t="shared" si="20"/>
        <v>0</v>
      </c>
      <c r="H194" s="67">
        <f t="shared" si="21"/>
        <v>0</v>
      </c>
      <c r="I194" s="68">
        <f t="shared" si="22"/>
        <v>0</v>
      </c>
      <c r="J194" s="68">
        <f t="shared" si="18"/>
        <v>0</v>
      </c>
      <c r="K194" s="69">
        <f t="shared" si="23"/>
        <v>0</v>
      </c>
      <c r="L194" s="69">
        <f t="shared" si="24"/>
        <v>0</v>
      </c>
      <c r="M194" s="69">
        <f t="shared" si="26"/>
        <v>0</v>
      </c>
      <c r="N194" s="67">
        <f t="shared" si="25"/>
        <v>0</v>
      </c>
    </row>
    <row r="195" spans="6:14" x14ac:dyDescent="0.2">
      <c r="F195" s="67">
        <f t="shared" si="19"/>
        <v>0</v>
      </c>
      <c r="G195" s="67">
        <f t="shared" si="20"/>
        <v>0</v>
      </c>
      <c r="H195" s="67">
        <f t="shared" si="21"/>
        <v>0</v>
      </c>
      <c r="I195" s="68">
        <f t="shared" si="22"/>
        <v>0</v>
      </c>
      <c r="J195" s="68">
        <f t="shared" si="18"/>
        <v>0</v>
      </c>
      <c r="K195" s="69">
        <f t="shared" si="23"/>
        <v>0</v>
      </c>
      <c r="L195" s="69">
        <f t="shared" si="24"/>
        <v>0</v>
      </c>
      <c r="M195" s="69">
        <f t="shared" si="26"/>
        <v>0</v>
      </c>
      <c r="N195" s="67">
        <f t="shared" si="25"/>
        <v>0</v>
      </c>
    </row>
    <row r="196" spans="6:14" x14ac:dyDescent="0.2">
      <c r="F196" s="67">
        <f t="shared" si="19"/>
        <v>0</v>
      </c>
      <c r="G196" s="67">
        <f t="shared" si="20"/>
        <v>0</v>
      </c>
      <c r="H196" s="67">
        <f t="shared" si="21"/>
        <v>0</v>
      </c>
      <c r="I196" s="68">
        <f t="shared" si="22"/>
        <v>0</v>
      </c>
      <c r="J196" s="68">
        <f t="shared" si="18"/>
        <v>0</v>
      </c>
      <c r="K196" s="69">
        <f t="shared" si="23"/>
        <v>0</v>
      </c>
      <c r="L196" s="69">
        <f t="shared" si="24"/>
        <v>0</v>
      </c>
      <c r="M196" s="69">
        <f t="shared" si="26"/>
        <v>0</v>
      </c>
      <c r="N196" s="67">
        <f t="shared" si="25"/>
        <v>0</v>
      </c>
    </row>
    <row r="197" spans="6:14" x14ac:dyDescent="0.2">
      <c r="F197" s="67">
        <f t="shared" si="19"/>
        <v>0</v>
      </c>
      <c r="G197" s="67">
        <f t="shared" si="20"/>
        <v>0</v>
      </c>
      <c r="H197" s="67">
        <f t="shared" si="21"/>
        <v>0</v>
      </c>
      <c r="I197" s="68">
        <f t="shared" si="22"/>
        <v>0</v>
      </c>
      <c r="J197" s="68">
        <f t="shared" si="18"/>
        <v>0</v>
      </c>
      <c r="K197" s="69">
        <f t="shared" si="23"/>
        <v>0</v>
      </c>
      <c r="L197" s="69">
        <f t="shared" si="24"/>
        <v>0</v>
      </c>
      <c r="M197" s="69">
        <f t="shared" si="26"/>
        <v>0</v>
      </c>
      <c r="N197" s="67">
        <f t="shared" si="25"/>
        <v>0</v>
      </c>
    </row>
    <row r="198" spans="6:14" x14ac:dyDescent="0.2">
      <c r="F198" s="67">
        <f t="shared" si="19"/>
        <v>0</v>
      </c>
      <c r="G198" s="67">
        <f t="shared" si="20"/>
        <v>0</v>
      </c>
      <c r="H198" s="67">
        <f t="shared" si="21"/>
        <v>0</v>
      </c>
      <c r="I198" s="68">
        <f t="shared" si="22"/>
        <v>0</v>
      </c>
      <c r="J198" s="68">
        <f t="shared" si="18"/>
        <v>0</v>
      </c>
      <c r="K198" s="69">
        <f t="shared" si="23"/>
        <v>0</v>
      </c>
      <c r="L198" s="69">
        <f t="shared" si="24"/>
        <v>0</v>
      </c>
      <c r="M198" s="69">
        <f t="shared" si="26"/>
        <v>0</v>
      </c>
      <c r="N198" s="67">
        <f t="shared" si="25"/>
        <v>0</v>
      </c>
    </row>
    <row r="199" spans="6:14" x14ac:dyDescent="0.2">
      <c r="F199" s="67">
        <f t="shared" si="19"/>
        <v>0</v>
      </c>
      <c r="G199" s="67">
        <f t="shared" si="20"/>
        <v>0</v>
      </c>
      <c r="H199" s="67">
        <f t="shared" si="21"/>
        <v>0</v>
      </c>
      <c r="I199" s="68">
        <f t="shared" si="22"/>
        <v>0</v>
      </c>
      <c r="J199" s="68">
        <f t="shared" si="18"/>
        <v>0</v>
      </c>
      <c r="K199" s="69">
        <f t="shared" si="23"/>
        <v>0</v>
      </c>
      <c r="L199" s="69">
        <f t="shared" si="24"/>
        <v>0</v>
      </c>
      <c r="M199" s="69">
        <f t="shared" si="26"/>
        <v>0</v>
      </c>
      <c r="N199" s="67">
        <f t="shared" si="25"/>
        <v>0</v>
      </c>
    </row>
    <row r="200" spans="6:14" x14ac:dyDescent="0.2">
      <c r="F200" s="67">
        <f t="shared" si="19"/>
        <v>0</v>
      </c>
      <c r="G200" s="67">
        <f t="shared" si="20"/>
        <v>0</v>
      </c>
      <c r="H200" s="67">
        <f t="shared" si="21"/>
        <v>0</v>
      </c>
      <c r="I200" s="68">
        <f t="shared" si="22"/>
        <v>0</v>
      </c>
      <c r="J200" s="68">
        <f t="shared" si="18"/>
        <v>0</v>
      </c>
      <c r="K200" s="69">
        <f t="shared" si="23"/>
        <v>0</v>
      </c>
      <c r="L200" s="69">
        <f t="shared" si="24"/>
        <v>0</v>
      </c>
      <c r="M200" s="69">
        <f t="shared" si="26"/>
        <v>0</v>
      </c>
      <c r="N200" s="67">
        <f t="shared" si="25"/>
        <v>0</v>
      </c>
    </row>
    <row r="201" spans="6:14" x14ac:dyDescent="0.2">
      <c r="F201" s="67">
        <f t="shared" si="19"/>
        <v>0</v>
      </c>
      <c r="G201" s="67">
        <f t="shared" si="20"/>
        <v>0</v>
      </c>
      <c r="H201" s="67">
        <f t="shared" si="21"/>
        <v>0</v>
      </c>
      <c r="I201" s="68">
        <f t="shared" si="22"/>
        <v>0</v>
      </c>
      <c r="J201" s="68">
        <f t="shared" si="18"/>
        <v>0</v>
      </c>
      <c r="K201" s="69">
        <f t="shared" si="23"/>
        <v>0</v>
      </c>
      <c r="L201" s="69">
        <f t="shared" si="24"/>
        <v>0</v>
      </c>
      <c r="M201" s="69">
        <f t="shared" si="26"/>
        <v>0</v>
      </c>
      <c r="N201" s="67">
        <f t="shared" si="25"/>
        <v>0</v>
      </c>
    </row>
    <row r="202" spans="6:14" x14ac:dyDescent="0.2">
      <c r="F202" s="67">
        <f t="shared" si="19"/>
        <v>0</v>
      </c>
      <c r="G202" s="67">
        <f t="shared" si="20"/>
        <v>0</v>
      </c>
      <c r="H202" s="67">
        <f t="shared" si="21"/>
        <v>0</v>
      </c>
      <c r="I202" s="68">
        <f t="shared" si="22"/>
        <v>0</v>
      </c>
      <c r="J202" s="68">
        <f t="shared" si="18"/>
        <v>0</v>
      </c>
      <c r="K202" s="69">
        <f t="shared" si="23"/>
        <v>0</v>
      </c>
      <c r="L202" s="69">
        <f t="shared" si="24"/>
        <v>0</v>
      </c>
      <c r="M202" s="69">
        <f t="shared" si="26"/>
        <v>0</v>
      </c>
      <c r="N202" s="67">
        <f t="shared" si="25"/>
        <v>0</v>
      </c>
    </row>
    <row r="203" spans="6:14" x14ac:dyDescent="0.2">
      <c r="F203" s="67">
        <f t="shared" si="19"/>
        <v>0</v>
      </c>
      <c r="G203" s="67">
        <f t="shared" si="20"/>
        <v>0</v>
      </c>
      <c r="H203" s="67">
        <f t="shared" si="21"/>
        <v>0</v>
      </c>
      <c r="I203" s="68">
        <f t="shared" si="22"/>
        <v>0</v>
      </c>
      <c r="J203" s="68">
        <f t="shared" si="18"/>
        <v>0</v>
      </c>
      <c r="K203" s="69">
        <f t="shared" si="23"/>
        <v>0</v>
      </c>
      <c r="L203" s="69">
        <f t="shared" si="24"/>
        <v>0</v>
      </c>
      <c r="M203" s="69">
        <f t="shared" si="26"/>
        <v>0</v>
      </c>
      <c r="N203" s="67">
        <f t="shared" si="25"/>
        <v>0</v>
      </c>
    </row>
    <row r="204" spans="6:14" x14ac:dyDescent="0.2">
      <c r="F204" s="67">
        <f t="shared" si="19"/>
        <v>0</v>
      </c>
      <c r="G204" s="67">
        <f t="shared" si="20"/>
        <v>0</v>
      </c>
      <c r="H204" s="67">
        <f t="shared" si="21"/>
        <v>0</v>
      </c>
      <c r="I204" s="68">
        <f t="shared" si="22"/>
        <v>0</v>
      </c>
      <c r="J204" s="68">
        <f t="shared" ref="J204:J267" si="27">IF($C$14=0,0,IF(ROUND(C204,0)=0,0,SQRT(C204/$C$14)))</f>
        <v>0</v>
      </c>
      <c r="K204" s="69">
        <f t="shared" si="23"/>
        <v>0</v>
      </c>
      <c r="L204" s="69">
        <f t="shared" si="24"/>
        <v>0</v>
      </c>
      <c r="M204" s="69">
        <f t="shared" si="26"/>
        <v>0</v>
      </c>
      <c r="N204" s="67">
        <f t="shared" si="25"/>
        <v>0</v>
      </c>
    </row>
    <row r="205" spans="6:14" x14ac:dyDescent="0.2">
      <c r="F205" s="67">
        <f t="shared" si="19"/>
        <v>0</v>
      </c>
      <c r="G205" s="67">
        <f t="shared" si="20"/>
        <v>0</v>
      </c>
      <c r="H205" s="67">
        <f t="shared" si="21"/>
        <v>0</v>
      </c>
      <c r="I205" s="68">
        <f t="shared" si="22"/>
        <v>0</v>
      </c>
      <c r="J205" s="68">
        <f t="shared" si="27"/>
        <v>0</v>
      </c>
      <c r="K205" s="69">
        <f t="shared" si="23"/>
        <v>0</v>
      </c>
      <c r="L205" s="69">
        <f t="shared" si="24"/>
        <v>0</v>
      </c>
      <c r="M205" s="69">
        <f t="shared" si="26"/>
        <v>0</v>
      </c>
      <c r="N205" s="67">
        <f t="shared" si="25"/>
        <v>0</v>
      </c>
    </row>
    <row r="206" spans="6:14" x14ac:dyDescent="0.2">
      <c r="F206" s="67">
        <f t="shared" ref="F206:F269" si="28">ROUND(IF(ROUND(C206,0)=0,0,IF(D206&gt;0,251/D206,IF(ISERROR(VALUE(F205)),0,IF(C205=0,0,F205/C205*C206)))),0)</f>
        <v>0</v>
      </c>
      <c r="G206" s="67">
        <f t="shared" ref="G206:G269" si="29">IF(F206&gt;0,C206/F206/2,0)</f>
        <v>0</v>
      </c>
      <c r="H206" s="67">
        <f t="shared" ref="H206:H269" si="30">IF(G206=0,0,G206+C206/251*$B$6)</f>
        <v>0</v>
      </c>
      <c r="I206" s="68">
        <f t="shared" ref="I206:I269" si="31">IF(K206&gt;0,IF(ROUND(251/K206,0)&gt;100,100,ROUND(251/K206,0)),0)</f>
        <v>0</v>
      </c>
      <c r="J206" s="68">
        <f t="shared" si="27"/>
        <v>0</v>
      </c>
      <c r="K206" s="69">
        <f t="shared" ref="K206:K269" si="32">IF($J$11=0,0,$B$5/$J$11*J206)</f>
        <v>0</v>
      </c>
      <c r="L206" s="69">
        <f t="shared" ref="L206:L269" si="33">IF(K206=0,0,IF(B206/K206&lt;1000,1000,B206/K206))</f>
        <v>0</v>
      </c>
      <c r="M206" s="69">
        <f t="shared" si="26"/>
        <v>0</v>
      </c>
      <c r="N206" s="67">
        <f t="shared" ref="N206:N269" si="34">IF(M206=0,0,M206+C206/251*$B$7)</f>
        <v>0</v>
      </c>
    </row>
    <row r="207" spans="6:14" x14ac:dyDescent="0.2">
      <c r="F207" s="67">
        <f t="shared" si="28"/>
        <v>0</v>
      </c>
      <c r="G207" s="67">
        <f t="shared" si="29"/>
        <v>0</v>
      </c>
      <c r="H207" s="67">
        <f t="shared" si="30"/>
        <v>0</v>
      </c>
      <c r="I207" s="68">
        <f t="shared" si="31"/>
        <v>0</v>
      </c>
      <c r="J207" s="68">
        <f t="shared" si="27"/>
        <v>0</v>
      </c>
      <c r="K207" s="69">
        <f t="shared" si="32"/>
        <v>0</v>
      </c>
      <c r="L207" s="69">
        <f t="shared" si="33"/>
        <v>0</v>
      </c>
      <c r="M207" s="69">
        <f t="shared" ref="M207:M270" si="35">IF(K207&gt;0,C207/K207/2,0)</f>
        <v>0</v>
      </c>
      <c r="N207" s="67">
        <f t="shared" si="34"/>
        <v>0</v>
      </c>
    </row>
    <row r="208" spans="6:14" x14ac:dyDescent="0.2">
      <c r="F208" s="67">
        <f t="shared" si="28"/>
        <v>0</v>
      </c>
      <c r="G208" s="67">
        <f t="shared" si="29"/>
        <v>0</v>
      </c>
      <c r="H208" s="67">
        <f t="shared" si="30"/>
        <v>0</v>
      </c>
      <c r="I208" s="68">
        <f t="shared" si="31"/>
        <v>0</v>
      </c>
      <c r="J208" s="68">
        <f t="shared" si="27"/>
        <v>0</v>
      </c>
      <c r="K208" s="69">
        <f t="shared" si="32"/>
        <v>0</v>
      </c>
      <c r="L208" s="69">
        <f t="shared" si="33"/>
        <v>0</v>
      </c>
      <c r="M208" s="69">
        <f t="shared" si="35"/>
        <v>0</v>
      </c>
      <c r="N208" s="67">
        <f t="shared" si="34"/>
        <v>0</v>
      </c>
    </row>
    <row r="209" spans="6:14" x14ac:dyDescent="0.2">
      <c r="F209" s="67">
        <f t="shared" si="28"/>
        <v>0</v>
      </c>
      <c r="G209" s="67">
        <f t="shared" si="29"/>
        <v>0</v>
      </c>
      <c r="H209" s="67">
        <f t="shared" si="30"/>
        <v>0</v>
      </c>
      <c r="I209" s="68">
        <f t="shared" si="31"/>
        <v>0</v>
      </c>
      <c r="J209" s="68">
        <f t="shared" si="27"/>
        <v>0</v>
      </c>
      <c r="K209" s="69">
        <f t="shared" si="32"/>
        <v>0</v>
      </c>
      <c r="L209" s="69">
        <f t="shared" si="33"/>
        <v>0</v>
      </c>
      <c r="M209" s="69">
        <f t="shared" si="35"/>
        <v>0</v>
      </c>
      <c r="N209" s="67">
        <f t="shared" si="34"/>
        <v>0</v>
      </c>
    </row>
    <row r="210" spans="6:14" x14ac:dyDescent="0.2">
      <c r="F210" s="67">
        <f t="shared" si="28"/>
        <v>0</v>
      </c>
      <c r="G210" s="67">
        <f t="shared" si="29"/>
        <v>0</v>
      </c>
      <c r="H210" s="67">
        <f t="shared" si="30"/>
        <v>0</v>
      </c>
      <c r="I210" s="68">
        <f t="shared" si="31"/>
        <v>0</v>
      </c>
      <c r="J210" s="68">
        <f t="shared" si="27"/>
        <v>0</v>
      </c>
      <c r="K210" s="69">
        <f t="shared" si="32"/>
        <v>0</v>
      </c>
      <c r="L210" s="69">
        <f t="shared" si="33"/>
        <v>0</v>
      </c>
      <c r="M210" s="69">
        <f t="shared" si="35"/>
        <v>0</v>
      </c>
      <c r="N210" s="67">
        <f t="shared" si="34"/>
        <v>0</v>
      </c>
    </row>
    <row r="211" spans="6:14" x14ac:dyDescent="0.2">
      <c r="F211" s="67">
        <f t="shared" si="28"/>
        <v>0</v>
      </c>
      <c r="G211" s="67">
        <f t="shared" si="29"/>
        <v>0</v>
      </c>
      <c r="H211" s="67">
        <f t="shared" si="30"/>
        <v>0</v>
      </c>
      <c r="I211" s="68">
        <f t="shared" si="31"/>
        <v>0</v>
      </c>
      <c r="J211" s="68">
        <f t="shared" si="27"/>
        <v>0</v>
      </c>
      <c r="K211" s="69">
        <f t="shared" si="32"/>
        <v>0</v>
      </c>
      <c r="L211" s="69">
        <f t="shared" si="33"/>
        <v>0</v>
      </c>
      <c r="M211" s="69">
        <f t="shared" si="35"/>
        <v>0</v>
      </c>
      <c r="N211" s="67">
        <f t="shared" si="34"/>
        <v>0</v>
      </c>
    </row>
    <row r="212" spans="6:14" x14ac:dyDescent="0.2">
      <c r="F212" s="67">
        <f t="shared" si="28"/>
        <v>0</v>
      </c>
      <c r="G212" s="67">
        <f t="shared" si="29"/>
        <v>0</v>
      </c>
      <c r="H212" s="67">
        <f t="shared" si="30"/>
        <v>0</v>
      </c>
      <c r="I212" s="68">
        <f t="shared" si="31"/>
        <v>0</v>
      </c>
      <c r="J212" s="68">
        <f t="shared" si="27"/>
        <v>0</v>
      </c>
      <c r="K212" s="69">
        <f t="shared" si="32"/>
        <v>0</v>
      </c>
      <c r="L212" s="69">
        <f t="shared" si="33"/>
        <v>0</v>
      </c>
      <c r="M212" s="69">
        <f t="shared" si="35"/>
        <v>0</v>
      </c>
      <c r="N212" s="67">
        <f t="shared" si="34"/>
        <v>0</v>
      </c>
    </row>
    <row r="213" spans="6:14" x14ac:dyDescent="0.2">
      <c r="F213" s="67">
        <f t="shared" si="28"/>
        <v>0</v>
      </c>
      <c r="G213" s="67">
        <f t="shared" si="29"/>
        <v>0</v>
      </c>
      <c r="H213" s="67">
        <f t="shared" si="30"/>
        <v>0</v>
      </c>
      <c r="I213" s="68">
        <f t="shared" si="31"/>
        <v>0</v>
      </c>
      <c r="J213" s="68">
        <f t="shared" si="27"/>
        <v>0</v>
      </c>
      <c r="K213" s="69">
        <f t="shared" si="32"/>
        <v>0</v>
      </c>
      <c r="L213" s="69">
        <f t="shared" si="33"/>
        <v>0</v>
      </c>
      <c r="M213" s="69">
        <f t="shared" si="35"/>
        <v>0</v>
      </c>
      <c r="N213" s="67">
        <f t="shared" si="34"/>
        <v>0</v>
      </c>
    </row>
    <row r="214" spans="6:14" x14ac:dyDescent="0.2">
      <c r="F214" s="67">
        <f t="shared" si="28"/>
        <v>0</v>
      </c>
      <c r="G214" s="67">
        <f t="shared" si="29"/>
        <v>0</v>
      </c>
      <c r="H214" s="67">
        <f t="shared" si="30"/>
        <v>0</v>
      </c>
      <c r="I214" s="68">
        <f t="shared" si="31"/>
        <v>0</v>
      </c>
      <c r="J214" s="68">
        <f t="shared" si="27"/>
        <v>0</v>
      </c>
      <c r="K214" s="69">
        <f t="shared" si="32"/>
        <v>0</v>
      </c>
      <c r="L214" s="69">
        <f t="shared" si="33"/>
        <v>0</v>
      </c>
      <c r="M214" s="69">
        <f t="shared" si="35"/>
        <v>0</v>
      </c>
      <c r="N214" s="67">
        <f t="shared" si="34"/>
        <v>0</v>
      </c>
    </row>
    <row r="215" spans="6:14" x14ac:dyDescent="0.2">
      <c r="F215" s="67">
        <f t="shared" si="28"/>
        <v>0</v>
      </c>
      <c r="G215" s="67">
        <f t="shared" si="29"/>
        <v>0</v>
      </c>
      <c r="H215" s="67">
        <f t="shared" si="30"/>
        <v>0</v>
      </c>
      <c r="I215" s="68">
        <f t="shared" si="31"/>
        <v>0</v>
      </c>
      <c r="J215" s="68">
        <f t="shared" si="27"/>
        <v>0</v>
      </c>
      <c r="K215" s="69">
        <f t="shared" si="32"/>
        <v>0</v>
      </c>
      <c r="L215" s="69">
        <f t="shared" si="33"/>
        <v>0</v>
      </c>
      <c r="M215" s="69">
        <f t="shared" si="35"/>
        <v>0</v>
      </c>
      <c r="N215" s="67">
        <f t="shared" si="34"/>
        <v>0</v>
      </c>
    </row>
    <row r="216" spans="6:14" x14ac:dyDescent="0.2">
      <c r="F216" s="67">
        <f t="shared" si="28"/>
        <v>0</v>
      </c>
      <c r="G216" s="67">
        <f t="shared" si="29"/>
        <v>0</v>
      </c>
      <c r="H216" s="67">
        <f t="shared" si="30"/>
        <v>0</v>
      </c>
      <c r="I216" s="68">
        <f t="shared" si="31"/>
        <v>0</v>
      </c>
      <c r="J216" s="68">
        <f t="shared" si="27"/>
        <v>0</v>
      </c>
      <c r="K216" s="69">
        <f t="shared" si="32"/>
        <v>0</v>
      </c>
      <c r="L216" s="69">
        <f t="shared" si="33"/>
        <v>0</v>
      </c>
      <c r="M216" s="69">
        <f t="shared" si="35"/>
        <v>0</v>
      </c>
      <c r="N216" s="67">
        <f t="shared" si="34"/>
        <v>0</v>
      </c>
    </row>
    <row r="217" spans="6:14" x14ac:dyDescent="0.2">
      <c r="F217" s="67">
        <f t="shared" si="28"/>
        <v>0</v>
      </c>
      <c r="G217" s="67">
        <f t="shared" si="29"/>
        <v>0</v>
      </c>
      <c r="H217" s="67">
        <f t="shared" si="30"/>
        <v>0</v>
      </c>
      <c r="I217" s="68">
        <f t="shared" si="31"/>
        <v>0</v>
      </c>
      <c r="J217" s="68">
        <f t="shared" si="27"/>
        <v>0</v>
      </c>
      <c r="K217" s="69">
        <f t="shared" si="32"/>
        <v>0</v>
      </c>
      <c r="L217" s="69">
        <f t="shared" si="33"/>
        <v>0</v>
      </c>
      <c r="M217" s="69">
        <f t="shared" si="35"/>
        <v>0</v>
      </c>
      <c r="N217" s="67">
        <f t="shared" si="34"/>
        <v>0</v>
      </c>
    </row>
    <row r="218" spans="6:14" x14ac:dyDescent="0.2">
      <c r="F218" s="67">
        <f t="shared" si="28"/>
        <v>0</v>
      </c>
      <c r="G218" s="67">
        <f t="shared" si="29"/>
        <v>0</v>
      </c>
      <c r="H218" s="67">
        <f t="shared" si="30"/>
        <v>0</v>
      </c>
      <c r="I218" s="68">
        <f t="shared" si="31"/>
        <v>0</v>
      </c>
      <c r="J218" s="68">
        <f t="shared" si="27"/>
        <v>0</v>
      </c>
      <c r="K218" s="69">
        <f t="shared" si="32"/>
        <v>0</v>
      </c>
      <c r="L218" s="69">
        <f t="shared" si="33"/>
        <v>0</v>
      </c>
      <c r="M218" s="69">
        <f t="shared" si="35"/>
        <v>0</v>
      </c>
      <c r="N218" s="67">
        <f t="shared" si="34"/>
        <v>0</v>
      </c>
    </row>
    <row r="219" spans="6:14" x14ac:dyDescent="0.2">
      <c r="F219" s="67">
        <f t="shared" si="28"/>
        <v>0</v>
      </c>
      <c r="G219" s="67">
        <f t="shared" si="29"/>
        <v>0</v>
      </c>
      <c r="H219" s="67">
        <f t="shared" si="30"/>
        <v>0</v>
      </c>
      <c r="I219" s="68">
        <f t="shared" si="31"/>
        <v>0</v>
      </c>
      <c r="J219" s="68">
        <f t="shared" si="27"/>
        <v>0</v>
      </c>
      <c r="K219" s="69">
        <f t="shared" si="32"/>
        <v>0</v>
      </c>
      <c r="L219" s="69">
        <f t="shared" si="33"/>
        <v>0</v>
      </c>
      <c r="M219" s="69">
        <f t="shared" si="35"/>
        <v>0</v>
      </c>
      <c r="N219" s="67">
        <f t="shared" si="34"/>
        <v>0</v>
      </c>
    </row>
    <row r="220" spans="6:14" x14ac:dyDescent="0.2">
      <c r="F220" s="67">
        <f t="shared" si="28"/>
        <v>0</v>
      </c>
      <c r="G220" s="67">
        <f t="shared" si="29"/>
        <v>0</v>
      </c>
      <c r="H220" s="67">
        <f t="shared" si="30"/>
        <v>0</v>
      </c>
      <c r="I220" s="68">
        <f t="shared" si="31"/>
        <v>0</v>
      </c>
      <c r="J220" s="68">
        <f t="shared" si="27"/>
        <v>0</v>
      </c>
      <c r="K220" s="69">
        <f t="shared" si="32"/>
        <v>0</v>
      </c>
      <c r="L220" s="69">
        <f t="shared" si="33"/>
        <v>0</v>
      </c>
      <c r="M220" s="69">
        <f t="shared" si="35"/>
        <v>0</v>
      </c>
      <c r="N220" s="67">
        <f t="shared" si="34"/>
        <v>0</v>
      </c>
    </row>
    <row r="221" spans="6:14" x14ac:dyDescent="0.2">
      <c r="F221" s="67">
        <f t="shared" si="28"/>
        <v>0</v>
      </c>
      <c r="G221" s="67">
        <f t="shared" si="29"/>
        <v>0</v>
      </c>
      <c r="H221" s="67">
        <f t="shared" si="30"/>
        <v>0</v>
      </c>
      <c r="I221" s="68">
        <f t="shared" si="31"/>
        <v>0</v>
      </c>
      <c r="J221" s="68">
        <f t="shared" si="27"/>
        <v>0</v>
      </c>
      <c r="K221" s="69">
        <f t="shared" si="32"/>
        <v>0</v>
      </c>
      <c r="L221" s="69">
        <f t="shared" si="33"/>
        <v>0</v>
      </c>
      <c r="M221" s="69">
        <f t="shared" si="35"/>
        <v>0</v>
      </c>
      <c r="N221" s="67">
        <f t="shared" si="34"/>
        <v>0</v>
      </c>
    </row>
    <row r="222" spans="6:14" x14ac:dyDescent="0.2">
      <c r="F222" s="67">
        <f t="shared" si="28"/>
        <v>0</v>
      </c>
      <c r="G222" s="67">
        <f t="shared" si="29"/>
        <v>0</v>
      </c>
      <c r="H222" s="67">
        <f t="shared" si="30"/>
        <v>0</v>
      </c>
      <c r="I222" s="68">
        <f t="shared" si="31"/>
        <v>0</v>
      </c>
      <c r="J222" s="68">
        <f t="shared" si="27"/>
        <v>0</v>
      </c>
      <c r="K222" s="69">
        <f t="shared" si="32"/>
        <v>0</v>
      </c>
      <c r="L222" s="69">
        <f t="shared" si="33"/>
        <v>0</v>
      </c>
      <c r="M222" s="69">
        <f t="shared" si="35"/>
        <v>0</v>
      </c>
      <c r="N222" s="67">
        <f t="shared" si="34"/>
        <v>0</v>
      </c>
    </row>
    <row r="223" spans="6:14" x14ac:dyDescent="0.2">
      <c r="F223" s="67">
        <f t="shared" si="28"/>
        <v>0</v>
      </c>
      <c r="G223" s="67">
        <f t="shared" si="29"/>
        <v>0</v>
      </c>
      <c r="H223" s="67">
        <f t="shared" si="30"/>
        <v>0</v>
      </c>
      <c r="I223" s="68">
        <f t="shared" si="31"/>
        <v>0</v>
      </c>
      <c r="J223" s="68">
        <f t="shared" si="27"/>
        <v>0</v>
      </c>
      <c r="K223" s="69">
        <f t="shared" si="32"/>
        <v>0</v>
      </c>
      <c r="L223" s="69">
        <f t="shared" si="33"/>
        <v>0</v>
      </c>
      <c r="M223" s="69">
        <f t="shared" si="35"/>
        <v>0</v>
      </c>
      <c r="N223" s="67">
        <f t="shared" si="34"/>
        <v>0</v>
      </c>
    </row>
    <row r="224" spans="6:14" x14ac:dyDescent="0.2">
      <c r="F224" s="67">
        <f t="shared" si="28"/>
        <v>0</v>
      </c>
      <c r="G224" s="67">
        <f t="shared" si="29"/>
        <v>0</v>
      </c>
      <c r="H224" s="67">
        <f t="shared" si="30"/>
        <v>0</v>
      </c>
      <c r="I224" s="68">
        <f t="shared" si="31"/>
        <v>0</v>
      </c>
      <c r="J224" s="68">
        <f t="shared" si="27"/>
        <v>0</v>
      </c>
      <c r="K224" s="69">
        <f t="shared" si="32"/>
        <v>0</v>
      </c>
      <c r="L224" s="69">
        <f t="shared" si="33"/>
        <v>0</v>
      </c>
      <c r="M224" s="69">
        <f t="shared" si="35"/>
        <v>0</v>
      </c>
      <c r="N224" s="67">
        <f t="shared" si="34"/>
        <v>0</v>
      </c>
    </row>
    <row r="225" spans="6:14" x14ac:dyDescent="0.2">
      <c r="F225" s="67">
        <f t="shared" si="28"/>
        <v>0</v>
      </c>
      <c r="G225" s="67">
        <f t="shared" si="29"/>
        <v>0</v>
      </c>
      <c r="H225" s="67">
        <f t="shared" si="30"/>
        <v>0</v>
      </c>
      <c r="I225" s="68">
        <f t="shared" si="31"/>
        <v>0</v>
      </c>
      <c r="J225" s="68">
        <f t="shared" si="27"/>
        <v>0</v>
      </c>
      <c r="K225" s="69">
        <f t="shared" si="32"/>
        <v>0</v>
      </c>
      <c r="L225" s="69">
        <f t="shared" si="33"/>
        <v>0</v>
      </c>
      <c r="M225" s="69">
        <f t="shared" si="35"/>
        <v>0</v>
      </c>
      <c r="N225" s="67">
        <f t="shared" si="34"/>
        <v>0</v>
      </c>
    </row>
    <row r="226" spans="6:14" x14ac:dyDescent="0.2">
      <c r="F226" s="67">
        <f t="shared" si="28"/>
        <v>0</v>
      </c>
      <c r="G226" s="67">
        <f t="shared" si="29"/>
        <v>0</v>
      </c>
      <c r="H226" s="67">
        <f t="shared" si="30"/>
        <v>0</v>
      </c>
      <c r="I226" s="68">
        <f t="shared" si="31"/>
        <v>0</v>
      </c>
      <c r="J226" s="68">
        <f t="shared" si="27"/>
        <v>0</v>
      </c>
      <c r="K226" s="69">
        <f t="shared" si="32"/>
        <v>0</v>
      </c>
      <c r="L226" s="69">
        <f t="shared" si="33"/>
        <v>0</v>
      </c>
      <c r="M226" s="69">
        <f t="shared" si="35"/>
        <v>0</v>
      </c>
      <c r="N226" s="67">
        <f t="shared" si="34"/>
        <v>0</v>
      </c>
    </row>
    <row r="227" spans="6:14" x14ac:dyDescent="0.2">
      <c r="F227" s="67">
        <f t="shared" si="28"/>
        <v>0</v>
      </c>
      <c r="G227" s="67">
        <f t="shared" si="29"/>
        <v>0</v>
      </c>
      <c r="H227" s="67">
        <f t="shared" si="30"/>
        <v>0</v>
      </c>
      <c r="I227" s="68">
        <f t="shared" si="31"/>
        <v>0</v>
      </c>
      <c r="J227" s="68">
        <f t="shared" si="27"/>
        <v>0</v>
      </c>
      <c r="K227" s="69">
        <f t="shared" si="32"/>
        <v>0</v>
      </c>
      <c r="L227" s="69">
        <f t="shared" si="33"/>
        <v>0</v>
      </c>
      <c r="M227" s="69">
        <f t="shared" si="35"/>
        <v>0</v>
      </c>
      <c r="N227" s="67">
        <f t="shared" si="34"/>
        <v>0</v>
      </c>
    </row>
    <row r="228" spans="6:14" x14ac:dyDescent="0.2">
      <c r="F228" s="67">
        <f t="shared" si="28"/>
        <v>0</v>
      </c>
      <c r="G228" s="67">
        <f t="shared" si="29"/>
        <v>0</v>
      </c>
      <c r="H228" s="67">
        <f t="shared" si="30"/>
        <v>0</v>
      </c>
      <c r="I228" s="68">
        <f t="shared" si="31"/>
        <v>0</v>
      </c>
      <c r="J228" s="68">
        <f t="shared" si="27"/>
        <v>0</v>
      </c>
      <c r="K228" s="69">
        <f t="shared" si="32"/>
        <v>0</v>
      </c>
      <c r="L228" s="69">
        <f t="shared" si="33"/>
        <v>0</v>
      </c>
      <c r="M228" s="69">
        <f t="shared" si="35"/>
        <v>0</v>
      </c>
      <c r="N228" s="67">
        <f t="shared" si="34"/>
        <v>0</v>
      </c>
    </row>
    <row r="229" spans="6:14" x14ac:dyDescent="0.2">
      <c r="F229" s="67">
        <f t="shared" si="28"/>
        <v>0</v>
      </c>
      <c r="G229" s="67">
        <f t="shared" si="29"/>
        <v>0</v>
      </c>
      <c r="H229" s="67">
        <f t="shared" si="30"/>
        <v>0</v>
      </c>
      <c r="I229" s="68">
        <f t="shared" si="31"/>
        <v>0</v>
      </c>
      <c r="J229" s="68">
        <f t="shared" si="27"/>
        <v>0</v>
      </c>
      <c r="K229" s="69">
        <f t="shared" si="32"/>
        <v>0</v>
      </c>
      <c r="L229" s="69">
        <f t="shared" si="33"/>
        <v>0</v>
      </c>
      <c r="M229" s="69">
        <f t="shared" si="35"/>
        <v>0</v>
      </c>
      <c r="N229" s="67">
        <f t="shared" si="34"/>
        <v>0</v>
      </c>
    </row>
    <row r="230" spans="6:14" x14ac:dyDescent="0.2">
      <c r="F230" s="67">
        <f t="shared" si="28"/>
        <v>0</v>
      </c>
      <c r="G230" s="67">
        <f t="shared" si="29"/>
        <v>0</v>
      </c>
      <c r="H230" s="67">
        <f t="shared" si="30"/>
        <v>0</v>
      </c>
      <c r="I230" s="68">
        <f t="shared" si="31"/>
        <v>0</v>
      </c>
      <c r="J230" s="68">
        <f t="shared" si="27"/>
        <v>0</v>
      </c>
      <c r="K230" s="69">
        <f t="shared" si="32"/>
        <v>0</v>
      </c>
      <c r="L230" s="69">
        <f t="shared" si="33"/>
        <v>0</v>
      </c>
      <c r="M230" s="69">
        <f t="shared" si="35"/>
        <v>0</v>
      </c>
      <c r="N230" s="67">
        <f t="shared" si="34"/>
        <v>0</v>
      </c>
    </row>
    <row r="231" spans="6:14" x14ac:dyDescent="0.2">
      <c r="F231" s="67">
        <f t="shared" si="28"/>
        <v>0</v>
      </c>
      <c r="G231" s="67">
        <f t="shared" si="29"/>
        <v>0</v>
      </c>
      <c r="H231" s="67">
        <f t="shared" si="30"/>
        <v>0</v>
      </c>
      <c r="I231" s="68">
        <f t="shared" si="31"/>
        <v>0</v>
      </c>
      <c r="J231" s="68">
        <f t="shared" si="27"/>
        <v>0</v>
      </c>
      <c r="K231" s="69">
        <f t="shared" si="32"/>
        <v>0</v>
      </c>
      <c r="L231" s="69">
        <f t="shared" si="33"/>
        <v>0</v>
      </c>
      <c r="M231" s="69">
        <f t="shared" si="35"/>
        <v>0</v>
      </c>
      <c r="N231" s="67">
        <f t="shared" si="34"/>
        <v>0</v>
      </c>
    </row>
    <row r="232" spans="6:14" x14ac:dyDescent="0.2">
      <c r="F232" s="67">
        <f t="shared" si="28"/>
        <v>0</v>
      </c>
      <c r="G232" s="67">
        <f t="shared" si="29"/>
        <v>0</v>
      </c>
      <c r="H232" s="67">
        <f t="shared" si="30"/>
        <v>0</v>
      </c>
      <c r="I232" s="68">
        <f t="shared" si="31"/>
        <v>0</v>
      </c>
      <c r="J232" s="68">
        <f t="shared" si="27"/>
        <v>0</v>
      </c>
      <c r="K232" s="69">
        <f t="shared" si="32"/>
        <v>0</v>
      </c>
      <c r="L232" s="69">
        <f t="shared" si="33"/>
        <v>0</v>
      </c>
      <c r="M232" s="69">
        <f t="shared" si="35"/>
        <v>0</v>
      </c>
      <c r="N232" s="67">
        <f t="shared" si="34"/>
        <v>0</v>
      </c>
    </row>
    <row r="233" spans="6:14" x14ac:dyDescent="0.2">
      <c r="F233" s="67">
        <f t="shared" si="28"/>
        <v>0</v>
      </c>
      <c r="G233" s="67">
        <f t="shared" si="29"/>
        <v>0</v>
      </c>
      <c r="H233" s="67">
        <f t="shared" si="30"/>
        <v>0</v>
      </c>
      <c r="I233" s="68">
        <f t="shared" si="31"/>
        <v>0</v>
      </c>
      <c r="J233" s="68">
        <f t="shared" si="27"/>
        <v>0</v>
      </c>
      <c r="K233" s="69">
        <f t="shared" si="32"/>
        <v>0</v>
      </c>
      <c r="L233" s="69">
        <f t="shared" si="33"/>
        <v>0</v>
      </c>
      <c r="M233" s="69">
        <f t="shared" si="35"/>
        <v>0</v>
      </c>
      <c r="N233" s="67">
        <f t="shared" si="34"/>
        <v>0</v>
      </c>
    </row>
    <row r="234" spans="6:14" x14ac:dyDescent="0.2">
      <c r="F234" s="67">
        <f t="shared" si="28"/>
        <v>0</v>
      </c>
      <c r="G234" s="67">
        <f t="shared" si="29"/>
        <v>0</v>
      </c>
      <c r="H234" s="67">
        <f t="shared" si="30"/>
        <v>0</v>
      </c>
      <c r="I234" s="68">
        <f t="shared" si="31"/>
        <v>0</v>
      </c>
      <c r="J234" s="68">
        <f t="shared" si="27"/>
        <v>0</v>
      </c>
      <c r="K234" s="69">
        <f t="shared" si="32"/>
        <v>0</v>
      </c>
      <c r="L234" s="69">
        <f t="shared" si="33"/>
        <v>0</v>
      </c>
      <c r="M234" s="69">
        <f t="shared" si="35"/>
        <v>0</v>
      </c>
      <c r="N234" s="67">
        <f t="shared" si="34"/>
        <v>0</v>
      </c>
    </row>
    <row r="235" spans="6:14" x14ac:dyDescent="0.2">
      <c r="F235" s="67">
        <f t="shared" si="28"/>
        <v>0</v>
      </c>
      <c r="G235" s="67">
        <f t="shared" si="29"/>
        <v>0</v>
      </c>
      <c r="H235" s="67">
        <f t="shared" si="30"/>
        <v>0</v>
      </c>
      <c r="I235" s="68">
        <f t="shared" si="31"/>
        <v>0</v>
      </c>
      <c r="J235" s="68">
        <f t="shared" si="27"/>
        <v>0</v>
      </c>
      <c r="K235" s="69">
        <f t="shared" si="32"/>
        <v>0</v>
      </c>
      <c r="L235" s="69">
        <f t="shared" si="33"/>
        <v>0</v>
      </c>
      <c r="M235" s="69">
        <f t="shared" si="35"/>
        <v>0</v>
      </c>
      <c r="N235" s="67">
        <f t="shared" si="34"/>
        <v>0</v>
      </c>
    </row>
    <row r="236" spans="6:14" x14ac:dyDescent="0.2">
      <c r="F236" s="67">
        <f t="shared" si="28"/>
        <v>0</v>
      </c>
      <c r="G236" s="67">
        <f t="shared" si="29"/>
        <v>0</v>
      </c>
      <c r="H236" s="67">
        <f t="shared" si="30"/>
        <v>0</v>
      </c>
      <c r="I236" s="68">
        <f t="shared" si="31"/>
        <v>0</v>
      </c>
      <c r="J236" s="68">
        <f t="shared" si="27"/>
        <v>0</v>
      </c>
      <c r="K236" s="69">
        <f t="shared" si="32"/>
        <v>0</v>
      </c>
      <c r="L236" s="69">
        <f t="shared" si="33"/>
        <v>0</v>
      </c>
      <c r="M236" s="69">
        <f t="shared" si="35"/>
        <v>0</v>
      </c>
      <c r="N236" s="67">
        <f t="shared" si="34"/>
        <v>0</v>
      </c>
    </row>
    <row r="237" spans="6:14" x14ac:dyDescent="0.2">
      <c r="F237" s="67">
        <f t="shared" si="28"/>
        <v>0</v>
      </c>
      <c r="G237" s="67">
        <f t="shared" si="29"/>
        <v>0</v>
      </c>
      <c r="H237" s="67">
        <f t="shared" si="30"/>
        <v>0</v>
      </c>
      <c r="I237" s="68">
        <f t="shared" si="31"/>
        <v>0</v>
      </c>
      <c r="J237" s="68">
        <f t="shared" si="27"/>
        <v>0</v>
      </c>
      <c r="K237" s="69">
        <f t="shared" si="32"/>
        <v>0</v>
      </c>
      <c r="L237" s="69">
        <f t="shared" si="33"/>
        <v>0</v>
      </c>
      <c r="M237" s="69">
        <f t="shared" si="35"/>
        <v>0</v>
      </c>
      <c r="N237" s="67">
        <f t="shared" si="34"/>
        <v>0</v>
      </c>
    </row>
    <row r="238" spans="6:14" x14ac:dyDescent="0.2">
      <c r="F238" s="67">
        <f t="shared" si="28"/>
        <v>0</v>
      </c>
      <c r="G238" s="67">
        <f t="shared" si="29"/>
        <v>0</v>
      </c>
      <c r="H238" s="67">
        <f t="shared" si="30"/>
        <v>0</v>
      </c>
      <c r="I238" s="68">
        <f t="shared" si="31"/>
        <v>0</v>
      </c>
      <c r="J238" s="68">
        <f t="shared" si="27"/>
        <v>0</v>
      </c>
      <c r="K238" s="69">
        <f t="shared" si="32"/>
        <v>0</v>
      </c>
      <c r="L238" s="69">
        <f t="shared" si="33"/>
        <v>0</v>
      </c>
      <c r="M238" s="69">
        <f t="shared" si="35"/>
        <v>0</v>
      </c>
      <c r="N238" s="67">
        <f t="shared" si="34"/>
        <v>0</v>
      </c>
    </row>
    <row r="239" spans="6:14" x14ac:dyDescent="0.2">
      <c r="F239" s="67">
        <f t="shared" si="28"/>
        <v>0</v>
      </c>
      <c r="G239" s="67">
        <f t="shared" si="29"/>
        <v>0</v>
      </c>
      <c r="H239" s="67">
        <f t="shared" si="30"/>
        <v>0</v>
      </c>
      <c r="I239" s="68">
        <f t="shared" si="31"/>
        <v>0</v>
      </c>
      <c r="J239" s="68">
        <f t="shared" si="27"/>
        <v>0</v>
      </c>
      <c r="K239" s="69">
        <f t="shared" si="32"/>
        <v>0</v>
      </c>
      <c r="L239" s="69">
        <f t="shared" si="33"/>
        <v>0</v>
      </c>
      <c r="M239" s="69">
        <f t="shared" si="35"/>
        <v>0</v>
      </c>
      <c r="N239" s="67">
        <f t="shared" si="34"/>
        <v>0</v>
      </c>
    </row>
    <row r="240" spans="6:14" x14ac:dyDescent="0.2">
      <c r="F240" s="67">
        <f t="shared" si="28"/>
        <v>0</v>
      </c>
      <c r="G240" s="67">
        <f t="shared" si="29"/>
        <v>0</v>
      </c>
      <c r="H240" s="67">
        <f t="shared" si="30"/>
        <v>0</v>
      </c>
      <c r="I240" s="68">
        <f t="shared" si="31"/>
        <v>0</v>
      </c>
      <c r="J240" s="68">
        <f t="shared" si="27"/>
        <v>0</v>
      </c>
      <c r="K240" s="69">
        <f t="shared" si="32"/>
        <v>0</v>
      </c>
      <c r="L240" s="69">
        <f t="shared" si="33"/>
        <v>0</v>
      </c>
      <c r="M240" s="69">
        <f t="shared" si="35"/>
        <v>0</v>
      </c>
      <c r="N240" s="67">
        <f t="shared" si="34"/>
        <v>0</v>
      </c>
    </row>
    <row r="241" spans="6:14" x14ac:dyDescent="0.2">
      <c r="F241" s="67">
        <f t="shared" si="28"/>
        <v>0</v>
      </c>
      <c r="G241" s="67">
        <f t="shared" si="29"/>
        <v>0</v>
      </c>
      <c r="H241" s="67">
        <f t="shared" si="30"/>
        <v>0</v>
      </c>
      <c r="I241" s="68">
        <f t="shared" si="31"/>
        <v>0</v>
      </c>
      <c r="J241" s="68">
        <f t="shared" si="27"/>
        <v>0</v>
      </c>
      <c r="K241" s="69">
        <f t="shared" si="32"/>
        <v>0</v>
      </c>
      <c r="L241" s="69">
        <f t="shared" si="33"/>
        <v>0</v>
      </c>
      <c r="M241" s="69">
        <f t="shared" si="35"/>
        <v>0</v>
      </c>
      <c r="N241" s="67">
        <f t="shared" si="34"/>
        <v>0</v>
      </c>
    </row>
    <row r="242" spans="6:14" x14ac:dyDescent="0.2">
      <c r="F242" s="67">
        <f t="shared" si="28"/>
        <v>0</v>
      </c>
      <c r="G242" s="67">
        <f t="shared" si="29"/>
        <v>0</v>
      </c>
      <c r="H242" s="67">
        <f t="shared" si="30"/>
        <v>0</v>
      </c>
      <c r="I242" s="68">
        <f t="shared" si="31"/>
        <v>0</v>
      </c>
      <c r="J242" s="68">
        <f t="shared" si="27"/>
        <v>0</v>
      </c>
      <c r="K242" s="69">
        <f t="shared" si="32"/>
        <v>0</v>
      </c>
      <c r="L242" s="69">
        <f t="shared" si="33"/>
        <v>0</v>
      </c>
      <c r="M242" s="69">
        <f t="shared" si="35"/>
        <v>0</v>
      </c>
      <c r="N242" s="67">
        <f t="shared" si="34"/>
        <v>0</v>
      </c>
    </row>
    <row r="243" spans="6:14" x14ac:dyDescent="0.2">
      <c r="F243" s="67">
        <f t="shared" si="28"/>
        <v>0</v>
      </c>
      <c r="G243" s="67">
        <f t="shared" si="29"/>
        <v>0</v>
      </c>
      <c r="H243" s="67">
        <f t="shared" si="30"/>
        <v>0</v>
      </c>
      <c r="I243" s="68">
        <f t="shared" si="31"/>
        <v>0</v>
      </c>
      <c r="J243" s="68">
        <f t="shared" si="27"/>
        <v>0</v>
      </c>
      <c r="K243" s="69">
        <f t="shared" si="32"/>
        <v>0</v>
      </c>
      <c r="L243" s="69">
        <f t="shared" si="33"/>
        <v>0</v>
      </c>
      <c r="M243" s="69">
        <f t="shared" si="35"/>
        <v>0</v>
      </c>
      <c r="N243" s="67">
        <f t="shared" si="34"/>
        <v>0</v>
      </c>
    </row>
    <row r="244" spans="6:14" x14ac:dyDescent="0.2">
      <c r="F244" s="67">
        <f t="shared" si="28"/>
        <v>0</v>
      </c>
      <c r="G244" s="67">
        <f t="shared" si="29"/>
        <v>0</v>
      </c>
      <c r="H244" s="67">
        <f t="shared" si="30"/>
        <v>0</v>
      </c>
      <c r="I244" s="68">
        <f t="shared" si="31"/>
        <v>0</v>
      </c>
      <c r="J244" s="68">
        <f t="shared" si="27"/>
        <v>0</v>
      </c>
      <c r="K244" s="69">
        <f t="shared" si="32"/>
        <v>0</v>
      </c>
      <c r="L244" s="69">
        <f t="shared" si="33"/>
        <v>0</v>
      </c>
      <c r="M244" s="69">
        <f t="shared" si="35"/>
        <v>0</v>
      </c>
      <c r="N244" s="67">
        <f t="shared" si="34"/>
        <v>0</v>
      </c>
    </row>
    <row r="245" spans="6:14" x14ac:dyDescent="0.2">
      <c r="F245" s="67">
        <f t="shared" si="28"/>
        <v>0</v>
      </c>
      <c r="G245" s="67">
        <f t="shared" si="29"/>
        <v>0</v>
      </c>
      <c r="H245" s="67">
        <f t="shared" si="30"/>
        <v>0</v>
      </c>
      <c r="I245" s="68">
        <f t="shared" si="31"/>
        <v>0</v>
      </c>
      <c r="J245" s="68">
        <f t="shared" si="27"/>
        <v>0</v>
      </c>
      <c r="K245" s="69">
        <f t="shared" si="32"/>
        <v>0</v>
      </c>
      <c r="L245" s="69">
        <f t="shared" si="33"/>
        <v>0</v>
      </c>
      <c r="M245" s="69">
        <f t="shared" si="35"/>
        <v>0</v>
      </c>
      <c r="N245" s="67">
        <f t="shared" si="34"/>
        <v>0</v>
      </c>
    </row>
    <row r="246" spans="6:14" x14ac:dyDescent="0.2">
      <c r="F246" s="67">
        <f t="shared" si="28"/>
        <v>0</v>
      </c>
      <c r="G246" s="67">
        <f t="shared" si="29"/>
        <v>0</v>
      </c>
      <c r="H246" s="67">
        <f t="shared" si="30"/>
        <v>0</v>
      </c>
      <c r="I246" s="68">
        <f t="shared" si="31"/>
        <v>0</v>
      </c>
      <c r="J246" s="68">
        <f t="shared" si="27"/>
        <v>0</v>
      </c>
      <c r="K246" s="69">
        <f t="shared" si="32"/>
        <v>0</v>
      </c>
      <c r="L246" s="69">
        <f t="shared" si="33"/>
        <v>0</v>
      </c>
      <c r="M246" s="69">
        <f t="shared" si="35"/>
        <v>0</v>
      </c>
      <c r="N246" s="67">
        <f t="shared" si="34"/>
        <v>0</v>
      </c>
    </row>
    <row r="247" spans="6:14" x14ac:dyDescent="0.2">
      <c r="F247" s="67">
        <f t="shared" si="28"/>
        <v>0</v>
      </c>
      <c r="G247" s="67">
        <f t="shared" si="29"/>
        <v>0</v>
      </c>
      <c r="H247" s="67">
        <f t="shared" si="30"/>
        <v>0</v>
      </c>
      <c r="I247" s="68">
        <f t="shared" si="31"/>
        <v>0</v>
      </c>
      <c r="J247" s="68">
        <f t="shared" si="27"/>
        <v>0</v>
      </c>
      <c r="K247" s="69">
        <f t="shared" si="32"/>
        <v>0</v>
      </c>
      <c r="L247" s="69">
        <f t="shared" si="33"/>
        <v>0</v>
      </c>
      <c r="M247" s="69">
        <f t="shared" si="35"/>
        <v>0</v>
      </c>
      <c r="N247" s="67">
        <f t="shared" si="34"/>
        <v>0</v>
      </c>
    </row>
    <row r="248" spans="6:14" x14ac:dyDescent="0.2">
      <c r="F248" s="67">
        <f t="shared" si="28"/>
        <v>0</v>
      </c>
      <c r="G248" s="67">
        <f t="shared" si="29"/>
        <v>0</v>
      </c>
      <c r="H248" s="67">
        <f t="shared" si="30"/>
        <v>0</v>
      </c>
      <c r="I248" s="68">
        <f t="shared" si="31"/>
        <v>0</v>
      </c>
      <c r="J248" s="68">
        <f t="shared" si="27"/>
        <v>0</v>
      </c>
      <c r="K248" s="69">
        <f t="shared" si="32"/>
        <v>0</v>
      </c>
      <c r="L248" s="69">
        <f t="shared" si="33"/>
        <v>0</v>
      </c>
      <c r="M248" s="69">
        <f t="shared" si="35"/>
        <v>0</v>
      </c>
      <c r="N248" s="67">
        <f t="shared" si="34"/>
        <v>0</v>
      </c>
    </row>
    <row r="249" spans="6:14" x14ac:dyDescent="0.2">
      <c r="F249" s="67">
        <f t="shared" si="28"/>
        <v>0</v>
      </c>
      <c r="G249" s="67">
        <f t="shared" si="29"/>
        <v>0</v>
      </c>
      <c r="H249" s="67">
        <f t="shared" si="30"/>
        <v>0</v>
      </c>
      <c r="I249" s="68">
        <f t="shared" si="31"/>
        <v>0</v>
      </c>
      <c r="J249" s="68">
        <f t="shared" si="27"/>
        <v>0</v>
      </c>
      <c r="K249" s="69">
        <f t="shared" si="32"/>
        <v>0</v>
      </c>
      <c r="L249" s="69">
        <f t="shared" si="33"/>
        <v>0</v>
      </c>
      <c r="M249" s="69">
        <f t="shared" si="35"/>
        <v>0</v>
      </c>
      <c r="N249" s="67">
        <f t="shared" si="34"/>
        <v>0</v>
      </c>
    </row>
    <row r="250" spans="6:14" x14ac:dyDescent="0.2">
      <c r="F250" s="67">
        <f t="shared" si="28"/>
        <v>0</v>
      </c>
      <c r="G250" s="67">
        <f t="shared" si="29"/>
        <v>0</v>
      </c>
      <c r="H250" s="67">
        <f t="shared" si="30"/>
        <v>0</v>
      </c>
      <c r="I250" s="68">
        <f t="shared" si="31"/>
        <v>0</v>
      </c>
      <c r="J250" s="68">
        <f t="shared" si="27"/>
        <v>0</v>
      </c>
      <c r="K250" s="69">
        <f t="shared" si="32"/>
        <v>0</v>
      </c>
      <c r="L250" s="69">
        <f t="shared" si="33"/>
        <v>0</v>
      </c>
      <c r="M250" s="69">
        <f t="shared" si="35"/>
        <v>0</v>
      </c>
      <c r="N250" s="67">
        <f t="shared" si="34"/>
        <v>0</v>
      </c>
    </row>
    <row r="251" spans="6:14" x14ac:dyDescent="0.2">
      <c r="F251" s="67">
        <f t="shared" si="28"/>
        <v>0</v>
      </c>
      <c r="G251" s="67">
        <f t="shared" si="29"/>
        <v>0</v>
      </c>
      <c r="H251" s="67">
        <f t="shared" si="30"/>
        <v>0</v>
      </c>
      <c r="I251" s="68">
        <f t="shared" si="31"/>
        <v>0</v>
      </c>
      <c r="J251" s="68">
        <f t="shared" si="27"/>
        <v>0</v>
      </c>
      <c r="K251" s="69">
        <f t="shared" si="32"/>
        <v>0</v>
      </c>
      <c r="L251" s="69">
        <f t="shared" si="33"/>
        <v>0</v>
      </c>
      <c r="M251" s="69">
        <f t="shared" si="35"/>
        <v>0</v>
      </c>
      <c r="N251" s="67">
        <f t="shared" si="34"/>
        <v>0</v>
      </c>
    </row>
    <row r="252" spans="6:14" x14ac:dyDescent="0.2">
      <c r="F252" s="67">
        <f t="shared" si="28"/>
        <v>0</v>
      </c>
      <c r="G252" s="67">
        <f t="shared" si="29"/>
        <v>0</v>
      </c>
      <c r="H252" s="67">
        <f t="shared" si="30"/>
        <v>0</v>
      </c>
      <c r="I252" s="68">
        <f t="shared" si="31"/>
        <v>0</v>
      </c>
      <c r="J252" s="68">
        <f t="shared" si="27"/>
        <v>0</v>
      </c>
      <c r="K252" s="69">
        <f t="shared" si="32"/>
        <v>0</v>
      </c>
      <c r="L252" s="69">
        <f t="shared" si="33"/>
        <v>0</v>
      </c>
      <c r="M252" s="69">
        <f t="shared" si="35"/>
        <v>0</v>
      </c>
      <c r="N252" s="67">
        <f t="shared" si="34"/>
        <v>0</v>
      </c>
    </row>
    <row r="253" spans="6:14" x14ac:dyDescent="0.2">
      <c r="F253" s="67">
        <f t="shared" si="28"/>
        <v>0</v>
      </c>
      <c r="G253" s="67">
        <f t="shared" si="29"/>
        <v>0</v>
      </c>
      <c r="H253" s="67">
        <f t="shared" si="30"/>
        <v>0</v>
      </c>
      <c r="I253" s="68">
        <f t="shared" si="31"/>
        <v>0</v>
      </c>
      <c r="J253" s="68">
        <f t="shared" si="27"/>
        <v>0</v>
      </c>
      <c r="K253" s="69">
        <f t="shared" si="32"/>
        <v>0</v>
      </c>
      <c r="L253" s="69">
        <f t="shared" si="33"/>
        <v>0</v>
      </c>
      <c r="M253" s="69">
        <f t="shared" si="35"/>
        <v>0</v>
      </c>
      <c r="N253" s="67">
        <f t="shared" si="34"/>
        <v>0</v>
      </c>
    </row>
    <row r="254" spans="6:14" x14ac:dyDescent="0.2">
      <c r="F254" s="67">
        <f t="shared" si="28"/>
        <v>0</v>
      </c>
      <c r="G254" s="67">
        <f t="shared" si="29"/>
        <v>0</v>
      </c>
      <c r="H254" s="67">
        <f t="shared" si="30"/>
        <v>0</v>
      </c>
      <c r="I254" s="68">
        <f t="shared" si="31"/>
        <v>0</v>
      </c>
      <c r="J254" s="68">
        <f t="shared" si="27"/>
        <v>0</v>
      </c>
      <c r="K254" s="69">
        <f t="shared" si="32"/>
        <v>0</v>
      </c>
      <c r="L254" s="69">
        <f t="shared" si="33"/>
        <v>0</v>
      </c>
      <c r="M254" s="69">
        <f t="shared" si="35"/>
        <v>0</v>
      </c>
      <c r="N254" s="67">
        <f t="shared" si="34"/>
        <v>0</v>
      </c>
    </row>
    <row r="255" spans="6:14" x14ac:dyDescent="0.2">
      <c r="F255" s="67">
        <f t="shared" si="28"/>
        <v>0</v>
      </c>
      <c r="G255" s="67">
        <f t="shared" si="29"/>
        <v>0</v>
      </c>
      <c r="H255" s="67">
        <f t="shared" si="30"/>
        <v>0</v>
      </c>
      <c r="I255" s="68">
        <f t="shared" si="31"/>
        <v>0</v>
      </c>
      <c r="J255" s="68">
        <f t="shared" si="27"/>
        <v>0</v>
      </c>
      <c r="K255" s="69">
        <f t="shared" si="32"/>
        <v>0</v>
      </c>
      <c r="L255" s="69">
        <f t="shared" si="33"/>
        <v>0</v>
      </c>
      <c r="M255" s="69">
        <f t="shared" si="35"/>
        <v>0</v>
      </c>
      <c r="N255" s="67">
        <f t="shared" si="34"/>
        <v>0</v>
      </c>
    </row>
    <row r="256" spans="6:14" x14ac:dyDescent="0.2">
      <c r="F256" s="67">
        <f t="shared" si="28"/>
        <v>0</v>
      </c>
      <c r="G256" s="67">
        <f t="shared" si="29"/>
        <v>0</v>
      </c>
      <c r="H256" s="67">
        <f t="shared" si="30"/>
        <v>0</v>
      </c>
      <c r="I256" s="68">
        <f t="shared" si="31"/>
        <v>0</v>
      </c>
      <c r="J256" s="68">
        <f t="shared" si="27"/>
        <v>0</v>
      </c>
      <c r="K256" s="69">
        <f t="shared" si="32"/>
        <v>0</v>
      </c>
      <c r="L256" s="69">
        <f t="shared" si="33"/>
        <v>0</v>
      </c>
      <c r="M256" s="69">
        <f t="shared" si="35"/>
        <v>0</v>
      </c>
      <c r="N256" s="67">
        <f t="shared" si="34"/>
        <v>0</v>
      </c>
    </row>
    <row r="257" spans="6:14" x14ac:dyDescent="0.2">
      <c r="F257" s="67">
        <f t="shared" si="28"/>
        <v>0</v>
      </c>
      <c r="G257" s="67">
        <f t="shared" si="29"/>
        <v>0</v>
      </c>
      <c r="H257" s="67">
        <f t="shared" si="30"/>
        <v>0</v>
      </c>
      <c r="I257" s="68">
        <f t="shared" si="31"/>
        <v>0</v>
      </c>
      <c r="J257" s="68">
        <f t="shared" si="27"/>
        <v>0</v>
      </c>
      <c r="K257" s="69">
        <f t="shared" si="32"/>
        <v>0</v>
      </c>
      <c r="L257" s="69">
        <f t="shared" si="33"/>
        <v>0</v>
      </c>
      <c r="M257" s="69">
        <f t="shared" si="35"/>
        <v>0</v>
      </c>
      <c r="N257" s="67">
        <f t="shared" si="34"/>
        <v>0</v>
      </c>
    </row>
    <row r="258" spans="6:14" x14ac:dyDescent="0.2">
      <c r="F258" s="67">
        <f t="shared" si="28"/>
        <v>0</v>
      </c>
      <c r="G258" s="67">
        <f t="shared" si="29"/>
        <v>0</v>
      </c>
      <c r="H258" s="67">
        <f t="shared" si="30"/>
        <v>0</v>
      </c>
      <c r="I258" s="68">
        <f t="shared" si="31"/>
        <v>0</v>
      </c>
      <c r="J258" s="68">
        <f t="shared" si="27"/>
        <v>0</v>
      </c>
      <c r="K258" s="69">
        <f t="shared" si="32"/>
        <v>0</v>
      </c>
      <c r="L258" s="69">
        <f t="shared" si="33"/>
        <v>0</v>
      </c>
      <c r="M258" s="69">
        <f t="shared" si="35"/>
        <v>0</v>
      </c>
      <c r="N258" s="67">
        <f t="shared" si="34"/>
        <v>0</v>
      </c>
    </row>
    <row r="259" spans="6:14" x14ac:dyDescent="0.2">
      <c r="F259" s="67">
        <f t="shared" si="28"/>
        <v>0</v>
      </c>
      <c r="G259" s="67">
        <f t="shared" si="29"/>
        <v>0</v>
      </c>
      <c r="H259" s="67">
        <f t="shared" si="30"/>
        <v>0</v>
      </c>
      <c r="I259" s="68">
        <f t="shared" si="31"/>
        <v>0</v>
      </c>
      <c r="J259" s="68">
        <f t="shared" si="27"/>
        <v>0</v>
      </c>
      <c r="K259" s="69">
        <f t="shared" si="32"/>
        <v>0</v>
      </c>
      <c r="L259" s="69">
        <f t="shared" si="33"/>
        <v>0</v>
      </c>
      <c r="M259" s="69">
        <f t="shared" si="35"/>
        <v>0</v>
      </c>
      <c r="N259" s="67">
        <f t="shared" si="34"/>
        <v>0</v>
      </c>
    </row>
    <row r="260" spans="6:14" x14ac:dyDescent="0.2">
      <c r="F260" s="67">
        <f t="shared" si="28"/>
        <v>0</v>
      </c>
      <c r="G260" s="67">
        <f t="shared" si="29"/>
        <v>0</v>
      </c>
      <c r="H260" s="67">
        <f t="shared" si="30"/>
        <v>0</v>
      </c>
      <c r="I260" s="68">
        <f t="shared" si="31"/>
        <v>0</v>
      </c>
      <c r="J260" s="68">
        <f t="shared" si="27"/>
        <v>0</v>
      </c>
      <c r="K260" s="69">
        <f t="shared" si="32"/>
        <v>0</v>
      </c>
      <c r="L260" s="69">
        <f t="shared" si="33"/>
        <v>0</v>
      </c>
      <c r="M260" s="69">
        <f t="shared" si="35"/>
        <v>0</v>
      </c>
      <c r="N260" s="67">
        <f t="shared" si="34"/>
        <v>0</v>
      </c>
    </row>
    <row r="261" spans="6:14" x14ac:dyDescent="0.2">
      <c r="F261" s="67">
        <f t="shared" si="28"/>
        <v>0</v>
      </c>
      <c r="G261" s="67">
        <f t="shared" si="29"/>
        <v>0</v>
      </c>
      <c r="H261" s="67">
        <f t="shared" si="30"/>
        <v>0</v>
      </c>
      <c r="I261" s="68">
        <f t="shared" si="31"/>
        <v>0</v>
      </c>
      <c r="J261" s="68">
        <f t="shared" si="27"/>
        <v>0</v>
      </c>
      <c r="K261" s="69">
        <f t="shared" si="32"/>
        <v>0</v>
      </c>
      <c r="L261" s="69">
        <f t="shared" si="33"/>
        <v>0</v>
      </c>
      <c r="M261" s="69">
        <f t="shared" si="35"/>
        <v>0</v>
      </c>
      <c r="N261" s="67">
        <f t="shared" si="34"/>
        <v>0</v>
      </c>
    </row>
    <row r="262" spans="6:14" x14ac:dyDescent="0.2">
      <c r="F262" s="67">
        <f t="shared" si="28"/>
        <v>0</v>
      </c>
      <c r="G262" s="67">
        <f t="shared" si="29"/>
        <v>0</v>
      </c>
      <c r="H262" s="67">
        <f t="shared" si="30"/>
        <v>0</v>
      </c>
      <c r="I262" s="68">
        <f t="shared" si="31"/>
        <v>0</v>
      </c>
      <c r="J262" s="68">
        <f t="shared" si="27"/>
        <v>0</v>
      </c>
      <c r="K262" s="69">
        <f t="shared" si="32"/>
        <v>0</v>
      </c>
      <c r="L262" s="69">
        <f t="shared" si="33"/>
        <v>0</v>
      </c>
      <c r="M262" s="69">
        <f t="shared" si="35"/>
        <v>0</v>
      </c>
      <c r="N262" s="67">
        <f t="shared" si="34"/>
        <v>0</v>
      </c>
    </row>
    <row r="263" spans="6:14" x14ac:dyDescent="0.2">
      <c r="F263" s="67">
        <f t="shared" si="28"/>
        <v>0</v>
      </c>
      <c r="G263" s="67">
        <f t="shared" si="29"/>
        <v>0</v>
      </c>
      <c r="H263" s="67">
        <f t="shared" si="30"/>
        <v>0</v>
      </c>
      <c r="I263" s="68">
        <f t="shared" si="31"/>
        <v>0</v>
      </c>
      <c r="J263" s="68">
        <f t="shared" si="27"/>
        <v>0</v>
      </c>
      <c r="K263" s="69">
        <f t="shared" si="32"/>
        <v>0</v>
      </c>
      <c r="L263" s="69">
        <f t="shared" si="33"/>
        <v>0</v>
      </c>
      <c r="M263" s="69">
        <f t="shared" si="35"/>
        <v>0</v>
      </c>
      <c r="N263" s="67">
        <f t="shared" si="34"/>
        <v>0</v>
      </c>
    </row>
    <row r="264" spans="6:14" x14ac:dyDescent="0.2">
      <c r="F264" s="67">
        <f t="shared" si="28"/>
        <v>0</v>
      </c>
      <c r="G264" s="67">
        <f t="shared" si="29"/>
        <v>0</v>
      </c>
      <c r="H264" s="67">
        <f t="shared" si="30"/>
        <v>0</v>
      </c>
      <c r="I264" s="68">
        <f t="shared" si="31"/>
        <v>0</v>
      </c>
      <c r="J264" s="68">
        <f t="shared" si="27"/>
        <v>0</v>
      </c>
      <c r="K264" s="69">
        <f t="shared" si="32"/>
        <v>0</v>
      </c>
      <c r="L264" s="69">
        <f t="shared" si="33"/>
        <v>0</v>
      </c>
      <c r="M264" s="69">
        <f t="shared" si="35"/>
        <v>0</v>
      </c>
      <c r="N264" s="67">
        <f t="shared" si="34"/>
        <v>0</v>
      </c>
    </row>
    <row r="265" spans="6:14" x14ac:dyDescent="0.2">
      <c r="F265" s="67">
        <f t="shared" si="28"/>
        <v>0</v>
      </c>
      <c r="G265" s="67">
        <f t="shared" si="29"/>
        <v>0</v>
      </c>
      <c r="H265" s="67">
        <f t="shared" si="30"/>
        <v>0</v>
      </c>
      <c r="I265" s="68">
        <f t="shared" si="31"/>
        <v>0</v>
      </c>
      <c r="J265" s="68">
        <f t="shared" si="27"/>
        <v>0</v>
      </c>
      <c r="K265" s="69">
        <f t="shared" si="32"/>
        <v>0</v>
      </c>
      <c r="L265" s="69">
        <f t="shared" si="33"/>
        <v>0</v>
      </c>
      <c r="M265" s="69">
        <f t="shared" si="35"/>
        <v>0</v>
      </c>
      <c r="N265" s="67">
        <f t="shared" si="34"/>
        <v>0</v>
      </c>
    </row>
    <row r="266" spans="6:14" x14ac:dyDescent="0.2">
      <c r="F266" s="67">
        <f t="shared" si="28"/>
        <v>0</v>
      </c>
      <c r="G266" s="67">
        <f t="shared" si="29"/>
        <v>0</v>
      </c>
      <c r="H266" s="67">
        <f t="shared" si="30"/>
        <v>0</v>
      </c>
      <c r="I266" s="68">
        <f t="shared" si="31"/>
        <v>0</v>
      </c>
      <c r="J266" s="68">
        <f t="shared" si="27"/>
        <v>0</v>
      </c>
      <c r="K266" s="69">
        <f t="shared" si="32"/>
        <v>0</v>
      </c>
      <c r="L266" s="69">
        <f t="shared" si="33"/>
        <v>0</v>
      </c>
      <c r="M266" s="69">
        <f t="shared" si="35"/>
        <v>0</v>
      </c>
      <c r="N266" s="67">
        <f t="shared" si="34"/>
        <v>0</v>
      </c>
    </row>
    <row r="267" spans="6:14" x14ac:dyDescent="0.2">
      <c r="F267" s="67">
        <f t="shared" si="28"/>
        <v>0</v>
      </c>
      <c r="G267" s="67">
        <f t="shared" si="29"/>
        <v>0</v>
      </c>
      <c r="H267" s="67">
        <f t="shared" si="30"/>
        <v>0</v>
      </c>
      <c r="I267" s="68">
        <f t="shared" si="31"/>
        <v>0</v>
      </c>
      <c r="J267" s="68">
        <f t="shared" si="27"/>
        <v>0</v>
      </c>
      <c r="K267" s="69">
        <f t="shared" si="32"/>
        <v>0</v>
      </c>
      <c r="L267" s="69">
        <f t="shared" si="33"/>
        <v>0</v>
      </c>
      <c r="M267" s="69">
        <f t="shared" si="35"/>
        <v>0</v>
      </c>
      <c r="N267" s="67">
        <f t="shared" si="34"/>
        <v>0</v>
      </c>
    </row>
    <row r="268" spans="6:14" x14ac:dyDescent="0.2">
      <c r="F268" s="67">
        <f t="shared" si="28"/>
        <v>0</v>
      </c>
      <c r="G268" s="67">
        <f t="shared" si="29"/>
        <v>0</v>
      </c>
      <c r="H268" s="67">
        <f t="shared" si="30"/>
        <v>0</v>
      </c>
      <c r="I268" s="68">
        <f t="shared" si="31"/>
        <v>0</v>
      </c>
      <c r="J268" s="68">
        <f t="shared" ref="J268:J331" si="36">IF($C$14=0,0,IF(ROUND(C268,0)=0,0,SQRT(C268/$C$14)))</f>
        <v>0</v>
      </c>
      <c r="K268" s="69">
        <f t="shared" si="32"/>
        <v>0</v>
      </c>
      <c r="L268" s="69">
        <f t="shared" si="33"/>
        <v>0</v>
      </c>
      <c r="M268" s="69">
        <f t="shared" si="35"/>
        <v>0</v>
      </c>
      <c r="N268" s="67">
        <f t="shared" si="34"/>
        <v>0</v>
      </c>
    </row>
    <row r="269" spans="6:14" x14ac:dyDescent="0.2">
      <c r="F269" s="67">
        <f t="shared" si="28"/>
        <v>0</v>
      </c>
      <c r="G269" s="67">
        <f t="shared" si="29"/>
        <v>0</v>
      </c>
      <c r="H269" s="67">
        <f t="shared" si="30"/>
        <v>0</v>
      </c>
      <c r="I269" s="68">
        <f t="shared" si="31"/>
        <v>0</v>
      </c>
      <c r="J269" s="68">
        <f t="shared" si="36"/>
        <v>0</v>
      </c>
      <c r="K269" s="69">
        <f t="shared" si="32"/>
        <v>0</v>
      </c>
      <c r="L269" s="69">
        <f t="shared" si="33"/>
        <v>0</v>
      </c>
      <c r="M269" s="69">
        <f t="shared" si="35"/>
        <v>0</v>
      </c>
      <c r="N269" s="67">
        <f t="shared" si="34"/>
        <v>0</v>
      </c>
    </row>
    <row r="270" spans="6:14" x14ac:dyDescent="0.2">
      <c r="F270" s="67">
        <f t="shared" ref="F270:F333" si="37">ROUND(IF(ROUND(C270,0)=0,0,IF(D270&gt;0,251/D270,IF(ISERROR(VALUE(F269)),0,IF(C269=0,0,F269/C269*C270)))),0)</f>
        <v>0</v>
      </c>
      <c r="G270" s="67">
        <f t="shared" ref="G270:G333" si="38">IF(F270&gt;0,C270/F270/2,0)</f>
        <v>0</v>
      </c>
      <c r="H270" s="67">
        <f t="shared" ref="H270:H333" si="39">IF(G270=0,0,G270+C270/251*$B$6)</f>
        <v>0</v>
      </c>
      <c r="I270" s="68">
        <f t="shared" ref="I270:I333" si="40">IF(K270&gt;0,IF(ROUND(251/K270,0)&gt;100,100,ROUND(251/K270,0)),0)</f>
        <v>0</v>
      </c>
      <c r="J270" s="68">
        <f t="shared" si="36"/>
        <v>0</v>
      </c>
      <c r="K270" s="69">
        <f t="shared" ref="K270:K333" si="41">IF($J$11=0,0,$B$5/$J$11*J270)</f>
        <v>0</v>
      </c>
      <c r="L270" s="69">
        <f t="shared" ref="L270:L333" si="42">IF(K270=0,0,IF(B270/K270&lt;1000,1000,B270/K270))</f>
        <v>0</v>
      </c>
      <c r="M270" s="69">
        <f t="shared" si="35"/>
        <v>0</v>
      </c>
      <c r="N270" s="67">
        <f t="shared" ref="N270:N333" si="43">IF(M270=0,0,M270+C270/251*$B$7)</f>
        <v>0</v>
      </c>
    </row>
    <row r="271" spans="6:14" x14ac:dyDescent="0.2">
      <c r="F271" s="67">
        <f t="shared" si="37"/>
        <v>0</v>
      </c>
      <c r="G271" s="67">
        <f t="shared" si="38"/>
        <v>0</v>
      </c>
      <c r="H271" s="67">
        <f t="shared" si="39"/>
        <v>0</v>
      </c>
      <c r="I271" s="68">
        <f t="shared" si="40"/>
        <v>0</v>
      </c>
      <c r="J271" s="68">
        <f t="shared" si="36"/>
        <v>0</v>
      </c>
      <c r="K271" s="69">
        <f t="shared" si="41"/>
        <v>0</v>
      </c>
      <c r="L271" s="69">
        <f t="shared" si="42"/>
        <v>0</v>
      </c>
      <c r="M271" s="69">
        <f t="shared" ref="M271:M334" si="44">IF(K271&gt;0,C271/K271/2,0)</f>
        <v>0</v>
      </c>
      <c r="N271" s="67">
        <f t="shared" si="43"/>
        <v>0</v>
      </c>
    </row>
    <row r="272" spans="6:14" x14ac:dyDescent="0.2">
      <c r="F272" s="67">
        <f t="shared" si="37"/>
        <v>0</v>
      </c>
      <c r="G272" s="67">
        <f t="shared" si="38"/>
        <v>0</v>
      </c>
      <c r="H272" s="67">
        <f t="shared" si="39"/>
        <v>0</v>
      </c>
      <c r="I272" s="68">
        <f t="shared" si="40"/>
        <v>0</v>
      </c>
      <c r="J272" s="68">
        <f t="shared" si="36"/>
        <v>0</v>
      </c>
      <c r="K272" s="69">
        <f t="shared" si="41"/>
        <v>0</v>
      </c>
      <c r="L272" s="69">
        <f t="shared" si="42"/>
        <v>0</v>
      </c>
      <c r="M272" s="69">
        <f t="shared" si="44"/>
        <v>0</v>
      </c>
      <c r="N272" s="67">
        <f t="shared" si="43"/>
        <v>0</v>
      </c>
    </row>
    <row r="273" spans="6:14" x14ac:dyDescent="0.2">
      <c r="F273" s="67">
        <f t="shared" si="37"/>
        <v>0</v>
      </c>
      <c r="G273" s="67">
        <f t="shared" si="38"/>
        <v>0</v>
      </c>
      <c r="H273" s="67">
        <f t="shared" si="39"/>
        <v>0</v>
      </c>
      <c r="I273" s="68">
        <f t="shared" si="40"/>
        <v>0</v>
      </c>
      <c r="J273" s="68">
        <f t="shared" si="36"/>
        <v>0</v>
      </c>
      <c r="K273" s="69">
        <f t="shared" si="41"/>
        <v>0</v>
      </c>
      <c r="L273" s="69">
        <f t="shared" si="42"/>
        <v>0</v>
      </c>
      <c r="M273" s="69">
        <f t="shared" si="44"/>
        <v>0</v>
      </c>
      <c r="N273" s="67">
        <f t="shared" si="43"/>
        <v>0</v>
      </c>
    </row>
    <row r="274" spans="6:14" x14ac:dyDescent="0.2">
      <c r="F274" s="67">
        <f t="shared" si="37"/>
        <v>0</v>
      </c>
      <c r="G274" s="67">
        <f t="shared" si="38"/>
        <v>0</v>
      </c>
      <c r="H274" s="67">
        <f t="shared" si="39"/>
        <v>0</v>
      </c>
      <c r="I274" s="68">
        <f t="shared" si="40"/>
        <v>0</v>
      </c>
      <c r="J274" s="68">
        <f t="shared" si="36"/>
        <v>0</v>
      </c>
      <c r="K274" s="69">
        <f t="shared" si="41"/>
        <v>0</v>
      </c>
      <c r="L274" s="69">
        <f t="shared" si="42"/>
        <v>0</v>
      </c>
      <c r="M274" s="69">
        <f t="shared" si="44"/>
        <v>0</v>
      </c>
      <c r="N274" s="67">
        <f t="shared" si="43"/>
        <v>0</v>
      </c>
    </row>
    <row r="275" spans="6:14" x14ac:dyDescent="0.2">
      <c r="F275" s="67">
        <f t="shared" si="37"/>
        <v>0</v>
      </c>
      <c r="G275" s="67">
        <f t="shared" si="38"/>
        <v>0</v>
      </c>
      <c r="H275" s="67">
        <f t="shared" si="39"/>
        <v>0</v>
      </c>
      <c r="I275" s="68">
        <f t="shared" si="40"/>
        <v>0</v>
      </c>
      <c r="J275" s="68">
        <f t="shared" si="36"/>
        <v>0</v>
      </c>
      <c r="K275" s="69">
        <f t="shared" si="41"/>
        <v>0</v>
      </c>
      <c r="L275" s="69">
        <f t="shared" si="42"/>
        <v>0</v>
      </c>
      <c r="M275" s="69">
        <f t="shared" si="44"/>
        <v>0</v>
      </c>
      <c r="N275" s="67">
        <f t="shared" si="43"/>
        <v>0</v>
      </c>
    </row>
    <row r="276" spans="6:14" x14ac:dyDescent="0.2">
      <c r="F276" s="67">
        <f t="shared" si="37"/>
        <v>0</v>
      </c>
      <c r="G276" s="67">
        <f t="shared" si="38"/>
        <v>0</v>
      </c>
      <c r="H276" s="67">
        <f t="shared" si="39"/>
        <v>0</v>
      </c>
      <c r="I276" s="68">
        <f t="shared" si="40"/>
        <v>0</v>
      </c>
      <c r="J276" s="68">
        <f t="shared" si="36"/>
        <v>0</v>
      </c>
      <c r="K276" s="69">
        <f t="shared" si="41"/>
        <v>0</v>
      </c>
      <c r="L276" s="69">
        <f t="shared" si="42"/>
        <v>0</v>
      </c>
      <c r="M276" s="69">
        <f t="shared" si="44"/>
        <v>0</v>
      </c>
      <c r="N276" s="67">
        <f t="shared" si="43"/>
        <v>0</v>
      </c>
    </row>
    <row r="277" spans="6:14" x14ac:dyDescent="0.2">
      <c r="F277" s="67">
        <f t="shared" si="37"/>
        <v>0</v>
      </c>
      <c r="G277" s="67">
        <f t="shared" si="38"/>
        <v>0</v>
      </c>
      <c r="H277" s="67">
        <f t="shared" si="39"/>
        <v>0</v>
      </c>
      <c r="I277" s="68">
        <f t="shared" si="40"/>
        <v>0</v>
      </c>
      <c r="J277" s="68">
        <f t="shared" si="36"/>
        <v>0</v>
      </c>
      <c r="K277" s="69">
        <f t="shared" si="41"/>
        <v>0</v>
      </c>
      <c r="L277" s="69">
        <f t="shared" si="42"/>
        <v>0</v>
      </c>
      <c r="M277" s="69">
        <f t="shared" si="44"/>
        <v>0</v>
      </c>
      <c r="N277" s="67">
        <f t="shared" si="43"/>
        <v>0</v>
      </c>
    </row>
    <row r="278" spans="6:14" x14ac:dyDescent="0.2">
      <c r="F278" s="67">
        <f t="shared" si="37"/>
        <v>0</v>
      </c>
      <c r="G278" s="67">
        <f t="shared" si="38"/>
        <v>0</v>
      </c>
      <c r="H278" s="67">
        <f t="shared" si="39"/>
        <v>0</v>
      </c>
      <c r="I278" s="68">
        <f t="shared" si="40"/>
        <v>0</v>
      </c>
      <c r="J278" s="68">
        <f t="shared" si="36"/>
        <v>0</v>
      </c>
      <c r="K278" s="69">
        <f t="shared" si="41"/>
        <v>0</v>
      </c>
      <c r="L278" s="69">
        <f t="shared" si="42"/>
        <v>0</v>
      </c>
      <c r="M278" s="69">
        <f t="shared" si="44"/>
        <v>0</v>
      </c>
      <c r="N278" s="67">
        <f t="shared" si="43"/>
        <v>0</v>
      </c>
    </row>
    <row r="279" spans="6:14" x14ac:dyDescent="0.2">
      <c r="F279" s="67">
        <f t="shared" si="37"/>
        <v>0</v>
      </c>
      <c r="G279" s="67">
        <f t="shared" si="38"/>
        <v>0</v>
      </c>
      <c r="H279" s="67">
        <f t="shared" si="39"/>
        <v>0</v>
      </c>
      <c r="I279" s="68">
        <f t="shared" si="40"/>
        <v>0</v>
      </c>
      <c r="J279" s="68">
        <f t="shared" si="36"/>
        <v>0</v>
      </c>
      <c r="K279" s="69">
        <f t="shared" si="41"/>
        <v>0</v>
      </c>
      <c r="L279" s="69">
        <f t="shared" si="42"/>
        <v>0</v>
      </c>
      <c r="M279" s="69">
        <f t="shared" si="44"/>
        <v>0</v>
      </c>
      <c r="N279" s="67">
        <f t="shared" si="43"/>
        <v>0</v>
      </c>
    </row>
    <row r="280" spans="6:14" x14ac:dyDescent="0.2">
      <c r="F280" s="67">
        <f t="shared" si="37"/>
        <v>0</v>
      </c>
      <c r="G280" s="67">
        <f t="shared" si="38"/>
        <v>0</v>
      </c>
      <c r="H280" s="67">
        <f t="shared" si="39"/>
        <v>0</v>
      </c>
      <c r="I280" s="68">
        <f t="shared" si="40"/>
        <v>0</v>
      </c>
      <c r="J280" s="68">
        <f t="shared" si="36"/>
        <v>0</v>
      </c>
      <c r="K280" s="69">
        <f t="shared" si="41"/>
        <v>0</v>
      </c>
      <c r="L280" s="69">
        <f t="shared" si="42"/>
        <v>0</v>
      </c>
      <c r="M280" s="69">
        <f t="shared" si="44"/>
        <v>0</v>
      </c>
      <c r="N280" s="67">
        <f t="shared" si="43"/>
        <v>0</v>
      </c>
    </row>
    <row r="281" spans="6:14" x14ac:dyDescent="0.2">
      <c r="F281" s="67">
        <f t="shared" si="37"/>
        <v>0</v>
      </c>
      <c r="G281" s="67">
        <f t="shared" si="38"/>
        <v>0</v>
      </c>
      <c r="H281" s="67">
        <f t="shared" si="39"/>
        <v>0</v>
      </c>
      <c r="I281" s="68">
        <f t="shared" si="40"/>
        <v>0</v>
      </c>
      <c r="J281" s="68">
        <f t="shared" si="36"/>
        <v>0</v>
      </c>
      <c r="K281" s="69">
        <f t="shared" si="41"/>
        <v>0</v>
      </c>
      <c r="L281" s="69">
        <f t="shared" si="42"/>
        <v>0</v>
      </c>
      <c r="M281" s="69">
        <f t="shared" si="44"/>
        <v>0</v>
      </c>
      <c r="N281" s="67">
        <f t="shared" si="43"/>
        <v>0</v>
      </c>
    </row>
    <row r="282" spans="6:14" x14ac:dyDescent="0.2">
      <c r="F282" s="67">
        <f t="shared" si="37"/>
        <v>0</v>
      </c>
      <c r="G282" s="67">
        <f t="shared" si="38"/>
        <v>0</v>
      </c>
      <c r="H282" s="67">
        <f t="shared" si="39"/>
        <v>0</v>
      </c>
      <c r="I282" s="68">
        <f t="shared" si="40"/>
        <v>0</v>
      </c>
      <c r="J282" s="68">
        <f t="shared" si="36"/>
        <v>0</v>
      </c>
      <c r="K282" s="69">
        <f t="shared" si="41"/>
        <v>0</v>
      </c>
      <c r="L282" s="69">
        <f t="shared" si="42"/>
        <v>0</v>
      </c>
      <c r="M282" s="69">
        <f t="shared" si="44"/>
        <v>0</v>
      </c>
      <c r="N282" s="67">
        <f t="shared" si="43"/>
        <v>0</v>
      </c>
    </row>
    <row r="283" spans="6:14" x14ac:dyDescent="0.2">
      <c r="F283" s="67">
        <f t="shared" si="37"/>
        <v>0</v>
      </c>
      <c r="G283" s="67">
        <f t="shared" si="38"/>
        <v>0</v>
      </c>
      <c r="H283" s="67">
        <f t="shared" si="39"/>
        <v>0</v>
      </c>
      <c r="I283" s="68">
        <f t="shared" si="40"/>
        <v>0</v>
      </c>
      <c r="J283" s="68">
        <f t="shared" si="36"/>
        <v>0</v>
      </c>
      <c r="K283" s="69">
        <f t="shared" si="41"/>
        <v>0</v>
      </c>
      <c r="L283" s="69">
        <f t="shared" si="42"/>
        <v>0</v>
      </c>
      <c r="M283" s="69">
        <f t="shared" si="44"/>
        <v>0</v>
      </c>
      <c r="N283" s="67">
        <f t="shared" si="43"/>
        <v>0</v>
      </c>
    </row>
    <row r="284" spans="6:14" x14ac:dyDescent="0.2">
      <c r="F284" s="67">
        <f t="shared" si="37"/>
        <v>0</v>
      </c>
      <c r="G284" s="67">
        <f t="shared" si="38"/>
        <v>0</v>
      </c>
      <c r="H284" s="67">
        <f t="shared" si="39"/>
        <v>0</v>
      </c>
      <c r="I284" s="68">
        <f t="shared" si="40"/>
        <v>0</v>
      </c>
      <c r="J284" s="68">
        <f t="shared" si="36"/>
        <v>0</v>
      </c>
      <c r="K284" s="69">
        <f t="shared" si="41"/>
        <v>0</v>
      </c>
      <c r="L284" s="69">
        <f t="shared" si="42"/>
        <v>0</v>
      </c>
      <c r="M284" s="69">
        <f t="shared" si="44"/>
        <v>0</v>
      </c>
      <c r="N284" s="67">
        <f t="shared" si="43"/>
        <v>0</v>
      </c>
    </row>
    <row r="285" spans="6:14" x14ac:dyDescent="0.2">
      <c r="F285" s="67">
        <f t="shared" si="37"/>
        <v>0</v>
      </c>
      <c r="G285" s="67">
        <f t="shared" si="38"/>
        <v>0</v>
      </c>
      <c r="H285" s="67">
        <f t="shared" si="39"/>
        <v>0</v>
      </c>
      <c r="I285" s="68">
        <f t="shared" si="40"/>
        <v>0</v>
      </c>
      <c r="J285" s="68">
        <f t="shared" si="36"/>
        <v>0</v>
      </c>
      <c r="K285" s="69">
        <f t="shared" si="41"/>
        <v>0</v>
      </c>
      <c r="L285" s="69">
        <f t="shared" si="42"/>
        <v>0</v>
      </c>
      <c r="M285" s="69">
        <f t="shared" si="44"/>
        <v>0</v>
      </c>
      <c r="N285" s="67">
        <f t="shared" si="43"/>
        <v>0</v>
      </c>
    </row>
    <row r="286" spans="6:14" x14ac:dyDescent="0.2">
      <c r="F286" s="67">
        <f t="shared" si="37"/>
        <v>0</v>
      </c>
      <c r="G286" s="67">
        <f t="shared" si="38"/>
        <v>0</v>
      </c>
      <c r="H286" s="67">
        <f t="shared" si="39"/>
        <v>0</v>
      </c>
      <c r="I286" s="68">
        <f t="shared" si="40"/>
        <v>0</v>
      </c>
      <c r="J286" s="68">
        <f t="shared" si="36"/>
        <v>0</v>
      </c>
      <c r="K286" s="69">
        <f t="shared" si="41"/>
        <v>0</v>
      </c>
      <c r="L286" s="69">
        <f t="shared" si="42"/>
        <v>0</v>
      </c>
      <c r="M286" s="69">
        <f t="shared" si="44"/>
        <v>0</v>
      </c>
      <c r="N286" s="67">
        <f t="shared" si="43"/>
        <v>0</v>
      </c>
    </row>
    <row r="287" spans="6:14" x14ac:dyDescent="0.2">
      <c r="F287" s="67">
        <f t="shared" si="37"/>
        <v>0</v>
      </c>
      <c r="G287" s="67">
        <f t="shared" si="38"/>
        <v>0</v>
      </c>
      <c r="H287" s="67">
        <f t="shared" si="39"/>
        <v>0</v>
      </c>
      <c r="I287" s="68">
        <f t="shared" si="40"/>
        <v>0</v>
      </c>
      <c r="J287" s="68">
        <f t="shared" si="36"/>
        <v>0</v>
      </c>
      <c r="K287" s="69">
        <f t="shared" si="41"/>
        <v>0</v>
      </c>
      <c r="L287" s="69">
        <f t="shared" si="42"/>
        <v>0</v>
      </c>
      <c r="M287" s="69">
        <f t="shared" si="44"/>
        <v>0</v>
      </c>
      <c r="N287" s="67">
        <f t="shared" si="43"/>
        <v>0</v>
      </c>
    </row>
    <row r="288" spans="6:14" x14ac:dyDescent="0.2">
      <c r="F288" s="67">
        <f t="shared" si="37"/>
        <v>0</v>
      </c>
      <c r="G288" s="67">
        <f t="shared" si="38"/>
        <v>0</v>
      </c>
      <c r="H288" s="67">
        <f t="shared" si="39"/>
        <v>0</v>
      </c>
      <c r="I288" s="68">
        <f t="shared" si="40"/>
        <v>0</v>
      </c>
      <c r="J288" s="68">
        <f t="shared" si="36"/>
        <v>0</v>
      </c>
      <c r="K288" s="69">
        <f t="shared" si="41"/>
        <v>0</v>
      </c>
      <c r="L288" s="69">
        <f t="shared" si="42"/>
        <v>0</v>
      </c>
      <c r="M288" s="69">
        <f t="shared" si="44"/>
        <v>0</v>
      </c>
      <c r="N288" s="67">
        <f t="shared" si="43"/>
        <v>0</v>
      </c>
    </row>
    <row r="289" spans="6:14" x14ac:dyDescent="0.2">
      <c r="F289" s="67">
        <f t="shared" si="37"/>
        <v>0</v>
      </c>
      <c r="G289" s="67">
        <f t="shared" si="38"/>
        <v>0</v>
      </c>
      <c r="H289" s="67">
        <f t="shared" si="39"/>
        <v>0</v>
      </c>
      <c r="I289" s="68">
        <f t="shared" si="40"/>
        <v>0</v>
      </c>
      <c r="J289" s="68">
        <f t="shared" si="36"/>
        <v>0</v>
      </c>
      <c r="K289" s="69">
        <f t="shared" si="41"/>
        <v>0</v>
      </c>
      <c r="L289" s="69">
        <f t="shared" si="42"/>
        <v>0</v>
      </c>
      <c r="M289" s="69">
        <f t="shared" si="44"/>
        <v>0</v>
      </c>
      <c r="N289" s="67">
        <f t="shared" si="43"/>
        <v>0</v>
      </c>
    </row>
    <row r="290" spans="6:14" x14ac:dyDescent="0.2">
      <c r="F290" s="67">
        <f t="shared" si="37"/>
        <v>0</v>
      </c>
      <c r="G290" s="67">
        <f t="shared" si="38"/>
        <v>0</v>
      </c>
      <c r="H290" s="67">
        <f t="shared" si="39"/>
        <v>0</v>
      </c>
      <c r="I290" s="68">
        <f t="shared" si="40"/>
        <v>0</v>
      </c>
      <c r="J290" s="68">
        <f t="shared" si="36"/>
        <v>0</v>
      </c>
      <c r="K290" s="69">
        <f t="shared" si="41"/>
        <v>0</v>
      </c>
      <c r="L290" s="69">
        <f t="shared" si="42"/>
        <v>0</v>
      </c>
      <c r="M290" s="69">
        <f t="shared" si="44"/>
        <v>0</v>
      </c>
      <c r="N290" s="67">
        <f t="shared" si="43"/>
        <v>0</v>
      </c>
    </row>
    <row r="291" spans="6:14" x14ac:dyDescent="0.2">
      <c r="F291" s="67">
        <f t="shared" si="37"/>
        <v>0</v>
      </c>
      <c r="G291" s="67">
        <f t="shared" si="38"/>
        <v>0</v>
      </c>
      <c r="H291" s="67">
        <f t="shared" si="39"/>
        <v>0</v>
      </c>
      <c r="I291" s="68">
        <f t="shared" si="40"/>
        <v>0</v>
      </c>
      <c r="J291" s="68">
        <f t="shared" si="36"/>
        <v>0</v>
      </c>
      <c r="K291" s="69">
        <f t="shared" si="41"/>
        <v>0</v>
      </c>
      <c r="L291" s="69">
        <f t="shared" si="42"/>
        <v>0</v>
      </c>
      <c r="M291" s="69">
        <f t="shared" si="44"/>
        <v>0</v>
      </c>
      <c r="N291" s="67">
        <f t="shared" si="43"/>
        <v>0</v>
      </c>
    </row>
    <row r="292" spans="6:14" x14ac:dyDescent="0.2">
      <c r="F292" s="67">
        <f t="shared" si="37"/>
        <v>0</v>
      </c>
      <c r="G292" s="67">
        <f t="shared" si="38"/>
        <v>0</v>
      </c>
      <c r="H292" s="67">
        <f t="shared" si="39"/>
        <v>0</v>
      </c>
      <c r="I292" s="68">
        <f t="shared" si="40"/>
        <v>0</v>
      </c>
      <c r="J292" s="68">
        <f t="shared" si="36"/>
        <v>0</v>
      </c>
      <c r="K292" s="69">
        <f t="shared" si="41"/>
        <v>0</v>
      </c>
      <c r="L292" s="69">
        <f t="shared" si="42"/>
        <v>0</v>
      </c>
      <c r="M292" s="69">
        <f t="shared" si="44"/>
        <v>0</v>
      </c>
      <c r="N292" s="67">
        <f t="shared" si="43"/>
        <v>0</v>
      </c>
    </row>
    <row r="293" spans="6:14" x14ac:dyDescent="0.2">
      <c r="F293" s="67">
        <f t="shared" si="37"/>
        <v>0</v>
      </c>
      <c r="G293" s="67">
        <f t="shared" si="38"/>
        <v>0</v>
      </c>
      <c r="H293" s="67">
        <f t="shared" si="39"/>
        <v>0</v>
      </c>
      <c r="I293" s="68">
        <f t="shared" si="40"/>
        <v>0</v>
      </c>
      <c r="J293" s="68">
        <f t="shared" si="36"/>
        <v>0</v>
      </c>
      <c r="K293" s="69">
        <f t="shared" si="41"/>
        <v>0</v>
      </c>
      <c r="L293" s="69">
        <f t="shared" si="42"/>
        <v>0</v>
      </c>
      <c r="M293" s="69">
        <f t="shared" si="44"/>
        <v>0</v>
      </c>
      <c r="N293" s="67">
        <f t="shared" si="43"/>
        <v>0</v>
      </c>
    </row>
    <row r="294" spans="6:14" x14ac:dyDescent="0.2">
      <c r="F294" s="67">
        <f t="shared" si="37"/>
        <v>0</v>
      </c>
      <c r="G294" s="67">
        <f t="shared" si="38"/>
        <v>0</v>
      </c>
      <c r="H294" s="67">
        <f t="shared" si="39"/>
        <v>0</v>
      </c>
      <c r="I294" s="68">
        <f t="shared" si="40"/>
        <v>0</v>
      </c>
      <c r="J294" s="68">
        <f t="shared" si="36"/>
        <v>0</v>
      </c>
      <c r="K294" s="69">
        <f t="shared" si="41"/>
        <v>0</v>
      </c>
      <c r="L294" s="69">
        <f t="shared" si="42"/>
        <v>0</v>
      </c>
      <c r="M294" s="69">
        <f t="shared" si="44"/>
        <v>0</v>
      </c>
      <c r="N294" s="67">
        <f t="shared" si="43"/>
        <v>0</v>
      </c>
    </row>
    <row r="295" spans="6:14" x14ac:dyDescent="0.2">
      <c r="F295" s="67">
        <f t="shared" si="37"/>
        <v>0</v>
      </c>
      <c r="G295" s="67">
        <f t="shared" si="38"/>
        <v>0</v>
      </c>
      <c r="H295" s="67">
        <f t="shared" si="39"/>
        <v>0</v>
      </c>
      <c r="I295" s="68">
        <f t="shared" si="40"/>
        <v>0</v>
      </c>
      <c r="J295" s="68">
        <f t="shared" si="36"/>
        <v>0</v>
      </c>
      <c r="K295" s="69">
        <f t="shared" si="41"/>
        <v>0</v>
      </c>
      <c r="L295" s="69">
        <f t="shared" si="42"/>
        <v>0</v>
      </c>
      <c r="M295" s="69">
        <f t="shared" si="44"/>
        <v>0</v>
      </c>
      <c r="N295" s="67">
        <f t="shared" si="43"/>
        <v>0</v>
      </c>
    </row>
    <row r="296" spans="6:14" x14ac:dyDescent="0.2">
      <c r="F296" s="67">
        <f t="shared" si="37"/>
        <v>0</v>
      </c>
      <c r="G296" s="67">
        <f t="shared" si="38"/>
        <v>0</v>
      </c>
      <c r="H296" s="67">
        <f t="shared" si="39"/>
        <v>0</v>
      </c>
      <c r="I296" s="68">
        <f t="shared" si="40"/>
        <v>0</v>
      </c>
      <c r="J296" s="68">
        <f t="shared" si="36"/>
        <v>0</v>
      </c>
      <c r="K296" s="69">
        <f t="shared" si="41"/>
        <v>0</v>
      </c>
      <c r="L296" s="69">
        <f t="shared" si="42"/>
        <v>0</v>
      </c>
      <c r="M296" s="69">
        <f t="shared" si="44"/>
        <v>0</v>
      </c>
      <c r="N296" s="67">
        <f t="shared" si="43"/>
        <v>0</v>
      </c>
    </row>
    <row r="297" spans="6:14" x14ac:dyDescent="0.2">
      <c r="F297" s="67">
        <f t="shared" si="37"/>
        <v>0</v>
      </c>
      <c r="G297" s="67">
        <f t="shared" si="38"/>
        <v>0</v>
      </c>
      <c r="H297" s="67">
        <f t="shared" si="39"/>
        <v>0</v>
      </c>
      <c r="I297" s="68">
        <f t="shared" si="40"/>
        <v>0</v>
      </c>
      <c r="J297" s="68">
        <f t="shared" si="36"/>
        <v>0</v>
      </c>
      <c r="K297" s="69">
        <f t="shared" si="41"/>
        <v>0</v>
      </c>
      <c r="L297" s="69">
        <f t="shared" si="42"/>
        <v>0</v>
      </c>
      <c r="M297" s="69">
        <f t="shared" si="44"/>
        <v>0</v>
      </c>
      <c r="N297" s="67">
        <f t="shared" si="43"/>
        <v>0</v>
      </c>
    </row>
    <row r="298" spans="6:14" x14ac:dyDescent="0.2">
      <c r="F298" s="67">
        <f t="shared" si="37"/>
        <v>0</v>
      </c>
      <c r="G298" s="67">
        <f t="shared" si="38"/>
        <v>0</v>
      </c>
      <c r="H298" s="67">
        <f t="shared" si="39"/>
        <v>0</v>
      </c>
      <c r="I298" s="68">
        <f t="shared" si="40"/>
        <v>0</v>
      </c>
      <c r="J298" s="68">
        <f t="shared" si="36"/>
        <v>0</v>
      </c>
      <c r="K298" s="69">
        <f t="shared" si="41"/>
        <v>0</v>
      </c>
      <c r="L298" s="69">
        <f t="shared" si="42"/>
        <v>0</v>
      </c>
      <c r="M298" s="69">
        <f t="shared" si="44"/>
        <v>0</v>
      </c>
      <c r="N298" s="67">
        <f t="shared" si="43"/>
        <v>0</v>
      </c>
    </row>
    <row r="299" spans="6:14" x14ac:dyDescent="0.2">
      <c r="F299" s="67">
        <f t="shared" si="37"/>
        <v>0</v>
      </c>
      <c r="G299" s="67">
        <f t="shared" si="38"/>
        <v>0</v>
      </c>
      <c r="H299" s="67">
        <f t="shared" si="39"/>
        <v>0</v>
      </c>
      <c r="I299" s="68">
        <f t="shared" si="40"/>
        <v>0</v>
      </c>
      <c r="J299" s="68">
        <f t="shared" si="36"/>
        <v>0</v>
      </c>
      <c r="K299" s="69">
        <f t="shared" si="41"/>
        <v>0</v>
      </c>
      <c r="L299" s="69">
        <f t="shared" si="42"/>
        <v>0</v>
      </c>
      <c r="M299" s="69">
        <f t="shared" si="44"/>
        <v>0</v>
      </c>
      <c r="N299" s="67">
        <f t="shared" si="43"/>
        <v>0</v>
      </c>
    </row>
    <row r="300" spans="6:14" x14ac:dyDescent="0.2">
      <c r="F300" s="67">
        <f t="shared" si="37"/>
        <v>0</v>
      </c>
      <c r="G300" s="67">
        <f t="shared" si="38"/>
        <v>0</v>
      </c>
      <c r="H300" s="67">
        <f t="shared" si="39"/>
        <v>0</v>
      </c>
      <c r="I300" s="68">
        <f t="shared" si="40"/>
        <v>0</v>
      </c>
      <c r="J300" s="68">
        <f t="shared" si="36"/>
        <v>0</v>
      </c>
      <c r="K300" s="69">
        <f t="shared" si="41"/>
        <v>0</v>
      </c>
      <c r="L300" s="69">
        <f t="shared" si="42"/>
        <v>0</v>
      </c>
      <c r="M300" s="69">
        <f t="shared" si="44"/>
        <v>0</v>
      </c>
      <c r="N300" s="67">
        <f t="shared" si="43"/>
        <v>0</v>
      </c>
    </row>
    <row r="301" spans="6:14" x14ac:dyDescent="0.2">
      <c r="F301" s="67">
        <f t="shared" si="37"/>
        <v>0</v>
      </c>
      <c r="G301" s="67">
        <f t="shared" si="38"/>
        <v>0</v>
      </c>
      <c r="H301" s="67">
        <f t="shared" si="39"/>
        <v>0</v>
      </c>
      <c r="I301" s="68">
        <f t="shared" si="40"/>
        <v>0</v>
      </c>
      <c r="J301" s="68">
        <f t="shared" si="36"/>
        <v>0</v>
      </c>
      <c r="K301" s="69">
        <f t="shared" si="41"/>
        <v>0</v>
      </c>
      <c r="L301" s="69">
        <f t="shared" si="42"/>
        <v>0</v>
      </c>
      <c r="M301" s="69">
        <f t="shared" si="44"/>
        <v>0</v>
      </c>
      <c r="N301" s="67">
        <f t="shared" si="43"/>
        <v>0</v>
      </c>
    </row>
    <row r="302" spans="6:14" x14ac:dyDescent="0.2">
      <c r="F302" s="67">
        <f t="shared" si="37"/>
        <v>0</v>
      </c>
      <c r="G302" s="67">
        <f t="shared" si="38"/>
        <v>0</v>
      </c>
      <c r="H302" s="67">
        <f t="shared" si="39"/>
        <v>0</v>
      </c>
      <c r="I302" s="68">
        <f t="shared" si="40"/>
        <v>0</v>
      </c>
      <c r="J302" s="68">
        <f t="shared" si="36"/>
        <v>0</v>
      </c>
      <c r="K302" s="69">
        <f t="shared" si="41"/>
        <v>0</v>
      </c>
      <c r="L302" s="69">
        <f t="shared" si="42"/>
        <v>0</v>
      </c>
      <c r="M302" s="69">
        <f t="shared" si="44"/>
        <v>0</v>
      </c>
      <c r="N302" s="67">
        <f t="shared" si="43"/>
        <v>0</v>
      </c>
    </row>
    <row r="303" spans="6:14" x14ac:dyDescent="0.2">
      <c r="F303" s="67">
        <f t="shared" si="37"/>
        <v>0</v>
      </c>
      <c r="G303" s="67">
        <f t="shared" si="38"/>
        <v>0</v>
      </c>
      <c r="H303" s="67">
        <f t="shared" si="39"/>
        <v>0</v>
      </c>
      <c r="I303" s="68">
        <f t="shared" si="40"/>
        <v>0</v>
      </c>
      <c r="J303" s="68">
        <f t="shared" si="36"/>
        <v>0</v>
      </c>
      <c r="K303" s="69">
        <f t="shared" si="41"/>
        <v>0</v>
      </c>
      <c r="L303" s="69">
        <f t="shared" si="42"/>
        <v>0</v>
      </c>
      <c r="M303" s="69">
        <f t="shared" si="44"/>
        <v>0</v>
      </c>
      <c r="N303" s="67">
        <f t="shared" si="43"/>
        <v>0</v>
      </c>
    </row>
    <row r="304" spans="6:14" x14ac:dyDescent="0.2">
      <c r="F304" s="67">
        <f t="shared" si="37"/>
        <v>0</v>
      </c>
      <c r="G304" s="67">
        <f t="shared" si="38"/>
        <v>0</v>
      </c>
      <c r="H304" s="67">
        <f t="shared" si="39"/>
        <v>0</v>
      </c>
      <c r="I304" s="68">
        <f t="shared" si="40"/>
        <v>0</v>
      </c>
      <c r="J304" s="68">
        <f t="shared" si="36"/>
        <v>0</v>
      </c>
      <c r="K304" s="69">
        <f t="shared" si="41"/>
        <v>0</v>
      </c>
      <c r="L304" s="69">
        <f t="shared" si="42"/>
        <v>0</v>
      </c>
      <c r="M304" s="69">
        <f t="shared" si="44"/>
        <v>0</v>
      </c>
      <c r="N304" s="67">
        <f t="shared" si="43"/>
        <v>0</v>
      </c>
    </row>
    <row r="305" spans="6:14" x14ac:dyDescent="0.2">
      <c r="F305" s="67">
        <f t="shared" si="37"/>
        <v>0</v>
      </c>
      <c r="G305" s="67">
        <f t="shared" si="38"/>
        <v>0</v>
      </c>
      <c r="H305" s="67">
        <f t="shared" si="39"/>
        <v>0</v>
      </c>
      <c r="I305" s="68">
        <f t="shared" si="40"/>
        <v>0</v>
      </c>
      <c r="J305" s="68">
        <f t="shared" si="36"/>
        <v>0</v>
      </c>
      <c r="K305" s="69">
        <f t="shared" si="41"/>
        <v>0</v>
      </c>
      <c r="L305" s="69">
        <f t="shared" si="42"/>
        <v>0</v>
      </c>
      <c r="M305" s="69">
        <f t="shared" si="44"/>
        <v>0</v>
      </c>
      <c r="N305" s="67">
        <f t="shared" si="43"/>
        <v>0</v>
      </c>
    </row>
    <row r="306" spans="6:14" x14ac:dyDescent="0.2">
      <c r="F306" s="67">
        <f t="shared" si="37"/>
        <v>0</v>
      </c>
      <c r="G306" s="67">
        <f t="shared" si="38"/>
        <v>0</v>
      </c>
      <c r="H306" s="67">
        <f t="shared" si="39"/>
        <v>0</v>
      </c>
      <c r="I306" s="68">
        <f t="shared" si="40"/>
        <v>0</v>
      </c>
      <c r="J306" s="68">
        <f t="shared" si="36"/>
        <v>0</v>
      </c>
      <c r="K306" s="69">
        <f t="shared" si="41"/>
        <v>0</v>
      </c>
      <c r="L306" s="69">
        <f t="shared" si="42"/>
        <v>0</v>
      </c>
      <c r="M306" s="69">
        <f t="shared" si="44"/>
        <v>0</v>
      </c>
      <c r="N306" s="67">
        <f t="shared" si="43"/>
        <v>0</v>
      </c>
    </row>
    <row r="307" spans="6:14" x14ac:dyDescent="0.2">
      <c r="F307" s="67">
        <f t="shared" si="37"/>
        <v>0</v>
      </c>
      <c r="G307" s="67">
        <f t="shared" si="38"/>
        <v>0</v>
      </c>
      <c r="H307" s="67">
        <f t="shared" si="39"/>
        <v>0</v>
      </c>
      <c r="I307" s="68">
        <f t="shared" si="40"/>
        <v>0</v>
      </c>
      <c r="J307" s="68">
        <f t="shared" si="36"/>
        <v>0</v>
      </c>
      <c r="K307" s="69">
        <f t="shared" si="41"/>
        <v>0</v>
      </c>
      <c r="L307" s="69">
        <f t="shared" si="42"/>
        <v>0</v>
      </c>
      <c r="M307" s="69">
        <f t="shared" si="44"/>
        <v>0</v>
      </c>
      <c r="N307" s="67">
        <f t="shared" si="43"/>
        <v>0</v>
      </c>
    </row>
    <row r="308" spans="6:14" x14ac:dyDescent="0.2">
      <c r="F308" s="67">
        <f t="shared" si="37"/>
        <v>0</v>
      </c>
      <c r="G308" s="67">
        <f t="shared" si="38"/>
        <v>0</v>
      </c>
      <c r="H308" s="67">
        <f t="shared" si="39"/>
        <v>0</v>
      </c>
      <c r="I308" s="68">
        <f t="shared" si="40"/>
        <v>0</v>
      </c>
      <c r="J308" s="68">
        <f t="shared" si="36"/>
        <v>0</v>
      </c>
      <c r="K308" s="69">
        <f t="shared" si="41"/>
        <v>0</v>
      </c>
      <c r="L308" s="69">
        <f t="shared" si="42"/>
        <v>0</v>
      </c>
      <c r="M308" s="69">
        <f t="shared" si="44"/>
        <v>0</v>
      </c>
      <c r="N308" s="67">
        <f t="shared" si="43"/>
        <v>0</v>
      </c>
    </row>
    <row r="309" spans="6:14" x14ac:dyDescent="0.2">
      <c r="F309" s="67">
        <f t="shared" si="37"/>
        <v>0</v>
      </c>
      <c r="G309" s="67">
        <f t="shared" si="38"/>
        <v>0</v>
      </c>
      <c r="H309" s="67">
        <f t="shared" si="39"/>
        <v>0</v>
      </c>
      <c r="I309" s="68">
        <f t="shared" si="40"/>
        <v>0</v>
      </c>
      <c r="J309" s="68">
        <f t="shared" si="36"/>
        <v>0</v>
      </c>
      <c r="K309" s="69">
        <f t="shared" si="41"/>
        <v>0</v>
      </c>
      <c r="L309" s="69">
        <f t="shared" si="42"/>
        <v>0</v>
      </c>
      <c r="M309" s="69">
        <f t="shared" si="44"/>
        <v>0</v>
      </c>
      <c r="N309" s="67">
        <f t="shared" si="43"/>
        <v>0</v>
      </c>
    </row>
    <row r="310" spans="6:14" x14ac:dyDescent="0.2">
      <c r="F310" s="67">
        <f t="shared" si="37"/>
        <v>0</v>
      </c>
      <c r="G310" s="67">
        <f t="shared" si="38"/>
        <v>0</v>
      </c>
      <c r="H310" s="67">
        <f t="shared" si="39"/>
        <v>0</v>
      </c>
      <c r="I310" s="68">
        <f t="shared" si="40"/>
        <v>0</v>
      </c>
      <c r="J310" s="68">
        <f t="shared" si="36"/>
        <v>0</v>
      </c>
      <c r="K310" s="69">
        <f t="shared" si="41"/>
        <v>0</v>
      </c>
      <c r="L310" s="69">
        <f t="shared" si="42"/>
        <v>0</v>
      </c>
      <c r="M310" s="69">
        <f t="shared" si="44"/>
        <v>0</v>
      </c>
      <c r="N310" s="67">
        <f t="shared" si="43"/>
        <v>0</v>
      </c>
    </row>
    <row r="311" spans="6:14" x14ac:dyDescent="0.2">
      <c r="F311" s="67">
        <f t="shared" si="37"/>
        <v>0</v>
      </c>
      <c r="G311" s="67">
        <f t="shared" si="38"/>
        <v>0</v>
      </c>
      <c r="H311" s="67">
        <f t="shared" si="39"/>
        <v>0</v>
      </c>
      <c r="I311" s="68">
        <f t="shared" si="40"/>
        <v>0</v>
      </c>
      <c r="J311" s="68">
        <f t="shared" si="36"/>
        <v>0</v>
      </c>
      <c r="K311" s="69">
        <f t="shared" si="41"/>
        <v>0</v>
      </c>
      <c r="L311" s="69">
        <f t="shared" si="42"/>
        <v>0</v>
      </c>
      <c r="M311" s="69">
        <f t="shared" si="44"/>
        <v>0</v>
      </c>
      <c r="N311" s="67">
        <f t="shared" si="43"/>
        <v>0</v>
      </c>
    </row>
    <row r="312" spans="6:14" x14ac:dyDescent="0.2">
      <c r="F312" s="67">
        <f t="shared" si="37"/>
        <v>0</v>
      </c>
      <c r="G312" s="67">
        <f t="shared" si="38"/>
        <v>0</v>
      </c>
      <c r="H312" s="67">
        <f t="shared" si="39"/>
        <v>0</v>
      </c>
      <c r="I312" s="68">
        <f t="shared" si="40"/>
        <v>0</v>
      </c>
      <c r="J312" s="68">
        <f t="shared" si="36"/>
        <v>0</v>
      </c>
      <c r="K312" s="69">
        <f t="shared" si="41"/>
        <v>0</v>
      </c>
      <c r="L312" s="69">
        <f t="shared" si="42"/>
        <v>0</v>
      </c>
      <c r="M312" s="69">
        <f t="shared" si="44"/>
        <v>0</v>
      </c>
      <c r="N312" s="67">
        <f t="shared" si="43"/>
        <v>0</v>
      </c>
    </row>
    <row r="313" spans="6:14" x14ac:dyDescent="0.2">
      <c r="F313" s="67">
        <f t="shared" si="37"/>
        <v>0</v>
      </c>
      <c r="G313" s="67">
        <f t="shared" si="38"/>
        <v>0</v>
      </c>
      <c r="H313" s="67">
        <f t="shared" si="39"/>
        <v>0</v>
      </c>
      <c r="I313" s="68">
        <f t="shared" si="40"/>
        <v>0</v>
      </c>
      <c r="J313" s="68">
        <f t="shared" si="36"/>
        <v>0</v>
      </c>
      <c r="K313" s="69">
        <f t="shared" si="41"/>
        <v>0</v>
      </c>
      <c r="L313" s="69">
        <f t="shared" si="42"/>
        <v>0</v>
      </c>
      <c r="M313" s="69">
        <f t="shared" si="44"/>
        <v>0</v>
      </c>
      <c r="N313" s="67">
        <f t="shared" si="43"/>
        <v>0</v>
      </c>
    </row>
    <row r="314" spans="6:14" x14ac:dyDescent="0.2">
      <c r="F314" s="67">
        <f t="shared" si="37"/>
        <v>0</v>
      </c>
      <c r="G314" s="67">
        <f t="shared" si="38"/>
        <v>0</v>
      </c>
      <c r="H314" s="67">
        <f t="shared" si="39"/>
        <v>0</v>
      </c>
      <c r="I314" s="68">
        <f t="shared" si="40"/>
        <v>0</v>
      </c>
      <c r="J314" s="68">
        <f t="shared" si="36"/>
        <v>0</v>
      </c>
      <c r="K314" s="69">
        <f t="shared" si="41"/>
        <v>0</v>
      </c>
      <c r="L314" s="69">
        <f t="shared" si="42"/>
        <v>0</v>
      </c>
      <c r="M314" s="69">
        <f t="shared" si="44"/>
        <v>0</v>
      </c>
      <c r="N314" s="67">
        <f t="shared" si="43"/>
        <v>0</v>
      </c>
    </row>
    <row r="315" spans="6:14" x14ac:dyDescent="0.2">
      <c r="F315" s="67">
        <f t="shared" si="37"/>
        <v>0</v>
      </c>
      <c r="G315" s="67">
        <f t="shared" si="38"/>
        <v>0</v>
      </c>
      <c r="H315" s="67">
        <f t="shared" si="39"/>
        <v>0</v>
      </c>
      <c r="I315" s="68">
        <f t="shared" si="40"/>
        <v>0</v>
      </c>
      <c r="J315" s="68">
        <f t="shared" si="36"/>
        <v>0</v>
      </c>
      <c r="K315" s="69">
        <f t="shared" si="41"/>
        <v>0</v>
      </c>
      <c r="L315" s="69">
        <f t="shared" si="42"/>
        <v>0</v>
      </c>
      <c r="M315" s="69">
        <f t="shared" si="44"/>
        <v>0</v>
      </c>
      <c r="N315" s="67">
        <f t="shared" si="43"/>
        <v>0</v>
      </c>
    </row>
    <row r="316" spans="6:14" x14ac:dyDescent="0.2">
      <c r="F316" s="67">
        <f t="shared" si="37"/>
        <v>0</v>
      </c>
      <c r="G316" s="67">
        <f t="shared" si="38"/>
        <v>0</v>
      </c>
      <c r="H316" s="67">
        <f t="shared" si="39"/>
        <v>0</v>
      </c>
      <c r="I316" s="68">
        <f t="shared" si="40"/>
        <v>0</v>
      </c>
      <c r="J316" s="68">
        <f t="shared" si="36"/>
        <v>0</v>
      </c>
      <c r="K316" s="69">
        <f t="shared" si="41"/>
        <v>0</v>
      </c>
      <c r="L316" s="69">
        <f t="shared" si="42"/>
        <v>0</v>
      </c>
      <c r="M316" s="69">
        <f t="shared" si="44"/>
        <v>0</v>
      </c>
      <c r="N316" s="67">
        <f t="shared" si="43"/>
        <v>0</v>
      </c>
    </row>
    <row r="317" spans="6:14" x14ac:dyDescent="0.2">
      <c r="F317" s="67">
        <f t="shared" si="37"/>
        <v>0</v>
      </c>
      <c r="G317" s="67">
        <f t="shared" si="38"/>
        <v>0</v>
      </c>
      <c r="H317" s="67">
        <f t="shared" si="39"/>
        <v>0</v>
      </c>
      <c r="I317" s="68">
        <f t="shared" si="40"/>
        <v>0</v>
      </c>
      <c r="J317" s="68">
        <f t="shared" si="36"/>
        <v>0</v>
      </c>
      <c r="K317" s="69">
        <f t="shared" si="41"/>
        <v>0</v>
      </c>
      <c r="L317" s="69">
        <f t="shared" si="42"/>
        <v>0</v>
      </c>
      <c r="M317" s="69">
        <f t="shared" si="44"/>
        <v>0</v>
      </c>
      <c r="N317" s="67">
        <f t="shared" si="43"/>
        <v>0</v>
      </c>
    </row>
    <row r="318" spans="6:14" x14ac:dyDescent="0.2">
      <c r="F318" s="67">
        <f t="shared" si="37"/>
        <v>0</v>
      </c>
      <c r="G318" s="67">
        <f t="shared" si="38"/>
        <v>0</v>
      </c>
      <c r="H318" s="67">
        <f t="shared" si="39"/>
        <v>0</v>
      </c>
      <c r="I318" s="68">
        <f t="shared" si="40"/>
        <v>0</v>
      </c>
      <c r="J318" s="68">
        <f t="shared" si="36"/>
        <v>0</v>
      </c>
      <c r="K318" s="69">
        <f t="shared" si="41"/>
        <v>0</v>
      </c>
      <c r="L318" s="69">
        <f t="shared" si="42"/>
        <v>0</v>
      </c>
      <c r="M318" s="69">
        <f t="shared" si="44"/>
        <v>0</v>
      </c>
      <c r="N318" s="67">
        <f t="shared" si="43"/>
        <v>0</v>
      </c>
    </row>
    <row r="319" spans="6:14" x14ac:dyDescent="0.2">
      <c r="F319" s="67">
        <f t="shared" si="37"/>
        <v>0</v>
      </c>
      <c r="G319" s="67">
        <f t="shared" si="38"/>
        <v>0</v>
      </c>
      <c r="H319" s="67">
        <f t="shared" si="39"/>
        <v>0</v>
      </c>
      <c r="I319" s="68">
        <f t="shared" si="40"/>
        <v>0</v>
      </c>
      <c r="J319" s="68">
        <f t="shared" si="36"/>
        <v>0</v>
      </c>
      <c r="K319" s="69">
        <f t="shared" si="41"/>
        <v>0</v>
      </c>
      <c r="L319" s="69">
        <f t="shared" si="42"/>
        <v>0</v>
      </c>
      <c r="M319" s="69">
        <f t="shared" si="44"/>
        <v>0</v>
      </c>
      <c r="N319" s="67">
        <f t="shared" si="43"/>
        <v>0</v>
      </c>
    </row>
    <row r="320" spans="6:14" x14ac:dyDescent="0.2">
      <c r="F320" s="67">
        <f t="shared" si="37"/>
        <v>0</v>
      </c>
      <c r="G320" s="67">
        <f t="shared" si="38"/>
        <v>0</v>
      </c>
      <c r="H320" s="67">
        <f t="shared" si="39"/>
        <v>0</v>
      </c>
      <c r="I320" s="68">
        <f t="shared" si="40"/>
        <v>0</v>
      </c>
      <c r="J320" s="68">
        <f t="shared" si="36"/>
        <v>0</v>
      </c>
      <c r="K320" s="69">
        <f t="shared" si="41"/>
        <v>0</v>
      </c>
      <c r="L320" s="69">
        <f t="shared" si="42"/>
        <v>0</v>
      </c>
      <c r="M320" s="69">
        <f t="shared" si="44"/>
        <v>0</v>
      </c>
      <c r="N320" s="67">
        <f t="shared" si="43"/>
        <v>0</v>
      </c>
    </row>
    <row r="321" spans="6:14" x14ac:dyDescent="0.2">
      <c r="F321" s="67">
        <f t="shared" si="37"/>
        <v>0</v>
      </c>
      <c r="G321" s="67">
        <f t="shared" si="38"/>
        <v>0</v>
      </c>
      <c r="H321" s="67">
        <f t="shared" si="39"/>
        <v>0</v>
      </c>
      <c r="I321" s="68">
        <f t="shared" si="40"/>
        <v>0</v>
      </c>
      <c r="J321" s="68">
        <f t="shared" si="36"/>
        <v>0</v>
      </c>
      <c r="K321" s="69">
        <f t="shared" si="41"/>
        <v>0</v>
      </c>
      <c r="L321" s="69">
        <f t="shared" si="42"/>
        <v>0</v>
      </c>
      <c r="M321" s="69">
        <f t="shared" si="44"/>
        <v>0</v>
      </c>
      <c r="N321" s="67">
        <f t="shared" si="43"/>
        <v>0</v>
      </c>
    </row>
    <row r="322" spans="6:14" x14ac:dyDescent="0.2">
      <c r="F322" s="67">
        <f t="shared" si="37"/>
        <v>0</v>
      </c>
      <c r="G322" s="67">
        <f t="shared" si="38"/>
        <v>0</v>
      </c>
      <c r="H322" s="67">
        <f t="shared" si="39"/>
        <v>0</v>
      </c>
      <c r="I322" s="68">
        <f t="shared" si="40"/>
        <v>0</v>
      </c>
      <c r="J322" s="68">
        <f t="shared" si="36"/>
        <v>0</v>
      </c>
      <c r="K322" s="69">
        <f t="shared" si="41"/>
        <v>0</v>
      </c>
      <c r="L322" s="69">
        <f t="shared" si="42"/>
        <v>0</v>
      </c>
      <c r="M322" s="69">
        <f t="shared" si="44"/>
        <v>0</v>
      </c>
      <c r="N322" s="67">
        <f t="shared" si="43"/>
        <v>0</v>
      </c>
    </row>
    <row r="323" spans="6:14" x14ac:dyDescent="0.2">
      <c r="F323" s="67">
        <f t="shared" si="37"/>
        <v>0</v>
      </c>
      <c r="G323" s="67">
        <f t="shared" si="38"/>
        <v>0</v>
      </c>
      <c r="H323" s="67">
        <f t="shared" si="39"/>
        <v>0</v>
      </c>
      <c r="I323" s="68">
        <f t="shared" si="40"/>
        <v>0</v>
      </c>
      <c r="J323" s="68">
        <f t="shared" si="36"/>
        <v>0</v>
      </c>
      <c r="K323" s="69">
        <f t="shared" si="41"/>
        <v>0</v>
      </c>
      <c r="L323" s="69">
        <f t="shared" si="42"/>
        <v>0</v>
      </c>
      <c r="M323" s="69">
        <f t="shared" si="44"/>
        <v>0</v>
      </c>
      <c r="N323" s="67">
        <f t="shared" si="43"/>
        <v>0</v>
      </c>
    </row>
    <row r="324" spans="6:14" x14ac:dyDescent="0.2">
      <c r="F324" s="67">
        <f t="shared" si="37"/>
        <v>0</v>
      </c>
      <c r="G324" s="67">
        <f t="shared" si="38"/>
        <v>0</v>
      </c>
      <c r="H324" s="67">
        <f t="shared" si="39"/>
        <v>0</v>
      </c>
      <c r="I324" s="68">
        <f t="shared" si="40"/>
        <v>0</v>
      </c>
      <c r="J324" s="68">
        <f t="shared" si="36"/>
        <v>0</v>
      </c>
      <c r="K324" s="69">
        <f t="shared" si="41"/>
        <v>0</v>
      </c>
      <c r="L324" s="69">
        <f t="shared" si="42"/>
        <v>0</v>
      </c>
      <c r="M324" s="69">
        <f t="shared" si="44"/>
        <v>0</v>
      </c>
      <c r="N324" s="67">
        <f t="shared" si="43"/>
        <v>0</v>
      </c>
    </row>
    <row r="325" spans="6:14" x14ac:dyDescent="0.2">
      <c r="F325" s="67">
        <f t="shared" si="37"/>
        <v>0</v>
      </c>
      <c r="G325" s="67">
        <f t="shared" si="38"/>
        <v>0</v>
      </c>
      <c r="H325" s="67">
        <f t="shared" si="39"/>
        <v>0</v>
      </c>
      <c r="I325" s="68">
        <f t="shared" si="40"/>
        <v>0</v>
      </c>
      <c r="J325" s="68">
        <f t="shared" si="36"/>
        <v>0</v>
      </c>
      <c r="K325" s="69">
        <f t="shared" si="41"/>
        <v>0</v>
      </c>
      <c r="L325" s="69">
        <f t="shared" si="42"/>
        <v>0</v>
      </c>
      <c r="M325" s="69">
        <f t="shared" si="44"/>
        <v>0</v>
      </c>
      <c r="N325" s="67">
        <f t="shared" si="43"/>
        <v>0</v>
      </c>
    </row>
    <row r="326" spans="6:14" x14ac:dyDescent="0.2">
      <c r="F326" s="67">
        <f t="shared" si="37"/>
        <v>0</v>
      </c>
      <c r="G326" s="67">
        <f t="shared" si="38"/>
        <v>0</v>
      </c>
      <c r="H326" s="67">
        <f t="shared" si="39"/>
        <v>0</v>
      </c>
      <c r="I326" s="68">
        <f t="shared" si="40"/>
        <v>0</v>
      </c>
      <c r="J326" s="68">
        <f t="shared" si="36"/>
        <v>0</v>
      </c>
      <c r="K326" s="69">
        <f t="shared" si="41"/>
        <v>0</v>
      </c>
      <c r="L326" s="69">
        <f t="shared" si="42"/>
        <v>0</v>
      </c>
      <c r="M326" s="69">
        <f t="shared" si="44"/>
        <v>0</v>
      </c>
      <c r="N326" s="67">
        <f t="shared" si="43"/>
        <v>0</v>
      </c>
    </row>
    <row r="327" spans="6:14" x14ac:dyDescent="0.2">
      <c r="F327" s="67">
        <f t="shared" si="37"/>
        <v>0</v>
      </c>
      <c r="G327" s="67">
        <f t="shared" si="38"/>
        <v>0</v>
      </c>
      <c r="H327" s="67">
        <f t="shared" si="39"/>
        <v>0</v>
      </c>
      <c r="I327" s="68">
        <f t="shared" si="40"/>
        <v>0</v>
      </c>
      <c r="J327" s="68">
        <f t="shared" si="36"/>
        <v>0</v>
      </c>
      <c r="K327" s="69">
        <f t="shared" si="41"/>
        <v>0</v>
      </c>
      <c r="L327" s="69">
        <f t="shared" si="42"/>
        <v>0</v>
      </c>
      <c r="M327" s="69">
        <f t="shared" si="44"/>
        <v>0</v>
      </c>
      <c r="N327" s="67">
        <f t="shared" si="43"/>
        <v>0</v>
      </c>
    </row>
    <row r="328" spans="6:14" x14ac:dyDescent="0.2">
      <c r="F328" s="67">
        <f t="shared" si="37"/>
        <v>0</v>
      </c>
      <c r="G328" s="67">
        <f t="shared" si="38"/>
        <v>0</v>
      </c>
      <c r="H328" s="67">
        <f t="shared" si="39"/>
        <v>0</v>
      </c>
      <c r="I328" s="68">
        <f t="shared" si="40"/>
        <v>0</v>
      </c>
      <c r="J328" s="68">
        <f t="shared" si="36"/>
        <v>0</v>
      </c>
      <c r="K328" s="69">
        <f t="shared" si="41"/>
        <v>0</v>
      </c>
      <c r="L328" s="69">
        <f t="shared" si="42"/>
        <v>0</v>
      </c>
      <c r="M328" s="69">
        <f t="shared" si="44"/>
        <v>0</v>
      </c>
      <c r="N328" s="67">
        <f t="shared" si="43"/>
        <v>0</v>
      </c>
    </row>
    <row r="329" spans="6:14" x14ac:dyDescent="0.2">
      <c r="F329" s="67">
        <f t="shared" si="37"/>
        <v>0</v>
      </c>
      <c r="G329" s="67">
        <f t="shared" si="38"/>
        <v>0</v>
      </c>
      <c r="H329" s="67">
        <f t="shared" si="39"/>
        <v>0</v>
      </c>
      <c r="I329" s="68">
        <f t="shared" si="40"/>
        <v>0</v>
      </c>
      <c r="J329" s="68">
        <f t="shared" si="36"/>
        <v>0</v>
      </c>
      <c r="K329" s="69">
        <f t="shared" si="41"/>
        <v>0</v>
      </c>
      <c r="L329" s="69">
        <f t="shared" si="42"/>
        <v>0</v>
      </c>
      <c r="M329" s="69">
        <f t="shared" si="44"/>
        <v>0</v>
      </c>
      <c r="N329" s="67">
        <f t="shared" si="43"/>
        <v>0</v>
      </c>
    </row>
    <row r="330" spans="6:14" x14ac:dyDescent="0.2">
      <c r="F330" s="67">
        <f t="shared" si="37"/>
        <v>0</v>
      </c>
      <c r="G330" s="67">
        <f t="shared" si="38"/>
        <v>0</v>
      </c>
      <c r="H330" s="67">
        <f t="shared" si="39"/>
        <v>0</v>
      </c>
      <c r="I330" s="68">
        <f t="shared" si="40"/>
        <v>0</v>
      </c>
      <c r="J330" s="68">
        <f t="shared" si="36"/>
        <v>0</v>
      </c>
      <c r="K330" s="69">
        <f t="shared" si="41"/>
        <v>0</v>
      </c>
      <c r="L330" s="69">
        <f t="shared" si="42"/>
        <v>0</v>
      </c>
      <c r="M330" s="69">
        <f t="shared" si="44"/>
        <v>0</v>
      </c>
      <c r="N330" s="67">
        <f t="shared" si="43"/>
        <v>0</v>
      </c>
    </row>
    <row r="331" spans="6:14" x14ac:dyDescent="0.2">
      <c r="F331" s="67">
        <f t="shared" si="37"/>
        <v>0</v>
      </c>
      <c r="G331" s="67">
        <f t="shared" si="38"/>
        <v>0</v>
      </c>
      <c r="H331" s="67">
        <f t="shared" si="39"/>
        <v>0</v>
      </c>
      <c r="I331" s="68">
        <f t="shared" si="40"/>
        <v>0</v>
      </c>
      <c r="J331" s="68">
        <f t="shared" si="36"/>
        <v>0</v>
      </c>
      <c r="K331" s="69">
        <f t="shared" si="41"/>
        <v>0</v>
      </c>
      <c r="L331" s="69">
        <f t="shared" si="42"/>
        <v>0</v>
      </c>
      <c r="M331" s="69">
        <f t="shared" si="44"/>
        <v>0</v>
      </c>
      <c r="N331" s="67">
        <f t="shared" si="43"/>
        <v>0</v>
      </c>
    </row>
    <row r="332" spans="6:14" x14ac:dyDescent="0.2">
      <c r="F332" s="67">
        <f t="shared" si="37"/>
        <v>0</v>
      </c>
      <c r="G332" s="67">
        <f t="shared" si="38"/>
        <v>0</v>
      </c>
      <c r="H332" s="67">
        <f t="shared" si="39"/>
        <v>0</v>
      </c>
      <c r="I332" s="68">
        <f t="shared" si="40"/>
        <v>0</v>
      </c>
      <c r="J332" s="68">
        <f t="shared" ref="J332:J395" si="45">IF($C$14=0,0,IF(ROUND(C332,0)=0,0,SQRT(C332/$C$14)))</f>
        <v>0</v>
      </c>
      <c r="K332" s="69">
        <f t="shared" si="41"/>
        <v>0</v>
      </c>
      <c r="L332" s="69">
        <f t="shared" si="42"/>
        <v>0</v>
      </c>
      <c r="M332" s="69">
        <f t="shared" si="44"/>
        <v>0</v>
      </c>
      <c r="N332" s="67">
        <f t="shared" si="43"/>
        <v>0</v>
      </c>
    </row>
    <row r="333" spans="6:14" x14ac:dyDescent="0.2">
      <c r="F333" s="67">
        <f t="shared" si="37"/>
        <v>0</v>
      </c>
      <c r="G333" s="67">
        <f t="shared" si="38"/>
        <v>0</v>
      </c>
      <c r="H333" s="67">
        <f t="shared" si="39"/>
        <v>0</v>
      </c>
      <c r="I333" s="68">
        <f t="shared" si="40"/>
        <v>0</v>
      </c>
      <c r="J333" s="68">
        <f t="shared" si="45"/>
        <v>0</v>
      </c>
      <c r="K333" s="69">
        <f t="shared" si="41"/>
        <v>0</v>
      </c>
      <c r="L333" s="69">
        <f t="shared" si="42"/>
        <v>0</v>
      </c>
      <c r="M333" s="69">
        <f t="shared" si="44"/>
        <v>0</v>
      </c>
      <c r="N333" s="67">
        <f t="shared" si="43"/>
        <v>0</v>
      </c>
    </row>
    <row r="334" spans="6:14" x14ac:dyDescent="0.2">
      <c r="F334" s="67">
        <f t="shared" ref="F334:F397" si="46">ROUND(IF(ROUND(C334,0)=0,0,IF(D334&gt;0,251/D334,IF(ISERROR(VALUE(F333)),0,IF(C333=0,0,F333/C333*C334)))),0)</f>
        <v>0</v>
      </c>
      <c r="G334" s="67">
        <f t="shared" ref="G334:G397" si="47">IF(F334&gt;0,C334/F334/2,0)</f>
        <v>0</v>
      </c>
      <c r="H334" s="67">
        <f t="shared" ref="H334:H397" si="48">IF(G334=0,0,G334+C334/251*$B$6)</f>
        <v>0</v>
      </c>
      <c r="I334" s="68">
        <f t="shared" ref="I334:I397" si="49">IF(K334&gt;0,IF(ROUND(251/K334,0)&gt;100,100,ROUND(251/K334,0)),0)</f>
        <v>0</v>
      </c>
      <c r="J334" s="68">
        <f t="shared" si="45"/>
        <v>0</v>
      </c>
      <c r="K334" s="69">
        <f t="shared" ref="K334:K397" si="50">IF($J$11=0,0,$B$5/$J$11*J334)</f>
        <v>0</v>
      </c>
      <c r="L334" s="69">
        <f t="shared" ref="L334:L397" si="51">IF(K334=0,0,IF(B334/K334&lt;1000,1000,B334/K334))</f>
        <v>0</v>
      </c>
      <c r="M334" s="69">
        <f t="shared" si="44"/>
        <v>0</v>
      </c>
      <c r="N334" s="67">
        <f t="shared" ref="N334:N397" si="52">IF(M334=0,0,M334+C334/251*$B$7)</f>
        <v>0</v>
      </c>
    </row>
    <row r="335" spans="6:14" x14ac:dyDescent="0.2">
      <c r="F335" s="67">
        <f t="shared" si="46"/>
        <v>0</v>
      </c>
      <c r="G335" s="67">
        <f t="shared" si="47"/>
        <v>0</v>
      </c>
      <c r="H335" s="67">
        <f t="shared" si="48"/>
        <v>0</v>
      </c>
      <c r="I335" s="68">
        <f t="shared" si="49"/>
        <v>0</v>
      </c>
      <c r="J335" s="68">
        <f t="shared" si="45"/>
        <v>0</v>
      </c>
      <c r="K335" s="69">
        <f t="shared" si="50"/>
        <v>0</v>
      </c>
      <c r="L335" s="69">
        <f t="shared" si="51"/>
        <v>0</v>
      </c>
      <c r="M335" s="69">
        <f t="shared" ref="M335:M398" si="53">IF(K335&gt;0,C335/K335/2,0)</f>
        <v>0</v>
      </c>
      <c r="N335" s="67">
        <f t="shared" si="52"/>
        <v>0</v>
      </c>
    </row>
    <row r="336" spans="6:14" x14ac:dyDescent="0.2">
      <c r="F336" s="67">
        <f t="shared" si="46"/>
        <v>0</v>
      </c>
      <c r="G336" s="67">
        <f t="shared" si="47"/>
        <v>0</v>
      </c>
      <c r="H336" s="67">
        <f t="shared" si="48"/>
        <v>0</v>
      </c>
      <c r="I336" s="68">
        <f t="shared" si="49"/>
        <v>0</v>
      </c>
      <c r="J336" s="68">
        <f t="shared" si="45"/>
        <v>0</v>
      </c>
      <c r="K336" s="69">
        <f t="shared" si="50"/>
        <v>0</v>
      </c>
      <c r="L336" s="69">
        <f t="shared" si="51"/>
        <v>0</v>
      </c>
      <c r="M336" s="69">
        <f t="shared" si="53"/>
        <v>0</v>
      </c>
      <c r="N336" s="67">
        <f t="shared" si="52"/>
        <v>0</v>
      </c>
    </row>
    <row r="337" spans="6:14" x14ac:dyDescent="0.2">
      <c r="F337" s="67">
        <f t="shared" si="46"/>
        <v>0</v>
      </c>
      <c r="G337" s="67">
        <f t="shared" si="47"/>
        <v>0</v>
      </c>
      <c r="H337" s="67">
        <f t="shared" si="48"/>
        <v>0</v>
      </c>
      <c r="I337" s="68">
        <f t="shared" si="49"/>
        <v>0</v>
      </c>
      <c r="J337" s="68">
        <f t="shared" si="45"/>
        <v>0</v>
      </c>
      <c r="K337" s="69">
        <f t="shared" si="50"/>
        <v>0</v>
      </c>
      <c r="L337" s="69">
        <f t="shared" si="51"/>
        <v>0</v>
      </c>
      <c r="M337" s="69">
        <f t="shared" si="53"/>
        <v>0</v>
      </c>
      <c r="N337" s="67">
        <f t="shared" si="52"/>
        <v>0</v>
      </c>
    </row>
    <row r="338" spans="6:14" x14ac:dyDescent="0.2">
      <c r="F338" s="67">
        <f t="shared" si="46"/>
        <v>0</v>
      </c>
      <c r="G338" s="67">
        <f t="shared" si="47"/>
        <v>0</v>
      </c>
      <c r="H338" s="67">
        <f t="shared" si="48"/>
        <v>0</v>
      </c>
      <c r="I338" s="68">
        <f t="shared" si="49"/>
        <v>0</v>
      </c>
      <c r="J338" s="68">
        <f t="shared" si="45"/>
        <v>0</v>
      </c>
      <c r="K338" s="69">
        <f t="shared" si="50"/>
        <v>0</v>
      </c>
      <c r="L338" s="69">
        <f t="shared" si="51"/>
        <v>0</v>
      </c>
      <c r="M338" s="69">
        <f t="shared" si="53"/>
        <v>0</v>
      </c>
      <c r="N338" s="67">
        <f t="shared" si="52"/>
        <v>0</v>
      </c>
    </row>
    <row r="339" spans="6:14" x14ac:dyDescent="0.2">
      <c r="F339" s="67">
        <f t="shared" si="46"/>
        <v>0</v>
      </c>
      <c r="G339" s="67">
        <f t="shared" si="47"/>
        <v>0</v>
      </c>
      <c r="H339" s="67">
        <f t="shared" si="48"/>
        <v>0</v>
      </c>
      <c r="I339" s="68">
        <f t="shared" si="49"/>
        <v>0</v>
      </c>
      <c r="J339" s="68">
        <f t="shared" si="45"/>
        <v>0</v>
      </c>
      <c r="K339" s="69">
        <f t="shared" si="50"/>
        <v>0</v>
      </c>
      <c r="L339" s="69">
        <f t="shared" si="51"/>
        <v>0</v>
      </c>
      <c r="M339" s="69">
        <f t="shared" si="53"/>
        <v>0</v>
      </c>
      <c r="N339" s="67">
        <f t="shared" si="52"/>
        <v>0</v>
      </c>
    </row>
    <row r="340" spans="6:14" x14ac:dyDescent="0.2">
      <c r="F340" s="67">
        <f t="shared" si="46"/>
        <v>0</v>
      </c>
      <c r="G340" s="67">
        <f t="shared" si="47"/>
        <v>0</v>
      </c>
      <c r="H340" s="67">
        <f t="shared" si="48"/>
        <v>0</v>
      </c>
      <c r="I340" s="68">
        <f t="shared" si="49"/>
        <v>0</v>
      </c>
      <c r="J340" s="68">
        <f t="shared" si="45"/>
        <v>0</v>
      </c>
      <c r="K340" s="69">
        <f t="shared" si="50"/>
        <v>0</v>
      </c>
      <c r="L340" s="69">
        <f t="shared" si="51"/>
        <v>0</v>
      </c>
      <c r="M340" s="69">
        <f t="shared" si="53"/>
        <v>0</v>
      </c>
      <c r="N340" s="67">
        <f t="shared" si="52"/>
        <v>0</v>
      </c>
    </row>
    <row r="341" spans="6:14" x14ac:dyDescent="0.2">
      <c r="F341" s="67">
        <f t="shared" si="46"/>
        <v>0</v>
      </c>
      <c r="G341" s="67">
        <f t="shared" si="47"/>
        <v>0</v>
      </c>
      <c r="H341" s="67">
        <f t="shared" si="48"/>
        <v>0</v>
      </c>
      <c r="I341" s="68">
        <f t="shared" si="49"/>
        <v>0</v>
      </c>
      <c r="J341" s="68">
        <f t="shared" si="45"/>
        <v>0</v>
      </c>
      <c r="K341" s="69">
        <f t="shared" si="50"/>
        <v>0</v>
      </c>
      <c r="L341" s="69">
        <f t="shared" si="51"/>
        <v>0</v>
      </c>
      <c r="M341" s="69">
        <f t="shared" si="53"/>
        <v>0</v>
      </c>
      <c r="N341" s="67">
        <f t="shared" si="52"/>
        <v>0</v>
      </c>
    </row>
    <row r="342" spans="6:14" x14ac:dyDescent="0.2">
      <c r="F342" s="67">
        <f t="shared" si="46"/>
        <v>0</v>
      </c>
      <c r="G342" s="67">
        <f t="shared" si="47"/>
        <v>0</v>
      </c>
      <c r="H342" s="67">
        <f t="shared" si="48"/>
        <v>0</v>
      </c>
      <c r="I342" s="68">
        <f t="shared" si="49"/>
        <v>0</v>
      </c>
      <c r="J342" s="68">
        <f t="shared" si="45"/>
        <v>0</v>
      </c>
      <c r="K342" s="69">
        <f t="shared" si="50"/>
        <v>0</v>
      </c>
      <c r="L342" s="69">
        <f t="shared" si="51"/>
        <v>0</v>
      </c>
      <c r="M342" s="69">
        <f t="shared" si="53"/>
        <v>0</v>
      </c>
      <c r="N342" s="67">
        <f t="shared" si="52"/>
        <v>0</v>
      </c>
    </row>
    <row r="343" spans="6:14" x14ac:dyDescent="0.2">
      <c r="F343" s="67">
        <f t="shared" si="46"/>
        <v>0</v>
      </c>
      <c r="G343" s="67">
        <f t="shared" si="47"/>
        <v>0</v>
      </c>
      <c r="H343" s="67">
        <f t="shared" si="48"/>
        <v>0</v>
      </c>
      <c r="I343" s="68">
        <f t="shared" si="49"/>
        <v>0</v>
      </c>
      <c r="J343" s="68">
        <f t="shared" si="45"/>
        <v>0</v>
      </c>
      <c r="K343" s="69">
        <f t="shared" si="50"/>
        <v>0</v>
      </c>
      <c r="L343" s="69">
        <f t="shared" si="51"/>
        <v>0</v>
      </c>
      <c r="M343" s="69">
        <f t="shared" si="53"/>
        <v>0</v>
      </c>
      <c r="N343" s="67">
        <f t="shared" si="52"/>
        <v>0</v>
      </c>
    </row>
    <row r="344" spans="6:14" x14ac:dyDescent="0.2">
      <c r="F344" s="67">
        <f t="shared" si="46"/>
        <v>0</v>
      </c>
      <c r="G344" s="67">
        <f t="shared" si="47"/>
        <v>0</v>
      </c>
      <c r="H344" s="67">
        <f t="shared" si="48"/>
        <v>0</v>
      </c>
      <c r="I344" s="68">
        <f t="shared" si="49"/>
        <v>0</v>
      </c>
      <c r="J344" s="68">
        <f t="shared" si="45"/>
        <v>0</v>
      </c>
      <c r="K344" s="69">
        <f t="shared" si="50"/>
        <v>0</v>
      </c>
      <c r="L344" s="69">
        <f t="shared" si="51"/>
        <v>0</v>
      </c>
      <c r="M344" s="69">
        <f t="shared" si="53"/>
        <v>0</v>
      </c>
      <c r="N344" s="67">
        <f t="shared" si="52"/>
        <v>0</v>
      </c>
    </row>
    <row r="345" spans="6:14" x14ac:dyDescent="0.2">
      <c r="F345" s="67">
        <f t="shared" si="46"/>
        <v>0</v>
      </c>
      <c r="G345" s="67">
        <f t="shared" si="47"/>
        <v>0</v>
      </c>
      <c r="H345" s="67">
        <f t="shared" si="48"/>
        <v>0</v>
      </c>
      <c r="I345" s="68">
        <f t="shared" si="49"/>
        <v>0</v>
      </c>
      <c r="J345" s="68">
        <f t="shared" si="45"/>
        <v>0</v>
      </c>
      <c r="K345" s="69">
        <f t="shared" si="50"/>
        <v>0</v>
      </c>
      <c r="L345" s="69">
        <f t="shared" si="51"/>
        <v>0</v>
      </c>
      <c r="M345" s="69">
        <f t="shared" si="53"/>
        <v>0</v>
      </c>
      <c r="N345" s="67">
        <f t="shared" si="52"/>
        <v>0</v>
      </c>
    </row>
    <row r="346" spans="6:14" x14ac:dyDescent="0.2">
      <c r="F346" s="67">
        <f t="shared" si="46"/>
        <v>0</v>
      </c>
      <c r="G346" s="67">
        <f t="shared" si="47"/>
        <v>0</v>
      </c>
      <c r="H346" s="67">
        <f t="shared" si="48"/>
        <v>0</v>
      </c>
      <c r="I346" s="68">
        <f t="shared" si="49"/>
        <v>0</v>
      </c>
      <c r="J346" s="68">
        <f t="shared" si="45"/>
        <v>0</v>
      </c>
      <c r="K346" s="69">
        <f t="shared" si="50"/>
        <v>0</v>
      </c>
      <c r="L346" s="69">
        <f t="shared" si="51"/>
        <v>0</v>
      </c>
      <c r="M346" s="69">
        <f t="shared" si="53"/>
        <v>0</v>
      </c>
      <c r="N346" s="67">
        <f t="shared" si="52"/>
        <v>0</v>
      </c>
    </row>
    <row r="347" spans="6:14" x14ac:dyDescent="0.2">
      <c r="F347" s="67">
        <f t="shared" si="46"/>
        <v>0</v>
      </c>
      <c r="G347" s="67">
        <f t="shared" si="47"/>
        <v>0</v>
      </c>
      <c r="H347" s="67">
        <f t="shared" si="48"/>
        <v>0</v>
      </c>
      <c r="I347" s="68">
        <f t="shared" si="49"/>
        <v>0</v>
      </c>
      <c r="J347" s="68">
        <f t="shared" si="45"/>
        <v>0</v>
      </c>
      <c r="K347" s="69">
        <f t="shared" si="50"/>
        <v>0</v>
      </c>
      <c r="L347" s="69">
        <f t="shared" si="51"/>
        <v>0</v>
      </c>
      <c r="M347" s="69">
        <f t="shared" si="53"/>
        <v>0</v>
      </c>
      <c r="N347" s="67">
        <f t="shared" si="52"/>
        <v>0</v>
      </c>
    </row>
    <row r="348" spans="6:14" x14ac:dyDescent="0.2">
      <c r="F348" s="67">
        <f t="shared" si="46"/>
        <v>0</v>
      </c>
      <c r="G348" s="67">
        <f t="shared" si="47"/>
        <v>0</v>
      </c>
      <c r="H348" s="67">
        <f t="shared" si="48"/>
        <v>0</v>
      </c>
      <c r="I348" s="68">
        <f t="shared" si="49"/>
        <v>0</v>
      </c>
      <c r="J348" s="68">
        <f t="shared" si="45"/>
        <v>0</v>
      </c>
      <c r="K348" s="69">
        <f t="shared" si="50"/>
        <v>0</v>
      </c>
      <c r="L348" s="69">
        <f t="shared" si="51"/>
        <v>0</v>
      </c>
      <c r="M348" s="69">
        <f t="shared" si="53"/>
        <v>0</v>
      </c>
      <c r="N348" s="67">
        <f t="shared" si="52"/>
        <v>0</v>
      </c>
    </row>
    <row r="349" spans="6:14" x14ac:dyDescent="0.2">
      <c r="F349" s="67">
        <f t="shared" si="46"/>
        <v>0</v>
      </c>
      <c r="G349" s="67">
        <f t="shared" si="47"/>
        <v>0</v>
      </c>
      <c r="H349" s="67">
        <f t="shared" si="48"/>
        <v>0</v>
      </c>
      <c r="I349" s="68">
        <f t="shared" si="49"/>
        <v>0</v>
      </c>
      <c r="J349" s="68">
        <f t="shared" si="45"/>
        <v>0</v>
      </c>
      <c r="K349" s="69">
        <f t="shared" si="50"/>
        <v>0</v>
      </c>
      <c r="L349" s="69">
        <f t="shared" si="51"/>
        <v>0</v>
      </c>
      <c r="M349" s="69">
        <f t="shared" si="53"/>
        <v>0</v>
      </c>
      <c r="N349" s="67">
        <f t="shared" si="52"/>
        <v>0</v>
      </c>
    </row>
    <row r="350" spans="6:14" x14ac:dyDescent="0.2">
      <c r="F350" s="67">
        <f t="shared" si="46"/>
        <v>0</v>
      </c>
      <c r="G350" s="67">
        <f t="shared" si="47"/>
        <v>0</v>
      </c>
      <c r="H350" s="67">
        <f t="shared" si="48"/>
        <v>0</v>
      </c>
      <c r="I350" s="68">
        <f t="shared" si="49"/>
        <v>0</v>
      </c>
      <c r="J350" s="68">
        <f t="shared" si="45"/>
        <v>0</v>
      </c>
      <c r="K350" s="69">
        <f t="shared" si="50"/>
        <v>0</v>
      </c>
      <c r="L350" s="69">
        <f t="shared" si="51"/>
        <v>0</v>
      </c>
      <c r="M350" s="69">
        <f t="shared" si="53"/>
        <v>0</v>
      </c>
      <c r="N350" s="67">
        <f t="shared" si="52"/>
        <v>0</v>
      </c>
    </row>
    <row r="351" spans="6:14" x14ac:dyDescent="0.2">
      <c r="F351" s="67">
        <f t="shared" si="46"/>
        <v>0</v>
      </c>
      <c r="G351" s="67">
        <f t="shared" si="47"/>
        <v>0</v>
      </c>
      <c r="H351" s="67">
        <f t="shared" si="48"/>
        <v>0</v>
      </c>
      <c r="I351" s="68">
        <f t="shared" si="49"/>
        <v>0</v>
      </c>
      <c r="J351" s="68">
        <f t="shared" si="45"/>
        <v>0</v>
      </c>
      <c r="K351" s="69">
        <f t="shared" si="50"/>
        <v>0</v>
      </c>
      <c r="L351" s="69">
        <f t="shared" si="51"/>
        <v>0</v>
      </c>
      <c r="M351" s="69">
        <f t="shared" si="53"/>
        <v>0</v>
      </c>
      <c r="N351" s="67">
        <f t="shared" si="52"/>
        <v>0</v>
      </c>
    </row>
    <row r="352" spans="6:14" x14ac:dyDescent="0.2">
      <c r="F352" s="67">
        <f t="shared" si="46"/>
        <v>0</v>
      </c>
      <c r="G352" s="67">
        <f t="shared" si="47"/>
        <v>0</v>
      </c>
      <c r="H352" s="67">
        <f t="shared" si="48"/>
        <v>0</v>
      </c>
      <c r="I352" s="68">
        <f t="shared" si="49"/>
        <v>0</v>
      </c>
      <c r="J352" s="68">
        <f t="shared" si="45"/>
        <v>0</v>
      </c>
      <c r="K352" s="69">
        <f t="shared" si="50"/>
        <v>0</v>
      </c>
      <c r="L352" s="69">
        <f t="shared" si="51"/>
        <v>0</v>
      </c>
      <c r="M352" s="69">
        <f t="shared" si="53"/>
        <v>0</v>
      </c>
      <c r="N352" s="67">
        <f t="shared" si="52"/>
        <v>0</v>
      </c>
    </row>
    <row r="353" spans="6:14" x14ac:dyDescent="0.2">
      <c r="F353" s="67">
        <f t="shared" si="46"/>
        <v>0</v>
      </c>
      <c r="G353" s="67">
        <f t="shared" si="47"/>
        <v>0</v>
      </c>
      <c r="H353" s="67">
        <f t="shared" si="48"/>
        <v>0</v>
      </c>
      <c r="I353" s="68">
        <f t="shared" si="49"/>
        <v>0</v>
      </c>
      <c r="J353" s="68">
        <f t="shared" si="45"/>
        <v>0</v>
      </c>
      <c r="K353" s="69">
        <f t="shared" si="50"/>
        <v>0</v>
      </c>
      <c r="L353" s="69">
        <f t="shared" si="51"/>
        <v>0</v>
      </c>
      <c r="M353" s="69">
        <f t="shared" si="53"/>
        <v>0</v>
      </c>
      <c r="N353" s="67">
        <f t="shared" si="52"/>
        <v>0</v>
      </c>
    </row>
    <row r="354" spans="6:14" x14ac:dyDescent="0.2">
      <c r="F354" s="67">
        <f t="shared" si="46"/>
        <v>0</v>
      </c>
      <c r="G354" s="67">
        <f t="shared" si="47"/>
        <v>0</v>
      </c>
      <c r="H354" s="67">
        <f t="shared" si="48"/>
        <v>0</v>
      </c>
      <c r="I354" s="68">
        <f t="shared" si="49"/>
        <v>0</v>
      </c>
      <c r="J354" s="68">
        <f t="shared" si="45"/>
        <v>0</v>
      </c>
      <c r="K354" s="69">
        <f t="shared" si="50"/>
        <v>0</v>
      </c>
      <c r="L354" s="69">
        <f t="shared" si="51"/>
        <v>0</v>
      </c>
      <c r="M354" s="69">
        <f t="shared" si="53"/>
        <v>0</v>
      </c>
      <c r="N354" s="67">
        <f t="shared" si="52"/>
        <v>0</v>
      </c>
    </row>
    <row r="355" spans="6:14" x14ac:dyDescent="0.2">
      <c r="F355" s="67">
        <f t="shared" si="46"/>
        <v>0</v>
      </c>
      <c r="G355" s="67">
        <f t="shared" si="47"/>
        <v>0</v>
      </c>
      <c r="H355" s="67">
        <f t="shared" si="48"/>
        <v>0</v>
      </c>
      <c r="I355" s="68">
        <f t="shared" si="49"/>
        <v>0</v>
      </c>
      <c r="J355" s="68">
        <f t="shared" si="45"/>
        <v>0</v>
      </c>
      <c r="K355" s="69">
        <f t="shared" si="50"/>
        <v>0</v>
      </c>
      <c r="L355" s="69">
        <f t="shared" si="51"/>
        <v>0</v>
      </c>
      <c r="M355" s="69">
        <f t="shared" si="53"/>
        <v>0</v>
      </c>
      <c r="N355" s="67">
        <f t="shared" si="52"/>
        <v>0</v>
      </c>
    </row>
    <row r="356" spans="6:14" x14ac:dyDescent="0.2">
      <c r="F356" s="67">
        <f t="shared" si="46"/>
        <v>0</v>
      </c>
      <c r="G356" s="67">
        <f t="shared" si="47"/>
        <v>0</v>
      </c>
      <c r="H356" s="67">
        <f t="shared" si="48"/>
        <v>0</v>
      </c>
      <c r="I356" s="68">
        <f t="shared" si="49"/>
        <v>0</v>
      </c>
      <c r="J356" s="68">
        <f t="shared" si="45"/>
        <v>0</v>
      </c>
      <c r="K356" s="69">
        <f t="shared" si="50"/>
        <v>0</v>
      </c>
      <c r="L356" s="69">
        <f t="shared" si="51"/>
        <v>0</v>
      </c>
      <c r="M356" s="69">
        <f t="shared" si="53"/>
        <v>0</v>
      </c>
      <c r="N356" s="67">
        <f t="shared" si="52"/>
        <v>0</v>
      </c>
    </row>
    <row r="357" spans="6:14" x14ac:dyDescent="0.2">
      <c r="F357" s="67">
        <f t="shared" si="46"/>
        <v>0</v>
      </c>
      <c r="G357" s="67">
        <f t="shared" si="47"/>
        <v>0</v>
      </c>
      <c r="H357" s="67">
        <f t="shared" si="48"/>
        <v>0</v>
      </c>
      <c r="I357" s="68">
        <f t="shared" si="49"/>
        <v>0</v>
      </c>
      <c r="J357" s="68">
        <f t="shared" si="45"/>
        <v>0</v>
      </c>
      <c r="K357" s="69">
        <f t="shared" si="50"/>
        <v>0</v>
      </c>
      <c r="L357" s="69">
        <f t="shared" si="51"/>
        <v>0</v>
      </c>
      <c r="M357" s="69">
        <f t="shared" si="53"/>
        <v>0</v>
      </c>
      <c r="N357" s="67">
        <f t="shared" si="52"/>
        <v>0</v>
      </c>
    </row>
    <row r="358" spans="6:14" x14ac:dyDescent="0.2">
      <c r="F358" s="67">
        <f t="shared" si="46"/>
        <v>0</v>
      </c>
      <c r="G358" s="67">
        <f t="shared" si="47"/>
        <v>0</v>
      </c>
      <c r="H358" s="67">
        <f t="shared" si="48"/>
        <v>0</v>
      </c>
      <c r="I358" s="68">
        <f t="shared" si="49"/>
        <v>0</v>
      </c>
      <c r="J358" s="68">
        <f t="shared" si="45"/>
        <v>0</v>
      </c>
      <c r="K358" s="69">
        <f t="shared" si="50"/>
        <v>0</v>
      </c>
      <c r="L358" s="69">
        <f t="shared" si="51"/>
        <v>0</v>
      </c>
      <c r="M358" s="69">
        <f t="shared" si="53"/>
        <v>0</v>
      </c>
      <c r="N358" s="67">
        <f t="shared" si="52"/>
        <v>0</v>
      </c>
    </row>
    <row r="359" spans="6:14" x14ac:dyDescent="0.2">
      <c r="F359" s="67">
        <f t="shared" si="46"/>
        <v>0</v>
      </c>
      <c r="G359" s="67">
        <f t="shared" si="47"/>
        <v>0</v>
      </c>
      <c r="H359" s="67">
        <f t="shared" si="48"/>
        <v>0</v>
      </c>
      <c r="I359" s="68">
        <f t="shared" si="49"/>
        <v>0</v>
      </c>
      <c r="J359" s="68">
        <f t="shared" si="45"/>
        <v>0</v>
      </c>
      <c r="K359" s="69">
        <f t="shared" si="50"/>
        <v>0</v>
      </c>
      <c r="L359" s="69">
        <f t="shared" si="51"/>
        <v>0</v>
      </c>
      <c r="M359" s="69">
        <f t="shared" si="53"/>
        <v>0</v>
      </c>
      <c r="N359" s="67">
        <f t="shared" si="52"/>
        <v>0</v>
      </c>
    </row>
    <row r="360" spans="6:14" x14ac:dyDescent="0.2">
      <c r="F360" s="67">
        <f t="shared" si="46"/>
        <v>0</v>
      </c>
      <c r="G360" s="67">
        <f t="shared" si="47"/>
        <v>0</v>
      </c>
      <c r="H360" s="67">
        <f t="shared" si="48"/>
        <v>0</v>
      </c>
      <c r="I360" s="68">
        <f t="shared" si="49"/>
        <v>0</v>
      </c>
      <c r="J360" s="68">
        <f t="shared" si="45"/>
        <v>0</v>
      </c>
      <c r="K360" s="69">
        <f t="shared" si="50"/>
        <v>0</v>
      </c>
      <c r="L360" s="69">
        <f t="shared" si="51"/>
        <v>0</v>
      </c>
      <c r="M360" s="69">
        <f t="shared" si="53"/>
        <v>0</v>
      </c>
      <c r="N360" s="67">
        <f t="shared" si="52"/>
        <v>0</v>
      </c>
    </row>
    <row r="361" spans="6:14" x14ac:dyDescent="0.2">
      <c r="F361" s="67">
        <f t="shared" si="46"/>
        <v>0</v>
      </c>
      <c r="G361" s="67">
        <f t="shared" si="47"/>
        <v>0</v>
      </c>
      <c r="H361" s="67">
        <f t="shared" si="48"/>
        <v>0</v>
      </c>
      <c r="I361" s="68">
        <f t="shared" si="49"/>
        <v>0</v>
      </c>
      <c r="J361" s="68">
        <f t="shared" si="45"/>
        <v>0</v>
      </c>
      <c r="K361" s="69">
        <f t="shared" si="50"/>
        <v>0</v>
      </c>
      <c r="L361" s="69">
        <f t="shared" si="51"/>
        <v>0</v>
      </c>
      <c r="M361" s="69">
        <f t="shared" si="53"/>
        <v>0</v>
      </c>
      <c r="N361" s="67">
        <f t="shared" si="52"/>
        <v>0</v>
      </c>
    </row>
    <row r="362" spans="6:14" x14ac:dyDescent="0.2">
      <c r="F362" s="67">
        <f t="shared" si="46"/>
        <v>0</v>
      </c>
      <c r="G362" s="67">
        <f t="shared" si="47"/>
        <v>0</v>
      </c>
      <c r="H362" s="67">
        <f t="shared" si="48"/>
        <v>0</v>
      </c>
      <c r="I362" s="68">
        <f t="shared" si="49"/>
        <v>0</v>
      </c>
      <c r="J362" s="68">
        <f t="shared" si="45"/>
        <v>0</v>
      </c>
      <c r="K362" s="69">
        <f t="shared" si="50"/>
        <v>0</v>
      </c>
      <c r="L362" s="69">
        <f t="shared" si="51"/>
        <v>0</v>
      </c>
      <c r="M362" s="69">
        <f t="shared" si="53"/>
        <v>0</v>
      </c>
      <c r="N362" s="67">
        <f t="shared" si="52"/>
        <v>0</v>
      </c>
    </row>
    <row r="363" spans="6:14" x14ac:dyDescent="0.2">
      <c r="F363" s="67">
        <f t="shared" si="46"/>
        <v>0</v>
      </c>
      <c r="G363" s="67">
        <f t="shared" si="47"/>
        <v>0</v>
      </c>
      <c r="H363" s="67">
        <f t="shared" si="48"/>
        <v>0</v>
      </c>
      <c r="I363" s="68">
        <f t="shared" si="49"/>
        <v>0</v>
      </c>
      <c r="J363" s="68">
        <f t="shared" si="45"/>
        <v>0</v>
      </c>
      <c r="K363" s="69">
        <f t="shared" si="50"/>
        <v>0</v>
      </c>
      <c r="L363" s="69">
        <f t="shared" si="51"/>
        <v>0</v>
      </c>
      <c r="M363" s="69">
        <f t="shared" si="53"/>
        <v>0</v>
      </c>
      <c r="N363" s="67">
        <f t="shared" si="52"/>
        <v>0</v>
      </c>
    </row>
    <row r="364" spans="6:14" x14ac:dyDescent="0.2">
      <c r="F364" s="67">
        <f t="shared" si="46"/>
        <v>0</v>
      </c>
      <c r="G364" s="67">
        <f t="shared" si="47"/>
        <v>0</v>
      </c>
      <c r="H364" s="67">
        <f t="shared" si="48"/>
        <v>0</v>
      </c>
      <c r="I364" s="68">
        <f t="shared" si="49"/>
        <v>0</v>
      </c>
      <c r="J364" s="68">
        <f t="shared" si="45"/>
        <v>0</v>
      </c>
      <c r="K364" s="69">
        <f t="shared" si="50"/>
        <v>0</v>
      </c>
      <c r="L364" s="69">
        <f t="shared" si="51"/>
        <v>0</v>
      </c>
      <c r="M364" s="69">
        <f t="shared" si="53"/>
        <v>0</v>
      </c>
      <c r="N364" s="67">
        <f t="shared" si="52"/>
        <v>0</v>
      </c>
    </row>
    <row r="365" spans="6:14" x14ac:dyDescent="0.2">
      <c r="F365" s="67">
        <f t="shared" si="46"/>
        <v>0</v>
      </c>
      <c r="G365" s="67">
        <f t="shared" si="47"/>
        <v>0</v>
      </c>
      <c r="H365" s="67">
        <f t="shared" si="48"/>
        <v>0</v>
      </c>
      <c r="I365" s="68">
        <f t="shared" si="49"/>
        <v>0</v>
      </c>
      <c r="J365" s="68">
        <f t="shared" si="45"/>
        <v>0</v>
      </c>
      <c r="K365" s="69">
        <f t="shared" si="50"/>
        <v>0</v>
      </c>
      <c r="L365" s="69">
        <f t="shared" si="51"/>
        <v>0</v>
      </c>
      <c r="M365" s="69">
        <f t="shared" si="53"/>
        <v>0</v>
      </c>
      <c r="N365" s="67">
        <f t="shared" si="52"/>
        <v>0</v>
      </c>
    </row>
    <row r="366" spans="6:14" x14ac:dyDescent="0.2">
      <c r="F366" s="67">
        <f t="shared" si="46"/>
        <v>0</v>
      </c>
      <c r="G366" s="67">
        <f t="shared" si="47"/>
        <v>0</v>
      </c>
      <c r="H366" s="67">
        <f t="shared" si="48"/>
        <v>0</v>
      </c>
      <c r="I366" s="68">
        <f t="shared" si="49"/>
        <v>0</v>
      </c>
      <c r="J366" s="68">
        <f t="shared" si="45"/>
        <v>0</v>
      </c>
      <c r="K366" s="69">
        <f t="shared" si="50"/>
        <v>0</v>
      </c>
      <c r="L366" s="69">
        <f t="shared" si="51"/>
        <v>0</v>
      </c>
      <c r="M366" s="69">
        <f t="shared" si="53"/>
        <v>0</v>
      </c>
      <c r="N366" s="67">
        <f t="shared" si="52"/>
        <v>0</v>
      </c>
    </row>
    <row r="367" spans="6:14" x14ac:dyDescent="0.2">
      <c r="F367" s="67">
        <f t="shared" si="46"/>
        <v>0</v>
      </c>
      <c r="G367" s="67">
        <f t="shared" si="47"/>
        <v>0</v>
      </c>
      <c r="H367" s="67">
        <f t="shared" si="48"/>
        <v>0</v>
      </c>
      <c r="I367" s="68">
        <f t="shared" si="49"/>
        <v>0</v>
      </c>
      <c r="J367" s="68">
        <f t="shared" si="45"/>
        <v>0</v>
      </c>
      <c r="K367" s="69">
        <f t="shared" si="50"/>
        <v>0</v>
      </c>
      <c r="L367" s="69">
        <f t="shared" si="51"/>
        <v>0</v>
      </c>
      <c r="M367" s="69">
        <f t="shared" si="53"/>
        <v>0</v>
      </c>
      <c r="N367" s="67">
        <f t="shared" si="52"/>
        <v>0</v>
      </c>
    </row>
    <row r="368" spans="6:14" x14ac:dyDescent="0.2">
      <c r="F368" s="67">
        <f t="shared" si="46"/>
        <v>0</v>
      </c>
      <c r="G368" s="67">
        <f t="shared" si="47"/>
        <v>0</v>
      </c>
      <c r="H368" s="67">
        <f t="shared" si="48"/>
        <v>0</v>
      </c>
      <c r="I368" s="68">
        <f t="shared" si="49"/>
        <v>0</v>
      </c>
      <c r="J368" s="68">
        <f t="shared" si="45"/>
        <v>0</v>
      </c>
      <c r="K368" s="69">
        <f t="shared" si="50"/>
        <v>0</v>
      </c>
      <c r="L368" s="69">
        <f t="shared" si="51"/>
        <v>0</v>
      </c>
      <c r="M368" s="69">
        <f t="shared" si="53"/>
        <v>0</v>
      </c>
      <c r="N368" s="67">
        <f t="shared" si="52"/>
        <v>0</v>
      </c>
    </row>
    <row r="369" spans="6:14" x14ac:dyDescent="0.2">
      <c r="F369" s="67">
        <f t="shared" si="46"/>
        <v>0</v>
      </c>
      <c r="G369" s="67">
        <f t="shared" si="47"/>
        <v>0</v>
      </c>
      <c r="H369" s="67">
        <f t="shared" si="48"/>
        <v>0</v>
      </c>
      <c r="I369" s="68">
        <f t="shared" si="49"/>
        <v>0</v>
      </c>
      <c r="J369" s="68">
        <f t="shared" si="45"/>
        <v>0</v>
      </c>
      <c r="K369" s="69">
        <f t="shared" si="50"/>
        <v>0</v>
      </c>
      <c r="L369" s="69">
        <f t="shared" si="51"/>
        <v>0</v>
      </c>
      <c r="M369" s="69">
        <f t="shared" si="53"/>
        <v>0</v>
      </c>
      <c r="N369" s="67">
        <f t="shared" si="52"/>
        <v>0</v>
      </c>
    </row>
    <row r="370" spans="6:14" x14ac:dyDescent="0.2">
      <c r="F370" s="67">
        <f t="shared" si="46"/>
        <v>0</v>
      </c>
      <c r="G370" s="67">
        <f t="shared" si="47"/>
        <v>0</v>
      </c>
      <c r="H370" s="67">
        <f t="shared" si="48"/>
        <v>0</v>
      </c>
      <c r="I370" s="68">
        <f t="shared" si="49"/>
        <v>0</v>
      </c>
      <c r="J370" s="68">
        <f t="shared" si="45"/>
        <v>0</v>
      </c>
      <c r="K370" s="69">
        <f t="shared" si="50"/>
        <v>0</v>
      </c>
      <c r="L370" s="69">
        <f t="shared" si="51"/>
        <v>0</v>
      </c>
      <c r="M370" s="69">
        <f t="shared" si="53"/>
        <v>0</v>
      </c>
      <c r="N370" s="67">
        <f t="shared" si="52"/>
        <v>0</v>
      </c>
    </row>
    <row r="371" spans="6:14" x14ac:dyDescent="0.2">
      <c r="F371" s="67">
        <f t="shared" si="46"/>
        <v>0</v>
      </c>
      <c r="G371" s="67">
        <f t="shared" si="47"/>
        <v>0</v>
      </c>
      <c r="H371" s="67">
        <f t="shared" si="48"/>
        <v>0</v>
      </c>
      <c r="I371" s="68">
        <f t="shared" si="49"/>
        <v>0</v>
      </c>
      <c r="J371" s="68">
        <f t="shared" si="45"/>
        <v>0</v>
      </c>
      <c r="K371" s="69">
        <f t="shared" si="50"/>
        <v>0</v>
      </c>
      <c r="L371" s="69">
        <f t="shared" si="51"/>
        <v>0</v>
      </c>
      <c r="M371" s="69">
        <f t="shared" si="53"/>
        <v>0</v>
      </c>
      <c r="N371" s="67">
        <f t="shared" si="52"/>
        <v>0</v>
      </c>
    </row>
    <row r="372" spans="6:14" x14ac:dyDescent="0.2">
      <c r="F372" s="67">
        <f t="shared" si="46"/>
        <v>0</v>
      </c>
      <c r="G372" s="67">
        <f t="shared" si="47"/>
        <v>0</v>
      </c>
      <c r="H372" s="67">
        <f t="shared" si="48"/>
        <v>0</v>
      </c>
      <c r="I372" s="68">
        <f t="shared" si="49"/>
        <v>0</v>
      </c>
      <c r="J372" s="68">
        <f t="shared" si="45"/>
        <v>0</v>
      </c>
      <c r="K372" s="69">
        <f t="shared" si="50"/>
        <v>0</v>
      </c>
      <c r="L372" s="69">
        <f t="shared" si="51"/>
        <v>0</v>
      </c>
      <c r="M372" s="69">
        <f t="shared" si="53"/>
        <v>0</v>
      </c>
      <c r="N372" s="67">
        <f t="shared" si="52"/>
        <v>0</v>
      </c>
    </row>
    <row r="373" spans="6:14" x14ac:dyDescent="0.2">
      <c r="F373" s="67">
        <f t="shared" si="46"/>
        <v>0</v>
      </c>
      <c r="G373" s="67">
        <f t="shared" si="47"/>
        <v>0</v>
      </c>
      <c r="H373" s="67">
        <f t="shared" si="48"/>
        <v>0</v>
      </c>
      <c r="I373" s="68">
        <f t="shared" si="49"/>
        <v>0</v>
      </c>
      <c r="J373" s="68">
        <f t="shared" si="45"/>
        <v>0</v>
      </c>
      <c r="K373" s="69">
        <f t="shared" si="50"/>
        <v>0</v>
      </c>
      <c r="L373" s="69">
        <f t="shared" si="51"/>
        <v>0</v>
      </c>
      <c r="M373" s="69">
        <f t="shared" si="53"/>
        <v>0</v>
      </c>
      <c r="N373" s="67">
        <f t="shared" si="52"/>
        <v>0</v>
      </c>
    </row>
    <row r="374" spans="6:14" x14ac:dyDescent="0.2">
      <c r="F374" s="67">
        <f t="shared" si="46"/>
        <v>0</v>
      </c>
      <c r="G374" s="67">
        <f t="shared" si="47"/>
        <v>0</v>
      </c>
      <c r="H374" s="67">
        <f t="shared" si="48"/>
        <v>0</v>
      </c>
      <c r="I374" s="68">
        <f t="shared" si="49"/>
        <v>0</v>
      </c>
      <c r="J374" s="68">
        <f t="shared" si="45"/>
        <v>0</v>
      </c>
      <c r="K374" s="69">
        <f t="shared" si="50"/>
        <v>0</v>
      </c>
      <c r="L374" s="69">
        <f t="shared" si="51"/>
        <v>0</v>
      </c>
      <c r="M374" s="69">
        <f t="shared" si="53"/>
        <v>0</v>
      </c>
      <c r="N374" s="67">
        <f t="shared" si="52"/>
        <v>0</v>
      </c>
    </row>
    <row r="375" spans="6:14" x14ac:dyDescent="0.2">
      <c r="F375" s="67">
        <f t="shared" si="46"/>
        <v>0</v>
      </c>
      <c r="G375" s="67">
        <f t="shared" si="47"/>
        <v>0</v>
      </c>
      <c r="H375" s="67">
        <f t="shared" si="48"/>
        <v>0</v>
      </c>
      <c r="I375" s="68">
        <f t="shared" si="49"/>
        <v>0</v>
      </c>
      <c r="J375" s="68">
        <f t="shared" si="45"/>
        <v>0</v>
      </c>
      <c r="K375" s="69">
        <f t="shared" si="50"/>
        <v>0</v>
      </c>
      <c r="L375" s="69">
        <f t="shared" si="51"/>
        <v>0</v>
      </c>
      <c r="M375" s="69">
        <f t="shared" si="53"/>
        <v>0</v>
      </c>
      <c r="N375" s="67">
        <f t="shared" si="52"/>
        <v>0</v>
      </c>
    </row>
    <row r="376" spans="6:14" x14ac:dyDescent="0.2">
      <c r="F376" s="67">
        <f t="shared" si="46"/>
        <v>0</v>
      </c>
      <c r="G376" s="67">
        <f t="shared" si="47"/>
        <v>0</v>
      </c>
      <c r="H376" s="67">
        <f t="shared" si="48"/>
        <v>0</v>
      </c>
      <c r="I376" s="68">
        <f t="shared" si="49"/>
        <v>0</v>
      </c>
      <c r="J376" s="68">
        <f t="shared" si="45"/>
        <v>0</v>
      </c>
      <c r="K376" s="69">
        <f t="shared" si="50"/>
        <v>0</v>
      </c>
      <c r="L376" s="69">
        <f t="shared" si="51"/>
        <v>0</v>
      </c>
      <c r="M376" s="69">
        <f t="shared" si="53"/>
        <v>0</v>
      </c>
      <c r="N376" s="67">
        <f t="shared" si="52"/>
        <v>0</v>
      </c>
    </row>
    <row r="377" spans="6:14" x14ac:dyDescent="0.2">
      <c r="F377" s="67">
        <f t="shared" si="46"/>
        <v>0</v>
      </c>
      <c r="G377" s="67">
        <f t="shared" si="47"/>
        <v>0</v>
      </c>
      <c r="H377" s="67">
        <f t="shared" si="48"/>
        <v>0</v>
      </c>
      <c r="I377" s="68">
        <f t="shared" si="49"/>
        <v>0</v>
      </c>
      <c r="J377" s="68">
        <f t="shared" si="45"/>
        <v>0</v>
      </c>
      <c r="K377" s="69">
        <f t="shared" si="50"/>
        <v>0</v>
      </c>
      <c r="L377" s="69">
        <f t="shared" si="51"/>
        <v>0</v>
      </c>
      <c r="M377" s="69">
        <f t="shared" si="53"/>
        <v>0</v>
      </c>
      <c r="N377" s="67">
        <f t="shared" si="52"/>
        <v>0</v>
      </c>
    </row>
    <row r="378" spans="6:14" x14ac:dyDescent="0.2">
      <c r="F378" s="67">
        <f t="shared" si="46"/>
        <v>0</v>
      </c>
      <c r="G378" s="67">
        <f t="shared" si="47"/>
        <v>0</v>
      </c>
      <c r="H378" s="67">
        <f t="shared" si="48"/>
        <v>0</v>
      </c>
      <c r="I378" s="68">
        <f t="shared" si="49"/>
        <v>0</v>
      </c>
      <c r="J378" s="68">
        <f t="shared" si="45"/>
        <v>0</v>
      </c>
      <c r="K378" s="69">
        <f t="shared" si="50"/>
        <v>0</v>
      </c>
      <c r="L378" s="69">
        <f t="shared" si="51"/>
        <v>0</v>
      </c>
      <c r="M378" s="69">
        <f t="shared" si="53"/>
        <v>0</v>
      </c>
      <c r="N378" s="67">
        <f t="shared" si="52"/>
        <v>0</v>
      </c>
    </row>
    <row r="379" spans="6:14" x14ac:dyDescent="0.2">
      <c r="F379" s="67">
        <f t="shared" si="46"/>
        <v>0</v>
      </c>
      <c r="G379" s="67">
        <f t="shared" si="47"/>
        <v>0</v>
      </c>
      <c r="H379" s="67">
        <f t="shared" si="48"/>
        <v>0</v>
      </c>
      <c r="I379" s="68">
        <f t="shared" si="49"/>
        <v>0</v>
      </c>
      <c r="J379" s="68">
        <f t="shared" si="45"/>
        <v>0</v>
      </c>
      <c r="K379" s="69">
        <f t="shared" si="50"/>
        <v>0</v>
      </c>
      <c r="L379" s="69">
        <f t="shared" si="51"/>
        <v>0</v>
      </c>
      <c r="M379" s="69">
        <f t="shared" si="53"/>
        <v>0</v>
      </c>
      <c r="N379" s="67">
        <f t="shared" si="52"/>
        <v>0</v>
      </c>
    </row>
    <row r="380" spans="6:14" x14ac:dyDescent="0.2">
      <c r="F380" s="67">
        <f t="shared" si="46"/>
        <v>0</v>
      </c>
      <c r="G380" s="67">
        <f t="shared" si="47"/>
        <v>0</v>
      </c>
      <c r="H380" s="67">
        <f t="shared" si="48"/>
        <v>0</v>
      </c>
      <c r="I380" s="68">
        <f t="shared" si="49"/>
        <v>0</v>
      </c>
      <c r="J380" s="68">
        <f t="shared" si="45"/>
        <v>0</v>
      </c>
      <c r="K380" s="69">
        <f t="shared" si="50"/>
        <v>0</v>
      </c>
      <c r="L380" s="69">
        <f t="shared" si="51"/>
        <v>0</v>
      </c>
      <c r="M380" s="69">
        <f t="shared" si="53"/>
        <v>0</v>
      </c>
      <c r="N380" s="67">
        <f t="shared" si="52"/>
        <v>0</v>
      </c>
    </row>
    <row r="381" spans="6:14" x14ac:dyDescent="0.2">
      <c r="F381" s="67">
        <f t="shared" si="46"/>
        <v>0</v>
      </c>
      <c r="G381" s="67">
        <f t="shared" si="47"/>
        <v>0</v>
      </c>
      <c r="H381" s="67">
        <f t="shared" si="48"/>
        <v>0</v>
      </c>
      <c r="I381" s="68">
        <f t="shared" si="49"/>
        <v>0</v>
      </c>
      <c r="J381" s="68">
        <f t="shared" si="45"/>
        <v>0</v>
      </c>
      <c r="K381" s="69">
        <f t="shared" si="50"/>
        <v>0</v>
      </c>
      <c r="L381" s="69">
        <f t="shared" si="51"/>
        <v>0</v>
      </c>
      <c r="M381" s="69">
        <f t="shared" si="53"/>
        <v>0</v>
      </c>
      <c r="N381" s="67">
        <f t="shared" si="52"/>
        <v>0</v>
      </c>
    </row>
    <row r="382" spans="6:14" x14ac:dyDescent="0.2">
      <c r="F382" s="67">
        <f t="shared" si="46"/>
        <v>0</v>
      </c>
      <c r="G382" s="67">
        <f t="shared" si="47"/>
        <v>0</v>
      </c>
      <c r="H382" s="67">
        <f t="shared" si="48"/>
        <v>0</v>
      </c>
      <c r="I382" s="68">
        <f t="shared" si="49"/>
        <v>0</v>
      </c>
      <c r="J382" s="68">
        <f t="shared" si="45"/>
        <v>0</v>
      </c>
      <c r="K382" s="69">
        <f t="shared" si="50"/>
        <v>0</v>
      </c>
      <c r="L382" s="69">
        <f t="shared" si="51"/>
        <v>0</v>
      </c>
      <c r="M382" s="69">
        <f t="shared" si="53"/>
        <v>0</v>
      </c>
      <c r="N382" s="67">
        <f t="shared" si="52"/>
        <v>0</v>
      </c>
    </row>
    <row r="383" spans="6:14" x14ac:dyDescent="0.2">
      <c r="F383" s="67">
        <f t="shared" si="46"/>
        <v>0</v>
      </c>
      <c r="G383" s="67">
        <f t="shared" si="47"/>
        <v>0</v>
      </c>
      <c r="H383" s="67">
        <f t="shared" si="48"/>
        <v>0</v>
      </c>
      <c r="I383" s="68">
        <f t="shared" si="49"/>
        <v>0</v>
      </c>
      <c r="J383" s="68">
        <f t="shared" si="45"/>
        <v>0</v>
      </c>
      <c r="K383" s="69">
        <f t="shared" si="50"/>
        <v>0</v>
      </c>
      <c r="L383" s="69">
        <f t="shared" si="51"/>
        <v>0</v>
      </c>
      <c r="M383" s="69">
        <f t="shared" si="53"/>
        <v>0</v>
      </c>
      <c r="N383" s="67">
        <f t="shared" si="52"/>
        <v>0</v>
      </c>
    </row>
    <row r="384" spans="6:14" x14ac:dyDescent="0.2">
      <c r="F384" s="67">
        <f t="shared" si="46"/>
        <v>0</v>
      </c>
      <c r="G384" s="67">
        <f t="shared" si="47"/>
        <v>0</v>
      </c>
      <c r="H384" s="67">
        <f t="shared" si="48"/>
        <v>0</v>
      </c>
      <c r="I384" s="68">
        <f t="shared" si="49"/>
        <v>0</v>
      </c>
      <c r="J384" s="68">
        <f t="shared" si="45"/>
        <v>0</v>
      </c>
      <c r="K384" s="69">
        <f t="shared" si="50"/>
        <v>0</v>
      </c>
      <c r="L384" s="69">
        <f t="shared" si="51"/>
        <v>0</v>
      </c>
      <c r="M384" s="69">
        <f t="shared" si="53"/>
        <v>0</v>
      </c>
      <c r="N384" s="67">
        <f t="shared" si="52"/>
        <v>0</v>
      </c>
    </row>
    <row r="385" spans="6:14" x14ac:dyDescent="0.2">
      <c r="F385" s="67">
        <f t="shared" si="46"/>
        <v>0</v>
      </c>
      <c r="G385" s="67">
        <f t="shared" si="47"/>
        <v>0</v>
      </c>
      <c r="H385" s="67">
        <f t="shared" si="48"/>
        <v>0</v>
      </c>
      <c r="I385" s="68">
        <f t="shared" si="49"/>
        <v>0</v>
      </c>
      <c r="J385" s="68">
        <f t="shared" si="45"/>
        <v>0</v>
      </c>
      <c r="K385" s="69">
        <f t="shared" si="50"/>
        <v>0</v>
      </c>
      <c r="L385" s="69">
        <f t="shared" si="51"/>
        <v>0</v>
      </c>
      <c r="M385" s="69">
        <f t="shared" si="53"/>
        <v>0</v>
      </c>
      <c r="N385" s="67">
        <f t="shared" si="52"/>
        <v>0</v>
      </c>
    </row>
    <row r="386" spans="6:14" x14ac:dyDescent="0.2">
      <c r="F386" s="67">
        <f t="shared" si="46"/>
        <v>0</v>
      </c>
      <c r="G386" s="67">
        <f t="shared" si="47"/>
        <v>0</v>
      </c>
      <c r="H386" s="67">
        <f t="shared" si="48"/>
        <v>0</v>
      </c>
      <c r="I386" s="68">
        <f t="shared" si="49"/>
        <v>0</v>
      </c>
      <c r="J386" s="68">
        <f t="shared" si="45"/>
        <v>0</v>
      </c>
      <c r="K386" s="69">
        <f t="shared" si="50"/>
        <v>0</v>
      </c>
      <c r="L386" s="69">
        <f t="shared" si="51"/>
        <v>0</v>
      </c>
      <c r="M386" s="69">
        <f t="shared" si="53"/>
        <v>0</v>
      </c>
      <c r="N386" s="67">
        <f t="shared" si="52"/>
        <v>0</v>
      </c>
    </row>
    <row r="387" spans="6:14" x14ac:dyDescent="0.2">
      <c r="F387" s="67">
        <f t="shared" si="46"/>
        <v>0</v>
      </c>
      <c r="G387" s="67">
        <f t="shared" si="47"/>
        <v>0</v>
      </c>
      <c r="H387" s="67">
        <f t="shared" si="48"/>
        <v>0</v>
      </c>
      <c r="I387" s="68">
        <f t="shared" si="49"/>
        <v>0</v>
      </c>
      <c r="J387" s="68">
        <f t="shared" si="45"/>
        <v>0</v>
      </c>
      <c r="K387" s="69">
        <f t="shared" si="50"/>
        <v>0</v>
      </c>
      <c r="L387" s="69">
        <f t="shared" si="51"/>
        <v>0</v>
      </c>
      <c r="M387" s="69">
        <f t="shared" si="53"/>
        <v>0</v>
      </c>
      <c r="N387" s="67">
        <f t="shared" si="52"/>
        <v>0</v>
      </c>
    </row>
    <row r="388" spans="6:14" x14ac:dyDescent="0.2">
      <c r="F388" s="67">
        <f t="shared" si="46"/>
        <v>0</v>
      </c>
      <c r="G388" s="67">
        <f t="shared" si="47"/>
        <v>0</v>
      </c>
      <c r="H388" s="67">
        <f t="shared" si="48"/>
        <v>0</v>
      </c>
      <c r="I388" s="68">
        <f t="shared" si="49"/>
        <v>0</v>
      </c>
      <c r="J388" s="68">
        <f t="shared" si="45"/>
        <v>0</v>
      </c>
      <c r="K388" s="69">
        <f t="shared" si="50"/>
        <v>0</v>
      </c>
      <c r="L388" s="69">
        <f t="shared" si="51"/>
        <v>0</v>
      </c>
      <c r="M388" s="69">
        <f t="shared" si="53"/>
        <v>0</v>
      </c>
      <c r="N388" s="67">
        <f t="shared" si="52"/>
        <v>0</v>
      </c>
    </row>
    <row r="389" spans="6:14" x14ac:dyDescent="0.2">
      <c r="F389" s="67">
        <f t="shared" si="46"/>
        <v>0</v>
      </c>
      <c r="G389" s="67">
        <f t="shared" si="47"/>
        <v>0</v>
      </c>
      <c r="H389" s="67">
        <f t="shared" si="48"/>
        <v>0</v>
      </c>
      <c r="I389" s="68">
        <f t="shared" si="49"/>
        <v>0</v>
      </c>
      <c r="J389" s="68">
        <f t="shared" si="45"/>
        <v>0</v>
      </c>
      <c r="K389" s="69">
        <f t="shared" si="50"/>
        <v>0</v>
      </c>
      <c r="L389" s="69">
        <f t="shared" si="51"/>
        <v>0</v>
      </c>
      <c r="M389" s="69">
        <f t="shared" si="53"/>
        <v>0</v>
      </c>
      <c r="N389" s="67">
        <f t="shared" si="52"/>
        <v>0</v>
      </c>
    </row>
    <row r="390" spans="6:14" x14ac:dyDescent="0.2">
      <c r="F390" s="67">
        <f t="shared" si="46"/>
        <v>0</v>
      </c>
      <c r="G390" s="67">
        <f t="shared" si="47"/>
        <v>0</v>
      </c>
      <c r="H390" s="67">
        <f t="shared" si="48"/>
        <v>0</v>
      </c>
      <c r="I390" s="68">
        <f t="shared" si="49"/>
        <v>0</v>
      </c>
      <c r="J390" s="68">
        <f t="shared" si="45"/>
        <v>0</v>
      </c>
      <c r="K390" s="69">
        <f t="shared" si="50"/>
        <v>0</v>
      </c>
      <c r="L390" s="69">
        <f t="shared" si="51"/>
        <v>0</v>
      </c>
      <c r="M390" s="69">
        <f t="shared" si="53"/>
        <v>0</v>
      </c>
      <c r="N390" s="67">
        <f t="shared" si="52"/>
        <v>0</v>
      </c>
    </row>
    <row r="391" spans="6:14" x14ac:dyDescent="0.2">
      <c r="F391" s="67">
        <f t="shared" si="46"/>
        <v>0</v>
      </c>
      <c r="G391" s="67">
        <f t="shared" si="47"/>
        <v>0</v>
      </c>
      <c r="H391" s="67">
        <f t="shared" si="48"/>
        <v>0</v>
      </c>
      <c r="I391" s="68">
        <f t="shared" si="49"/>
        <v>0</v>
      </c>
      <c r="J391" s="68">
        <f t="shared" si="45"/>
        <v>0</v>
      </c>
      <c r="K391" s="69">
        <f t="shared" si="50"/>
        <v>0</v>
      </c>
      <c r="L391" s="69">
        <f t="shared" si="51"/>
        <v>0</v>
      </c>
      <c r="M391" s="69">
        <f t="shared" si="53"/>
        <v>0</v>
      </c>
      <c r="N391" s="67">
        <f t="shared" si="52"/>
        <v>0</v>
      </c>
    </row>
    <row r="392" spans="6:14" x14ac:dyDescent="0.2">
      <c r="F392" s="67">
        <f t="shared" si="46"/>
        <v>0</v>
      </c>
      <c r="G392" s="67">
        <f t="shared" si="47"/>
        <v>0</v>
      </c>
      <c r="H392" s="67">
        <f t="shared" si="48"/>
        <v>0</v>
      </c>
      <c r="I392" s="68">
        <f t="shared" si="49"/>
        <v>0</v>
      </c>
      <c r="J392" s="68">
        <f t="shared" si="45"/>
        <v>0</v>
      </c>
      <c r="K392" s="69">
        <f t="shared" si="50"/>
        <v>0</v>
      </c>
      <c r="L392" s="69">
        <f t="shared" si="51"/>
        <v>0</v>
      </c>
      <c r="M392" s="69">
        <f t="shared" si="53"/>
        <v>0</v>
      </c>
      <c r="N392" s="67">
        <f t="shared" si="52"/>
        <v>0</v>
      </c>
    </row>
    <row r="393" spans="6:14" x14ac:dyDescent="0.2">
      <c r="F393" s="67">
        <f t="shared" si="46"/>
        <v>0</v>
      </c>
      <c r="G393" s="67">
        <f t="shared" si="47"/>
        <v>0</v>
      </c>
      <c r="H393" s="67">
        <f t="shared" si="48"/>
        <v>0</v>
      </c>
      <c r="I393" s="68">
        <f t="shared" si="49"/>
        <v>0</v>
      </c>
      <c r="J393" s="68">
        <f t="shared" si="45"/>
        <v>0</v>
      </c>
      <c r="K393" s="69">
        <f t="shared" si="50"/>
        <v>0</v>
      </c>
      <c r="L393" s="69">
        <f t="shared" si="51"/>
        <v>0</v>
      </c>
      <c r="M393" s="69">
        <f t="shared" si="53"/>
        <v>0</v>
      </c>
      <c r="N393" s="67">
        <f t="shared" si="52"/>
        <v>0</v>
      </c>
    </row>
    <row r="394" spans="6:14" x14ac:dyDescent="0.2">
      <c r="F394" s="67">
        <f t="shared" si="46"/>
        <v>0</v>
      </c>
      <c r="G394" s="67">
        <f t="shared" si="47"/>
        <v>0</v>
      </c>
      <c r="H394" s="67">
        <f t="shared" si="48"/>
        <v>0</v>
      </c>
      <c r="I394" s="68">
        <f t="shared" si="49"/>
        <v>0</v>
      </c>
      <c r="J394" s="68">
        <f t="shared" si="45"/>
        <v>0</v>
      </c>
      <c r="K394" s="69">
        <f t="shared" si="50"/>
        <v>0</v>
      </c>
      <c r="L394" s="69">
        <f t="shared" si="51"/>
        <v>0</v>
      </c>
      <c r="M394" s="69">
        <f t="shared" si="53"/>
        <v>0</v>
      </c>
      <c r="N394" s="67">
        <f t="shared" si="52"/>
        <v>0</v>
      </c>
    </row>
    <row r="395" spans="6:14" x14ac:dyDescent="0.2">
      <c r="F395" s="67">
        <f t="shared" si="46"/>
        <v>0</v>
      </c>
      <c r="G395" s="67">
        <f t="shared" si="47"/>
        <v>0</v>
      </c>
      <c r="H395" s="67">
        <f t="shared" si="48"/>
        <v>0</v>
      </c>
      <c r="I395" s="68">
        <f t="shared" si="49"/>
        <v>0</v>
      </c>
      <c r="J395" s="68">
        <f t="shared" si="45"/>
        <v>0</v>
      </c>
      <c r="K395" s="69">
        <f t="shared" si="50"/>
        <v>0</v>
      </c>
      <c r="L395" s="69">
        <f t="shared" si="51"/>
        <v>0</v>
      </c>
      <c r="M395" s="69">
        <f t="shared" si="53"/>
        <v>0</v>
      </c>
      <c r="N395" s="67">
        <f t="shared" si="52"/>
        <v>0</v>
      </c>
    </row>
    <row r="396" spans="6:14" x14ac:dyDescent="0.2">
      <c r="F396" s="67">
        <f t="shared" si="46"/>
        <v>0</v>
      </c>
      <c r="G396" s="67">
        <f t="shared" si="47"/>
        <v>0</v>
      </c>
      <c r="H396" s="67">
        <f t="shared" si="48"/>
        <v>0</v>
      </c>
      <c r="I396" s="68">
        <f t="shared" si="49"/>
        <v>0</v>
      </c>
      <c r="J396" s="68">
        <f t="shared" ref="J396:J459" si="54">IF($C$14=0,0,IF(ROUND(C396,0)=0,0,SQRT(C396/$C$14)))</f>
        <v>0</v>
      </c>
      <c r="K396" s="69">
        <f t="shared" si="50"/>
        <v>0</v>
      </c>
      <c r="L396" s="69">
        <f t="shared" si="51"/>
        <v>0</v>
      </c>
      <c r="M396" s="69">
        <f t="shared" si="53"/>
        <v>0</v>
      </c>
      <c r="N396" s="67">
        <f t="shared" si="52"/>
        <v>0</v>
      </c>
    </row>
    <row r="397" spans="6:14" x14ac:dyDescent="0.2">
      <c r="F397" s="67">
        <f t="shared" si="46"/>
        <v>0</v>
      </c>
      <c r="G397" s="67">
        <f t="shared" si="47"/>
        <v>0</v>
      </c>
      <c r="H397" s="67">
        <f t="shared" si="48"/>
        <v>0</v>
      </c>
      <c r="I397" s="68">
        <f t="shared" si="49"/>
        <v>0</v>
      </c>
      <c r="J397" s="68">
        <f t="shared" si="54"/>
        <v>0</v>
      </c>
      <c r="K397" s="69">
        <f t="shared" si="50"/>
        <v>0</v>
      </c>
      <c r="L397" s="69">
        <f t="shared" si="51"/>
        <v>0</v>
      </c>
      <c r="M397" s="69">
        <f t="shared" si="53"/>
        <v>0</v>
      </c>
      <c r="N397" s="67">
        <f t="shared" si="52"/>
        <v>0</v>
      </c>
    </row>
    <row r="398" spans="6:14" x14ac:dyDescent="0.2">
      <c r="F398" s="67">
        <f t="shared" ref="F398:F461" si="55">ROUND(IF(ROUND(C398,0)=0,0,IF(D398&gt;0,251/D398,IF(ISERROR(VALUE(F397)),0,IF(C397=0,0,F397/C397*C398)))),0)</f>
        <v>0</v>
      </c>
      <c r="G398" s="67">
        <f t="shared" ref="G398:G461" si="56">IF(F398&gt;0,C398/F398/2,0)</f>
        <v>0</v>
      </c>
      <c r="H398" s="67">
        <f t="shared" ref="H398:H461" si="57">IF(G398=0,0,G398+C398/251*$B$6)</f>
        <v>0</v>
      </c>
      <c r="I398" s="68">
        <f t="shared" ref="I398:I461" si="58">IF(K398&gt;0,IF(ROUND(251/K398,0)&gt;100,100,ROUND(251/K398,0)),0)</f>
        <v>0</v>
      </c>
      <c r="J398" s="68">
        <f t="shared" si="54"/>
        <v>0</v>
      </c>
      <c r="K398" s="69">
        <f t="shared" ref="K398:K461" si="59">IF($J$11=0,0,$B$5/$J$11*J398)</f>
        <v>0</v>
      </c>
      <c r="L398" s="69">
        <f t="shared" ref="L398:L461" si="60">IF(K398=0,0,IF(B398/K398&lt;1000,1000,B398/K398))</f>
        <v>0</v>
      </c>
      <c r="M398" s="69">
        <f t="shared" si="53"/>
        <v>0</v>
      </c>
      <c r="N398" s="67">
        <f t="shared" ref="N398:N461" si="61">IF(M398=0,0,M398+C398/251*$B$7)</f>
        <v>0</v>
      </c>
    </row>
    <row r="399" spans="6:14" x14ac:dyDescent="0.2">
      <c r="F399" s="67">
        <f t="shared" si="55"/>
        <v>0</v>
      </c>
      <c r="G399" s="67">
        <f t="shared" si="56"/>
        <v>0</v>
      </c>
      <c r="H399" s="67">
        <f t="shared" si="57"/>
        <v>0</v>
      </c>
      <c r="I399" s="68">
        <f t="shared" si="58"/>
        <v>0</v>
      </c>
      <c r="J399" s="68">
        <f t="shared" si="54"/>
        <v>0</v>
      </c>
      <c r="K399" s="69">
        <f t="shared" si="59"/>
        <v>0</v>
      </c>
      <c r="L399" s="69">
        <f t="shared" si="60"/>
        <v>0</v>
      </c>
      <c r="M399" s="69">
        <f t="shared" ref="M399:M462" si="62">IF(K399&gt;0,C399/K399/2,0)</f>
        <v>0</v>
      </c>
      <c r="N399" s="67">
        <f t="shared" si="61"/>
        <v>0</v>
      </c>
    </row>
    <row r="400" spans="6:14" x14ac:dyDescent="0.2">
      <c r="F400" s="67">
        <f t="shared" si="55"/>
        <v>0</v>
      </c>
      <c r="G400" s="67">
        <f t="shared" si="56"/>
        <v>0</v>
      </c>
      <c r="H400" s="67">
        <f t="shared" si="57"/>
        <v>0</v>
      </c>
      <c r="I400" s="68">
        <f t="shared" si="58"/>
        <v>0</v>
      </c>
      <c r="J400" s="68">
        <f t="shared" si="54"/>
        <v>0</v>
      </c>
      <c r="K400" s="69">
        <f t="shared" si="59"/>
        <v>0</v>
      </c>
      <c r="L400" s="69">
        <f t="shared" si="60"/>
        <v>0</v>
      </c>
      <c r="M400" s="69">
        <f t="shared" si="62"/>
        <v>0</v>
      </c>
      <c r="N400" s="67">
        <f t="shared" si="61"/>
        <v>0</v>
      </c>
    </row>
    <row r="401" spans="6:14" x14ac:dyDescent="0.2">
      <c r="F401" s="67">
        <f t="shared" si="55"/>
        <v>0</v>
      </c>
      <c r="G401" s="67">
        <f t="shared" si="56"/>
        <v>0</v>
      </c>
      <c r="H401" s="67">
        <f t="shared" si="57"/>
        <v>0</v>
      </c>
      <c r="I401" s="68">
        <f t="shared" si="58"/>
        <v>0</v>
      </c>
      <c r="J401" s="68">
        <f t="shared" si="54"/>
        <v>0</v>
      </c>
      <c r="K401" s="69">
        <f t="shared" si="59"/>
        <v>0</v>
      </c>
      <c r="L401" s="69">
        <f t="shared" si="60"/>
        <v>0</v>
      </c>
      <c r="M401" s="69">
        <f t="shared" si="62"/>
        <v>0</v>
      </c>
      <c r="N401" s="67">
        <f t="shared" si="61"/>
        <v>0</v>
      </c>
    </row>
    <row r="402" spans="6:14" x14ac:dyDescent="0.2">
      <c r="F402" s="67">
        <f t="shared" si="55"/>
        <v>0</v>
      </c>
      <c r="G402" s="67">
        <f t="shared" si="56"/>
        <v>0</v>
      </c>
      <c r="H402" s="67">
        <f t="shared" si="57"/>
        <v>0</v>
      </c>
      <c r="I402" s="68">
        <f t="shared" si="58"/>
        <v>0</v>
      </c>
      <c r="J402" s="68">
        <f t="shared" si="54"/>
        <v>0</v>
      </c>
      <c r="K402" s="69">
        <f t="shared" si="59"/>
        <v>0</v>
      </c>
      <c r="L402" s="69">
        <f t="shared" si="60"/>
        <v>0</v>
      </c>
      <c r="M402" s="69">
        <f t="shared" si="62"/>
        <v>0</v>
      </c>
      <c r="N402" s="67">
        <f t="shared" si="61"/>
        <v>0</v>
      </c>
    </row>
    <row r="403" spans="6:14" x14ac:dyDescent="0.2">
      <c r="F403" s="67">
        <f t="shared" si="55"/>
        <v>0</v>
      </c>
      <c r="G403" s="67">
        <f t="shared" si="56"/>
        <v>0</v>
      </c>
      <c r="H403" s="67">
        <f t="shared" si="57"/>
        <v>0</v>
      </c>
      <c r="I403" s="68">
        <f t="shared" si="58"/>
        <v>0</v>
      </c>
      <c r="J403" s="68">
        <f t="shared" si="54"/>
        <v>0</v>
      </c>
      <c r="K403" s="69">
        <f t="shared" si="59"/>
        <v>0</v>
      </c>
      <c r="L403" s="69">
        <f t="shared" si="60"/>
        <v>0</v>
      </c>
      <c r="M403" s="69">
        <f t="shared" si="62"/>
        <v>0</v>
      </c>
      <c r="N403" s="67">
        <f t="shared" si="61"/>
        <v>0</v>
      </c>
    </row>
    <row r="404" spans="6:14" x14ac:dyDescent="0.2">
      <c r="F404" s="67">
        <f t="shared" si="55"/>
        <v>0</v>
      </c>
      <c r="G404" s="67">
        <f t="shared" si="56"/>
        <v>0</v>
      </c>
      <c r="H404" s="67">
        <f t="shared" si="57"/>
        <v>0</v>
      </c>
      <c r="I404" s="68">
        <f t="shared" si="58"/>
        <v>0</v>
      </c>
      <c r="J404" s="68">
        <f t="shared" si="54"/>
        <v>0</v>
      </c>
      <c r="K404" s="69">
        <f t="shared" si="59"/>
        <v>0</v>
      </c>
      <c r="L404" s="69">
        <f t="shared" si="60"/>
        <v>0</v>
      </c>
      <c r="M404" s="69">
        <f t="shared" si="62"/>
        <v>0</v>
      </c>
      <c r="N404" s="67">
        <f t="shared" si="61"/>
        <v>0</v>
      </c>
    </row>
    <row r="405" spans="6:14" x14ac:dyDescent="0.2">
      <c r="F405" s="67">
        <f t="shared" si="55"/>
        <v>0</v>
      </c>
      <c r="G405" s="67">
        <f t="shared" si="56"/>
        <v>0</v>
      </c>
      <c r="H405" s="67">
        <f t="shared" si="57"/>
        <v>0</v>
      </c>
      <c r="I405" s="68">
        <f t="shared" si="58"/>
        <v>0</v>
      </c>
      <c r="J405" s="68">
        <f t="shared" si="54"/>
        <v>0</v>
      </c>
      <c r="K405" s="69">
        <f t="shared" si="59"/>
        <v>0</v>
      </c>
      <c r="L405" s="69">
        <f t="shared" si="60"/>
        <v>0</v>
      </c>
      <c r="M405" s="69">
        <f t="shared" si="62"/>
        <v>0</v>
      </c>
      <c r="N405" s="67">
        <f t="shared" si="61"/>
        <v>0</v>
      </c>
    </row>
    <row r="406" spans="6:14" x14ac:dyDescent="0.2">
      <c r="F406" s="67">
        <f t="shared" si="55"/>
        <v>0</v>
      </c>
      <c r="G406" s="67">
        <f t="shared" si="56"/>
        <v>0</v>
      </c>
      <c r="H406" s="67">
        <f t="shared" si="57"/>
        <v>0</v>
      </c>
      <c r="I406" s="68">
        <f t="shared" si="58"/>
        <v>0</v>
      </c>
      <c r="J406" s="68">
        <f t="shared" si="54"/>
        <v>0</v>
      </c>
      <c r="K406" s="69">
        <f t="shared" si="59"/>
        <v>0</v>
      </c>
      <c r="L406" s="69">
        <f t="shared" si="60"/>
        <v>0</v>
      </c>
      <c r="M406" s="69">
        <f t="shared" si="62"/>
        <v>0</v>
      </c>
      <c r="N406" s="67">
        <f t="shared" si="61"/>
        <v>0</v>
      </c>
    </row>
    <row r="407" spans="6:14" x14ac:dyDescent="0.2">
      <c r="F407" s="67">
        <f t="shared" si="55"/>
        <v>0</v>
      </c>
      <c r="G407" s="67">
        <f t="shared" si="56"/>
        <v>0</v>
      </c>
      <c r="H407" s="67">
        <f t="shared" si="57"/>
        <v>0</v>
      </c>
      <c r="I407" s="68">
        <f t="shared" si="58"/>
        <v>0</v>
      </c>
      <c r="J407" s="68">
        <f t="shared" si="54"/>
        <v>0</v>
      </c>
      <c r="K407" s="69">
        <f t="shared" si="59"/>
        <v>0</v>
      </c>
      <c r="L407" s="69">
        <f t="shared" si="60"/>
        <v>0</v>
      </c>
      <c r="M407" s="69">
        <f t="shared" si="62"/>
        <v>0</v>
      </c>
      <c r="N407" s="67">
        <f t="shared" si="61"/>
        <v>0</v>
      </c>
    </row>
    <row r="408" spans="6:14" x14ac:dyDescent="0.2">
      <c r="F408" s="67">
        <f t="shared" si="55"/>
        <v>0</v>
      </c>
      <c r="G408" s="67">
        <f t="shared" si="56"/>
        <v>0</v>
      </c>
      <c r="H408" s="67">
        <f t="shared" si="57"/>
        <v>0</v>
      </c>
      <c r="I408" s="68">
        <f t="shared" si="58"/>
        <v>0</v>
      </c>
      <c r="J408" s="68">
        <f t="shared" si="54"/>
        <v>0</v>
      </c>
      <c r="K408" s="69">
        <f t="shared" si="59"/>
        <v>0</v>
      </c>
      <c r="L408" s="69">
        <f t="shared" si="60"/>
        <v>0</v>
      </c>
      <c r="M408" s="69">
        <f t="shared" si="62"/>
        <v>0</v>
      </c>
      <c r="N408" s="67">
        <f t="shared" si="61"/>
        <v>0</v>
      </c>
    </row>
    <row r="409" spans="6:14" x14ac:dyDescent="0.2">
      <c r="F409" s="67">
        <f t="shared" si="55"/>
        <v>0</v>
      </c>
      <c r="G409" s="67">
        <f t="shared" si="56"/>
        <v>0</v>
      </c>
      <c r="H409" s="67">
        <f t="shared" si="57"/>
        <v>0</v>
      </c>
      <c r="I409" s="68">
        <f t="shared" si="58"/>
        <v>0</v>
      </c>
      <c r="J409" s="68">
        <f t="shared" si="54"/>
        <v>0</v>
      </c>
      <c r="K409" s="69">
        <f t="shared" si="59"/>
        <v>0</v>
      </c>
      <c r="L409" s="69">
        <f t="shared" si="60"/>
        <v>0</v>
      </c>
      <c r="M409" s="69">
        <f t="shared" si="62"/>
        <v>0</v>
      </c>
      <c r="N409" s="67">
        <f t="shared" si="61"/>
        <v>0</v>
      </c>
    </row>
    <row r="410" spans="6:14" x14ac:dyDescent="0.2">
      <c r="F410" s="67">
        <f t="shared" si="55"/>
        <v>0</v>
      </c>
      <c r="G410" s="67">
        <f t="shared" si="56"/>
        <v>0</v>
      </c>
      <c r="H410" s="67">
        <f t="shared" si="57"/>
        <v>0</v>
      </c>
      <c r="I410" s="68">
        <f t="shared" si="58"/>
        <v>0</v>
      </c>
      <c r="J410" s="68">
        <f t="shared" si="54"/>
        <v>0</v>
      </c>
      <c r="K410" s="69">
        <f t="shared" si="59"/>
        <v>0</v>
      </c>
      <c r="L410" s="69">
        <f t="shared" si="60"/>
        <v>0</v>
      </c>
      <c r="M410" s="69">
        <f t="shared" si="62"/>
        <v>0</v>
      </c>
      <c r="N410" s="67">
        <f t="shared" si="61"/>
        <v>0</v>
      </c>
    </row>
    <row r="411" spans="6:14" x14ac:dyDescent="0.2">
      <c r="F411" s="67">
        <f t="shared" si="55"/>
        <v>0</v>
      </c>
      <c r="G411" s="67">
        <f t="shared" si="56"/>
        <v>0</v>
      </c>
      <c r="H411" s="67">
        <f t="shared" si="57"/>
        <v>0</v>
      </c>
      <c r="I411" s="68">
        <f t="shared" si="58"/>
        <v>0</v>
      </c>
      <c r="J411" s="68">
        <f t="shared" si="54"/>
        <v>0</v>
      </c>
      <c r="K411" s="69">
        <f t="shared" si="59"/>
        <v>0</v>
      </c>
      <c r="L411" s="69">
        <f t="shared" si="60"/>
        <v>0</v>
      </c>
      <c r="M411" s="69">
        <f t="shared" si="62"/>
        <v>0</v>
      </c>
      <c r="N411" s="67">
        <f t="shared" si="61"/>
        <v>0</v>
      </c>
    </row>
    <row r="412" spans="6:14" x14ac:dyDescent="0.2">
      <c r="F412" s="67">
        <f t="shared" si="55"/>
        <v>0</v>
      </c>
      <c r="G412" s="67">
        <f t="shared" si="56"/>
        <v>0</v>
      </c>
      <c r="H412" s="67">
        <f t="shared" si="57"/>
        <v>0</v>
      </c>
      <c r="I412" s="68">
        <f t="shared" si="58"/>
        <v>0</v>
      </c>
      <c r="J412" s="68">
        <f t="shared" si="54"/>
        <v>0</v>
      </c>
      <c r="K412" s="69">
        <f t="shared" si="59"/>
        <v>0</v>
      </c>
      <c r="L412" s="69">
        <f t="shared" si="60"/>
        <v>0</v>
      </c>
      <c r="M412" s="69">
        <f t="shared" si="62"/>
        <v>0</v>
      </c>
      <c r="N412" s="67">
        <f t="shared" si="61"/>
        <v>0</v>
      </c>
    </row>
    <row r="413" spans="6:14" x14ac:dyDescent="0.2">
      <c r="F413" s="67">
        <f t="shared" si="55"/>
        <v>0</v>
      </c>
      <c r="G413" s="67">
        <f t="shared" si="56"/>
        <v>0</v>
      </c>
      <c r="H413" s="67">
        <f t="shared" si="57"/>
        <v>0</v>
      </c>
      <c r="I413" s="68">
        <f t="shared" si="58"/>
        <v>0</v>
      </c>
      <c r="J413" s="68">
        <f t="shared" si="54"/>
        <v>0</v>
      </c>
      <c r="K413" s="69">
        <f t="shared" si="59"/>
        <v>0</v>
      </c>
      <c r="L413" s="69">
        <f t="shared" si="60"/>
        <v>0</v>
      </c>
      <c r="M413" s="69">
        <f t="shared" si="62"/>
        <v>0</v>
      </c>
      <c r="N413" s="67">
        <f t="shared" si="61"/>
        <v>0</v>
      </c>
    </row>
    <row r="414" spans="6:14" x14ac:dyDescent="0.2">
      <c r="F414" s="67">
        <f t="shared" si="55"/>
        <v>0</v>
      </c>
      <c r="G414" s="67">
        <f t="shared" si="56"/>
        <v>0</v>
      </c>
      <c r="H414" s="67">
        <f t="shared" si="57"/>
        <v>0</v>
      </c>
      <c r="I414" s="68">
        <f t="shared" si="58"/>
        <v>0</v>
      </c>
      <c r="J414" s="68">
        <f t="shared" si="54"/>
        <v>0</v>
      </c>
      <c r="K414" s="69">
        <f t="shared" si="59"/>
        <v>0</v>
      </c>
      <c r="L414" s="69">
        <f t="shared" si="60"/>
        <v>0</v>
      </c>
      <c r="M414" s="69">
        <f t="shared" si="62"/>
        <v>0</v>
      </c>
      <c r="N414" s="67">
        <f t="shared" si="61"/>
        <v>0</v>
      </c>
    </row>
    <row r="415" spans="6:14" x14ac:dyDescent="0.2">
      <c r="F415" s="67">
        <f t="shared" si="55"/>
        <v>0</v>
      </c>
      <c r="G415" s="67">
        <f t="shared" si="56"/>
        <v>0</v>
      </c>
      <c r="H415" s="67">
        <f t="shared" si="57"/>
        <v>0</v>
      </c>
      <c r="I415" s="68">
        <f t="shared" si="58"/>
        <v>0</v>
      </c>
      <c r="J415" s="68">
        <f t="shared" si="54"/>
        <v>0</v>
      </c>
      <c r="K415" s="69">
        <f t="shared" si="59"/>
        <v>0</v>
      </c>
      <c r="L415" s="69">
        <f t="shared" si="60"/>
        <v>0</v>
      </c>
      <c r="M415" s="69">
        <f t="shared" si="62"/>
        <v>0</v>
      </c>
      <c r="N415" s="67">
        <f t="shared" si="61"/>
        <v>0</v>
      </c>
    </row>
    <row r="416" spans="6:14" x14ac:dyDescent="0.2">
      <c r="F416" s="67">
        <f t="shared" si="55"/>
        <v>0</v>
      </c>
      <c r="G416" s="67">
        <f t="shared" si="56"/>
        <v>0</v>
      </c>
      <c r="H416" s="67">
        <f t="shared" si="57"/>
        <v>0</v>
      </c>
      <c r="I416" s="68">
        <f t="shared" si="58"/>
        <v>0</v>
      </c>
      <c r="J416" s="68">
        <f t="shared" si="54"/>
        <v>0</v>
      </c>
      <c r="K416" s="69">
        <f t="shared" si="59"/>
        <v>0</v>
      </c>
      <c r="L416" s="69">
        <f t="shared" si="60"/>
        <v>0</v>
      </c>
      <c r="M416" s="69">
        <f t="shared" si="62"/>
        <v>0</v>
      </c>
      <c r="N416" s="67">
        <f t="shared" si="61"/>
        <v>0</v>
      </c>
    </row>
    <row r="417" spans="6:14" x14ac:dyDescent="0.2">
      <c r="F417" s="67">
        <f t="shared" si="55"/>
        <v>0</v>
      </c>
      <c r="G417" s="67">
        <f t="shared" si="56"/>
        <v>0</v>
      </c>
      <c r="H417" s="67">
        <f t="shared" si="57"/>
        <v>0</v>
      </c>
      <c r="I417" s="68">
        <f t="shared" si="58"/>
        <v>0</v>
      </c>
      <c r="J417" s="68">
        <f t="shared" si="54"/>
        <v>0</v>
      </c>
      <c r="K417" s="69">
        <f t="shared" si="59"/>
        <v>0</v>
      </c>
      <c r="L417" s="69">
        <f t="shared" si="60"/>
        <v>0</v>
      </c>
      <c r="M417" s="69">
        <f t="shared" si="62"/>
        <v>0</v>
      </c>
      <c r="N417" s="67">
        <f t="shared" si="61"/>
        <v>0</v>
      </c>
    </row>
    <row r="418" spans="6:14" x14ac:dyDescent="0.2">
      <c r="F418" s="67">
        <f t="shared" si="55"/>
        <v>0</v>
      </c>
      <c r="G418" s="67">
        <f t="shared" si="56"/>
        <v>0</v>
      </c>
      <c r="H418" s="67">
        <f t="shared" si="57"/>
        <v>0</v>
      </c>
      <c r="I418" s="68">
        <f t="shared" si="58"/>
        <v>0</v>
      </c>
      <c r="J418" s="68">
        <f t="shared" si="54"/>
        <v>0</v>
      </c>
      <c r="K418" s="69">
        <f t="shared" si="59"/>
        <v>0</v>
      </c>
      <c r="L418" s="69">
        <f t="shared" si="60"/>
        <v>0</v>
      </c>
      <c r="M418" s="69">
        <f t="shared" si="62"/>
        <v>0</v>
      </c>
      <c r="N418" s="67">
        <f t="shared" si="61"/>
        <v>0</v>
      </c>
    </row>
    <row r="419" spans="6:14" x14ac:dyDescent="0.2">
      <c r="F419" s="67">
        <f t="shared" si="55"/>
        <v>0</v>
      </c>
      <c r="G419" s="67">
        <f t="shared" si="56"/>
        <v>0</v>
      </c>
      <c r="H419" s="67">
        <f t="shared" si="57"/>
        <v>0</v>
      </c>
      <c r="I419" s="68">
        <f t="shared" si="58"/>
        <v>0</v>
      </c>
      <c r="J419" s="68">
        <f t="shared" si="54"/>
        <v>0</v>
      </c>
      <c r="K419" s="69">
        <f t="shared" si="59"/>
        <v>0</v>
      </c>
      <c r="L419" s="69">
        <f t="shared" si="60"/>
        <v>0</v>
      </c>
      <c r="M419" s="69">
        <f t="shared" si="62"/>
        <v>0</v>
      </c>
      <c r="N419" s="67">
        <f t="shared" si="61"/>
        <v>0</v>
      </c>
    </row>
    <row r="420" spans="6:14" x14ac:dyDescent="0.2">
      <c r="F420" s="67">
        <f t="shared" si="55"/>
        <v>0</v>
      </c>
      <c r="G420" s="67">
        <f t="shared" si="56"/>
        <v>0</v>
      </c>
      <c r="H420" s="67">
        <f t="shared" si="57"/>
        <v>0</v>
      </c>
      <c r="I420" s="68">
        <f t="shared" si="58"/>
        <v>0</v>
      </c>
      <c r="J420" s="68">
        <f t="shared" si="54"/>
        <v>0</v>
      </c>
      <c r="K420" s="69">
        <f t="shared" si="59"/>
        <v>0</v>
      </c>
      <c r="L420" s="69">
        <f t="shared" si="60"/>
        <v>0</v>
      </c>
      <c r="M420" s="69">
        <f t="shared" si="62"/>
        <v>0</v>
      </c>
      <c r="N420" s="67">
        <f t="shared" si="61"/>
        <v>0</v>
      </c>
    </row>
    <row r="421" spans="6:14" x14ac:dyDescent="0.2">
      <c r="F421" s="67">
        <f t="shared" si="55"/>
        <v>0</v>
      </c>
      <c r="G421" s="67">
        <f t="shared" si="56"/>
        <v>0</v>
      </c>
      <c r="H421" s="67">
        <f t="shared" si="57"/>
        <v>0</v>
      </c>
      <c r="I421" s="68">
        <f t="shared" si="58"/>
        <v>0</v>
      </c>
      <c r="J421" s="68">
        <f t="shared" si="54"/>
        <v>0</v>
      </c>
      <c r="K421" s="69">
        <f t="shared" si="59"/>
        <v>0</v>
      </c>
      <c r="L421" s="69">
        <f t="shared" si="60"/>
        <v>0</v>
      </c>
      <c r="M421" s="69">
        <f t="shared" si="62"/>
        <v>0</v>
      </c>
      <c r="N421" s="67">
        <f t="shared" si="61"/>
        <v>0</v>
      </c>
    </row>
    <row r="422" spans="6:14" x14ac:dyDescent="0.2">
      <c r="F422" s="67">
        <f t="shared" si="55"/>
        <v>0</v>
      </c>
      <c r="G422" s="67">
        <f t="shared" si="56"/>
        <v>0</v>
      </c>
      <c r="H422" s="67">
        <f t="shared" si="57"/>
        <v>0</v>
      </c>
      <c r="I422" s="68">
        <f t="shared" si="58"/>
        <v>0</v>
      </c>
      <c r="J422" s="68">
        <f t="shared" si="54"/>
        <v>0</v>
      </c>
      <c r="K422" s="69">
        <f t="shared" si="59"/>
        <v>0</v>
      </c>
      <c r="L422" s="69">
        <f t="shared" si="60"/>
        <v>0</v>
      </c>
      <c r="M422" s="69">
        <f t="shared" si="62"/>
        <v>0</v>
      </c>
      <c r="N422" s="67">
        <f t="shared" si="61"/>
        <v>0</v>
      </c>
    </row>
    <row r="423" spans="6:14" x14ac:dyDescent="0.2">
      <c r="F423" s="67">
        <f t="shared" si="55"/>
        <v>0</v>
      </c>
      <c r="G423" s="67">
        <f t="shared" si="56"/>
        <v>0</v>
      </c>
      <c r="H423" s="67">
        <f t="shared" si="57"/>
        <v>0</v>
      </c>
      <c r="I423" s="68">
        <f t="shared" si="58"/>
        <v>0</v>
      </c>
      <c r="J423" s="68">
        <f t="shared" si="54"/>
        <v>0</v>
      </c>
      <c r="K423" s="69">
        <f t="shared" si="59"/>
        <v>0</v>
      </c>
      <c r="L423" s="69">
        <f t="shared" si="60"/>
        <v>0</v>
      </c>
      <c r="M423" s="69">
        <f t="shared" si="62"/>
        <v>0</v>
      </c>
      <c r="N423" s="67">
        <f t="shared" si="61"/>
        <v>0</v>
      </c>
    </row>
    <row r="424" spans="6:14" x14ac:dyDescent="0.2">
      <c r="F424" s="67">
        <f t="shared" si="55"/>
        <v>0</v>
      </c>
      <c r="G424" s="67">
        <f t="shared" si="56"/>
        <v>0</v>
      </c>
      <c r="H424" s="67">
        <f t="shared" si="57"/>
        <v>0</v>
      </c>
      <c r="I424" s="68">
        <f t="shared" si="58"/>
        <v>0</v>
      </c>
      <c r="J424" s="68">
        <f t="shared" si="54"/>
        <v>0</v>
      </c>
      <c r="K424" s="69">
        <f t="shared" si="59"/>
        <v>0</v>
      </c>
      <c r="L424" s="69">
        <f t="shared" si="60"/>
        <v>0</v>
      </c>
      <c r="M424" s="69">
        <f t="shared" si="62"/>
        <v>0</v>
      </c>
      <c r="N424" s="67">
        <f t="shared" si="61"/>
        <v>0</v>
      </c>
    </row>
    <row r="425" spans="6:14" x14ac:dyDescent="0.2">
      <c r="F425" s="67">
        <f t="shared" si="55"/>
        <v>0</v>
      </c>
      <c r="G425" s="67">
        <f t="shared" si="56"/>
        <v>0</v>
      </c>
      <c r="H425" s="67">
        <f t="shared" si="57"/>
        <v>0</v>
      </c>
      <c r="I425" s="68">
        <f t="shared" si="58"/>
        <v>0</v>
      </c>
      <c r="J425" s="68">
        <f t="shared" si="54"/>
        <v>0</v>
      </c>
      <c r="K425" s="69">
        <f t="shared" si="59"/>
        <v>0</v>
      </c>
      <c r="L425" s="69">
        <f t="shared" si="60"/>
        <v>0</v>
      </c>
      <c r="M425" s="69">
        <f t="shared" si="62"/>
        <v>0</v>
      </c>
      <c r="N425" s="67">
        <f t="shared" si="61"/>
        <v>0</v>
      </c>
    </row>
    <row r="426" spans="6:14" x14ac:dyDescent="0.2">
      <c r="F426" s="67">
        <f t="shared" si="55"/>
        <v>0</v>
      </c>
      <c r="G426" s="67">
        <f t="shared" si="56"/>
        <v>0</v>
      </c>
      <c r="H426" s="67">
        <f t="shared" si="57"/>
        <v>0</v>
      </c>
      <c r="I426" s="68">
        <f t="shared" si="58"/>
        <v>0</v>
      </c>
      <c r="J426" s="68">
        <f t="shared" si="54"/>
        <v>0</v>
      </c>
      <c r="K426" s="69">
        <f t="shared" si="59"/>
        <v>0</v>
      </c>
      <c r="L426" s="69">
        <f t="shared" si="60"/>
        <v>0</v>
      </c>
      <c r="M426" s="69">
        <f t="shared" si="62"/>
        <v>0</v>
      </c>
      <c r="N426" s="67">
        <f t="shared" si="61"/>
        <v>0</v>
      </c>
    </row>
    <row r="427" spans="6:14" x14ac:dyDescent="0.2">
      <c r="F427" s="67">
        <f t="shared" si="55"/>
        <v>0</v>
      </c>
      <c r="G427" s="67">
        <f t="shared" si="56"/>
        <v>0</v>
      </c>
      <c r="H427" s="67">
        <f t="shared" si="57"/>
        <v>0</v>
      </c>
      <c r="I427" s="68">
        <f t="shared" si="58"/>
        <v>0</v>
      </c>
      <c r="J427" s="68">
        <f t="shared" si="54"/>
        <v>0</v>
      </c>
      <c r="K427" s="69">
        <f t="shared" si="59"/>
        <v>0</v>
      </c>
      <c r="L427" s="69">
        <f t="shared" si="60"/>
        <v>0</v>
      </c>
      <c r="M427" s="69">
        <f t="shared" si="62"/>
        <v>0</v>
      </c>
      <c r="N427" s="67">
        <f t="shared" si="61"/>
        <v>0</v>
      </c>
    </row>
    <row r="428" spans="6:14" x14ac:dyDescent="0.2">
      <c r="F428" s="67">
        <f t="shared" si="55"/>
        <v>0</v>
      </c>
      <c r="G428" s="67">
        <f t="shared" si="56"/>
        <v>0</v>
      </c>
      <c r="H428" s="67">
        <f t="shared" si="57"/>
        <v>0</v>
      </c>
      <c r="I428" s="68">
        <f t="shared" si="58"/>
        <v>0</v>
      </c>
      <c r="J428" s="68">
        <f t="shared" si="54"/>
        <v>0</v>
      </c>
      <c r="K428" s="69">
        <f t="shared" si="59"/>
        <v>0</v>
      </c>
      <c r="L428" s="69">
        <f t="shared" si="60"/>
        <v>0</v>
      </c>
      <c r="M428" s="69">
        <f t="shared" si="62"/>
        <v>0</v>
      </c>
      <c r="N428" s="67">
        <f t="shared" si="61"/>
        <v>0</v>
      </c>
    </row>
    <row r="429" spans="6:14" x14ac:dyDescent="0.2">
      <c r="F429" s="67">
        <f t="shared" si="55"/>
        <v>0</v>
      </c>
      <c r="G429" s="67">
        <f t="shared" si="56"/>
        <v>0</v>
      </c>
      <c r="H429" s="67">
        <f t="shared" si="57"/>
        <v>0</v>
      </c>
      <c r="I429" s="68">
        <f t="shared" si="58"/>
        <v>0</v>
      </c>
      <c r="J429" s="68">
        <f t="shared" si="54"/>
        <v>0</v>
      </c>
      <c r="K429" s="69">
        <f t="shared" si="59"/>
        <v>0</v>
      </c>
      <c r="L429" s="69">
        <f t="shared" si="60"/>
        <v>0</v>
      </c>
      <c r="M429" s="69">
        <f t="shared" si="62"/>
        <v>0</v>
      </c>
      <c r="N429" s="67">
        <f t="shared" si="61"/>
        <v>0</v>
      </c>
    </row>
    <row r="430" spans="6:14" x14ac:dyDescent="0.2">
      <c r="F430" s="67">
        <f t="shared" si="55"/>
        <v>0</v>
      </c>
      <c r="G430" s="67">
        <f t="shared" si="56"/>
        <v>0</v>
      </c>
      <c r="H430" s="67">
        <f t="shared" si="57"/>
        <v>0</v>
      </c>
      <c r="I430" s="68">
        <f t="shared" si="58"/>
        <v>0</v>
      </c>
      <c r="J430" s="68">
        <f t="shared" si="54"/>
        <v>0</v>
      </c>
      <c r="K430" s="69">
        <f t="shared" si="59"/>
        <v>0</v>
      </c>
      <c r="L430" s="69">
        <f t="shared" si="60"/>
        <v>0</v>
      </c>
      <c r="M430" s="69">
        <f t="shared" si="62"/>
        <v>0</v>
      </c>
      <c r="N430" s="67">
        <f t="shared" si="61"/>
        <v>0</v>
      </c>
    </row>
    <row r="431" spans="6:14" x14ac:dyDescent="0.2">
      <c r="F431" s="67">
        <f t="shared" si="55"/>
        <v>0</v>
      </c>
      <c r="G431" s="67">
        <f t="shared" si="56"/>
        <v>0</v>
      </c>
      <c r="H431" s="67">
        <f t="shared" si="57"/>
        <v>0</v>
      </c>
      <c r="I431" s="68">
        <f t="shared" si="58"/>
        <v>0</v>
      </c>
      <c r="J431" s="68">
        <f t="shared" si="54"/>
        <v>0</v>
      </c>
      <c r="K431" s="69">
        <f t="shared" si="59"/>
        <v>0</v>
      </c>
      <c r="L431" s="69">
        <f t="shared" si="60"/>
        <v>0</v>
      </c>
      <c r="M431" s="69">
        <f t="shared" si="62"/>
        <v>0</v>
      </c>
      <c r="N431" s="67">
        <f t="shared" si="61"/>
        <v>0</v>
      </c>
    </row>
    <row r="432" spans="6:14" x14ac:dyDescent="0.2">
      <c r="F432" s="67">
        <f t="shared" si="55"/>
        <v>0</v>
      </c>
      <c r="G432" s="67">
        <f t="shared" si="56"/>
        <v>0</v>
      </c>
      <c r="H432" s="67">
        <f t="shared" si="57"/>
        <v>0</v>
      </c>
      <c r="I432" s="68">
        <f t="shared" si="58"/>
        <v>0</v>
      </c>
      <c r="J432" s="68">
        <f t="shared" si="54"/>
        <v>0</v>
      </c>
      <c r="K432" s="69">
        <f t="shared" si="59"/>
        <v>0</v>
      </c>
      <c r="L432" s="69">
        <f t="shared" si="60"/>
        <v>0</v>
      </c>
      <c r="M432" s="69">
        <f t="shared" si="62"/>
        <v>0</v>
      </c>
      <c r="N432" s="67">
        <f t="shared" si="61"/>
        <v>0</v>
      </c>
    </row>
    <row r="433" spans="6:14" x14ac:dyDescent="0.2">
      <c r="F433" s="67">
        <f t="shared" si="55"/>
        <v>0</v>
      </c>
      <c r="G433" s="67">
        <f t="shared" si="56"/>
        <v>0</v>
      </c>
      <c r="H433" s="67">
        <f t="shared" si="57"/>
        <v>0</v>
      </c>
      <c r="I433" s="68">
        <f t="shared" si="58"/>
        <v>0</v>
      </c>
      <c r="J433" s="68">
        <f t="shared" si="54"/>
        <v>0</v>
      </c>
      <c r="K433" s="69">
        <f t="shared" si="59"/>
        <v>0</v>
      </c>
      <c r="L433" s="69">
        <f t="shared" si="60"/>
        <v>0</v>
      </c>
      <c r="M433" s="69">
        <f t="shared" si="62"/>
        <v>0</v>
      </c>
      <c r="N433" s="67">
        <f t="shared" si="61"/>
        <v>0</v>
      </c>
    </row>
    <row r="434" spans="6:14" x14ac:dyDescent="0.2">
      <c r="F434" s="67">
        <f t="shared" si="55"/>
        <v>0</v>
      </c>
      <c r="G434" s="67">
        <f t="shared" si="56"/>
        <v>0</v>
      </c>
      <c r="H434" s="67">
        <f t="shared" si="57"/>
        <v>0</v>
      </c>
      <c r="I434" s="68">
        <f t="shared" si="58"/>
        <v>0</v>
      </c>
      <c r="J434" s="68">
        <f t="shared" si="54"/>
        <v>0</v>
      </c>
      <c r="K434" s="69">
        <f t="shared" si="59"/>
        <v>0</v>
      </c>
      <c r="L434" s="69">
        <f t="shared" si="60"/>
        <v>0</v>
      </c>
      <c r="M434" s="69">
        <f t="shared" si="62"/>
        <v>0</v>
      </c>
      <c r="N434" s="67">
        <f t="shared" si="61"/>
        <v>0</v>
      </c>
    </row>
    <row r="435" spans="6:14" x14ac:dyDescent="0.2">
      <c r="F435" s="67">
        <f t="shared" si="55"/>
        <v>0</v>
      </c>
      <c r="G435" s="67">
        <f t="shared" si="56"/>
        <v>0</v>
      </c>
      <c r="H435" s="67">
        <f t="shared" si="57"/>
        <v>0</v>
      </c>
      <c r="I435" s="68">
        <f t="shared" si="58"/>
        <v>0</v>
      </c>
      <c r="J435" s="68">
        <f t="shared" si="54"/>
        <v>0</v>
      </c>
      <c r="K435" s="69">
        <f t="shared" si="59"/>
        <v>0</v>
      </c>
      <c r="L435" s="69">
        <f t="shared" si="60"/>
        <v>0</v>
      </c>
      <c r="M435" s="69">
        <f t="shared" si="62"/>
        <v>0</v>
      </c>
      <c r="N435" s="67">
        <f t="shared" si="61"/>
        <v>0</v>
      </c>
    </row>
    <row r="436" spans="6:14" x14ac:dyDescent="0.2">
      <c r="F436" s="67">
        <f t="shared" si="55"/>
        <v>0</v>
      </c>
      <c r="G436" s="67">
        <f t="shared" si="56"/>
        <v>0</v>
      </c>
      <c r="H436" s="67">
        <f t="shared" si="57"/>
        <v>0</v>
      </c>
      <c r="I436" s="68">
        <f t="shared" si="58"/>
        <v>0</v>
      </c>
      <c r="J436" s="68">
        <f t="shared" si="54"/>
        <v>0</v>
      </c>
      <c r="K436" s="69">
        <f t="shared" si="59"/>
        <v>0</v>
      </c>
      <c r="L436" s="69">
        <f t="shared" si="60"/>
        <v>0</v>
      </c>
      <c r="M436" s="69">
        <f t="shared" si="62"/>
        <v>0</v>
      </c>
      <c r="N436" s="67">
        <f t="shared" si="61"/>
        <v>0</v>
      </c>
    </row>
    <row r="437" spans="6:14" x14ac:dyDescent="0.2">
      <c r="F437" s="67">
        <f t="shared" si="55"/>
        <v>0</v>
      </c>
      <c r="G437" s="67">
        <f t="shared" si="56"/>
        <v>0</v>
      </c>
      <c r="H437" s="67">
        <f t="shared" si="57"/>
        <v>0</v>
      </c>
      <c r="I437" s="68">
        <f t="shared" si="58"/>
        <v>0</v>
      </c>
      <c r="J437" s="68">
        <f t="shared" si="54"/>
        <v>0</v>
      </c>
      <c r="K437" s="69">
        <f t="shared" si="59"/>
        <v>0</v>
      </c>
      <c r="L437" s="69">
        <f t="shared" si="60"/>
        <v>0</v>
      </c>
      <c r="M437" s="69">
        <f t="shared" si="62"/>
        <v>0</v>
      </c>
      <c r="N437" s="67">
        <f t="shared" si="61"/>
        <v>0</v>
      </c>
    </row>
    <row r="438" spans="6:14" x14ac:dyDescent="0.2">
      <c r="F438" s="67">
        <f t="shared" si="55"/>
        <v>0</v>
      </c>
      <c r="G438" s="67">
        <f t="shared" si="56"/>
        <v>0</v>
      </c>
      <c r="H438" s="67">
        <f t="shared" si="57"/>
        <v>0</v>
      </c>
      <c r="I438" s="68">
        <f t="shared" si="58"/>
        <v>0</v>
      </c>
      <c r="J438" s="68">
        <f t="shared" si="54"/>
        <v>0</v>
      </c>
      <c r="K438" s="69">
        <f t="shared" si="59"/>
        <v>0</v>
      </c>
      <c r="L438" s="69">
        <f t="shared" si="60"/>
        <v>0</v>
      </c>
      <c r="M438" s="69">
        <f t="shared" si="62"/>
        <v>0</v>
      </c>
      <c r="N438" s="67">
        <f t="shared" si="61"/>
        <v>0</v>
      </c>
    </row>
    <row r="439" spans="6:14" x14ac:dyDescent="0.2">
      <c r="F439" s="67">
        <f t="shared" si="55"/>
        <v>0</v>
      </c>
      <c r="G439" s="67">
        <f t="shared" si="56"/>
        <v>0</v>
      </c>
      <c r="H439" s="67">
        <f t="shared" si="57"/>
        <v>0</v>
      </c>
      <c r="I439" s="68">
        <f t="shared" si="58"/>
        <v>0</v>
      </c>
      <c r="J439" s="68">
        <f t="shared" si="54"/>
        <v>0</v>
      </c>
      <c r="K439" s="69">
        <f t="shared" si="59"/>
        <v>0</v>
      </c>
      <c r="L439" s="69">
        <f t="shared" si="60"/>
        <v>0</v>
      </c>
      <c r="M439" s="69">
        <f t="shared" si="62"/>
        <v>0</v>
      </c>
      <c r="N439" s="67">
        <f t="shared" si="61"/>
        <v>0</v>
      </c>
    </row>
    <row r="440" spans="6:14" x14ac:dyDescent="0.2">
      <c r="F440" s="67">
        <f t="shared" si="55"/>
        <v>0</v>
      </c>
      <c r="G440" s="67">
        <f t="shared" si="56"/>
        <v>0</v>
      </c>
      <c r="H440" s="67">
        <f t="shared" si="57"/>
        <v>0</v>
      </c>
      <c r="I440" s="68">
        <f t="shared" si="58"/>
        <v>0</v>
      </c>
      <c r="J440" s="68">
        <f t="shared" si="54"/>
        <v>0</v>
      </c>
      <c r="K440" s="69">
        <f t="shared" si="59"/>
        <v>0</v>
      </c>
      <c r="L440" s="69">
        <f t="shared" si="60"/>
        <v>0</v>
      </c>
      <c r="M440" s="69">
        <f t="shared" si="62"/>
        <v>0</v>
      </c>
      <c r="N440" s="67">
        <f t="shared" si="61"/>
        <v>0</v>
      </c>
    </row>
    <row r="441" spans="6:14" x14ac:dyDescent="0.2">
      <c r="F441" s="67">
        <f t="shared" si="55"/>
        <v>0</v>
      </c>
      <c r="G441" s="67">
        <f t="shared" si="56"/>
        <v>0</v>
      </c>
      <c r="H441" s="67">
        <f t="shared" si="57"/>
        <v>0</v>
      </c>
      <c r="I441" s="68">
        <f t="shared" si="58"/>
        <v>0</v>
      </c>
      <c r="J441" s="68">
        <f t="shared" si="54"/>
        <v>0</v>
      </c>
      <c r="K441" s="69">
        <f t="shared" si="59"/>
        <v>0</v>
      </c>
      <c r="L441" s="69">
        <f t="shared" si="60"/>
        <v>0</v>
      </c>
      <c r="M441" s="69">
        <f t="shared" si="62"/>
        <v>0</v>
      </c>
      <c r="N441" s="67">
        <f t="shared" si="61"/>
        <v>0</v>
      </c>
    </row>
    <row r="442" spans="6:14" x14ac:dyDescent="0.2">
      <c r="F442" s="67">
        <f t="shared" si="55"/>
        <v>0</v>
      </c>
      <c r="G442" s="67">
        <f t="shared" si="56"/>
        <v>0</v>
      </c>
      <c r="H442" s="67">
        <f t="shared" si="57"/>
        <v>0</v>
      </c>
      <c r="I442" s="68">
        <f t="shared" si="58"/>
        <v>0</v>
      </c>
      <c r="J442" s="68">
        <f t="shared" si="54"/>
        <v>0</v>
      </c>
      <c r="K442" s="69">
        <f t="shared" si="59"/>
        <v>0</v>
      </c>
      <c r="L442" s="69">
        <f t="shared" si="60"/>
        <v>0</v>
      </c>
      <c r="M442" s="69">
        <f t="shared" si="62"/>
        <v>0</v>
      </c>
      <c r="N442" s="67">
        <f t="shared" si="61"/>
        <v>0</v>
      </c>
    </row>
    <row r="443" spans="6:14" x14ac:dyDescent="0.2">
      <c r="F443" s="67">
        <f t="shared" si="55"/>
        <v>0</v>
      </c>
      <c r="G443" s="67">
        <f t="shared" si="56"/>
        <v>0</v>
      </c>
      <c r="H443" s="67">
        <f t="shared" si="57"/>
        <v>0</v>
      </c>
      <c r="I443" s="68">
        <f t="shared" si="58"/>
        <v>0</v>
      </c>
      <c r="J443" s="68">
        <f t="shared" si="54"/>
        <v>0</v>
      </c>
      <c r="K443" s="69">
        <f t="shared" si="59"/>
        <v>0</v>
      </c>
      <c r="L443" s="69">
        <f t="shared" si="60"/>
        <v>0</v>
      </c>
      <c r="M443" s="69">
        <f t="shared" si="62"/>
        <v>0</v>
      </c>
      <c r="N443" s="67">
        <f t="shared" si="61"/>
        <v>0</v>
      </c>
    </row>
    <row r="444" spans="6:14" x14ac:dyDescent="0.2">
      <c r="F444" s="67">
        <f t="shared" si="55"/>
        <v>0</v>
      </c>
      <c r="G444" s="67">
        <f t="shared" si="56"/>
        <v>0</v>
      </c>
      <c r="H444" s="67">
        <f t="shared" si="57"/>
        <v>0</v>
      </c>
      <c r="I444" s="68">
        <f t="shared" si="58"/>
        <v>0</v>
      </c>
      <c r="J444" s="68">
        <f t="shared" si="54"/>
        <v>0</v>
      </c>
      <c r="K444" s="69">
        <f t="shared" si="59"/>
        <v>0</v>
      </c>
      <c r="L444" s="69">
        <f t="shared" si="60"/>
        <v>0</v>
      </c>
      <c r="M444" s="69">
        <f t="shared" si="62"/>
        <v>0</v>
      </c>
      <c r="N444" s="67">
        <f t="shared" si="61"/>
        <v>0</v>
      </c>
    </row>
    <row r="445" spans="6:14" x14ac:dyDescent="0.2">
      <c r="F445" s="67">
        <f t="shared" si="55"/>
        <v>0</v>
      </c>
      <c r="G445" s="67">
        <f t="shared" si="56"/>
        <v>0</v>
      </c>
      <c r="H445" s="67">
        <f t="shared" si="57"/>
        <v>0</v>
      </c>
      <c r="I445" s="68">
        <f t="shared" si="58"/>
        <v>0</v>
      </c>
      <c r="J445" s="68">
        <f t="shared" si="54"/>
        <v>0</v>
      </c>
      <c r="K445" s="69">
        <f t="shared" si="59"/>
        <v>0</v>
      </c>
      <c r="L445" s="69">
        <f t="shared" si="60"/>
        <v>0</v>
      </c>
      <c r="M445" s="69">
        <f t="shared" si="62"/>
        <v>0</v>
      </c>
      <c r="N445" s="67">
        <f t="shared" si="61"/>
        <v>0</v>
      </c>
    </row>
    <row r="446" spans="6:14" x14ac:dyDescent="0.2">
      <c r="F446" s="67">
        <f t="shared" si="55"/>
        <v>0</v>
      </c>
      <c r="G446" s="67">
        <f t="shared" si="56"/>
        <v>0</v>
      </c>
      <c r="H446" s="67">
        <f t="shared" si="57"/>
        <v>0</v>
      </c>
      <c r="I446" s="68">
        <f t="shared" si="58"/>
        <v>0</v>
      </c>
      <c r="J446" s="68">
        <f t="shared" si="54"/>
        <v>0</v>
      </c>
      <c r="K446" s="69">
        <f t="shared" si="59"/>
        <v>0</v>
      </c>
      <c r="L446" s="69">
        <f t="shared" si="60"/>
        <v>0</v>
      </c>
      <c r="M446" s="69">
        <f t="shared" si="62"/>
        <v>0</v>
      </c>
      <c r="N446" s="67">
        <f t="shared" si="61"/>
        <v>0</v>
      </c>
    </row>
    <row r="447" spans="6:14" x14ac:dyDescent="0.2">
      <c r="F447" s="67">
        <f t="shared" si="55"/>
        <v>0</v>
      </c>
      <c r="G447" s="67">
        <f t="shared" si="56"/>
        <v>0</v>
      </c>
      <c r="H447" s="67">
        <f t="shared" si="57"/>
        <v>0</v>
      </c>
      <c r="I447" s="68">
        <f t="shared" si="58"/>
        <v>0</v>
      </c>
      <c r="J447" s="68">
        <f t="shared" si="54"/>
        <v>0</v>
      </c>
      <c r="K447" s="69">
        <f t="shared" si="59"/>
        <v>0</v>
      </c>
      <c r="L447" s="69">
        <f t="shared" si="60"/>
        <v>0</v>
      </c>
      <c r="M447" s="69">
        <f t="shared" si="62"/>
        <v>0</v>
      </c>
      <c r="N447" s="67">
        <f t="shared" si="61"/>
        <v>0</v>
      </c>
    </row>
    <row r="448" spans="6:14" x14ac:dyDescent="0.2">
      <c r="F448" s="67">
        <f t="shared" si="55"/>
        <v>0</v>
      </c>
      <c r="G448" s="67">
        <f t="shared" si="56"/>
        <v>0</v>
      </c>
      <c r="H448" s="67">
        <f t="shared" si="57"/>
        <v>0</v>
      </c>
      <c r="I448" s="68">
        <f t="shared" si="58"/>
        <v>0</v>
      </c>
      <c r="J448" s="68">
        <f t="shared" si="54"/>
        <v>0</v>
      </c>
      <c r="K448" s="69">
        <f t="shared" si="59"/>
        <v>0</v>
      </c>
      <c r="L448" s="69">
        <f t="shared" si="60"/>
        <v>0</v>
      </c>
      <c r="M448" s="69">
        <f t="shared" si="62"/>
        <v>0</v>
      </c>
      <c r="N448" s="67">
        <f t="shared" si="61"/>
        <v>0</v>
      </c>
    </row>
    <row r="449" spans="6:14" x14ac:dyDescent="0.2">
      <c r="F449" s="67">
        <f t="shared" si="55"/>
        <v>0</v>
      </c>
      <c r="G449" s="67">
        <f t="shared" si="56"/>
        <v>0</v>
      </c>
      <c r="H449" s="67">
        <f t="shared" si="57"/>
        <v>0</v>
      </c>
      <c r="I449" s="68">
        <f t="shared" si="58"/>
        <v>0</v>
      </c>
      <c r="J449" s="68">
        <f t="shared" si="54"/>
        <v>0</v>
      </c>
      <c r="K449" s="69">
        <f t="shared" si="59"/>
        <v>0</v>
      </c>
      <c r="L449" s="69">
        <f t="shared" si="60"/>
        <v>0</v>
      </c>
      <c r="M449" s="69">
        <f t="shared" si="62"/>
        <v>0</v>
      </c>
      <c r="N449" s="67">
        <f t="shared" si="61"/>
        <v>0</v>
      </c>
    </row>
    <row r="450" spans="6:14" x14ac:dyDescent="0.2">
      <c r="F450" s="67">
        <f t="shared" si="55"/>
        <v>0</v>
      </c>
      <c r="G450" s="67">
        <f t="shared" si="56"/>
        <v>0</v>
      </c>
      <c r="H450" s="67">
        <f t="shared" si="57"/>
        <v>0</v>
      </c>
      <c r="I450" s="68">
        <f t="shared" si="58"/>
        <v>0</v>
      </c>
      <c r="J450" s="68">
        <f t="shared" si="54"/>
        <v>0</v>
      </c>
      <c r="K450" s="69">
        <f t="shared" si="59"/>
        <v>0</v>
      </c>
      <c r="L450" s="69">
        <f t="shared" si="60"/>
        <v>0</v>
      </c>
      <c r="M450" s="69">
        <f t="shared" si="62"/>
        <v>0</v>
      </c>
      <c r="N450" s="67">
        <f t="shared" si="61"/>
        <v>0</v>
      </c>
    </row>
    <row r="451" spans="6:14" x14ac:dyDescent="0.2">
      <c r="F451" s="67">
        <f t="shared" si="55"/>
        <v>0</v>
      </c>
      <c r="G451" s="67">
        <f t="shared" si="56"/>
        <v>0</v>
      </c>
      <c r="H451" s="67">
        <f t="shared" si="57"/>
        <v>0</v>
      </c>
      <c r="I451" s="68">
        <f t="shared" si="58"/>
        <v>0</v>
      </c>
      <c r="J451" s="68">
        <f t="shared" si="54"/>
        <v>0</v>
      </c>
      <c r="K451" s="69">
        <f t="shared" si="59"/>
        <v>0</v>
      </c>
      <c r="L451" s="69">
        <f t="shared" si="60"/>
        <v>0</v>
      </c>
      <c r="M451" s="69">
        <f t="shared" si="62"/>
        <v>0</v>
      </c>
      <c r="N451" s="67">
        <f t="shared" si="61"/>
        <v>0</v>
      </c>
    </row>
    <row r="452" spans="6:14" x14ac:dyDescent="0.2">
      <c r="F452" s="67">
        <f t="shared" si="55"/>
        <v>0</v>
      </c>
      <c r="G452" s="67">
        <f t="shared" si="56"/>
        <v>0</v>
      </c>
      <c r="H452" s="67">
        <f t="shared" si="57"/>
        <v>0</v>
      </c>
      <c r="I452" s="68">
        <f t="shared" si="58"/>
        <v>0</v>
      </c>
      <c r="J452" s="68">
        <f t="shared" si="54"/>
        <v>0</v>
      </c>
      <c r="K452" s="69">
        <f t="shared" si="59"/>
        <v>0</v>
      </c>
      <c r="L452" s="69">
        <f t="shared" si="60"/>
        <v>0</v>
      </c>
      <c r="M452" s="69">
        <f t="shared" si="62"/>
        <v>0</v>
      </c>
      <c r="N452" s="67">
        <f t="shared" si="61"/>
        <v>0</v>
      </c>
    </row>
    <row r="453" spans="6:14" x14ac:dyDescent="0.2">
      <c r="F453" s="67">
        <f t="shared" si="55"/>
        <v>0</v>
      </c>
      <c r="G453" s="67">
        <f t="shared" si="56"/>
        <v>0</v>
      </c>
      <c r="H453" s="67">
        <f t="shared" si="57"/>
        <v>0</v>
      </c>
      <c r="I453" s="68">
        <f t="shared" si="58"/>
        <v>0</v>
      </c>
      <c r="J453" s="68">
        <f t="shared" si="54"/>
        <v>0</v>
      </c>
      <c r="K453" s="69">
        <f t="shared" si="59"/>
        <v>0</v>
      </c>
      <c r="L453" s="69">
        <f t="shared" si="60"/>
        <v>0</v>
      </c>
      <c r="M453" s="69">
        <f t="shared" si="62"/>
        <v>0</v>
      </c>
      <c r="N453" s="67">
        <f t="shared" si="61"/>
        <v>0</v>
      </c>
    </row>
    <row r="454" spans="6:14" x14ac:dyDescent="0.2">
      <c r="F454" s="67">
        <f t="shared" si="55"/>
        <v>0</v>
      </c>
      <c r="G454" s="67">
        <f t="shared" si="56"/>
        <v>0</v>
      </c>
      <c r="H454" s="67">
        <f t="shared" si="57"/>
        <v>0</v>
      </c>
      <c r="I454" s="68">
        <f t="shared" si="58"/>
        <v>0</v>
      </c>
      <c r="J454" s="68">
        <f t="shared" si="54"/>
        <v>0</v>
      </c>
      <c r="K454" s="69">
        <f t="shared" si="59"/>
        <v>0</v>
      </c>
      <c r="L454" s="69">
        <f t="shared" si="60"/>
        <v>0</v>
      </c>
      <c r="M454" s="69">
        <f t="shared" si="62"/>
        <v>0</v>
      </c>
      <c r="N454" s="67">
        <f t="shared" si="61"/>
        <v>0</v>
      </c>
    </row>
    <row r="455" spans="6:14" x14ac:dyDescent="0.2">
      <c r="F455" s="67">
        <f t="shared" si="55"/>
        <v>0</v>
      </c>
      <c r="G455" s="67">
        <f t="shared" si="56"/>
        <v>0</v>
      </c>
      <c r="H455" s="67">
        <f t="shared" si="57"/>
        <v>0</v>
      </c>
      <c r="I455" s="68">
        <f t="shared" si="58"/>
        <v>0</v>
      </c>
      <c r="J455" s="68">
        <f t="shared" si="54"/>
        <v>0</v>
      </c>
      <c r="K455" s="69">
        <f t="shared" si="59"/>
        <v>0</v>
      </c>
      <c r="L455" s="69">
        <f t="shared" si="60"/>
        <v>0</v>
      </c>
      <c r="M455" s="69">
        <f t="shared" si="62"/>
        <v>0</v>
      </c>
      <c r="N455" s="67">
        <f t="shared" si="61"/>
        <v>0</v>
      </c>
    </row>
    <row r="456" spans="6:14" x14ac:dyDescent="0.2">
      <c r="F456" s="67">
        <f t="shared" si="55"/>
        <v>0</v>
      </c>
      <c r="G456" s="67">
        <f t="shared" si="56"/>
        <v>0</v>
      </c>
      <c r="H456" s="67">
        <f t="shared" si="57"/>
        <v>0</v>
      </c>
      <c r="I456" s="68">
        <f t="shared" si="58"/>
        <v>0</v>
      </c>
      <c r="J456" s="68">
        <f t="shared" si="54"/>
        <v>0</v>
      </c>
      <c r="K456" s="69">
        <f t="shared" si="59"/>
        <v>0</v>
      </c>
      <c r="L456" s="69">
        <f t="shared" si="60"/>
        <v>0</v>
      </c>
      <c r="M456" s="69">
        <f t="shared" si="62"/>
        <v>0</v>
      </c>
      <c r="N456" s="67">
        <f t="shared" si="61"/>
        <v>0</v>
      </c>
    </row>
    <row r="457" spans="6:14" x14ac:dyDescent="0.2">
      <c r="F457" s="67">
        <f t="shared" si="55"/>
        <v>0</v>
      </c>
      <c r="G457" s="67">
        <f t="shared" si="56"/>
        <v>0</v>
      </c>
      <c r="H457" s="67">
        <f t="shared" si="57"/>
        <v>0</v>
      </c>
      <c r="I457" s="68">
        <f t="shared" si="58"/>
        <v>0</v>
      </c>
      <c r="J457" s="68">
        <f t="shared" si="54"/>
        <v>0</v>
      </c>
      <c r="K457" s="69">
        <f t="shared" si="59"/>
        <v>0</v>
      </c>
      <c r="L457" s="69">
        <f t="shared" si="60"/>
        <v>0</v>
      </c>
      <c r="M457" s="69">
        <f t="shared" si="62"/>
        <v>0</v>
      </c>
      <c r="N457" s="67">
        <f t="shared" si="61"/>
        <v>0</v>
      </c>
    </row>
    <row r="458" spans="6:14" x14ac:dyDescent="0.2">
      <c r="F458" s="67">
        <f t="shared" si="55"/>
        <v>0</v>
      </c>
      <c r="G458" s="67">
        <f t="shared" si="56"/>
        <v>0</v>
      </c>
      <c r="H458" s="67">
        <f t="shared" si="57"/>
        <v>0</v>
      </c>
      <c r="I458" s="68">
        <f t="shared" si="58"/>
        <v>0</v>
      </c>
      <c r="J458" s="68">
        <f t="shared" si="54"/>
        <v>0</v>
      </c>
      <c r="K458" s="69">
        <f t="shared" si="59"/>
        <v>0</v>
      </c>
      <c r="L458" s="69">
        <f t="shared" si="60"/>
        <v>0</v>
      </c>
      <c r="M458" s="69">
        <f t="shared" si="62"/>
        <v>0</v>
      </c>
      <c r="N458" s="67">
        <f t="shared" si="61"/>
        <v>0</v>
      </c>
    </row>
    <row r="459" spans="6:14" x14ac:dyDescent="0.2">
      <c r="F459" s="67">
        <f t="shared" si="55"/>
        <v>0</v>
      </c>
      <c r="G459" s="67">
        <f t="shared" si="56"/>
        <v>0</v>
      </c>
      <c r="H459" s="67">
        <f t="shared" si="57"/>
        <v>0</v>
      </c>
      <c r="I459" s="68">
        <f t="shared" si="58"/>
        <v>0</v>
      </c>
      <c r="J459" s="68">
        <f t="shared" si="54"/>
        <v>0</v>
      </c>
      <c r="K459" s="69">
        <f t="shared" si="59"/>
        <v>0</v>
      </c>
      <c r="L459" s="69">
        <f t="shared" si="60"/>
        <v>0</v>
      </c>
      <c r="M459" s="69">
        <f t="shared" si="62"/>
        <v>0</v>
      </c>
      <c r="N459" s="67">
        <f t="shared" si="61"/>
        <v>0</v>
      </c>
    </row>
    <row r="460" spans="6:14" x14ac:dyDescent="0.2">
      <c r="F460" s="67">
        <f t="shared" si="55"/>
        <v>0</v>
      </c>
      <c r="G460" s="67">
        <f t="shared" si="56"/>
        <v>0</v>
      </c>
      <c r="H460" s="67">
        <f t="shared" si="57"/>
        <v>0</v>
      </c>
      <c r="I460" s="68">
        <f t="shared" si="58"/>
        <v>0</v>
      </c>
      <c r="J460" s="68">
        <f t="shared" ref="J460:J523" si="63">IF($C$14=0,0,IF(ROUND(C460,0)=0,0,SQRT(C460/$C$14)))</f>
        <v>0</v>
      </c>
      <c r="K460" s="69">
        <f t="shared" si="59"/>
        <v>0</v>
      </c>
      <c r="L460" s="69">
        <f t="shared" si="60"/>
        <v>0</v>
      </c>
      <c r="M460" s="69">
        <f t="shared" si="62"/>
        <v>0</v>
      </c>
      <c r="N460" s="67">
        <f t="shared" si="61"/>
        <v>0</v>
      </c>
    </row>
    <row r="461" spans="6:14" x14ac:dyDescent="0.2">
      <c r="F461" s="67">
        <f t="shared" si="55"/>
        <v>0</v>
      </c>
      <c r="G461" s="67">
        <f t="shared" si="56"/>
        <v>0</v>
      </c>
      <c r="H461" s="67">
        <f t="shared" si="57"/>
        <v>0</v>
      </c>
      <c r="I461" s="68">
        <f t="shared" si="58"/>
        <v>0</v>
      </c>
      <c r="J461" s="68">
        <f t="shared" si="63"/>
        <v>0</v>
      </c>
      <c r="K461" s="69">
        <f t="shared" si="59"/>
        <v>0</v>
      </c>
      <c r="L461" s="69">
        <f t="shared" si="60"/>
        <v>0</v>
      </c>
      <c r="M461" s="69">
        <f t="shared" si="62"/>
        <v>0</v>
      </c>
      <c r="N461" s="67">
        <f t="shared" si="61"/>
        <v>0</v>
      </c>
    </row>
    <row r="462" spans="6:14" x14ac:dyDescent="0.2">
      <c r="F462" s="67">
        <f t="shared" ref="F462:F525" si="64">ROUND(IF(ROUND(C462,0)=0,0,IF(D462&gt;0,251/D462,IF(ISERROR(VALUE(F461)),0,IF(C461=0,0,F461/C461*C462)))),0)</f>
        <v>0</v>
      </c>
      <c r="G462" s="67">
        <f t="shared" ref="G462:G525" si="65">IF(F462&gt;0,C462/F462/2,0)</f>
        <v>0</v>
      </c>
      <c r="H462" s="67">
        <f t="shared" ref="H462:H525" si="66">IF(G462=0,0,G462+C462/251*$B$6)</f>
        <v>0</v>
      </c>
      <c r="I462" s="68">
        <f t="shared" ref="I462:I525" si="67">IF(K462&gt;0,IF(ROUND(251/K462,0)&gt;100,100,ROUND(251/K462,0)),0)</f>
        <v>0</v>
      </c>
      <c r="J462" s="68">
        <f t="shared" si="63"/>
        <v>0</v>
      </c>
      <c r="K462" s="69">
        <f t="shared" ref="K462:K525" si="68">IF($J$11=0,0,$B$5/$J$11*J462)</f>
        <v>0</v>
      </c>
      <c r="L462" s="69">
        <f t="shared" ref="L462:L525" si="69">IF(K462=0,0,IF(B462/K462&lt;1000,1000,B462/K462))</f>
        <v>0</v>
      </c>
      <c r="M462" s="69">
        <f t="shared" si="62"/>
        <v>0</v>
      </c>
      <c r="N462" s="67">
        <f t="shared" ref="N462:N525" si="70">IF(M462=0,0,M462+C462/251*$B$7)</f>
        <v>0</v>
      </c>
    </row>
    <row r="463" spans="6:14" x14ac:dyDescent="0.2">
      <c r="F463" s="67">
        <f t="shared" si="64"/>
        <v>0</v>
      </c>
      <c r="G463" s="67">
        <f t="shared" si="65"/>
        <v>0</v>
      </c>
      <c r="H463" s="67">
        <f t="shared" si="66"/>
        <v>0</v>
      </c>
      <c r="I463" s="68">
        <f t="shared" si="67"/>
        <v>0</v>
      </c>
      <c r="J463" s="68">
        <f t="shared" si="63"/>
        <v>0</v>
      </c>
      <c r="K463" s="69">
        <f t="shared" si="68"/>
        <v>0</v>
      </c>
      <c r="L463" s="69">
        <f t="shared" si="69"/>
        <v>0</v>
      </c>
      <c r="M463" s="69">
        <f t="shared" ref="M463:M526" si="71">IF(K463&gt;0,C463/K463/2,0)</f>
        <v>0</v>
      </c>
      <c r="N463" s="67">
        <f t="shared" si="70"/>
        <v>0</v>
      </c>
    </row>
    <row r="464" spans="6:14" x14ac:dyDescent="0.2">
      <c r="F464" s="67">
        <f t="shared" si="64"/>
        <v>0</v>
      </c>
      <c r="G464" s="67">
        <f t="shared" si="65"/>
        <v>0</v>
      </c>
      <c r="H464" s="67">
        <f t="shared" si="66"/>
        <v>0</v>
      </c>
      <c r="I464" s="68">
        <f t="shared" si="67"/>
        <v>0</v>
      </c>
      <c r="J464" s="68">
        <f t="shared" si="63"/>
        <v>0</v>
      </c>
      <c r="K464" s="69">
        <f t="shared" si="68"/>
        <v>0</v>
      </c>
      <c r="L464" s="69">
        <f t="shared" si="69"/>
        <v>0</v>
      </c>
      <c r="M464" s="69">
        <f t="shared" si="71"/>
        <v>0</v>
      </c>
      <c r="N464" s="67">
        <f t="shared" si="70"/>
        <v>0</v>
      </c>
    </row>
    <row r="465" spans="6:14" x14ac:dyDescent="0.2">
      <c r="F465" s="67">
        <f t="shared" si="64"/>
        <v>0</v>
      </c>
      <c r="G465" s="67">
        <f t="shared" si="65"/>
        <v>0</v>
      </c>
      <c r="H465" s="67">
        <f t="shared" si="66"/>
        <v>0</v>
      </c>
      <c r="I465" s="68">
        <f t="shared" si="67"/>
        <v>0</v>
      </c>
      <c r="J465" s="68">
        <f t="shared" si="63"/>
        <v>0</v>
      </c>
      <c r="K465" s="69">
        <f t="shared" si="68"/>
        <v>0</v>
      </c>
      <c r="L465" s="69">
        <f t="shared" si="69"/>
        <v>0</v>
      </c>
      <c r="M465" s="69">
        <f t="shared" si="71"/>
        <v>0</v>
      </c>
      <c r="N465" s="67">
        <f t="shared" si="70"/>
        <v>0</v>
      </c>
    </row>
    <row r="466" spans="6:14" x14ac:dyDescent="0.2">
      <c r="F466" s="67">
        <f t="shared" si="64"/>
        <v>0</v>
      </c>
      <c r="G466" s="67">
        <f t="shared" si="65"/>
        <v>0</v>
      </c>
      <c r="H466" s="67">
        <f t="shared" si="66"/>
        <v>0</v>
      </c>
      <c r="I466" s="68">
        <f t="shared" si="67"/>
        <v>0</v>
      </c>
      <c r="J466" s="68">
        <f t="shared" si="63"/>
        <v>0</v>
      </c>
      <c r="K466" s="69">
        <f t="shared" si="68"/>
        <v>0</v>
      </c>
      <c r="L466" s="69">
        <f t="shared" si="69"/>
        <v>0</v>
      </c>
      <c r="M466" s="69">
        <f t="shared" si="71"/>
        <v>0</v>
      </c>
      <c r="N466" s="67">
        <f t="shared" si="70"/>
        <v>0</v>
      </c>
    </row>
    <row r="467" spans="6:14" x14ac:dyDescent="0.2">
      <c r="F467" s="67">
        <f t="shared" si="64"/>
        <v>0</v>
      </c>
      <c r="G467" s="67">
        <f t="shared" si="65"/>
        <v>0</v>
      </c>
      <c r="H467" s="67">
        <f t="shared" si="66"/>
        <v>0</v>
      </c>
      <c r="I467" s="68">
        <f t="shared" si="67"/>
        <v>0</v>
      </c>
      <c r="J467" s="68">
        <f t="shared" si="63"/>
        <v>0</v>
      </c>
      <c r="K467" s="69">
        <f t="shared" si="68"/>
        <v>0</v>
      </c>
      <c r="L467" s="69">
        <f t="shared" si="69"/>
        <v>0</v>
      </c>
      <c r="M467" s="69">
        <f t="shared" si="71"/>
        <v>0</v>
      </c>
      <c r="N467" s="67">
        <f t="shared" si="70"/>
        <v>0</v>
      </c>
    </row>
    <row r="468" spans="6:14" x14ac:dyDescent="0.2">
      <c r="F468" s="67">
        <f t="shared" si="64"/>
        <v>0</v>
      </c>
      <c r="G468" s="67">
        <f t="shared" si="65"/>
        <v>0</v>
      </c>
      <c r="H468" s="67">
        <f t="shared" si="66"/>
        <v>0</v>
      </c>
      <c r="I468" s="68">
        <f t="shared" si="67"/>
        <v>0</v>
      </c>
      <c r="J468" s="68">
        <f t="shared" si="63"/>
        <v>0</v>
      </c>
      <c r="K468" s="69">
        <f t="shared" si="68"/>
        <v>0</v>
      </c>
      <c r="L468" s="69">
        <f t="shared" si="69"/>
        <v>0</v>
      </c>
      <c r="M468" s="69">
        <f t="shared" si="71"/>
        <v>0</v>
      </c>
      <c r="N468" s="67">
        <f t="shared" si="70"/>
        <v>0</v>
      </c>
    </row>
    <row r="469" spans="6:14" x14ac:dyDescent="0.2">
      <c r="F469" s="67">
        <f t="shared" si="64"/>
        <v>0</v>
      </c>
      <c r="G469" s="67">
        <f t="shared" si="65"/>
        <v>0</v>
      </c>
      <c r="H469" s="67">
        <f t="shared" si="66"/>
        <v>0</v>
      </c>
      <c r="I469" s="68">
        <f t="shared" si="67"/>
        <v>0</v>
      </c>
      <c r="J469" s="68">
        <f t="shared" si="63"/>
        <v>0</v>
      </c>
      <c r="K469" s="69">
        <f t="shared" si="68"/>
        <v>0</v>
      </c>
      <c r="L469" s="69">
        <f t="shared" si="69"/>
        <v>0</v>
      </c>
      <c r="M469" s="69">
        <f t="shared" si="71"/>
        <v>0</v>
      </c>
      <c r="N469" s="67">
        <f t="shared" si="70"/>
        <v>0</v>
      </c>
    </row>
    <row r="470" spans="6:14" x14ac:dyDescent="0.2">
      <c r="F470" s="67">
        <f t="shared" si="64"/>
        <v>0</v>
      </c>
      <c r="G470" s="67">
        <f t="shared" si="65"/>
        <v>0</v>
      </c>
      <c r="H470" s="67">
        <f t="shared" si="66"/>
        <v>0</v>
      </c>
      <c r="I470" s="68">
        <f t="shared" si="67"/>
        <v>0</v>
      </c>
      <c r="J470" s="68">
        <f t="shared" si="63"/>
        <v>0</v>
      </c>
      <c r="K470" s="69">
        <f t="shared" si="68"/>
        <v>0</v>
      </c>
      <c r="L470" s="69">
        <f t="shared" si="69"/>
        <v>0</v>
      </c>
      <c r="M470" s="69">
        <f t="shared" si="71"/>
        <v>0</v>
      </c>
      <c r="N470" s="67">
        <f t="shared" si="70"/>
        <v>0</v>
      </c>
    </row>
    <row r="471" spans="6:14" x14ac:dyDescent="0.2">
      <c r="F471" s="67">
        <f t="shared" si="64"/>
        <v>0</v>
      </c>
      <c r="G471" s="67">
        <f t="shared" si="65"/>
        <v>0</v>
      </c>
      <c r="H471" s="67">
        <f t="shared" si="66"/>
        <v>0</v>
      </c>
      <c r="I471" s="68">
        <f t="shared" si="67"/>
        <v>0</v>
      </c>
      <c r="J471" s="68">
        <f t="shared" si="63"/>
        <v>0</v>
      </c>
      <c r="K471" s="69">
        <f t="shared" si="68"/>
        <v>0</v>
      </c>
      <c r="L471" s="69">
        <f t="shared" si="69"/>
        <v>0</v>
      </c>
      <c r="M471" s="69">
        <f t="shared" si="71"/>
        <v>0</v>
      </c>
      <c r="N471" s="67">
        <f t="shared" si="70"/>
        <v>0</v>
      </c>
    </row>
    <row r="472" spans="6:14" x14ac:dyDescent="0.2">
      <c r="F472" s="67">
        <f t="shared" si="64"/>
        <v>0</v>
      </c>
      <c r="G472" s="67">
        <f t="shared" si="65"/>
        <v>0</v>
      </c>
      <c r="H472" s="67">
        <f t="shared" si="66"/>
        <v>0</v>
      </c>
      <c r="I472" s="68">
        <f t="shared" si="67"/>
        <v>0</v>
      </c>
      <c r="J472" s="68">
        <f t="shared" si="63"/>
        <v>0</v>
      </c>
      <c r="K472" s="69">
        <f t="shared" si="68"/>
        <v>0</v>
      </c>
      <c r="L472" s="69">
        <f t="shared" si="69"/>
        <v>0</v>
      </c>
      <c r="M472" s="69">
        <f t="shared" si="71"/>
        <v>0</v>
      </c>
      <c r="N472" s="67">
        <f t="shared" si="70"/>
        <v>0</v>
      </c>
    </row>
    <row r="473" spans="6:14" x14ac:dyDescent="0.2">
      <c r="F473" s="67">
        <f t="shared" si="64"/>
        <v>0</v>
      </c>
      <c r="G473" s="67">
        <f t="shared" si="65"/>
        <v>0</v>
      </c>
      <c r="H473" s="67">
        <f t="shared" si="66"/>
        <v>0</v>
      </c>
      <c r="I473" s="68">
        <f t="shared" si="67"/>
        <v>0</v>
      </c>
      <c r="J473" s="68">
        <f t="shared" si="63"/>
        <v>0</v>
      </c>
      <c r="K473" s="69">
        <f t="shared" si="68"/>
        <v>0</v>
      </c>
      <c r="L473" s="69">
        <f t="shared" si="69"/>
        <v>0</v>
      </c>
      <c r="M473" s="69">
        <f t="shared" si="71"/>
        <v>0</v>
      </c>
      <c r="N473" s="67">
        <f t="shared" si="70"/>
        <v>0</v>
      </c>
    </row>
    <row r="474" spans="6:14" x14ac:dyDescent="0.2">
      <c r="F474" s="67">
        <f t="shared" si="64"/>
        <v>0</v>
      </c>
      <c r="G474" s="67">
        <f t="shared" si="65"/>
        <v>0</v>
      </c>
      <c r="H474" s="67">
        <f t="shared" si="66"/>
        <v>0</v>
      </c>
      <c r="I474" s="68">
        <f t="shared" si="67"/>
        <v>0</v>
      </c>
      <c r="J474" s="68">
        <f t="shared" si="63"/>
        <v>0</v>
      </c>
      <c r="K474" s="69">
        <f t="shared" si="68"/>
        <v>0</v>
      </c>
      <c r="L474" s="69">
        <f t="shared" si="69"/>
        <v>0</v>
      </c>
      <c r="M474" s="69">
        <f t="shared" si="71"/>
        <v>0</v>
      </c>
      <c r="N474" s="67">
        <f t="shared" si="70"/>
        <v>0</v>
      </c>
    </row>
    <row r="475" spans="6:14" x14ac:dyDescent="0.2">
      <c r="F475" s="67">
        <f t="shared" si="64"/>
        <v>0</v>
      </c>
      <c r="G475" s="67">
        <f t="shared" si="65"/>
        <v>0</v>
      </c>
      <c r="H475" s="67">
        <f t="shared" si="66"/>
        <v>0</v>
      </c>
      <c r="I475" s="68">
        <f t="shared" si="67"/>
        <v>0</v>
      </c>
      <c r="J475" s="68">
        <f t="shared" si="63"/>
        <v>0</v>
      </c>
      <c r="K475" s="69">
        <f t="shared" si="68"/>
        <v>0</v>
      </c>
      <c r="L475" s="69">
        <f t="shared" si="69"/>
        <v>0</v>
      </c>
      <c r="M475" s="69">
        <f t="shared" si="71"/>
        <v>0</v>
      </c>
      <c r="N475" s="67">
        <f t="shared" si="70"/>
        <v>0</v>
      </c>
    </row>
    <row r="476" spans="6:14" x14ac:dyDescent="0.2">
      <c r="F476" s="67">
        <f t="shared" si="64"/>
        <v>0</v>
      </c>
      <c r="G476" s="67">
        <f t="shared" si="65"/>
        <v>0</v>
      </c>
      <c r="H476" s="67">
        <f t="shared" si="66"/>
        <v>0</v>
      </c>
      <c r="I476" s="68">
        <f t="shared" si="67"/>
        <v>0</v>
      </c>
      <c r="J476" s="68">
        <f t="shared" si="63"/>
        <v>0</v>
      </c>
      <c r="K476" s="69">
        <f t="shared" si="68"/>
        <v>0</v>
      </c>
      <c r="L476" s="69">
        <f t="shared" si="69"/>
        <v>0</v>
      </c>
      <c r="M476" s="69">
        <f t="shared" si="71"/>
        <v>0</v>
      </c>
      <c r="N476" s="67">
        <f t="shared" si="70"/>
        <v>0</v>
      </c>
    </row>
    <row r="477" spans="6:14" x14ac:dyDescent="0.2">
      <c r="F477" s="67">
        <f t="shared" si="64"/>
        <v>0</v>
      </c>
      <c r="G477" s="67">
        <f t="shared" si="65"/>
        <v>0</v>
      </c>
      <c r="H477" s="67">
        <f t="shared" si="66"/>
        <v>0</v>
      </c>
      <c r="I477" s="68">
        <f t="shared" si="67"/>
        <v>0</v>
      </c>
      <c r="J477" s="68">
        <f t="shared" si="63"/>
        <v>0</v>
      </c>
      <c r="K477" s="69">
        <f t="shared" si="68"/>
        <v>0</v>
      </c>
      <c r="L477" s="69">
        <f t="shared" si="69"/>
        <v>0</v>
      </c>
      <c r="M477" s="69">
        <f t="shared" si="71"/>
        <v>0</v>
      </c>
      <c r="N477" s="67">
        <f t="shared" si="70"/>
        <v>0</v>
      </c>
    </row>
    <row r="478" spans="6:14" x14ac:dyDescent="0.2">
      <c r="F478" s="67">
        <f t="shared" si="64"/>
        <v>0</v>
      </c>
      <c r="G478" s="67">
        <f t="shared" si="65"/>
        <v>0</v>
      </c>
      <c r="H478" s="67">
        <f t="shared" si="66"/>
        <v>0</v>
      </c>
      <c r="I478" s="68">
        <f t="shared" si="67"/>
        <v>0</v>
      </c>
      <c r="J478" s="68">
        <f t="shared" si="63"/>
        <v>0</v>
      </c>
      <c r="K478" s="69">
        <f t="shared" si="68"/>
        <v>0</v>
      </c>
      <c r="L478" s="69">
        <f t="shared" si="69"/>
        <v>0</v>
      </c>
      <c r="M478" s="69">
        <f t="shared" si="71"/>
        <v>0</v>
      </c>
      <c r="N478" s="67">
        <f t="shared" si="70"/>
        <v>0</v>
      </c>
    </row>
    <row r="479" spans="6:14" x14ac:dyDescent="0.2">
      <c r="F479" s="67">
        <f t="shared" si="64"/>
        <v>0</v>
      </c>
      <c r="G479" s="67">
        <f t="shared" si="65"/>
        <v>0</v>
      </c>
      <c r="H479" s="67">
        <f t="shared" si="66"/>
        <v>0</v>
      </c>
      <c r="I479" s="68">
        <f t="shared" si="67"/>
        <v>0</v>
      </c>
      <c r="J479" s="68">
        <f t="shared" si="63"/>
        <v>0</v>
      </c>
      <c r="K479" s="69">
        <f t="shared" si="68"/>
        <v>0</v>
      </c>
      <c r="L479" s="69">
        <f t="shared" si="69"/>
        <v>0</v>
      </c>
      <c r="M479" s="69">
        <f t="shared" si="71"/>
        <v>0</v>
      </c>
      <c r="N479" s="67">
        <f t="shared" si="70"/>
        <v>0</v>
      </c>
    </row>
    <row r="480" spans="6:14" x14ac:dyDescent="0.2">
      <c r="F480" s="67">
        <f t="shared" si="64"/>
        <v>0</v>
      </c>
      <c r="G480" s="67">
        <f t="shared" si="65"/>
        <v>0</v>
      </c>
      <c r="H480" s="67">
        <f t="shared" si="66"/>
        <v>0</v>
      </c>
      <c r="I480" s="68">
        <f t="shared" si="67"/>
        <v>0</v>
      </c>
      <c r="J480" s="68">
        <f t="shared" si="63"/>
        <v>0</v>
      </c>
      <c r="K480" s="69">
        <f t="shared" si="68"/>
        <v>0</v>
      </c>
      <c r="L480" s="69">
        <f t="shared" si="69"/>
        <v>0</v>
      </c>
      <c r="M480" s="69">
        <f t="shared" si="71"/>
        <v>0</v>
      </c>
      <c r="N480" s="67">
        <f t="shared" si="70"/>
        <v>0</v>
      </c>
    </row>
    <row r="481" spans="6:14" x14ac:dyDescent="0.2">
      <c r="F481" s="67">
        <f t="shared" si="64"/>
        <v>0</v>
      </c>
      <c r="G481" s="67">
        <f t="shared" si="65"/>
        <v>0</v>
      </c>
      <c r="H481" s="67">
        <f t="shared" si="66"/>
        <v>0</v>
      </c>
      <c r="I481" s="68">
        <f t="shared" si="67"/>
        <v>0</v>
      </c>
      <c r="J481" s="68">
        <f t="shared" si="63"/>
        <v>0</v>
      </c>
      <c r="K481" s="69">
        <f t="shared" si="68"/>
        <v>0</v>
      </c>
      <c r="L481" s="69">
        <f t="shared" si="69"/>
        <v>0</v>
      </c>
      <c r="M481" s="69">
        <f t="shared" si="71"/>
        <v>0</v>
      </c>
      <c r="N481" s="67">
        <f t="shared" si="70"/>
        <v>0</v>
      </c>
    </row>
    <row r="482" spans="6:14" x14ac:dyDescent="0.2">
      <c r="F482" s="67">
        <f t="shared" si="64"/>
        <v>0</v>
      </c>
      <c r="G482" s="67">
        <f t="shared" si="65"/>
        <v>0</v>
      </c>
      <c r="H482" s="67">
        <f t="shared" si="66"/>
        <v>0</v>
      </c>
      <c r="I482" s="68">
        <f t="shared" si="67"/>
        <v>0</v>
      </c>
      <c r="J482" s="68">
        <f t="shared" si="63"/>
        <v>0</v>
      </c>
      <c r="K482" s="69">
        <f t="shared" si="68"/>
        <v>0</v>
      </c>
      <c r="L482" s="69">
        <f t="shared" si="69"/>
        <v>0</v>
      </c>
      <c r="M482" s="69">
        <f t="shared" si="71"/>
        <v>0</v>
      </c>
      <c r="N482" s="67">
        <f t="shared" si="70"/>
        <v>0</v>
      </c>
    </row>
    <row r="483" spans="6:14" x14ac:dyDescent="0.2">
      <c r="F483" s="67">
        <f t="shared" si="64"/>
        <v>0</v>
      </c>
      <c r="G483" s="67">
        <f t="shared" si="65"/>
        <v>0</v>
      </c>
      <c r="H483" s="67">
        <f t="shared" si="66"/>
        <v>0</v>
      </c>
      <c r="I483" s="68">
        <f t="shared" si="67"/>
        <v>0</v>
      </c>
      <c r="J483" s="68">
        <f t="shared" si="63"/>
        <v>0</v>
      </c>
      <c r="K483" s="69">
        <f t="shared" si="68"/>
        <v>0</v>
      </c>
      <c r="L483" s="69">
        <f t="shared" si="69"/>
        <v>0</v>
      </c>
      <c r="M483" s="69">
        <f t="shared" si="71"/>
        <v>0</v>
      </c>
      <c r="N483" s="67">
        <f t="shared" si="70"/>
        <v>0</v>
      </c>
    </row>
    <row r="484" spans="6:14" x14ac:dyDescent="0.2">
      <c r="F484" s="67">
        <f t="shared" si="64"/>
        <v>0</v>
      </c>
      <c r="G484" s="67">
        <f t="shared" si="65"/>
        <v>0</v>
      </c>
      <c r="H484" s="67">
        <f t="shared" si="66"/>
        <v>0</v>
      </c>
      <c r="I484" s="68">
        <f t="shared" si="67"/>
        <v>0</v>
      </c>
      <c r="J484" s="68">
        <f t="shared" si="63"/>
        <v>0</v>
      </c>
      <c r="K484" s="69">
        <f t="shared" si="68"/>
        <v>0</v>
      </c>
      <c r="L484" s="69">
        <f t="shared" si="69"/>
        <v>0</v>
      </c>
      <c r="M484" s="69">
        <f t="shared" si="71"/>
        <v>0</v>
      </c>
      <c r="N484" s="67">
        <f t="shared" si="70"/>
        <v>0</v>
      </c>
    </row>
    <row r="485" spans="6:14" x14ac:dyDescent="0.2">
      <c r="F485" s="67">
        <f t="shared" si="64"/>
        <v>0</v>
      </c>
      <c r="G485" s="67">
        <f t="shared" si="65"/>
        <v>0</v>
      </c>
      <c r="H485" s="67">
        <f t="shared" si="66"/>
        <v>0</v>
      </c>
      <c r="I485" s="68">
        <f t="shared" si="67"/>
        <v>0</v>
      </c>
      <c r="J485" s="68">
        <f t="shared" si="63"/>
        <v>0</v>
      </c>
      <c r="K485" s="69">
        <f t="shared" si="68"/>
        <v>0</v>
      </c>
      <c r="L485" s="69">
        <f t="shared" si="69"/>
        <v>0</v>
      </c>
      <c r="M485" s="69">
        <f t="shared" si="71"/>
        <v>0</v>
      </c>
      <c r="N485" s="67">
        <f t="shared" si="70"/>
        <v>0</v>
      </c>
    </row>
    <row r="486" spans="6:14" x14ac:dyDescent="0.2">
      <c r="F486" s="67">
        <f t="shared" si="64"/>
        <v>0</v>
      </c>
      <c r="G486" s="67">
        <f t="shared" si="65"/>
        <v>0</v>
      </c>
      <c r="H486" s="67">
        <f t="shared" si="66"/>
        <v>0</v>
      </c>
      <c r="I486" s="68">
        <f t="shared" si="67"/>
        <v>0</v>
      </c>
      <c r="J486" s="68">
        <f t="shared" si="63"/>
        <v>0</v>
      </c>
      <c r="K486" s="69">
        <f t="shared" si="68"/>
        <v>0</v>
      </c>
      <c r="L486" s="69">
        <f t="shared" si="69"/>
        <v>0</v>
      </c>
      <c r="M486" s="69">
        <f t="shared" si="71"/>
        <v>0</v>
      </c>
      <c r="N486" s="67">
        <f t="shared" si="70"/>
        <v>0</v>
      </c>
    </row>
    <row r="487" spans="6:14" x14ac:dyDescent="0.2">
      <c r="F487" s="67">
        <f t="shared" si="64"/>
        <v>0</v>
      </c>
      <c r="G487" s="67">
        <f t="shared" si="65"/>
        <v>0</v>
      </c>
      <c r="H487" s="67">
        <f t="shared" si="66"/>
        <v>0</v>
      </c>
      <c r="I487" s="68">
        <f t="shared" si="67"/>
        <v>0</v>
      </c>
      <c r="J487" s="68">
        <f t="shared" si="63"/>
        <v>0</v>
      </c>
      <c r="K487" s="69">
        <f t="shared" si="68"/>
        <v>0</v>
      </c>
      <c r="L487" s="69">
        <f t="shared" si="69"/>
        <v>0</v>
      </c>
      <c r="M487" s="69">
        <f t="shared" si="71"/>
        <v>0</v>
      </c>
      <c r="N487" s="67">
        <f t="shared" si="70"/>
        <v>0</v>
      </c>
    </row>
    <row r="488" spans="6:14" x14ac:dyDescent="0.2">
      <c r="F488" s="67">
        <f t="shared" si="64"/>
        <v>0</v>
      </c>
      <c r="G488" s="67">
        <f t="shared" si="65"/>
        <v>0</v>
      </c>
      <c r="H488" s="67">
        <f t="shared" si="66"/>
        <v>0</v>
      </c>
      <c r="I488" s="68">
        <f t="shared" si="67"/>
        <v>0</v>
      </c>
      <c r="J488" s="68">
        <f t="shared" si="63"/>
        <v>0</v>
      </c>
      <c r="K488" s="69">
        <f t="shared" si="68"/>
        <v>0</v>
      </c>
      <c r="L488" s="69">
        <f t="shared" si="69"/>
        <v>0</v>
      </c>
      <c r="M488" s="69">
        <f t="shared" si="71"/>
        <v>0</v>
      </c>
      <c r="N488" s="67">
        <f t="shared" si="70"/>
        <v>0</v>
      </c>
    </row>
    <row r="489" spans="6:14" x14ac:dyDescent="0.2">
      <c r="F489" s="67">
        <f t="shared" si="64"/>
        <v>0</v>
      </c>
      <c r="G489" s="67">
        <f t="shared" si="65"/>
        <v>0</v>
      </c>
      <c r="H489" s="67">
        <f t="shared" si="66"/>
        <v>0</v>
      </c>
      <c r="I489" s="68">
        <f t="shared" si="67"/>
        <v>0</v>
      </c>
      <c r="J489" s="68">
        <f t="shared" si="63"/>
        <v>0</v>
      </c>
      <c r="K489" s="69">
        <f t="shared" si="68"/>
        <v>0</v>
      </c>
      <c r="L489" s="69">
        <f t="shared" si="69"/>
        <v>0</v>
      </c>
      <c r="M489" s="69">
        <f t="shared" si="71"/>
        <v>0</v>
      </c>
      <c r="N489" s="67">
        <f t="shared" si="70"/>
        <v>0</v>
      </c>
    </row>
    <row r="490" spans="6:14" x14ac:dyDescent="0.2">
      <c r="F490" s="67">
        <f t="shared" si="64"/>
        <v>0</v>
      </c>
      <c r="G490" s="67">
        <f t="shared" si="65"/>
        <v>0</v>
      </c>
      <c r="H490" s="67">
        <f t="shared" si="66"/>
        <v>0</v>
      </c>
      <c r="I490" s="68">
        <f t="shared" si="67"/>
        <v>0</v>
      </c>
      <c r="J490" s="68">
        <f t="shared" si="63"/>
        <v>0</v>
      </c>
      <c r="K490" s="69">
        <f t="shared" si="68"/>
        <v>0</v>
      </c>
      <c r="L490" s="69">
        <f t="shared" si="69"/>
        <v>0</v>
      </c>
      <c r="M490" s="69">
        <f t="shared" si="71"/>
        <v>0</v>
      </c>
      <c r="N490" s="67">
        <f t="shared" si="70"/>
        <v>0</v>
      </c>
    </row>
    <row r="491" spans="6:14" x14ac:dyDescent="0.2">
      <c r="F491" s="67">
        <f t="shared" si="64"/>
        <v>0</v>
      </c>
      <c r="G491" s="67">
        <f t="shared" si="65"/>
        <v>0</v>
      </c>
      <c r="H491" s="67">
        <f t="shared" si="66"/>
        <v>0</v>
      </c>
      <c r="I491" s="68">
        <f t="shared" si="67"/>
        <v>0</v>
      </c>
      <c r="J491" s="68">
        <f t="shared" si="63"/>
        <v>0</v>
      </c>
      <c r="K491" s="69">
        <f t="shared" si="68"/>
        <v>0</v>
      </c>
      <c r="L491" s="69">
        <f t="shared" si="69"/>
        <v>0</v>
      </c>
      <c r="M491" s="69">
        <f t="shared" si="71"/>
        <v>0</v>
      </c>
      <c r="N491" s="67">
        <f t="shared" si="70"/>
        <v>0</v>
      </c>
    </row>
    <row r="492" spans="6:14" x14ac:dyDescent="0.2">
      <c r="F492" s="67">
        <f t="shared" si="64"/>
        <v>0</v>
      </c>
      <c r="G492" s="67">
        <f t="shared" si="65"/>
        <v>0</v>
      </c>
      <c r="H492" s="67">
        <f t="shared" si="66"/>
        <v>0</v>
      </c>
      <c r="I492" s="68">
        <f t="shared" si="67"/>
        <v>0</v>
      </c>
      <c r="J492" s="68">
        <f t="shared" si="63"/>
        <v>0</v>
      </c>
      <c r="K492" s="69">
        <f t="shared" si="68"/>
        <v>0</v>
      </c>
      <c r="L492" s="69">
        <f t="shared" si="69"/>
        <v>0</v>
      </c>
      <c r="M492" s="69">
        <f t="shared" si="71"/>
        <v>0</v>
      </c>
      <c r="N492" s="67">
        <f t="shared" si="70"/>
        <v>0</v>
      </c>
    </row>
    <row r="493" spans="6:14" x14ac:dyDescent="0.2">
      <c r="F493" s="67">
        <f t="shared" si="64"/>
        <v>0</v>
      </c>
      <c r="G493" s="67">
        <f t="shared" si="65"/>
        <v>0</v>
      </c>
      <c r="H493" s="67">
        <f t="shared" si="66"/>
        <v>0</v>
      </c>
      <c r="I493" s="68">
        <f t="shared" si="67"/>
        <v>0</v>
      </c>
      <c r="J493" s="68">
        <f t="shared" si="63"/>
        <v>0</v>
      </c>
      <c r="K493" s="69">
        <f t="shared" si="68"/>
        <v>0</v>
      </c>
      <c r="L493" s="69">
        <f t="shared" si="69"/>
        <v>0</v>
      </c>
      <c r="M493" s="69">
        <f t="shared" si="71"/>
        <v>0</v>
      </c>
      <c r="N493" s="67">
        <f t="shared" si="70"/>
        <v>0</v>
      </c>
    </row>
    <row r="494" spans="6:14" x14ac:dyDescent="0.2">
      <c r="F494" s="67">
        <f t="shared" si="64"/>
        <v>0</v>
      </c>
      <c r="G494" s="67">
        <f t="shared" si="65"/>
        <v>0</v>
      </c>
      <c r="H494" s="67">
        <f t="shared" si="66"/>
        <v>0</v>
      </c>
      <c r="I494" s="68">
        <f t="shared" si="67"/>
        <v>0</v>
      </c>
      <c r="J494" s="68">
        <f t="shared" si="63"/>
        <v>0</v>
      </c>
      <c r="K494" s="69">
        <f t="shared" si="68"/>
        <v>0</v>
      </c>
      <c r="L494" s="69">
        <f t="shared" si="69"/>
        <v>0</v>
      </c>
      <c r="M494" s="69">
        <f t="shared" si="71"/>
        <v>0</v>
      </c>
      <c r="N494" s="67">
        <f t="shared" si="70"/>
        <v>0</v>
      </c>
    </row>
    <row r="495" spans="6:14" x14ac:dyDescent="0.2">
      <c r="F495" s="67">
        <f t="shared" si="64"/>
        <v>0</v>
      </c>
      <c r="G495" s="67">
        <f t="shared" si="65"/>
        <v>0</v>
      </c>
      <c r="H495" s="67">
        <f t="shared" si="66"/>
        <v>0</v>
      </c>
      <c r="I495" s="68">
        <f t="shared" si="67"/>
        <v>0</v>
      </c>
      <c r="J495" s="68">
        <f t="shared" si="63"/>
        <v>0</v>
      </c>
      <c r="K495" s="69">
        <f t="shared" si="68"/>
        <v>0</v>
      </c>
      <c r="L495" s="69">
        <f t="shared" si="69"/>
        <v>0</v>
      </c>
      <c r="M495" s="69">
        <f t="shared" si="71"/>
        <v>0</v>
      </c>
      <c r="N495" s="67">
        <f t="shared" si="70"/>
        <v>0</v>
      </c>
    </row>
    <row r="496" spans="6:14" x14ac:dyDescent="0.2">
      <c r="F496" s="67">
        <f t="shared" si="64"/>
        <v>0</v>
      </c>
      <c r="G496" s="67">
        <f t="shared" si="65"/>
        <v>0</v>
      </c>
      <c r="H496" s="67">
        <f t="shared" si="66"/>
        <v>0</v>
      </c>
      <c r="I496" s="68">
        <f t="shared" si="67"/>
        <v>0</v>
      </c>
      <c r="J496" s="68">
        <f t="shared" si="63"/>
        <v>0</v>
      </c>
      <c r="K496" s="69">
        <f t="shared" si="68"/>
        <v>0</v>
      </c>
      <c r="L496" s="69">
        <f t="shared" si="69"/>
        <v>0</v>
      </c>
      <c r="M496" s="69">
        <f t="shared" si="71"/>
        <v>0</v>
      </c>
      <c r="N496" s="67">
        <f t="shared" si="70"/>
        <v>0</v>
      </c>
    </row>
    <row r="497" spans="6:14" x14ac:dyDescent="0.2">
      <c r="F497" s="67">
        <f t="shared" si="64"/>
        <v>0</v>
      </c>
      <c r="G497" s="67">
        <f t="shared" si="65"/>
        <v>0</v>
      </c>
      <c r="H497" s="67">
        <f t="shared" si="66"/>
        <v>0</v>
      </c>
      <c r="I497" s="68">
        <f t="shared" si="67"/>
        <v>0</v>
      </c>
      <c r="J497" s="68">
        <f t="shared" si="63"/>
        <v>0</v>
      </c>
      <c r="K497" s="69">
        <f t="shared" si="68"/>
        <v>0</v>
      </c>
      <c r="L497" s="69">
        <f t="shared" si="69"/>
        <v>0</v>
      </c>
      <c r="M497" s="69">
        <f t="shared" si="71"/>
        <v>0</v>
      </c>
      <c r="N497" s="67">
        <f t="shared" si="70"/>
        <v>0</v>
      </c>
    </row>
    <row r="498" spans="6:14" x14ac:dyDescent="0.2">
      <c r="F498" s="67">
        <f t="shared" si="64"/>
        <v>0</v>
      </c>
      <c r="G498" s="67">
        <f t="shared" si="65"/>
        <v>0</v>
      </c>
      <c r="H498" s="67">
        <f t="shared" si="66"/>
        <v>0</v>
      </c>
      <c r="I498" s="68">
        <f t="shared" si="67"/>
        <v>0</v>
      </c>
      <c r="J498" s="68">
        <f t="shared" si="63"/>
        <v>0</v>
      </c>
      <c r="K498" s="69">
        <f t="shared" si="68"/>
        <v>0</v>
      </c>
      <c r="L498" s="69">
        <f t="shared" si="69"/>
        <v>0</v>
      </c>
      <c r="M498" s="69">
        <f t="shared" si="71"/>
        <v>0</v>
      </c>
      <c r="N498" s="67">
        <f t="shared" si="70"/>
        <v>0</v>
      </c>
    </row>
    <row r="499" spans="6:14" x14ac:dyDescent="0.2">
      <c r="F499" s="67">
        <f t="shared" si="64"/>
        <v>0</v>
      </c>
      <c r="G499" s="67">
        <f t="shared" si="65"/>
        <v>0</v>
      </c>
      <c r="H499" s="67">
        <f t="shared" si="66"/>
        <v>0</v>
      </c>
      <c r="I499" s="68">
        <f t="shared" si="67"/>
        <v>0</v>
      </c>
      <c r="J499" s="68">
        <f t="shared" si="63"/>
        <v>0</v>
      </c>
      <c r="K499" s="69">
        <f t="shared" si="68"/>
        <v>0</v>
      </c>
      <c r="L499" s="69">
        <f t="shared" si="69"/>
        <v>0</v>
      </c>
      <c r="M499" s="69">
        <f t="shared" si="71"/>
        <v>0</v>
      </c>
      <c r="N499" s="67">
        <f t="shared" si="70"/>
        <v>0</v>
      </c>
    </row>
    <row r="500" spans="6:14" x14ac:dyDescent="0.2">
      <c r="F500" s="67">
        <f t="shared" si="64"/>
        <v>0</v>
      </c>
      <c r="G500" s="67">
        <f t="shared" si="65"/>
        <v>0</v>
      </c>
      <c r="H500" s="67">
        <f t="shared" si="66"/>
        <v>0</v>
      </c>
      <c r="I500" s="68">
        <f t="shared" si="67"/>
        <v>0</v>
      </c>
      <c r="J500" s="68">
        <f t="shared" si="63"/>
        <v>0</v>
      </c>
      <c r="K500" s="69">
        <f t="shared" si="68"/>
        <v>0</v>
      </c>
      <c r="L500" s="69">
        <f t="shared" si="69"/>
        <v>0</v>
      </c>
      <c r="M500" s="69">
        <f t="shared" si="71"/>
        <v>0</v>
      </c>
      <c r="N500" s="67">
        <f t="shared" si="70"/>
        <v>0</v>
      </c>
    </row>
    <row r="501" spans="6:14" x14ac:dyDescent="0.2">
      <c r="F501" s="67">
        <f t="shared" si="64"/>
        <v>0</v>
      </c>
      <c r="G501" s="67">
        <f t="shared" si="65"/>
        <v>0</v>
      </c>
      <c r="H501" s="67">
        <f t="shared" si="66"/>
        <v>0</v>
      </c>
      <c r="I501" s="68">
        <f t="shared" si="67"/>
        <v>0</v>
      </c>
      <c r="J501" s="68">
        <f t="shared" si="63"/>
        <v>0</v>
      </c>
      <c r="K501" s="69">
        <f t="shared" si="68"/>
        <v>0</v>
      </c>
      <c r="L501" s="69">
        <f t="shared" si="69"/>
        <v>0</v>
      </c>
      <c r="M501" s="69">
        <f t="shared" si="71"/>
        <v>0</v>
      </c>
      <c r="N501" s="67">
        <f t="shared" si="70"/>
        <v>0</v>
      </c>
    </row>
    <row r="502" spans="6:14" x14ac:dyDescent="0.2">
      <c r="F502" s="67">
        <f t="shared" si="64"/>
        <v>0</v>
      </c>
      <c r="G502" s="67">
        <f t="shared" si="65"/>
        <v>0</v>
      </c>
      <c r="H502" s="67">
        <f t="shared" si="66"/>
        <v>0</v>
      </c>
      <c r="I502" s="68">
        <f t="shared" si="67"/>
        <v>0</v>
      </c>
      <c r="J502" s="68">
        <f t="shared" si="63"/>
        <v>0</v>
      </c>
      <c r="K502" s="69">
        <f t="shared" si="68"/>
        <v>0</v>
      </c>
      <c r="L502" s="69">
        <f t="shared" si="69"/>
        <v>0</v>
      </c>
      <c r="M502" s="69">
        <f t="shared" si="71"/>
        <v>0</v>
      </c>
      <c r="N502" s="67">
        <f t="shared" si="70"/>
        <v>0</v>
      </c>
    </row>
    <row r="503" spans="6:14" x14ac:dyDescent="0.2">
      <c r="F503" s="67">
        <f t="shared" si="64"/>
        <v>0</v>
      </c>
      <c r="G503" s="67">
        <f t="shared" si="65"/>
        <v>0</v>
      </c>
      <c r="H503" s="67">
        <f t="shared" si="66"/>
        <v>0</v>
      </c>
      <c r="I503" s="68">
        <f t="shared" si="67"/>
        <v>0</v>
      </c>
      <c r="J503" s="68">
        <f t="shared" si="63"/>
        <v>0</v>
      </c>
      <c r="K503" s="69">
        <f t="shared" si="68"/>
        <v>0</v>
      </c>
      <c r="L503" s="69">
        <f t="shared" si="69"/>
        <v>0</v>
      </c>
      <c r="M503" s="69">
        <f t="shared" si="71"/>
        <v>0</v>
      </c>
      <c r="N503" s="67">
        <f t="shared" si="70"/>
        <v>0</v>
      </c>
    </row>
    <row r="504" spans="6:14" x14ac:dyDescent="0.2">
      <c r="F504" s="67">
        <f t="shared" si="64"/>
        <v>0</v>
      </c>
      <c r="G504" s="67">
        <f t="shared" si="65"/>
        <v>0</v>
      </c>
      <c r="H504" s="67">
        <f t="shared" si="66"/>
        <v>0</v>
      </c>
      <c r="I504" s="68">
        <f t="shared" si="67"/>
        <v>0</v>
      </c>
      <c r="J504" s="68">
        <f t="shared" si="63"/>
        <v>0</v>
      </c>
      <c r="K504" s="69">
        <f t="shared" si="68"/>
        <v>0</v>
      </c>
      <c r="L504" s="69">
        <f t="shared" si="69"/>
        <v>0</v>
      </c>
      <c r="M504" s="69">
        <f t="shared" si="71"/>
        <v>0</v>
      </c>
      <c r="N504" s="67">
        <f t="shared" si="70"/>
        <v>0</v>
      </c>
    </row>
    <row r="505" spans="6:14" x14ac:dyDescent="0.2">
      <c r="F505" s="67">
        <f t="shared" si="64"/>
        <v>0</v>
      </c>
      <c r="G505" s="67">
        <f t="shared" si="65"/>
        <v>0</v>
      </c>
      <c r="H505" s="67">
        <f t="shared" si="66"/>
        <v>0</v>
      </c>
      <c r="I505" s="68">
        <f t="shared" si="67"/>
        <v>0</v>
      </c>
      <c r="J505" s="68">
        <f t="shared" si="63"/>
        <v>0</v>
      </c>
      <c r="K505" s="69">
        <f t="shared" si="68"/>
        <v>0</v>
      </c>
      <c r="L505" s="69">
        <f t="shared" si="69"/>
        <v>0</v>
      </c>
      <c r="M505" s="69">
        <f t="shared" si="71"/>
        <v>0</v>
      </c>
      <c r="N505" s="67">
        <f t="shared" si="70"/>
        <v>0</v>
      </c>
    </row>
    <row r="506" spans="6:14" x14ac:dyDescent="0.2">
      <c r="F506" s="67">
        <f t="shared" si="64"/>
        <v>0</v>
      </c>
      <c r="G506" s="67">
        <f t="shared" si="65"/>
        <v>0</v>
      </c>
      <c r="H506" s="67">
        <f t="shared" si="66"/>
        <v>0</v>
      </c>
      <c r="I506" s="68">
        <f t="shared" si="67"/>
        <v>0</v>
      </c>
      <c r="J506" s="68">
        <f t="shared" si="63"/>
        <v>0</v>
      </c>
      <c r="K506" s="69">
        <f t="shared" si="68"/>
        <v>0</v>
      </c>
      <c r="L506" s="69">
        <f t="shared" si="69"/>
        <v>0</v>
      </c>
      <c r="M506" s="69">
        <f t="shared" si="71"/>
        <v>0</v>
      </c>
      <c r="N506" s="67">
        <f t="shared" si="70"/>
        <v>0</v>
      </c>
    </row>
    <row r="507" spans="6:14" x14ac:dyDescent="0.2">
      <c r="F507" s="67">
        <f t="shared" si="64"/>
        <v>0</v>
      </c>
      <c r="G507" s="67">
        <f t="shared" si="65"/>
        <v>0</v>
      </c>
      <c r="H507" s="67">
        <f t="shared" si="66"/>
        <v>0</v>
      </c>
      <c r="I507" s="68">
        <f t="shared" si="67"/>
        <v>0</v>
      </c>
      <c r="J507" s="68">
        <f t="shared" si="63"/>
        <v>0</v>
      </c>
      <c r="K507" s="69">
        <f t="shared" si="68"/>
        <v>0</v>
      </c>
      <c r="L507" s="69">
        <f t="shared" si="69"/>
        <v>0</v>
      </c>
      <c r="M507" s="69">
        <f t="shared" si="71"/>
        <v>0</v>
      </c>
      <c r="N507" s="67">
        <f t="shared" si="70"/>
        <v>0</v>
      </c>
    </row>
    <row r="508" spans="6:14" x14ac:dyDescent="0.2">
      <c r="F508" s="67">
        <f t="shared" si="64"/>
        <v>0</v>
      </c>
      <c r="G508" s="67">
        <f t="shared" si="65"/>
        <v>0</v>
      </c>
      <c r="H508" s="67">
        <f t="shared" si="66"/>
        <v>0</v>
      </c>
      <c r="I508" s="68">
        <f t="shared" si="67"/>
        <v>0</v>
      </c>
      <c r="J508" s="68">
        <f t="shared" si="63"/>
        <v>0</v>
      </c>
      <c r="K508" s="69">
        <f t="shared" si="68"/>
        <v>0</v>
      </c>
      <c r="L508" s="69">
        <f t="shared" si="69"/>
        <v>0</v>
      </c>
      <c r="M508" s="69">
        <f t="shared" si="71"/>
        <v>0</v>
      </c>
      <c r="N508" s="67">
        <f t="shared" si="70"/>
        <v>0</v>
      </c>
    </row>
    <row r="509" spans="6:14" x14ac:dyDescent="0.2">
      <c r="F509" s="67">
        <f t="shared" si="64"/>
        <v>0</v>
      </c>
      <c r="G509" s="67">
        <f t="shared" si="65"/>
        <v>0</v>
      </c>
      <c r="H509" s="67">
        <f t="shared" si="66"/>
        <v>0</v>
      </c>
      <c r="I509" s="68">
        <f t="shared" si="67"/>
        <v>0</v>
      </c>
      <c r="J509" s="68">
        <f t="shared" si="63"/>
        <v>0</v>
      </c>
      <c r="K509" s="69">
        <f t="shared" si="68"/>
        <v>0</v>
      </c>
      <c r="L509" s="69">
        <f t="shared" si="69"/>
        <v>0</v>
      </c>
      <c r="M509" s="69">
        <f t="shared" si="71"/>
        <v>0</v>
      </c>
      <c r="N509" s="67">
        <f t="shared" si="70"/>
        <v>0</v>
      </c>
    </row>
    <row r="510" spans="6:14" x14ac:dyDescent="0.2">
      <c r="F510" s="67">
        <f t="shared" si="64"/>
        <v>0</v>
      </c>
      <c r="G510" s="67">
        <f t="shared" si="65"/>
        <v>0</v>
      </c>
      <c r="H510" s="67">
        <f t="shared" si="66"/>
        <v>0</v>
      </c>
      <c r="I510" s="68">
        <f t="shared" si="67"/>
        <v>0</v>
      </c>
      <c r="J510" s="68">
        <f t="shared" si="63"/>
        <v>0</v>
      </c>
      <c r="K510" s="69">
        <f t="shared" si="68"/>
        <v>0</v>
      </c>
      <c r="L510" s="69">
        <f t="shared" si="69"/>
        <v>0</v>
      </c>
      <c r="M510" s="69">
        <f t="shared" si="71"/>
        <v>0</v>
      </c>
      <c r="N510" s="67">
        <f t="shared" si="70"/>
        <v>0</v>
      </c>
    </row>
    <row r="511" spans="6:14" x14ac:dyDescent="0.2">
      <c r="F511" s="67">
        <f t="shared" si="64"/>
        <v>0</v>
      </c>
      <c r="G511" s="67">
        <f t="shared" si="65"/>
        <v>0</v>
      </c>
      <c r="H511" s="67">
        <f t="shared" si="66"/>
        <v>0</v>
      </c>
      <c r="I511" s="68">
        <f t="shared" si="67"/>
        <v>0</v>
      </c>
      <c r="J511" s="68">
        <f t="shared" si="63"/>
        <v>0</v>
      </c>
      <c r="K511" s="69">
        <f t="shared" si="68"/>
        <v>0</v>
      </c>
      <c r="L511" s="69">
        <f t="shared" si="69"/>
        <v>0</v>
      </c>
      <c r="M511" s="69">
        <f t="shared" si="71"/>
        <v>0</v>
      </c>
      <c r="N511" s="67">
        <f t="shared" si="70"/>
        <v>0</v>
      </c>
    </row>
    <row r="512" spans="6:14" x14ac:dyDescent="0.2">
      <c r="F512" s="67">
        <f t="shared" si="64"/>
        <v>0</v>
      </c>
      <c r="G512" s="67">
        <f t="shared" si="65"/>
        <v>0</v>
      </c>
      <c r="H512" s="67">
        <f t="shared" si="66"/>
        <v>0</v>
      </c>
      <c r="I512" s="68">
        <f t="shared" si="67"/>
        <v>0</v>
      </c>
      <c r="J512" s="68">
        <f t="shared" si="63"/>
        <v>0</v>
      </c>
      <c r="K512" s="69">
        <f t="shared" si="68"/>
        <v>0</v>
      </c>
      <c r="L512" s="69">
        <f t="shared" si="69"/>
        <v>0</v>
      </c>
      <c r="M512" s="69">
        <f t="shared" si="71"/>
        <v>0</v>
      </c>
      <c r="N512" s="67">
        <f t="shared" si="70"/>
        <v>0</v>
      </c>
    </row>
    <row r="513" spans="6:14" x14ac:dyDescent="0.2">
      <c r="F513" s="67">
        <f t="shared" si="64"/>
        <v>0</v>
      </c>
      <c r="G513" s="67">
        <f t="shared" si="65"/>
        <v>0</v>
      </c>
      <c r="H513" s="67">
        <f t="shared" si="66"/>
        <v>0</v>
      </c>
      <c r="I513" s="68">
        <f t="shared" si="67"/>
        <v>0</v>
      </c>
      <c r="J513" s="68">
        <f t="shared" si="63"/>
        <v>0</v>
      </c>
      <c r="K513" s="69">
        <f t="shared" si="68"/>
        <v>0</v>
      </c>
      <c r="L513" s="69">
        <f t="shared" si="69"/>
        <v>0</v>
      </c>
      <c r="M513" s="69">
        <f t="shared" si="71"/>
        <v>0</v>
      </c>
      <c r="N513" s="67">
        <f t="shared" si="70"/>
        <v>0</v>
      </c>
    </row>
    <row r="514" spans="6:14" x14ac:dyDescent="0.2">
      <c r="F514" s="67">
        <f t="shared" si="64"/>
        <v>0</v>
      </c>
      <c r="G514" s="67">
        <f t="shared" si="65"/>
        <v>0</v>
      </c>
      <c r="H514" s="67">
        <f t="shared" si="66"/>
        <v>0</v>
      </c>
      <c r="I514" s="68">
        <f t="shared" si="67"/>
        <v>0</v>
      </c>
      <c r="J514" s="68">
        <f t="shared" si="63"/>
        <v>0</v>
      </c>
      <c r="K514" s="69">
        <f t="shared" si="68"/>
        <v>0</v>
      </c>
      <c r="L514" s="69">
        <f t="shared" si="69"/>
        <v>0</v>
      </c>
      <c r="M514" s="69">
        <f t="shared" si="71"/>
        <v>0</v>
      </c>
      <c r="N514" s="67">
        <f t="shared" si="70"/>
        <v>0</v>
      </c>
    </row>
    <row r="515" spans="6:14" x14ac:dyDescent="0.2">
      <c r="F515" s="67">
        <f t="shared" si="64"/>
        <v>0</v>
      </c>
      <c r="G515" s="67">
        <f t="shared" si="65"/>
        <v>0</v>
      </c>
      <c r="H515" s="67">
        <f t="shared" si="66"/>
        <v>0</v>
      </c>
      <c r="I515" s="68">
        <f t="shared" si="67"/>
        <v>0</v>
      </c>
      <c r="J515" s="68">
        <f t="shared" si="63"/>
        <v>0</v>
      </c>
      <c r="K515" s="69">
        <f t="shared" si="68"/>
        <v>0</v>
      </c>
      <c r="L515" s="69">
        <f t="shared" si="69"/>
        <v>0</v>
      </c>
      <c r="M515" s="69">
        <f t="shared" si="71"/>
        <v>0</v>
      </c>
      <c r="N515" s="67">
        <f t="shared" si="70"/>
        <v>0</v>
      </c>
    </row>
    <row r="516" spans="6:14" x14ac:dyDescent="0.2">
      <c r="F516" s="67">
        <f t="shared" si="64"/>
        <v>0</v>
      </c>
      <c r="G516" s="67">
        <f t="shared" si="65"/>
        <v>0</v>
      </c>
      <c r="H516" s="67">
        <f t="shared" si="66"/>
        <v>0</v>
      </c>
      <c r="I516" s="68">
        <f t="shared" si="67"/>
        <v>0</v>
      </c>
      <c r="J516" s="68">
        <f t="shared" si="63"/>
        <v>0</v>
      </c>
      <c r="K516" s="69">
        <f t="shared" si="68"/>
        <v>0</v>
      </c>
      <c r="L516" s="69">
        <f t="shared" si="69"/>
        <v>0</v>
      </c>
      <c r="M516" s="69">
        <f t="shared" si="71"/>
        <v>0</v>
      </c>
      <c r="N516" s="67">
        <f t="shared" si="70"/>
        <v>0</v>
      </c>
    </row>
    <row r="517" spans="6:14" x14ac:dyDescent="0.2">
      <c r="F517" s="67">
        <f t="shared" si="64"/>
        <v>0</v>
      </c>
      <c r="G517" s="67">
        <f t="shared" si="65"/>
        <v>0</v>
      </c>
      <c r="H517" s="67">
        <f t="shared" si="66"/>
        <v>0</v>
      </c>
      <c r="I517" s="68">
        <f t="shared" si="67"/>
        <v>0</v>
      </c>
      <c r="J517" s="68">
        <f t="shared" si="63"/>
        <v>0</v>
      </c>
      <c r="K517" s="69">
        <f t="shared" si="68"/>
        <v>0</v>
      </c>
      <c r="L517" s="69">
        <f t="shared" si="69"/>
        <v>0</v>
      </c>
      <c r="M517" s="69">
        <f t="shared" si="71"/>
        <v>0</v>
      </c>
      <c r="N517" s="67">
        <f t="shared" si="70"/>
        <v>0</v>
      </c>
    </row>
    <row r="518" spans="6:14" x14ac:dyDescent="0.2">
      <c r="F518" s="67">
        <f t="shared" si="64"/>
        <v>0</v>
      </c>
      <c r="G518" s="67">
        <f t="shared" si="65"/>
        <v>0</v>
      </c>
      <c r="H518" s="67">
        <f t="shared" si="66"/>
        <v>0</v>
      </c>
      <c r="I518" s="68">
        <f t="shared" si="67"/>
        <v>0</v>
      </c>
      <c r="J518" s="68">
        <f t="shared" si="63"/>
        <v>0</v>
      </c>
      <c r="K518" s="69">
        <f t="shared" si="68"/>
        <v>0</v>
      </c>
      <c r="L518" s="69">
        <f t="shared" si="69"/>
        <v>0</v>
      </c>
      <c r="M518" s="69">
        <f t="shared" si="71"/>
        <v>0</v>
      </c>
      <c r="N518" s="67">
        <f t="shared" si="70"/>
        <v>0</v>
      </c>
    </row>
    <row r="519" spans="6:14" x14ac:dyDescent="0.2">
      <c r="F519" s="67">
        <f t="shared" si="64"/>
        <v>0</v>
      </c>
      <c r="G519" s="67">
        <f t="shared" si="65"/>
        <v>0</v>
      </c>
      <c r="H519" s="67">
        <f t="shared" si="66"/>
        <v>0</v>
      </c>
      <c r="I519" s="68">
        <f t="shared" si="67"/>
        <v>0</v>
      </c>
      <c r="J519" s="68">
        <f t="shared" si="63"/>
        <v>0</v>
      </c>
      <c r="K519" s="69">
        <f t="shared" si="68"/>
        <v>0</v>
      </c>
      <c r="L519" s="69">
        <f t="shared" si="69"/>
        <v>0</v>
      </c>
      <c r="M519" s="69">
        <f t="shared" si="71"/>
        <v>0</v>
      </c>
      <c r="N519" s="67">
        <f t="shared" si="70"/>
        <v>0</v>
      </c>
    </row>
    <row r="520" spans="6:14" x14ac:dyDescent="0.2">
      <c r="F520" s="67">
        <f t="shared" si="64"/>
        <v>0</v>
      </c>
      <c r="G520" s="67">
        <f t="shared" si="65"/>
        <v>0</v>
      </c>
      <c r="H520" s="67">
        <f t="shared" si="66"/>
        <v>0</v>
      </c>
      <c r="I520" s="68">
        <f t="shared" si="67"/>
        <v>0</v>
      </c>
      <c r="J520" s="68">
        <f t="shared" si="63"/>
        <v>0</v>
      </c>
      <c r="K520" s="69">
        <f t="shared" si="68"/>
        <v>0</v>
      </c>
      <c r="L520" s="69">
        <f t="shared" si="69"/>
        <v>0</v>
      </c>
      <c r="M520" s="69">
        <f t="shared" si="71"/>
        <v>0</v>
      </c>
      <c r="N520" s="67">
        <f t="shared" si="70"/>
        <v>0</v>
      </c>
    </row>
    <row r="521" spans="6:14" x14ac:dyDescent="0.2">
      <c r="F521" s="67">
        <f t="shared" si="64"/>
        <v>0</v>
      </c>
      <c r="G521" s="67">
        <f t="shared" si="65"/>
        <v>0</v>
      </c>
      <c r="H521" s="67">
        <f t="shared" si="66"/>
        <v>0</v>
      </c>
      <c r="I521" s="68">
        <f t="shared" si="67"/>
        <v>0</v>
      </c>
      <c r="J521" s="68">
        <f t="shared" si="63"/>
        <v>0</v>
      </c>
      <c r="K521" s="69">
        <f t="shared" si="68"/>
        <v>0</v>
      </c>
      <c r="L521" s="69">
        <f t="shared" si="69"/>
        <v>0</v>
      </c>
      <c r="M521" s="69">
        <f t="shared" si="71"/>
        <v>0</v>
      </c>
      <c r="N521" s="67">
        <f t="shared" si="70"/>
        <v>0</v>
      </c>
    </row>
    <row r="522" spans="6:14" x14ac:dyDescent="0.2">
      <c r="F522" s="67">
        <f t="shared" si="64"/>
        <v>0</v>
      </c>
      <c r="G522" s="67">
        <f t="shared" si="65"/>
        <v>0</v>
      </c>
      <c r="H522" s="67">
        <f t="shared" si="66"/>
        <v>0</v>
      </c>
      <c r="I522" s="68">
        <f t="shared" si="67"/>
        <v>0</v>
      </c>
      <c r="J522" s="68">
        <f t="shared" si="63"/>
        <v>0</v>
      </c>
      <c r="K522" s="69">
        <f t="shared" si="68"/>
        <v>0</v>
      </c>
      <c r="L522" s="69">
        <f t="shared" si="69"/>
        <v>0</v>
      </c>
      <c r="M522" s="69">
        <f t="shared" si="71"/>
        <v>0</v>
      </c>
      <c r="N522" s="67">
        <f t="shared" si="70"/>
        <v>0</v>
      </c>
    </row>
    <row r="523" spans="6:14" x14ac:dyDescent="0.2">
      <c r="F523" s="67">
        <f t="shared" si="64"/>
        <v>0</v>
      </c>
      <c r="G523" s="67">
        <f t="shared" si="65"/>
        <v>0</v>
      </c>
      <c r="H523" s="67">
        <f t="shared" si="66"/>
        <v>0</v>
      </c>
      <c r="I523" s="68">
        <f t="shared" si="67"/>
        <v>0</v>
      </c>
      <c r="J523" s="68">
        <f t="shared" si="63"/>
        <v>0</v>
      </c>
      <c r="K523" s="69">
        <f t="shared" si="68"/>
        <v>0</v>
      </c>
      <c r="L523" s="69">
        <f t="shared" si="69"/>
        <v>0</v>
      </c>
      <c r="M523" s="69">
        <f t="shared" si="71"/>
        <v>0</v>
      </c>
      <c r="N523" s="67">
        <f t="shared" si="70"/>
        <v>0</v>
      </c>
    </row>
    <row r="524" spans="6:14" x14ac:dyDescent="0.2">
      <c r="F524" s="67">
        <f t="shared" si="64"/>
        <v>0</v>
      </c>
      <c r="G524" s="67">
        <f t="shared" si="65"/>
        <v>0</v>
      </c>
      <c r="H524" s="67">
        <f t="shared" si="66"/>
        <v>0</v>
      </c>
      <c r="I524" s="68">
        <f t="shared" si="67"/>
        <v>0</v>
      </c>
      <c r="J524" s="68">
        <f t="shared" ref="J524:J578" si="72">IF($C$14=0,0,IF(ROUND(C524,0)=0,0,SQRT(C524/$C$14)))</f>
        <v>0</v>
      </c>
      <c r="K524" s="69">
        <f t="shared" si="68"/>
        <v>0</v>
      </c>
      <c r="L524" s="69">
        <f t="shared" si="69"/>
        <v>0</v>
      </c>
      <c r="M524" s="69">
        <f t="shared" si="71"/>
        <v>0</v>
      </c>
      <c r="N524" s="67">
        <f t="shared" si="70"/>
        <v>0</v>
      </c>
    </row>
    <row r="525" spans="6:14" x14ac:dyDescent="0.2">
      <c r="F525" s="67">
        <f t="shared" si="64"/>
        <v>0</v>
      </c>
      <c r="G525" s="67">
        <f t="shared" si="65"/>
        <v>0</v>
      </c>
      <c r="H525" s="67">
        <f t="shared" si="66"/>
        <v>0</v>
      </c>
      <c r="I525" s="68">
        <f t="shared" si="67"/>
        <v>0</v>
      </c>
      <c r="J525" s="68">
        <f t="shared" si="72"/>
        <v>0</v>
      </c>
      <c r="K525" s="69">
        <f t="shared" si="68"/>
        <v>0</v>
      </c>
      <c r="L525" s="69">
        <f t="shared" si="69"/>
        <v>0</v>
      </c>
      <c r="M525" s="69">
        <f t="shared" si="71"/>
        <v>0</v>
      </c>
      <c r="N525" s="67">
        <f t="shared" si="70"/>
        <v>0</v>
      </c>
    </row>
    <row r="526" spans="6:14" x14ac:dyDescent="0.2">
      <c r="F526" s="67">
        <f t="shared" ref="F526:F578" si="73">ROUND(IF(ROUND(C526,0)=0,0,IF(D526&gt;0,251/D526,IF(ISERROR(VALUE(F525)),0,IF(C525=0,0,F525/C525*C526)))),0)</f>
        <v>0</v>
      </c>
      <c r="G526" s="67">
        <f t="shared" ref="G526:G578" si="74">IF(F526&gt;0,C526/F526/2,0)</f>
        <v>0</v>
      </c>
      <c r="H526" s="67">
        <f t="shared" ref="H526:H578" si="75">IF(G526=0,0,G526+C526/251*$B$6)</f>
        <v>0</v>
      </c>
      <c r="I526" s="68">
        <f t="shared" ref="I526:I578" si="76">IF(K526&gt;0,IF(ROUND(251/K526,0)&gt;100,100,ROUND(251/K526,0)),0)</f>
        <v>0</v>
      </c>
      <c r="J526" s="68">
        <f t="shared" si="72"/>
        <v>0</v>
      </c>
      <c r="K526" s="69">
        <f t="shared" ref="K526:K578" si="77">IF($J$11=0,0,$B$5/$J$11*J526)</f>
        <v>0</v>
      </c>
      <c r="L526" s="69">
        <f t="shared" ref="L526:L578" si="78">IF(K526=0,0,IF(B526/K526&lt;1000,1000,B526/K526))</f>
        <v>0</v>
      </c>
      <c r="M526" s="69">
        <f t="shared" si="71"/>
        <v>0</v>
      </c>
      <c r="N526" s="67">
        <f t="shared" ref="N526:N578" si="79">IF(M526=0,0,M526+C526/251*$B$7)</f>
        <v>0</v>
      </c>
    </row>
    <row r="527" spans="6:14" x14ac:dyDescent="0.2">
      <c r="F527" s="67">
        <f t="shared" si="73"/>
        <v>0</v>
      </c>
      <c r="G527" s="67">
        <f t="shared" si="74"/>
        <v>0</v>
      </c>
      <c r="H527" s="67">
        <f t="shared" si="75"/>
        <v>0</v>
      </c>
      <c r="I527" s="68">
        <f t="shared" si="76"/>
        <v>0</v>
      </c>
      <c r="J527" s="68">
        <f t="shared" si="72"/>
        <v>0</v>
      </c>
      <c r="K527" s="69">
        <f t="shared" si="77"/>
        <v>0</v>
      </c>
      <c r="L527" s="69">
        <f t="shared" si="78"/>
        <v>0</v>
      </c>
      <c r="M527" s="69">
        <f t="shared" ref="M527:M578" si="80">IF(K527&gt;0,C527/K527/2,0)</f>
        <v>0</v>
      </c>
      <c r="N527" s="67">
        <f t="shared" si="79"/>
        <v>0</v>
      </c>
    </row>
    <row r="528" spans="6:14" x14ac:dyDescent="0.2">
      <c r="F528" s="67">
        <f t="shared" si="73"/>
        <v>0</v>
      </c>
      <c r="G528" s="67">
        <f t="shared" si="74"/>
        <v>0</v>
      </c>
      <c r="H528" s="67">
        <f t="shared" si="75"/>
        <v>0</v>
      </c>
      <c r="I528" s="68">
        <f t="shared" si="76"/>
        <v>0</v>
      </c>
      <c r="J528" s="68">
        <f t="shared" si="72"/>
        <v>0</v>
      </c>
      <c r="K528" s="69">
        <f t="shared" si="77"/>
        <v>0</v>
      </c>
      <c r="L528" s="69">
        <f t="shared" si="78"/>
        <v>0</v>
      </c>
      <c r="M528" s="69">
        <f t="shared" si="80"/>
        <v>0</v>
      </c>
      <c r="N528" s="67">
        <f t="shared" si="79"/>
        <v>0</v>
      </c>
    </row>
    <row r="529" spans="6:14" x14ac:dyDescent="0.2">
      <c r="F529" s="67">
        <f t="shared" si="73"/>
        <v>0</v>
      </c>
      <c r="G529" s="67">
        <f t="shared" si="74"/>
        <v>0</v>
      </c>
      <c r="H529" s="67">
        <f t="shared" si="75"/>
        <v>0</v>
      </c>
      <c r="I529" s="68">
        <f t="shared" si="76"/>
        <v>0</v>
      </c>
      <c r="J529" s="68">
        <f t="shared" si="72"/>
        <v>0</v>
      </c>
      <c r="K529" s="69">
        <f t="shared" si="77"/>
        <v>0</v>
      </c>
      <c r="L529" s="69">
        <f t="shared" si="78"/>
        <v>0</v>
      </c>
      <c r="M529" s="69">
        <f t="shared" si="80"/>
        <v>0</v>
      </c>
      <c r="N529" s="67">
        <f t="shared" si="79"/>
        <v>0</v>
      </c>
    </row>
    <row r="530" spans="6:14" x14ac:dyDescent="0.2">
      <c r="F530" s="67">
        <f t="shared" si="73"/>
        <v>0</v>
      </c>
      <c r="G530" s="67">
        <f t="shared" si="74"/>
        <v>0</v>
      </c>
      <c r="H530" s="67">
        <f t="shared" si="75"/>
        <v>0</v>
      </c>
      <c r="I530" s="68">
        <f t="shared" si="76"/>
        <v>0</v>
      </c>
      <c r="J530" s="68">
        <f t="shared" si="72"/>
        <v>0</v>
      </c>
      <c r="K530" s="69">
        <f t="shared" si="77"/>
        <v>0</v>
      </c>
      <c r="L530" s="69">
        <f t="shared" si="78"/>
        <v>0</v>
      </c>
      <c r="M530" s="69">
        <f t="shared" si="80"/>
        <v>0</v>
      </c>
      <c r="N530" s="67">
        <f t="shared" si="79"/>
        <v>0</v>
      </c>
    </row>
    <row r="531" spans="6:14" x14ac:dyDescent="0.2">
      <c r="F531" s="67">
        <f t="shared" si="73"/>
        <v>0</v>
      </c>
      <c r="G531" s="67">
        <f t="shared" si="74"/>
        <v>0</v>
      </c>
      <c r="H531" s="67">
        <f t="shared" si="75"/>
        <v>0</v>
      </c>
      <c r="I531" s="68">
        <f t="shared" si="76"/>
        <v>0</v>
      </c>
      <c r="J531" s="68">
        <f t="shared" si="72"/>
        <v>0</v>
      </c>
      <c r="K531" s="69">
        <f t="shared" si="77"/>
        <v>0</v>
      </c>
      <c r="L531" s="69">
        <f t="shared" si="78"/>
        <v>0</v>
      </c>
      <c r="M531" s="69">
        <f t="shared" si="80"/>
        <v>0</v>
      </c>
      <c r="N531" s="67">
        <f t="shared" si="79"/>
        <v>0</v>
      </c>
    </row>
    <row r="532" spans="6:14" x14ac:dyDescent="0.2">
      <c r="F532" s="67">
        <f t="shared" si="73"/>
        <v>0</v>
      </c>
      <c r="G532" s="67">
        <f t="shared" si="74"/>
        <v>0</v>
      </c>
      <c r="H532" s="67">
        <f t="shared" si="75"/>
        <v>0</v>
      </c>
      <c r="I532" s="68">
        <f t="shared" si="76"/>
        <v>0</v>
      </c>
      <c r="J532" s="68">
        <f t="shared" si="72"/>
        <v>0</v>
      </c>
      <c r="K532" s="69">
        <f t="shared" si="77"/>
        <v>0</v>
      </c>
      <c r="L532" s="69">
        <f t="shared" si="78"/>
        <v>0</v>
      </c>
      <c r="M532" s="69">
        <f t="shared" si="80"/>
        <v>0</v>
      </c>
      <c r="N532" s="67">
        <f t="shared" si="79"/>
        <v>0</v>
      </c>
    </row>
    <row r="533" spans="6:14" x14ac:dyDescent="0.2">
      <c r="F533" s="67">
        <f t="shared" si="73"/>
        <v>0</v>
      </c>
      <c r="G533" s="67">
        <f t="shared" si="74"/>
        <v>0</v>
      </c>
      <c r="H533" s="67">
        <f t="shared" si="75"/>
        <v>0</v>
      </c>
      <c r="I533" s="68">
        <f t="shared" si="76"/>
        <v>0</v>
      </c>
      <c r="J533" s="68">
        <f t="shared" si="72"/>
        <v>0</v>
      </c>
      <c r="K533" s="69">
        <f t="shared" si="77"/>
        <v>0</v>
      </c>
      <c r="L533" s="69">
        <f t="shared" si="78"/>
        <v>0</v>
      </c>
      <c r="M533" s="69">
        <f t="shared" si="80"/>
        <v>0</v>
      </c>
      <c r="N533" s="67">
        <f t="shared" si="79"/>
        <v>0</v>
      </c>
    </row>
    <row r="534" spans="6:14" x14ac:dyDescent="0.2">
      <c r="F534" s="67">
        <f t="shared" si="73"/>
        <v>0</v>
      </c>
      <c r="G534" s="67">
        <f t="shared" si="74"/>
        <v>0</v>
      </c>
      <c r="H534" s="67">
        <f t="shared" si="75"/>
        <v>0</v>
      </c>
      <c r="I534" s="68">
        <f t="shared" si="76"/>
        <v>0</v>
      </c>
      <c r="J534" s="68">
        <f t="shared" si="72"/>
        <v>0</v>
      </c>
      <c r="K534" s="69">
        <f t="shared" si="77"/>
        <v>0</v>
      </c>
      <c r="L534" s="69">
        <f t="shared" si="78"/>
        <v>0</v>
      </c>
      <c r="M534" s="69">
        <f t="shared" si="80"/>
        <v>0</v>
      </c>
      <c r="N534" s="67">
        <f t="shared" si="79"/>
        <v>0</v>
      </c>
    </row>
    <row r="535" spans="6:14" x14ac:dyDescent="0.2">
      <c r="F535" s="67">
        <f t="shared" si="73"/>
        <v>0</v>
      </c>
      <c r="G535" s="67">
        <f t="shared" si="74"/>
        <v>0</v>
      </c>
      <c r="H535" s="67">
        <f t="shared" si="75"/>
        <v>0</v>
      </c>
      <c r="I535" s="68">
        <f t="shared" si="76"/>
        <v>0</v>
      </c>
      <c r="J535" s="68">
        <f t="shared" si="72"/>
        <v>0</v>
      </c>
      <c r="K535" s="69">
        <f t="shared" si="77"/>
        <v>0</v>
      </c>
      <c r="L535" s="69">
        <f t="shared" si="78"/>
        <v>0</v>
      </c>
      <c r="M535" s="69">
        <f t="shared" si="80"/>
        <v>0</v>
      </c>
      <c r="N535" s="67">
        <f t="shared" si="79"/>
        <v>0</v>
      </c>
    </row>
    <row r="536" spans="6:14" x14ac:dyDescent="0.2">
      <c r="F536" s="67">
        <f t="shared" si="73"/>
        <v>0</v>
      </c>
      <c r="G536" s="67">
        <f t="shared" si="74"/>
        <v>0</v>
      </c>
      <c r="H536" s="67">
        <f t="shared" si="75"/>
        <v>0</v>
      </c>
      <c r="I536" s="68">
        <f t="shared" si="76"/>
        <v>0</v>
      </c>
      <c r="J536" s="68">
        <f t="shared" si="72"/>
        <v>0</v>
      </c>
      <c r="K536" s="69">
        <f t="shared" si="77"/>
        <v>0</v>
      </c>
      <c r="L536" s="69">
        <f t="shared" si="78"/>
        <v>0</v>
      </c>
      <c r="M536" s="69">
        <f t="shared" si="80"/>
        <v>0</v>
      </c>
      <c r="N536" s="67">
        <f t="shared" si="79"/>
        <v>0</v>
      </c>
    </row>
    <row r="537" spans="6:14" x14ac:dyDescent="0.2">
      <c r="F537" s="67">
        <f t="shared" si="73"/>
        <v>0</v>
      </c>
      <c r="G537" s="67">
        <f t="shared" si="74"/>
        <v>0</v>
      </c>
      <c r="H537" s="67">
        <f t="shared" si="75"/>
        <v>0</v>
      </c>
      <c r="I537" s="68">
        <f t="shared" si="76"/>
        <v>0</v>
      </c>
      <c r="J537" s="68">
        <f t="shared" si="72"/>
        <v>0</v>
      </c>
      <c r="K537" s="69">
        <f t="shared" si="77"/>
        <v>0</v>
      </c>
      <c r="L537" s="69">
        <f t="shared" si="78"/>
        <v>0</v>
      </c>
      <c r="M537" s="69">
        <f t="shared" si="80"/>
        <v>0</v>
      </c>
      <c r="N537" s="67">
        <f t="shared" si="79"/>
        <v>0</v>
      </c>
    </row>
    <row r="538" spans="6:14" x14ac:dyDescent="0.2">
      <c r="F538" s="67">
        <f t="shared" si="73"/>
        <v>0</v>
      </c>
      <c r="G538" s="67">
        <f t="shared" si="74"/>
        <v>0</v>
      </c>
      <c r="H538" s="67">
        <f t="shared" si="75"/>
        <v>0</v>
      </c>
      <c r="I538" s="68">
        <f t="shared" si="76"/>
        <v>0</v>
      </c>
      <c r="J538" s="68">
        <f t="shared" si="72"/>
        <v>0</v>
      </c>
      <c r="K538" s="69">
        <f t="shared" si="77"/>
        <v>0</v>
      </c>
      <c r="L538" s="69">
        <f t="shared" si="78"/>
        <v>0</v>
      </c>
      <c r="M538" s="69">
        <f t="shared" si="80"/>
        <v>0</v>
      </c>
      <c r="N538" s="67">
        <f t="shared" si="79"/>
        <v>0</v>
      </c>
    </row>
    <row r="539" spans="6:14" x14ac:dyDescent="0.2">
      <c r="F539" s="67">
        <f t="shared" si="73"/>
        <v>0</v>
      </c>
      <c r="G539" s="67">
        <f t="shared" si="74"/>
        <v>0</v>
      </c>
      <c r="H539" s="67">
        <f t="shared" si="75"/>
        <v>0</v>
      </c>
      <c r="I539" s="68">
        <f t="shared" si="76"/>
        <v>0</v>
      </c>
      <c r="J539" s="68">
        <f t="shared" si="72"/>
        <v>0</v>
      </c>
      <c r="K539" s="69">
        <f t="shared" si="77"/>
        <v>0</v>
      </c>
      <c r="L539" s="69">
        <f t="shared" si="78"/>
        <v>0</v>
      </c>
      <c r="M539" s="69">
        <f t="shared" si="80"/>
        <v>0</v>
      </c>
      <c r="N539" s="67">
        <f t="shared" si="79"/>
        <v>0</v>
      </c>
    </row>
    <row r="540" spans="6:14" x14ac:dyDescent="0.2">
      <c r="F540" s="67">
        <f t="shared" si="73"/>
        <v>0</v>
      </c>
      <c r="G540" s="67">
        <f t="shared" si="74"/>
        <v>0</v>
      </c>
      <c r="H540" s="67">
        <f t="shared" si="75"/>
        <v>0</v>
      </c>
      <c r="I540" s="68">
        <f t="shared" si="76"/>
        <v>0</v>
      </c>
      <c r="J540" s="68">
        <f t="shared" si="72"/>
        <v>0</v>
      </c>
      <c r="K540" s="69">
        <f t="shared" si="77"/>
        <v>0</v>
      </c>
      <c r="L540" s="69">
        <f t="shared" si="78"/>
        <v>0</v>
      </c>
      <c r="M540" s="69">
        <f t="shared" si="80"/>
        <v>0</v>
      </c>
      <c r="N540" s="67">
        <f t="shared" si="79"/>
        <v>0</v>
      </c>
    </row>
    <row r="541" spans="6:14" x14ac:dyDescent="0.2">
      <c r="F541" s="67">
        <f t="shared" si="73"/>
        <v>0</v>
      </c>
      <c r="G541" s="67">
        <f t="shared" si="74"/>
        <v>0</v>
      </c>
      <c r="H541" s="67">
        <f t="shared" si="75"/>
        <v>0</v>
      </c>
      <c r="I541" s="68">
        <f t="shared" si="76"/>
        <v>0</v>
      </c>
      <c r="J541" s="68">
        <f t="shared" si="72"/>
        <v>0</v>
      </c>
      <c r="K541" s="69">
        <f t="shared" si="77"/>
        <v>0</v>
      </c>
      <c r="L541" s="69">
        <f t="shared" si="78"/>
        <v>0</v>
      </c>
      <c r="M541" s="69">
        <f t="shared" si="80"/>
        <v>0</v>
      </c>
      <c r="N541" s="67">
        <f t="shared" si="79"/>
        <v>0</v>
      </c>
    </row>
    <row r="542" spans="6:14" x14ac:dyDescent="0.2">
      <c r="F542" s="67">
        <f t="shared" si="73"/>
        <v>0</v>
      </c>
      <c r="G542" s="67">
        <f t="shared" si="74"/>
        <v>0</v>
      </c>
      <c r="H542" s="67">
        <f t="shared" si="75"/>
        <v>0</v>
      </c>
      <c r="I542" s="68">
        <f t="shared" si="76"/>
        <v>0</v>
      </c>
      <c r="J542" s="68">
        <f t="shared" si="72"/>
        <v>0</v>
      </c>
      <c r="K542" s="69">
        <f t="shared" si="77"/>
        <v>0</v>
      </c>
      <c r="L542" s="69">
        <f t="shared" si="78"/>
        <v>0</v>
      </c>
      <c r="M542" s="69">
        <f t="shared" si="80"/>
        <v>0</v>
      </c>
      <c r="N542" s="67">
        <f t="shared" si="79"/>
        <v>0</v>
      </c>
    </row>
    <row r="543" spans="6:14" x14ac:dyDescent="0.2">
      <c r="F543" s="67">
        <f t="shared" si="73"/>
        <v>0</v>
      </c>
      <c r="G543" s="67">
        <f t="shared" si="74"/>
        <v>0</v>
      </c>
      <c r="H543" s="67">
        <f t="shared" si="75"/>
        <v>0</v>
      </c>
      <c r="I543" s="68">
        <f t="shared" si="76"/>
        <v>0</v>
      </c>
      <c r="J543" s="68">
        <f t="shared" si="72"/>
        <v>0</v>
      </c>
      <c r="K543" s="69">
        <f t="shared" si="77"/>
        <v>0</v>
      </c>
      <c r="L543" s="69">
        <f t="shared" si="78"/>
        <v>0</v>
      </c>
      <c r="M543" s="69">
        <f t="shared" si="80"/>
        <v>0</v>
      </c>
      <c r="N543" s="67">
        <f t="shared" si="79"/>
        <v>0</v>
      </c>
    </row>
    <row r="544" spans="6:14" x14ac:dyDescent="0.2">
      <c r="F544" s="67">
        <f t="shared" si="73"/>
        <v>0</v>
      </c>
      <c r="G544" s="67">
        <f t="shared" si="74"/>
        <v>0</v>
      </c>
      <c r="H544" s="67">
        <f t="shared" si="75"/>
        <v>0</v>
      </c>
      <c r="I544" s="68">
        <f t="shared" si="76"/>
        <v>0</v>
      </c>
      <c r="J544" s="68">
        <f t="shared" si="72"/>
        <v>0</v>
      </c>
      <c r="K544" s="69">
        <f t="shared" si="77"/>
        <v>0</v>
      </c>
      <c r="L544" s="69">
        <f t="shared" si="78"/>
        <v>0</v>
      </c>
      <c r="M544" s="69">
        <f t="shared" si="80"/>
        <v>0</v>
      </c>
      <c r="N544" s="67">
        <f t="shared" si="79"/>
        <v>0</v>
      </c>
    </row>
    <row r="545" spans="6:14" x14ac:dyDescent="0.2">
      <c r="F545" s="67">
        <f t="shared" si="73"/>
        <v>0</v>
      </c>
      <c r="G545" s="67">
        <f t="shared" si="74"/>
        <v>0</v>
      </c>
      <c r="H545" s="67">
        <f t="shared" si="75"/>
        <v>0</v>
      </c>
      <c r="I545" s="68">
        <f t="shared" si="76"/>
        <v>0</v>
      </c>
      <c r="J545" s="68">
        <f t="shared" si="72"/>
        <v>0</v>
      </c>
      <c r="K545" s="69">
        <f t="shared" si="77"/>
        <v>0</v>
      </c>
      <c r="L545" s="69">
        <f t="shared" si="78"/>
        <v>0</v>
      </c>
      <c r="M545" s="69">
        <f t="shared" si="80"/>
        <v>0</v>
      </c>
      <c r="N545" s="67">
        <f t="shared" si="79"/>
        <v>0</v>
      </c>
    </row>
    <row r="546" spans="6:14" x14ac:dyDescent="0.2">
      <c r="F546" s="67">
        <f t="shared" si="73"/>
        <v>0</v>
      </c>
      <c r="G546" s="67">
        <f t="shared" si="74"/>
        <v>0</v>
      </c>
      <c r="H546" s="67">
        <f t="shared" si="75"/>
        <v>0</v>
      </c>
      <c r="I546" s="68">
        <f t="shared" si="76"/>
        <v>0</v>
      </c>
      <c r="J546" s="68">
        <f t="shared" si="72"/>
        <v>0</v>
      </c>
      <c r="K546" s="69">
        <f t="shared" si="77"/>
        <v>0</v>
      </c>
      <c r="L546" s="69">
        <f t="shared" si="78"/>
        <v>0</v>
      </c>
      <c r="M546" s="69">
        <f t="shared" si="80"/>
        <v>0</v>
      </c>
      <c r="N546" s="67">
        <f t="shared" si="79"/>
        <v>0</v>
      </c>
    </row>
    <row r="547" spans="6:14" x14ac:dyDescent="0.2">
      <c r="F547" s="67">
        <f t="shared" si="73"/>
        <v>0</v>
      </c>
      <c r="G547" s="67">
        <f t="shared" si="74"/>
        <v>0</v>
      </c>
      <c r="H547" s="67">
        <f t="shared" si="75"/>
        <v>0</v>
      </c>
      <c r="I547" s="68">
        <f t="shared" si="76"/>
        <v>0</v>
      </c>
      <c r="J547" s="68">
        <f t="shared" si="72"/>
        <v>0</v>
      </c>
      <c r="K547" s="69">
        <f t="shared" si="77"/>
        <v>0</v>
      </c>
      <c r="L547" s="69">
        <f t="shared" si="78"/>
        <v>0</v>
      </c>
      <c r="M547" s="69">
        <f t="shared" si="80"/>
        <v>0</v>
      </c>
      <c r="N547" s="67">
        <f t="shared" si="79"/>
        <v>0</v>
      </c>
    </row>
    <row r="548" spans="6:14" x14ac:dyDescent="0.2">
      <c r="F548" s="67">
        <f t="shared" si="73"/>
        <v>0</v>
      </c>
      <c r="G548" s="67">
        <f t="shared" si="74"/>
        <v>0</v>
      </c>
      <c r="H548" s="67">
        <f t="shared" si="75"/>
        <v>0</v>
      </c>
      <c r="I548" s="68">
        <f t="shared" si="76"/>
        <v>0</v>
      </c>
      <c r="J548" s="68">
        <f t="shared" si="72"/>
        <v>0</v>
      </c>
      <c r="K548" s="69">
        <f t="shared" si="77"/>
        <v>0</v>
      </c>
      <c r="L548" s="69">
        <f t="shared" si="78"/>
        <v>0</v>
      </c>
      <c r="M548" s="69">
        <f t="shared" si="80"/>
        <v>0</v>
      </c>
      <c r="N548" s="67">
        <f t="shared" si="79"/>
        <v>0</v>
      </c>
    </row>
    <row r="549" spans="6:14" x14ac:dyDescent="0.2">
      <c r="F549" s="67">
        <f t="shared" si="73"/>
        <v>0</v>
      </c>
      <c r="G549" s="67">
        <f t="shared" si="74"/>
        <v>0</v>
      </c>
      <c r="H549" s="67">
        <f t="shared" si="75"/>
        <v>0</v>
      </c>
      <c r="I549" s="68">
        <f t="shared" si="76"/>
        <v>0</v>
      </c>
      <c r="J549" s="68">
        <f t="shared" si="72"/>
        <v>0</v>
      </c>
      <c r="K549" s="69">
        <f t="shared" si="77"/>
        <v>0</v>
      </c>
      <c r="L549" s="69">
        <f t="shared" si="78"/>
        <v>0</v>
      </c>
      <c r="M549" s="69">
        <f t="shared" si="80"/>
        <v>0</v>
      </c>
      <c r="N549" s="67">
        <f t="shared" si="79"/>
        <v>0</v>
      </c>
    </row>
    <row r="550" spans="6:14" x14ac:dyDescent="0.2">
      <c r="F550" s="67">
        <f t="shared" si="73"/>
        <v>0</v>
      </c>
      <c r="G550" s="67">
        <f t="shared" si="74"/>
        <v>0</v>
      </c>
      <c r="H550" s="67">
        <f t="shared" si="75"/>
        <v>0</v>
      </c>
      <c r="I550" s="68">
        <f t="shared" si="76"/>
        <v>0</v>
      </c>
      <c r="J550" s="68">
        <f t="shared" si="72"/>
        <v>0</v>
      </c>
      <c r="K550" s="69">
        <f t="shared" si="77"/>
        <v>0</v>
      </c>
      <c r="L550" s="69">
        <f t="shared" si="78"/>
        <v>0</v>
      </c>
      <c r="M550" s="69">
        <f t="shared" si="80"/>
        <v>0</v>
      </c>
      <c r="N550" s="67">
        <f t="shared" si="79"/>
        <v>0</v>
      </c>
    </row>
    <row r="551" spans="6:14" x14ac:dyDescent="0.2">
      <c r="F551" s="67">
        <f t="shared" si="73"/>
        <v>0</v>
      </c>
      <c r="G551" s="67">
        <f t="shared" si="74"/>
        <v>0</v>
      </c>
      <c r="H551" s="67">
        <f t="shared" si="75"/>
        <v>0</v>
      </c>
      <c r="I551" s="68">
        <f t="shared" si="76"/>
        <v>0</v>
      </c>
      <c r="J551" s="68">
        <f t="shared" si="72"/>
        <v>0</v>
      </c>
      <c r="K551" s="69">
        <f t="shared" si="77"/>
        <v>0</v>
      </c>
      <c r="L551" s="69">
        <f t="shared" si="78"/>
        <v>0</v>
      </c>
      <c r="M551" s="69">
        <f t="shared" si="80"/>
        <v>0</v>
      </c>
      <c r="N551" s="67">
        <f t="shared" si="79"/>
        <v>0</v>
      </c>
    </row>
    <row r="552" spans="6:14" x14ac:dyDescent="0.2">
      <c r="F552" s="67">
        <f t="shared" si="73"/>
        <v>0</v>
      </c>
      <c r="G552" s="67">
        <f t="shared" si="74"/>
        <v>0</v>
      </c>
      <c r="H552" s="67">
        <f t="shared" si="75"/>
        <v>0</v>
      </c>
      <c r="I552" s="68">
        <f t="shared" si="76"/>
        <v>0</v>
      </c>
      <c r="J552" s="68">
        <f t="shared" si="72"/>
        <v>0</v>
      </c>
      <c r="K552" s="69">
        <f t="shared" si="77"/>
        <v>0</v>
      </c>
      <c r="L552" s="69">
        <f t="shared" si="78"/>
        <v>0</v>
      </c>
      <c r="M552" s="69">
        <f t="shared" si="80"/>
        <v>0</v>
      </c>
      <c r="N552" s="67">
        <f t="shared" si="79"/>
        <v>0</v>
      </c>
    </row>
    <row r="553" spans="6:14" x14ac:dyDescent="0.2">
      <c r="F553" s="67">
        <f t="shared" si="73"/>
        <v>0</v>
      </c>
      <c r="G553" s="67">
        <f t="shared" si="74"/>
        <v>0</v>
      </c>
      <c r="H553" s="67">
        <f t="shared" si="75"/>
        <v>0</v>
      </c>
      <c r="I553" s="68">
        <f t="shared" si="76"/>
        <v>0</v>
      </c>
      <c r="J553" s="68">
        <f t="shared" si="72"/>
        <v>0</v>
      </c>
      <c r="K553" s="69">
        <f t="shared" si="77"/>
        <v>0</v>
      </c>
      <c r="L553" s="69">
        <f t="shared" si="78"/>
        <v>0</v>
      </c>
      <c r="M553" s="69">
        <f t="shared" si="80"/>
        <v>0</v>
      </c>
      <c r="N553" s="67">
        <f t="shared" si="79"/>
        <v>0</v>
      </c>
    </row>
    <row r="554" spans="6:14" x14ac:dyDescent="0.2">
      <c r="F554" s="67">
        <f t="shared" si="73"/>
        <v>0</v>
      </c>
      <c r="G554" s="67">
        <f t="shared" si="74"/>
        <v>0</v>
      </c>
      <c r="H554" s="67">
        <f t="shared" si="75"/>
        <v>0</v>
      </c>
      <c r="I554" s="68">
        <f t="shared" si="76"/>
        <v>0</v>
      </c>
      <c r="J554" s="68">
        <f t="shared" si="72"/>
        <v>0</v>
      </c>
      <c r="K554" s="69">
        <f t="shared" si="77"/>
        <v>0</v>
      </c>
      <c r="L554" s="69">
        <f t="shared" si="78"/>
        <v>0</v>
      </c>
      <c r="M554" s="69">
        <f t="shared" si="80"/>
        <v>0</v>
      </c>
      <c r="N554" s="67">
        <f t="shared" si="79"/>
        <v>0</v>
      </c>
    </row>
    <row r="555" spans="6:14" x14ac:dyDescent="0.2">
      <c r="F555" s="67">
        <f t="shared" si="73"/>
        <v>0</v>
      </c>
      <c r="G555" s="67">
        <f t="shared" si="74"/>
        <v>0</v>
      </c>
      <c r="H555" s="67">
        <f t="shared" si="75"/>
        <v>0</v>
      </c>
      <c r="I555" s="68">
        <f t="shared" si="76"/>
        <v>0</v>
      </c>
      <c r="J555" s="68">
        <f t="shared" si="72"/>
        <v>0</v>
      </c>
      <c r="K555" s="69">
        <f t="shared" si="77"/>
        <v>0</v>
      </c>
      <c r="L555" s="69">
        <f t="shared" si="78"/>
        <v>0</v>
      </c>
      <c r="M555" s="69">
        <f t="shared" si="80"/>
        <v>0</v>
      </c>
      <c r="N555" s="67">
        <f t="shared" si="79"/>
        <v>0</v>
      </c>
    </row>
    <row r="556" spans="6:14" x14ac:dyDescent="0.2">
      <c r="F556" s="67">
        <f t="shared" si="73"/>
        <v>0</v>
      </c>
      <c r="G556" s="67">
        <f t="shared" si="74"/>
        <v>0</v>
      </c>
      <c r="H556" s="67">
        <f t="shared" si="75"/>
        <v>0</v>
      </c>
      <c r="I556" s="68">
        <f t="shared" si="76"/>
        <v>0</v>
      </c>
      <c r="J556" s="68">
        <f t="shared" si="72"/>
        <v>0</v>
      </c>
      <c r="K556" s="69">
        <f t="shared" si="77"/>
        <v>0</v>
      </c>
      <c r="L556" s="69">
        <f t="shared" si="78"/>
        <v>0</v>
      </c>
      <c r="M556" s="69">
        <f t="shared" si="80"/>
        <v>0</v>
      </c>
      <c r="N556" s="67">
        <f t="shared" si="79"/>
        <v>0</v>
      </c>
    </row>
    <row r="557" spans="6:14" x14ac:dyDescent="0.2">
      <c r="F557" s="67">
        <f t="shared" si="73"/>
        <v>0</v>
      </c>
      <c r="G557" s="67">
        <f t="shared" si="74"/>
        <v>0</v>
      </c>
      <c r="H557" s="67">
        <f t="shared" si="75"/>
        <v>0</v>
      </c>
      <c r="I557" s="68">
        <f t="shared" si="76"/>
        <v>0</v>
      </c>
      <c r="J557" s="68">
        <f t="shared" si="72"/>
        <v>0</v>
      </c>
      <c r="K557" s="69">
        <f t="shared" si="77"/>
        <v>0</v>
      </c>
      <c r="L557" s="69">
        <f t="shared" si="78"/>
        <v>0</v>
      </c>
      <c r="M557" s="69">
        <f t="shared" si="80"/>
        <v>0</v>
      </c>
      <c r="N557" s="67">
        <f t="shared" si="79"/>
        <v>0</v>
      </c>
    </row>
    <row r="558" spans="6:14" x14ac:dyDescent="0.2">
      <c r="F558" s="67">
        <f t="shared" si="73"/>
        <v>0</v>
      </c>
      <c r="G558" s="67">
        <f t="shared" si="74"/>
        <v>0</v>
      </c>
      <c r="H558" s="67">
        <f t="shared" si="75"/>
        <v>0</v>
      </c>
      <c r="I558" s="68">
        <f t="shared" si="76"/>
        <v>0</v>
      </c>
      <c r="J558" s="68">
        <f t="shared" si="72"/>
        <v>0</v>
      </c>
      <c r="K558" s="69">
        <f t="shared" si="77"/>
        <v>0</v>
      </c>
      <c r="L558" s="69">
        <f t="shared" si="78"/>
        <v>0</v>
      </c>
      <c r="M558" s="69">
        <f t="shared" si="80"/>
        <v>0</v>
      </c>
      <c r="N558" s="67">
        <f t="shared" si="79"/>
        <v>0</v>
      </c>
    </row>
    <row r="559" spans="6:14" x14ac:dyDescent="0.2">
      <c r="F559" s="67">
        <f t="shared" si="73"/>
        <v>0</v>
      </c>
      <c r="G559" s="67">
        <f t="shared" si="74"/>
        <v>0</v>
      </c>
      <c r="H559" s="67">
        <f t="shared" si="75"/>
        <v>0</v>
      </c>
      <c r="I559" s="68">
        <f t="shared" si="76"/>
        <v>0</v>
      </c>
      <c r="J559" s="68">
        <f t="shared" si="72"/>
        <v>0</v>
      </c>
      <c r="K559" s="69">
        <f t="shared" si="77"/>
        <v>0</v>
      </c>
      <c r="L559" s="69">
        <f t="shared" si="78"/>
        <v>0</v>
      </c>
      <c r="M559" s="69">
        <f t="shared" si="80"/>
        <v>0</v>
      </c>
      <c r="N559" s="67">
        <f t="shared" si="79"/>
        <v>0</v>
      </c>
    </row>
    <row r="560" spans="6:14" x14ac:dyDescent="0.2">
      <c r="F560" s="67">
        <f t="shared" si="73"/>
        <v>0</v>
      </c>
      <c r="G560" s="67">
        <f t="shared" si="74"/>
        <v>0</v>
      </c>
      <c r="H560" s="67">
        <f t="shared" si="75"/>
        <v>0</v>
      </c>
      <c r="I560" s="68">
        <f t="shared" si="76"/>
        <v>0</v>
      </c>
      <c r="J560" s="68">
        <f t="shared" si="72"/>
        <v>0</v>
      </c>
      <c r="K560" s="69">
        <f t="shared" si="77"/>
        <v>0</v>
      </c>
      <c r="L560" s="69">
        <f t="shared" si="78"/>
        <v>0</v>
      </c>
      <c r="M560" s="69">
        <f t="shared" si="80"/>
        <v>0</v>
      </c>
      <c r="N560" s="67">
        <f t="shared" si="79"/>
        <v>0</v>
      </c>
    </row>
    <row r="561" spans="6:14" x14ac:dyDescent="0.2">
      <c r="F561" s="67">
        <f t="shared" si="73"/>
        <v>0</v>
      </c>
      <c r="G561" s="67">
        <f t="shared" si="74"/>
        <v>0</v>
      </c>
      <c r="H561" s="67">
        <f t="shared" si="75"/>
        <v>0</v>
      </c>
      <c r="I561" s="68">
        <f t="shared" si="76"/>
        <v>0</v>
      </c>
      <c r="J561" s="68">
        <f t="shared" si="72"/>
        <v>0</v>
      </c>
      <c r="K561" s="69">
        <f t="shared" si="77"/>
        <v>0</v>
      </c>
      <c r="L561" s="69">
        <f t="shared" si="78"/>
        <v>0</v>
      </c>
      <c r="M561" s="69">
        <f t="shared" si="80"/>
        <v>0</v>
      </c>
      <c r="N561" s="67">
        <f t="shared" si="79"/>
        <v>0</v>
      </c>
    </row>
    <row r="562" spans="6:14" x14ac:dyDescent="0.2">
      <c r="F562" s="67">
        <f t="shared" si="73"/>
        <v>0</v>
      </c>
      <c r="G562" s="67">
        <f t="shared" si="74"/>
        <v>0</v>
      </c>
      <c r="H562" s="67">
        <f t="shared" si="75"/>
        <v>0</v>
      </c>
      <c r="I562" s="68">
        <f t="shared" si="76"/>
        <v>0</v>
      </c>
      <c r="J562" s="68">
        <f t="shared" si="72"/>
        <v>0</v>
      </c>
      <c r="K562" s="69">
        <f t="shared" si="77"/>
        <v>0</v>
      </c>
      <c r="L562" s="69">
        <f t="shared" si="78"/>
        <v>0</v>
      </c>
      <c r="M562" s="69">
        <f t="shared" si="80"/>
        <v>0</v>
      </c>
      <c r="N562" s="67">
        <f t="shared" si="79"/>
        <v>0</v>
      </c>
    </row>
    <row r="563" spans="6:14" x14ac:dyDescent="0.2">
      <c r="F563" s="67">
        <f t="shared" si="73"/>
        <v>0</v>
      </c>
      <c r="G563" s="67">
        <f t="shared" si="74"/>
        <v>0</v>
      </c>
      <c r="H563" s="67">
        <f t="shared" si="75"/>
        <v>0</v>
      </c>
      <c r="I563" s="68">
        <f t="shared" si="76"/>
        <v>0</v>
      </c>
      <c r="J563" s="68">
        <f t="shared" si="72"/>
        <v>0</v>
      </c>
      <c r="K563" s="69">
        <f t="shared" si="77"/>
        <v>0</v>
      </c>
      <c r="L563" s="69">
        <f t="shared" si="78"/>
        <v>0</v>
      </c>
      <c r="M563" s="69">
        <f t="shared" si="80"/>
        <v>0</v>
      </c>
      <c r="N563" s="67">
        <f t="shared" si="79"/>
        <v>0</v>
      </c>
    </row>
    <row r="564" spans="6:14" x14ac:dyDescent="0.2">
      <c r="F564" s="67">
        <f t="shared" si="73"/>
        <v>0</v>
      </c>
      <c r="G564" s="67">
        <f t="shared" si="74"/>
        <v>0</v>
      </c>
      <c r="H564" s="67">
        <f t="shared" si="75"/>
        <v>0</v>
      </c>
      <c r="I564" s="68">
        <f t="shared" si="76"/>
        <v>0</v>
      </c>
      <c r="J564" s="68">
        <f t="shared" si="72"/>
        <v>0</v>
      </c>
      <c r="K564" s="69">
        <f t="shared" si="77"/>
        <v>0</v>
      </c>
      <c r="L564" s="69">
        <f t="shared" si="78"/>
        <v>0</v>
      </c>
      <c r="M564" s="69">
        <f t="shared" si="80"/>
        <v>0</v>
      </c>
      <c r="N564" s="67">
        <f t="shared" si="79"/>
        <v>0</v>
      </c>
    </row>
    <row r="565" spans="6:14" x14ac:dyDescent="0.2">
      <c r="F565" s="67">
        <f t="shared" si="73"/>
        <v>0</v>
      </c>
      <c r="G565" s="67">
        <f t="shared" si="74"/>
        <v>0</v>
      </c>
      <c r="H565" s="67">
        <f t="shared" si="75"/>
        <v>0</v>
      </c>
      <c r="I565" s="68">
        <f t="shared" si="76"/>
        <v>0</v>
      </c>
      <c r="J565" s="68">
        <f t="shared" si="72"/>
        <v>0</v>
      </c>
      <c r="K565" s="69">
        <f t="shared" si="77"/>
        <v>0</v>
      </c>
      <c r="L565" s="69">
        <f t="shared" si="78"/>
        <v>0</v>
      </c>
      <c r="M565" s="69">
        <f t="shared" si="80"/>
        <v>0</v>
      </c>
      <c r="N565" s="67">
        <f t="shared" si="79"/>
        <v>0</v>
      </c>
    </row>
    <row r="566" spans="6:14" x14ac:dyDescent="0.2">
      <c r="F566" s="67">
        <f t="shared" si="73"/>
        <v>0</v>
      </c>
      <c r="G566" s="67">
        <f t="shared" si="74"/>
        <v>0</v>
      </c>
      <c r="H566" s="67">
        <f t="shared" si="75"/>
        <v>0</v>
      </c>
      <c r="I566" s="68">
        <f t="shared" si="76"/>
        <v>0</v>
      </c>
      <c r="J566" s="68">
        <f t="shared" si="72"/>
        <v>0</v>
      </c>
      <c r="K566" s="69">
        <f t="shared" si="77"/>
        <v>0</v>
      </c>
      <c r="L566" s="69">
        <f t="shared" si="78"/>
        <v>0</v>
      </c>
      <c r="M566" s="69">
        <f t="shared" si="80"/>
        <v>0</v>
      </c>
      <c r="N566" s="67">
        <f t="shared" si="79"/>
        <v>0</v>
      </c>
    </row>
    <row r="567" spans="6:14" x14ac:dyDescent="0.2">
      <c r="F567" s="67">
        <f t="shared" si="73"/>
        <v>0</v>
      </c>
      <c r="G567" s="67">
        <f t="shared" si="74"/>
        <v>0</v>
      </c>
      <c r="H567" s="67">
        <f t="shared" si="75"/>
        <v>0</v>
      </c>
      <c r="I567" s="68">
        <f t="shared" si="76"/>
        <v>0</v>
      </c>
      <c r="J567" s="68">
        <f t="shared" si="72"/>
        <v>0</v>
      </c>
      <c r="K567" s="69">
        <f t="shared" si="77"/>
        <v>0</v>
      </c>
      <c r="L567" s="69">
        <f t="shared" si="78"/>
        <v>0</v>
      </c>
      <c r="M567" s="69">
        <f t="shared" si="80"/>
        <v>0</v>
      </c>
      <c r="N567" s="67">
        <f t="shared" si="79"/>
        <v>0</v>
      </c>
    </row>
    <row r="568" spans="6:14" x14ac:dyDescent="0.2">
      <c r="F568" s="67">
        <f t="shared" si="73"/>
        <v>0</v>
      </c>
      <c r="G568" s="67">
        <f t="shared" si="74"/>
        <v>0</v>
      </c>
      <c r="H568" s="67">
        <f t="shared" si="75"/>
        <v>0</v>
      </c>
      <c r="I568" s="68">
        <f t="shared" si="76"/>
        <v>0</v>
      </c>
      <c r="J568" s="68">
        <f t="shared" si="72"/>
        <v>0</v>
      </c>
      <c r="K568" s="69">
        <f t="shared" si="77"/>
        <v>0</v>
      </c>
      <c r="L568" s="69">
        <f t="shared" si="78"/>
        <v>0</v>
      </c>
      <c r="M568" s="69">
        <f t="shared" si="80"/>
        <v>0</v>
      </c>
      <c r="N568" s="67">
        <f t="shared" si="79"/>
        <v>0</v>
      </c>
    </row>
    <row r="569" spans="6:14" x14ac:dyDescent="0.2">
      <c r="F569" s="67">
        <f t="shared" si="73"/>
        <v>0</v>
      </c>
      <c r="G569" s="67">
        <f t="shared" si="74"/>
        <v>0</v>
      </c>
      <c r="H569" s="67">
        <f t="shared" si="75"/>
        <v>0</v>
      </c>
      <c r="I569" s="68">
        <f t="shared" si="76"/>
        <v>0</v>
      </c>
      <c r="J569" s="68">
        <f t="shared" si="72"/>
        <v>0</v>
      </c>
      <c r="K569" s="69">
        <f t="shared" si="77"/>
        <v>0</v>
      </c>
      <c r="L569" s="69">
        <f t="shared" si="78"/>
        <v>0</v>
      </c>
      <c r="M569" s="69">
        <f t="shared" si="80"/>
        <v>0</v>
      </c>
      <c r="N569" s="67">
        <f t="shared" si="79"/>
        <v>0</v>
      </c>
    </row>
    <row r="570" spans="6:14" x14ac:dyDescent="0.2">
      <c r="F570" s="67">
        <f t="shared" si="73"/>
        <v>0</v>
      </c>
      <c r="G570" s="67">
        <f t="shared" si="74"/>
        <v>0</v>
      </c>
      <c r="H570" s="67">
        <f t="shared" si="75"/>
        <v>0</v>
      </c>
      <c r="I570" s="68">
        <f t="shared" si="76"/>
        <v>0</v>
      </c>
      <c r="J570" s="68">
        <f t="shared" si="72"/>
        <v>0</v>
      </c>
      <c r="K570" s="69">
        <f t="shared" si="77"/>
        <v>0</v>
      </c>
      <c r="L570" s="69">
        <f t="shared" si="78"/>
        <v>0</v>
      </c>
      <c r="M570" s="69">
        <f t="shared" si="80"/>
        <v>0</v>
      </c>
      <c r="N570" s="67">
        <f t="shared" si="79"/>
        <v>0</v>
      </c>
    </row>
    <row r="571" spans="6:14" x14ac:dyDescent="0.2">
      <c r="F571" s="67">
        <f t="shared" si="73"/>
        <v>0</v>
      </c>
      <c r="G571" s="67">
        <f t="shared" si="74"/>
        <v>0</v>
      </c>
      <c r="H571" s="67">
        <f t="shared" si="75"/>
        <v>0</v>
      </c>
      <c r="I571" s="68">
        <f t="shared" si="76"/>
        <v>0</v>
      </c>
      <c r="J571" s="68">
        <f t="shared" si="72"/>
        <v>0</v>
      </c>
      <c r="K571" s="69">
        <f t="shared" si="77"/>
        <v>0</v>
      </c>
      <c r="L571" s="69">
        <f t="shared" si="78"/>
        <v>0</v>
      </c>
      <c r="M571" s="69">
        <f t="shared" si="80"/>
        <v>0</v>
      </c>
      <c r="N571" s="67">
        <f t="shared" si="79"/>
        <v>0</v>
      </c>
    </row>
    <row r="572" spans="6:14" x14ac:dyDescent="0.2">
      <c r="F572" s="67">
        <f t="shared" si="73"/>
        <v>0</v>
      </c>
      <c r="G572" s="67">
        <f t="shared" si="74"/>
        <v>0</v>
      </c>
      <c r="H572" s="67">
        <f t="shared" si="75"/>
        <v>0</v>
      </c>
      <c r="I572" s="68">
        <f t="shared" si="76"/>
        <v>0</v>
      </c>
      <c r="J572" s="68">
        <f t="shared" si="72"/>
        <v>0</v>
      </c>
      <c r="K572" s="69">
        <f t="shared" si="77"/>
        <v>0</v>
      </c>
      <c r="L572" s="69">
        <f t="shared" si="78"/>
        <v>0</v>
      </c>
      <c r="M572" s="69">
        <f t="shared" si="80"/>
        <v>0</v>
      </c>
      <c r="N572" s="67">
        <f t="shared" si="79"/>
        <v>0</v>
      </c>
    </row>
    <row r="573" spans="6:14" x14ac:dyDescent="0.2">
      <c r="F573" s="67">
        <f t="shared" si="73"/>
        <v>0</v>
      </c>
      <c r="G573" s="67">
        <f t="shared" si="74"/>
        <v>0</v>
      </c>
      <c r="H573" s="67">
        <f t="shared" si="75"/>
        <v>0</v>
      </c>
      <c r="I573" s="68">
        <f t="shared" si="76"/>
        <v>0</v>
      </c>
      <c r="J573" s="68">
        <f t="shared" si="72"/>
        <v>0</v>
      </c>
      <c r="K573" s="69">
        <f t="shared" si="77"/>
        <v>0</v>
      </c>
      <c r="L573" s="69">
        <f t="shared" si="78"/>
        <v>0</v>
      </c>
      <c r="M573" s="69">
        <f t="shared" si="80"/>
        <v>0</v>
      </c>
      <c r="N573" s="67">
        <f t="shared" si="79"/>
        <v>0</v>
      </c>
    </row>
    <row r="574" spans="6:14" x14ac:dyDescent="0.2">
      <c r="F574" s="67">
        <f t="shared" si="73"/>
        <v>0</v>
      </c>
      <c r="G574" s="67">
        <f t="shared" si="74"/>
        <v>0</v>
      </c>
      <c r="H574" s="67">
        <f t="shared" si="75"/>
        <v>0</v>
      </c>
      <c r="I574" s="68">
        <f t="shared" si="76"/>
        <v>0</v>
      </c>
      <c r="J574" s="68">
        <f t="shared" si="72"/>
        <v>0</v>
      </c>
      <c r="K574" s="69">
        <f t="shared" si="77"/>
        <v>0</v>
      </c>
      <c r="L574" s="69">
        <f t="shared" si="78"/>
        <v>0</v>
      </c>
      <c r="M574" s="69">
        <f t="shared" si="80"/>
        <v>0</v>
      </c>
      <c r="N574" s="67">
        <f t="shared" si="79"/>
        <v>0</v>
      </c>
    </row>
    <row r="575" spans="6:14" x14ac:dyDescent="0.2">
      <c r="F575" s="67">
        <f t="shared" si="73"/>
        <v>0</v>
      </c>
      <c r="G575" s="67">
        <f t="shared" si="74"/>
        <v>0</v>
      </c>
      <c r="H575" s="67">
        <f t="shared" si="75"/>
        <v>0</v>
      </c>
      <c r="I575" s="68">
        <f t="shared" si="76"/>
        <v>0</v>
      </c>
      <c r="J575" s="68">
        <f t="shared" si="72"/>
        <v>0</v>
      </c>
      <c r="K575" s="69">
        <f t="shared" si="77"/>
        <v>0</v>
      </c>
      <c r="L575" s="69">
        <f t="shared" si="78"/>
        <v>0</v>
      </c>
      <c r="M575" s="69">
        <f t="shared" si="80"/>
        <v>0</v>
      </c>
      <c r="N575" s="67">
        <f t="shared" si="79"/>
        <v>0</v>
      </c>
    </row>
    <row r="576" spans="6:14" x14ac:dyDescent="0.2">
      <c r="F576" s="67">
        <f t="shared" si="73"/>
        <v>0</v>
      </c>
      <c r="G576" s="67">
        <f t="shared" si="74"/>
        <v>0</v>
      </c>
      <c r="H576" s="67">
        <f t="shared" si="75"/>
        <v>0</v>
      </c>
      <c r="I576" s="68">
        <f t="shared" si="76"/>
        <v>0</v>
      </c>
      <c r="J576" s="68">
        <f t="shared" si="72"/>
        <v>0</v>
      </c>
      <c r="K576" s="69">
        <f t="shared" si="77"/>
        <v>0</v>
      </c>
      <c r="L576" s="69">
        <f t="shared" si="78"/>
        <v>0</v>
      </c>
      <c r="M576" s="69">
        <f t="shared" si="80"/>
        <v>0</v>
      </c>
      <c r="N576" s="67">
        <f t="shared" si="79"/>
        <v>0</v>
      </c>
    </row>
    <row r="577" spans="6:14" x14ac:dyDescent="0.2">
      <c r="F577" s="67">
        <f t="shared" si="73"/>
        <v>0</v>
      </c>
      <c r="G577" s="67">
        <f t="shared" si="74"/>
        <v>0</v>
      </c>
      <c r="H577" s="67">
        <f t="shared" si="75"/>
        <v>0</v>
      </c>
      <c r="I577" s="68">
        <f t="shared" si="76"/>
        <v>0</v>
      </c>
      <c r="J577" s="68">
        <f t="shared" si="72"/>
        <v>0</v>
      </c>
      <c r="K577" s="69">
        <f t="shared" si="77"/>
        <v>0</v>
      </c>
      <c r="L577" s="69">
        <f t="shared" si="78"/>
        <v>0</v>
      </c>
      <c r="M577" s="69">
        <f t="shared" si="80"/>
        <v>0</v>
      </c>
      <c r="N577" s="67">
        <f t="shared" si="79"/>
        <v>0</v>
      </c>
    </row>
    <row r="578" spans="6:14" x14ac:dyDescent="0.2">
      <c r="F578" s="67">
        <f t="shared" si="73"/>
        <v>0</v>
      </c>
      <c r="G578" s="67">
        <f t="shared" si="74"/>
        <v>0</v>
      </c>
      <c r="H578" s="67">
        <f t="shared" si="75"/>
        <v>0</v>
      </c>
      <c r="I578" s="68">
        <f t="shared" si="76"/>
        <v>0</v>
      </c>
      <c r="J578" s="68">
        <f t="shared" si="72"/>
        <v>0</v>
      </c>
      <c r="K578" s="69">
        <f t="shared" si="77"/>
        <v>0</v>
      </c>
      <c r="L578" s="69">
        <f t="shared" si="78"/>
        <v>0</v>
      </c>
      <c r="M578" s="69">
        <f t="shared" si="80"/>
        <v>0</v>
      </c>
      <c r="N578" s="67">
        <f t="shared" si="79"/>
        <v>0</v>
      </c>
    </row>
  </sheetData>
  <pageMargins left="0.78740157499999996" right="0.78740157499999996" top="0.984251969" bottom="0.984251969" header="0.5" footer="0.5"/>
  <pageSetup paperSize="9" scale="85" orientation="landscape" verticalDpi="1200" r:id="rId1"/>
  <headerFooter alignWithMargins="0">
    <oddFooter xml:space="preserve">&amp;LPrinting date: &amp;D&amp;CPage &amp;P / &amp;N&amp;R&amp;F - &amp;A </oddFooter>
  </headerFooter>
  <drawing r:id="rId2"/>
  <legacy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71">
    <tabColor rgb="FFC00000"/>
    <pageSetUpPr fitToPage="1"/>
  </sheetPr>
  <dimension ref="A1:P15"/>
  <sheetViews>
    <sheetView showGridLines="0" zoomScale="85" workbookViewId="0">
      <pane xSplit="2" ySplit="12" topLeftCell="C13" activePane="bottomRight" state="frozen"/>
      <selection activeCell="I14" sqref="I14"/>
      <selection pane="topRight" activeCell="I14" sqref="I14"/>
      <selection pane="bottomLeft" activeCell="I14" sqref="I14"/>
      <selection pane="bottomRight" activeCell="C13" sqref="C13"/>
    </sheetView>
  </sheetViews>
  <sheetFormatPr defaultColWidth="11.42578125" defaultRowHeight="12.75" x14ac:dyDescent="0.2"/>
  <cols>
    <col min="1" max="1" width="16.140625" style="47" customWidth="1"/>
    <col min="2" max="2" width="37.5703125" style="47" bestFit="1" customWidth="1"/>
    <col min="3" max="3" width="7.7109375" style="47" customWidth="1"/>
    <col min="4" max="4" width="8.5703125" style="47" customWidth="1"/>
    <col min="5" max="5" width="9.5703125" style="47" customWidth="1"/>
    <col min="6" max="6" width="13.42578125" style="47" customWidth="1"/>
    <col min="7" max="7" width="6.85546875" style="47" customWidth="1"/>
    <col min="8" max="8" width="19.28515625" style="47" customWidth="1"/>
    <col min="9" max="9" width="9.85546875" style="47" customWidth="1"/>
    <col min="10" max="10" width="3.5703125" style="47" customWidth="1"/>
    <col min="11" max="11" width="8.42578125" style="47" customWidth="1"/>
    <col min="12" max="12" width="11" style="47" customWidth="1"/>
    <col min="13" max="13" width="11.42578125" style="47" customWidth="1"/>
    <col min="14" max="15" width="13.28515625" style="47" customWidth="1"/>
    <col min="16" max="16" width="13.7109375" style="47" bestFit="1" customWidth="1"/>
    <col min="17" max="28" width="11.5703125" style="47" customWidth="1"/>
    <col min="29" max="16384" width="11.42578125" style="47"/>
  </cols>
  <sheetData>
    <row r="1" spans="1:16" ht="30" customHeight="1" x14ac:dyDescent="0.3">
      <c r="A1" s="48"/>
    </row>
    <row r="2" spans="1:16" x14ac:dyDescent="0.2">
      <c r="A2" s="47">
        <f>Updated</f>
        <v>0</v>
      </c>
    </row>
    <row r="6" spans="1:16" ht="15" x14ac:dyDescent="0.25">
      <c r="A6" s="5" t="s">
        <v>1742</v>
      </c>
      <c r="B6" s="1" t="s">
        <v>1727</v>
      </c>
    </row>
    <row r="7" spans="1:16" ht="15" x14ac:dyDescent="0.25">
      <c r="A7" s="5" t="s">
        <v>57</v>
      </c>
      <c r="B7" s="1" t="s">
        <v>1727</v>
      </c>
    </row>
    <row r="8" spans="1:16" ht="15" x14ac:dyDescent="0.25">
      <c r="A8" s="5" t="s">
        <v>7</v>
      </c>
      <c r="B8" s="1" t="s">
        <v>1727</v>
      </c>
    </row>
    <row r="9" spans="1:16" ht="15" x14ac:dyDescent="0.25">
      <c r="A9" s="5" t="s">
        <v>1732</v>
      </c>
      <c r="B9" s="1" t="s">
        <v>1727</v>
      </c>
    </row>
    <row r="10" spans="1:16" ht="15" x14ac:dyDescent="0.25">
      <c r="A10" s="5" t="s">
        <v>1740</v>
      </c>
      <c r="B10" s="1" t="s">
        <v>1727</v>
      </c>
    </row>
    <row r="12" spans="1:16" ht="15" x14ac:dyDescent="0.25">
      <c r="A12" s="6" t="s">
        <v>1756</v>
      </c>
      <c r="B12" s="6" t="s">
        <v>0</v>
      </c>
      <c r="C12" s="6" t="s">
        <v>1731</v>
      </c>
      <c r="D12" s="6" t="s">
        <v>1736</v>
      </c>
      <c r="E12" s="6" t="s">
        <v>1733</v>
      </c>
      <c r="F12" s="6" t="s">
        <v>42</v>
      </c>
      <c r="G12" s="6" t="s">
        <v>1741</v>
      </c>
      <c r="H12" s="7" t="s">
        <v>1836</v>
      </c>
      <c r="I12" s="8" t="s">
        <v>1859</v>
      </c>
      <c r="J12" s="8" t="s">
        <v>1838</v>
      </c>
      <c r="K12" s="8" t="s">
        <v>1839</v>
      </c>
      <c r="L12" s="8" t="s">
        <v>1860</v>
      </c>
      <c r="M12" s="8" t="s">
        <v>1861</v>
      </c>
      <c r="N12" s="8" t="s">
        <v>1862</v>
      </c>
      <c r="O12" s="23" t="s">
        <v>1863</v>
      </c>
    </row>
    <row r="13" spans="1:16" ht="15" x14ac:dyDescent="0.25">
      <c r="A13" s="24" t="s">
        <v>1729</v>
      </c>
      <c r="B13" s="21" t="s">
        <v>1840</v>
      </c>
      <c r="C13" s="2">
        <v>3</v>
      </c>
      <c r="D13" s="21">
        <v>1</v>
      </c>
      <c r="E13" s="2">
        <v>50007958</v>
      </c>
      <c r="F13" s="76">
        <v>40868</v>
      </c>
      <c r="G13" s="2" t="s">
        <v>1752</v>
      </c>
      <c r="H13" s="3">
        <v>4286000</v>
      </c>
      <c r="I13" s="4">
        <v>7880025.3000000007</v>
      </c>
      <c r="J13" s="4">
        <v>7</v>
      </c>
      <c r="K13" s="4">
        <v>191374</v>
      </c>
      <c r="L13" s="4">
        <v>1018176</v>
      </c>
      <c r="M13" s="4">
        <v>1871967.38</v>
      </c>
      <c r="N13" s="4">
        <v>1671.92</v>
      </c>
      <c r="O13" s="22">
        <v>1838.55</v>
      </c>
      <c r="P13" s="71"/>
    </row>
    <row r="14" spans="1:16" ht="15.75" thickBot="1" x14ac:dyDescent="0.3">
      <c r="A14" s="34" t="s">
        <v>1870</v>
      </c>
      <c r="B14" s="31"/>
      <c r="C14" s="31"/>
      <c r="D14" s="31"/>
      <c r="E14" s="31"/>
      <c r="F14" s="31"/>
      <c r="G14" s="31"/>
      <c r="H14" s="32">
        <v>4286000</v>
      </c>
      <c r="I14" s="33">
        <v>7880025.3000000007</v>
      </c>
      <c r="J14" s="33">
        <v>7</v>
      </c>
      <c r="K14" s="33">
        <v>191374</v>
      </c>
      <c r="L14" s="33">
        <v>1018176</v>
      </c>
      <c r="M14" s="33">
        <v>1871967.38</v>
      </c>
      <c r="N14" s="33">
        <v>1671.92</v>
      </c>
      <c r="O14" s="35">
        <v>1838.55</v>
      </c>
    </row>
    <row r="15" spans="1:16" ht="15.75" thickTop="1" x14ac:dyDescent="0.25">
      <c r="A15" s="79"/>
      <c r="B15" s="80"/>
      <c r="C15" s="80"/>
      <c r="D15" s="80"/>
      <c r="E15" s="80"/>
      <c r="F15" s="80"/>
      <c r="G15" s="80"/>
      <c r="H15" s="81"/>
      <c r="I15" s="86"/>
      <c r="J15" s="86"/>
      <c r="K15" s="86"/>
      <c r="L15" s="86"/>
      <c r="M15" s="86"/>
      <c r="N15" s="86"/>
      <c r="O15" s="82"/>
    </row>
  </sheetData>
  <pageMargins left="0.78740157499999996" right="0.78740157499999996" top="0.984251969" bottom="0.984251969" header="0.5" footer="0.5"/>
  <pageSetup paperSize="9" scale="72" fitToHeight="0" orientation="landscape" verticalDpi="0" r:id="rId2"/>
  <headerFooter alignWithMargins="0">
    <oddFooter xml:space="preserve">&amp;LPrinting date: &amp;D&amp;CPage &amp;P / &amp;N&amp;R&amp;F - &amp;A </oddFooter>
  </headerFooter>
  <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81">
    <tabColor rgb="FFC00000"/>
    <pageSetUpPr fitToPage="1"/>
  </sheetPr>
  <dimension ref="A1:I13"/>
  <sheetViews>
    <sheetView showGridLines="0" zoomScale="85" workbookViewId="0">
      <pane xSplit="2" ySplit="11" topLeftCell="C12" activePane="bottomRight" state="frozen"/>
      <selection activeCell="I14" sqref="I14"/>
      <selection pane="topRight" activeCell="I14" sqref="I14"/>
      <selection pane="bottomLeft" activeCell="I14" sqref="I14"/>
      <selection pane="bottomRight" activeCell="C12" sqref="C12"/>
    </sheetView>
  </sheetViews>
  <sheetFormatPr defaultColWidth="11.42578125" defaultRowHeight="12.75" x14ac:dyDescent="0.2"/>
  <cols>
    <col min="1" max="1" width="48" style="47" bestFit="1" customWidth="1"/>
    <col min="2" max="2" width="29.42578125" style="47" customWidth="1"/>
    <col min="3" max="3" width="7.85546875" style="47" customWidth="1"/>
    <col min="4" max="4" width="15.5703125" style="47" customWidth="1"/>
    <col min="5" max="5" width="8.140625" style="47" customWidth="1"/>
    <col min="6" max="6" width="8" style="47" customWidth="1"/>
    <col min="7" max="7" width="16" style="47" customWidth="1"/>
    <col min="8" max="8" width="5.7109375" style="47" customWidth="1"/>
    <col min="9" max="9" width="6.42578125" style="47" customWidth="1"/>
    <col min="10" max="16384" width="11.42578125" style="47"/>
  </cols>
  <sheetData>
    <row r="1" spans="1:9" ht="30" customHeight="1" x14ac:dyDescent="0.3">
      <c r="A1" s="48"/>
    </row>
    <row r="2" spans="1:9" x14ac:dyDescent="0.2">
      <c r="A2" s="47">
        <f>Updated</f>
        <v>0</v>
      </c>
    </row>
    <row r="8" spans="1:9" ht="15" x14ac:dyDescent="0.25">
      <c r="A8" s="5" t="s">
        <v>1732</v>
      </c>
      <c r="B8" s="1" t="s">
        <v>1727</v>
      </c>
    </row>
    <row r="10" spans="1:9" ht="15" x14ac:dyDescent="0.25">
      <c r="A10" s="72"/>
      <c r="B10" s="74"/>
      <c r="C10" s="74"/>
      <c r="D10" s="74"/>
      <c r="E10" s="87" t="s">
        <v>1865</v>
      </c>
      <c r="F10" s="74"/>
      <c r="G10" s="74"/>
      <c r="H10" s="74"/>
      <c r="I10" s="88"/>
    </row>
    <row r="11" spans="1:9" ht="15" x14ac:dyDescent="0.25">
      <c r="A11" s="87" t="s">
        <v>0</v>
      </c>
      <c r="B11" s="87" t="s">
        <v>1755</v>
      </c>
      <c r="C11" s="87" t="s">
        <v>1746</v>
      </c>
      <c r="D11" s="87" t="s">
        <v>1756</v>
      </c>
      <c r="E11" s="72" t="s">
        <v>1866</v>
      </c>
      <c r="F11" s="2" t="s">
        <v>1867</v>
      </c>
      <c r="G11" s="2" t="s">
        <v>1868</v>
      </c>
      <c r="H11" s="2" t="s">
        <v>1869</v>
      </c>
      <c r="I11" s="73" t="s">
        <v>1825</v>
      </c>
    </row>
    <row r="12" spans="1:9" ht="15" x14ac:dyDescent="0.25">
      <c r="A12" s="72" t="s">
        <v>1904</v>
      </c>
      <c r="B12" s="72" t="s">
        <v>1905</v>
      </c>
      <c r="C12" s="72" t="s">
        <v>1890</v>
      </c>
      <c r="D12" s="72" t="s">
        <v>1729</v>
      </c>
      <c r="E12" s="89">
        <v>5959</v>
      </c>
      <c r="F12" s="90"/>
      <c r="G12" s="83">
        <v>1000</v>
      </c>
      <c r="H12" s="90"/>
      <c r="I12" s="91">
        <v>1</v>
      </c>
    </row>
    <row r="13" spans="1:9" ht="15" x14ac:dyDescent="0.25">
      <c r="A13" s="100"/>
      <c r="B13" s="75" t="s">
        <v>1906</v>
      </c>
      <c r="C13" s="75" t="s">
        <v>1890</v>
      </c>
      <c r="D13" s="75" t="s">
        <v>1907</v>
      </c>
      <c r="E13" s="92">
        <v>5959</v>
      </c>
      <c r="F13" s="93"/>
      <c r="G13" s="84">
        <v>1000</v>
      </c>
      <c r="H13" s="93"/>
      <c r="I13" s="94">
        <v>1</v>
      </c>
    </row>
  </sheetData>
  <pageMargins left="0.78740157499999996" right="0.78740157499999996" top="0.984251969" bottom="0.984251969" header="0.5" footer="0.5"/>
  <pageSetup paperSize="9" scale="68" fitToHeight="0" orientation="portrait" verticalDpi="0" r:id="rId2"/>
  <headerFooter alignWithMargins="0">
    <oddFooter xml:space="preserve">&amp;LPrinting date: &amp;D&amp;CPage &amp;P / &amp;N&amp;R&amp;F - &amp;A </oddFooter>
  </headerFooter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25</vt:i4>
      </vt:variant>
    </vt:vector>
  </HeadingPairs>
  <TitlesOfParts>
    <vt:vector size="40" baseType="lpstr">
      <vt:lpstr>Database</vt:lpstr>
      <vt:lpstr>Y111_Data</vt:lpstr>
      <vt:lpstr>ExchangeRates</vt:lpstr>
      <vt:lpstr>ProductHierarchyLevels</vt:lpstr>
      <vt:lpstr>CustomerHierarchyLevels</vt:lpstr>
      <vt:lpstr>Descriptions</vt:lpstr>
      <vt:lpstr>PvtTableDef</vt:lpstr>
      <vt:lpstr>LocalLists</vt:lpstr>
      <vt:lpstr>ReportOptions</vt:lpstr>
      <vt:lpstr>Version</vt:lpstr>
      <vt:lpstr>Pivot</vt:lpstr>
      <vt:lpstr>Rapport info</vt:lpstr>
      <vt:lpstr>Lot Sizes</vt:lpstr>
      <vt:lpstr>WC_Details</vt:lpstr>
      <vt:lpstr>All_Materials</vt:lpstr>
      <vt:lpstr>CurrCO</vt:lpstr>
      <vt:lpstr>Currency</vt:lpstr>
      <vt:lpstr>CustomerHierarchy</vt:lpstr>
      <vt:lpstr>DataRange</vt:lpstr>
      <vt:lpstr>FirstSheet</vt:lpstr>
      <vt:lpstr>FirstTable</vt:lpstr>
      <vt:lpstr>MaterialPrice</vt:lpstr>
      <vt:lpstr>NewCO</vt:lpstr>
      <vt:lpstr>PasteStart</vt:lpstr>
      <vt:lpstr>'Lot Sizes'!Print_Area</vt:lpstr>
      <vt:lpstr>All_Materials!Print_Titles</vt:lpstr>
      <vt:lpstr>WC_Details!Print_Titles</vt:lpstr>
      <vt:lpstr>ProductHierarchy</vt:lpstr>
      <vt:lpstr>QuantityUnit</vt:lpstr>
      <vt:lpstr>RecNum</vt:lpstr>
      <vt:lpstr>ReportCaption</vt:lpstr>
      <vt:lpstr>ReportCaption1</vt:lpstr>
      <vt:lpstr>ReportCaption2</vt:lpstr>
      <vt:lpstr>ReportID</vt:lpstr>
      <vt:lpstr>SalesValue</vt:lpstr>
      <vt:lpstr>SapExlReportName</vt:lpstr>
      <vt:lpstr>WC_Details!ShapeQuery</vt:lpstr>
      <vt:lpstr>Time_Used</vt:lpstr>
      <vt:lpstr>Updated</vt:lpstr>
      <vt:lpstr>WC_Name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Bjørn Tømmerbakk</dc:creator>
  <cp:lastModifiedBy>Anil Kumar Bottu</cp:lastModifiedBy>
  <cp:lastPrinted>2012-10-26T21:03:07Z</cp:lastPrinted>
  <dcterms:created xsi:type="dcterms:W3CDTF">2012-10-09T11:25:20Z</dcterms:created>
  <dcterms:modified xsi:type="dcterms:W3CDTF">2015-03-23T14:05:52Z</dcterms:modified>
</cp:coreProperties>
</file>