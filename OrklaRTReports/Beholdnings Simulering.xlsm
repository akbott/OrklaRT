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9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omments5.xml" ContentType="application/vnd.openxmlformats-officedocument.spreadsheetml.comments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0.xml" ContentType="application/vnd.openxmlformats-officedocument.drawingml.chart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pivotTables/pivotTable6.xml" ContentType="application/vnd.openxmlformats-officedocument.spreadsheetml.pivotTable+xml"/>
  <Override PartName="/xl/drawings/drawing12.xml" ContentType="application/vnd.openxmlformats-officedocument.drawing+xml"/>
  <Override PartName="/xl/pivotTables/pivotTable7.xml" ContentType="application/vnd.openxmlformats-officedocument.spreadsheetml.pivotTable+xml"/>
  <Override PartName="/xl/drawings/drawing13.xml" ContentType="application/vnd.openxmlformats-officedocument.drawing+xml"/>
  <Override PartName="/xl/pivotTables/pivotTable8.xml" ContentType="application/vnd.openxmlformats-officedocument.spreadsheetml.pivotTable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rklaRT\OrklaRTReports\"/>
    </mc:Choice>
  </mc:AlternateContent>
  <workbookProtection workbookAlgorithmName="SHA-512" workbookHashValue="Hw5bEwqspRrXsyyiEpDhZdH/924HTa4Xw8WVRACZEZgXFuG+lG0+ve4cp+c9rZQ8wlqwalLUqTfHoamxOOqNlw==" workbookSaltValue="2utaYvghsBCPS3HVhzwBiw==" workbookSpinCount="100000" lockStructure="1"/>
  <bookViews>
    <workbookView xWindow="1530" yWindow="2820" windowWidth="17390" windowHeight="7440" tabRatio="934" firstSheet="13" activeTab="13"/>
  </bookViews>
  <sheets>
    <sheet name="Y084_MatData" sheetId="34" state="hidden" r:id="rId1"/>
    <sheet name="Y084_StockData" sheetId="35" state="hidden" r:id="rId2"/>
    <sheet name="MD04_Data" sheetId="36" state="hidden" r:id="rId3"/>
    <sheet name="Pvt_Req" sheetId="37" state="hidden" r:id="rId4"/>
    <sheet name="Database" sheetId="154" state="hidden" r:id="rId5"/>
    <sheet name="Y115_Data" sheetId="155" state="hidden" r:id="rId6"/>
    <sheet name="Descriptions" sheetId="8" state="hidden" r:id="rId7"/>
    <sheet name="PvtTableDef" sheetId="33" state="hidden" r:id="rId8"/>
    <sheet name="LocalLists" sheetId="24" state="hidden" r:id="rId9"/>
    <sheet name="ReportOptions" sheetId="10" state="hidden" r:id="rId10"/>
    <sheet name="Version" sheetId="5" state="hidden" r:id="rId11"/>
    <sheet name="Usage" sheetId="38" state="hidden" r:id="rId12"/>
    <sheet name="StockOut" sheetId="39" state="hidden" r:id="rId13"/>
    <sheet name="Rapport info" sheetId="1" r:id="rId14"/>
    <sheet name="Chart" sheetId="139" r:id="rId15"/>
    <sheet name="SafetyStock" sheetId="140" r:id="rId16"/>
    <sheet name="Simulation" sheetId="141" r:id="rId17"/>
    <sheet name="LogRanges" sheetId="142" state="hidden" r:id="rId18"/>
    <sheet name="Charts" sheetId="143" r:id="rId19"/>
    <sheet name="Sim_Data" sheetId="144" r:id="rId20"/>
    <sheet name="Log_LLS" sheetId="145" r:id="rId21"/>
    <sheet name="Log_Forecast" sheetId="146" r:id="rId22"/>
    <sheet name="Log_StockIn" sheetId="147" r:id="rId23"/>
    <sheet name="SourceData" sheetId="148" state="hidden" r:id="rId24"/>
    <sheet name="Material Usage Req" sheetId="149" state="hidden" r:id="rId25"/>
    <sheet name="Movement Types" sheetId="150" state="hidden" r:id="rId26"/>
    <sheet name="Stock Details" sheetId="151" state="hidden" r:id="rId27"/>
    <sheet name="Stock Dates" sheetId="152" state="hidden" r:id="rId28"/>
    <sheet name="MD04 Pivot" sheetId="153" state="hidden" r:id="rId29"/>
  </sheets>
  <definedNames>
    <definedName name="ActCov">SourceData!$S$250</definedName>
    <definedName name="AvgSafStockCov" localSheetId="23">SourceData!$T$245</definedName>
    <definedName name="ChartRange" localSheetId="1">Y084_StockData!$C$2:$G$2</definedName>
    <definedName name="cMonthErr">Simulation!$B$25</definedName>
    <definedName name="Cov_Range">SourceData!$D$210:$D$499</definedName>
    <definedName name="crAct_SL">Simulation!$B$13</definedName>
    <definedName name="crAct_Stock">Simulation!$B$9</definedName>
    <definedName name="crActStockIn">Sim_Data!$B$484</definedName>
    <definedName name="crAvgFCStock">Simulation!$F$18</definedName>
    <definedName name="crDays_Oos">Simulation!$B$11</definedName>
    <definedName name="crFcastLoops">Simulation!$F$23</definedName>
    <definedName name="crFcBase">Simulation!$F$22</definedName>
    <definedName name="crFCSafTime">Simulation!$F$24</definedName>
    <definedName name="crFCTotLY">Simulation!$F$20</definedName>
    <definedName name="crFixedLot">Simulation!$B$15</definedName>
    <definedName name="crIn_Stock">Simulation!$B$8</definedName>
    <definedName name="crKrav_SL">Simulation!#REF!</definedName>
    <definedName name="crLead_Time">Simulation!$B$5</definedName>
    <definedName name="crLot_Size">Simulation!$B$7</definedName>
    <definedName name="crRoundingValue">Simulation!$B$14</definedName>
    <definedName name="crSaf_Time">Simulation!$B$6</definedName>
    <definedName name="crSapLS">Simulation!$F$13</definedName>
    <definedName name="crSapLT">Simulation!$F$11</definedName>
    <definedName name="crSapRV">Simulation!$F$14</definedName>
    <definedName name="crSapST">Simulation!$F$12</definedName>
    <definedName name="crStockInFrom">Simulation!$D$8</definedName>
    <definedName name="crStockInTo">Simulation!$E$8</definedName>
    <definedName name="crTeo_Stock">Simulation!$B$10</definedName>
    <definedName name="crTot_Oos_Qty">Simulation!$B$12</definedName>
    <definedName name="crTotalUsage">Simulation!$E$40</definedName>
    <definedName name="crTotalUsageLY">Simulation!$D$40</definedName>
    <definedName name="crTotFC">Simulation!$C$40</definedName>
    <definedName name="Currency">ReportOptions!$B$10</definedName>
    <definedName name="CustomerHierarchy">ReportOptions!$B$7</definedName>
    <definedName name="_xlnm.Database">Database!$A$1:$AQ$3</definedName>
    <definedName name="DataPeriod">SourceData!$A$1:$J$499</definedName>
    <definedName name="DataRange">SourceData!$B$2:$E$586</definedName>
    <definedName name="Dates">SourceData!$A$250:$A$499</definedName>
    <definedName name="Dates1">SourceData!$A$2:$A$250</definedName>
    <definedName name="drActStock">Log_StockIn!$F$2:OFFSET(Log_StockIn!$F$1,COUNTA(Log_StockIn!$F$2:$F$300),0)</definedName>
    <definedName name="drAvg_actual_stock" localSheetId="21">Log_Forecast!$O$2:OFFSET(Log_Forecast!$O$1,COUNTA(Log_Forecast!$O$2:$O$1000),0)</definedName>
    <definedName name="drAvg_actual_stock" localSheetId="22">Log_StockIn!$E$2:OFFSET(Log_StockIn!$E$2,COUNTA(Log_StockIn!$E$3:$E$10000),0)</definedName>
    <definedName name="drAvg_simulated_stock" localSheetId="21">Log_Forecast!$P$2:OFFSET(Log_Forecast!$P$1,COUNTA(Log_Forecast!$P$2:$P$1000),0)</definedName>
    <definedName name="drAvg_simulated_stock" localSheetId="20">Log_LLS!$F$2:OFFSET(Log_LLS!$F$1,COUNTA(Log_LLS!$F$2:$F$1000),0)</definedName>
    <definedName name="drAvg_simulated_stock" localSheetId="22">Log_StockIn!$F$2:OFFSET(Log_StockIn!$F$2,COUNTA(Log_StockIn!$F$2:$F$10000),0)</definedName>
    <definedName name="drDays_out_of_stock" localSheetId="22">Log_StockIn!$G$1:OFFSET(Log_StockIn!$G$1,COUNTA(Log_StockIn!$G$2:$G$10000),0)</definedName>
    <definedName name="drLead_time" localSheetId="20">Log_LLS!$A$2:OFFSET(Log_LLS!$A$1,COUNTA(Log_LLS!$A$2:$A$1000),0)</definedName>
    <definedName name="drLogForecast" localSheetId="21">Log_Forecast!$A$2:OFFSET(Log_Forecast!$A$1,COUNTA(Log_Forecast!$A$2:$A$1000),16)</definedName>
    <definedName name="drQuantity_out_of_stock" localSheetId="22">Log_StockIn!$H$1:OFFSET(Log_StockIn!$H$1,COUNTA(Log_StockIn!$H$2:$H$10000),0)</definedName>
    <definedName name="drSafety_stock" localSheetId="20">Log_LLS!$B$2:OFFSET(Log_LLS!$B$1,COUNTA(Log_LLS!$B$2:$B$1000),0)</definedName>
    <definedName name="drService_Level" localSheetId="21">Log_Forecast!$N$2:OFFSET(Log_Forecast!$N$1,COUNTA(Log_Forecast!$N$2:$N$1000),0)</definedName>
    <definedName name="drService_level" localSheetId="20">Log_LLS!$J$2:OFFSET(Log_LLS!$J$1,COUNTA(Log_LLS!$J$2:$J$1000),0)</definedName>
    <definedName name="drService_level" localSheetId="22">Log_StockIn!$I$2:OFFSET(Log_StockIn!$I$2,COUNTA(Log_StockIn!$I$2:$I$10000),0)</definedName>
    <definedName name="drStock_in" localSheetId="22">Log_StockIn!$D$2:OFFSET(Log_StockIn!$D$2,COUNTA(Log_StockIn!$D$2:$D$10000),0)</definedName>
    <definedName name="drTotal_Dev" localSheetId="21">Log_Forecast!$M$2:OFFSET(Log_Forecast!$M$1,COUNTA(Log_Forecast!$M$2:$M$1000),0)</definedName>
    <definedName name="FactCal">SourceData!$K$2:$K$450</definedName>
    <definedName name="FirstSheet">Version!$B$6</definedName>
    <definedName name="FirstTable">Version!$B$7</definedName>
    <definedName name="Future_Range">SourceData!$E$210:$E$499</definedName>
    <definedName name="LeadTime">SourceData!$T$252</definedName>
    <definedName name="Material">ReportOptions!#REF!</definedName>
    <definedName name="MaterialName">Y084_MatData!$AO$1</definedName>
    <definedName name="MaterialPrice">ReportOptions!$B$5</definedName>
    <definedName name="MaxCov">SourceData!$U$250</definedName>
    <definedName name="MD04_Data">MD04_Data!$A$1:$AB$247</definedName>
    <definedName name="MD04_Fields">MD04_Data!$A$1:$U$1</definedName>
    <definedName name="MD04_Import">MD04_Data!$A$2:$U$247</definedName>
    <definedName name="MinCov">SourceData!$T$250</definedName>
    <definedName name="NewData" localSheetId="4">Database!$AQ$1</definedName>
    <definedName name="NOAR">Y084_StockData!$A$4:$N$5</definedName>
    <definedName name="NumbDays">SourceData!$T$1</definedName>
    <definedName name="Oppslag" localSheetId="4">Database!$V$1:$AF$3</definedName>
    <definedName name="PostDate" localSheetId="4">Database!$N$1</definedName>
    <definedName name="_xlnm.Print_Area" localSheetId="14">Chart!$A$1:$L$39</definedName>
    <definedName name="_xlnm.Print_Titles" localSheetId="28">'MD04 Pivot'!$11:$12</definedName>
    <definedName name="_xlnm.Print_Titles" localSheetId="25">'Movement Types'!$12:$13</definedName>
    <definedName name="_xlnm.Print_Titles" localSheetId="27">'Stock Dates'!$12:$13</definedName>
    <definedName name="_xlnm.Print_Titles" localSheetId="26">'Stock Details'!$13:$14</definedName>
    <definedName name="ProductHierarchy">ReportOptions!$B$6</definedName>
    <definedName name="QuantityUnit">ReportOptions!$B$9</definedName>
    <definedName name="Query" localSheetId="14">Chart!$A$3</definedName>
    <definedName name="rAllSourceData">SourceData!$A$250:$Q$505</definedName>
    <definedName name="rDataSource">Sim_Data!$A$236</definedName>
    <definedName name="RecNum">'Rapport info'!$K$10</definedName>
    <definedName name="ReportCaption" localSheetId="25">'Movement Types'!$B$7</definedName>
    <definedName name="ReportCaption" localSheetId="27">'Stock Dates'!$B$7</definedName>
    <definedName name="ReportCaption" localSheetId="26">'Stock Details'!$B$8</definedName>
    <definedName name="ReportCaption">Version!$B$8</definedName>
    <definedName name="ReportID">Version!$B$4</definedName>
    <definedName name="Req_Range">SourceData!$F$210:$F$499</definedName>
    <definedName name="Req_Today">SourceData!$W$250</definedName>
    <definedName name="rFcastDevLog">LogRanges!$C$5:$C$20</definedName>
    <definedName name="rFcastSource">SourceData!$C$1:$I$249</definedName>
    <definedName name="rFCLogAvg">LogRanges!$D$5:$D$16</definedName>
    <definedName name="rFCPlain">LogRanges!$F$48:$F$59</definedName>
    <definedName name="rFCStigningstall">LogRanges!$O$38:$O$49</definedName>
    <definedName name="rFCTrend1">LogRanges!$R$38:$R$49</definedName>
    <definedName name="rForecast">LogRanges!$B$26:$G$37</definedName>
    <definedName name="rForecastManual">Simulation!$B$28:$F$39</definedName>
    <definedName name="rLeadTimeLog">LogRanges!$G$5:$G$14</definedName>
    <definedName name="rLogValues">Simulation!$A$5:$B$13</definedName>
    <definedName name="rLotSizeLog">LogRanges!$J$5:$J$14</definedName>
    <definedName name="RngToDay">SourceData!$A$250</definedName>
    <definedName name="rSapMasterData">Simulation!$F$11:$F$14</definedName>
    <definedName name="rSimLeadTime">Simulation!$D$5:$F$5</definedName>
    <definedName name="rSimLotSize">Simulation!$D$7:$F$7</definedName>
    <definedName name="rSimSafStock">Simulation!$D$6:$F$6</definedName>
    <definedName name="rSimStockIn">Simulation!$D$8:$F$8</definedName>
    <definedName name="rSourceData">SourceData!$A$250:$D$503</definedName>
    <definedName name="rViewRange" localSheetId="14">Chart!$A$1:$M$41</definedName>
    <definedName name="rViewRange" localSheetId="18">Charts!$A$1:$M$38</definedName>
    <definedName name="rViewRange" localSheetId="15">SafetyStock!$A$1:$M$39</definedName>
    <definedName name="rViewRange" localSheetId="16">Simulation!$A$1:$O$41</definedName>
    <definedName name="Saf_Stock">SourceData!$T$257</definedName>
    <definedName name="SafDays_Range">SourceData!$N$250:$N$499</definedName>
    <definedName name="SafDays1_Range">SourceData!$N$210:$N$499</definedName>
    <definedName name="SafStock" localSheetId="23">SourceData!$T$243</definedName>
    <definedName name="SafStock_Range">SourceData!$M$250:$M$499</definedName>
    <definedName name="SalesValue">ReportOptions!$B$8</definedName>
    <definedName name="SapExlReportName">Version!$B$5</definedName>
    <definedName name="SL_Days">SourceData!$T$258</definedName>
    <definedName name="Stock_Range">SourceData!$B$210:$B$499</definedName>
    <definedName name="StockData">Y084_StockData!$A$4:$O$5</definedName>
    <definedName name="StockIn" localSheetId="4">Database!$AU$1</definedName>
    <definedName name="StockOut" localSheetId="4">IF(Database!XEM1&lt;&gt;Database!XEM1048576,Database!XEW1+SUMIF(Database!XES1:XES51,Database!XES1,Database!C1:C51),0)</definedName>
    <definedName name="Time_Used">'Rapport info'!$K$12</definedName>
    <definedName name="TopRange">SourceData!$T$2</definedName>
    <definedName name="TotStock">Y084_StockData!$H$1</definedName>
    <definedName name="UnresStock" localSheetId="23">SourceData!$T$242</definedName>
    <definedName name="Updated">'Rapport info'!$K$11</definedName>
    <definedName name="Used_Range">SourceData!$C$250:$C$499</definedName>
    <definedName name="X_Range">SourceData!$A$210:$A$499</definedName>
    <definedName name="X1_Range">SourceData!$A$250:$A$499</definedName>
    <definedName name="xDatabase">Database!$A$1:$AQ$3</definedName>
  </definedNames>
  <calcPr calcId="152511"/>
  <pivotCaches>
    <pivotCache cacheId="75" r:id="rId30"/>
    <pivotCache cacheId="76" r:id="rId31"/>
    <pivotCache cacheId="109" r:id="rId32"/>
  </pivotCaches>
</workbook>
</file>

<file path=xl/calcChain.xml><?xml version="1.0" encoding="utf-8"?>
<calcChain xmlns="http://schemas.openxmlformats.org/spreadsheetml/2006/main">
  <c r="G2" i="35" l="1"/>
  <c r="F2" i="35"/>
  <c r="E2" i="35"/>
  <c r="D2" i="35"/>
  <c r="C2" i="35"/>
  <c r="AQ2" i="154" l="1"/>
  <c r="AQ3" i="154"/>
  <c r="J38" i="142" l="1"/>
  <c r="J39" i="142"/>
  <c r="J40" i="142"/>
  <c r="J41" i="142"/>
  <c r="J42" i="142"/>
  <c r="J43" i="142"/>
  <c r="J44" i="142"/>
  <c r="J45" i="142"/>
  <c r="J46" i="142"/>
  <c r="J47" i="142"/>
  <c r="J48" i="142"/>
  <c r="J49" i="142"/>
  <c r="J50" i="142"/>
  <c r="J51" i="142"/>
  <c r="J52" i="142"/>
  <c r="J53" i="142"/>
  <c r="J54" i="142"/>
  <c r="J55" i="142"/>
  <c r="J56" i="142"/>
  <c r="J57" i="142"/>
  <c r="J58" i="142"/>
  <c r="J59" i="142"/>
  <c r="J60" i="142"/>
  <c r="J61" i="142"/>
  <c r="AL2" i="154" l="1"/>
  <c r="AL3" i="154"/>
  <c r="AO1" i="34" l="1"/>
  <c r="B2" i="35" l="1"/>
  <c r="B8" i="5" l="1"/>
  <c r="AP3" i="154" l="1"/>
  <c r="AO3" i="154"/>
  <c r="AM3" i="154"/>
  <c r="AM2" i="154" s="1"/>
  <c r="AN2" i="154" s="1"/>
  <c r="AP2" i="154"/>
  <c r="AO2" i="154"/>
  <c r="AU1" i="154"/>
  <c r="D11" i="39" s="1"/>
  <c r="AN3" i="154" l="1"/>
  <c r="M633" i="148" l="1"/>
  <c r="P633" i="148" s="1"/>
  <c r="L633" i="148"/>
  <c r="J633" i="148"/>
  <c r="I633" i="148"/>
  <c r="H633" i="148"/>
  <c r="G633" i="148"/>
  <c r="M632" i="148"/>
  <c r="P632" i="148" s="1"/>
  <c r="L632" i="148"/>
  <c r="J632" i="148"/>
  <c r="I632" i="148"/>
  <c r="H632" i="148"/>
  <c r="G632" i="148"/>
  <c r="M631" i="148"/>
  <c r="P631" i="148" s="1"/>
  <c r="L631" i="148"/>
  <c r="J631" i="148"/>
  <c r="I631" i="148"/>
  <c r="H631" i="148"/>
  <c r="G631" i="148"/>
  <c r="M630" i="148"/>
  <c r="P630" i="148" s="1"/>
  <c r="L630" i="148"/>
  <c r="J630" i="148"/>
  <c r="I630" i="148"/>
  <c r="H630" i="148"/>
  <c r="G630" i="148"/>
  <c r="M629" i="148"/>
  <c r="P629" i="148" s="1"/>
  <c r="L629" i="148"/>
  <c r="J629" i="148"/>
  <c r="I629" i="148"/>
  <c r="H629" i="148"/>
  <c r="G629" i="148"/>
  <c r="M628" i="148"/>
  <c r="P628" i="148" s="1"/>
  <c r="L628" i="148"/>
  <c r="J628" i="148"/>
  <c r="I628" i="148"/>
  <c r="H628" i="148"/>
  <c r="G628" i="148"/>
  <c r="M627" i="148"/>
  <c r="P627" i="148" s="1"/>
  <c r="L627" i="148"/>
  <c r="J627" i="148"/>
  <c r="I627" i="148"/>
  <c r="H627" i="148"/>
  <c r="G627" i="148"/>
  <c r="M626" i="148"/>
  <c r="P626" i="148" s="1"/>
  <c r="L626" i="148"/>
  <c r="J626" i="148"/>
  <c r="I626" i="148"/>
  <c r="H626" i="148"/>
  <c r="G626" i="148"/>
  <c r="M625" i="148"/>
  <c r="P625" i="148" s="1"/>
  <c r="L625" i="148"/>
  <c r="J625" i="148"/>
  <c r="I625" i="148"/>
  <c r="H625" i="148"/>
  <c r="G625" i="148"/>
  <c r="M624" i="148"/>
  <c r="P624" i="148" s="1"/>
  <c r="L624" i="148"/>
  <c r="J624" i="148"/>
  <c r="I624" i="148"/>
  <c r="H624" i="148"/>
  <c r="G624" i="148"/>
  <c r="M623" i="148"/>
  <c r="P623" i="148" s="1"/>
  <c r="L623" i="148"/>
  <c r="J623" i="148"/>
  <c r="I623" i="148"/>
  <c r="H623" i="148"/>
  <c r="G623" i="148"/>
  <c r="M622" i="148"/>
  <c r="P622" i="148" s="1"/>
  <c r="L622" i="148"/>
  <c r="J622" i="148"/>
  <c r="I622" i="148"/>
  <c r="H622" i="148"/>
  <c r="G622" i="148"/>
  <c r="M621" i="148"/>
  <c r="P621" i="148" s="1"/>
  <c r="L621" i="148"/>
  <c r="J621" i="148"/>
  <c r="I621" i="148"/>
  <c r="H621" i="148"/>
  <c r="G621" i="148"/>
  <c r="M620" i="148"/>
  <c r="P620" i="148" s="1"/>
  <c r="L620" i="148"/>
  <c r="J620" i="148"/>
  <c r="I620" i="148"/>
  <c r="H620" i="148"/>
  <c r="G620" i="148"/>
  <c r="M619" i="148"/>
  <c r="P619" i="148" s="1"/>
  <c r="L619" i="148"/>
  <c r="J619" i="148"/>
  <c r="I619" i="148"/>
  <c r="H619" i="148"/>
  <c r="G619" i="148"/>
  <c r="M618" i="148"/>
  <c r="P618" i="148" s="1"/>
  <c r="L618" i="148"/>
  <c r="J618" i="148"/>
  <c r="I618" i="148"/>
  <c r="H618" i="148"/>
  <c r="G618" i="148"/>
  <c r="M617" i="148"/>
  <c r="P617" i="148" s="1"/>
  <c r="L617" i="148"/>
  <c r="J617" i="148"/>
  <c r="I617" i="148"/>
  <c r="H617" i="148"/>
  <c r="G617" i="148"/>
  <c r="M616" i="148"/>
  <c r="P616" i="148" s="1"/>
  <c r="L616" i="148"/>
  <c r="J616" i="148"/>
  <c r="I616" i="148"/>
  <c r="H616" i="148"/>
  <c r="G616" i="148"/>
  <c r="M615" i="148"/>
  <c r="P615" i="148" s="1"/>
  <c r="L615" i="148"/>
  <c r="J615" i="148"/>
  <c r="I615" i="148"/>
  <c r="H615" i="148"/>
  <c r="G615" i="148"/>
  <c r="M614" i="148"/>
  <c r="P614" i="148" s="1"/>
  <c r="L614" i="148"/>
  <c r="J614" i="148"/>
  <c r="I614" i="148"/>
  <c r="H614" i="148"/>
  <c r="G614" i="148"/>
  <c r="M613" i="148"/>
  <c r="P613" i="148" s="1"/>
  <c r="L613" i="148"/>
  <c r="J613" i="148"/>
  <c r="I613" i="148"/>
  <c r="H613" i="148"/>
  <c r="G613" i="148"/>
  <c r="M612" i="148"/>
  <c r="P612" i="148" s="1"/>
  <c r="L612" i="148"/>
  <c r="J612" i="148"/>
  <c r="I612" i="148"/>
  <c r="H612" i="148"/>
  <c r="G612" i="148"/>
  <c r="M611" i="148"/>
  <c r="P611" i="148" s="1"/>
  <c r="L611" i="148"/>
  <c r="J611" i="148"/>
  <c r="I611" i="148"/>
  <c r="H611" i="148"/>
  <c r="G611" i="148"/>
  <c r="M610" i="148"/>
  <c r="P610" i="148" s="1"/>
  <c r="L610" i="148"/>
  <c r="J610" i="148"/>
  <c r="I610" i="148"/>
  <c r="H610" i="148"/>
  <c r="G610" i="148"/>
  <c r="M609" i="148"/>
  <c r="P609" i="148" s="1"/>
  <c r="L609" i="148"/>
  <c r="J609" i="148"/>
  <c r="I609" i="148"/>
  <c r="H609" i="148"/>
  <c r="G609" i="148"/>
  <c r="M608" i="148"/>
  <c r="P608" i="148" s="1"/>
  <c r="L608" i="148"/>
  <c r="J608" i="148"/>
  <c r="I608" i="148"/>
  <c r="H608" i="148"/>
  <c r="G608" i="148"/>
  <c r="M607" i="148"/>
  <c r="P607" i="148" s="1"/>
  <c r="L607" i="148"/>
  <c r="J607" i="148"/>
  <c r="I607" i="148"/>
  <c r="H607" i="148"/>
  <c r="G607" i="148"/>
  <c r="M606" i="148"/>
  <c r="P606" i="148" s="1"/>
  <c r="L606" i="148"/>
  <c r="J606" i="148"/>
  <c r="I606" i="148"/>
  <c r="H606" i="148"/>
  <c r="G606" i="148"/>
  <c r="M605" i="148"/>
  <c r="P605" i="148" s="1"/>
  <c r="L605" i="148"/>
  <c r="J605" i="148"/>
  <c r="I605" i="148"/>
  <c r="H605" i="148"/>
  <c r="G605" i="148"/>
  <c r="M604" i="148"/>
  <c r="P604" i="148" s="1"/>
  <c r="L604" i="148"/>
  <c r="J604" i="148"/>
  <c r="I604" i="148"/>
  <c r="H604" i="148"/>
  <c r="G604" i="148"/>
  <c r="M603" i="148"/>
  <c r="P603" i="148" s="1"/>
  <c r="L603" i="148"/>
  <c r="J603" i="148"/>
  <c r="I603" i="148"/>
  <c r="H603" i="148"/>
  <c r="G603" i="148"/>
  <c r="M602" i="148"/>
  <c r="P602" i="148" s="1"/>
  <c r="L602" i="148"/>
  <c r="J602" i="148"/>
  <c r="I602" i="148"/>
  <c r="H602" i="148"/>
  <c r="G602" i="148"/>
  <c r="M601" i="148"/>
  <c r="P601" i="148" s="1"/>
  <c r="L601" i="148"/>
  <c r="J601" i="148"/>
  <c r="I601" i="148"/>
  <c r="H601" i="148"/>
  <c r="G601" i="148"/>
  <c r="M600" i="148"/>
  <c r="P600" i="148" s="1"/>
  <c r="L600" i="148"/>
  <c r="J600" i="148"/>
  <c r="I600" i="148"/>
  <c r="H600" i="148"/>
  <c r="G600" i="148"/>
  <c r="M599" i="148"/>
  <c r="P599" i="148" s="1"/>
  <c r="L599" i="148"/>
  <c r="J599" i="148"/>
  <c r="I599" i="148"/>
  <c r="H599" i="148"/>
  <c r="G599" i="148"/>
  <c r="M598" i="148"/>
  <c r="P598" i="148" s="1"/>
  <c r="L598" i="148"/>
  <c r="J598" i="148"/>
  <c r="I598" i="148"/>
  <c r="H598" i="148"/>
  <c r="G598" i="148"/>
  <c r="M597" i="148"/>
  <c r="P597" i="148" s="1"/>
  <c r="L597" i="148"/>
  <c r="J597" i="148"/>
  <c r="I597" i="148"/>
  <c r="H597" i="148"/>
  <c r="G597" i="148"/>
  <c r="M596" i="148"/>
  <c r="P596" i="148" s="1"/>
  <c r="L596" i="148"/>
  <c r="J596" i="148"/>
  <c r="I596" i="148"/>
  <c r="H596" i="148"/>
  <c r="G596" i="148"/>
  <c r="M595" i="148"/>
  <c r="P595" i="148" s="1"/>
  <c r="L595" i="148"/>
  <c r="J595" i="148"/>
  <c r="I595" i="148"/>
  <c r="H595" i="148"/>
  <c r="G595" i="148"/>
  <c r="M594" i="148"/>
  <c r="P594" i="148" s="1"/>
  <c r="L594" i="148"/>
  <c r="J594" i="148"/>
  <c r="I594" i="148"/>
  <c r="H594" i="148"/>
  <c r="G594" i="148"/>
  <c r="M593" i="148"/>
  <c r="P593" i="148" s="1"/>
  <c r="L593" i="148"/>
  <c r="J593" i="148"/>
  <c r="I593" i="148"/>
  <c r="H593" i="148"/>
  <c r="G593" i="148"/>
  <c r="M592" i="148"/>
  <c r="P592" i="148" s="1"/>
  <c r="L592" i="148"/>
  <c r="J592" i="148"/>
  <c r="I592" i="148"/>
  <c r="H592" i="148"/>
  <c r="G592" i="148"/>
  <c r="M591" i="148"/>
  <c r="P591" i="148" s="1"/>
  <c r="L591" i="148"/>
  <c r="J591" i="148"/>
  <c r="I591" i="148"/>
  <c r="H591" i="148"/>
  <c r="G591" i="148"/>
  <c r="M590" i="148"/>
  <c r="P590" i="148" s="1"/>
  <c r="L590" i="148"/>
  <c r="J590" i="148"/>
  <c r="I590" i="148"/>
  <c r="H590" i="148"/>
  <c r="G590" i="148"/>
  <c r="M589" i="148"/>
  <c r="P589" i="148" s="1"/>
  <c r="L589" i="148"/>
  <c r="J589" i="148"/>
  <c r="I589" i="148"/>
  <c r="H589" i="148"/>
  <c r="G589" i="148"/>
  <c r="M588" i="148"/>
  <c r="P588" i="148" s="1"/>
  <c r="L588" i="148"/>
  <c r="J588" i="148"/>
  <c r="I588" i="148"/>
  <c r="H588" i="148"/>
  <c r="G588" i="148"/>
  <c r="M587" i="148"/>
  <c r="P587" i="148" s="1"/>
  <c r="L587" i="148"/>
  <c r="J587" i="148"/>
  <c r="I587" i="148"/>
  <c r="H587" i="148"/>
  <c r="G587" i="148"/>
  <c r="M586" i="148"/>
  <c r="P586" i="148" s="1"/>
  <c r="L586" i="148"/>
  <c r="J586" i="148"/>
  <c r="I586" i="148"/>
  <c r="H586" i="148"/>
  <c r="G586" i="148"/>
  <c r="M585" i="148"/>
  <c r="P585" i="148" s="1"/>
  <c r="L585" i="148"/>
  <c r="J585" i="148"/>
  <c r="I585" i="148"/>
  <c r="H585" i="148"/>
  <c r="G585" i="148"/>
  <c r="M584" i="148"/>
  <c r="P584" i="148" s="1"/>
  <c r="L584" i="148"/>
  <c r="J584" i="148"/>
  <c r="I584" i="148"/>
  <c r="H584" i="148"/>
  <c r="G584" i="148"/>
  <c r="M583" i="148"/>
  <c r="P583" i="148" s="1"/>
  <c r="L583" i="148"/>
  <c r="J583" i="148"/>
  <c r="I583" i="148"/>
  <c r="H583" i="148"/>
  <c r="G583" i="148"/>
  <c r="M582" i="148"/>
  <c r="P582" i="148" s="1"/>
  <c r="L582" i="148"/>
  <c r="J582" i="148"/>
  <c r="I582" i="148"/>
  <c r="H582" i="148"/>
  <c r="G582" i="148"/>
  <c r="M581" i="148"/>
  <c r="P581" i="148" s="1"/>
  <c r="L581" i="148"/>
  <c r="J581" i="148"/>
  <c r="I581" i="148"/>
  <c r="H581" i="148"/>
  <c r="G581" i="148"/>
  <c r="M580" i="148"/>
  <c r="P580" i="148" s="1"/>
  <c r="L580" i="148"/>
  <c r="J580" i="148"/>
  <c r="I580" i="148"/>
  <c r="H580" i="148"/>
  <c r="G580" i="148"/>
  <c r="M579" i="148"/>
  <c r="P579" i="148" s="1"/>
  <c r="L579" i="148"/>
  <c r="J579" i="148"/>
  <c r="I579" i="148"/>
  <c r="H579" i="148"/>
  <c r="G579" i="148"/>
  <c r="M578" i="148"/>
  <c r="P578" i="148" s="1"/>
  <c r="L578" i="148"/>
  <c r="J578" i="148"/>
  <c r="I578" i="148"/>
  <c r="H578" i="148"/>
  <c r="G578" i="148"/>
  <c r="M577" i="148"/>
  <c r="P577" i="148" s="1"/>
  <c r="L577" i="148"/>
  <c r="J577" i="148"/>
  <c r="I577" i="148"/>
  <c r="H577" i="148"/>
  <c r="G577" i="148"/>
  <c r="M576" i="148"/>
  <c r="P576" i="148" s="1"/>
  <c r="L576" i="148"/>
  <c r="J576" i="148"/>
  <c r="I576" i="148"/>
  <c r="H576" i="148"/>
  <c r="G576" i="148"/>
  <c r="M575" i="148"/>
  <c r="P575" i="148" s="1"/>
  <c r="L575" i="148"/>
  <c r="J575" i="148"/>
  <c r="I575" i="148"/>
  <c r="H575" i="148"/>
  <c r="G575" i="148"/>
  <c r="M574" i="148"/>
  <c r="P574" i="148" s="1"/>
  <c r="L574" i="148"/>
  <c r="J574" i="148"/>
  <c r="I574" i="148"/>
  <c r="H574" i="148"/>
  <c r="G574" i="148"/>
  <c r="M573" i="148"/>
  <c r="P573" i="148" s="1"/>
  <c r="L573" i="148"/>
  <c r="J573" i="148"/>
  <c r="I573" i="148"/>
  <c r="H573" i="148"/>
  <c r="G573" i="148"/>
  <c r="M572" i="148"/>
  <c r="P572" i="148" s="1"/>
  <c r="L572" i="148"/>
  <c r="J572" i="148"/>
  <c r="I572" i="148"/>
  <c r="H572" i="148"/>
  <c r="G572" i="148"/>
  <c r="M571" i="148"/>
  <c r="P571" i="148" s="1"/>
  <c r="L571" i="148"/>
  <c r="J571" i="148"/>
  <c r="I571" i="148"/>
  <c r="H571" i="148"/>
  <c r="G571" i="148"/>
  <c r="M570" i="148"/>
  <c r="P570" i="148" s="1"/>
  <c r="L570" i="148"/>
  <c r="J570" i="148"/>
  <c r="I570" i="148"/>
  <c r="H570" i="148"/>
  <c r="G570" i="148"/>
  <c r="M569" i="148"/>
  <c r="P569" i="148" s="1"/>
  <c r="L569" i="148"/>
  <c r="J569" i="148"/>
  <c r="I569" i="148"/>
  <c r="H569" i="148"/>
  <c r="G569" i="148"/>
  <c r="M568" i="148"/>
  <c r="P568" i="148" s="1"/>
  <c r="L568" i="148"/>
  <c r="J568" i="148"/>
  <c r="I568" i="148"/>
  <c r="H568" i="148"/>
  <c r="G568" i="148"/>
  <c r="M567" i="148"/>
  <c r="P567" i="148" s="1"/>
  <c r="L567" i="148"/>
  <c r="J567" i="148"/>
  <c r="I567" i="148"/>
  <c r="H567" i="148"/>
  <c r="G567" i="148"/>
  <c r="M566" i="148"/>
  <c r="P566" i="148" s="1"/>
  <c r="L566" i="148"/>
  <c r="J566" i="148"/>
  <c r="I566" i="148"/>
  <c r="H566" i="148"/>
  <c r="G566" i="148"/>
  <c r="M565" i="148"/>
  <c r="P565" i="148" s="1"/>
  <c r="L565" i="148"/>
  <c r="J565" i="148"/>
  <c r="I565" i="148"/>
  <c r="H565" i="148"/>
  <c r="G565" i="148"/>
  <c r="M564" i="148"/>
  <c r="P564" i="148" s="1"/>
  <c r="L564" i="148"/>
  <c r="J564" i="148"/>
  <c r="I564" i="148"/>
  <c r="H564" i="148"/>
  <c r="G564" i="148"/>
  <c r="M563" i="148"/>
  <c r="P563" i="148" s="1"/>
  <c r="L563" i="148"/>
  <c r="J563" i="148"/>
  <c r="I563" i="148"/>
  <c r="H563" i="148"/>
  <c r="G563" i="148"/>
  <c r="M562" i="148"/>
  <c r="P562" i="148" s="1"/>
  <c r="L562" i="148"/>
  <c r="J562" i="148"/>
  <c r="I562" i="148"/>
  <c r="H562" i="148"/>
  <c r="G562" i="148"/>
  <c r="M561" i="148"/>
  <c r="P561" i="148" s="1"/>
  <c r="L561" i="148"/>
  <c r="J561" i="148"/>
  <c r="I561" i="148"/>
  <c r="H561" i="148"/>
  <c r="G561" i="148"/>
  <c r="M560" i="148"/>
  <c r="P560" i="148" s="1"/>
  <c r="L560" i="148"/>
  <c r="J560" i="148"/>
  <c r="I560" i="148"/>
  <c r="H560" i="148"/>
  <c r="G560" i="148"/>
  <c r="M559" i="148"/>
  <c r="P559" i="148" s="1"/>
  <c r="L559" i="148"/>
  <c r="J559" i="148"/>
  <c r="I559" i="148"/>
  <c r="H559" i="148"/>
  <c r="G559" i="148"/>
  <c r="M558" i="148"/>
  <c r="P558" i="148" s="1"/>
  <c r="L558" i="148"/>
  <c r="J558" i="148"/>
  <c r="I558" i="148"/>
  <c r="H558" i="148"/>
  <c r="G558" i="148"/>
  <c r="M557" i="148"/>
  <c r="P557" i="148" s="1"/>
  <c r="L557" i="148"/>
  <c r="J557" i="148"/>
  <c r="I557" i="148"/>
  <c r="H557" i="148"/>
  <c r="G557" i="148"/>
  <c r="M556" i="148"/>
  <c r="P556" i="148" s="1"/>
  <c r="L556" i="148"/>
  <c r="J556" i="148"/>
  <c r="I556" i="148"/>
  <c r="H556" i="148"/>
  <c r="G556" i="148"/>
  <c r="M555" i="148"/>
  <c r="P555" i="148" s="1"/>
  <c r="L555" i="148"/>
  <c r="J555" i="148"/>
  <c r="I555" i="148"/>
  <c r="H555" i="148"/>
  <c r="G555" i="148"/>
  <c r="M554" i="148"/>
  <c r="P554" i="148" s="1"/>
  <c r="L554" i="148"/>
  <c r="J554" i="148"/>
  <c r="I554" i="148"/>
  <c r="H554" i="148"/>
  <c r="G554" i="148"/>
  <c r="M553" i="148"/>
  <c r="P553" i="148" s="1"/>
  <c r="L553" i="148"/>
  <c r="J553" i="148"/>
  <c r="I553" i="148"/>
  <c r="H553" i="148"/>
  <c r="G553" i="148"/>
  <c r="M552" i="148"/>
  <c r="P552" i="148" s="1"/>
  <c r="L552" i="148"/>
  <c r="J552" i="148"/>
  <c r="I552" i="148"/>
  <c r="H552" i="148"/>
  <c r="G552" i="148"/>
  <c r="M551" i="148"/>
  <c r="P551" i="148" s="1"/>
  <c r="L551" i="148"/>
  <c r="J551" i="148"/>
  <c r="I551" i="148"/>
  <c r="H551" i="148"/>
  <c r="G551" i="148"/>
  <c r="M550" i="148"/>
  <c r="P550" i="148" s="1"/>
  <c r="L550" i="148"/>
  <c r="J550" i="148"/>
  <c r="I550" i="148"/>
  <c r="H550" i="148"/>
  <c r="G550" i="148"/>
  <c r="M549" i="148"/>
  <c r="P549" i="148" s="1"/>
  <c r="L549" i="148"/>
  <c r="J549" i="148"/>
  <c r="I549" i="148"/>
  <c r="H549" i="148"/>
  <c r="G549" i="148"/>
  <c r="M548" i="148"/>
  <c r="P548" i="148" s="1"/>
  <c r="L548" i="148"/>
  <c r="J548" i="148"/>
  <c r="I548" i="148"/>
  <c r="H548" i="148"/>
  <c r="G548" i="148"/>
  <c r="M547" i="148"/>
  <c r="P547" i="148" s="1"/>
  <c r="L547" i="148"/>
  <c r="J547" i="148"/>
  <c r="I547" i="148"/>
  <c r="H547" i="148"/>
  <c r="G547" i="148"/>
  <c r="M546" i="148"/>
  <c r="P546" i="148" s="1"/>
  <c r="L546" i="148"/>
  <c r="J546" i="148"/>
  <c r="I546" i="148"/>
  <c r="H546" i="148"/>
  <c r="G546" i="148"/>
  <c r="M545" i="148"/>
  <c r="P545" i="148" s="1"/>
  <c r="L545" i="148"/>
  <c r="J545" i="148"/>
  <c r="I545" i="148"/>
  <c r="H545" i="148"/>
  <c r="G545" i="148"/>
  <c r="M544" i="148"/>
  <c r="P544" i="148" s="1"/>
  <c r="L544" i="148"/>
  <c r="J544" i="148"/>
  <c r="I544" i="148"/>
  <c r="H544" i="148"/>
  <c r="G544" i="148"/>
  <c r="M543" i="148"/>
  <c r="P543" i="148" s="1"/>
  <c r="L543" i="148"/>
  <c r="J543" i="148"/>
  <c r="I543" i="148"/>
  <c r="H543" i="148"/>
  <c r="G543" i="148"/>
  <c r="M542" i="148"/>
  <c r="P542" i="148" s="1"/>
  <c r="L542" i="148"/>
  <c r="J542" i="148"/>
  <c r="I542" i="148"/>
  <c r="H542" i="148"/>
  <c r="G542" i="148"/>
  <c r="M541" i="148"/>
  <c r="P541" i="148" s="1"/>
  <c r="L541" i="148"/>
  <c r="J541" i="148"/>
  <c r="I541" i="148"/>
  <c r="H541" i="148"/>
  <c r="G541" i="148"/>
  <c r="M540" i="148"/>
  <c r="P540" i="148" s="1"/>
  <c r="L540" i="148"/>
  <c r="J540" i="148"/>
  <c r="I540" i="148"/>
  <c r="H540" i="148"/>
  <c r="G540" i="148"/>
  <c r="M539" i="148"/>
  <c r="P539" i="148" s="1"/>
  <c r="L539" i="148"/>
  <c r="J539" i="148"/>
  <c r="I539" i="148"/>
  <c r="H539" i="148"/>
  <c r="G539" i="148"/>
  <c r="M538" i="148"/>
  <c r="P538" i="148" s="1"/>
  <c r="L538" i="148"/>
  <c r="J538" i="148"/>
  <c r="I538" i="148"/>
  <c r="H538" i="148"/>
  <c r="G538" i="148"/>
  <c r="M537" i="148"/>
  <c r="P537" i="148" s="1"/>
  <c r="L537" i="148"/>
  <c r="J537" i="148"/>
  <c r="I537" i="148"/>
  <c r="H537" i="148"/>
  <c r="G537" i="148"/>
  <c r="M536" i="148"/>
  <c r="P536" i="148" s="1"/>
  <c r="L536" i="148"/>
  <c r="J536" i="148"/>
  <c r="I536" i="148"/>
  <c r="H536" i="148"/>
  <c r="G536" i="148"/>
  <c r="M535" i="148"/>
  <c r="P535" i="148" s="1"/>
  <c r="L535" i="148"/>
  <c r="J535" i="148"/>
  <c r="I535" i="148"/>
  <c r="H535" i="148"/>
  <c r="G535" i="148"/>
  <c r="M534" i="148"/>
  <c r="P534" i="148" s="1"/>
  <c r="L534" i="148"/>
  <c r="J534" i="148"/>
  <c r="I534" i="148"/>
  <c r="H534" i="148"/>
  <c r="G534" i="148"/>
  <c r="M533" i="148"/>
  <c r="P533" i="148" s="1"/>
  <c r="L533" i="148"/>
  <c r="J533" i="148"/>
  <c r="I533" i="148"/>
  <c r="H533" i="148"/>
  <c r="G533" i="148"/>
  <c r="M532" i="148"/>
  <c r="P532" i="148" s="1"/>
  <c r="L532" i="148"/>
  <c r="J532" i="148"/>
  <c r="I532" i="148"/>
  <c r="H532" i="148"/>
  <c r="G532" i="148"/>
  <c r="M531" i="148"/>
  <c r="P531" i="148" s="1"/>
  <c r="L531" i="148"/>
  <c r="J531" i="148"/>
  <c r="I531" i="148"/>
  <c r="H531" i="148"/>
  <c r="G531" i="148"/>
  <c r="M530" i="148"/>
  <c r="P530" i="148" s="1"/>
  <c r="L530" i="148"/>
  <c r="J530" i="148"/>
  <c r="I530" i="148"/>
  <c r="H530" i="148"/>
  <c r="G530" i="148"/>
  <c r="M529" i="148"/>
  <c r="P529" i="148" s="1"/>
  <c r="L529" i="148"/>
  <c r="J529" i="148"/>
  <c r="I529" i="148"/>
  <c r="H529" i="148"/>
  <c r="G529" i="148"/>
  <c r="M528" i="148"/>
  <c r="P528" i="148" s="1"/>
  <c r="L528" i="148"/>
  <c r="J528" i="148"/>
  <c r="I528" i="148"/>
  <c r="H528" i="148"/>
  <c r="G528" i="148"/>
  <c r="M527" i="148"/>
  <c r="P527" i="148" s="1"/>
  <c r="L527" i="148"/>
  <c r="J527" i="148"/>
  <c r="I527" i="148"/>
  <c r="H527" i="148"/>
  <c r="G527" i="148"/>
  <c r="M526" i="148"/>
  <c r="P526" i="148" s="1"/>
  <c r="L526" i="148"/>
  <c r="J526" i="148"/>
  <c r="I526" i="148"/>
  <c r="H526" i="148"/>
  <c r="G526" i="148"/>
  <c r="M525" i="148"/>
  <c r="P525" i="148" s="1"/>
  <c r="L525" i="148"/>
  <c r="J525" i="148"/>
  <c r="I525" i="148"/>
  <c r="H525" i="148"/>
  <c r="G525" i="148"/>
  <c r="M524" i="148"/>
  <c r="P524" i="148" s="1"/>
  <c r="L524" i="148"/>
  <c r="J524" i="148"/>
  <c r="I524" i="148"/>
  <c r="H524" i="148"/>
  <c r="G524" i="148"/>
  <c r="M523" i="148"/>
  <c r="P523" i="148" s="1"/>
  <c r="L523" i="148"/>
  <c r="J523" i="148"/>
  <c r="I523" i="148"/>
  <c r="H523" i="148"/>
  <c r="G523" i="148"/>
  <c r="M522" i="148"/>
  <c r="P522" i="148" s="1"/>
  <c r="L522" i="148"/>
  <c r="J522" i="148"/>
  <c r="I522" i="148"/>
  <c r="H522" i="148"/>
  <c r="G522" i="148"/>
  <c r="M521" i="148"/>
  <c r="P521" i="148" s="1"/>
  <c r="L521" i="148"/>
  <c r="J521" i="148"/>
  <c r="I521" i="148"/>
  <c r="H521" i="148"/>
  <c r="G521" i="148"/>
  <c r="M520" i="148"/>
  <c r="P520" i="148" s="1"/>
  <c r="L520" i="148"/>
  <c r="J520" i="148"/>
  <c r="I520" i="148"/>
  <c r="H520" i="148"/>
  <c r="G520" i="148"/>
  <c r="M519" i="148"/>
  <c r="P519" i="148" s="1"/>
  <c r="L519" i="148"/>
  <c r="J519" i="148"/>
  <c r="I519" i="148"/>
  <c r="H519" i="148"/>
  <c r="G519" i="148"/>
  <c r="M518" i="148"/>
  <c r="P518" i="148" s="1"/>
  <c r="L518" i="148"/>
  <c r="J518" i="148"/>
  <c r="I518" i="148"/>
  <c r="H518" i="148"/>
  <c r="G518" i="148"/>
  <c r="M517" i="148"/>
  <c r="P517" i="148" s="1"/>
  <c r="L517" i="148"/>
  <c r="J517" i="148"/>
  <c r="I517" i="148"/>
  <c r="H517" i="148"/>
  <c r="G517" i="148"/>
  <c r="M516" i="148"/>
  <c r="P516" i="148" s="1"/>
  <c r="L516" i="148"/>
  <c r="J516" i="148"/>
  <c r="I516" i="148"/>
  <c r="H516" i="148"/>
  <c r="G516" i="148"/>
  <c r="M515" i="148"/>
  <c r="P515" i="148" s="1"/>
  <c r="L515" i="148"/>
  <c r="J515" i="148"/>
  <c r="I515" i="148"/>
  <c r="H515" i="148"/>
  <c r="G515" i="148"/>
  <c r="M514" i="148"/>
  <c r="P514" i="148" s="1"/>
  <c r="L514" i="148"/>
  <c r="J514" i="148"/>
  <c r="I514" i="148"/>
  <c r="H514" i="148"/>
  <c r="G514" i="148"/>
  <c r="M513" i="148"/>
  <c r="P513" i="148" s="1"/>
  <c r="L513" i="148"/>
  <c r="J513" i="148"/>
  <c r="I513" i="148"/>
  <c r="H513" i="148"/>
  <c r="G513" i="148"/>
  <c r="M512" i="148"/>
  <c r="P512" i="148" s="1"/>
  <c r="L512" i="148"/>
  <c r="J512" i="148"/>
  <c r="I512" i="148"/>
  <c r="H512" i="148"/>
  <c r="G512" i="148"/>
  <c r="M511" i="148"/>
  <c r="P511" i="148" s="1"/>
  <c r="L511" i="148"/>
  <c r="J511" i="148"/>
  <c r="I511" i="148"/>
  <c r="H511" i="148"/>
  <c r="G511" i="148"/>
  <c r="M510" i="148"/>
  <c r="P510" i="148" s="1"/>
  <c r="L510" i="148"/>
  <c r="J510" i="148"/>
  <c r="I510" i="148"/>
  <c r="H510" i="148"/>
  <c r="G510" i="148"/>
  <c r="M509" i="148"/>
  <c r="P509" i="148" s="1"/>
  <c r="L509" i="148"/>
  <c r="J509" i="148"/>
  <c r="I509" i="148"/>
  <c r="H509" i="148"/>
  <c r="G509" i="148"/>
  <c r="M508" i="148"/>
  <c r="P508" i="148" s="1"/>
  <c r="L508" i="148"/>
  <c r="J508" i="148"/>
  <c r="I508" i="148"/>
  <c r="H508" i="148"/>
  <c r="G508" i="148"/>
  <c r="M507" i="148"/>
  <c r="P507" i="148" s="1"/>
  <c r="L507" i="148"/>
  <c r="J507" i="148"/>
  <c r="I507" i="148"/>
  <c r="H507" i="148"/>
  <c r="G507" i="148"/>
  <c r="M506" i="148"/>
  <c r="P506" i="148" s="1"/>
  <c r="L506" i="148"/>
  <c r="J506" i="148"/>
  <c r="I506" i="148"/>
  <c r="H506" i="148"/>
  <c r="G506" i="148"/>
  <c r="M505" i="148"/>
  <c r="P505" i="148" s="1"/>
  <c r="L505" i="148"/>
  <c r="J505" i="148"/>
  <c r="I505" i="148"/>
  <c r="H505" i="148"/>
  <c r="G505" i="148"/>
  <c r="M504" i="148"/>
  <c r="P504" i="148" s="1"/>
  <c r="L504" i="148"/>
  <c r="J504" i="148"/>
  <c r="I504" i="148"/>
  <c r="H504" i="148"/>
  <c r="G504" i="148"/>
  <c r="M503" i="148"/>
  <c r="P503" i="148" s="1"/>
  <c r="L503" i="148"/>
  <c r="J503" i="148"/>
  <c r="I503" i="148"/>
  <c r="H503" i="148"/>
  <c r="G503" i="148"/>
  <c r="M502" i="148"/>
  <c r="P502" i="148" s="1"/>
  <c r="L502" i="148"/>
  <c r="J502" i="148"/>
  <c r="I502" i="148"/>
  <c r="H502" i="148"/>
  <c r="G502" i="148"/>
  <c r="M501" i="148"/>
  <c r="P501" i="148" s="1"/>
  <c r="L501" i="148"/>
  <c r="J501" i="148"/>
  <c r="I501" i="148"/>
  <c r="H501" i="148"/>
  <c r="G501" i="148"/>
  <c r="M500" i="148"/>
  <c r="P500" i="148" s="1"/>
  <c r="L500" i="148"/>
  <c r="J500" i="148"/>
  <c r="I500" i="148"/>
  <c r="H500" i="148"/>
  <c r="G500" i="148"/>
  <c r="M499" i="148"/>
  <c r="P499" i="148" s="1"/>
  <c r="L499" i="148"/>
  <c r="J499" i="148"/>
  <c r="I499" i="148"/>
  <c r="H499" i="148"/>
  <c r="G499" i="148"/>
  <c r="M498" i="148"/>
  <c r="P498" i="148" s="1"/>
  <c r="L498" i="148"/>
  <c r="J498" i="148"/>
  <c r="I498" i="148"/>
  <c r="H498" i="148"/>
  <c r="G498" i="148"/>
  <c r="M497" i="148"/>
  <c r="P497" i="148" s="1"/>
  <c r="L497" i="148"/>
  <c r="J497" i="148"/>
  <c r="I497" i="148"/>
  <c r="H497" i="148"/>
  <c r="G497" i="148"/>
  <c r="M496" i="148"/>
  <c r="P496" i="148" s="1"/>
  <c r="L496" i="148"/>
  <c r="J496" i="148"/>
  <c r="I496" i="148"/>
  <c r="H496" i="148"/>
  <c r="G496" i="148"/>
  <c r="M495" i="148"/>
  <c r="P495" i="148" s="1"/>
  <c r="L495" i="148"/>
  <c r="J495" i="148"/>
  <c r="I495" i="148"/>
  <c r="H495" i="148"/>
  <c r="G495" i="148"/>
  <c r="M494" i="148"/>
  <c r="P494" i="148" s="1"/>
  <c r="L494" i="148"/>
  <c r="J494" i="148"/>
  <c r="I494" i="148"/>
  <c r="H494" i="148"/>
  <c r="G494" i="148"/>
  <c r="M493" i="148"/>
  <c r="P493" i="148" s="1"/>
  <c r="L493" i="148"/>
  <c r="J493" i="148"/>
  <c r="I493" i="148"/>
  <c r="H493" i="148"/>
  <c r="G493" i="148"/>
  <c r="M492" i="148"/>
  <c r="P492" i="148" s="1"/>
  <c r="L492" i="148"/>
  <c r="J492" i="148"/>
  <c r="I492" i="148"/>
  <c r="H492" i="148"/>
  <c r="G492" i="148"/>
  <c r="M491" i="148"/>
  <c r="P491" i="148" s="1"/>
  <c r="L491" i="148"/>
  <c r="J491" i="148"/>
  <c r="I491" i="148"/>
  <c r="H491" i="148"/>
  <c r="G491" i="148"/>
  <c r="M490" i="148"/>
  <c r="P490" i="148" s="1"/>
  <c r="L490" i="148"/>
  <c r="J490" i="148"/>
  <c r="I490" i="148"/>
  <c r="H490" i="148"/>
  <c r="G490" i="148"/>
  <c r="M489" i="148"/>
  <c r="P489" i="148" s="1"/>
  <c r="L489" i="148"/>
  <c r="J489" i="148"/>
  <c r="I489" i="148"/>
  <c r="H489" i="148"/>
  <c r="G489" i="148"/>
  <c r="M488" i="148"/>
  <c r="P488" i="148" s="1"/>
  <c r="L488" i="148"/>
  <c r="J488" i="148"/>
  <c r="I488" i="148"/>
  <c r="H488" i="148"/>
  <c r="G488" i="148"/>
  <c r="M487" i="148"/>
  <c r="P487" i="148" s="1"/>
  <c r="L487" i="148"/>
  <c r="J487" i="148"/>
  <c r="I487" i="148"/>
  <c r="H487" i="148"/>
  <c r="G487" i="148"/>
  <c r="M486" i="148"/>
  <c r="P486" i="148" s="1"/>
  <c r="L486" i="148"/>
  <c r="J486" i="148"/>
  <c r="I486" i="148"/>
  <c r="H486" i="148"/>
  <c r="G486" i="148"/>
  <c r="M485" i="148"/>
  <c r="P485" i="148" s="1"/>
  <c r="L485" i="148"/>
  <c r="J485" i="148"/>
  <c r="I485" i="148"/>
  <c r="H485" i="148"/>
  <c r="G485" i="148"/>
  <c r="M484" i="148"/>
  <c r="P484" i="148" s="1"/>
  <c r="L484" i="148"/>
  <c r="J484" i="148"/>
  <c r="I484" i="148"/>
  <c r="H484" i="148"/>
  <c r="G484" i="148"/>
  <c r="M483" i="148"/>
  <c r="P483" i="148" s="1"/>
  <c r="L483" i="148"/>
  <c r="J483" i="148"/>
  <c r="I483" i="148"/>
  <c r="H483" i="148"/>
  <c r="G483" i="148"/>
  <c r="M482" i="148"/>
  <c r="P482" i="148" s="1"/>
  <c r="L482" i="148"/>
  <c r="J482" i="148"/>
  <c r="I482" i="148"/>
  <c r="H482" i="148"/>
  <c r="G482" i="148"/>
  <c r="M481" i="148"/>
  <c r="P481" i="148" s="1"/>
  <c r="L481" i="148"/>
  <c r="J481" i="148"/>
  <c r="I481" i="148"/>
  <c r="H481" i="148"/>
  <c r="G481" i="148"/>
  <c r="M480" i="148"/>
  <c r="P480" i="148" s="1"/>
  <c r="L480" i="148"/>
  <c r="J480" i="148"/>
  <c r="I480" i="148"/>
  <c r="H480" i="148"/>
  <c r="G480" i="148"/>
  <c r="M479" i="148"/>
  <c r="P479" i="148" s="1"/>
  <c r="L479" i="148"/>
  <c r="J479" i="148"/>
  <c r="I479" i="148"/>
  <c r="H479" i="148"/>
  <c r="G479" i="148"/>
  <c r="M478" i="148"/>
  <c r="P478" i="148" s="1"/>
  <c r="L478" i="148"/>
  <c r="J478" i="148"/>
  <c r="I478" i="148"/>
  <c r="H478" i="148"/>
  <c r="G478" i="148"/>
  <c r="M477" i="148"/>
  <c r="P477" i="148" s="1"/>
  <c r="L477" i="148"/>
  <c r="J477" i="148"/>
  <c r="I477" i="148"/>
  <c r="H477" i="148"/>
  <c r="G477" i="148"/>
  <c r="M476" i="148"/>
  <c r="P476" i="148" s="1"/>
  <c r="L476" i="148"/>
  <c r="J476" i="148"/>
  <c r="I476" i="148"/>
  <c r="H476" i="148"/>
  <c r="G476" i="148"/>
  <c r="M475" i="148"/>
  <c r="P475" i="148" s="1"/>
  <c r="L475" i="148"/>
  <c r="J475" i="148"/>
  <c r="I475" i="148"/>
  <c r="H475" i="148"/>
  <c r="G475" i="148"/>
  <c r="M474" i="148"/>
  <c r="P474" i="148" s="1"/>
  <c r="L474" i="148"/>
  <c r="J474" i="148"/>
  <c r="I474" i="148"/>
  <c r="H474" i="148"/>
  <c r="G474" i="148"/>
  <c r="M473" i="148"/>
  <c r="P473" i="148" s="1"/>
  <c r="L473" i="148"/>
  <c r="J473" i="148"/>
  <c r="I473" i="148"/>
  <c r="H473" i="148"/>
  <c r="G473" i="148"/>
  <c r="M472" i="148"/>
  <c r="P472" i="148" s="1"/>
  <c r="L472" i="148"/>
  <c r="J472" i="148"/>
  <c r="I472" i="148"/>
  <c r="H472" i="148"/>
  <c r="G472" i="148"/>
  <c r="M471" i="148"/>
  <c r="P471" i="148" s="1"/>
  <c r="L471" i="148"/>
  <c r="J471" i="148"/>
  <c r="I471" i="148"/>
  <c r="H471" i="148"/>
  <c r="G471" i="148"/>
  <c r="M470" i="148"/>
  <c r="P470" i="148" s="1"/>
  <c r="L470" i="148"/>
  <c r="J470" i="148"/>
  <c r="I470" i="148"/>
  <c r="H470" i="148"/>
  <c r="G470" i="148"/>
  <c r="M469" i="148"/>
  <c r="P469" i="148" s="1"/>
  <c r="L469" i="148"/>
  <c r="J469" i="148"/>
  <c r="I469" i="148"/>
  <c r="H469" i="148"/>
  <c r="G469" i="148"/>
  <c r="M468" i="148"/>
  <c r="P468" i="148" s="1"/>
  <c r="L468" i="148"/>
  <c r="J468" i="148"/>
  <c r="I468" i="148"/>
  <c r="H468" i="148"/>
  <c r="G468" i="148"/>
  <c r="M467" i="148"/>
  <c r="P467" i="148" s="1"/>
  <c r="L467" i="148"/>
  <c r="J467" i="148"/>
  <c r="I467" i="148"/>
  <c r="H467" i="148"/>
  <c r="G467" i="148"/>
  <c r="M466" i="148"/>
  <c r="P466" i="148" s="1"/>
  <c r="L466" i="148"/>
  <c r="J466" i="148"/>
  <c r="I466" i="148"/>
  <c r="H466" i="148"/>
  <c r="G466" i="148"/>
  <c r="M465" i="148"/>
  <c r="P465" i="148" s="1"/>
  <c r="L465" i="148"/>
  <c r="J465" i="148"/>
  <c r="I465" i="148"/>
  <c r="H465" i="148"/>
  <c r="G465" i="148"/>
  <c r="M464" i="148"/>
  <c r="P464" i="148" s="1"/>
  <c r="L464" i="148"/>
  <c r="J464" i="148"/>
  <c r="I464" i="148"/>
  <c r="H464" i="148"/>
  <c r="G464" i="148"/>
  <c r="M463" i="148"/>
  <c r="P463" i="148" s="1"/>
  <c r="L463" i="148"/>
  <c r="J463" i="148"/>
  <c r="I463" i="148"/>
  <c r="H463" i="148"/>
  <c r="G463" i="148"/>
  <c r="M462" i="148"/>
  <c r="P462" i="148" s="1"/>
  <c r="L462" i="148"/>
  <c r="J462" i="148"/>
  <c r="I462" i="148"/>
  <c r="H462" i="148"/>
  <c r="G462" i="148"/>
  <c r="M461" i="148"/>
  <c r="P461" i="148" s="1"/>
  <c r="L461" i="148"/>
  <c r="J461" i="148"/>
  <c r="I461" i="148"/>
  <c r="H461" i="148"/>
  <c r="G461" i="148"/>
  <c r="M460" i="148"/>
  <c r="P460" i="148" s="1"/>
  <c r="L460" i="148"/>
  <c r="J460" i="148"/>
  <c r="I460" i="148"/>
  <c r="H460" i="148"/>
  <c r="G460" i="148"/>
  <c r="M459" i="148"/>
  <c r="P459" i="148" s="1"/>
  <c r="L459" i="148"/>
  <c r="J459" i="148"/>
  <c r="I459" i="148"/>
  <c r="H459" i="148"/>
  <c r="G459" i="148"/>
  <c r="M458" i="148"/>
  <c r="P458" i="148" s="1"/>
  <c r="L458" i="148"/>
  <c r="J458" i="148"/>
  <c r="I458" i="148"/>
  <c r="H458" i="148"/>
  <c r="G458" i="148"/>
  <c r="M457" i="148"/>
  <c r="P457" i="148" s="1"/>
  <c r="L457" i="148"/>
  <c r="J457" i="148"/>
  <c r="I457" i="148"/>
  <c r="H457" i="148"/>
  <c r="G457" i="148"/>
  <c r="M456" i="148"/>
  <c r="P456" i="148" s="1"/>
  <c r="L456" i="148"/>
  <c r="J456" i="148"/>
  <c r="I456" i="148"/>
  <c r="H456" i="148"/>
  <c r="G456" i="148"/>
  <c r="M455" i="148"/>
  <c r="P455" i="148" s="1"/>
  <c r="L455" i="148"/>
  <c r="J455" i="148"/>
  <c r="I455" i="148"/>
  <c r="H455" i="148"/>
  <c r="G455" i="148"/>
  <c r="M454" i="148"/>
  <c r="P454" i="148" s="1"/>
  <c r="L454" i="148"/>
  <c r="J454" i="148"/>
  <c r="I454" i="148"/>
  <c r="H454" i="148"/>
  <c r="G454" i="148"/>
  <c r="M453" i="148"/>
  <c r="P453" i="148" s="1"/>
  <c r="L453" i="148"/>
  <c r="J453" i="148"/>
  <c r="I453" i="148"/>
  <c r="H453" i="148"/>
  <c r="G453" i="148"/>
  <c r="M452" i="148"/>
  <c r="P452" i="148" s="1"/>
  <c r="L452" i="148"/>
  <c r="J452" i="148"/>
  <c r="I452" i="148"/>
  <c r="H452" i="148"/>
  <c r="G452" i="148"/>
  <c r="M451" i="148"/>
  <c r="P451" i="148" s="1"/>
  <c r="L451" i="148"/>
  <c r="J451" i="148"/>
  <c r="I451" i="148"/>
  <c r="H451" i="148"/>
  <c r="G451" i="148"/>
  <c r="M450" i="148"/>
  <c r="P450" i="148" s="1"/>
  <c r="L450" i="148"/>
  <c r="J450" i="148"/>
  <c r="I450" i="148"/>
  <c r="H450" i="148"/>
  <c r="G450" i="148"/>
  <c r="M449" i="148"/>
  <c r="P449" i="148" s="1"/>
  <c r="L449" i="148"/>
  <c r="J449" i="148"/>
  <c r="I449" i="148"/>
  <c r="H449" i="148"/>
  <c r="G449" i="148"/>
  <c r="M448" i="148"/>
  <c r="P448" i="148" s="1"/>
  <c r="L448" i="148"/>
  <c r="J448" i="148"/>
  <c r="I448" i="148"/>
  <c r="H448" i="148"/>
  <c r="G448" i="148"/>
  <c r="M447" i="148"/>
  <c r="P447" i="148" s="1"/>
  <c r="L447" i="148"/>
  <c r="J447" i="148"/>
  <c r="I447" i="148"/>
  <c r="H447" i="148"/>
  <c r="G447" i="148"/>
  <c r="M446" i="148"/>
  <c r="P446" i="148" s="1"/>
  <c r="L446" i="148"/>
  <c r="J446" i="148"/>
  <c r="I446" i="148"/>
  <c r="H446" i="148"/>
  <c r="G446" i="148"/>
  <c r="M445" i="148"/>
  <c r="P445" i="148" s="1"/>
  <c r="L445" i="148"/>
  <c r="J445" i="148"/>
  <c r="I445" i="148"/>
  <c r="H445" i="148"/>
  <c r="G445" i="148"/>
  <c r="M444" i="148"/>
  <c r="P444" i="148" s="1"/>
  <c r="L444" i="148"/>
  <c r="J444" i="148"/>
  <c r="I444" i="148"/>
  <c r="H444" i="148"/>
  <c r="G444" i="148"/>
  <c r="M443" i="148"/>
  <c r="P443" i="148" s="1"/>
  <c r="L443" i="148"/>
  <c r="J443" i="148"/>
  <c r="I443" i="148"/>
  <c r="H443" i="148"/>
  <c r="G443" i="148"/>
  <c r="M442" i="148"/>
  <c r="P442" i="148" s="1"/>
  <c r="L442" i="148"/>
  <c r="J442" i="148"/>
  <c r="I442" i="148"/>
  <c r="H442" i="148"/>
  <c r="G442" i="148"/>
  <c r="M441" i="148"/>
  <c r="P441" i="148" s="1"/>
  <c r="L441" i="148"/>
  <c r="J441" i="148"/>
  <c r="I441" i="148"/>
  <c r="H441" i="148"/>
  <c r="G441" i="148"/>
  <c r="M440" i="148"/>
  <c r="P440" i="148" s="1"/>
  <c r="L440" i="148"/>
  <c r="J440" i="148"/>
  <c r="I440" i="148"/>
  <c r="H440" i="148"/>
  <c r="G440" i="148"/>
  <c r="M439" i="148"/>
  <c r="P439" i="148" s="1"/>
  <c r="L439" i="148"/>
  <c r="J439" i="148"/>
  <c r="I439" i="148"/>
  <c r="H439" i="148"/>
  <c r="G439" i="148"/>
  <c r="M438" i="148"/>
  <c r="P438" i="148" s="1"/>
  <c r="L438" i="148"/>
  <c r="J438" i="148"/>
  <c r="I438" i="148"/>
  <c r="H438" i="148"/>
  <c r="G438" i="148"/>
  <c r="M437" i="148"/>
  <c r="P437" i="148" s="1"/>
  <c r="L437" i="148"/>
  <c r="J437" i="148"/>
  <c r="I437" i="148"/>
  <c r="H437" i="148"/>
  <c r="G437" i="148"/>
  <c r="M436" i="148"/>
  <c r="P436" i="148" s="1"/>
  <c r="L436" i="148"/>
  <c r="J436" i="148"/>
  <c r="I436" i="148"/>
  <c r="H436" i="148"/>
  <c r="G436" i="148"/>
  <c r="M435" i="148"/>
  <c r="P435" i="148" s="1"/>
  <c r="L435" i="148"/>
  <c r="J435" i="148"/>
  <c r="I435" i="148"/>
  <c r="H435" i="148"/>
  <c r="G435" i="148"/>
  <c r="M434" i="148"/>
  <c r="P434" i="148" s="1"/>
  <c r="L434" i="148"/>
  <c r="J434" i="148"/>
  <c r="I434" i="148"/>
  <c r="H434" i="148"/>
  <c r="G434" i="148"/>
  <c r="M433" i="148"/>
  <c r="P433" i="148" s="1"/>
  <c r="L433" i="148"/>
  <c r="J433" i="148"/>
  <c r="I433" i="148"/>
  <c r="H433" i="148"/>
  <c r="G433" i="148"/>
  <c r="M432" i="148"/>
  <c r="P432" i="148" s="1"/>
  <c r="L432" i="148"/>
  <c r="J432" i="148"/>
  <c r="I432" i="148"/>
  <c r="H432" i="148"/>
  <c r="G432" i="148"/>
  <c r="M431" i="148"/>
  <c r="P431" i="148" s="1"/>
  <c r="L431" i="148"/>
  <c r="J431" i="148"/>
  <c r="I431" i="148"/>
  <c r="H431" i="148"/>
  <c r="G431" i="148"/>
  <c r="M430" i="148"/>
  <c r="P430" i="148" s="1"/>
  <c r="L430" i="148"/>
  <c r="J430" i="148"/>
  <c r="I430" i="148"/>
  <c r="H430" i="148"/>
  <c r="G430" i="148"/>
  <c r="M429" i="148"/>
  <c r="P429" i="148" s="1"/>
  <c r="L429" i="148"/>
  <c r="J429" i="148"/>
  <c r="I429" i="148"/>
  <c r="H429" i="148"/>
  <c r="G429" i="148"/>
  <c r="M428" i="148"/>
  <c r="P428" i="148" s="1"/>
  <c r="L428" i="148"/>
  <c r="J428" i="148"/>
  <c r="I428" i="148"/>
  <c r="H428" i="148"/>
  <c r="G428" i="148"/>
  <c r="M427" i="148"/>
  <c r="P427" i="148" s="1"/>
  <c r="L427" i="148"/>
  <c r="J427" i="148"/>
  <c r="I427" i="148"/>
  <c r="H427" i="148"/>
  <c r="G427" i="148"/>
  <c r="M426" i="148"/>
  <c r="P426" i="148" s="1"/>
  <c r="L426" i="148"/>
  <c r="J426" i="148"/>
  <c r="I426" i="148"/>
  <c r="H426" i="148"/>
  <c r="G426" i="148"/>
  <c r="M425" i="148"/>
  <c r="P425" i="148" s="1"/>
  <c r="L425" i="148"/>
  <c r="J425" i="148"/>
  <c r="I425" i="148"/>
  <c r="H425" i="148"/>
  <c r="G425" i="148"/>
  <c r="M424" i="148"/>
  <c r="P424" i="148" s="1"/>
  <c r="L424" i="148"/>
  <c r="J424" i="148"/>
  <c r="I424" i="148"/>
  <c r="H424" i="148"/>
  <c r="G424" i="148"/>
  <c r="M423" i="148"/>
  <c r="P423" i="148" s="1"/>
  <c r="L423" i="148"/>
  <c r="J423" i="148"/>
  <c r="I423" i="148"/>
  <c r="H423" i="148"/>
  <c r="G423" i="148"/>
  <c r="M422" i="148"/>
  <c r="P422" i="148" s="1"/>
  <c r="L422" i="148"/>
  <c r="J422" i="148"/>
  <c r="I422" i="148"/>
  <c r="H422" i="148"/>
  <c r="G422" i="148"/>
  <c r="M421" i="148"/>
  <c r="P421" i="148" s="1"/>
  <c r="L421" i="148"/>
  <c r="J421" i="148"/>
  <c r="I421" i="148"/>
  <c r="H421" i="148"/>
  <c r="G421" i="148"/>
  <c r="M420" i="148"/>
  <c r="P420" i="148" s="1"/>
  <c r="L420" i="148"/>
  <c r="J420" i="148"/>
  <c r="I420" i="148"/>
  <c r="H420" i="148"/>
  <c r="G420" i="148"/>
  <c r="M419" i="148"/>
  <c r="P419" i="148" s="1"/>
  <c r="L419" i="148"/>
  <c r="J419" i="148"/>
  <c r="I419" i="148"/>
  <c r="H419" i="148"/>
  <c r="G419" i="148"/>
  <c r="M418" i="148"/>
  <c r="P418" i="148" s="1"/>
  <c r="L418" i="148"/>
  <c r="J418" i="148"/>
  <c r="I418" i="148"/>
  <c r="H418" i="148"/>
  <c r="G418" i="148"/>
  <c r="M417" i="148"/>
  <c r="P417" i="148" s="1"/>
  <c r="L417" i="148"/>
  <c r="J417" i="148"/>
  <c r="I417" i="148"/>
  <c r="H417" i="148"/>
  <c r="G417" i="148"/>
  <c r="M416" i="148"/>
  <c r="P416" i="148" s="1"/>
  <c r="L416" i="148"/>
  <c r="J416" i="148"/>
  <c r="I416" i="148"/>
  <c r="H416" i="148"/>
  <c r="G416" i="148"/>
  <c r="M415" i="148"/>
  <c r="P415" i="148" s="1"/>
  <c r="L415" i="148"/>
  <c r="J415" i="148"/>
  <c r="I415" i="148"/>
  <c r="H415" i="148"/>
  <c r="G415" i="148"/>
  <c r="M414" i="148"/>
  <c r="P414" i="148" s="1"/>
  <c r="L414" i="148"/>
  <c r="J414" i="148"/>
  <c r="I414" i="148"/>
  <c r="H414" i="148"/>
  <c r="G414" i="148"/>
  <c r="M413" i="148"/>
  <c r="P413" i="148" s="1"/>
  <c r="L413" i="148"/>
  <c r="J413" i="148"/>
  <c r="I413" i="148"/>
  <c r="H413" i="148"/>
  <c r="G413" i="148"/>
  <c r="M412" i="148"/>
  <c r="P412" i="148" s="1"/>
  <c r="L412" i="148"/>
  <c r="J412" i="148"/>
  <c r="I412" i="148"/>
  <c r="H412" i="148"/>
  <c r="G412" i="148"/>
  <c r="M411" i="148"/>
  <c r="P411" i="148" s="1"/>
  <c r="L411" i="148"/>
  <c r="J411" i="148"/>
  <c r="I411" i="148"/>
  <c r="H411" i="148"/>
  <c r="G411" i="148"/>
  <c r="M410" i="148"/>
  <c r="P410" i="148" s="1"/>
  <c r="L410" i="148"/>
  <c r="J410" i="148"/>
  <c r="I410" i="148"/>
  <c r="H410" i="148"/>
  <c r="G410" i="148"/>
  <c r="M409" i="148"/>
  <c r="P409" i="148" s="1"/>
  <c r="L409" i="148"/>
  <c r="J409" i="148"/>
  <c r="I409" i="148"/>
  <c r="H409" i="148"/>
  <c r="G409" i="148"/>
  <c r="M408" i="148"/>
  <c r="P408" i="148" s="1"/>
  <c r="L408" i="148"/>
  <c r="J408" i="148"/>
  <c r="I408" i="148"/>
  <c r="H408" i="148"/>
  <c r="G408" i="148"/>
  <c r="M407" i="148"/>
  <c r="P407" i="148" s="1"/>
  <c r="L407" i="148"/>
  <c r="J407" i="148"/>
  <c r="I407" i="148"/>
  <c r="H407" i="148"/>
  <c r="G407" i="148"/>
  <c r="M406" i="148"/>
  <c r="P406" i="148" s="1"/>
  <c r="L406" i="148"/>
  <c r="J406" i="148"/>
  <c r="I406" i="148"/>
  <c r="H406" i="148"/>
  <c r="G406" i="148"/>
  <c r="M405" i="148"/>
  <c r="P405" i="148" s="1"/>
  <c r="L405" i="148"/>
  <c r="J405" i="148"/>
  <c r="I405" i="148"/>
  <c r="H405" i="148"/>
  <c r="G405" i="148"/>
  <c r="M404" i="148"/>
  <c r="P404" i="148" s="1"/>
  <c r="L404" i="148"/>
  <c r="J404" i="148"/>
  <c r="I404" i="148"/>
  <c r="H404" i="148"/>
  <c r="G404" i="148"/>
  <c r="M403" i="148"/>
  <c r="P403" i="148" s="1"/>
  <c r="L403" i="148"/>
  <c r="J403" i="148"/>
  <c r="I403" i="148"/>
  <c r="H403" i="148"/>
  <c r="G403" i="148"/>
  <c r="M402" i="148"/>
  <c r="P402" i="148" s="1"/>
  <c r="L402" i="148"/>
  <c r="J402" i="148"/>
  <c r="I402" i="148"/>
  <c r="H402" i="148"/>
  <c r="G402" i="148"/>
  <c r="M401" i="148"/>
  <c r="P401" i="148" s="1"/>
  <c r="L401" i="148"/>
  <c r="J401" i="148"/>
  <c r="I401" i="148"/>
  <c r="H401" i="148"/>
  <c r="G401" i="148"/>
  <c r="M400" i="148"/>
  <c r="P400" i="148" s="1"/>
  <c r="L400" i="148"/>
  <c r="J400" i="148"/>
  <c r="I400" i="148"/>
  <c r="H400" i="148"/>
  <c r="G400" i="148"/>
  <c r="M399" i="148"/>
  <c r="P399" i="148" s="1"/>
  <c r="L399" i="148"/>
  <c r="J399" i="148"/>
  <c r="I399" i="148"/>
  <c r="H399" i="148"/>
  <c r="G399" i="148"/>
  <c r="M398" i="148"/>
  <c r="P398" i="148" s="1"/>
  <c r="L398" i="148"/>
  <c r="J398" i="148"/>
  <c r="I398" i="148"/>
  <c r="H398" i="148"/>
  <c r="G398" i="148"/>
  <c r="M397" i="148"/>
  <c r="P397" i="148" s="1"/>
  <c r="L397" i="148"/>
  <c r="J397" i="148"/>
  <c r="I397" i="148"/>
  <c r="H397" i="148"/>
  <c r="G397" i="148"/>
  <c r="M396" i="148"/>
  <c r="P396" i="148" s="1"/>
  <c r="L396" i="148"/>
  <c r="J396" i="148"/>
  <c r="I396" i="148"/>
  <c r="H396" i="148"/>
  <c r="G396" i="148"/>
  <c r="M395" i="148"/>
  <c r="P395" i="148" s="1"/>
  <c r="L395" i="148"/>
  <c r="J395" i="148"/>
  <c r="I395" i="148"/>
  <c r="H395" i="148"/>
  <c r="G395" i="148"/>
  <c r="M394" i="148"/>
  <c r="P394" i="148" s="1"/>
  <c r="L394" i="148"/>
  <c r="J394" i="148"/>
  <c r="I394" i="148"/>
  <c r="H394" i="148"/>
  <c r="G394" i="148"/>
  <c r="M393" i="148"/>
  <c r="P393" i="148" s="1"/>
  <c r="L393" i="148"/>
  <c r="J393" i="148"/>
  <c r="I393" i="148"/>
  <c r="H393" i="148"/>
  <c r="G393" i="148"/>
  <c r="M392" i="148"/>
  <c r="P392" i="148" s="1"/>
  <c r="L392" i="148"/>
  <c r="J392" i="148"/>
  <c r="I392" i="148"/>
  <c r="H392" i="148"/>
  <c r="G392" i="148"/>
  <c r="M391" i="148"/>
  <c r="P391" i="148" s="1"/>
  <c r="L391" i="148"/>
  <c r="J391" i="148"/>
  <c r="I391" i="148"/>
  <c r="H391" i="148"/>
  <c r="G391" i="148"/>
  <c r="M390" i="148"/>
  <c r="P390" i="148" s="1"/>
  <c r="L390" i="148"/>
  <c r="J390" i="148"/>
  <c r="I390" i="148"/>
  <c r="H390" i="148"/>
  <c r="G390" i="148"/>
  <c r="M389" i="148"/>
  <c r="P389" i="148" s="1"/>
  <c r="L389" i="148"/>
  <c r="J389" i="148"/>
  <c r="I389" i="148"/>
  <c r="H389" i="148"/>
  <c r="G389" i="148"/>
  <c r="M388" i="148"/>
  <c r="P388" i="148" s="1"/>
  <c r="L388" i="148"/>
  <c r="J388" i="148"/>
  <c r="I388" i="148"/>
  <c r="H388" i="148"/>
  <c r="G388" i="148"/>
  <c r="M387" i="148"/>
  <c r="P387" i="148" s="1"/>
  <c r="L387" i="148"/>
  <c r="J387" i="148"/>
  <c r="I387" i="148"/>
  <c r="H387" i="148"/>
  <c r="G387" i="148"/>
  <c r="M386" i="148"/>
  <c r="P386" i="148" s="1"/>
  <c r="L386" i="148"/>
  <c r="J386" i="148"/>
  <c r="I386" i="148"/>
  <c r="H386" i="148"/>
  <c r="G386" i="148"/>
  <c r="M385" i="148"/>
  <c r="P385" i="148" s="1"/>
  <c r="L385" i="148"/>
  <c r="J385" i="148"/>
  <c r="I385" i="148"/>
  <c r="H385" i="148"/>
  <c r="G385" i="148"/>
  <c r="M384" i="148"/>
  <c r="P384" i="148" s="1"/>
  <c r="L384" i="148"/>
  <c r="J384" i="148"/>
  <c r="I384" i="148"/>
  <c r="H384" i="148"/>
  <c r="G384" i="148"/>
  <c r="M383" i="148"/>
  <c r="P383" i="148" s="1"/>
  <c r="L383" i="148"/>
  <c r="J383" i="148"/>
  <c r="I383" i="148"/>
  <c r="H383" i="148"/>
  <c r="G383" i="148"/>
  <c r="M382" i="148"/>
  <c r="P382" i="148" s="1"/>
  <c r="L382" i="148"/>
  <c r="J382" i="148"/>
  <c r="I382" i="148"/>
  <c r="H382" i="148"/>
  <c r="G382" i="148"/>
  <c r="M381" i="148"/>
  <c r="P381" i="148" s="1"/>
  <c r="L381" i="148"/>
  <c r="J381" i="148"/>
  <c r="I381" i="148"/>
  <c r="H381" i="148"/>
  <c r="G381" i="148"/>
  <c r="M380" i="148"/>
  <c r="P380" i="148" s="1"/>
  <c r="L380" i="148"/>
  <c r="J380" i="148"/>
  <c r="I380" i="148"/>
  <c r="H380" i="148"/>
  <c r="G380" i="148"/>
  <c r="M379" i="148"/>
  <c r="P379" i="148" s="1"/>
  <c r="L379" i="148"/>
  <c r="J379" i="148"/>
  <c r="I379" i="148"/>
  <c r="H379" i="148"/>
  <c r="G379" i="148"/>
  <c r="M378" i="148"/>
  <c r="P378" i="148" s="1"/>
  <c r="L378" i="148"/>
  <c r="J378" i="148"/>
  <c r="I378" i="148"/>
  <c r="H378" i="148"/>
  <c r="G378" i="148"/>
  <c r="M377" i="148"/>
  <c r="P377" i="148" s="1"/>
  <c r="L377" i="148"/>
  <c r="J377" i="148"/>
  <c r="I377" i="148"/>
  <c r="H377" i="148"/>
  <c r="G377" i="148"/>
  <c r="M376" i="148"/>
  <c r="P376" i="148" s="1"/>
  <c r="L376" i="148"/>
  <c r="J376" i="148"/>
  <c r="I376" i="148"/>
  <c r="H376" i="148"/>
  <c r="G376" i="148"/>
  <c r="M375" i="148"/>
  <c r="P375" i="148" s="1"/>
  <c r="L375" i="148"/>
  <c r="J375" i="148"/>
  <c r="I375" i="148"/>
  <c r="H375" i="148"/>
  <c r="G375" i="148"/>
  <c r="M374" i="148"/>
  <c r="P374" i="148" s="1"/>
  <c r="L374" i="148"/>
  <c r="J374" i="148"/>
  <c r="I374" i="148"/>
  <c r="H374" i="148"/>
  <c r="G374" i="148"/>
  <c r="M373" i="148"/>
  <c r="P373" i="148" s="1"/>
  <c r="L373" i="148"/>
  <c r="J373" i="148"/>
  <c r="I373" i="148"/>
  <c r="H373" i="148"/>
  <c r="G373" i="148"/>
  <c r="M372" i="148"/>
  <c r="P372" i="148" s="1"/>
  <c r="L372" i="148"/>
  <c r="J372" i="148"/>
  <c r="I372" i="148"/>
  <c r="H372" i="148"/>
  <c r="G372" i="148"/>
  <c r="M371" i="148"/>
  <c r="P371" i="148" s="1"/>
  <c r="L371" i="148"/>
  <c r="J371" i="148"/>
  <c r="I371" i="148"/>
  <c r="H371" i="148"/>
  <c r="G371" i="148"/>
  <c r="M370" i="148"/>
  <c r="P370" i="148" s="1"/>
  <c r="L370" i="148"/>
  <c r="J370" i="148"/>
  <c r="I370" i="148"/>
  <c r="H370" i="148"/>
  <c r="G370" i="148"/>
  <c r="M369" i="148"/>
  <c r="P369" i="148" s="1"/>
  <c r="L369" i="148"/>
  <c r="J369" i="148"/>
  <c r="I369" i="148"/>
  <c r="H369" i="148"/>
  <c r="G369" i="148"/>
  <c r="M368" i="148"/>
  <c r="P368" i="148" s="1"/>
  <c r="L368" i="148"/>
  <c r="J368" i="148"/>
  <c r="I368" i="148"/>
  <c r="H368" i="148"/>
  <c r="G368" i="148"/>
  <c r="M367" i="148"/>
  <c r="P367" i="148" s="1"/>
  <c r="L367" i="148"/>
  <c r="J367" i="148"/>
  <c r="I367" i="148"/>
  <c r="H367" i="148"/>
  <c r="G367" i="148"/>
  <c r="M366" i="148"/>
  <c r="P366" i="148" s="1"/>
  <c r="L366" i="148"/>
  <c r="J366" i="148"/>
  <c r="I366" i="148"/>
  <c r="H366" i="148"/>
  <c r="G366" i="148"/>
  <c r="M365" i="148"/>
  <c r="P365" i="148" s="1"/>
  <c r="L365" i="148"/>
  <c r="J365" i="148"/>
  <c r="I365" i="148"/>
  <c r="H365" i="148"/>
  <c r="G365" i="148"/>
  <c r="M364" i="148"/>
  <c r="P364" i="148" s="1"/>
  <c r="L364" i="148"/>
  <c r="J364" i="148"/>
  <c r="I364" i="148"/>
  <c r="H364" i="148"/>
  <c r="G364" i="148"/>
  <c r="M363" i="148"/>
  <c r="P363" i="148" s="1"/>
  <c r="L363" i="148"/>
  <c r="J363" i="148"/>
  <c r="I363" i="148"/>
  <c r="H363" i="148"/>
  <c r="G363" i="148"/>
  <c r="M362" i="148"/>
  <c r="P362" i="148" s="1"/>
  <c r="L362" i="148"/>
  <c r="J362" i="148"/>
  <c r="I362" i="148"/>
  <c r="H362" i="148"/>
  <c r="G362" i="148"/>
  <c r="M361" i="148"/>
  <c r="P361" i="148" s="1"/>
  <c r="L361" i="148"/>
  <c r="J361" i="148"/>
  <c r="I361" i="148"/>
  <c r="H361" i="148"/>
  <c r="G361" i="148"/>
  <c r="M360" i="148"/>
  <c r="P360" i="148" s="1"/>
  <c r="L360" i="148"/>
  <c r="J360" i="148"/>
  <c r="I360" i="148"/>
  <c r="H360" i="148"/>
  <c r="G360" i="148"/>
  <c r="M359" i="148"/>
  <c r="P359" i="148" s="1"/>
  <c r="L359" i="148"/>
  <c r="J359" i="148"/>
  <c r="I359" i="148"/>
  <c r="H359" i="148"/>
  <c r="G359" i="148"/>
  <c r="M358" i="148"/>
  <c r="P358" i="148" s="1"/>
  <c r="L358" i="148"/>
  <c r="J358" i="148"/>
  <c r="I358" i="148"/>
  <c r="H358" i="148"/>
  <c r="G358" i="148"/>
  <c r="M357" i="148"/>
  <c r="P357" i="148" s="1"/>
  <c r="L357" i="148"/>
  <c r="J357" i="148"/>
  <c r="I357" i="148"/>
  <c r="H357" i="148"/>
  <c r="G357" i="148"/>
  <c r="M356" i="148"/>
  <c r="P356" i="148" s="1"/>
  <c r="L356" i="148"/>
  <c r="J356" i="148"/>
  <c r="I356" i="148"/>
  <c r="H356" i="148"/>
  <c r="G356" i="148"/>
  <c r="M355" i="148"/>
  <c r="P355" i="148" s="1"/>
  <c r="L355" i="148"/>
  <c r="J355" i="148"/>
  <c r="I355" i="148"/>
  <c r="H355" i="148"/>
  <c r="G355" i="148"/>
  <c r="M354" i="148"/>
  <c r="P354" i="148" s="1"/>
  <c r="L354" i="148"/>
  <c r="J354" i="148"/>
  <c r="I354" i="148"/>
  <c r="H354" i="148"/>
  <c r="G354" i="148"/>
  <c r="M353" i="148"/>
  <c r="P353" i="148" s="1"/>
  <c r="L353" i="148"/>
  <c r="J353" i="148"/>
  <c r="I353" i="148"/>
  <c r="H353" i="148"/>
  <c r="G353" i="148"/>
  <c r="M352" i="148"/>
  <c r="P352" i="148" s="1"/>
  <c r="L352" i="148"/>
  <c r="J352" i="148"/>
  <c r="I352" i="148"/>
  <c r="H352" i="148"/>
  <c r="G352" i="148"/>
  <c r="M351" i="148"/>
  <c r="P351" i="148" s="1"/>
  <c r="L351" i="148"/>
  <c r="J351" i="148"/>
  <c r="I351" i="148"/>
  <c r="H351" i="148"/>
  <c r="G351" i="148"/>
  <c r="M350" i="148"/>
  <c r="P350" i="148" s="1"/>
  <c r="L350" i="148"/>
  <c r="J350" i="148"/>
  <c r="I350" i="148"/>
  <c r="H350" i="148"/>
  <c r="G350" i="148"/>
  <c r="M349" i="148"/>
  <c r="P349" i="148" s="1"/>
  <c r="L349" i="148"/>
  <c r="J349" i="148"/>
  <c r="I349" i="148"/>
  <c r="H349" i="148"/>
  <c r="G349" i="148"/>
  <c r="M348" i="148"/>
  <c r="P348" i="148" s="1"/>
  <c r="L348" i="148"/>
  <c r="J348" i="148"/>
  <c r="I348" i="148"/>
  <c r="H348" i="148"/>
  <c r="G348" i="148"/>
  <c r="M347" i="148"/>
  <c r="P347" i="148" s="1"/>
  <c r="L347" i="148"/>
  <c r="J347" i="148"/>
  <c r="I347" i="148"/>
  <c r="H347" i="148"/>
  <c r="G347" i="148"/>
  <c r="M346" i="148"/>
  <c r="P346" i="148" s="1"/>
  <c r="L346" i="148"/>
  <c r="J346" i="148"/>
  <c r="I346" i="148"/>
  <c r="H346" i="148"/>
  <c r="G346" i="148"/>
  <c r="M345" i="148"/>
  <c r="P345" i="148" s="1"/>
  <c r="L345" i="148"/>
  <c r="J345" i="148"/>
  <c r="I345" i="148"/>
  <c r="H345" i="148"/>
  <c r="G345" i="148"/>
  <c r="M344" i="148"/>
  <c r="P344" i="148" s="1"/>
  <c r="L344" i="148"/>
  <c r="J344" i="148"/>
  <c r="I344" i="148"/>
  <c r="H344" i="148"/>
  <c r="G344" i="148"/>
  <c r="M343" i="148"/>
  <c r="P343" i="148" s="1"/>
  <c r="L343" i="148"/>
  <c r="J343" i="148"/>
  <c r="I343" i="148"/>
  <c r="H343" i="148"/>
  <c r="G343" i="148"/>
  <c r="M342" i="148"/>
  <c r="P342" i="148" s="1"/>
  <c r="L342" i="148"/>
  <c r="J342" i="148"/>
  <c r="I342" i="148"/>
  <c r="H342" i="148"/>
  <c r="G342" i="148"/>
  <c r="M341" i="148"/>
  <c r="P341" i="148" s="1"/>
  <c r="L341" i="148"/>
  <c r="J341" i="148"/>
  <c r="I341" i="148"/>
  <c r="H341" i="148"/>
  <c r="G341" i="148"/>
  <c r="M340" i="148"/>
  <c r="P340" i="148" s="1"/>
  <c r="L340" i="148"/>
  <c r="J340" i="148"/>
  <c r="I340" i="148"/>
  <c r="H340" i="148"/>
  <c r="G340" i="148"/>
  <c r="M339" i="148"/>
  <c r="P339" i="148" s="1"/>
  <c r="L339" i="148"/>
  <c r="J339" i="148"/>
  <c r="I339" i="148"/>
  <c r="H339" i="148"/>
  <c r="G339" i="148"/>
  <c r="M338" i="148"/>
  <c r="P338" i="148" s="1"/>
  <c r="L338" i="148"/>
  <c r="J338" i="148"/>
  <c r="I338" i="148"/>
  <c r="H338" i="148"/>
  <c r="G338" i="148"/>
  <c r="M337" i="148"/>
  <c r="P337" i="148" s="1"/>
  <c r="L337" i="148"/>
  <c r="J337" i="148"/>
  <c r="I337" i="148"/>
  <c r="H337" i="148"/>
  <c r="G337" i="148"/>
  <c r="M336" i="148"/>
  <c r="P336" i="148" s="1"/>
  <c r="L336" i="148"/>
  <c r="J336" i="148"/>
  <c r="I336" i="148"/>
  <c r="H336" i="148"/>
  <c r="G336" i="148"/>
  <c r="M335" i="148"/>
  <c r="P335" i="148" s="1"/>
  <c r="L335" i="148"/>
  <c r="J335" i="148"/>
  <c r="I335" i="148"/>
  <c r="H335" i="148"/>
  <c r="G335" i="148"/>
  <c r="M334" i="148"/>
  <c r="P334" i="148" s="1"/>
  <c r="L334" i="148"/>
  <c r="J334" i="148"/>
  <c r="I334" i="148"/>
  <c r="H334" i="148"/>
  <c r="G334" i="148"/>
  <c r="M333" i="148"/>
  <c r="P333" i="148" s="1"/>
  <c r="L333" i="148"/>
  <c r="J333" i="148"/>
  <c r="I333" i="148"/>
  <c r="H333" i="148"/>
  <c r="G333" i="148"/>
  <c r="M332" i="148"/>
  <c r="P332" i="148" s="1"/>
  <c r="L332" i="148"/>
  <c r="J332" i="148"/>
  <c r="I332" i="148"/>
  <c r="H332" i="148"/>
  <c r="G332" i="148"/>
  <c r="M331" i="148"/>
  <c r="P331" i="148" s="1"/>
  <c r="L331" i="148"/>
  <c r="J331" i="148"/>
  <c r="I331" i="148"/>
  <c r="H331" i="148"/>
  <c r="G331" i="148"/>
  <c r="M330" i="148"/>
  <c r="P330" i="148" s="1"/>
  <c r="L330" i="148"/>
  <c r="J330" i="148"/>
  <c r="I330" i="148"/>
  <c r="H330" i="148"/>
  <c r="G330" i="148"/>
  <c r="M329" i="148"/>
  <c r="P329" i="148" s="1"/>
  <c r="L329" i="148"/>
  <c r="J329" i="148"/>
  <c r="I329" i="148"/>
  <c r="H329" i="148"/>
  <c r="G329" i="148"/>
  <c r="M328" i="148"/>
  <c r="P328" i="148" s="1"/>
  <c r="L328" i="148"/>
  <c r="J328" i="148"/>
  <c r="I328" i="148"/>
  <c r="H328" i="148"/>
  <c r="G328" i="148"/>
  <c r="M327" i="148"/>
  <c r="P327" i="148" s="1"/>
  <c r="L327" i="148"/>
  <c r="J327" i="148"/>
  <c r="I327" i="148"/>
  <c r="H327" i="148"/>
  <c r="G327" i="148"/>
  <c r="M326" i="148"/>
  <c r="P326" i="148" s="1"/>
  <c r="L326" i="148"/>
  <c r="J326" i="148"/>
  <c r="I326" i="148"/>
  <c r="H326" i="148"/>
  <c r="G326" i="148"/>
  <c r="M325" i="148"/>
  <c r="P325" i="148" s="1"/>
  <c r="L325" i="148"/>
  <c r="J325" i="148"/>
  <c r="I325" i="148"/>
  <c r="H325" i="148"/>
  <c r="G325" i="148"/>
  <c r="M324" i="148"/>
  <c r="P324" i="148" s="1"/>
  <c r="L324" i="148"/>
  <c r="J324" i="148"/>
  <c r="I324" i="148"/>
  <c r="H324" i="148"/>
  <c r="G324" i="148"/>
  <c r="M323" i="148"/>
  <c r="P323" i="148" s="1"/>
  <c r="L323" i="148"/>
  <c r="J323" i="148"/>
  <c r="I323" i="148"/>
  <c r="H323" i="148"/>
  <c r="G323" i="148"/>
  <c r="M322" i="148"/>
  <c r="P322" i="148" s="1"/>
  <c r="L322" i="148"/>
  <c r="J322" i="148"/>
  <c r="I322" i="148"/>
  <c r="H322" i="148"/>
  <c r="G322" i="148"/>
  <c r="M321" i="148"/>
  <c r="P321" i="148" s="1"/>
  <c r="L321" i="148"/>
  <c r="J321" i="148"/>
  <c r="I321" i="148"/>
  <c r="H321" i="148"/>
  <c r="G321" i="148"/>
  <c r="M320" i="148"/>
  <c r="P320" i="148" s="1"/>
  <c r="L320" i="148"/>
  <c r="J320" i="148"/>
  <c r="I320" i="148"/>
  <c r="H320" i="148"/>
  <c r="G320" i="148"/>
  <c r="M319" i="148"/>
  <c r="P319" i="148" s="1"/>
  <c r="L319" i="148"/>
  <c r="J319" i="148"/>
  <c r="I319" i="148"/>
  <c r="H319" i="148"/>
  <c r="G319" i="148"/>
  <c r="M318" i="148"/>
  <c r="P318" i="148" s="1"/>
  <c r="L318" i="148"/>
  <c r="J318" i="148"/>
  <c r="I318" i="148"/>
  <c r="H318" i="148"/>
  <c r="G318" i="148"/>
  <c r="M317" i="148"/>
  <c r="P317" i="148" s="1"/>
  <c r="L317" i="148"/>
  <c r="J317" i="148"/>
  <c r="I317" i="148"/>
  <c r="H317" i="148"/>
  <c r="G317" i="148"/>
  <c r="M316" i="148"/>
  <c r="P316" i="148" s="1"/>
  <c r="L316" i="148"/>
  <c r="J316" i="148"/>
  <c r="I316" i="148"/>
  <c r="H316" i="148"/>
  <c r="G316" i="148"/>
  <c r="M315" i="148"/>
  <c r="P315" i="148" s="1"/>
  <c r="L315" i="148"/>
  <c r="J315" i="148"/>
  <c r="I315" i="148"/>
  <c r="H315" i="148"/>
  <c r="G315" i="148"/>
  <c r="M314" i="148"/>
  <c r="P314" i="148" s="1"/>
  <c r="L314" i="148"/>
  <c r="J314" i="148"/>
  <c r="I314" i="148"/>
  <c r="H314" i="148"/>
  <c r="G314" i="148"/>
  <c r="M313" i="148"/>
  <c r="P313" i="148" s="1"/>
  <c r="L313" i="148"/>
  <c r="J313" i="148"/>
  <c r="I313" i="148"/>
  <c r="H313" i="148"/>
  <c r="G313" i="148"/>
  <c r="M312" i="148"/>
  <c r="P312" i="148" s="1"/>
  <c r="L312" i="148"/>
  <c r="J312" i="148"/>
  <c r="I312" i="148"/>
  <c r="H312" i="148"/>
  <c r="G312" i="148"/>
  <c r="M311" i="148"/>
  <c r="P311" i="148" s="1"/>
  <c r="L311" i="148"/>
  <c r="J311" i="148"/>
  <c r="I311" i="148"/>
  <c r="H311" i="148"/>
  <c r="G311" i="148"/>
  <c r="M310" i="148"/>
  <c r="P310" i="148" s="1"/>
  <c r="L310" i="148"/>
  <c r="J310" i="148"/>
  <c r="I310" i="148"/>
  <c r="H310" i="148"/>
  <c r="G310" i="148"/>
  <c r="M309" i="148"/>
  <c r="P309" i="148" s="1"/>
  <c r="L309" i="148"/>
  <c r="J309" i="148"/>
  <c r="I309" i="148"/>
  <c r="H309" i="148"/>
  <c r="G309" i="148"/>
  <c r="M308" i="148"/>
  <c r="P308" i="148" s="1"/>
  <c r="L308" i="148"/>
  <c r="J308" i="148"/>
  <c r="I308" i="148"/>
  <c r="H308" i="148"/>
  <c r="G308" i="148"/>
  <c r="M307" i="148"/>
  <c r="P307" i="148" s="1"/>
  <c r="L307" i="148"/>
  <c r="J307" i="148"/>
  <c r="I307" i="148"/>
  <c r="H307" i="148"/>
  <c r="G307" i="148"/>
  <c r="M306" i="148"/>
  <c r="P306" i="148" s="1"/>
  <c r="L306" i="148"/>
  <c r="J306" i="148"/>
  <c r="I306" i="148"/>
  <c r="H306" i="148"/>
  <c r="G306" i="148"/>
  <c r="M305" i="148"/>
  <c r="P305" i="148" s="1"/>
  <c r="L305" i="148"/>
  <c r="J305" i="148"/>
  <c r="I305" i="148"/>
  <c r="H305" i="148"/>
  <c r="G305" i="148"/>
  <c r="M304" i="148"/>
  <c r="P304" i="148" s="1"/>
  <c r="L304" i="148"/>
  <c r="J304" i="148"/>
  <c r="I304" i="148"/>
  <c r="H304" i="148"/>
  <c r="G304" i="148"/>
  <c r="M303" i="148"/>
  <c r="P303" i="148" s="1"/>
  <c r="L303" i="148"/>
  <c r="J303" i="148"/>
  <c r="I303" i="148"/>
  <c r="H303" i="148"/>
  <c r="G303" i="148"/>
  <c r="M302" i="148"/>
  <c r="P302" i="148" s="1"/>
  <c r="L302" i="148"/>
  <c r="J302" i="148"/>
  <c r="I302" i="148"/>
  <c r="H302" i="148"/>
  <c r="G302" i="148"/>
  <c r="M301" i="148"/>
  <c r="P301" i="148" s="1"/>
  <c r="L301" i="148"/>
  <c r="J301" i="148"/>
  <c r="I301" i="148"/>
  <c r="H301" i="148"/>
  <c r="G301" i="148"/>
  <c r="M300" i="148"/>
  <c r="P300" i="148" s="1"/>
  <c r="L300" i="148"/>
  <c r="J300" i="148"/>
  <c r="I300" i="148"/>
  <c r="H300" i="148"/>
  <c r="G300" i="148"/>
  <c r="M299" i="148"/>
  <c r="P299" i="148" s="1"/>
  <c r="L299" i="148"/>
  <c r="J299" i="148"/>
  <c r="I299" i="148"/>
  <c r="H299" i="148"/>
  <c r="G299" i="148"/>
  <c r="M298" i="148"/>
  <c r="P298" i="148" s="1"/>
  <c r="L298" i="148"/>
  <c r="J298" i="148"/>
  <c r="I298" i="148"/>
  <c r="H298" i="148"/>
  <c r="G298" i="148"/>
  <c r="M297" i="148"/>
  <c r="P297" i="148" s="1"/>
  <c r="L297" i="148"/>
  <c r="J297" i="148"/>
  <c r="I297" i="148"/>
  <c r="H297" i="148"/>
  <c r="G297" i="148"/>
  <c r="M296" i="148"/>
  <c r="P296" i="148" s="1"/>
  <c r="L296" i="148"/>
  <c r="J296" i="148"/>
  <c r="I296" i="148"/>
  <c r="H296" i="148"/>
  <c r="G296" i="148"/>
  <c r="M295" i="148"/>
  <c r="P295" i="148" s="1"/>
  <c r="L295" i="148"/>
  <c r="J295" i="148"/>
  <c r="I295" i="148"/>
  <c r="H295" i="148"/>
  <c r="G295" i="148"/>
  <c r="M294" i="148"/>
  <c r="P294" i="148" s="1"/>
  <c r="L294" i="148"/>
  <c r="J294" i="148"/>
  <c r="I294" i="148"/>
  <c r="H294" i="148"/>
  <c r="G294" i="148"/>
  <c r="M293" i="148"/>
  <c r="P293" i="148" s="1"/>
  <c r="L293" i="148"/>
  <c r="J293" i="148"/>
  <c r="I293" i="148"/>
  <c r="H293" i="148"/>
  <c r="G293" i="148"/>
  <c r="M292" i="148"/>
  <c r="P292" i="148" s="1"/>
  <c r="L292" i="148"/>
  <c r="J292" i="148"/>
  <c r="I292" i="148"/>
  <c r="H292" i="148"/>
  <c r="G292" i="148"/>
  <c r="M291" i="148"/>
  <c r="P291" i="148" s="1"/>
  <c r="L291" i="148"/>
  <c r="J291" i="148"/>
  <c r="I291" i="148"/>
  <c r="H291" i="148"/>
  <c r="G291" i="148"/>
  <c r="M290" i="148"/>
  <c r="P290" i="148" s="1"/>
  <c r="L290" i="148"/>
  <c r="J290" i="148"/>
  <c r="I290" i="148"/>
  <c r="H290" i="148"/>
  <c r="G290" i="148"/>
  <c r="M289" i="148"/>
  <c r="P289" i="148" s="1"/>
  <c r="L289" i="148"/>
  <c r="J289" i="148"/>
  <c r="I289" i="148"/>
  <c r="H289" i="148"/>
  <c r="G289" i="148"/>
  <c r="M288" i="148"/>
  <c r="P288" i="148" s="1"/>
  <c r="L288" i="148"/>
  <c r="J288" i="148"/>
  <c r="I288" i="148"/>
  <c r="H288" i="148"/>
  <c r="G288" i="148"/>
  <c r="M287" i="148"/>
  <c r="P287" i="148" s="1"/>
  <c r="L287" i="148"/>
  <c r="J287" i="148"/>
  <c r="I287" i="148"/>
  <c r="H287" i="148"/>
  <c r="G287" i="148"/>
  <c r="M286" i="148"/>
  <c r="P286" i="148" s="1"/>
  <c r="L286" i="148"/>
  <c r="J286" i="148"/>
  <c r="I286" i="148"/>
  <c r="H286" i="148"/>
  <c r="G286" i="148"/>
  <c r="M285" i="148"/>
  <c r="P285" i="148" s="1"/>
  <c r="L285" i="148"/>
  <c r="J285" i="148"/>
  <c r="I285" i="148"/>
  <c r="H285" i="148"/>
  <c r="G285" i="148"/>
  <c r="M284" i="148"/>
  <c r="P284" i="148" s="1"/>
  <c r="L284" i="148"/>
  <c r="J284" i="148"/>
  <c r="I284" i="148"/>
  <c r="H284" i="148"/>
  <c r="G284" i="148"/>
  <c r="M283" i="148"/>
  <c r="P283" i="148" s="1"/>
  <c r="L283" i="148"/>
  <c r="J283" i="148"/>
  <c r="I283" i="148"/>
  <c r="H283" i="148"/>
  <c r="G283" i="148"/>
  <c r="M282" i="148"/>
  <c r="P282" i="148" s="1"/>
  <c r="L282" i="148"/>
  <c r="J282" i="148"/>
  <c r="I282" i="148"/>
  <c r="H282" i="148"/>
  <c r="G282" i="148"/>
  <c r="M281" i="148"/>
  <c r="P281" i="148" s="1"/>
  <c r="L281" i="148"/>
  <c r="J281" i="148"/>
  <c r="I281" i="148"/>
  <c r="H281" i="148"/>
  <c r="G281" i="148"/>
  <c r="M280" i="148"/>
  <c r="P280" i="148" s="1"/>
  <c r="L280" i="148"/>
  <c r="J280" i="148"/>
  <c r="I280" i="148"/>
  <c r="H280" i="148"/>
  <c r="G280" i="148"/>
  <c r="M279" i="148"/>
  <c r="P279" i="148" s="1"/>
  <c r="L279" i="148"/>
  <c r="J279" i="148"/>
  <c r="I279" i="148"/>
  <c r="H279" i="148"/>
  <c r="G279" i="148"/>
  <c r="M278" i="148"/>
  <c r="P278" i="148" s="1"/>
  <c r="L278" i="148"/>
  <c r="J278" i="148"/>
  <c r="I278" i="148"/>
  <c r="H278" i="148"/>
  <c r="G278" i="148"/>
  <c r="M277" i="148"/>
  <c r="P277" i="148" s="1"/>
  <c r="L277" i="148"/>
  <c r="J277" i="148"/>
  <c r="I277" i="148"/>
  <c r="H277" i="148"/>
  <c r="G277" i="148"/>
  <c r="M276" i="148"/>
  <c r="P276" i="148" s="1"/>
  <c r="L276" i="148"/>
  <c r="J276" i="148"/>
  <c r="I276" i="148"/>
  <c r="H276" i="148"/>
  <c r="G276" i="148"/>
  <c r="M275" i="148"/>
  <c r="P275" i="148" s="1"/>
  <c r="L275" i="148"/>
  <c r="J275" i="148"/>
  <c r="I275" i="148"/>
  <c r="H275" i="148"/>
  <c r="G275" i="148"/>
  <c r="M274" i="148"/>
  <c r="P274" i="148" s="1"/>
  <c r="L274" i="148"/>
  <c r="J274" i="148"/>
  <c r="I274" i="148"/>
  <c r="H274" i="148"/>
  <c r="G274" i="148"/>
  <c r="M273" i="148"/>
  <c r="P273" i="148" s="1"/>
  <c r="L273" i="148"/>
  <c r="J273" i="148"/>
  <c r="I273" i="148"/>
  <c r="H273" i="148"/>
  <c r="G273" i="148"/>
  <c r="M272" i="148"/>
  <c r="P272" i="148" s="1"/>
  <c r="L272" i="148"/>
  <c r="J272" i="148"/>
  <c r="I272" i="148"/>
  <c r="H272" i="148"/>
  <c r="G272" i="148"/>
  <c r="M271" i="148"/>
  <c r="P271" i="148" s="1"/>
  <c r="L271" i="148"/>
  <c r="J271" i="148"/>
  <c r="I271" i="148"/>
  <c r="H271" i="148"/>
  <c r="G271" i="148"/>
  <c r="M270" i="148"/>
  <c r="P270" i="148" s="1"/>
  <c r="L270" i="148"/>
  <c r="J270" i="148"/>
  <c r="I270" i="148"/>
  <c r="H270" i="148"/>
  <c r="G270" i="148"/>
  <c r="M269" i="148"/>
  <c r="P269" i="148" s="1"/>
  <c r="L269" i="148"/>
  <c r="J269" i="148"/>
  <c r="I269" i="148"/>
  <c r="H269" i="148"/>
  <c r="G269" i="148"/>
  <c r="T268" i="148"/>
  <c r="M268" i="148"/>
  <c r="P268" i="148" s="1"/>
  <c r="L268" i="148"/>
  <c r="J268" i="148"/>
  <c r="I268" i="148"/>
  <c r="H268" i="148"/>
  <c r="G268" i="148"/>
  <c r="M267" i="148"/>
  <c r="P267" i="148" s="1"/>
  <c r="L267" i="148"/>
  <c r="J267" i="148"/>
  <c r="I267" i="148"/>
  <c r="H267" i="148"/>
  <c r="G267" i="148"/>
  <c r="M266" i="148"/>
  <c r="P266" i="148" s="1"/>
  <c r="L266" i="148"/>
  <c r="J266" i="148"/>
  <c r="I266" i="148"/>
  <c r="H266" i="148"/>
  <c r="G266" i="148"/>
  <c r="M265" i="148"/>
  <c r="P265" i="148" s="1"/>
  <c r="L265" i="148"/>
  <c r="J265" i="148"/>
  <c r="I265" i="148"/>
  <c r="H265" i="148"/>
  <c r="G265" i="148"/>
  <c r="M264" i="148"/>
  <c r="P264" i="148" s="1"/>
  <c r="L264" i="148"/>
  <c r="J264" i="148"/>
  <c r="I264" i="148"/>
  <c r="H264" i="148"/>
  <c r="G264" i="148"/>
  <c r="M263" i="148"/>
  <c r="P263" i="148" s="1"/>
  <c r="L263" i="148"/>
  <c r="J263" i="148"/>
  <c r="I263" i="148"/>
  <c r="H263" i="148"/>
  <c r="G263" i="148"/>
  <c r="T262" i="148"/>
  <c r="K6" i="140" s="1"/>
  <c r="M262" i="148"/>
  <c r="P262" i="148" s="1"/>
  <c r="L262" i="148"/>
  <c r="J262" i="148"/>
  <c r="I262" i="148"/>
  <c r="H262" i="148"/>
  <c r="G262" i="148"/>
  <c r="U261" i="148"/>
  <c r="T261" i="148"/>
  <c r="K5" i="140" s="1"/>
  <c r="M261" i="148"/>
  <c r="P261" i="148" s="1"/>
  <c r="L261" i="148"/>
  <c r="J261" i="148"/>
  <c r="I261" i="148"/>
  <c r="H261" i="148"/>
  <c r="G261" i="148"/>
  <c r="M260" i="148"/>
  <c r="P260" i="148" s="1"/>
  <c r="L260" i="148"/>
  <c r="J260" i="148"/>
  <c r="I260" i="148"/>
  <c r="H260" i="148"/>
  <c r="G260" i="148"/>
  <c r="U259" i="148"/>
  <c r="M259" i="148"/>
  <c r="P259" i="148" s="1"/>
  <c r="L259" i="148"/>
  <c r="J259" i="148"/>
  <c r="I259" i="148"/>
  <c r="H259" i="148"/>
  <c r="G259" i="148"/>
  <c r="M258" i="148"/>
  <c r="P258" i="148" s="1"/>
  <c r="L258" i="148"/>
  <c r="J258" i="148"/>
  <c r="I258" i="148"/>
  <c r="H258" i="148"/>
  <c r="G258" i="148"/>
  <c r="M257" i="148"/>
  <c r="P257" i="148" s="1"/>
  <c r="L257" i="148"/>
  <c r="J257" i="148"/>
  <c r="I257" i="148"/>
  <c r="H257" i="148"/>
  <c r="G257" i="148"/>
  <c r="T256" i="148"/>
  <c r="T265" i="148" s="1"/>
  <c r="M256" i="148"/>
  <c r="P256" i="148" s="1"/>
  <c r="L256" i="148"/>
  <c r="J256" i="148"/>
  <c r="I256" i="148"/>
  <c r="H256" i="148"/>
  <c r="G256" i="148"/>
  <c r="M255" i="148"/>
  <c r="P255" i="148" s="1"/>
  <c r="L255" i="148"/>
  <c r="J255" i="148"/>
  <c r="I255" i="148"/>
  <c r="H255" i="148"/>
  <c r="G255" i="148"/>
  <c r="M254" i="148"/>
  <c r="P254" i="148" s="1"/>
  <c r="L254" i="148"/>
  <c r="J254" i="148"/>
  <c r="I254" i="148"/>
  <c r="H254" i="148"/>
  <c r="G254" i="148"/>
  <c r="T253" i="148"/>
  <c r="H3" i="140" s="1"/>
  <c r="M253" i="148"/>
  <c r="P253" i="148" s="1"/>
  <c r="L253" i="148"/>
  <c r="J253" i="148"/>
  <c r="I253" i="148"/>
  <c r="H253" i="148"/>
  <c r="G253" i="148"/>
  <c r="T252" i="148"/>
  <c r="M252" i="148"/>
  <c r="P252" i="148" s="1"/>
  <c r="L252" i="148"/>
  <c r="J252" i="148"/>
  <c r="I252" i="148"/>
  <c r="H252" i="148"/>
  <c r="G252" i="148"/>
  <c r="M251" i="148"/>
  <c r="L251" i="148"/>
  <c r="J251" i="148"/>
  <c r="I251" i="148"/>
  <c r="H251" i="148"/>
  <c r="G251" i="148"/>
  <c r="U250" i="148"/>
  <c r="H5" i="139" s="1"/>
  <c r="T250" i="148"/>
  <c r="H4" i="139" s="1"/>
  <c r="S250" i="148"/>
  <c r="F245" i="148" s="1"/>
  <c r="M250" i="148"/>
  <c r="P250" i="148" s="1"/>
  <c r="L250" i="148"/>
  <c r="A250" i="148"/>
  <c r="T260" i="148" s="1"/>
  <c r="K4" i="140" s="1"/>
  <c r="L249" i="148"/>
  <c r="J249" i="148"/>
  <c r="I249" i="148"/>
  <c r="H249" i="148"/>
  <c r="G249" i="148"/>
  <c r="L248" i="148"/>
  <c r="J248" i="148"/>
  <c r="I248" i="148"/>
  <c r="H248" i="148"/>
  <c r="G248" i="148"/>
  <c r="L247" i="148"/>
  <c r="J247" i="148"/>
  <c r="I247" i="148"/>
  <c r="H247" i="148"/>
  <c r="G247" i="148"/>
  <c r="T246" i="148"/>
  <c r="T259" i="148" s="1"/>
  <c r="K3" i="140" s="1"/>
  <c r="L246" i="148"/>
  <c r="J246" i="148"/>
  <c r="I246" i="148"/>
  <c r="H246" i="148"/>
  <c r="G246" i="148"/>
  <c r="L245" i="148"/>
  <c r="J245" i="148"/>
  <c r="I245" i="148"/>
  <c r="H245" i="148"/>
  <c r="G245" i="148"/>
  <c r="T244" i="148"/>
  <c r="L244" i="148"/>
  <c r="J244" i="148"/>
  <c r="I244" i="148"/>
  <c r="H244" i="148"/>
  <c r="G244" i="148"/>
  <c r="L243" i="148"/>
  <c r="J243" i="148"/>
  <c r="I243" i="148"/>
  <c r="H243" i="148"/>
  <c r="G243" i="148"/>
  <c r="L242" i="148"/>
  <c r="J242" i="148"/>
  <c r="I242" i="148"/>
  <c r="H242" i="148"/>
  <c r="G242" i="148"/>
  <c r="L241" i="148"/>
  <c r="J241" i="148"/>
  <c r="I241" i="148"/>
  <c r="H241" i="148"/>
  <c r="G241" i="148"/>
  <c r="L240" i="148"/>
  <c r="J240" i="148"/>
  <c r="I240" i="148"/>
  <c r="H240" i="148"/>
  <c r="G240" i="148"/>
  <c r="L239" i="148"/>
  <c r="J239" i="148"/>
  <c r="I239" i="148"/>
  <c r="H239" i="148"/>
  <c r="G239" i="148"/>
  <c r="L238" i="148"/>
  <c r="J238" i="148"/>
  <c r="I238" i="148"/>
  <c r="H238" i="148"/>
  <c r="G238" i="148"/>
  <c r="L237" i="148"/>
  <c r="J237" i="148"/>
  <c r="I237" i="148"/>
  <c r="H237" i="148"/>
  <c r="G237" i="148"/>
  <c r="L236" i="148"/>
  <c r="J236" i="148"/>
  <c r="I236" i="148"/>
  <c r="H236" i="148"/>
  <c r="G236" i="148"/>
  <c r="L235" i="148"/>
  <c r="J235" i="148"/>
  <c r="I235" i="148"/>
  <c r="H235" i="148"/>
  <c r="G235" i="148"/>
  <c r="L234" i="148"/>
  <c r="J234" i="148"/>
  <c r="I234" i="148"/>
  <c r="H234" i="148"/>
  <c r="G234" i="148"/>
  <c r="L233" i="148"/>
  <c r="J233" i="148"/>
  <c r="I233" i="148"/>
  <c r="H233" i="148"/>
  <c r="G233" i="148"/>
  <c r="L232" i="148"/>
  <c r="J232" i="148"/>
  <c r="I232" i="148"/>
  <c r="H232" i="148"/>
  <c r="G232" i="148"/>
  <c r="L231" i="148"/>
  <c r="J231" i="148"/>
  <c r="I231" i="148"/>
  <c r="H231" i="148"/>
  <c r="G231" i="148"/>
  <c r="L230" i="148"/>
  <c r="J230" i="148"/>
  <c r="I230" i="148"/>
  <c r="H230" i="148"/>
  <c r="G230" i="148"/>
  <c r="L229" i="148"/>
  <c r="J229" i="148"/>
  <c r="I229" i="148"/>
  <c r="H229" i="148"/>
  <c r="G229" i="148"/>
  <c r="L228" i="148"/>
  <c r="J228" i="148"/>
  <c r="I228" i="148"/>
  <c r="H228" i="148"/>
  <c r="G228" i="148"/>
  <c r="L227" i="148"/>
  <c r="J227" i="148"/>
  <c r="I227" i="148"/>
  <c r="H227" i="148"/>
  <c r="G227" i="148"/>
  <c r="L226" i="148"/>
  <c r="J226" i="148"/>
  <c r="I226" i="148"/>
  <c r="H226" i="148"/>
  <c r="G226" i="148"/>
  <c r="L225" i="148"/>
  <c r="J225" i="148"/>
  <c r="I225" i="148"/>
  <c r="H225" i="148"/>
  <c r="G225" i="148"/>
  <c r="L224" i="148"/>
  <c r="J224" i="148"/>
  <c r="I224" i="148"/>
  <c r="H224" i="148"/>
  <c r="G224" i="148"/>
  <c r="L223" i="148"/>
  <c r="J223" i="148"/>
  <c r="I223" i="148"/>
  <c r="H223" i="148"/>
  <c r="G223" i="148"/>
  <c r="L222" i="148"/>
  <c r="J222" i="148"/>
  <c r="I222" i="148"/>
  <c r="H222" i="148"/>
  <c r="G222" i="148"/>
  <c r="L221" i="148"/>
  <c r="J221" i="148"/>
  <c r="I221" i="148"/>
  <c r="H221" i="148"/>
  <c r="G221" i="148"/>
  <c r="L220" i="148"/>
  <c r="J220" i="148"/>
  <c r="I220" i="148"/>
  <c r="H220" i="148"/>
  <c r="G220" i="148"/>
  <c r="L219" i="148"/>
  <c r="J219" i="148"/>
  <c r="I219" i="148"/>
  <c r="H219" i="148"/>
  <c r="G219" i="148"/>
  <c r="L218" i="148"/>
  <c r="J218" i="148"/>
  <c r="I218" i="148"/>
  <c r="H218" i="148"/>
  <c r="G218" i="148"/>
  <c r="L217" i="148"/>
  <c r="J217" i="148"/>
  <c r="I217" i="148"/>
  <c r="H217" i="148"/>
  <c r="G217" i="148"/>
  <c r="L216" i="148"/>
  <c r="J216" i="148"/>
  <c r="I216" i="148"/>
  <c r="H216" i="148"/>
  <c r="G216" i="148"/>
  <c r="L215" i="148"/>
  <c r="J215" i="148"/>
  <c r="I215" i="148"/>
  <c r="H215" i="148"/>
  <c r="G215" i="148"/>
  <c r="L214" i="148"/>
  <c r="J214" i="148"/>
  <c r="I214" i="148"/>
  <c r="H214" i="148"/>
  <c r="G214" i="148"/>
  <c r="L213" i="148"/>
  <c r="J213" i="148"/>
  <c r="I213" i="148"/>
  <c r="H213" i="148"/>
  <c r="G213" i="148"/>
  <c r="L212" i="148"/>
  <c r="J212" i="148"/>
  <c r="I212" i="148"/>
  <c r="H212" i="148"/>
  <c r="G212" i="148"/>
  <c r="L211" i="148"/>
  <c r="J211" i="148"/>
  <c r="I211" i="148"/>
  <c r="H211" i="148"/>
  <c r="G211" i="148"/>
  <c r="L210" i="148"/>
  <c r="J210" i="148"/>
  <c r="I210" i="148"/>
  <c r="H210" i="148"/>
  <c r="G210" i="148"/>
  <c r="L209" i="148"/>
  <c r="J209" i="148"/>
  <c r="I209" i="148"/>
  <c r="H209" i="148"/>
  <c r="G209" i="148"/>
  <c r="L208" i="148"/>
  <c r="J208" i="148"/>
  <c r="I208" i="148"/>
  <c r="H208" i="148"/>
  <c r="G208" i="148"/>
  <c r="L207" i="148"/>
  <c r="J207" i="148"/>
  <c r="I207" i="148"/>
  <c r="H207" i="148"/>
  <c r="G207" i="148"/>
  <c r="L206" i="148"/>
  <c r="J206" i="148"/>
  <c r="I206" i="148"/>
  <c r="H206" i="148"/>
  <c r="G206" i="148"/>
  <c r="L205" i="148"/>
  <c r="J205" i="148"/>
  <c r="I205" i="148"/>
  <c r="H205" i="148"/>
  <c r="G205" i="148"/>
  <c r="L204" i="148"/>
  <c r="J204" i="148"/>
  <c r="I204" i="148"/>
  <c r="H204" i="148"/>
  <c r="G204" i="148"/>
  <c r="L203" i="148"/>
  <c r="J203" i="148"/>
  <c r="I203" i="148"/>
  <c r="H203" i="148"/>
  <c r="G203" i="148"/>
  <c r="L202" i="148"/>
  <c r="J202" i="148"/>
  <c r="I202" i="148"/>
  <c r="H202" i="148"/>
  <c r="G202" i="148"/>
  <c r="L201" i="148"/>
  <c r="J201" i="148"/>
  <c r="I201" i="148"/>
  <c r="H201" i="148"/>
  <c r="G201" i="148"/>
  <c r="L200" i="148"/>
  <c r="J200" i="148"/>
  <c r="I200" i="148"/>
  <c r="H200" i="148"/>
  <c r="G200" i="148"/>
  <c r="L199" i="148"/>
  <c r="J199" i="148"/>
  <c r="I199" i="148"/>
  <c r="H199" i="148"/>
  <c r="G199" i="148"/>
  <c r="L198" i="148"/>
  <c r="J198" i="148"/>
  <c r="I198" i="148"/>
  <c r="H198" i="148"/>
  <c r="G198" i="148"/>
  <c r="L197" i="148"/>
  <c r="J197" i="148"/>
  <c r="I197" i="148"/>
  <c r="H197" i="148"/>
  <c r="G197" i="148"/>
  <c r="L196" i="148"/>
  <c r="J196" i="148"/>
  <c r="I196" i="148"/>
  <c r="H196" i="148"/>
  <c r="G196" i="148"/>
  <c r="L195" i="148"/>
  <c r="J195" i="148"/>
  <c r="I195" i="148"/>
  <c r="H195" i="148"/>
  <c r="G195" i="148"/>
  <c r="L194" i="148"/>
  <c r="J194" i="148"/>
  <c r="I194" i="148"/>
  <c r="H194" i="148"/>
  <c r="G194" i="148"/>
  <c r="L193" i="148"/>
  <c r="J193" i="148"/>
  <c r="I193" i="148"/>
  <c r="H193" i="148"/>
  <c r="G193" i="148"/>
  <c r="L192" i="148"/>
  <c r="J192" i="148"/>
  <c r="I192" i="148"/>
  <c r="H192" i="148"/>
  <c r="G192" i="148"/>
  <c r="L191" i="148"/>
  <c r="J191" i="148"/>
  <c r="I191" i="148"/>
  <c r="H191" i="148"/>
  <c r="G191" i="148"/>
  <c r="L190" i="148"/>
  <c r="J190" i="148"/>
  <c r="I190" i="148"/>
  <c r="H190" i="148"/>
  <c r="G190" i="148"/>
  <c r="L189" i="148"/>
  <c r="J189" i="148"/>
  <c r="I189" i="148"/>
  <c r="H189" i="148"/>
  <c r="G189" i="148"/>
  <c r="L188" i="148"/>
  <c r="J188" i="148"/>
  <c r="I188" i="148"/>
  <c r="H188" i="148"/>
  <c r="G188" i="148"/>
  <c r="L187" i="148"/>
  <c r="J187" i="148"/>
  <c r="I187" i="148"/>
  <c r="H187" i="148"/>
  <c r="G187" i="148"/>
  <c r="L186" i="148"/>
  <c r="J186" i="148"/>
  <c r="I186" i="148"/>
  <c r="H186" i="148"/>
  <c r="G186" i="148"/>
  <c r="L185" i="148"/>
  <c r="J185" i="148"/>
  <c r="I185" i="148"/>
  <c r="H185" i="148"/>
  <c r="G185" i="148"/>
  <c r="L184" i="148"/>
  <c r="J184" i="148"/>
  <c r="I184" i="148"/>
  <c r="H184" i="148"/>
  <c r="G184" i="148"/>
  <c r="L183" i="148"/>
  <c r="J183" i="148"/>
  <c r="I183" i="148"/>
  <c r="H183" i="148"/>
  <c r="G183" i="148"/>
  <c r="L182" i="148"/>
  <c r="J182" i="148"/>
  <c r="I182" i="148"/>
  <c r="H182" i="148"/>
  <c r="G182" i="148"/>
  <c r="L181" i="148"/>
  <c r="J181" i="148"/>
  <c r="I181" i="148"/>
  <c r="H181" i="148"/>
  <c r="G181" i="148"/>
  <c r="L180" i="148"/>
  <c r="J180" i="148"/>
  <c r="I180" i="148"/>
  <c r="H180" i="148"/>
  <c r="G180" i="148"/>
  <c r="L179" i="148"/>
  <c r="J179" i="148"/>
  <c r="I179" i="148"/>
  <c r="H179" i="148"/>
  <c r="G179" i="148"/>
  <c r="L178" i="148"/>
  <c r="J178" i="148"/>
  <c r="I178" i="148"/>
  <c r="H178" i="148"/>
  <c r="G178" i="148"/>
  <c r="L177" i="148"/>
  <c r="J177" i="148"/>
  <c r="I177" i="148"/>
  <c r="H177" i="148"/>
  <c r="G177" i="148"/>
  <c r="L176" i="148"/>
  <c r="J176" i="148"/>
  <c r="I176" i="148"/>
  <c r="H176" i="148"/>
  <c r="G176" i="148"/>
  <c r="L175" i="148"/>
  <c r="J175" i="148"/>
  <c r="I175" i="148"/>
  <c r="H175" i="148"/>
  <c r="G175" i="148"/>
  <c r="L174" i="148"/>
  <c r="J174" i="148"/>
  <c r="I174" i="148"/>
  <c r="H174" i="148"/>
  <c r="G174" i="148"/>
  <c r="L173" i="148"/>
  <c r="J173" i="148"/>
  <c r="I173" i="148"/>
  <c r="H173" i="148"/>
  <c r="G173" i="148"/>
  <c r="L172" i="148"/>
  <c r="J172" i="148"/>
  <c r="I172" i="148"/>
  <c r="H172" i="148"/>
  <c r="G172" i="148"/>
  <c r="L171" i="148"/>
  <c r="J171" i="148"/>
  <c r="I171" i="148"/>
  <c r="H171" i="148"/>
  <c r="G171" i="148"/>
  <c r="L170" i="148"/>
  <c r="J170" i="148"/>
  <c r="I170" i="148"/>
  <c r="H170" i="148"/>
  <c r="G170" i="148"/>
  <c r="L169" i="148"/>
  <c r="J169" i="148"/>
  <c r="I169" i="148"/>
  <c r="H169" i="148"/>
  <c r="G169" i="148"/>
  <c r="L168" i="148"/>
  <c r="J168" i="148"/>
  <c r="I168" i="148"/>
  <c r="H168" i="148"/>
  <c r="G168" i="148"/>
  <c r="L167" i="148"/>
  <c r="J167" i="148"/>
  <c r="I167" i="148"/>
  <c r="H167" i="148"/>
  <c r="G167" i="148"/>
  <c r="L166" i="148"/>
  <c r="J166" i="148"/>
  <c r="I166" i="148"/>
  <c r="H166" i="148"/>
  <c r="G166" i="148"/>
  <c r="L165" i="148"/>
  <c r="J165" i="148"/>
  <c r="I165" i="148"/>
  <c r="H165" i="148"/>
  <c r="G165" i="148"/>
  <c r="L164" i="148"/>
  <c r="J164" i="148"/>
  <c r="I164" i="148"/>
  <c r="H164" i="148"/>
  <c r="G164" i="148"/>
  <c r="L163" i="148"/>
  <c r="J163" i="148"/>
  <c r="I163" i="148"/>
  <c r="H163" i="148"/>
  <c r="G163" i="148"/>
  <c r="L162" i="148"/>
  <c r="J162" i="148"/>
  <c r="I162" i="148"/>
  <c r="H162" i="148"/>
  <c r="G162" i="148"/>
  <c r="L161" i="148"/>
  <c r="J161" i="148"/>
  <c r="I161" i="148"/>
  <c r="H161" i="148"/>
  <c r="G161" i="148"/>
  <c r="L160" i="148"/>
  <c r="J160" i="148"/>
  <c r="I160" i="148"/>
  <c r="H160" i="148"/>
  <c r="G160" i="148"/>
  <c r="L159" i="148"/>
  <c r="J159" i="148"/>
  <c r="I159" i="148"/>
  <c r="H159" i="148"/>
  <c r="G159" i="148"/>
  <c r="L158" i="148"/>
  <c r="J158" i="148"/>
  <c r="I158" i="148"/>
  <c r="H158" i="148"/>
  <c r="G158" i="148"/>
  <c r="L157" i="148"/>
  <c r="J157" i="148"/>
  <c r="I157" i="148"/>
  <c r="H157" i="148"/>
  <c r="G157" i="148"/>
  <c r="L156" i="148"/>
  <c r="J156" i="148"/>
  <c r="I156" i="148"/>
  <c r="H156" i="148"/>
  <c r="G156" i="148"/>
  <c r="L155" i="148"/>
  <c r="J155" i="148"/>
  <c r="I155" i="148"/>
  <c r="H155" i="148"/>
  <c r="G155" i="148"/>
  <c r="L154" i="148"/>
  <c r="J154" i="148"/>
  <c r="I154" i="148"/>
  <c r="H154" i="148"/>
  <c r="G154" i="148"/>
  <c r="L153" i="148"/>
  <c r="J153" i="148"/>
  <c r="I153" i="148"/>
  <c r="H153" i="148"/>
  <c r="G153" i="148"/>
  <c r="L152" i="148"/>
  <c r="J152" i="148"/>
  <c r="I152" i="148"/>
  <c r="H152" i="148"/>
  <c r="G152" i="148"/>
  <c r="L151" i="148"/>
  <c r="J151" i="148"/>
  <c r="I151" i="148"/>
  <c r="H151" i="148"/>
  <c r="G151" i="148"/>
  <c r="L150" i="148"/>
  <c r="J150" i="148"/>
  <c r="I150" i="148"/>
  <c r="H150" i="148"/>
  <c r="G150" i="148"/>
  <c r="L149" i="148"/>
  <c r="J149" i="148"/>
  <c r="I149" i="148"/>
  <c r="H149" i="148"/>
  <c r="G149" i="148"/>
  <c r="L148" i="148"/>
  <c r="J148" i="148"/>
  <c r="I148" i="148"/>
  <c r="H148" i="148"/>
  <c r="G148" i="148"/>
  <c r="L147" i="148"/>
  <c r="J147" i="148"/>
  <c r="I147" i="148"/>
  <c r="H147" i="148"/>
  <c r="G147" i="148"/>
  <c r="L146" i="148"/>
  <c r="J146" i="148"/>
  <c r="I146" i="148"/>
  <c r="H146" i="148"/>
  <c r="G146" i="148"/>
  <c r="L145" i="148"/>
  <c r="J145" i="148"/>
  <c r="I145" i="148"/>
  <c r="H145" i="148"/>
  <c r="G145" i="148"/>
  <c r="L144" i="148"/>
  <c r="J144" i="148"/>
  <c r="I144" i="148"/>
  <c r="H144" i="148"/>
  <c r="G144" i="148"/>
  <c r="L143" i="148"/>
  <c r="J143" i="148"/>
  <c r="I143" i="148"/>
  <c r="H143" i="148"/>
  <c r="G143" i="148"/>
  <c r="L142" i="148"/>
  <c r="J142" i="148"/>
  <c r="I142" i="148"/>
  <c r="H142" i="148"/>
  <c r="G142" i="148"/>
  <c r="L141" i="148"/>
  <c r="J141" i="148"/>
  <c r="I141" i="148"/>
  <c r="H141" i="148"/>
  <c r="G141" i="148"/>
  <c r="L140" i="148"/>
  <c r="J140" i="148"/>
  <c r="I140" i="148"/>
  <c r="H140" i="148"/>
  <c r="G140" i="148"/>
  <c r="L139" i="148"/>
  <c r="J139" i="148"/>
  <c r="I139" i="148"/>
  <c r="H139" i="148"/>
  <c r="G139" i="148"/>
  <c r="L138" i="148"/>
  <c r="J138" i="148"/>
  <c r="I138" i="148"/>
  <c r="H138" i="148"/>
  <c r="G138" i="148"/>
  <c r="L137" i="148"/>
  <c r="J137" i="148"/>
  <c r="I137" i="148"/>
  <c r="H137" i="148"/>
  <c r="G137" i="148"/>
  <c r="L136" i="148"/>
  <c r="J136" i="148"/>
  <c r="I136" i="148"/>
  <c r="H136" i="148"/>
  <c r="G136" i="148"/>
  <c r="L135" i="148"/>
  <c r="J135" i="148"/>
  <c r="I135" i="148"/>
  <c r="H135" i="148"/>
  <c r="G135" i="148"/>
  <c r="L134" i="148"/>
  <c r="J134" i="148"/>
  <c r="I134" i="148"/>
  <c r="H134" i="148"/>
  <c r="G134" i="148"/>
  <c r="L133" i="148"/>
  <c r="J133" i="148"/>
  <c r="I133" i="148"/>
  <c r="H133" i="148"/>
  <c r="G133" i="148"/>
  <c r="L132" i="148"/>
  <c r="J132" i="148"/>
  <c r="I132" i="148"/>
  <c r="H132" i="148"/>
  <c r="G132" i="148"/>
  <c r="L131" i="148"/>
  <c r="J131" i="148"/>
  <c r="I131" i="148"/>
  <c r="H131" i="148"/>
  <c r="G131" i="148"/>
  <c r="L130" i="148"/>
  <c r="J130" i="148"/>
  <c r="I130" i="148"/>
  <c r="H130" i="148"/>
  <c r="G130" i="148"/>
  <c r="L129" i="148"/>
  <c r="J129" i="148"/>
  <c r="I129" i="148"/>
  <c r="H129" i="148"/>
  <c r="G129" i="148"/>
  <c r="L128" i="148"/>
  <c r="J128" i="148"/>
  <c r="I128" i="148"/>
  <c r="H128" i="148"/>
  <c r="G128" i="148"/>
  <c r="L127" i="148"/>
  <c r="J127" i="148"/>
  <c r="I127" i="148"/>
  <c r="H127" i="148"/>
  <c r="G127" i="148"/>
  <c r="L126" i="148"/>
  <c r="J126" i="148"/>
  <c r="I126" i="148"/>
  <c r="H126" i="148"/>
  <c r="G126" i="148"/>
  <c r="L125" i="148"/>
  <c r="J125" i="148"/>
  <c r="I125" i="148"/>
  <c r="H125" i="148"/>
  <c r="G125" i="148"/>
  <c r="L124" i="148"/>
  <c r="J124" i="148"/>
  <c r="I124" i="148"/>
  <c r="H124" i="148"/>
  <c r="G124" i="148"/>
  <c r="L123" i="148"/>
  <c r="J123" i="148"/>
  <c r="I123" i="148"/>
  <c r="H123" i="148"/>
  <c r="G123" i="148"/>
  <c r="L122" i="148"/>
  <c r="J122" i="148"/>
  <c r="I122" i="148"/>
  <c r="H122" i="148"/>
  <c r="G122" i="148"/>
  <c r="L121" i="148"/>
  <c r="J121" i="148"/>
  <c r="I121" i="148"/>
  <c r="H121" i="148"/>
  <c r="G121" i="148"/>
  <c r="L120" i="148"/>
  <c r="J120" i="148"/>
  <c r="I120" i="148"/>
  <c r="H120" i="148"/>
  <c r="G120" i="148"/>
  <c r="L119" i="148"/>
  <c r="J119" i="148"/>
  <c r="I119" i="148"/>
  <c r="H119" i="148"/>
  <c r="G119" i="148"/>
  <c r="L118" i="148"/>
  <c r="J118" i="148"/>
  <c r="I118" i="148"/>
  <c r="H118" i="148"/>
  <c r="G118" i="148"/>
  <c r="L117" i="148"/>
  <c r="J117" i="148"/>
  <c r="I117" i="148"/>
  <c r="H117" i="148"/>
  <c r="G117" i="148"/>
  <c r="L116" i="148"/>
  <c r="J116" i="148"/>
  <c r="I116" i="148"/>
  <c r="H116" i="148"/>
  <c r="G116" i="148"/>
  <c r="L115" i="148"/>
  <c r="J115" i="148"/>
  <c r="I115" i="148"/>
  <c r="H115" i="148"/>
  <c r="G115" i="148"/>
  <c r="L114" i="148"/>
  <c r="J114" i="148"/>
  <c r="I114" i="148"/>
  <c r="H114" i="148"/>
  <c r="G114" i="148"/>
  <c r="L113" i="148"/>
  <c r="J113" i="148"/>
  <c r="I113" i="148"/>
  <c r="H113" i="148"/>
  <c r="G113" i="148"/>
  <c r="L112" i="148"/>
  <c r="J112" i="148"/>
  <c r="I112" i="148"/>
  <c r="H112" i="148"/>
  <c r="G112" i="148"/>
  <c r="L111" i="148"/>
  <c r="J111" i="148"/>
  <c r="I111" i="148"/>
  <c r="H111" i="148"/>
  <c r="G111" i="148"/>
  <c r="L110" i="148"/>
  <c r="J110" i="148"/>
  <c r="I110" i="148"/>
  <c r="H110" i="148"/>
  <c r="G110" i="148"/>
  <c r="L109" i="148"/>
  <c r="J109" i="148"/>
  <c r="I109" i="148"/>
  <c r="H109" i="148"/>
  <c r="G109" i="148"/>
  <c r="L108" i="148"/>
  <c r="J108" i="148"/>
  <c r="I108" i="148"/>
  <c r="H108" i="148"/>
  <c r="G108" i="148"/>
  <c r="L107" i="148"/>
  <c r="J107" i="148"/>
  <c r="I107" i="148"/>
  <c r="H107" i="148"/>
  <c r="G107" i="148"/>
  <c r="L106" i="148"/>
  <c r="J106" i="148"/>
  <c r="I106" i="148"/>
  <c r="H106" i="148"/>
  <c r="G106" i="148"/>
  <c r="L105" i="148"/>
  <c r="J105" i="148"/>
  <c r="I105" i="148"/>
  <c r="H105" i="148"/>
  <c r="G105" i="148"/>
  <c r="L104" i="148"/>
  <c r="J104" i="148"/>
  <c r="I104" i="148"/>
  <c r="H104" i="148"/>
  <c r="G104" i="148"/>
  <c r="L103" i="148"/>
  <c r="J103" i="148"/>
  <c r="I103" i="148"/>
  <c r="H103" i="148"/>
  <c r="G103" i="148"/>
  <c r="L102" i="148"/>
  <c r="J102" i="148"/>
  <c r="I102" i="148"/>
  <c r="H102" i="148"/>
  <c r="G102" i="148"/>
  <c r="L101" i="148"/>
  <c r="J101" i="148"/>
  <c r="I101" i="148"/>
  <c r="H101" i="148"/>
  <c r="G101" i="148"/>
  <c r="L100" i="148"/>
  <c r="J100" i="148"/>
  <c r="I100" i="148"/>
  <c r="H100" i="148"/>
  <c r="G100" i="148"/>
  <c r="L99" i="148"/>
  <c r="J99" i="148"/>
  <c r="I99" i="148"/>
  <c r="H99" i="148"/>
  <c r="G99" i="148"/>
  <c r="L98" i="148"/>
  <c r="J98" i="148"/>
  <c r="I98" i="148"/>
  <c r="H98" i="148"/>
  <c r="G98" i="148"/>
  <c r="L97" i="148"/>
  <c r="J97" i="148"/>
  <c r="I97" i="148"/>
  <c r="H97" i="148"/>
  <c r="G97" i="148"/>
  <c r="L96" i="148"/>
  <c r="J96" i="148"/>
  <c r="I96" i="148"/>
  <c r="H96" i="148"/>
  <c r="G96" i="148"/>
  <c r="L95" i="148"/>
  <c r="J95" i="148"/>
  <c r="I95" i="148"/>
  <c r="H95" i="148"/>
  <c r="G95" i="148"/>
  <c r="L94" i="148"/>
  <c r="J94" i="148"/>
  <c r="I94" i="148"/>
  <c r="H94" i="148"/>
  <c r="G94" i="148"/>
  <c r="L93" i="148"/>
  <c r="J93" i="148"/>
  <c r="I93" i="148"/>
  <c r="H93" i="148"/>
  <c r="G93" i="148"/>
  <c r="L92" i="148"/>
  <c r="J92" i="148"/>
  <c r="I92" i="148"/>
  <c r="H92" i="148"/>
  <c r="G92" i="148"/>
  <c r="L91" i="148"/>
  <c r="J91" i="148"/>
  <c r="I91" i="148"/>
  <c r="H91" i="148"/>
  <c r="G91" i="148"/>
  <c r="L90" i="148"/>
  <c r="J90" i="148"/>
  <c r="I90" i="148"/>
  <c r="H90" i="148"/>
  <c r="G90" i="148"/>
  <c r="L89" i="148"/>
  <c r="J89" i="148"/>
  <c r="I89" i="148"/>
  <c r="H89" i="148"/>
  <c r="G89" i="148"/>
  <c r="L88" i="148"/>
  <c r="J88" i="148"/>
  <c r="I88" i="148"/>
  <c r="H88" i="148"/>
  <c r="G88" i="148"/>
  <c r="L87" i="148"/>
  <c r="J87" i="148"/>
  <c r="I87" i="148"/>
  <c r="H87" i="148"/>
  <c r="G87" i="148"/>
  <c r="L86" i="148"/>
  <c r="J86" i="148"/>
  <c r="I86" i="148"/>
  <c r="H86" i="148"/>
  <c r="G86" i="148"/>
  <c r="L85" i="148"/>
  <c r="J85" i="148"/>
  <c r="I85" i="148"/>
  <c r="H85" i="148"/>
  <c r="G85" i="148"/>
  <c r="L84" i="148"/>
  <c r="J84" i="148"/>
  <c r="I84" i="148"/>
  <c r="H84" i="148"/>
  <c r="G84" i="148"/>
  <c r="L83" i="148"/>
  <c r="J83" i="148"/>
  <c r="I83" i="148"/>
  <c r="H83" i="148"/>
  <c r="G83" i="148"/>
  <c r="L82" i="148"/>
  <c r="J82" i="148"/>
  <c r="I82" i="148"/>
  <c r="H82" i="148"/>
  <c r="G82" i="148"/>
  <c r="L81" i="148"/>
  <c r="J81" i="148"/>
  <c r="I81" i="148"/>
  <c r="H81" i="148"/>
  <c r="G81" i="148"/>
  <c r="L80" i="148"/>
  <c r="J80" i="148"/>
  <c r="I80" i="148"/>
  <c r="H80" i="148"/>
  <c r="G80" i="148"/>
  <c r="L79" i="148"/>
  <c r="J79" i="148"/>
  <c r="I79" i="148"/>
  <c r="H79" i="148"/>
  <c r="G79" i="148"/>
  <c r="L78" i="148"/>
  <c r="J78" i="148"/>
  <c r="I78" i="148"/>
  <c r="H78" i="148"/>
  <c r="G78" i="148"/>
  <c r="L77" i="148"/>
  <c r="J77" i="148"/>
  <c r="I77" i="148"/>
  <c r="H77" i="148"/>
  <c r="G77" i="148"/>
  <c r="L76" i="148"/>
  <c r="J76" i="148"/>
  <c r="I76" i="148"/>
  <c r="H76" i="148"/>
  <c r="G76" i="148"/>
  <c r="L75" i="148"/>
  <c r="J75" i="148"/>
  <c r="I75" i="148"/>
  <c r="H75" i="148"/>
  <c r="G75" i="148"/>
  <c r="L74" i="148"/>
  <c r="J74" i="148"/>
  <c r="I74" i="148"/>
  <c r="H74" i="148"/>
  <c r="G74" i="148"/>
  <c r="L73" i="148"/>
  <c r="J73" i="148"/>
  <c r="I73" i="148"/>
  <c r="H73" i="148"/>
  <c r="G73" i="148"/>
  <c r="L72" i="148"/>
  <c r="J72" i="148"/>
  <c r="I72" i="148"/>
  <c r="H72" i="148"/>
  <c r="G72" i="148"/>
  <c r="L71" i="148"/>
  <c r="J71" i="148"/>
  <c r="I71" i="148"/>
  <c r="H71" i="148"/>
  <c r="G71" i="148"/>
  <c r="L70" i="148"/>
  <c r="J70" i="148"/>
  <c r="I70" i="148"/>
  <c r="H70" i="148"/>
  <c r="G70" i="148"/>
  <c r="L69" i="148"/>
  <c r="J69" i="148"/>
  <c r="I69" i="148"/>
  <c r="H69" i="148"/>
  <c r="G69" i="148"/>
  <c r="L68" i="148"/>
  <c r="J68" i="148"/>
  <c r="I68" i="148"/>
  <c r="H68" i="148"/>
  <c r="G68" i="148"/>
  <c r="L67" i="148"/>
  <c r="J67" i="148"/>
  <c r="I67" i="148"/>
  <c r="H67" i="148"/>
  <c r="G67" i="148"/>
  <c r="L66" i="148"/>
  <c r="J66" i="148"/>
  <c r="I66" i="148"/>
  <c r="H66" i="148"/>
  <c r="G66" i="148"/>
  <c r="L65" i="148"/>
  <c r="J65" i="148"/>
  <c r="I65" i="148"/>
  <c r="H65" i="148"/>
  <c r="G65" i="148"/>
  <c r="L64" i="148"/>
  <c r="J64" i="148"/>
  <c r="I64" i="148"/>
  <c r="H64" i="148"/>
  <c r="G64" i="148"/>
  <c r="L63" i="148"/>
  <c r="J63" i="148"/>
  <c r="I63" i="148"/>
  <c r="H63" i="148"/>
  <c r="G63" i="148"/>
  <c r="L62" i="148"/>
  <c r="J62" i="148"/>
  <c r="I62" i="148"/>
  <c r="H62" i="148"/>
  <c r="G62" i="148"/>
  <c r="L61" i="148"/>
  <c r="J61" i="148"/>
  <c r="I61" i="148"/>
  <c r="H61" i="148"/>
  <c r="G61" i="148"/>
  <c r="L60" i="148"/>
  <c r="J60" i="148"/>
  <c r="I60" i="148"/>
  <c r="H60" i="148"/>
  <c r="G60" i="148"/>
  <c r="L59" i="148"/>
  <c r="J59" i="148"/>
  <c r="I59" i="148"/>
  <c r="H59" i="148"/>
  <c r="G59" i="148"/>
  <c r="L58" i="148"/>
  <c r="J58" i="148"/>
  <c r="I58" i="148"/>
  <c r="H58" i="148"/>
  <c r="G58" i="148"/>
  <c r="L57" i="148"/>
  <c r="J57" i="148"/>
  <c r="I57" i="148"/>
  <c r="H57" i="148"/>
  <c r="G57" i="148"/>
  <c r="L56" i="148"/>
  <c r="J56" i="148"/>
  <c r="I56" i="148"/>
  <c r="H56" i="148"/>
  <c r="G56" i="148"/>
  <c r="L55" i="148"/>
  <c r="J55" i="148"/>
  <c r="I55" i="148"/>
  <c r="H55" i="148"/>
  <c r="G55" i="148"/>
  <c r="L54" i="148"/>
  <c r="J54" i="148"/>
  <c r="I54" i="148"/>
  <c r="H54" i="148"/>
  <c r="G54" i="148"/>
  <c r="L53" i="148"/>
  <c r="J53" i="148"/>
  <c r="I53" i="148"/>
  <c r="H53" i="148"/>
  <c r="G53" i="148"/>
  <c r="L52" i="148"/>
  <c r="J52" i="148"/>
  <c r="I52" i="148"/>
  <c r="H52" i="148"/>
  <c r="G52" i="148"/>
  <c r="L51" i="148"/>
  <c r="J51" i="148"/>
  <c r="I51" i="148"/>
  <c r="H51" i="148"/>
  <c r="G51" i="148"/>
  <c r="L50" i="148"/>
  <c r="J50" i="148"/>
  <c r="I50" i="148"/>
  <c r="H50" i="148"/>
  <c r="G50" i="148"/>
  <c r="L49" i="148"/>
  <c r="J49" i="148"/>
  <c r="I49" i="148"/>
  <c r="H49" i="148"/>
  <c r="G49" i="148"/>
  <c r="L48" i="148"/>
  <c r="J48" i="148"/>
  <c r="I48" i="148"/>
  <c r="H48" i="148"/>
  <c r="G48" i="148"/>
  <c r="L47" i="148"/>
  <c r="J47" i="148"/>
  <c r="I47" i="148"/>
  <c r="H47" i="148"/>
  <c r="G47" i="148"/>
  <c r="L46" i="148"/>
  <c r="J46" i="148"/>
  <c r="I46" i="148"/>
  <c r="H46" i="148"/>
  <c r="G46" i="148"/>
  <c r="L45" i="148"/>
  <c r="J45" i="148"/>
  <c r="I45" i="148"/>
  <c r="H45" i="148"/>
  <c r="G45" i="148"/>
  <c r="L44" i="148"/>
  <c r="J44" i="148"/>
  <c r="I44" i="148"/>
  <c r="H44" i="148"/>
  <c r="G44" i="148"/>
  <c r="L43" i="148"/>
  <c r="J43" i="148"/>
  <c r="I43" i="148"/>
  <c r="H43" i="148"/>
  <c r="G43" i="148"/>
  <c r="L42" i="148"/>
  <c r="J42" i="148"/>
  <c r="I42" i="148"/>
  <c r="H42" i="148"/>
  <c r="G42" i="148"/>
  <c r="L41" i="148"/>
  <c r="J41" i="148"/>
  <c r="I41" i="148"/>
  <c r="H41" i="148"/>
  <c r="G41" i="148"/>
  <c r="L40" i="148"/>
  <c r="J40" i="148"/>
  <c r="I40" i="148"/>
  <c r="H40" i="148"/>
  <c r="G40" i="148"/>
  <c r="L39" i="148"/>
  <c r="J39" i="148"/>
  <c r="I39" i="148"/>
  <c r="H39" i="148"/>
  <c r="G39" i="148"/>
  <c r="L38" i="148"/>
  <c r="J38" i="148"/>
  <c r="I38" i="148"/>
  <c r="H38" i="148"/>
  <c r="G38" i="148"/>
  <c r="L37" i="148"/>
  <c r="J37" i="148"/>
  <c r="I37" i="148"/>
  <c r="H37" i="148"/>
  <c r="G37" i="148"/>
  <c r="L36" i="148"/>
  <c r="J36" i="148"/>
  <c r="I36" i="148"/>
  <c r="H36" i="148"/>
  <c r="G36" i="148"/>
  <c r="L35" i="148"/>
  <c r="J35" i="148"/>
  <c r="I35" i="148"/>
  <c r="H35" i="148"/>
  <c r="G35" i="148"/>
  <c r="L34" i="148"/>
  <c r="J34" i="148"/>
  <c r="I34" i="148"/>
  <c r="H34" i="148"/>
  <c r="G34" i="148"/>
  <c r="L33" i="148"/>
  <c r="J33" i="148"/>
  <c r="I33" i="148"/>
  <c r="H33" i="148"/>
  <c r="G33" i="148"/>
  <c r="L32" i="148"/>
  <c r="J32" i="148"/>
  <c r="I32" i="148"/>
  <c r="H32" i="148"/>
  <c r="G32" i="148"/>
  <c r="L31" i="148"/>
  <c r="J31" i="148"/>
  <c r="I31" i="148"/>
  <c r="H31" i="148"/>
  <c r="G31" i="148"/>
  <c r="L30" i="148"/>
  <c r="J30" i="148"/>
  <c r="I30" i="148"/>
  <c r="H30" i="148"/>
  <c r="G30" i="148"/>
  <c r="L29" i="148"/>
  <c r="J29" i="148"/>
  <c r="I29" i="148"/>
  <c r="H29" i="148"/>
  <c r="G29" i="148"/>
  <c r="L28" i="148"/>
  <c r="J28" i="148"/>
  <c r="I28" i="148"/>
  <c r="H28" i="148"/>
  <c r="G28" i="148"/>
  <c r="L27" i="148"/>
  <c r="J27" i="148"/>
  <c r="I27" i="148"/>
  <c r="H27" i="148"/>
  <c r="G27" i="148"/>
  <c r="L26" i="148"/>
  <c r="J26" i="148"/>
  <c r="I26" i="148"/>
  <c r="H26" i="148"/>
  <c r="G26" i="148"/>
  <c r="L25" i="148"/>
  <c r="J25" i="148"/>
  <c r="I25" i="148"/>
  <c r="H25" i="148"/>
  <c r="G25" i="148"/>
  <c r="L24" i="148"/>
  <c r="J24" i="148"/>
  <c r="I24" i="148"/>
  <c r="H24" i="148"/>
  <c r="G24" i="148"/>
  <c r="L23" i="148"/>
  <c r="J23" i="148"/>
  <c r="I23" i="148"/>
  <c r="H23" i="148"/>
  <c r="G23" i="148"/>
  <c r="L22" i="148"/>
  <c r="J22" i="148"/>
  <c r="I22" i="148"/>
  <c r="H22" i="148"/>
  <c r="G22" i="148"/>
  <c r="L21" i="148"/>
  <c r="J21" i="148"/>
  <c r="I21" i="148"/>
  <c r="H21" i="148"/>
  <c r="G21" i="148"/>
  <c r="L20" i="148"/>
  <c r="J20" i="148"/>
  <c r="I20" i="148"/>
  <c r="H20" i="148"/>
  <c r="G20" i="148"/>
  <c r="L19" i="148"/>
  <c r="J19" i="148"/>
  <c r="I19" i="148"/>
  <c r="H19" i="148"/>
  <c r="G19" i="148"/>
  <c r="L18" i="148"/>
  <c r="J18" i="148"/>
  <c r="I18" i="148"/>
  <c r="H18" i="148"/>
  <c r="G18" i="148"/>
  <c r="L17" i="148"/>
  <c r="J17" i="148"/>
  <c r="I17" i="148"/>
  <c r="H17" i="148"/>
  <c r="G17" i="148"/>
  <c r="L16" i="148"/>
  <c r="J16" i="148"/>
  <c r="I16" i="148"/>
  <c r="H16" i="148"/>
  <c r="G16" i="148"/>
  <c r="L15" i="148"/>
  <c r="J15" i="148"/>
  <c r="I15" i="148"/>
  <c r="H15" i="148"/>
  <c r="G15" i="148"/>
  <c r="L14" i="148"/>
  <c r="J14" i="148"/>
  <c r="I14" i="148"/>
  <c r="H14" i="148"/>
  <c r="G14" i="148"/>
  <c r="L13" i="148"/>
  <c r="J13" i="148"/>
  <c r="I13" i="148"/>
  <c r="H13" i="148"/>
  <c r="G13" i="148"/>
  <c r="L12" i="148"/>
  <c r="J12" i="148"/>
  <c r="I12" i="148"/>
  <c r="H12" i="148"/>
  <c r="G12" i="148"/>
  <c r="L11" i="148"/>
  <c r="J11" i="148"/>
  <c r="I11" i="148"/>
  <c r="H11" i="148"/>
  <c r="G11" i="148"/>
  <c r="L10" i="148"/>
  <c r="J10" i="148"/>
  <c r="I10" i="148"/>
  <c r="H10" i="148"/>
  <c r="G10" i="148"/>
  <c r="L9" i="148"/>
  <c r="J9" i="148"/>
  <c r="I9" i="148"/>
  <c r="H9" i="148"/>
  <c r="G9" i="148"/>
  <c r="L8" i="148"/>
  <c r="J8" i="148"/>
  <c r="I8" i="148"/>
  <c r="H8" i="148"/>
  <c r="G8" i="148"/>
  <c r="L7" i="148"/>
  <c r="J7" i="148"/>
  <c r="I7" i="148"/>
  <c r="H7" i="148"/>
  <c r="G7" i="148"/>
  <c r="L6" i="148"/>
  <c r="J6" i="148"/>
  <c r="I6" i="148"/>
  <c r="H6" i="148"/>
  <c r="G6" i="148"/>
  <c r="L5" i="148"/>
  <c r="J5" i="148"/>
  <c r="I5" i="148"/>
  <c r="H5" i="148"/>
  <c r="G5" i="148"/>
  <c r="L4" i="148"/>
  <c r="J4" i="148"/>
  <c r="I4" i="148"/>
  <c r="H4" i="148"/>
  <c r="G4" i="148"/>
  <c r="O3" i="148"/>
  <c r="O4" i="148" s="1"/>
  <c r="O5" i="148" s="1"/>
  <c r="O6" i="148" s="1"/>
  <c r="O7" i="148" s="1"/>
  <c r="O8" i="148" s="1"/>
  <c r="O9" i="148" s="1"/>
  <c r="O10" i="148" s="1"/>
  <c r="O11" i="148" s="1"/>
  <c r="O12" i="148" s="1"/>
  <c r="O13" i="148" s="1"/>
  <c r="O14" i="148" s="1"/>
  <c r="O15" i="148" s="1"/>
  <c r="O16" i="148" s="1"/>
  <c r="O17" i="148" s="1"/>
  <c r="O18" i="148" s="1"/>
  <c r="O19" i="148" s="1"/>
  <c r="O20" i="148" s="1"/>
  <c r="O21" i="148" s="1"/>
  <c r="O22" i="148" s="1"/>
  <c r="O23" i="148" s="1"/>
  <c r="O24" i="148" s="1"/>
  <c r="O25" i="148" s="1"/>
  <c r="O26" i="148" s="1"/>
  <c r="O27" i="148" s="1"/>
  <c r="O28" i="148" s="1"/>
  <c r="O29" i="148" s="1"/>
  <c r="O30" i="148" s="1"/>
  <c r="O31" i="148" s="1"/>
  <c r="O32" i="148" s="1"/>
  <c r="O33" i="148" s="1"/>
  <c r="O34" i="148" s="1"/>
  <c r="O35" i="148" s="1"/>
  <c r="O36" i="148" s="1"/>
  <c r="O37" i="148" s="1"/>
  <c r="O38" i="148" s="1"/>
  <c r="O39" i="148" s="1"/>
  <c r="O40" i="148" s="1"/>
  <c r="O41" i="148" s="1"/>
  <c r="O42" i="148" s="1"/>
  <c r="O43" i="148" s="1"/>
  <c r="O44" i="148" s="1"/>
  <c r="O45" i="148" s="1"/>
  <c r="O46" i="148" s="1"/>
  <c r="O47" i="148" s="1"/>
  <c r="O48" i="148" s="1"/>
  <c r="O49" i="148" s="1"/>
  <c r="O50" i="148" s="1"/>
  <c r="O51" i="148" s="1"/>
  <c r="O52" i="148" s="1"/>
  <c r="O53" i="148" s="1"/>
  <c r="O54" i="148" s="1"/>
  <c r="O55" i="148" s="1"/>
  <c r="O56" i="148" s="1"/>
  <c r="O57" i="148" s="1"/>
  <c r="O58" i="148" s="1"/>
  <c r="O59" i="148" s="1"/>
  <c r="O60" i="148" s="1"/>
  <c r="O61" i="148" s="1"/>
  <c r="O62" i="148" s="1"/>
  <c r="O63" i="148" s="1"/>
  <c r="O64" i="148" s="1"/>
  <c r="O65" i="148" s="1"/>
  <c r="O66" i="148" s="1"/>
  <c r="O67" i="148" s="1"/>
  <c r="O68" i="148" s="1"/>
  <c r="O69" i="148" s="1"/>
  <c r="O70" i="148" s="1"/>
  <c r="O71" i="148" s="1"/>
  <c r="O72" i="148" s="1"/>
  <c r="O73" i="148" s="1"/>
  <c r="O74" i="148" s="1"/>
  <c r="O75" i="148" s="1"/>
  <c r="O76" i="148" s="1"/>
  <c r="O77" i="148" s="1"/>
  <c r="O78" i="148" s="1"/>
  <c r="O79" i="148" s="1"/>
  <c r="O80" i="148" s="1"/>
  <c r="O81" i="148" s="1"/>
  <c r="O82" i="148" s="1"/>
  <c r="O83" i="148" s="1"/>
  <c r="O84" i="148" s="1"/>
  <c r="O85" i="148" s="1"/>
  <c r="O86" i="148" s="1"/>
  <c r="O87" i="148" s="1"/>
  <c r="O88" i="148" s="1"/>
  <c r="O89" i="148" s="1"/>
  <c r="O90" i="148" s="1"/>
  <c r="O91" i="148" s="1"/>
  <c r="O92" i="148" s="1"/>
  <c r="O93" i="148" s="1"/>
  <c r="O94" i="148" s="1"/>
  <c r="O95" i="148" s="1"/>
  <c r="O96" i="148" s="1"/>
  <c r="O97" i="148" s="1"/>
  <c r="O98" i="148" s="1"/>
  <c r="O99" i="148" s="1"/>
  <c r="O100" i="148" s="1"/>
  <c r="O101" i="148" s="1"/>
  <c r="O102" i="148" s="1"/>
  <c r="O103" i="148" s="1"/>
  <c r="O104" i="148" s="1"/>
  <c r="O105" i="148" s="1"/>
  <c r="O106" i="148" s="1"/>
  <c r="O107" i="148" s="1"/>
  <c r="O108" i="148" s="1"/>
  <c r="O109" i="148" s="1"/>
  <c r="O110" i="148" s="1"/>
  <c r="O111" i="148" s="1"/>
  <c r="O112" i="148" s="1"/>
  <c r="O113" i="148" s="1"/>
  <c r="O114" i="148" s="1"/>
  <c r="O115" i="148" s="1"/>
  <c r="O116" i="148" s="1"/>
  <c r="O117" i="148" s="1"/>
  <c r="O118" i="148" s="1"/>
  <c r="O119" i="148" s="1"/>
  <c r="O120" i="148" s="1"/>
  <c r="O121" i="148" s="1"/>
  <c r="O122" i="148" s="1"/>
  <c r="O123" i="148" s="1"/>
  <c r="O124" i="148" s="1"/>
  <c r="O125" i="148" s="1"/>
  <c r="O126" i="148" s="1"/>
  <c r="O127" i="148" s="1"/>
  <c r="O128" i="148" s="1"/>
  <c r="O129" i="148" s="1"/>
  <c r="O130" i="148" s="1"/>
  <c r="O131" i="148" s="1"/>
  <c r="O132" i="148" s="1"/>
  <c r="O133" i="148" s="1"/>
  <c r="O134" i="148" s="1"/>
  <c r="O135" i="148" s="1"/>
  <c r="O136" i="148" s="1"/>
  <c r="O137" i="148" s="1"/>
  <c r="O138" i="148" s="1"/>
  <c r="O139" i="148" s="1"/>
  <c r="O140" i="148" s="1"/>
  <c r="O141" i="148" s="1"/>
  <c r="O142" i="148" s="1"/>
  <c r="O143" i="148" s="1"/>
  <c r="O144" i="148" s="1"/>
  <c r="O145" i="148" s="1"/>
  <c r="O146" i="148" s="1"/>
  <c r="O147" i="148" s="1"/>
  <c r="O148" i="148" s="1"/>
  <c r="O149" i="148" s="1"/>
  <c r="O150" i="148" s="1"/>
  <c r="O151" i="148" s="1"/>
  <c r="O152" i="148" s="1"/>
  <c r="O153" i="148" s="1"/>
  <c r="O154" i="148" s="1"/>
  <c r="O155" i="148" s="1"/>
  <c r="O156" i="148" s="1"/>
  <c r="O157" i="148" s="1"/>
  <c r="O158" i="148" s="1"/>
  <c r="O159" i="148" s="1"/>
  <c r="O160" i="148" s="1"/>
  <c r="O161" i="148" s="1"/>
  <c r="O162" i="148" s="1"/>
  <c r="O163" i="148" s="1"/>
  <c r="O164" i="148" s="1"/>
  <c r="O165" i="148" s="1"/>
  <c r="O166" i="148" s="1"/>
  <c r="O167" i="148" s="1"/>
  <c r="O168" i="148" s="1"/>
  <c r="O169" i="148" s="1"/>
  <c r="O170" i="148" s="1"/>
  <c r="O171" i="148" s="1"/>
  <c r="O172" i="148" s="1"/>
  <c r="O173" i="148" s="1"/>
  <c r="O174" i="148" s="1"/>
  <c r="O175" i="148" s="1"/>
  <c r="O176" i="148" s="1"/>
  <c r="O177" i="148" s="1"/>
  <c r="O178" i="148" s="1"/>
  <c r="O179" i="148" s="1"/>
  <c r="O180" i="148" s="1"/>
  <c r="O181" i="148" s="1"/>
  <c r="O182" i="148" s="1"/>
  <c r="O183" i="148" s="1"/>
  <c r="O184" i="148" s="1"/>
  <c r="O185" i="148" s="1"/>
  <c r="O186" i="148" s="1"/>
  <c r="O187" i="148" s="1"/>
  <c r="O188" i="148" s="1"/>
  <c r="O189" i="148" s="1"/>
  <c r="O190" i="148" s="1"/>
  <c r="O191" i="148" s="1"/>
  <c r="O192" i="148" s="1"/>
  <c r="O193" i="148" s="1"/>
  <c r="O194" i="148" s="1"/>
  <c r="O195" i="148" s="1"/>
  <c r="O196" i="148" s="1"/>
  <c r="O197" i="148" s="1"/>
  <c r="O198" i="148" s="1"/>
  <c r="O199" i="148" s="1"/>
  <c r="O200" i="148" s="1"/>
  <c r="O201" i="148" s="1"/>
  <c r="O202" i="148" s="1"/>
  <c r="O203" i="148" s="1"/>
  <c r="O204" i="148" s="1"/>
  <c r="O205" i="148" s="1"/>
  <c r="O206" i="148" s="1"/>
  <c r="O207" i="148" s="1"/>
  <c r="O208" i="148" s="1"/>
  <c r="O209" i="148" s="1"/>
  <c r="O210" i="148" s="1"/>
  <c r="O211" i="148" s="1"/>
  <c r="O212" i="148" s="1"/>
  <c r="O213" i="148" s="1"/>
  <c r="O214" i="148" s="1"/>
  <c r="O215" i="148" s="1"/>
  <c r="O216" i="148" s="1"/>
  <c r="O217" i="148" s="1"/>
  <c r="O218" i="148" s="1"/>
  <c r="O219" i="148" s="1"/>
  <c r="O220" i="148" s="1"/>
  <c r="O221" i="148" s="1"/>
  <c r="O222" i="148" s="1"/>
  <c r="O223" i="148" s="1"/>
  <c r="O224" i="148" s="1"/>
  <c r="O225" i="148" s="1"/>
  <c r="O226" i="148" s="1"/>
  <c r="O227" i="148" s="1"/>
  <c r="O228" i="148" s="1"/>
  <c r="O229" i="148" s="1"/>
  <c r="O230" i="148" s="1"/>
  <c r="O231" i="148" s="1"/>
  <c r="O232" i="148" s="1"/>
  <c r="O233" i="148" s="1"/>
  <c r="O234" i="148" s="1"/>
  <c r="O235" i="148" s="1"/>
  <c r="O236" i="148" s="1"/>
  <c r="O237" i="148" s="1"/>
  <c r="O238" i="148" s="1"/>
  <c r="O239" i="148" s="1"/>
  <c r="O240" i="148" s="1"/>
  <c r="O241" i="148" s="1"/>
  <c r="O242" i="148" s="1"/>
  <c r="O243" i="148" s="1"/>
  <c r="O244" i="148" s="1"/>
  <c r="O245" i="148" s="1"/>
  <c r="O246" i="148" s="1"/>
  <c r="O247" i="148" s="1"/>
  <c r="O248" i="148" s="1"/>
  <c r="O249" i="148" s="1"/>
  <c r="O250" i="148" s="1"/>
  <c r="O251" i="148" s="1"/>
  <c r="O252" i="148" s="1"/>
  <c r="O253" i="148" s="1"/>
  <c r="O254" i="148" s="1"/>
  <c r="O255" i="148" s="1"/>
  <c r="O256" i="148" s="1"/>
  <c r="O257" i="148" s="1"/>
  <c r="O258" i="148" s="1"/>
  <c r="O259" i="148" s="1"/>
  <c r="O260" i="148" s="1"/>
  <c r="O261" i="148" s="1"/>
  <c r="O262" i="148" s="1"/>
  <c r="O263" i="148" s="1"/>
  <c r="O264" i="148" s="1"/>
  <c r="O265" i="148" s="1"/>
  <c r="O266" i="148" s="1"/>
  <c r="O267" i="148" s="1"/>
  <c r="O268" i="148" s="1"/>
  <c r="O269" i="148" s="1"/>
  <c r="O270" i="148" s="1"/>
  <c r="O271" i="148" s="1"/>
  <c r="O272" i="148" s="1"/>
  <c r="O273" i="148" s="1"/>
  <c r="O274" i="148" s="1"/>
  <c r="O275" i="148" s="1"/>
  <c r="O276" i="148" s="1"/>
  <c r="O277" i="148" s="1"/>
  <c r="O278" i="148" s="1"/>
  <c r="O279" i="148" s="1"/>
  <c r="O280" i="148" s="1"/>
  <c r="O281" i="148" s="1"/>
  <c r="O282" i="148" s="1"/>
  <c r="O283" i="148" s="1"/>
  <c r="O284" i="148" s="1"/>
  <c r="O285" i="148" s="1"/>
  <c r="O286" i="148" s="1"/>
  <c r="O287" i="148" s="1"/>
  <c r="O288" i="148" s="1"/>
  <c r="O289" i="148" s="1"/>
  <c r="O290" i="148" s="1"/>
  <c r="O291" i="148" s="1"/>
  <c r="O292" i="148" s="1"/>
  <c r="O293" i="148" s="1"/>
  <c r="O294" i="148" s="1"/>
  <c r="O295" i="148" s="1"/>
  <c r="O296" i="148" s="1"/>
  <c r="O297" i="148" s="1"/>
  <c r="O298" i="148" s="1"/>
  <c r="O299" i="148" s="1"/>
  <c r="O300" i="148" s="1"/>
  <c r="O301" i="148" s="1"/>
  <c r="O302" i="148" s="1"/>
  <c r="O303" i="148" s="1"/>
  <c r="O304" i="148" s="1"/>
  <c r="O305" i="148" s="1"/>
  <c r="O306" i="148" s="1"/>
  <c r="O307" i="148" s="1"/>
  <c r="O308" i="148" s="1"/>
  <c r="O309" i="148" s="1"/>
  <c r="O310" i="148" s="1"/>
  <c r="O311" i="148" s="1"/>
  <c r="O312" i="148" s="1"/>
  <c r="O313" i="148" s="1"/>
  <c r="O314" i="148" s="1"/>
  <c r="O315" i="148" s="1"/>
  <c r="O316" i="148" s="1"/>
  <c r="O317" i="148" s="1"/>
  <c r="O318" i="148" s="1"/>
  <c r="O319" i="148" s="1"/>
  <c r="O320" i="148" s="1"/>
  <c r="O321" i="148" s="1"/>
  <c r="O322" i="148" s="1"/>
  <c r="O323" i="148" s="1"/>
  <c r="O324" i="148" s="1"/>
  <c r="O325" i="148" s="1"/>
  <c r="O326" i="148" s="1"/>
  <c r="O327" i="148" s="1"/>
  <c r="O328" i="148" s="1"/>
  <c r="O329" i="148" s="1"/>
  <c r="O330" i="148" s="1"/>
  <c r="O331" i="148" s="1"/>
  <c r="O332" i="148" s="1"/>
  <c r="O333" i="148" s="1"/>
  <c r="O334" i="148" s="1"/>
  <c r="O335" i="148" s="1"/>
  <c r="O336" i="148" s="1"/>
  <c r="O337" i="148" s="1"/>
  <c r="O338" i="148" s="1"/>
  <c r="O339" i="148" s="1"/>
  <c r="O340" i="148" s="1"/>
  <c r="O341" i="148" s="1"/>
  <c r="O342" i="148" s="1"/>
  <c r="O343" i="148" s="1"/>
  <c r="O344" i="148" s="1"/>
  <c r="O345" i="148" s="1"/>
  <c r="O346" i="148" s="1"/>
  <c r="O347" i="148" s="1"/>
  <c r="O348" i="148" s="1"/>
  <c r="O349" i="148" s="1"/>
  <c r="O350" i="148" s="1"/>
  <c r="O351" i="148" s="1"/>
  <c r="O352" i="148" s="1"/>
  <c r="O353" i="148" s="1"/>
  <c r="O354" i="148" s="1"/>
  <c r="O355" i="148" s="1"/>
  <c r="O356" i="148" s="1"/>
  <c r="O357" i="148" s="1"/>
  <c r="O358" i="148" s="1"/>
  <c r="O359" i="148" s="1"/>
  <c r="O360" i="148" s="1"/>
  <c r="O361" i="148" s="1"/>
  <c r="O362" i="148" s="1"/>
  <c r="O363" i="148" s="1"/>
  <c r="O364" i="148" s="1"/>
  <c r="O365" i="148" s="1"/>
  <c r="O366" i="148" s="1"/>
  <c r="O367" i="148" s="1"/>
  <c r="O368" i="148" s="1"/>
  <c r="O369" i="148" s="1"/>
  <c r="O370" i="148" s="1"/>
  <c r="O371" i="148" s="1"/>
  <c r="O372" i="148" s="1"/>
  <c r="O373" i="148" s="1"/>
  <c r="O374" i="148" s="1"/>
  <c r="O375" i="148" s="1"/>
  <c r="O376" i="148" s="1"/>
  <c r="O377" i="148" s="1"/>
  <c r="O378" i="148" s="1"/>
  <c r="O379" i="148" s="1"/>
  <c r="O380" i="148" s="1"/>
  <c r="O381" i="148" s="1"/>
  <c r="O382" i="148" s="1"/>
  <c r="O383" i="148" s="1"/>
  <c r="O384" i="148" s="1"/>
  <c r="O385" i="148" s="1"/>
  <c r="O386" i="148" s="1"/>
  <c r="O387" i="148" s="1"/>
  <c r="O388" i="148" s="1"/>
  <c r="O389" i="148" s="1"/>
  <c r="O390" i="148" s="1"/>
  <c r="O391" i="148" s="1"/>
  <c r="O392" i="148" s="1"/>
  <c r="O393" i="148" s="1"/>
  <c r="O394" i="148" s="1"/>
  <c r="O395" i="148" s="1"/>
  <c r="O396" i="148" s="1"/>
  <c r="O397" i="148" s="1"/>
  <c r="O398" i="148" s="1"/>
  <c r="O399" i="148" s="1"/>
  <c r="O400" i="148" s="1"/>
  <c r="O401" i="148" s="1"/>
  <c r="O402" i="148" s="1"/>
  <c r="O403" i="148" s="1"/>
  <c r="O404" i="148" s="1"/>
  <c r="O405" i="148" s="1"/>
  <c r="O406" i="148" s="1"/>
  <c r="O407" i="148" s="1"/>
  <c r="O408" i="148" s="1"/>
  <c r="O409" i="148" s="1"/>
  <c r="O410" i="148" s="1"/>
  <c r="O411" i="148" s="1"/>
  <c r="O412" i="148" s="1"/>
  <c r="O413" i="148" s="1"/>
  <c r="O414" i="148" s="1"/>
  <c r="O415" i="148" s="1"/>
  <c r="O416" i="148" s="1"/>
  <c r="O417" i="148" s="1"/>
  <c r="O418" i="148" s="1"/>
  <c r="O419" i="148" s="1"/>
  <c r="O420" i="148" s="1"/>
  <c r="O421" i="148" s="1"/>
  <c r="O422" i="148" s="1"/>
  <c r="O423" i="148" s="1"/>
  <c r="O424" i="148" s="1"/>
  <c r="O425" i="148" s="1"/>
  <c r="O426" i="148" s="1"/>
  <c r="O427" i="148" s="1"/>
  <c r="O428" i="148" s="1"/>
  <c r="O429" i="148" s="1"/>
  <c r="O430" i="148" s="1"/>
  <c r="O431" i="148" s="1"/>
  <c r="O432" i="148" s="1"/>
  <c r="O433" i="148" s="1"/>
  <c r="O434" i="148" s="1"/>
  <c r="O435" i="148" s="1"/>
  <c r="O436" i="148" s="1"/>
  <c r="O437" i="148" s="1"/>
  <c r="O438" i="148" s="1"/>
  <c r="O439" i="148" s="1"/>
  <c r="O440" i="148" s="1"/>
  <c r="O441" i="148" s="1"/>
  <c r="O442" i="148" s="1"/>
  <c r="O443" i="148" s="1"/>
  <c r="O444" i="148" s="1"/>
  <c r="O445" i="148" s="1"/>
  <c r="O446" i="148" s="1"/>
  <c r="O447" i="148" s="1"/>
  <c r="O448" i="148" s="1"/>
  <c r="O449" i="148" s="1"/>
  <c r="O450" i="148" s="1"/>
  <c r="O451" i="148" s="1"/>
  <c r="O452" i="148" s="1"/>
  <c r="O453" i="148" s="1"/>
  <c r="O454" i="148" s="1"/>
  <c r="O455" i="148" s="1"/>
  <c r="O456" i="148" s="1"/>
  <c r="O457" i="148" s="1"/>
  <c r="O458" i="148" s="1"/>
  <c r="O459" i="148" s="1"/>
  <c r="O460" i="148" s="1"/>
  <c r="O461" i="148" s="1"/>
  <c r="O462" i="148" s="1"/>
  <c r="O463" i="148" s="1"/>
  <c r="O464" i="148" s="1"/>
  <c r="O465" i="148" s="1"/>
  <c r="O466" i="148" s="1"/>
  <c r="O467" i="148" s="1"/>
  <c r="O468" i="148" s="1"/>
  <c r="O469" i="148" s="1"/>
  <c r="O470" i="148" s="1"/>
  <c r="O471" i="148" s="1"/>
  <c r="O472" i="148" s="1"/>
  <c r="O473" i="148" s="1"/>
  <c r="O474" i="148" s="1"/>
  <c r="O475" i="148" s="1"/>
  <c r="O476" i="148" s="1"/>
  <c r="O477" i="148" s="1"/>
  <c r="O478" i="148" s="1"/>
  <c r="O479" i="148" s="1"/>
  <c r="O480" i="148" s="1"/>
  <c r="O481" i="148" s="1"/>
  <c r="O482" i="148" s="1"/>
  <c r="O483" i="148" s="1"/>
  <c r="O484" i="148" s="1"/>
  <c r="O485" i="148" s="1"/>
  <c r="O486" i="148" s="1"/>
  <c r="O487" i="148" s="1"/>
  <c r="O488" i="148" s="1"/>
  <c r="O489" i="148" s="1"/>
  <c r="O490" i="148" s="1"/>
  <c r="O491" i="148" s="1"/>
  <c r="O492" i="148" s="1"/>
  <c r="O493" i="148" s="1"/>
  <c r="O494" i="148" s="1"/>
  <c r="O495" i="148" s="1"/>
  <c r="O496" i="148" s="1"/>
  <c r="O497" i="148" s="1"/>
  <c r="O498" i="148" s="1"/>
  <c r="O499" i="148" s="1"/>
  <c r="O500" i="148" s="1"/>
  <c r="O501" i="148" s="1"/>
  <c r="O502" i="148" s="1"/>
  <c r="O503" i="148" s="1"/>
  <c r="O504" i="148" s="1"/>
  <c r="O505" i="148" s="1"/>
  <c r="O506" i="148" s="1"/>
  <c r="O507" i="148" s="1"/>
  <c r="O508" i="148" s="1"/>
  <c r="O509" i="148" s="1"/>
  <c r="O510" i="148" s="1"/>
  <c r="O511" i="148" s="1"/>
  <c r="O512" i="148" s="1"/>
  <c r="O513" i="148" s="1"/>
  <c r="O514" i="148" s="1"/>
  <c r="O515" i="148" s="1"/>
  <c r="O516" i="148" s="1"/>
  <c r="O517" i="148" s="1"/>
  <c r="O518" i="148" s="1"/>
  <c r="O519" i="148" s="1"/>
  <c r="O520" i="148" s="1"/>
  <c r="O521" i="148" s="1"/>
  <c r="O522" i="148" s="1"/>
  <c r="O523" i="148" s="1"/>
  <c r="O524" i="148" s="1"/>
  <c r="O525" i="148" s="1"/>
  <c r="O526" i="148" s="1"/>
  <c r="O527" i="148" s="1"/>
  <c r="O528" i="148" s="1"/>
  <c r="O529" i="148" s="1"/>
  <c r="O530" i="148" s="1"/>
  <c r="O531" i="148" s="1"/>
  <c r="O532" i="148" s="1"/>
  <c r="O533" i="148" s="1"/>
  <c r="O534" i="148" s="1"/>
  <c r="O535" i="148" s="1"/>
  <c r="O536" i="148" s="1"/>
  <c r="O537" i="148" s="1"/>
  <c r="O538" i="148" s="1"/>
  <c r="O539" i="148" s="1"/>
  <c r="O540" i="148" s="1"/>
  <c r="O541" i="148" s="1"/>
  <c r="O542" i="148" s="1"/>
  <c r="O543" i="148" s="1"/>
  <c r="O544" i="148" s="1"/>
  <c r="O545" i="148" s="1"/>
  <c r="O546" i="148" s="1"/>
  <c r="O547" i="148" s="1"/>
  <c r="O548" i="148" s="1"/>
  <c r="O549" i="148" s="1"/>
  <c r="O550" i="148" s="1"/>
  <c r="O551" i="148" s="1"/>
  <c r="O552" i="148" s="1"/>
  <c r="O553" i="148" s="1"/>
  <c r="O554" i="148" s="1"/>
  <c r="O555" i="148" s="1"/>
  <c r="O556" i="148" s="1"/>
  <c r="O557" i="148" s="1"/>
  <c r="O558" i="148" s="1"/>
  <c r="O559" i="148" s="1"/>
  <c r="O560" i="148" s="1"/>
  <c r="O561" i="148" s="1"/>
  <c r="O562" i="148" s="1"/>
  <c r="O563" i="148" s="1"/>
  <c r="O564" i="148" s="1"/>
  <c r="O565" i="148" s="1"/>
  <c r="O566" i="148" s="1"/>
  <c r="O567" i="148" s="1"/>
  <c r="O568" i="148" s="1"/>
  <c r="O569" i="148" s="1"/>
  <c r="O570" i="148" s="1"/>
  <c r="O571" i="148" s="1"/>
  <c r="O572" i="148" s="1"/>
  <c r="O573" i="148" s="1"/>
  <c r="O574" i="148" s="1"/>
  <c r="O575" i="148" s="1"/>
  <c r="O576" i="148" s="1"/>
  <c r="O577" i="148" s="1"/>
  <c r="O578" i="148" s="1"/>
  <c r="O579" i="148" s="1"/>
  <c r="O580" i="148" s="1"/>
  <c r="O581" i="148" s="1"/>
  <c r="O582" i="148" s="1"/>
  <c r="O583" i="148" s="1"/>
  <c r="O584" i="148" s="1"/>
  <c r="O585" i="148" s="1"/>
  <c r="O586" i="148" s="1"/>
  <c r="O587" i="148" s="1"/>
  <c r="O588" i="148" s="1"/>
  <c r="O589" i="148" s="1"/>
  <c r="O590" i="148" s="1"/>
  <c r="O591" i="148" s="1"/>
  <c r="O592" i="148" s="1"/>
  <c r="O593" i="148" s="1"/>
  <c r="O594" i="148" s="1"/>
  <c r="O595" i="148" s="1"/>
  <c r="O596" i="148" s="1"/>
  <c r="O597" i="148" s="1"/>
  <c r="O598" i="148" s="1"/>
  <c r="O599" i="148" s="1"/>
  <c r="O600" i="148" s="1"/>
  <c r="O601" i="148" s="1"/>
  <c r="O602" i="148" s="1"/>
  <c r="O603" i="148" s="1"/>
  <c r="O604" i="148" s="1"/>
  <c r="O605" i="148" s="1"/>
  <c r="O606" i="148" s="1"/>
  <c r="O607" i="148" s="1"/>
  <c r="O608" i="148" s="1"/>
  <c r="O609" i="148" s="1"/>
  <c r="O610" i="148" s="1"/>
  <c r="O611" i="148" s="1"/>
  <c r="O612" i="148" s="1"/>
  <c r="O613" i="148" s="1"/>
  <c r="O614" i="148" s="1"/>
  <c r="O615" i="148" s="1"/>
  <c r="O616" i="148" s="1"/>
  <c r="O617" i="148" s="1"/>
  <c r="O618" i="148" s="1"/>
  <c r="O619" i="148" s="1"/>
  <c r="O620" i="148" s="1"/>
  <c r="O621" i="148" s="1"/>
  <c r="O622" i="148" s="1"/>
  <c r="O623" i="148" s="1"/>
  <c r="O624" i="148" s="1"/>
  <c r="O625" i="148" s="1"/>
  <c r="O626" i="148" s="1"/>
  <c r="O627" i="148" s="1"/>
  <c r="O628" i="148" s="1"/>
  <c r="O629" i="148" s="1"/>
  <c r="O630" i="148" s="1"/>
  <c r="O631" i="148" s="1"/>
  <c r="O632" i="148" s="1"/>
  <c r="O633" i="148" s="1"/>
  <c r="L3" i="148"/>
  <c r="J3" i="148"/>
  <c r="I3" i="148"/>
  <c r="H3" i="148"/>
  <c r="G3" i="148"/>
  <c r="L2" i="148"/>
  <c r="J2" i="148"/>
  <c r="I2" i="148"/>
  <c r="H2" i="148"/>
  <c r="G2" i="148"/>
  <c r="R1" i="146"/>
  <c r="F485" i="144"/>
  <c r="I485" i="144" s="1"/>
  <c r="J485" i="144" s="1"/>
  <c r="K485" i="144" s="1"/>
  <c r="L484" i="144"/>
  <c r="L483" i="144"/>
  <c r="L482" i="144"/>
  <c r="L481" i="144"/>
  <c r="L480" i="144"/>
  <c r="L479" i="144"/>
  <c r="L478" i="144"/>
  <c r="L477" i="144"/>
  <c r="L476" i="144"/>
  <c r="L475" i="144"/>
  <c r="L474" i="144"/>
  <c r="L473" i="144"/>
  <c r="L472" i="144"/>
  <c r="L471" i="144"/>
  <c r="L470" i="144"/>
  <c r="L469" i="144"/>
  <c r="L468" i="144"/>
  <c r="L467" i="144"/>
  <c r="L466" i="144"/>
  <c r="L465" i="144"/>
  <c r="L464" i="144"/>
  <c r="L463" i="144"/>
  <c r="L462" i="144"/>
  <c r="L461" i="144"/>
  <c r="L460" i="144"/>
  <c r="L459" i="144"/>
  <c r="L458" i="144"/>
  <c r="L457" i="144"/>
  <c r="L456" i="144"/>
  <c r="L455" i="144"/>
  <c r="L454" i="144"/>
  <c r="L453" i="144"/>
  <c r="L452" i="144"/>
  <c r="L451" i="144"/>
  <c r="L450" i="144"/>
  <c r="L449" i="144"/>
  <c r="L448" i="144"/>
  <c r="L447" i="144"/>
  <c r="L446" i="144"/>
  <c r="L445" i="144"/>
  <c r="L444" i="144"/>
  <c r="L443" i="144"/>
  <c r="L442" i="144"/>
  <c r="L441" i="144"/>
  <c r="L440" i="144"/>
  <c r="L439" i="144"/>
  <c r="L438" i="144"/>
  <c r="L437" i="144"/>
  <c r="L436" i="144"/>
  <c r="L435" i="144"/>
  <c r="L434" i="144"/>
  <c r="L433" i="144"/>
  <c r="L432" i="144"/>
  <c r="L431" i="144"/>
  <c r="L430" i="144"/>
  <c r="L429" i="144"/>
  <c r="L428" i="144"/>
  <c r="L427" i="144"/>
  <c r="L426" i="144"/>
  <c r="L425" i="144"/>
  <c r="L424" i="144"/>
  <c r="L423" i="144"/>
  <c r="L422" i="144"/>
  <c r="L421" i="144"/>
  <c r="L420" i="144"/>
  <c r="L419" i="144"/>
  <c r="L418" i="144"/>
  <c r="L417" i="144"/>
  <c r="L416" i="144"/>
  <c r="L415" i="144"/>
  <c r="L414" i="144"/>
  <c r="L413" i="144"/>
  <c r="L412" i="144"/>
  <c r="L411" i="144"/>
  <c r="L410" i="144"/>
  <c r="L409" i="144"/>
  <c r="L408" i="144"/>
  <c r="L407" i="144"/>
  <c r="L406" i="144"/>
  <c r="L405" i="144"/>
  <c r="L404" i="144"/>
  <c r="L403" i="144"/>
  <c r="L402" i="144"/>
  <c r="L401" i="144"/>
  <c r="L400" i="144"/>
  <c r="L399" i="144"/>
  <c r="L398" i="144"/>
  <c r="L397" i="144"/>
  <c r="L396" i="144"/>
  <c r="L395" i="144"/>
  <c r="L394" i="144"/>
  <c r="L393" i="144"/>
  <c r="L392" i="144"/>
  <c r="L391" i="144"/>
  <c r="L390" i="144"/>
  <c r="L389" i="144"/>
  <c r="L388" i="144"/>
  <c r="L387" i="144"/>
  <c r="L386" i="144"/>
  <c r="L385" i="144"/>
  <c r="L384" i="144"/>
  <c r="L383" i="144"/>
  <c r="L382" i="144"/>
  <c r="L381" i="144"/>
  <c r="L380" i="144"/>
  <c r="L379" i="144"/>
  <c r="L378" i="144"/>
  <c r="L377" i="144"/>
  <c r="L376" i="144"/>
  <c r="L375" i="144"/>
  <c r="L374" i="144"/>
  <c r="L373" i="144"/>
  <c r="L372" i="144"/>
  <c r="L371" i="144"/>
  <c r="L370" i="144"/>
  <c r="L369" i="144"/>
  <c r="L368" i="144"/>
  <c r="L367" i="144"/>
  <c r="L366" i="144"/>
  <c r="L365" i="144"/>
  <c r="L364" i="144"/>
  <c r="L363" i="144"/>
  <c r="L362" i="144"/>
  <c r="L361" i="144"/>
  <c r="L360" i="144"/>
  <c r="L359" i="144"/>
  <c r="L358" i="144"/>
  <c r="L357" i="144"/>
  <c r="L356" i="144"/>
  <c r="L355" i="144"/>
  <c r="L354" i="144"/>
  <c r="L353" i="144"/>
  <c r="L352" i="144"/>
  <c r="L351" i="144"/>
  <c r="L350" i="144"/>
  <c r="L349" i="144"/>
  <c r="L348" i="144"/>
  <c r="L347" i="144"/>
  <c r="L346" i="144"/>
  <c r="L345" i="144"/>
  <c r="L344" i="144"/>
  <c r="L343" i="144"/>
  <c r="L342" i="144"/>
  <c r="L341" i="144"/>
  <c r="L340" i="144"/>
  <c r="L339" i="144"/>
  <c r="L338" i="144"/>
  <c r="L337" i="144"/>
  <c r="L336" i="144"/>
  <c r="L335" i="144"/>
  <c r="L334" i="144"/>
  <c r="L333" i="144"/>
  <c r="L332" i="144"/>
  <c r="L331" i="144"/>
  <c r="L330" i="144"/>
  <c r="L329" i="144"/>
  <c r="L328" i="144"/>
  <c r="L327" i="144"/>
  <c r="L326" i="144"/>
  <c r="L325" i="144"/>
  <c r="L324" i="144"/>
  <c r="L323" i="144"/>
  <c r="L322" i="144"/>
  <c r="L321" i="144"/>
  <c r="L320" i="144"/>
  <c r="L319" i="144"/>
  <c r="L318" i="144"/>
  <c r="L317" i="144"/>
  <c r="L316" i="144"/>
  <c r="L315" i="144"/>
  <c r="L314" i="144"/>
  <c r="L313" i="144"/>
  <c r="L312" i="144"/>
  <c r="L311" i="144"/>
  <c r="L310" i="144"/>
  <c r="L309" i="144"/>
  <c r="L308" i="144"/>
  <c r="L307" i="144"/>
  <c r="L306" i="144"/>
  <c r="L305" i="144"/>
  <c r="L304" i="144"/>
  <c r="L303" i="144"/>
  <c r="L302" i="144"/>
  <c r="L301" i="144"/>
  <c r="L300" i="144"/>
  <c r="L299" i="144"/>
  <c r="L298" i="144"/>
  <c r="L297" i="144"/>
  <c r="L296" i="144"/>
  <c r="L295" i="144"/>
  <c r="L294" i="144"/>
  <c r="L293" i="144"/>
  <c r="L292" i="144"/>
  <c r="L291" i="144"/>
  <c r="L290" i="144"/>
  <c r="L289" i="144"/>
  <c r="L288" i="144"/>
  <c r="L287" i="144"/>
  <c r="L286" i="144"/>
  <c r="L285" i="144"/>
  <c r="L284" i="144"/>
  <c r="L283" i="144"/>
  <c r="L282" i="144"/>
  <c r="L281" i="144"/>
  <c r="L280" i="144"/>
  <c r="L279" i="144"/>
  <c r="L278" i="144"/>
  <c r="L277" i="144"/>
  <c r="L276" i="144"/>
  <c r="L275" i="144"/>
  <c r="L274" i="144"/>
  <c r="L273" i="144"/>
  <c r="L272" i="144"/>
  <c r="L271" i="144"/>
  <c r="L270" i="144"/>
  <c r="L269" i="144"/>
  <c r="L268" i="144"/>
  <c r="L267" i="144"/>
  <c r="L266" i="144"/>
  <c r="L265" i="144"/>
  <c r="L264" i="144"/>
  <c r="L263" i="144"/>
  <c r="L262" i="144"/>
  <c r="L261" i="144"/>
  <c r="L260" i="144"/>
  <c r="L259" i="144"/>
  <c r="L258" i="144"/>
  <c r="L257" i="144"/>
  <c r="L256" i="144"/>
  <c r="L255" i="144"/>
  <c r="L254" i="144"/>
  <c r="L253" i="144"/>
  <c r="L252" i="144"/>
  <c r="L251" i="144"/>
  <c r="L250" i="144"/>
  <c r="L249" i="144"/>
  <c r="L248" i="144"/>
  <c r="L247" i="144"/>
  <c r="L246" i="144"/>
  <c r="L245" i="144"/>
  <c r="L244" i="144"/>
  <c r="L243" i="144"/>
  <c r="L242" i="144"/>
  <c r="L241" i="144"/>
  <c r="L240" i="144"/>
  <c r="L239" i="144"/>
  <c r="L238" i="144"/>
  <c r="L237" i="144"/>
  <c r="A236" i="144"/>
  <c r="F2" i="144"/>
  <c r="D62" i="142"/>
  <c r="AD38" i="142"/>
  <c r="G38" i="142"/>
  <c r="C37" i="142"/>
  <c r="C36" i="142"/>
  <c r="C35" i="142"/>
  <c r="C34" i="142"/>
  <c r="C33" i="142"/>
  <c r="C32" i="142"/>
  <c r="C31" i="142"/>
  <c r="C30" i="142"/>
  <c r="C29" i="142"/>
  <c r="C28" i="142"/>
  <c r="U27" i="142"/>
  <c r="U28" i="142" s="1"/>
  <c r="K27" i="142"/>
  <c r="C27" i="142"/>
  <c r="H26" i="142"/>
  <c r="C26" i="142"/>
  <c r="C16" i="142"/>
  <c r="C15" i="142"/>
  <c r="C14" i="142"/>
  <c r="C13" i="142"/>
  <c r="C12" i="142"/>
  <c r="C11" i="142"/>
  <c r="C10" i="142"/>
  <c r="G9" i="142"/>
  <c r="C9" i="142"/>
  <c r="J8" i="142"/>
  <c r="G8" i="142"/>
  <c r="C8" i="142"/>
  <c r="J7" i="142"/>
  <c r="G7" i="142"/>
  <c r="C7" i="142"/>
  <c r="J6" i="142"/>
  <c r="G6" i="142"/>
  <c r="C6" i="142"/>
  <c r="A6" i="142"/>
  <c r="A7" i="142" s="1"/>
  <c r="J5" i="142"/>
  <c r="G5" i="142"/>
  <c r="D5" i="142"/>
  <c r="C5" i="142"/>
  <c r="C40" i="141"/>
  <c r="F24" i="141"/>
  <c r="B21" i="141"/>
  <c r="C20" i="141"/>
  <c r="B20" i="141"/>
  <c r="C19" i="141"/>
  <c r="B19" i="141"/>
  <c r="F18" i="141"/>
  <c r="C18" i="141"/>
  <c r="B18" i="141"/>
  <c r="F17" i="141"/>
  <c r="B9" i="141"/>
  <c r="C19" i="142" s="1"/>
  <c r="F8" i="141"/>
  <c r="L5" i="140"/>
  <c r="L3" i="140"/>
  <c r="K7" i="139"/>
  <c r="K5" i="139"/>
  <c r="L4" i="139"/>
  <c r="L7" i="139" s="1"/>
  <c r="F161" i="148" l="1"/>
  <c r="F135" i="148"/>
  <c r="D6" i="142"/>
  <c r="J9" i="142"/>
  <c r="H6" i="139"/>
  <c r="F2" i="148"/>
  <c r="F103" i="148"/>
  <c r="F109" i="148"/>
  <c r="F193" i="148"/>
  <c r="F77" i="148"/>
  <c r="F141" i="148"/>
  <c r="F167" i="148"/>
  <c r="F237" i="148"/>
  <c r="F129" i="148"/>
  <c r="F205" i="148"/>
  <c r="F231" i="148"/>
  <c r="F97" i="148"/>
  <c r="F173" i="148"/>
  <c r="F199" i="148"/>
  <c r="F225" i="148"/>
  <c r="F4" i="148"/>
  <c r="F8" i="148"/>
  <c r="F12" i="148"/>
  <c r="F16" i="148"/>
  <c r="F22" i="148"/>
  <c r="F24" i="148"/>
  <c r="F28" i="148"/>
  <c r="F32" i="148"/>
  <c r="F36" i="148"/>
  <c r="F40" i="148"/>
  <c r="F44" i="148"/>
  <c r="F48" i="148"/>
  <c r="F50" i="148"/>
  <c r="F75" i="148"/>
  <c r="F89" i="148"/>
  <c r="F101" i="148"/>
  <c r="F121" i="148"/>
  <c r="F133" i="148"/>
  <c r="F159" i="148"/>
  <c r="F165" i="148"/>
  <c r="F191" i="148"/>
  <c r="F197" i="148"/>
  <c r="F246" i="148"/>
  <c r="F3" i="148"/>
  <c r="F73" i="148"/>
  <c r="F81" i="148"/>
  <c r="F87" i="148"/>
  <c r="F93" i="148"/>
  <c r="F113" i="148"/>
  <c r="F119" i="148"/>
  <c r="F125" i="148"/>
  <c r="F145" i="148"/>
  <c r="F151" i="148"/>
  <c r="F157" i="148"/>
  <c r="F177" i="148"/>
  <c r="F183" i="148"/>
  <c r="F189" i="148"/>
  <c r="F209" i="148"/>
  <c r="F215" i="148"/>
  <c r="F221" i="148"/>
  <c r="F241" i="148"/>
  <c r="F6" i="148"/>
  <c r="F10" i="148"/>
  <c r="F14" i="148"/>
  <c r="F18" i="148"/>
  <c r="F20" i="148"/>
  <c r="F26" i="148"/>
  <c r="F30" i="148"/>
  <c r="F34" i="148"/>
  <c r="F38" i="148"/>
  <c r="F42" i="148"/>
  <c r="F46" i="148"/>
  <c r="F52" i="148"/>
  <c r="F54" i="148"/>
  <c r="F56" i="148"/>
  <c r="F58" i="148"/>
  <c r="F60" i="148"/>
  <c r="F62" i="148"/>
  <c r="F64" i="148"/>
  <c r="F66" i="148"/>
  <c r="F68" i="148"/>
  <c r="F70" i="148"/>
  <c r="F95" i="148"/>
  <c r="F127" i="148"/>
  <c r="F153" i="148"/>
  <c r="F185" i="148"/>
  <c r="F217" i="148"/>
  <c r="F223" i="148"/>
  <c r="F229" i="148"/>
  <c r="F248" i="148"/>
  <c r="F250" i="148"/>
  <c r="F251" i="148" s="1"/>
  <c r="F252" i="148" s="1"/>
  <c r="F253" i="148" s="1"/>
  <c r="F254" i="148" s="1"/>
  <c r="F255" i="148" s="1"/>
  <c r="F256" i="148" s="1"/>
  <c r="F257" i="148" s="1"/>
  <c r="F258" i="148" s="1"/>
  <c r="F259" i="148" s="1"/>
  <c r="F260" i="148" s="1"/>
  <c r="F261" i="148" s="1"/>
  <c r="F262" i="148" s="1"/>
  <c r="F263" i="148" s="1"/>
  <c r="F264" i="148" s="1"/>
  <c r="F265" i="148" s="1"/>
  <c r="F266" i="148" s="1"/>
  <c r="F267" i="148" s="1"/>
  <c r="F268" i="148" s="1"/>
  <c r="F269" i="148" s="1"/>
  <c r="F270" i="148" s="1"/>
  <c r="F271" i="148" s="1"/>
  <c r="F272" i="148" s="1"/>
  <c r="F273" i="148" s="1"/>
  <c r="F274" i="148" s="1"/>
  <c r="F275" i="148" s="1"/>
  <c r="F276" i="148" s="1"/>
  <c r="F277" i="148" s="1"/>
  <c r="F278" i="148" s="1"/>
  <c r="F279" i="148" s="1"/>
  <c r="F280" i="148" s="1"/>
  <c r="F281" i="148" s="1"/>
  <c r="F282" i="148" s="1"/>
  <c r="F283" i="148" s="1"/>
  <c r="F284" i="148" s="1"/>
  <c r="F285" i="148" s="1"/>
  <c r="F286" i="148" s="1"/>
  <c r="F287" i="148" s="1"/>
  <c r="F288" i="148" s="1"/>
  <c r="F289" i="148" s="1"/>
  <c r="F290" i="148" s="1"/>
  <c r="F291" i="148" s="1"/>
  <c r="F292" i="148" s="1"/>
  <c r="F293" i="148" s="1"/>
  <c r="F294" i="148" s="1"/>
  <c r="F295" i="148" s="1"/>
  <c r="F296" i="148" s="1"/>
  <c r="F297" i="148" s="1"/>
  <c r="F298" i="148" s="1"/>
  <c r="F299" i="148" s="1"/>
  <c r="F300" i="148" s="1"/>
  <c r="F301" i="148" s="1"/>
  <c r="F302" i="148" s="1"/>
  <c r="F303" i="148" s="1"/>
  <c r="F304" i="148" s="1"/>
  <c r="F305" i="148" s="1"/>
  <c r="F306" i="148" s="1"/>
  <c r="F307" i="148" s="1"/>
  <c r="F308" i="148" s="1"/>
  <c r="F309" i="148" s="1"/>
  <c r="F310" i="148" s="1"/>
  <c r="F311" i="148" s="1"/>
  <c r="F312" i="148" s="1"/>
  <c r="F313" i="148" s="1"/>
  <c r="F314" i="148" s="1"/>
  <c r="F315" i="148" s="1"/>
  <c r="F316" i="148" s="1"/>
  <c r="F317" i="148" s="1"/>
  <c r="F318" i="148" s="1"/>
  <c r="F319" i="148" s="1"/>
  <c r="F320" i="148" s="1"/>
  <c r="F321" i="148" s="1"/>
  <c r="F322" i="148" s="1"/>
  <c r="F323" i="148" s="1"/>
  <c r="F324" i="148" s="1"/>
  <c r="F325" i="148" s="1"/>
  <c r="F326" i="148" s="1"/>
  <c r="F327" i="148" s="1"/>
  <c r="F328" i="148" s="1"/>
  <c r="F329" i="148" s="1"/>
  <c r="F330" i="148" s="1"/>
  <c r="F331" i="148" s="1"/>
  <c r="F332" i="148" s="1"/>
  <c r="F333" i="148" s="1"/>
  <c r="F334" i="148" s="1"/>
  <c r="F335" i="148" s="1"/>
  <c r="F336" i="148" s="1"/>
  <c r="F337" i="148" s="1"/>
  <c r="F338" i="148" s="1"/>
  <c r="F339" i="148" s="1"/>
  <c r="F340" i="148" s="1"/>
  <c r="F341" i="148" s="1"/>
  <c r="F342" i="148" s="1"/>
  <c r="F343" i="148" s="1"/>
  <c r="F344" i="148" s="1"/>
  <c r="F345" i="148" s="1"/>
  <c r="F346" i="148" s="1"/>
  <c r="F347" i="148" s="1"/>
  <c r="F348" i="148" s="1"/>
  <c r="F349" i="148" s="1"/>
  <c r="F350" i="148" s="1"/>
  <c r="F351" i="148" s="1"/>
  <c r="F352" i="148" s="1"/>
  <c r="F353" i="148" s="1"/>
  <c r="F354" i="148" s="1"/>
  <c r="F355" i="148" s="1"/>
  <c r="F356" i="148" s="1"/>
  <c r="F357" i="148" s="1"/>
  <c r="F358" i="148" s="1"/>
  <c r="F359" i="148" s="1"/>
  <c r="F360" i="148" s="1"/>
  <c r="F361" i="148" s="1"/>
  <c r="F362" i="148" s="1"/>
  <c r="F363" i="148" s="1"/>
  <c r="F364" i="148" s="1"/>
  <c r="F365" i="148" s="1"/>
  <c r="F366" i="148" s="1"/>
  <c r="F367" i="148" s="1"/>
  <c r="F368" i="148" s="1"/>
  <c r="F369" i="148" s="1"/>
  <c r="F370" i="148" s="1"/>
  <c r="F371" i="148" s="1"/>
  <c r="F372" i="148" s="1"/>
  <c r="F373" i="148" s="1"/>
  <c r="F374" i="148" s="1"/>
  <c r="F375" i="148" s="1"/>
  <c r="F376" i="148" s="1"/>
  <c r="F377" i="148" s="1"/>
  <c r="F378" i="148" s="1"/>
  <c r="F379" i="148" s="1"/>
  <c r="F380" i="148" s="1"/>
  <c r="F381" i="148" s="1"/>
  <c r="F382" i="148" s="1"/>
  <c r="F383" i="148" s="1"/>
  <c r="F384" i="148" s="1"/>
  <c r="F385" i="148" s="1"/>
  <c r="F386" i="148" s="1"/>
  <c r="F387" i="148" s="1"/>
  <c r="F388" i="148" s="1"/>
  <c r="F389" i="148" s="1"/>
  <c r="F390" i="148" s="1"/>
  <c r="F391" i="148" s="1"/>
  <c r="F392" i="148" s="1"/>
  <c r="F393" i="148" s="1"/>
  <c r="F394" i="148" s="1"/>
  <c r="F395" i="148" s="1"/>
  <c r="F396" i="148" s="1"/>
  <c r="F397" i="148" s="1"/>
  <c r="F398" i="148" s="1"/>
  <c r="F399" i="148" s="1"/>
  <c r="F400" i="148" s="1"/>
  <c r="F401" i="148" s="1"/>
  <c r="F402" i="148" s="1"/>
  <c r="F403" i="148" s="1"/>
  <c r="F404" i="148" s="1"/>
  <c r="F405" i="148" s="1"/>
  <c r="F406" i="148" s="1"/>
  <c r="F407" i="148" s="1"/>
  <c r="F408" i="148" s="1"/>
  <c r="F409" i="148" s="1"/>
  <c r="F410" i="148" s="1"/>
  <c r="F411" i="148" s="1"/>
  <c r="F412" i="148" s="1"/>
  <c r="F413" i="148" s="1"/>
  <c r="F414" i="148" s="1"/>
  <c r="F415" i="148" s="1"/>
  <c r="F416" i="148" s="1"/>
  <c r="F417" i="148" s="1"/>
  <c r="F418" i="148" s="1"/>
  <c r="F419" i="148" s="1"/>
  <c r="F420" i="148" s="1"/>
  <c r="F421" i="148" s="1"/>
  <c r="F422" i="148" s="1"/>
  <c r="F423" i="148" s="1"/>
  <c r="F424" i="148" s="1"/>
  <c r="F425" i="148" s="1"/>
  <c r="F426" i="148" s="1"/>
  <c r="F427" i="148" s="1"/>
  <c r="F428" i="148" s="1"/>
  <c r="F429" i="148" s="1"/>
  <c r="F430" i="148" s="1"/>
  <c r="F431" i="148" s="1"/>
  <c r="F432" i="148" s="1"/>
  <c r="F433" i="148" s="1"/>
  <c r="F434" i="148" s="1"/>
  <c r="F435" i="148" s="1"/>
  <c r="F436" i="148" s="1"/>
  <c r="F437" i="148" s="1"/>
  <c r="F438" i="148" s="1"/>
  <c r="F439" i="148" s="1"/>
  <c r="F440" i="148" s="1"/>
  <c r="F441" i="148" s="1"/>
  <c r="F442" i="148" s="1"/>
  <c r="F443" i="148" s="1"/>
  <c r="F444" i="148" s="1"/>
  <c r="F445" i="148" s="1"/>
  <c r="F446" i="148" s="1"/>
  <c r="F447" i="148" s="1"/>
  <c r="F448" i="148" s="1"/>
  <c r="F449" i="148" s="1"/>
  <c r="F450" i="148" s="1"/>
  <c r="F451" i="148" s="1"/>
  <c r="F452" i="148" s="1"/>
  <c r="F453" i="148" s="1"/>
  <c r="F454" i="148" s="1"/>
  <c r="F455" i="148" s="1"/>
  <c r="F456" i="148" s="1"/>
  <c r="F457" i="148" s="1"/>
  <c r="F458" i="148" s="1"/>
  <c r="F459" i="148" s="1"/>
  <c r="F460" i="148" s="1"/>
  <c r="F461" i="148" s="1"/>
  <c r="F462" i="148" s="1"/>
  <c r="F463" i="148" s="1"/>
  <c r="F464" i="148" s="1"/>
  <c r="F465" i="148" s="1"/>
  <c r="F466" i="148" s="1"/>
  <c r="F467" i="148" s="1"/>
  <c r="F468" i="148" s="1"/>
  <c r="F469" i="148" s="1"/>
  <c r="F470" i="148" s="1"/>
  <c r="F471" i="148" s="1"/>
  <c r="F472" i="148" s="1"/>
  <c r="F473" i="148" s="1"/>
  <c r="F474" i="148" s="1"/>
  <c r="F475" i="148" s="1"/>
  <c r="F476" i="148" s="1"/>
  <c r="F477" i="148" s="1"/>
  <c r="F478" i="148" s="1"/>
  <c r="F479" i="148" s="1"/>
  <c r="F480" i="148" s="1"/>
  <c r="F481" i="148" s="1"/>
  <c r="F482" i="148" s="1"/>
  <c r="F483" i="148" s="1"/>
  <c r="F484" i="148" s="1"/>
  <c r="F485" i="148" s="1"/>
  <c r="F486" i="148" s="1"/>
  <c r="F487" i="148" s="1"/>
  <c r="F488" i="148" s="1"/>
  <c r="F489" i="148" s="1"/>
  <c r="F490" i="148" s="1"/>
  <c r="F491" i="148" s="1"/>
  <c r="F492" i="148" s="1"/>
  <c r="F493" i="148" s="1"/>
  <c r="F494" i="148" s="1"/>
  <c r="F495" i="148" s="1"/>
  <c r="F496" i="148" s="1"/>
  <c r="F497" i="148" s="1"/>
  <c r="F498" i="148" s="1"/>
  <c r="F499" i="148" s="1"/>
  <c r="F500" i="148" s="1"/>
  <c r="F501" i="148" s="1"/>
  <c r="F502" i="148" s="1"/>
  <c r="F503" i="148" s="1"/>
  <c r="F504" i="148" s="1"/>
  <c r="F505" i="148" s="1"/>
  <c r="F506" i="148" s="1"/>
  <c r="F507" i="148" s="1"/>
  <c r="F508" i="148" s="1"/>
  <c r="F509" i="148" s="1"/>
  <c r="F510" i="148" s="1"/>
  <c r="F511" i="148" s="1"/>
  <c r="F512" i="148" s="1"/>
  <c r="F513" i="148" s="1"/>
  <c r="F514" i="148" s="1"/>
  <c r="F515" i="148" s="1"/>
  <c r="F516" i="148" s="1"/>
  <c r="F517" i="148" s="1"/>
  <c r="F518" i="148" s="1"/>
  <c r="F519" i="148" s="1"/>
  <c r="F520" i="148" s="1"/>
  <c r="F521" i="148" s="1"/>
  <c r="F522" i="148" s="1"/>
  <c r="F523" i="148" s="1"/>
  <c r="F524" i="148" s="1"/>
  <c r="F525" i="148" s="1"/>
  <c r="F526" i="148" s="1"/>
  <c r="F527" i="148" s="1"/>
  <c r="F528" i="148" s="1"/>
  <c r="F529" i="148" s="1"/>
  <c r="F530" i="148" s="1"/>
  <c r="F531" i="148" s="1"/>
  <c r="F532" i="148" s="1"/>
  <c r="F533" i="148" s="1"/>
  <c r="F534" i="148" s="1"/>
  <c r="F535" i="148" s="1"/>
  <c r="F536" i="148" s="1"/>
  <c r="F537" i="148" s="1"/>
  <c r="F538" i="148" s="1"/>
  <c r="F539" i="148" s="1"/>
  <c r="F540" i="148" s="1"/>
  <c r="F541" i="148" s="1"/>
  <c r="F542" i="148" s="1"/>
  <c r="F543" i="148" s="1"/>
  <c r="F544" i="148" s="1"/>
  <c r="F545" i="148" s="1"/>
  <c r="F546" i="148" s="1"/>
  <c r="F547" i="148" s="1"/>
  <c r="F548" i="148" s="1"/>
  <c r="F549" i="148" s="1"/>
  <c r="F550" i="148" s="1"/>
  <c r="F551" i="148" s="1"/>
  <c r="F552" i="148" s="1"/>
  <c r="F553" i="148" s="1"/>
  <c r="F554" i="148" s="1"/>
  <c r="F555" i="148" s="1"/>
  <c r="F556" i="148" s="1"/>
  <c r="F557" i="148" s="1"/>
  <c r="F558" i="148" s="1"/>
  <c r="F559" i="148" s="1"/>
  <c r="F560" i="148" s="1"/>
  <c r="F561" i="148" s="1"/>
  <c r="F562" i="148" s="1"/>
  <c r="F563" i="148" s="1"/>
  <c r="F564" i="148" s="1"/>
  <c r="F565" i="148" s="1"/>
  <c r="F566" i="148" s="1"/>
  <c r="F567" i="148" s="1"/>
  <c r="F568" i="148" s="1"/>
  <c r="F569" i="148" s="1"/>
  <c r="F570" i="148" s="1"/>
  <c r="F571" i="148" s="1"/>
  <c r="F572" i="148" s="1"/>
  <c r="F573" i="148" s="1"/>
  <c r="F574" i="148" s="1"/>
  <c r="F575" i="148" s="1"/>
  <c r="F576" i="148" s="1"/>
  <c r="F577" i="148" s="1"/>
  <c r="F578" i="148" s="1"/>
  <c r="F579" i="148" s="1"/>
  <c r="F580" i="148" s="1"/>
  <c r="F581" i="148" s="1"/>
  <c r="F582" i="148" s="1"/>
  <c r="F583" i="148" s="1"/>
  <c r="F584" i="148" s="1"/>
  <c r="F585" i="148" s="1"/>
  <c r="F586" i="148" s="1"/>
  <c r="F587" i="148" s="1"/>
  <c r="F588" i="148" s="1"/>
  <c r="F589" i="148" s="1"/>
  <c r="F590" i="148" s="1"/>
  <c r="F591" i="148" s="1"/>
  <c r="F592" i="148" s="1"/>
  <c r="F593" i="148" s="1"/>
  <c r="F594" i="148" s="1"/>
  <c r="F595" i="148" s="1"/>
  <c r="F596" i="148" s="1"/>
  <c r="F597" i="148" s="1"/>
  <c r="F598" i="148" s="1"/>
  <c r="F599" i="148" s="1"/>
  <c r="F600" i="148" s="1"/>
  <c r="F601" i="148" s="1"/>
  <c r="F602" i="148" s="1"/>
  <c r="F603" i="148" s="1"/>
  <c r="F604" i="148" s="1"/>
  <c r="F605" i="148" s="1"/>
  <c r="F606" i="148" s="1"/>
  <c r="F607" i="148" s="1"/>
  <c r="F608" i="148" s="1"/>
  <c r="F609" i="148" s="1"/>
  <c r="F610" i="148" s="1"/>
  <c r="F611" i="148" s="1"/>
  <c r="F612" i="148" s="1"/>
  <c r="F613" i="148" s="1"/>
  <c r="F614" i="148" s="1"/>
  <c r="F615" i="148" s="1"/>
  <c r="F616" i="148" s="1"/>
  <c r="F617" i="148" s="1"/>
  <c r="F618" i="148" s="1"/>
  <c r="F619" i="148" s="1"/>
  <c r="F620" i="148" s="1"/>
  <c r="F621" i="148" s="1"/>
  <c r="F622" i="148" s="1"/>
  <c r="F623" i="148" s="1"/>
  <c r="F624" i="148" s="1"/>
  <c r="F625" i="148" s="1"/>
  <c r="F626" i="148" s="1"/>
  <c r="F627" i="148" s="1"/>
  <c r="F628" i="148" s="1"/>
  <c r="F629" i="148" s="1"/>
  <c r="F630" i="148" s="1"/>
  <c r="F631" i="148" s="1"/>
  <c r="F632" i="148" s="1"/>
  <c r="F633" i="148" s="1"/>
  <c r="F5" i="148"/>
  <c r="F7" i="148"/>
  <c r="F9" i="148"/>
  <c r="F11" i="148"/>
  <c r="F13" i="148"/>
  <c r="F15" i="148"/>
  <c r="F17" i="148"/>
  <c r="F19" i="148"/>
  <c r="F21" i="148"/>
  <c r="F23" i="148"/>
  <c r="F25" i="148"/>
  <c r="F27" i="148"/>
  <c r="F29" i="148"/>
  <c r="F31" i="148"/>
  <c r="F33" i="148"/>
  <c r="F35" i="148"/>
  <c r="F37" i="148"/>
  <c r="F39" i="148"/>
  <c r="F41" i="148"/>
  <c r="F43" i="148"/>
  <c r="F45" i="148"/>
  <c r="F47" i="148"/>
  <c r="F49" i="148"/>
  <c r="F51" i="148"/>
  <c r="F53" i="148"/>
  <c r="F55" i="148"/>
  <c r="F57" i="148"/>
  <c r="F59" i="148"/>
  <c r="F61" i="148"/>
  <c r="F63" i="148"/>
  <c r="F65" i="148"/>
  <c r="F67" i="148"/>
  <c r="F69" i="148"/>
  <c r="F71" i="148"/>
  <c r="F79" i="148"/>
  <c r="F85" i="148"/>
  <c r="F105" i="148"/>
  <c r="F111" i="148"/>
  <c r="F117" i="148"/>
  <c r="F137" i="148"/>
  <c r="F143" i="148"/>
  <c r="F149" i="148"/>
  <c r="F169" i="148"/>
  <c r="F175" i="148"/>
  <c r="F181" i="148"/>
  <c r="F201" i="148"/>
  <c r="F207" i="148"/>
  <c r="F213" i="148"/>
  <c r="F233" i="148"/>
  <c r="F239" i="148"/>
  <c r="F72" i="148"/>
  <c r="F74" i="148"/>
  <c r="F76" i="148"/>
  <c r="F78" i="148"/>
  <c r="F83" i="148"/>
  <c r="F91" i="148"/>
  <c r="F99" i="148"/>
  <c r="F107" i="148"/>
  <c r="F115" i="148"/>
  <c r="F123" i="148"/>
  <c r="F131" i="148"/>
  <c r="F139" i="148"/>
  <c r="F147" i="148"/>
  <c r="F155" i="148"/>
  <c r="F163" i="148"/>
  <c r="F171" i="148"/>
  <c r="F179" i="148"/>
  <c r="F187" i="148"/>
  <c r="F195" i="148"/>
  <c r="F203" i="148"/>
  <c r="F211" i="148"/>
  <c r="F219" i="148"/>
  <c r="F227" i="148"/>
  <c r="F235" i="148"/>
  <c r="F243" i="148"/>
  <c r="F249" i="148"/>
  <c r="F247" i="148"/>
  <c r="F244" i="148"/>
  <c r="F242" i="148"/>
  <c r="F240" i="148"/>
  <c r="F238" i="148"/>
  <c r="F236" i="148"/>
  <c r="F234" i="148"/>
  <c r="F232" i="148"/>
  <c r="F230" i="148"/>
  <c r="F228" i="148"/>
  <c r="F226" i="148"/>
  <c r="F224" i="148"/>
  <c r="F222" i="148"/>
  <c r="F220" i="148"/>
  <c r="F218" i="148"/>
  <c r="F216" i="148"/>
  <c r="F214" i="148"/>
  <c r="F212" i="148"/>
  <c r="F210" i="148"/>
  <c r="F208" i="148"/>
  <c r="F206" i="148"/>
  <c r="F204" i="148"/>
  <c r="F202" i="148"/>
  <c r="F200" i="148"/>
  <c r="F198" i="148"/>
  <c r="F196" i="148"/>
  <c r="F194" i="148"/>
  <c r="F192" i="148"/>
  <c r="F190" i="148"/>
  <c r="F188" i="148"/>
  <c r="F186" i="148"/>
  <c r="F184" i="148"/>
  <c r="F182" i="148"/>
  <c r="F180" i="148"/>
  <c r="F178" i="148"/>
  <c r="F176" i="148"/>
  <c r="F174" i="148"/>
  <c r="F172" i="148"/>
  <c r="F170" i="148"/>
  <c r="F168" i="148"/>
  <c r="F166" i="148"/>
  <c r="F164" i="148"/>
  <c r="F162" i="148"/>
  <c r="F160" i="148"/>
  <c r="F158" i="148"/>
  <c r="F156" i="148"/>
  <c r="F154" i="148"/>
  <c r="F152" i="148"/>
  <c r="F150" i="148"/>
  <c r="F148" i="148"/>
  <c r="F146" i="148"/>
  <c r="F144" i="148"/>
  <c r="F142" i="148"/>
  <c r="F140" i="148"/>
  <c r="F138" i="148"/>
  <c r="F136" i="148"/>
  <c r="F134" i="148"/>
  <c r="F132" i="148"/>
  <c r="F130" i="148"/>
  <c r="F128" i="148"/>
  <c r="F126" i="148"/>
  <c r="F124" i="148"/>
  <c r="F122" i="148"/>
  <c r="F120" i="148"/>
  <c r="F118" i="148"/>
  <c r="F116" i="148"/>
  <c r="F114" i="148"/>
  <c r="F112" i="148"/>
  <c r="F110" i="148"/>
  <c r="F108" i="148"/>
  <c r="F106" i="148"/>
  <c r="F104" i="148"/>
  <c r="F102" i="148"/>
  <c r="F100" i="148"/>
  <c r="F98" i="148"/>
  <c r="F96" i="148"/>
  <c r="F94" i="148"/>
  <c r="F92" i="148"/>
  <c r="F90" i="148"/>
  <c r="F88" i="148"/>
  <c r="F86" i="148"/>
  <c r="F84" i="148"/>
  <c r="F82" i="148"/>
  <c r="F80" i="148"/>
  <c r="T269" i="148"/>
  <c r="U247" i="148"/>
  <c r="V247" i="148" s="1"/>
  <c r="H5" i="140"/>
  <c r="J250" i="148"/>
  <c r="L5" i="139"/>
  <c r="L236" i="144"/>
  <c r="A235" i="144"/>
  <c r="L235" i="144" s="1"/>
  <c r="D7" i="142"/>
  <c r="A8" i="142"/>
  <c r="U29" i="142"/>
  <c r="C38" i="142"/>
  <c r="AD39" i="142"/>
  <c r="K28" i="142"/>
  <c r="T255" i="148"/>
  <c r="T254" i="148"/>
  <c r="H4" i="140" s="1"/>
  <c r="P251" i="148"/>
  <c r="U265" i="148" s="1"/>
  <c r="Q250" i="148"/>
  <c r="T267" i="148"/>
  <c r="M1" i="148"/>
  <c r="H250" i="148"/>
  <c r="G250" i="148"/>
  <c r="I250" i="148"/>
  <c r="T264" i="148"/>
  <c r="T247" i="148"/>
  <c r="T245" i="148" l="1"/>
  <c r="H7" i="139" s="1"/>
  <c r="H8" i="139"/>
  <c r="A234" i="144"/>
  <c r="L234" i="144" s="1"/>
  <c r="B28" i="141"/>
  <c r="B26" i="142"/>
  <c r="I26" i="142" s="1"/>
  <c r="J26" i="142" s="1"/>
  <c r="K29" i="142"/>
  <c r="T270" i="148"/>
  <c r="U255" i="148"/>
  <c r="H6" i="140"/>
  <c r="AD40" i="142"/>
  <c r="U30" i="142"/>
  <c r="D8" i="142"/>
  <c r="A9" i="142"/>
  <c r="Q251" i="148"/>
  <c r="T257" i="148"/>
  <c r="T258" i="148" s="1"/>
  <c r="A233" i="144" l="1"/>
  <c r="A232" i="144" s="1"/>
  <c r="K30" i="142"/>
  <c r="B29" i="141"/>
  <c r="E28" i="141"/>
  <c r="F28" i="141"/>
  <c r="U31" i="142"/>
  <c r="D9" i="142"/>
  <c r="A10" i="142"/>
  <c r="AD41" i="142"/>
  <c r="T271" i="148"/>
  <c r="T272" i="148" s="1"/>
  <c r="T263" i="148" s="1"/>
  <c r="B6" i="140" s="1"/>
  <c r="E6" i="140" s="1"/>
  <c r="E5" i="140"/>
  <c r="B27" i="142"/>
  <c r="D26" i="142"/>
  <c r="E48" i="142"/>
  <c r="L26" i="142"/>
  <c r="L38" i="142" s="1"/>
  <c r="Q252" i="148"/>
  <c r="L233" i="144" l="1"/>
  <c r="Q253" i="148"/>
  <c r="Q254" i="148" s="1"/>
  <c r="B28" i="142"/>
  <c r="E49" i="142"/>
  <c r="D27" i="142"/>
  <c r="E27" i="142" s="1"/>
  <c r="L27" i="142"/>
  <c r="L39" i="142" s="1"/>
  <c r="H27" i="142"/>
  <c r="K31" i="142"/>
  <c r="AD42" i="142"/>
  <c r="F26" i="142"/>
  <c r="A28" i="141"/>
  <c r="L232" i="144"/>
  <c r="A231" i="144"/>
  <c r="L50" i="142"/>
  <c r="V50" i="142" s="1"/>
  <c r="V38" i="142"/>
  <c r="E26" i="142"/>
  <c r="A11" i="142"/>
  <c r="D10" i="142"/>
  <c r="U32" i="142"/>
  <c r="E29" i="141"/>
  <c r="F29" i="141"/>
  <c r="B30" i="141"/>
  <c r="D28" i="141"/>
  <c r="T26" i="142"/>
  <c r="I27" i="142" l="1"/>
  <c r="J27" i="142" s="1"/>
  <c r="Q255" i="148"/>
  <c r="A12" i="142"/>
  <c r="D11" i="142"/>
  <c r="K32" i="142"/>
  <c r="F30" i="141"/>
  <c r="E30" i="141"/>
  <c r="B31" i="141"/>
  <c r="A230" i="144"/>
  <c r="L231" i="144"/>
  <c r="B29" i="142"/>
  <c r="E50" i="142"/>
  <c r="L28" i="142"/>
  <c r="L40" i="142" s="1"/>
  <c r="H28" i="142"/>
  <c r="D28" i="142"/>
  <c r="U33" i="142"/>
  <c r="AD43" i="142"/>
  <c r="L51" i="142"/>
  <c r="V51" i="142" s="1"/>
  <c r="V39" i="142"/>
  <c r="F27" i="142"/>
  <c r="A29" i="141"/>
  <c r="T27" i="142" l="1"/>
  <c r="D29" i="141"/>
  <c r="I28" i="142"/>
  <c r="J28" i="142" s="1"/>
  <c r="B30" i="142"/>
  <c r="D29" i="142"/>
  <c r="E29" i="142" s="1"/>
  <c r="E51" i="142"/>
  <c r="H29" i="142"/>
  <c r="L29" i="142"/>
  <c r="L41" i="142" s="1"/>
  <c r="F28" i="142"/>
  <c r="A30" i="141"/>
  <c r="L52" i="142"/>
  <c r="V52" i="142" s="1"/>
  <c r="V40" i="142"/>
  <c r="L230" i="144"/>
  <c r="A229" i="144"/>
  <c r="Q256" i="148"/>
  <c r="AD44" i="142"/>
  <c r="K33" i="142"/>
  <c r="U34" i="142"/>
  <c r="E28" i="142"/>
  <c r="E31" i="141"/>
  <c r="B32" i="141"/>
  <c r="F31" i="141"/>
  <c r="D12" i="142"/>
  <c r="A13" i="142"/>
  <c r="I29" i="142" l="1"/>
  <c r="J29" i="142" s="1"/>
  <c r="T28" i="142"/>
  <c r="D30" i="141"/>
  <c r="B33" i="141"/>
  <c r="F32" i="141"/>
  <c r="E32" i="141"/>
  <c r="F29" i="142"/>
  <c r="A31" i="141"/>
  <c r="U35" i="142"/>
  <c r="Q257" i="148"/>
  <c r="D13" i="142"/>
  <c r="A14" i="142"/>
  <c r="V41" i="142"/>
  <c r="L53" i="142"/>
  <c r="V53" i="142" s="1"/>
  <c r="K34" i="142"/>
  <c r="AD45" i="142"/>
  <c r="A228" i="144"/>
  <c r="L229" i="144"/>
  <c r="E52" i="142"/>
  <c r="B31" i="142"/>
  <c r="L30" i="142"/>
  <c r="L42" i="142" s="1"/>
  <c r="D30" i="142"/>
  <c r="E30" i="142" s="1"/>
  <c r="H30" i="142"/>
  <c r="I30" i="142" s="1"/>
  <c r="J30" i="142" s="1"/>
  <c r="T29" i="142" l="1"/>
  <c r="D31" i="141"/>
  <c r="T30" i="142"/>
  <c r="B32" i="142"/>
  <c r="D31" i="142"/>
  <c r="L31" i="142"/>
  <c r="L43" i="142" s="1"/>
  <c r="H31" i="142"/>
  <c r="E53" i="142"/>
  <c r="C52" i="142"/>
  <c r="L228" i="144"/>
  <c r="A227" i="144"/>
  <c r="AD46" i="142"/>
  <c r="F33" i="141"/>
  <c r="B34" i="141"/>
  <c r="E33" i="141"/>
  <c r="L54" i="142"/>
  <c r="V54" i="142" s="1"/>
  <c r="V42" i="142"/>
  <c r="K35" i="142"/>
  <c r="Q258" i="148"/>
  <c r="A15" i="142"/>
  <c r="D14" i="142"/>
  <c r="U36" i="142"/>
  <c r="F30" i="142"/>
  <c r="A32" i="141"/>
  <c r="D32" i="141" l="1"/>
  <c r="I31" i="142"/>
  <c r="J31" i="142" s="1"/>
  <c r="Q259" i="148"/>
  <c r="E31" i="142"/>
  <c r="U37" i="142"/>
  <c r="A16" i="142"/>
  <c r="D16" i="142" s="1"/>
  <c r="D15" i="142"/>
  <c r="F31" i="142"/>
  <c r="A33" i="141"/>
  <c r="A226" i="144"/>
  <c r="L227" i="144"/>
  <c r="E54" i="142"/>
  <c r="B33" i="142"/>
  <c r="H32" i="142"/>
  <c r="D32" i="142"/>
  <c r="E32" i="142" s="1"/>
  <c r="L32" i="142"/>
  <c r="L44" i="142" s="1"/>
  <c r="F34" i="141"/>
  <c r="E34" i="141"/>
  <c r="B35" i="141"/>
  <c r="C53" i="142"/>
  <c r="K36" i="142"/>
  <c r="AD47" i="142"/>
  <c r="V43" i="142"/>
  <c r="L55" i="142"/>
  <c r="V55" i="142" s="1"/>
  <c r="T31" i="142" l="1"/>
  <c r="D33" i="141"/>
  <c r="I32" i="142"/>
  <c r="J32" i="142" s="1"/>
  <c r="AD48" i="142"/>
  <c r="F32" i="142"/>
  <c r="A34" i="141"/>
  <c r="L56" i="142"/>
  <c r="V56" i="142" s="1"/>
  <c r="V44" i="142"/>
  <c r="B34" i="142"/>
  <c r="D33" i="142"/>
  <c r="E33" i="142" s="1"/>
  <c r="L33" i="142"/>
  <c r="L45" i="142" s="1"/>
  <c r="E55" i="142"/>
  <c r="H33" i="142"/>
  <c r="L226" i="144"/>
  <c r="A225" i="144"/>
  <c r="U38" i="142"/>
  <c r="K37" i="142"/>
  <c r="E35" i="141"/>
  <c r="B36" i="141"/>
  <c r="F35" i="141"/>
  <c r="Q260" i="148"/>
  <c r="D34" i="141" l="1"/>
  <c r="T32" i="142"/>
  <c r="I33" i="142"/>
  <c r="J33" i="142" s="1"/>
  <c r="E56" i="142"/>
  <c r="B35" i="142"/>
  <c r="H34" i="142"/>
  <c r="I34" i="142" s="1"/>
  <c r="J34" i="142" s="1"/>
  <c r="D34" i="142"/>
  <c r="E34" i="142" s="1"/>
  <c r="L34" i="142"/>
  <c r="L46" i="142" s="1"/>
  <c r="B37" i="141"/>
  <c r="E36" i="141"/>
  <c r="F36" i="141"/>
  <c r="K38" i="142"/>
  <c r="Q261" i="148"/>
  <c r="Q262" i="148" s="1"/>
  <c r="F33" i="142"/>
  <c r="A35" i="141"/>
  <c r="V45" i="142"/>
  <c r="L57" i="142"/>
  <c r="V57" i="142" s="1"/>
  <c r="U39" i="142"/>
  <c r="A224" i="144"/>
  <c r="L225" i="144"/>
  <c r="AD49" i="142"/>
  <c r="T33" i="142" l="1"/>
  <c r="D35" i="141"/>
  <c r="D36" i="141"/>
  <c r="F34" i="142"/>
  <c r="A36" i="141"/>
  <c r="L58" i="142"/>
  <c r="V58" i="142" s="1"/>
  <c r="V46" i="142"/>
  <c r="B36" i="142"/>
  <c r="D35" i="142"/>
  <c r="E35" i="142" s="1"/>
  <c r="E57" i="142"/>
  <c r="L35" i="142"/>
  <c r="L47" i="142" s="1"/>
  <c r="H35" i="142"/>
  <c r="I35" i="142" s="1"/>
  <c r="J35" i="142" s="1"/>
  <c r="U40" i="142"/>
  <c r="F37" i="141"/>
  <c r="E37" i="141"/>
  <c r="B38" i="141"/>
  <c r="AD50" i="142"/>
  <c r="L224" i="144"/>
  <c r="A223" i="144"/>
  <c r="Q263" i="148"/>
  <c r="K39" i="142"/>
  <c r="T34" i="142" l="1"/>
  <c r="T35" i="142"/>
  <c r="K40" i="142"/>
  <c r="L223" i="144"/>
  <c r="A222" i="144"/>
  <c r="Q264" i="148"/>
  <c r="F35" i="142"/>
  <c r="A37" i="141"/>
  <c r="U41" i="142"/>
  <c r="L59" i="142"/>
  <c r="V59" i="142" s="1"/>
  <c r="V47" i="142"/>
  <c r="E58" i="142"/>
  <c r="B37" i="142"/>
  <c r="D36" i="142"/>
  <c r="E36" i="142" s="1"/>
  <c r="L36" i="142"/>
  <c r="L48" i="142" s="1"/>
  <c r="H36" i="142"/>
  <c r="AD51" i="142"/>
  <c r="F38" i="141"/>
  <c r="E38" i="141"/>
  <c r="B39" i="141"/>
  <c r="C50" i="142" l="1"/>
  <c r="C51" i="142"/>
  <c r="C59" i="142"/>
  <c r="C48" i="142"/>
  <c r="C49" i="142"/>
  <c r="D37" i="141"/>
  <c r="I36" i="142"/>
  <c r="L60" i="142"/>
  <c r="V60" i="142" s="1"/>
  <c r="V48" i="142"/>
  <c r="U42" i="142"/>
  <c r="K41" i="142"/>
  <c r="E39" i="141"/>
  <c r="F39" i="141"/>
  <c r="F40" i="141" s="1"/>
  <c r="E59" i="142"/>
  <c r="H37" i="142"/>
  <c r="D37" i="142"/>
  <c r="L37" i="142"/>
  <c r="L49" i="142" s="1"/>
  <c r="C55" i="142"/>
  <c r="C57" i="142"/>
  <c r="C58" i="142"/>
  <c r="C54" i="142"/>
  <c r="C56" i="142"/>
  <c r="Q265" i="148"/>
  <c r="Q266" i="148" s="1"/>
  <c r="F36" i="142"/>
  <c r="A38" i="141"/>
  <c r="AD52" i="142"/>
  <c r="A221" i="144"/>
  <c r="L222" i="144"/>
  <c r="J36" i="142" l="1"/>
  <c r="D38" i="141" s="1"/>
  <c r="A51" i="142"/>
  <c r="A50" i="142" s="1"/>
  <c r="A49" i="142" s="1"/>
  <c r="A48" i="142" s="1"/>
  <c r="I37" i="142"/>
  <c r="F37" i="142"/>
  <c r="A39" i="141"/>
  <c r="E40" i="141"/>
  <c r="U43" i="142"/>
  <c r="A59" i="142"/>
  <c r="K42" i="142"/>
  <c r="A54" i="142"/>
  <c r="C62" i="142"/>
  <c r="L61" i="142"/>
  <c r="V61" i="142" s="1"/>
  <c r="V49" i="142"/>
  <c r="A220" i="144"/>
  <c r="L221" i="144"/>
  <c r="AD53" i="142"/>
  <c r="E37" i="142"/>
  <c r="D38" i="142"/>
  <c r="E38" i="142" s="1"/>
  <c r="Q267" i="148"/>
  <c r="J37" i="142" l="1"/>
  <c r="AC48" i="142" s="1"/>
  <c r="T36" i="142"/>
  <c r="D51" i="142"/>
  <c r="D50" i="142"/>
  <c r="D49" i="142"/>
  <c r="D48" i="142"/>
  <c r="K43" i="142"/>
  <c r="L220" i="144"/>
  <c r="A219" i="144"/>
  <c r="D54" i="142"/>
  <c r="A53" i="142"/>
  <c r="U44" i="142"/>
  <c r="F38" i="142"/>
  <c r="D59" i="142"/>
  <c r="A58" i="142"/>
  <c r="Q268" i="148"/>
  <c r="A40" i="141"/>
  <c r="G13" i="142"/>
  <c r="J13" i="142"/>
  <c r="AD54" i="142"/>
  <c r="B24" i="141"/>
  <c r="C17" i="142"/>
  <c r="P42" i="142" l="1"/>
  <c r="Q42" i="142" s="1"/>
  <c r="M41" i="142"/>
  <c r="N41" i="142" s="1"/>
  <c r="O41" i="142" s="1"/>
  <c r="P39" i="142"/>
  <c r="Q39" i="142" s="1"/>
  <c r="P41" i="142"/>
  <c r="Q41" i="142" s="1"/>
  <c r="AC37" i="142"/>
  <c r="M42" i="142"/>
  <c r="N42" i="142" s="1"/>
  <c r="O42" i="142" s="1"/>
  <c r="AC46" i="142"/>
  <c r="P38" i="142"/>
  <c r="Q38" i="142" s="1"/>
  <c r="AC44" i="142"/>
  <c r="M39" i="142"/>
  <c r="N39" i="142" s="1"/>
  <c r="O39" i="142" s="1"/>
  <c r="M38" i="142"/>
  <c r="N38" i="142" s="1"/>
  <c r="O38" i="142" s="1"/>
  <c r="P40" i="142"/>
  <c r="Q40" i="142" s="1"/>
  <c r="M43" i="142"/>
  <c r="N43" i="142" s="1"/>
  <c r="O43" i="142" s="1"/>
  <c r="M40" i="142"/>
  <c r="N40" i="142" s="1"/>
  <c r="O40" i="142" s="1"/>
  <c r="AC41" i="142"/>
  <c r="AC40" i="142"/>
  <c r="D39" i="141"/>
  <c r="D40" i="141" s="1"/>
  <c r="AC42" i="142"/>
  <c r="AC47" i="142"/>
  <c r="AC39" i="142"/>
  <c r="AC43" i="142"/>
  <c r="AC38" i="142"/>
  <c r="AC45" i="142"/>
  <c r="T37" i="142"/>
  <c r="Z38" i="142" s="1"/>
  <c r="AA38" i="142" s="1"/>
  <c r="AC49" i="142"/>
  <c r="K44" i="142"/>
  <c r="P44" i="142"/>
  <c r="Q44" i="142" s="1"/>
  <c r="M44" i="142"/>
  <c r="N44" i="142" s="1"/>
  <c r="O44" i="142" s="1"/>
  <c r="AD55" i="142"/>
  <c r="Q269" i="148"/>
  <c r="D53" i="142"/>
  <c r="A52" i="142"/>
  <c r="D52" i="142" s="1"/>
  <c r="F48" i="142" s="1"/>
  <c r="D58" i="142"/>
  <c r="F59" i="142" s="1"/>
  <c r="A57" i="142"/>
  <c r="U45" i="142"/>
  <c r="A218" i="144"/>
  <c r="L219" i="144"/>
  <c r="P43" i="142"/>
  <c r="Q43" i="142" s="1"/>
  <c r="R42" i="142" l="1"/>
  <c r="R41" i="142"/>
  <c r="R39" i="142"/>
  <c r="R38" i="142"/>
  <c r="R40" i="142"/>
  <c r="W38" i="142"/>
  <c r="X38" i="142" s="1"/>
  <c r="Y38" i="142" s="1"/>
  <c r="AB38" i="142" s="1"/>
  <c r="T38" i="142" s="1"/>
  <c r="W39" i="142" s="1"/>
  <c r="X39" i="142" s="1"/>
  <c r="Y39" i="142" s="1"/>
  <c r="F50" i="142"/>
  <c r="F49" i="142"/>
  <c r="R43" i="142"/>
  <c r="U46" i="142"/>
  <c r="AC50" i="142"/>
  <c r="L218" i="144"/>
  <c r="A217" i="144"/>
  <c r="AD56" i="142"/>
  <c r="R44" i="142"/>
  <c r="Q270" i="148"/>
  <c r="A56" i="142"/>
  <c r="D57" i="142"/>
  <c r="F58" i="142" s="1"/>
  <c r="K45" i="142"/>
  <c r="P45" i="142"/>
  <c r="Q45" i="142" s="1"/>
  <c r="M45" i="142"/>
  <c r="N45" i="142" s="1"/>
  <c r="O45" i="142" s="1"/>
  <c r="Z39" i="142" l="1"/>
  <c r="AA39" i="142" s="1"/>
  <c r="R45" i="142"/>
  <c r="AD57" i="142"/>
  <c r="U47" i="142"/>
  <c r="A216" i="144"/>
  <c r="L217" i="144"/>
  <c r="K46" i="142"/>
  <c r="P46" i="142"/>
  <c r="Q46" i="142" s="1"/>
  <c r="M46" i="142"/>
  <c r="N46" i="142" s="1"/>
  <c r="O46" i="142" s="1"/>
  <c r="Q271" i="148"/>
  <c r="D56" i="142"/>
  <c r="A55" i="142"/>
  <c r="D55" i="142" s="1"/>
  <c r="F51" i="142" s="1"/>
  <c r="AC51" i="142"/>
  <c r="AB39" i="142" l="1"/>
  <c r="T39" i="142" s="1"/>
  <c r="Z40" i="142" s="1"/>
  <c r="AA40" i="142" s="1"/>
  <c r="F53" i="142"/>
  <c r="F52" i="142"/>
  <c r="F57" i="142"/>
  <c r="F54" i="142"/>
  <c r="F56" i="142"/>
  <c r="F55" i="142"/>
  <c r="AC52" i="142"/>
  <c r="AC53" i="142" s="1"/>
  <c r="AC54" i="142" s="1"/>
  <c r="K47" i="142"/>
  <c r="P47" i="142"/>
  <c r="Q47" i="142" s="1"/>
  <c r="M47" i="142"/>
  <c r="N47" i="142" s="1"/>
  <c r="O47" i="142" s="1"/>
  <c r="L216" i="144"/>
  <c r="A215" i="144"/>
  <c r="Q272" i="148"/>
  <c r="R46" i="142"/>
  <c r="U48" i="142"/>
  <c r="AD58" i="142"/>
  <c r="W40" i="142" l="1"/>
  <c r="X40" i="142" s="1"/>
  <c r="Y40" i="142" s="1"/>
  <c r="AB40" i="142" s="1"/>
  <c r="AC55" i="142"/>
  <c r="AC56" i="142" s="1"/>
  <c r="AC57" i="142" s="1"/>
  <c r="R47" i="142"/>
  <c r="Q273" i="148"/>
  <c r="AD59" i="142"/>
  <c r="U49" i="142"/>
  <c r="U50" i="142" s="1"/>
  <c r="U51" i="142" s="1"/>
  <c r="U52" i="142" s="1"/>
  <c r="U53" i="142" s="1"/>
  <c r="U54" i="142" s="1"/>
  <c r="U55" i="142" s="1"/>
  <c r="U56" i="142" s="1"/>
  <c r="U57" i="142" s="1"/>
  <c r="U58" i="142" s="1"/>
  <c r="U59" i="142" s="1"/>
  <c r="U60" i="142" s="1"/>
  <c r="U61" i="142" s="1"/>
  <c r="L215" i="144"/>
  <c r="A214" i="144"/>
  <c r="K48" i="142"/>
  <c r="P48" i="142"/>
  <c r="Q48" i="142" s="1"/>
  <c r="M48" i="142"/>
  <c r="N48" i="142" s="1"/>
  <c r="O48" i="142" s="1"/>
  <c r="M49" i="142"/>
  <c r="N49" i="142" s="1"/>
  <c r="O49" i="142" s="1"/>
  <c r="AC58" i="142" l="1"/>
  <c r="AC59" i="142" s="1"/>
  <c r="AC60" i="142" s="1"/>
  <c r="AD60" i="142"/>
  <c r="L214" i="144"/>
  <c r="A213" i="144"/>
  <c r="T40" i="142"/>
  <c r="R48" i="142"/>
  <c r="K49" i="142"/>
  <c r="P49" i="142"/>
  <c r="Q49" i="142" s="1"/>
  <c r="Q274" i="148"/>
  <c r="Q275" i="148" s="1"/>
  <c r="W41" i="142" l="1"/>
  <c r="X41" i="142" s="1"/>
  <c r="Y41" i="142" s="1"/>
  <c r="Z41" i="142"/>
  <c r="AA41" i="142" s="1"/>
  <c r="R49" i="142"/>
  <c r="K50" i="142"/>
  <c r="M50" i="142"/>
  <c r="N50" i="142" s="1"/>
  <c r="O50" i="142" s="1"/>
  <c r="A212" i="144"/>
  <c r="L213" i="144"/>
  <c r="Q276" i="148"/>
  <c r="Q277" i="148" s="1"/>
  <c r="AD61" i="142"/>
  <c r="AC61" i="142"/>
  <c r="L212" i="144" l="1"/>
  <c r="A211" i="144"/>
  <c r="K51" i="142"/>
  <c r="P50" i="142"/>
  <c r="Q50" i="142" s="1"/>
  <c r="N633" i="148"/>
  <c r="N629" i="148"/>
  <c r="N625" i="148"/>
  <c r="N621" i="148"/>
  <c r="N617" i="148"/>
  <c r="N613" i="148"/>
  <c r="N609" i="148"/>
  <c r="N605" i="148"/>
  <c r="N601" i="148"/>
  <c r="N597" i="148"/>
  <c r="N593" i="148"/>
  <c r="N589" i="148"/>
  <c r="N585" i="148"/>
  <c r="N581" i="148"/>
  <c r="N577" i="148"/>
  <c r="N573" i="148"/>
  <c r="N569" i="148"/>
  <c r="N630" i="148"/>
  <c r="N626" i="148"/>
  <c r="N622" i="148"/>
  <c r="N618" i="148"/>
  <c r="N614" i="148"/>
  <c r="N610" i="148"/>
  <c r="N606" i="148"/>
  <c r="N602" i="148"/>
  <c r="N598" i="148"/>
  <c r="N594" i="148"/>
  <c r="N590" i="148"/>
  <c r="N586" i="148"/>
  <c r="N582" i="148"/>
  <c r="N578" i="148"/>
  <c r="N574" i="148"/>
  <c r="N570" i="148"/>
  <c r="N632" i="148"/>
  <c r="N627" i="148"/>
  <c r="N620" i="148"/>
  <c r="N612" i="148"/>
  <c r="N604" i="148"/>
  <c r="N596" i="148"/>
  <c r="N588" i="148"/>
  <c r="N580" i="148"/>
  <c r="N572" i="148"/>
  <c r="N567" i="148"/>
  <c r="N563" i="148"/>
  <c r="N559" i="148"/>
  <c r="N555" i="148"/>
  <c r="N551" i="148"/>
  <c r="N547" i="148"/>
  <c r="N543" i="148"/>
  <c r="N539" i="148"/>
  <c r="N535" i="148"/>
  <c r="N531" i="148"/>
  <c r="N527" i="148"/>
  <c r="N523" i="148"/>
  <c r="N519" i="148"/>
  <c r="N631" i="148"/>
  <c r="N619" i="148"/>
  <c r="N611" i="148"/>
  <c r="N603" i="148"/>
  <c r="N595" i="148"/>
  <c r="N587" i="148"/>
  <c r="N579" i="148"/>
  <c r="N571" i="148"/>
  <c r="N564" i="148"/>
  <c r="N560" i="148"/>
  <c r="N556" i="148"/>
  <c r="N552" i="148"/>
  <c r="N548" i="148"/>
  <c r="N544" i="148"/>
  <c r="N540" i="148"/>
  <c r="N536" i="148"/>
  <c r="N532" i="148"/>
  <c r="N528" i="148"/>
  <c r="N524" i="148"/>
  <c r="N616" i="148"/>
  <c r="N615" i="148"/>
  <c r="N584" i="148"/>
  <c r="N583" i="148"/>
  <c r="N566" i="148"/>
  <c r="N561" i="148"/>
  <c r="N550" i="148"/>
  <c r="N545" i="148"/>
  <c r="N534" i="148"/>
  <c r="N529" i="148"/>
  <c r="N518" i="148"/>
  <c r="N515" i="148"/>
  <c r="N511" i="148"/>
  <c r="N507" i="148"/>
  <c r="N503" i="148"/>
  <c r="N499" i="148"/>
  <c r="N495" i="148"/>
  <c r="N491" i="148"/>
  <c r="N487" i="148"/>
  <c r="N483" i="148"/>
  <c r="N479" i="148"/>
  <c r="N475" i="148"/>
  <c r="N471" i="148"/>
  <c r="N467" i="148"/>
  <c r="N463" i="148"/>
  <c r="N459" i="148"/>
  <c r="N455" i="148"/>
  <c r="N451" i="148"/>
  <c r="N447" i="148"/>
  <c r="N443" i="148"/>
  <c r="N439" i="148"/>
  <c r="N435" i="148"/>
  <c r="N431" i="148"/>
  <c r="N427" i="148"/>
  <c r="N423" i="148"/>
  <c r="N419" i="148"/>
  <c r="N624" i="148"/>
  <c r="N623" i="148"/>
  <c r="N592" i="148"/>
  <c r="N591" i="148"/>
  <c r="N565" i="148"/>
  <c r="N554" i="148"/>
  <c r="N549" i="148"/>
  <c r="N538" i="148"/>
  <c r="N533" i="148"/>
  <c r="N522" i="148"/>
  <c r="N520" i="148"/>
  <c r="N516" i="148"/>
  <c r="N512" i="148"/>
  <c r="N508" i="148"/>
  <c r="N504" i="148"/>
  <c r="N500" i="148"/>
  <c r="N496" i="148"/>
  <c r="N492" i="148"/>
  <c r="N488" i="148"/>
  <c r="N484" i="148"/>
  <c r="N480" i="148"/>
  <c r="N476" i="148"/>
  <c r="N472" i="148"/>
  <c r="N468" i="148"/>
  <c r="N464" i="148"/>
  <c r="N460" i="148"/>
  <c r="N456" i="148"/>
  <c r="N452" i="148"/>
  <c r="N448" i="148"/>
  <c r="N444" i="148"/>
  <c r="N440" i="148"/>
  <c r="N436" i="148"/>
  <c r="N432" i="148"/>
  <c r="N428" i="148"/>
  <c r="N424" i="148"/>
  <c r="N420" i="148"/>
  <c r="N608" i="148"/>
  <c r="N607" i="148"/>
  <c r="N576" i="148"/>
  <c r="N575" i="148"/>
  <c r="N517" i="148"/>
  <c r="N510" i="148"/>
  <c r="N505" i="148"/>
  <c r="N494" i="148"/>
  <c r="N489" i="148"/>
  <c r="N478" i="148"/>
  <c r="N473" i="148"/>
  <c r="N466" i="148"/>
  <c r="N461" i="148"/>
  <c r="N453" i="148"/>
  <c r="N445" i="148"/>
  <c r="N433" i="148"/>
  <c r="N425" i="148"/>
  <c r="N418" i="148"/>
  <c r="N414" i="148"/>
  <c r="N410" i="148"/>
  <c r="N406" i="148"/>
  <c r="N402" i="148"/>
  <c r="N398" i="148"/>
  <c r="N394" i="148"/>
  <c r="N390" i="148"/>
  <c r="N386" i="148"/>
  <c r="N382" i="148"/>
  <c r="N378" i="148"/>
  <c r="N374" i="148"/>
  <c r="N370" i="148"/>
  <c r="N366" i="148"/>
  <c r="N362" i="148"/>
  <c r="N358" i="148"/>
  <c r="N354" i="148"/>
  <c r="N628" i="148"/>
  <c r="N537" i="148"/>
  <c r="N530" i="148"/>
  <c r="N526" i="148"/>
  <c r="N525" i="148"/>
  <c r="N521" i="148"/>
  <c r="N514" i="148"/>
  <c r="N509" i="148"/>
  <c r="N498" i="148"/>
  <c r="N493" i="148"/>
  <c r="N482" i="148"/>
  <c r="N477" i="148"/>
  <c r="N465" i="148"/>
  <c r="N458" i="148"/>
  <c r="N450" i="148"/>
  <c r="N438" i="148"/>
  <c r="N430" i="148"/>
  <c r="N422" i="148"/>
  <c r="N415" i="148"/>
  <c r="N411" i="148"/>
  <c r="N407" i="148"/>
  <c r="N403" i="148"/>
  <c r="N399" i="148"/>
  <c r="N395" i="148"/>
  <c r="N391" i="148"/>
  <c r="N387" i="148"/>
  <c r="N383" i="148"/>
  <c r="N379" i="148"/>
  <c r="N375" i="148"/>
  <c r="N371" i="148"/>
  <c r="N367" i="148"/>
  <c r="N363" i="148"/>
  <c r="N359" i="148"/>
  <c r="N355" i="148"/>
  <c r="N351" i="148"/>
  <c r="N347" i="148"/>
  <c r="N343" i="148"/>
  <c r="N558" i="148"/>
  <c r="N557" i="148"/>
  <c r="N481" i="148"/>
  <c r="N474" i="148"/>
  <c r="N470" i="148"/>
  <c r="N469" i="148"/>
  <c r="N437" i="148"/>
  <c r="N429" i="148"/>
  <c r="N421" i="148"/>
  <c r="N417" i="148"/>
  <c r="N409" i="148"/>
  <c r="N401" i="148"/>
  <c r="N393" i="148"/>
  <c r="N385" i="148"/>
  <c r="N377" i="148"/>
  <c r="N369" i="148"/>
  <c r="N361" i="148"/>
  <c r="N353" i="148"/>
  <c r="N350" i="148"/>
  <c r="N348" i="148"/>
  <c r="N340" i="148"/>
  <c r="N336" i="148"/>
  <c r="N332" i="148"/>
  <c r="N328" i="148"/>
  <c r="N324" i="148"/>
  <c r="N320" i="148"/>
  <c r="N316" i="148"/>
  <c r="N312" i="148"/>
  <c r="N308" i="148"/>
  <c r="N304" i="148"/>
  <c r="N300" i="148"/>
  <c r="N296" i="148"/>
  <c r="N292" i="148"/>
  <c r="N288" i="148"/>
  <c r="N284" i="148"/>
  <c r="N280" i="148"/>
  <c r="N276" i="148"/>
  <c r="N266" i="148"/>
  <c r="N259" i="148"/>
  <c r="N258" i="148"/>
  <c r="U257" i="148"/>
  <c r="N599" i="148"/>
  <c r="N562" i="148"/>
  <c r="N497" i="148"/>
  <c r="N490" i="148"/>
  <c r="N486" i="148"/>
  <c r="N485" i="148"/>
  <c r="N462" i="148"/>
  <c r="N454" i="148"/>
  <c r="N446" i="148"/>
  <c r="N442" i="148"/>
  <c r="N441" i="148"/>
  <c r="N416" i="148"/>
  <c r="N408" i="148"/>
  <c r="N400" i="148"/>
  <c r="N392" i="148"/>
  <c r="N384" i="148"/>
  <c r="N376" i="148"/>
  <c r="N368" i="148"/>
  <c r="N360" i="148"/>
  <c r="N352" i="148"/>
  <c r="N345" i="148"/>
  <c r="N341" i="148"/>
  <c r="N337" i="148"/>
  <c r="N333" i="148"/>
  <c r="N329" i="148"/>
  <c r="N325" i="148"/>
  <c r="N321" i="148"/>
  <c r="N317" i="148"/>
  <c r="N313" i="148"/>
  <c r="N309" i="148"/>
  <c r="N305" i="148"/>
  <c r="N301" i="148"/>
  <c r="N297" i="148"/>
  <c r="N293" i="148"/>
  <c r="N289" i="148"/>
  <c r="N285" i="148"/>
  <c r="N281" i="148"/>
  <c r="N277" i="148"/>
  <c r="N273" i="148"/>
  <c r="N272" i="148"/>
  <c r="N271" i="148"/>
  <c r="N270" i="148"/>
  <c r="N269" i="148"/>
  <c r="N268" i="148"/>
  <c r="N267" i="148"/>
  <c r="N265" i="148"/>
  <c r="N264" i="148"/>
  <c r="N257" i="148"/>
  <c r="N256" i="148"/>
  <c r="N251" i="148"/>
  <c r="N541" i="148"/>
  <c r="N513" i="148"/>
  <c r="N502" i="148"/>
  <c r="N449" i="148"/>
  <c r="N397" i="148"/>
  <c r="N396" i="148"/>
  <c r="N365" i="148"/>
  <c r="N364" i="148"/>
  <c r="N338" i="148"/>
  <c r="N327" i="148"/>
  <c r="N322" i="148"/>
  <c r="N311" i="148"/>
  <c r="N306" i="148"/>
  <c r="N295" i="148"/>
  <c r="N290" i="148"/>
  <c r="N279" i="148"/>
  <c r="N274" i="148"/>
  <c r="N262" i="148"/>
  <c r="N260" i="148"/>
  <c r="N253" i="148"/>
  <c r="N250" i="148"/>
  <c r="N405" i="148"/>
  <c r="N373" i="148"/>
  <c r="N346" i="148"/>
  <c r="N326" i="148"/>
  <c r="N323" i="148"/>
  <c r="N319" i="148"/>
  <c r="N302" i="148"/>
  <c r="N283" i="148"/>
  <c r="N282" i="148"/>
  <c r="N263" i="148"/>
  <c r="N568" i="148"/>
  <c r="N501" i="148"/>
  <c r="N434" i="148"/>
  <c r="N413" i="148"/>
  <c r="N412" i="148"/>
  <c r="N381" i="148"/>
  <c r="N380" i="148"/>
  <c r="N342" i="148"/>
  <c r="N339" i="148"/>
  <c r="N335" i="148"/>
  <c r="N318" i="148"/>
  <c r="N299" i="148"/>
  <c r="N298" i="148"/>
  <c r="N278" i="148"/>
  <c r="N275" i="148"/>
  <c r="N334" i="148"/>
  <c r="N303" i="148"/>
  <c r="N506" i="148"/>
  <c r="N344" i="148"/>
  <c r="N310" i="148"/>
  <c r="N307" i="148"/>
  <c r="N294" i="148"/>
  <c r="N255" i="148"/>
  <c r="N254" i="148"/>
  <c r="N252" i="148"/>
  <c r="N389" i="148"/>
  <c r="N356" i="148"/>
  <c r="E4" i="140"/>
  <c r="N600" i="148"/>
  <c r="N286" i="148"/>
  <c r="N553" i="148"/>
  <c r="N426" i="148"/>
  <c r="N388" i="148"/>
  <c r="N331" i="148"/>
  <c r="N330" i="148"/>
  <c r="N261" i="148"/>
  <c r="N404" i="148"/>
  <c r="N357" i="148"/>
  <c r="N546" i="148"/>
  <c r="N542" i="148"/>
  <c r="N372" i="148"/>
  <c r="N349" i="148"/>
  <c r="N314" i="148"/>
  <c r="N287" i="148"/>
  <c r="N457" i="148"/>
  <c r="N315" i="148"/>
  <c r="N291" i="148"/>
  <c r="Q278" i="148"/>
  <c r="AB41" i="142"/>
  <c r="R50" i="142" l="1"/>
  <c r="E3" i="140"/>
  <c r="T41" i="142"/>
  <c r="L211" i="144"/>
  <c r="A210" i="144"/>
  <c r="Q279" i="148"/>
  <c r="Q280" i="148" s="1"/>
  <c r="K52" i="142"/>
  <c r="M51" i="142" l="1"/>
  <c r="N51" i="142" s="1"/>
  <c r="O51" i="142" s="1"/>
  <c r="P51" i="142"/>
  <c r="Q51" i="142" s="1"/>
  <c r="K53" i="142"/>
  <c r="L210" i="144"/>
  <c r="A209" i="144"/>
  <c r="W42" i="142"/>
  <c r="X42" i="142" s="1"/>
  <c r="Y42" i="142" s="1"/>
  <c r="Z42" i="142"/>
  <c r="AA42" i="142" s="1"/>
  <c r="Q281" i="148"/>
  <c r="Q282" i="148" s="1"/>
  <c r="AB42" i="142" l="1"/>
  <c r="T42" i="142" s="1"/>
  <c r="A208" i="144"/>
  <c r="L209" i="144"/>
  <c r="Q283" i="148"/>
  <c r="R51" i="142"/>
  <c r="K54" i="142"/>
  <c r="K55" i="142" l="1"/>
  <c r="W43" i="142"/>
  <c r="X43" i="142" s="1"/>
  <c r="Y43" i="142" s="1"/>
  <c r="Z43" i="142"/>
  <c r="AA43" i="142" s="1"/>
  <c r="L208" i="144"/>
  <c r="A207" i="144"/>
  <c r="Q284" i="148"/>
  <c r="AB43" i="142" l="1"/>
  <c r="T43" i="142" s="1"/>
  <c r="L207" i="144"/>
  <c r="A206" i="144"/>
  <c r="P52" i="142"/>
  <c r="Q52" i="142" s="1"/>
  <c r="M52" i="142"/>
  <c r="N52" i="142" s="1"/>
  <c r="O52" i="142" s="1"/>
  <c r="K56" i="142"/>
  <c r="Q285" i="148"/>
  <c r="Q286" i="148" s="1"/>
  <c r="R52" i="142" l="1"/>
  <c r="K57" i="142"/>
  <c r="W44" i="142"/>
  <c r="X44" i="142" s="1"/>
  <c r="Y44" i="142" s="1"/>
  <c r="Z44" i="142"/>
  <c r="AA44" i="142" s="1"/>
  <c r="A205" i="144"/>
  <c r="L206" i="144"/>
  <c r="Q287" i="148"/>
  <c r="A204" i="144" l="1"/>
  <c r="L205" i="144"/>
  <c r="AB44" i="142"/>
  <c r="T44" i="142" s="1"/>
  <c r="K58" i="142"/>
  <c r="Q288" i="148"/>
  <c r="M53" i="142"/>
  <c r="N53" i="142" s="1"/>
  <c r="O53" i="142" s="1"/>
  <c r="P53" i="142"/>
  <c r="Q53" i="142" s="1"/>
  <c r="W45" i="142" l="1"/>
  <c r="X45" i="142" s="1"/>
  <c r="Y45" i="142" s="1"/>
  <c r="Z45" i="142"/>
  <c r="AA45" i="142" s="1"/>
  <c r="Q289" i="148"/>
  <c r="Q290" i="148" s="1"/>
  <c r="R53" i="142"/>
  <c r="K59" i="142"/>
  <c r="L204" i="144"/>
  <c r="A203" i="144"/>
  <c r="AB45" i="142" l="1"/>
  <c r="T45" i="142" s="1"/>
  <c r="W46" i="142" s="1"/>
  <c r="X46" i="142" s="1"/>
  <c r="Y46" i="142" s="1"/>
  <c r="Q291" i="148"/>
  <c r="A202" i="144"/>
  <c r="L203" i="144"/>
  <c r="K60" i="142"/>
  <c r="Z46" i="142" l="1"/>
  <c r="AA46" i="142" s="1"/>
  <c r="Q292" i="148"/>
  <c r="K61" i="142"/>
  <c r="A201" i="144"/>
  <c r="L202" i="144"/>
  <c r="P54" i="142"/>
  <c r="Q54" i="142" s="1"/>
  <c r="M54" i="142"/>
  <c r="N54" i="142" s="1"/>
  <c r="O54" i="142" s="1"/>
  <c r="AB46" i="142" l="1"/>
  <c r="T46" i="142" s="1"/>
  <c r="W47" i="142" s="1"/>
  <c r="X47" i="142" s="1"/>
  <c r="Y47" i="142" s="1"/>
  <c r="R54" i="142"/>
  <c r="Q293" i="148"/>
  <c r="A200" i="144"/>
  <c r="L201" i="144"/>
  <c r="Z47" i="142" l="1"/>
  <c r="AA47" i="142" s="1"/>
  <c r="L200" i="144"/>
  <c r="A199" i="144"/>
  <c r="Q294" i="148"/>
  <c r="AB47" i="142" l="1"/>
  <c r="T47" i="142" s="1"/>
  <c r="Z48" i="142" s="1"/>
  <c r="AA48" i="142" s="1"/>
  <c r="Q295" i="148"/>
  <c r="Q296" i="148" s="1"/>
  <c r="Q297" i="148" s="1"/>
  <c r="Q298" i="148" s="1"/>
  <c r="L199" i="144"/>
  <c r="A198" i="144"/>
  <c r="M55" i="142"/>
  <c r="N55" i="142" s="1"/>
  <c r="O55" i="142" s="1"/>
  <c r="P55" i="142"/>
  <c r="Q55" i="142" s="1"/>
  <c r="W48" i="142" l="1"/>
  <c r="X48" i="142" s="1"/>
  <c r="Y48" i="142" s="1"/>
  <c r="AB48" i="142" s="1"/>
  <c r="T48" i="142" s="1"/>
  <c r="R55" i="142"/>
  <c r="A197" i="144"/>
  <c r="L198" i="144"/>
  <c r="Q299" i="148"/>
  <c r="Q300" i="148" s="1"/>
  <c r="A196" i="144" l="1"/>
  <c r="L197" i="144"/>
  <c r="Q301" i="148"/>
  <c r="P56" i="142"/>
  <c r="Q56" i="142" s="1"/>
  <c r="M56" i="142"/>
  <c r="N56" i="142" s="1"/>
  <c r="O56" i="142" s="1"/>
  <c r="W49" i="142"/>
  <c r="X49" i="142" s="1"/>
  <c r="Y49" i="142" s="1"/>
  <c r="Z49" i="142"/>
  <c r="AA49" i="142" s="1"/>
  <c r="R56" i="142" l="1"/>
  <c r="AB49" i="142"/>
  <c r="Q302" i="148"/>
  <c r="L196" i="144"/>
  <c r="A195" i="144"/>
  <c r="L195" i="144" l="1"/>
  <c r="A194" i="144"/>
  <c r="T49" i="142"/>
  <c r="AB51" i="142"/>
  <c r="Q303" i="148"/>
  <c r="Q304" i="148" s="1"/>
  <c r="M57" i="142"/>
  <c r="N57" i="142" s="1"/>
  <c r="O57" i="142" s="1"/>
  <c r="P57" i="142"/>
  <c r="Q57" i="142" s="1"/>
  <c r="R57" i="142" l="1"/>
  <c r="Q305" i="148"/>
  <c r="Q306" i="148" s="1"/>
  <c r="L194" i="144"/>
  <c r="A193" i="144"/>
  <c r="P58" i="142" l="1"/>
  <c r="Q58" i="142" s="1"/>
  <c r="A192" i="144"/>
  <c r="L193" i="144"/>
  <c r="Q307" i="148"/>
  <c r="M58" i="142" l="1"/>
  <c r="N58" i="142" s="1"/>
  <c r="O58" i="142" s="1"/>
  <c r="R58" i="142" s="1"/>
  <c r="P59" i="142" s="1"/>
  <c r="Q59" i="142" s="1"/>
  <c r="L192" i="144"/>
  <c r="A191" i="144"/>
  <c r="Q308" i="148"/>
  <c r="M59" i="142" l="1"/>
  <c r="N59" i="142" s="1"/>
  <c r="O59" i="142" s="1"/>
  <c r="R59" i="142" s="1"/>
  <c r="Q309" i="148"/>
  <c r="L191" i="144"/>
  <c r="A190" i="144"/>
  <c r="M60" i="142" l="1"/>
  <c r="N60" i="142" s="1"/>
  <c r="O60" i="142" s="1"/>
  <c r="A189" i="144"/>
  <c r="L190" i="144"/>
  <c r="Q310" i="148"/>
  <c r="P60" i="142" l="1"/>
  <c r="Q60" i="142" s="1"/>
  <c r="A188" i="144"/>
  <c r="L189" i="144"/>
  <c r="Q311" i="148"/>
  <c r="Q312" i="148" s="1"/>
  <c r="R60" i="142" l="1"/>
  <c r="M61" i="142" s="1"/>
  <c r="N61" i="142" s="1"/>
  <c r="O61" i="142" s="1"/>
  <c r="Q313" i="148"/>
  <c r="Q314" i="148" s="1"/>
  <c r="L188" i="144"/>
  <c r="A187" i="144"/>
  <c r="P61" i="142" l="1"/>
  <c r="Q61" i="142" s="1"/>
  <c r="Q315" i="148"/>
  <c r="A186" i="144"/>
  <c r="L187" i="144"/>
  <c r="R61" i="142" l="1"/>
  <c r="Q316" i="148"/>
  <c r="Q317" i="148" s="1"/>
  <c r="A185" i="144"/>
  <c r="L186" i="144"/>
  <c r="R63" i="142" l="1"/>
  <c r="Q318" i="148"/>
  <c r="A184" i="144"/>
  <c r="L185" i="144"/>
  <c r="L184" i="144" l="1"/>
  <c r="A183" i="144"/>
  <c r="Q319" i="148"/>
  <c r="A182" i="144" l="1"/>
  <c r="L183" i="144"/>
  <c r="Q320" i="148"/>
  <c r="Q321" i="148" l="1"/>
  <c r="A181" i="144"/>
  <c r="L182" i="144"/>
  <c r="A180" i="144" l="1"/>
  <c r="L181" i="144"/>
  <c r="Q322" i="148"/>
  <c r="Q323" i="148" s="1"/>
  <c r="Q324" i="148" l="1"/>
  <c r="Q325" i="148" s="1"/>
  <c r="L180" i="144"/>
  <c r="A179" i="144"/>
  <c r="A178" i="144" l="1"/>
  <c r="L179" i="144"/>
  <c r="Q326" i="148"/>
  <c r="Q327" i="148" l="1"/>
  <c r="Q328" i="148" s="1"/>
  <c r="L178" i="144"/>
  <c r="A177" i="144"/>
  <c r="Q329" i="148" l="1"/>
  <c r="Q330" i="148" s="1"/>
  <c r="A176" i="144"/>
  <c r="L177" i="144"/>
  <c r="Q331" i="148" l="1"/>
  <c r="L176" i="144"/>
  <c r="A175" i="144"/>
  <c r="Q332" i="148" l="1"/>
  <c r="L175" i="144"/>
  <c r="A174" i="144"/>
  <c r="Q333" i="148" l="1"/>
  <c r="A173" i="144"/>
  <c r="L174" i="144"/>
  <c r="Q334" i="148" l="1"/>
  <c r="A172" i="144"/>
  <c r="L173" i="144"/>
  <c r="Q335" i="148" l="1"/>
  <c r="Q336" i="148" s="1"/>
  <c r="Q337" i="148" s="1"/>
  <c r="Q338" i="148" s="1"/>
  <c r="L172" i="144"/>
  <c r="A171" i="144"/>
  <c r="Q339" i="148" l="1"/>
  <c r="Q340" i="148" s="1"/>
  <c r="A170" i="144"/>
  <c r="L171" i="144"/>
  <c r="Q341" i="148" l="1"/>
  <c r="Q342" i="148" s="1"/>
  <c r="L170" i="144"/>
  <c r="A169" i="144"/>
  <c r="Q343" i="148" l="1"/>
  <c r="Q344" i="148" s="1"/>
  <c r="A168" i="144"/>
  <c r="L169" i="144"/>
  <c r="Q345" i="148" l="1"/>
  <c r="Q346" i="148" s="1"/>
  <c r="Q347" i="148" s="1"/>
  <c r="Q348" i="148" s="1"/>
  <c r="L168" i="144"/>
  <c r="A167" i="144"/>
  <c r="Q349" i="148" l="1"/>
  <c r="Q350" i="148" s="1"/>
  <c r="Q351" i="148" s="1"/>
  <c r="A166" i="144"/>
  <c r="L167" i="144"/>
  <c r="L166" i="144" l="1"/>
  <c r="A165" i="144"/>
  <c r="Q352" i="148"/>
  <c r="Q353" i="148" s="1"/>
  <c r="Q354" i="148" s="1"/>
  <c r="Q355" i="148" l="1"/>
  <c r="Q356" i="148" s="1"/>
  <c r="A164" i="144"/>
  <c r="L165" i="144"/>
  <c r="Q357" i="148" l="1"/>
  <c r="Q358" i="148" s="1"/>
  <c r="L164" i="144"/>
  <c r="A163" i="144"/>
  <c r="Q359" i="148" l="1"/>
  <c r="A162" i="144"/>
  <c r="L163" i="144"/>
  <c r="Q360" i="148" l="1"/>
  <c r="L162" i="144"/>
  <c r="A161" i="144"/>
  <c r="A160" i="144" l="1"/>
  <c r="L161" i="144"/>
  <c r="Q361" i="148"/>
  <c r="Q362" i="148" l="1"/>
  <c r="Q363" i="148" s="1"/>
  <c r="L160" i="144"/>
  <c r="A159" i="144"/>
  <c r="L159" i="144" l="1"/>
  <c r="A158" i="144"/>
  <c r="Q364" i="148"/>
  <c r="A157" i="144" l="1"/>
  <c r="L158" i="144"/>
  <c r="Q365" i="148"/>
  <c r="Q366" i="148" s="1"/>
  <c r="A156" i="144" l="1"/>
  <c r="L157" i="144"/>
  <c r="Q367" i="148"/>
  <c r="L156" i="144" l="1"/>
  <c r="A155" i="144"/>
  <c r="Q368" i="148"/>
  <c r="Q369" i="148" l="1"/>
  <c r="Q370" i="148" s="1"/>
  <c r="A154" i="144"/>
  <c r="L155" i="144"/>
  <c r="Q371" i="148" l="1"/>
  <c r="Q372" i="148" s="1"/>
  <c r="Q373" i="148" s="1"/>
  <c r="L154" i="144"/>
  <c r="A153" i="144"/>
  <c r="Q374" i="148" l="1"/>
  <c r="Q375" i="148" s="1"/>
  <c r="A152" i="144"/>
  <c r="L153" i="144"/>
  <c r="Q376" i="148" l="1"/>
  <c r="Q377" i="148" s="1"/>
  <c r="L152" i="144"/>
  <c r="A151" i="144"/>
  <c r="Q378" i="148" l="1"/>
  <c r="L151" i="144"/>
  <c r="A150" i="144"/>
  <c r="L150" i="144" l="1"/>
  <c r="A149" i="144"/>
  <c r="Q379" i="148"/>
  <c r="A148" i="144" l="1"/>
  <c r="L149" i="144"/>
  <c r="Q380" i="148"/>
  <c r="Q381" i="148" l="1"/>
  <c r="L148" i="144"/>
  <c r="A147" i="144"/>
  <c r="Q382" i="148" l="1"/>
  <c r="Q383" i="148" s="1"/>
  <c r="L147" i="144"/>
  <c r="A146" i="144"/>
  <c r="L146" i="144" l="1"/>
  <c r="A145" i="144"/>
  <c r="Q384" i="148"/>
  <c r="A144" i="144" l="1"/>
  <c r="L145" i="144"/>
  <c r="Q385" i="148"/>
  <c r="Q386" i="148" l="1"/>
  <c r="L144" i="144"/>
  <c r="A143" i="144"/>
  <c r="L143" i="144" l="1"/>
  <c r="A142" i="144"/>
  <c r="Q387" i="148"/>
  <c r="Q388" i="148" s="1"/>
  <c r="Q389" i="148" l="1"/>
  <c r="L142" i="144"/>
  <c r="A141" i="144"/>
  <c r="A140" i="144" l="1"/>
  <c r="L141" i="144"/>
  <c r="Q390" i="148"/>
  <c r="Q391" i="148" l="1"/>
  <c r="L140" i="144"/>
  <c r="A139" i="144"/>
  <c r="L139" i="144" l="1"/>
  <c r="A138" i="144"/>
  <c r="Q392" i="148"/>
  <c r="Q393" i="148" s="1"/>
  <c r="A137" i="144" l="1"/>
  <c r="L138" i="144"/>
  <c r="Q394" i="148"/>
  <c r="Q395" i="148" l="1"/>
  <c r="A136" i="144"/>
  <c r="L137" i="144"/>
  <c r="Q396" i="148" l="1"/>
  <c r="L136" i="144"/>
  <c r="A135" i="144"/>
  <c r="A134" i="144" l="1"/>
  <c r="L135" i="144"/>
  <c r="Q397" i="148"/>
  <c r="Q398" i="148" l="1"/>
  <c r="Q399" i="148" s="1"/>
  <c r="L134" i="144"/>
  <c r="A133" i="144"/>
  <c r="A132" i="144" l="1"/>
  <c r="L133" i="144"/>
  <c r="Q400" i="148"/>
  <c r="Q401" i="148" s="1"/>
  <c r="L132" i="144" l="1"/>
  <c r="A131" i="144"/>
  <c r="Q402" i="148"/>
  <c r="A130" i="144" l="1"/>
  <c r="L131" i="144"/>
  <c r="Q403" i="148"/>
  <c r="Q404" i="148" s="1"/>
  <c r="Q405" i="148" l="1"/>
  <c r="L130" i="144"/>
  <c r="A129" i="144"/>
  <c r="A128" i="144" l="1"/>
  <c r="L129" i="144"/>
  <c r="Q406" i="148"/>
  <c r="Q407" i="148" l="1"/>
  <c r="Q408" i="148" s="1"/>
  <c r="Q409" i="148" s="1"/>
  <c r="L128" i="144"/>
  <c r="A127" i="144"/>
  <c r="Q410" i="148" l="1"/>
  <c r="Q411" i="148" s="1"/>
  <c r="Q412" i="148" s="1"/>
  <c r="L127" i="144"/>
  <c r="A126" i="144"/>
  <c r="Q413" i="148" l="1"/>
  <c r="Q414" i="148" s="1"/>
  <c r="L126" i="144"/>
  <c r="A125" i="144"/>
  <c r="A124" i="144" l="1"/>
  <c r="L125" i="144"/>
  <c r="Q415" i="148"/>
  <c r="L124" i="144" l="1"/>
  <c r="A123" i="144"/>
  <c r="Q416" i="148"/>
  <c r="L123" i="144" l="1"/>
  <c r="A122" i="144"/>
  <c r="Q417" i="148"/>
  <c r="Q418" i="148" s="1"/>
  <c r="A121" i="144" l="1"/>
  <c r="L122" i="144"/>
  <c r="Q419" i="148"/>
  <c r="Q420" i="148" l="1"/>
  <c r="Q421" i="148" s="1"/>
  <c r="A120" i="144"/>
  <c r="L121" i="144"/>
  <c r="Q422" i="148" l="1"/>
  <c r="L120" i="144"/>
  <c r="A119" i="144"/>
  <c r="A118" i="144" l="1"/>
  <c r="L119" i="144"/>
  <c r="Q423" i="148"/>
  <c r="A117" i="144" l="1"/>
  <c r="L118" i="144"/>
  <c r="Q424" i="148"/>
  <c r="Q425" i="148" s="1"/>
  <c r="Q426" i="148" l="1"/>
  <c r="A116" i="144"/>
  <c r="L117" i="144"/>
  <c r="L116" i="144" l="1"/>
  <c r="A115" i="144"/>
  <c r="Q427" i="148"/>
  <c r="Q428" i="148" s="1"/>
  <c r="Q429" i="148" l="1"/>
  <c r="Q430" i="148" s="1"/>
  <c r="L115" i="144"/>
  <c r="A114" i="144"/>
  <c r="Q431" i="148" l="1"/>
  <c r="L114" i="144"/>
  <c r="A113" i="144"/>
  <c r="A112" i="144" l="1"/>
  <c r="L113" i="144"/>
  <c r="Q432" i="148"/>
  <c r="Q433" i="148" l="1"/>
  <c r="L112" i="144"/>
  <c r="A111" i="144"/>
  <c r="L111" i="144" l="1"/>
  <c r="A110" i="144"/>
  <c r="Q434" i="148"/>
  <c r="L110" i="144" l="1"/>
  <c r="A109" i="144"/>
  <c r="Q435" i="148"/>
  <c r="A108" i="144" l="1"/>
  <c r="L109" i="144"/>
  <c r="Q436" i="148"/>
  <c r="L108" i="144" l="1"/>
  <c r="A107" i="144"/>
  <c r="Q437" i="148"/>
  <c r="Q438" i="148" l="1"/>
  <c r="L107" i="144"/>
  <c r="A106" i="144"/>
  <c r="Q439" i="148" l="1"/>
  <c r="Q440" i="148" s="1"/>
  <c r="Q441" i="148" s="1"/>
  <c r="A105" i="144"/>
  <c r="L106" i="144"/>
  <c r="Q442" i="148" l="1"/>
  <c r="Q443" i="148" s="1"/>
  <c r="A104" i="144"/>
  <c r="L105" i="144"/>
  <c r="Q444" i="148" l="1"/>
  <c r="Q445" i="148" s="1"/>
  <c r="L104" i="144"/>
  <c r="A103" i="144"/>
  <c r="Q446" i="148" l="1"/>
  <c r="Q447" i="148" s="1"/>
  <c r="Q448" i="148" s="1"/>
  <c r="Q449" i="148" s="1"/>
  <c r="A102" i="144"/>
  <c r="L103" i="144"/>
  <c r="L102" i="144" l="1"/>
  <c r="A101" i="144"/>
  <c r="Q450" i="148"/>
  <c r="Q451" i="148" l="1"/>
  <c r="Q452" i="148" s="1"/>
  <c r="A100" i="144"/>
  <c r="L101" i="144"/>
  <c r="Q453" i="148" l="1"/>
  <c r="Q454" i="148" s="1"/>
  <c r="Q455" i="148" s="1"/>
  <c r="L100" i="144"/>
  <c r="A99" i="144"/>
  <c r="Q456" i="148" l="1"/>
  <c r="Q457" i="148" s="1"/>
  <c r="A98" i="144"/>
  <c r="L99" i="144"/>
  <c r="Q458" i="148" l="1"/>
  <c r="Q459" i="148" s="1"/>
  <c r="L98" i="144"/>
  <c r="A97" i="144"/>
  <c r="Q460" i="148" l="1"/>
  <c r="Q461" i="148" s="1"/>
  <c r="A96" i="144"/>
  <c r="L97" i="144"/>
  <c r="Q462" i="148" l="1"/>
  <c r="Q463" i="148" s="1"/>
  <c r="Q464" i="148" s="1"/>
  <c r="L96" i="144"/>
  <c r="A95" i="144"/>
  <c r="L95" i="144" l="1"/>
  <c r="A94" i="144"/>
  <c r="Q465" i="148"/>
  <c r="Q466" i="148" s="1"/>
  <c r="L94" i="144" l="1"/>
  <c r="A93" i="144"/>
  <c r="Q467" i="148"/>
  <c r="Q468" i="148" s="1"/>
  <c r="L93" i="144" l="1"/>
  <c r="A92" i="144"/>
  <c r="Q469" i="148"/>
  <c r="A91" i="144" l="1"/>
  <c r="L92" i="144"/>
  <c r="Q470" i="148"/>
  <c r="Q471" i="148" s="1"/>
  <c r="L91" i="144" l="1"/>
  <c r="A90" i="144"/>
  <c r="Q472" i="148"/>
  <c r="Q473" i="148" l="1"/>
  <c r="L90" i="144"/>
  <c r="A89" i="144"/>
  <c r="L89" i="144" l="1"/>
  <c r="A88" i="144"/>
  <c r="Q474" i="148"/>
  <c r="A87" i="144" l="1"/>
  <c r="L88" i="144"/>
  <c r="Q475" i="148"/>
  <c r="Q476" i="148" l="1"/>
  <c r="L87" i="144"/>
  <c r="A86" i="144"/>
  <c r="Q477" i="148" l="1"/>
  <c r="Q478" i="148" s="1"/>
  <c r="L86" i="144"/>
  <c r="A85" i="144"/>
  <c r="L85" i="144" l="1"/>
  <c r="A84" i="144"/>
  <c r="Q479" i="148"/>
  <c r="A83" i="144" l="1"/>
  <c r="L84" i="144"/>
  <c r="Q480" i="148"/>
  <c r="Q481" i="148" l="1"/>
  <c r="Q482" i="148" s="1"/>
  <c r="L83" i="144"/>
  <c r="A82" i="144"/>
  <c r="Q483" i="148" l="1"/>
  <c r="Q484" i="148" s="1"/>
  <c r="Q485" i="148" s="1"/>
  <c r="L82" i="144"/>
  <c r="A81" i="144"/>
  <c r="L81" i="144" l="1"/>
  <c r="A80" i="144"/>
  <c r="Q486" i="148"/>
  <c r="Q487" i="148" l="1"/>
  <c r="Q488" i="148" s="1"/>
  <c r="A79" i="144"/>
  <c r="L80" i="144"/>
  <c r="Q489" i="148" l="1"/>
  <c r="Q490" i="148" s="1"/>
  <c r="Q491" i="148" s="1"/>
  <c r="Q492" i="148" s="1"/>
  <c r="L79" i="144"/>
  <c r="A78" i="144"/>
  <c r="Q493" i="148" l="1"/>
  <c r="Q494" i="148" s="1"/>
  <c r="L78" i="144"/>
  <c r="A77" i="144"/>
  <c r="L77" i="144" l="1"/>
  <c r="A76" i="144"/>
  <c r="Q495" i="148"/>
  <c r="A75" i="144" l="1"/>
  <c r="L76" i="144"/>
  <c r="Q496" i="148"/>
  <c r="Q497" i="148" s="1"/>
  <c r="Q498" i="148" l="1"/>
  <c r="L75" i="144"/>
  <c r="A74" i="144"/>
  <c r="Q499" i="148" l="1"/>
  <c r="L74" i="144"/>
  <c r="A73" i="144"/>
  <c r="Q500" i="148" l="1"/>
  <c r="Q501" i="148" s="1"/>
  <c r="L73" i="144"/>
  <c r="A72" i="144"/>
  <c r="A71" i="144" l="1"/>
  <c r="L72" i="144"/>
  <c r="Q502" i="148"/>
  <c r="L71" i="144" l="1"/>
  <c r="A70" i="144"/>
  <c r="Q503" i="148"/>
  <c r="L70" i="144" l="1"/>
  <c r="A69" i="144"/>
  <c r="Q504" i="148"/>
  <c r="Q505" i="148" s="1"/>
  <c r="A68" i="144" l="1"/>
  <c r="L69" i="144"/>
  <c r="Q506" i="148"/>
  <c r="Q507" i="148" s="1"/>
  <c r="Q508" i="148" l="1"/>
  <c r="A67" i="144"/>
  <c r="L68" i="144"/>
  <c r="Q509" i="148" l="1"/>
  <c r="L67" i="144"/>
  <c r="A66" i="144"/>
  <c r="L66" i="144" l="1"/>
  <c r="A65" i="144"/>
  <c r="Q510" i="148"/>
  <c r="L65" i="144" l="1"/>
  <c r="A64" i="144"/>
  <c r="Q511" i="148"/>
  <c r="Q512" i="148" s="1"/>
  <c r="A63" i="144" l="1"/>
  <c r="L64" i="144"/>
  <c r="Q513" i="148"/>
  <c r="Q514" i="148" s="1"/>
  <c r="Q515" i="148" l="1"/>
  <c r="L63" i="144"/>
  <c r="A62" i="144"/>
  <c r="Q516" i="148" l="1"/>
  <c r="Q517" i="148" s="1"/>
  <c r="L62" i="144"/>
  <c r="A61" i="144"/>
  <c r="Q518" i="148" l="1"/>
  <c r="Q519" i="148" s="1"/>
  <c r="L61" i="144"/>
  <c r="A60" i="144"/>
  <c r="Q520" i="148" l="1"/>
  <c r="Q521" i="148" s="1"/>
  <c r="A59" i="144"/>
  <c r="L60" i="144"/>
  <c r="Q522" i="148" l="1"/>
  <c r="Q523" i="148" s="1"/>
  <c r="L59" i="144"/>
  <c r="A58" i="144"/>
  <c r="L58" i="144" l="1"/>
  <c r="A57" i="144"/>
  <c r="Q524" i="148"/>
  <c r="L57" i="144" l="1"/>
  <c r="A56" i="144"/>
  <c r="Q525" i="148"/>
  <c r="A55" i="144" l="1"/>
  <c r="L56" i="144"/>
  <c r="Q526" i="148"/>
  <c r="Q527" i="148" s="1"/>
  <c r="Q528" i="148" l="1"/>
  <c r="Q529" i="148" s="1"/>
  <c r="L55" i="144"/>
  <c r="A54" i="144"/>
  <c r="Q530" i="148" l="1"/>
  <c r="Q531" i="148" s="1"/>
  <c r="L54" i="144"/>
  <c r="A53" i="144"/>
  <c r="L53" i="144" l="1"/>
  <c r="A52" i="144"/>
  <c r="Q532" i="148"/>
  <c r="A51" i="144" l="1"/>
  <c r="L52" i="144"/>
  <c r="Q533" i="148"/>
  <c r="L51" i="144" l="1"/>
  <c r="A50" i="144"/>
  <c r="Q534" i="148"/>
  <c r="L50" i="144" l="1"/>
  <c r="A49" i="144"/>
  <c r="Q535" i="148"/>
  <c r="Q536" i="148" s="1"/>
  <c r="L49" i="144" l="1"/>
  <c r="A48" i="144"/>
  <c r="Q537" i="148"/>
  <c r="A47" i="144" l="1"/>
  <c r="L48" i="144"/>
  <c r="Q538" i="148"/>
  <c r="L47" i="144" l="1"/>
  <c r="A46" i="144"/>
  <c r="Q539" i="148"/>
  <c r="Q540" i="148" s="1"/>
  <c r="L46" i="144" l="1"/>
  <c r="A45" i="144"/>
  <c r="Q541" i="148"/>
  <c r="Q542" i="148" l="1"/>
  <c r="Q543" i="148" s="1"/>
  <c r="A44" i="144"/>
  <c r="L45" i="144"/>
  <c r="Q544" i="148" l="1"/>
  <c r="Q545" i="148" s="1"/>
  <c r="A43" i="144"/>
  <c r="L44" i="144"/>
  <c r="Q546" i="148" l="1"/>
  <c r="Q547" i="148" s="1"/>
  <c r="L43" i="144"/>
  <c r="A42" i="144"/>
  <c r="Q548" i="148" l="1"/>
  <c r="Q549" i="148" s="1"/>
  <c r="Q550" i="148" s="1"/>
  <c r="Q551" i="148" s="1"/>
  <c r="L42" i="144"/>
  <c r="A41" i="144"/>
  <c r="Q552" i="148" l="1"/>
  <c r="Q553" i="148" s="1"/>
  <c r="L41" i="144"/>
  <c r="A40" i="144"/>
  <c r="Q554" i="148" l="1"/>
  <c r="Q555" i="148" s="1"/>
  <c r="A39" i="144"/>
  <c r="L40" i="144"/>
  <c r="Q556" i="148" l="1"/>
  <c r="Q557" i="148" s="1"/>
  <c r="L39" i="144"/>
  <c r="A38" i="144"/>
  <c r="Q558" i="148" l="1"/>
  <c r="Q559" i="148" s="1"/>
  <c r="Q560" i="148" s="1"/>
  <c r="L38" i="144"/>
  <c r="A37" i="144"/>
  <c r="L37" i="144" l="1"/>
  <c r="A36" i="144"/>
  <c r="Q561" i="148"/>
  <c r="Q562" i="148" l="1"/>
  <c r="A35" i="144"/>
  <c r="L36" i="144"/>
  <c r="L35" i="144" l="1"/>
  <c r="A34" i="144"/>
  <c r="Q563" i="148"/>
  <c r="L34" i="144" l="1"/>
  <c r="A33" i="144"/>
  <c r="Q564" i="148"/>
  <c r="L33" i="144" l="1"/>
  <c r="A32" i="144"/>
  <c r="Q565" i="148"/>
  <c r="A31" i="144" l="1"/>
  <c r="L32" i="144"/>
  <c r="Q566" i="148"/>
  <c r="Q567" i="148" l="1"/>
  <c r="L31" i="144"/>
  <c r="A30" i="144"/>
  <c r="Q568" i="148" l="1"/>
  <c r="Q569" i="148" s="1"/>
  <c r="L30" i="144"/>
  <c r="A29" i="144"/>
  <c r="Q570" i="148" l="1"/>
  <c r="Q571" i="148" s="1"/>
  <c r="A28" i="144"/>
  <c r="L29" i="144"/>
  <c r="Q572" i="148" l="1"/>
  <c r="Q573" i="148" s="1"/>
  <c r="A27" i="144"/>
  <c r="L28" i="144"/>
  <c r="Q574" i="148" l="1"/>
  <c r="Q575" i="148" s="1"/>
  <c r="L27" i="144"/>
  <c r="A26" i="144"/>
  <c r="Q576" i="148" l="1"/>
  <c r="Q577" i="148" s="1"/>
  <c r="L26" i="144"/>
  <c r="A25" i="144"/>
  <c r="Q578" i="148" l="1"/>
  <c r="Q579" i="148" s="1"/>
  <c r="Q580" i="148" s="1"/>
  <c r="L25" i="144"/>
  <c r="A24" i="144"/>
  <c r="Q581" i="148" l="1"/>
  <c r="Q582" i="148" s="1"/>
  <c r="A23" i="144"/>
  <c r="L24" i="144"/>
  <c r="Q583" i="148" l="1"/>
  <c r="Q584" i="148" s="1"/>
  <c r="L23" i="144"/>
  <c r="A22" i="144"/>
  <c r="Q585" i="148" l="1"/>
  <c r="Q586" i="148" s="1"/>
  <c r="L22" i="144"/>
  <c r="A21" i="144"/>
  <c r="Q587" i="148" l="1"/>
  <c r="Q588" i="148" s="1"/>
  <c r="L21" i="144"/>
  <c r="A20" i="144"/>
  <c r="Q589" i="148" l="1"/>
  <c r="A19" i="144"/>
  <c r="L20" i="144"/>
  <c r="Q590" i="148" l="1"/>
  <c r="L19" i="144"/>
  <c r="A18" i="144"/>
  <c r="Q591" i="148" l="1"/>
  <c r="L18" i="144"/>
  <c r="A17" i="144"/>
  <c r="Q592" i="148" l="1"/>
  <c r="Q593" i="148" s="1"/>
  <c r="L17" i="144"/>
  <c r="A16" i="144"/>
  <c r="Q594" i="148" l="1"/>
  <c r="Q595" i="148" s="1"/>
  <c r="L16" i="144"/>
  <c r="A15" i="144"/>
  <c r="Q596" i="148" l="1"/>
  <c r="A14" i="144"/>
  <c r="L15" i="144"/>
  <c r="Q597" i="148" l="1"/>
  <c r="Q598" i="148" s="1"/>
  <c r="L14" i="144"/>
  <c r="A13" i="144"/>
  <c r="Q599" i="148" l="1"/>
  <c r="L13" i="144"/>
  <c r="A12" i="144"/>
  <c r="Q600" i="148" l="1"/>
  <c r="Q601" i="148" s="1"/>
  <c r="Q602" i="148" s="1"/>
  <c r="L12" i="144"/>
  <c r="A11" i="144"/>
  <c r="Q603" i="148" l="1"/>
  <c r="A10" i="144"/>
  <c r="L11" i="144"/>
  <c r="Q604" i="148" l="1"/>
  <c r="L10" i="144"/>
  <c r="A9" i="144"/>
  <c r="Q605" i="148" l="1"/>
  <c r="Q606" i="148" s="1"/>
  <c r="A8" i="144"/>
  <c r="L9" i="144"/>
  <c r="Q607" i="148" l="1"/>
  <c r="Q608" i="148" s="1"/>
  <c r="A7" i="144"/>
  <c r="L8" i="144"/>
  <c r="Q609" i="148" l="1"/>
  <c r="Q610" i="148" s="1"/>
  <c r="L7" i="144"/>
  <c r="A6" i="144"/>
  <c r="E350" i="144"/>
  <c r="E347" i="144"/>
  <c r="E361" i="144"/>
  <c r="E348" i="144"/>
  <c r="E234" i="144"/>
  <c r="E357" i="144"/>
  <c r="E352" i="144"/>
  <c r="E354" i="144"/>
  <c r="E356" i="144"/>
  <c r="E346" i="144"/>
  <c r="E359" i="144"/>
  <c r="E236" i="144"/>
  <c r="E353" i="144"/>
  <c r="E349" i="144"/>
  <c r="E360" i="144"/>
  <c r="E233" i="144"/>
  <c r="E358" i="144"/>
  <c r="E355" i="144"/>
  <c r="E345" i="144"/>
  <c r="E232" i="144"/>
  <c r="E351" i="144"/>
  <c r="E235" i="144"/>
  <c r="F347" i="144" l="1"/>
  <c r="F234" i="144"/>
  <c r="F357" i="144"/>
  <c r="F348" i="144"/>
  <c r="F354" i="144"/>
  <c r="Q611" i="148"/>
  <c r="F351" i="144"/>
  <c r="F359" i="144"/>
  <c r="F349" i="144"/>
  <c r="F361" i="144"/>
  <c r="L6" i="144"/>
  <c r="A5" i="144"/>
  <c r="F353" i="144"/>
  <c r="F360" i="144"/>
  <c r="F355" i="144"/>
  <c r="F358" i="144"/>
  <c r="F236" i="144"/>
  <c r="F352" i="144"/>
  <c r="F235" i="144"/>
  <c r="F356" i="144"/>
  <c r="F350" i="144"/>
  <c r="Q612" i="148" l="1"/>
  <c r="Q613" i="148" s="1"/>
  <c r="L5" i="144"/>
  <c r="A4" i="144"/>
  <c r="E5" i="144"/>
  <c r="Q614" i="148" l="1"/>
  <c r="E412" i="144"/>
  <c r="E426" i="144"/>
  <c r="E411" i="144"/>
  <c r="E417" i="144"/>
  <c r="E415" i="144"/>
  <c r="E416" i="144"/>
  <c r="E410" i="144"/>
  <c r="E424" i="144"/>
  <c r="E407" i="144"/>
  <c r="E420" i="144"/>
  <c r="E413" i="144"/>
  <c r="E419" i="144"/>
  <c r="E418" i="144"/>
  <c r="E409" i="144"/>
  <c r="E425" i="144"/>
  <c r="E421" i="144"/>
  <c r="E422" i="144"/>
  <c r="E423" i="144"/>
  <c r="E408" i="144"/>
  <c r="E414" i="144"/>
  <c r="E392" i="144"/>
  <c r="E398" i="144"/>
  <c r="E384" i="144"/>
  <c r="E389" i="144"/>
  <c r="E404" i="144"/>
  <c r="E397" i="144"/>
  <c r="E393" i="144"/>
  <c r="E388" i="144"/>
  <c r="E405" i="144"/>
  <c r="E386" i="144"/>
  <c r="E402" i="144"/>
  <c r="E395" i="144"/>
  <c r="E394" i="144"/>
  <c r="E401" i="144"/>
  <c r="E390" i="144"/>
  <c r="E400" i="144"/>
  <c r="E391" i="144"/>
  <c r="E399" i="144"/>
  <c r="E385" i="144"/>
  <c r="E403" i="144"/>
  <c r="E396" i="144"/>
  <c r="E387" i="144"/>
  <c r="E406" i="144"/>
  <c r="E271" i="144"/>
  <c r="E282" i="144"/>
  <c r="E266" i="144"/>
  <c r="E279" i="144"/>
  <c r="E264" i="144"/>
  <c r="E275" i="144"/>
  <c r="E277" i="144"/>
  <c r="E281" i="144"/>
  <c r="E273" i="144"/>
  <c r="E278" i="144"/>
  <c r="E269" i="144"/>
  <c r="E267" i="144"/>
  <c r="E270" i="144"/>
  <c r="E274" i="144"/>
  <c r="E280" i="144"/>
  <c r="E283" i="144"/>
  <c r="E272" i="144"/>
  <c r="E265" i="144"/>
  <c r="E268" i="144"/>
  <c r="E263" i="144"/>
  <c r="E276" i="144"/>
  <c r="E141" i="144"/>
  <c r="E140" i="144"/>
  <c r="E139" i="144"/>
  <c r="E138" i="144"/>
  <c r="E137" i="144"/>
  <c r="E136" i="144"/>
  <c r="E135" i="144"/>
  <c r="E134" i="144"/>
  <c r="E133" i="144"/>
  <c r="E132" i="144"/>
  <c r="E131" i="144"/>
  <c r="E130" i="144"/>
  <c r="E129" i="144"/>
  <c r="E128" i="144"/>
  <c r="E127" i="144"/>
  <c r="E126" i="144"/>
  <c r="E125" i="144"/>
  <c r="E124" i="144"/>
  <c r="E123" i="144"/>
  <c r="E122" i="144"/>
  <c r="E121" i="144"/>
  <c r="E120" i="144"/>
  <c r="E119" i="144"/>
  <c r="E118" i="144"/>
  <c r="E117" i="144"/>
  <c r="E116" i="144"/>
  <c r="E115" i="144"/>
  <c r="E114" i="144"/>
  <c r="E113" i="144"/>
  <c r="E112" i="144"/>
  <c r="E244" i="144"/>
  <c r="E257" i="144"/>
  <c r="E252" i="144"/>
  <c r="E246" i="144"/>
  <c r="E256" i="144"/>
  <c r="E258" i="144"/>
  <c r="E255" i="144"/>
  <c r="E260" i="144"/>
  <c r="E248" i="144"/>
  <c r="E245" i="144"/>
  <c r="E251" i="144"/>
  <c r="E261" i="144"/>
  <c r="E250" i="144"/>
  <c r="E253" i="144"/>
  <c r="E254" i="144"/>
  <c r="E249" i="144"/>
  <c r="E247" i="144"/>
  <c r="E262" i="144"/>
  <c r="E259" i="144"/>
  <c r="E111" i="144"/>
  <c r="E110" i="144"/>
  <c r="E109" i="144"/>
  <c r="E108" i="144"/>
  <c r="E107" i="144"/>
  <c r="E106" i="144"/>
  <c r="E105" i="144"/>
  <c r="E104" i="144"/>
  <c r="E103" i="144"/>
  <c r="E102" i="144"/>
  <c r="E101" i="144"/>
  <c r="E100" i="144"/>
  <c r="E99" i="144"/>
  <c r="E98" i="144"/>
  <c r="E97" i="144"/>
  <c r="E96" i="144"/>
  <c r="E95" i="144"/>
  <c r="E94" i="144"/>
  <c r="E93" i="144"/>
  <c r="E92" i="144"/>
  <c r="E91" i="144"/>
  <c r="E90" i="144"/>
  <c r="E89" i="144"/>
  <c r="E88" i="144"/>
  <c r="E87" i="144"/>
  <c r="E86" i="144"/>
  <c r="E85" i="144"/>
  <c r="E84" i="144"/>
  <c r="E83" i="144"/>
  <c r="E82" i="144"/>
  <c r="E81" i="144"/>
  <c r="E464" i="144"/>
  <c r="E450" i="144"/>
  <c r="E463" i="144"/>
  <c r="E461" i="144"/>
  <c r="E467" i="144"/>
  <c r="E453" i="144"/>
  <c r="E466" i="144"/>
  <c r="E452" i="144"/>
  <c r="E460" i="144"/>
  <c r="E455" i="144"/>
  <c r="E454" i="144"/>
  <c r="E458" i="144"/>
  <c r="E465" i="144"/>
  <c r="E456" i="144"/>
  <c r="E469" i="144"/>
  <c r="E468" i="144"/>
  <c r="E470" i="144"/>
  <c r="E451" i="144"/>
  <c r="E462" i="144"/>
  <c r="E459" i="144"/>
  <c r="E457" i="144"/>
  <c r="E471" i="144"/>
  <c r="E50" i="144"/>
  <c r="E49" i="144"/>
  <c r="E48" i="144"/>
  <c r="E47" i="144"/>
  <c r="E46" i="144"/>
  <c r="E45" i="144"/>
  <c r="E44" i="144"/>
  <c r="E43" i="144"/>
  <c r="E42" i="144"/>
  <c r="E41" i="144"/>
  <c r="E40" i="144"/>
  <c r="E39" i="144"/>
  <c r="E38" i="144"/>
  <c r="E37" i="144"/>
  <c r="E36" i="144"/>
  <c r="E35" i="144"/>
  <c r="E34" i="144"/>
  <c r="E33" i="144"/>
  <c r="E32" i="144"/>
  <c r="E31" i="144"/>
  <c r="E30" i="144"/>
  <c r="E29" i="144"/>
  <c r="E28" i="144"/>
  <c r="E27" i="144"/>
  <c r="E26" i="144"/>
  <c r="E25" i="144"/>
  <c r="E24" i="144"/>
  <c r="E23" i="144"/>
  <c r="E22" i="144"/>
  <c r="E21" i="144"/>
  <c r="E20" i="144"/>
  <c r="E227" i="144"/>
  <c r="E324" i="144"/>
  <c r="E323" i="144"/>
  <c r="E229" i="144"/>
  <c r="E343" i="144"/>
  <c r="E221" i="144"/>
  <c r="E230" i="144"/>
  <c r="E325" i="144"/>
  <c r="E328" i="144"/>
  <c r="E331" i="144"/>
  <c r="E326" i="144"/>
  <c r="E344" i="144"/>
  <c r="F346" i="144" s="1"/>
  <c r="E333" i="144"/>
  <c r="E342" i="144"/>
  <c r="E220" i="144"/>
  <c r="E225" i="144"/>
  <c r="E332" i="144"/>
  <c r="E226" i="144"/>
  <c r="E334" i="144"/>
  <c r="E339" i="144"/>
  <c r="E330" i="144"/>
  <c r="E336" i="144"/>
  <c r="E219" i="144"/>
  <c r="E338" i="144"/>
  <c r="E224" i="144"/>
  <c r="E340" i="144"/>
  <c r="E223" i="144"/>
  <c r="E341" i="144"/>
  <c r="E337" i="144"/>
  <c r="E222" i="144"/>
  <c r="E329" i="144"/>
  <c r="E335" i="144"/>
  <c r="E327" i="144"/>
  <c r="E231" i="144"/>
  <c r="F233" i="144" s="1"/>
  <c r="E228" i="144"/>
  <c r="E218" i="144"/>
  <c r="E217" i="144"/>
  <c r="E216" i="144"/>
  <c r="E215" i="144"/>
  <c r="E214" i="144"/>
  <c r="E213" i="144"/>
  <c r="E212" i="144"/>
  <c r="E211" i="144"/>
  <c r="E210" i="144"/>
  <c r="E209" i="144"/>
  <c r="E208" i="144"/>
  <c r="E207" i="144"/>
  <c r="E206" i="144"/>
  <c r="E205" i="144"/>
  <c r="E204" i="144"/>
  <c r="E203" i="144"/>
  <c r="E202" i="144"/>
  <c r="E201" i="144"/>
  <c r="E239" i="144"/>
  <c r="E241" i="144"/>
  <c r="E475" i="144"/>
  <c r="E478" i="144"/>
  <c r="E483" i="144"/>
  <c r="E242" i="144"/>
  <c r="E237" i="144"/>
  <c r="E484" i="144"/>
  <c r="E477" i="144"/>
  <c r="E474" i="144"/>
  <c r="E473" i="144"/>
  <c r="E240" i="144"/>
  <c r="E472" i="144"/>
  <c r="E479" i="144"/>
  <c r="E243" i="144"/>
  <c r="E480" i="144"/>
  <c r="E481" i="144"/>
  <c r="E476" i="144"/>
  <c r="E238" i="144"/>
  <c r="E482" i="144"/>
  <c r="E80" i="144"/>
  <c r="E79" i="144"/>
  <c r="E78" i="144"/>
  <c r="E77" i="144"/>
  <c r="E76" i="144"/>
  <c r="E75" i="144"/>
  <c r="E74" i="144"/>
  <c r="E73" i="144"/>
  <c r="E72" i="144"/>
  <c r="E71" i="144"/>
  <c r="E70" i="144"/>
  <c r="E69" i="144"/>
  <c r="E68" i="144"/>
  <c r="E67" i="144"/>
  <c r="E66" i="144"/>
  <c r="E65" i="144"/>
  <c r="E64" i="144"/>
  <c r="E63" i="144"/>
  <c r="E62" i="144"/>
  <c r="E61" i="144"/>
  <c r="E60" i="144"/>
  <c r="E59" i="144"/>
  <c r="E58" i="144"/>
  <c r="E57" i="144"/>
  <c r="E56" i="144"/>
  <c r="E55" i="144"/>
  <c r="E54" i="144"/>
  <c r="E53" i="144"/>
  <c r="E52" i="144"/>
  <c r="E51" i="144"/>
  <c r="E374" i="144"/>
  <c r="E377" i="144"/>
  <c r="E365" i="144"/>
  <c r="E364" i="144"/>
  <c r="E373" i="144"/>
  <c r="E371" i="144"/>
  <c r="E375" i="144"/>
  <c r="E370" i="144"/>
  <c r="E367" i="144"/>
  <c r="E378" i="144"/>
  <c r="E380" i="144"/>
  <c r="E376" i="144"/>
  <c r="E381" i="144"/>
  <c r="E372" i="144"/>
  <c r="E382" i="144"/>
  <c r="E379" i="144"/>
  <c r="E366" i="144"/>
  <c r="E363" i="144"/>
  <c r="E362" i="144"/>
  <c r="E383" i="144"/>
  <c r="E369" i="144"/>
  <c r="E368" i="144"/>
  <c r="E293" i="144"/>
  <c r="E297" i="144"/>
  <c r="E285" i="144"/>
  <c r="E295" i="144"/>
  <c r="E296" i="144"/>
  <c r="E288" i="144"/>
  <c r="E302" i="144"/>
  <c r="E300" i="144"/>
  <c r="E286" i="144"/>
  <c r="E301" i="144"/>
  <c r="E292" i="144"/>
  <c r="E287" i="144"/>
  <c r="E299" i="144"/>
  <c r="E290" i="144"/>
  <c r="E284" i="144"/>
  <c r="E298" i="144"/>
  <c r="E294" i="144"/>
  <c r="E291" i="144"/>
  <c r="E289" i="144"/>
  <c r="E172" i="144"/>
  <c r="E171" i="144"/>
  <c r="E170" i="144"/>
  <c r="E169" i="144"/>
  <c r="E168" i="144"/>
  <c r="E167" i="144"/>
  <c r="E166" i="144"/>
  <c r="E165" i="144"/>
  <c r="E164" i="144"/>
  <c r="E163" i="144"/>
  <c r="E162" i="144"/>
  <c r="E161" i="144"/>
  <c r="E160" i="144"/>
  <c r="E159" i="144"/>
  <c r="E158" i="144"/>
  <c r="E157" i="144"/>
  <c r="E156" i="144"/>
  <c r="E155" i="144"/>
  <c r="E154" i="144"/>
  <c r="E153" i="144"/>
  <c r="E152" i="144"/>
  <c r="E151" i="144"/>
  <c r="E150" i="144"/>
  <c r="E149" i="144"/>
  <c r="E148" i="144"/>
  <c r="E147" i="144"/>
  <c r="E146" i="144"/>
  <c r="E145" i="144"/>
  <c r="E144" i="144"/>
  <c r="E143" i="144"/>
  <c r="E142" i="144"/>
  <c r="A3" i="144"/>
  <c r="E4" i="144"/>
  <c r="L4" i="144"/>
  <c r="E316" i="144"/>
  <c r="E317" i="144"/>
  <c r="E319" i="144"/>
  <c r="E309" i="144"/>
  <c r="E308" i="144"/>
  <c r="E303" i="144"/>
  <c r="E305" i="144"/>
  <c r="E318" i="144"/>
  <c r="E311" i="144"/>
  <c r="E306" i="144"/>
  <c r="E313" i="144"/>
  <c r="E320" i="144"/>
  <c r="E321" i="144"/>
  <c r="E307" i="144"/>
  <c r="E304" i="144"/>
  <c r="E310" i="144"/>
  <c r="E322" i="144"/>
  <c r="E315" i="144"/>
  <c r="E314" i="144"/>
  <c r="E312" i="144"/>
  <c r="E200" i="144"/>
  <c r="E199" i="144"/>
  <c r="E198" i="144"/>
  <c r="E197" i="144"/>
  <c r="E196" i="144"/>
  <c r="E195" i="144"/>
  <c r="E194" i="144"/>
  <c r="E193" i="144"/>
  <c r="E192" i="144"/>
  <c r="E191" i="144"/>
  <c r="E190" i="144"/>
  <c r="E189" i="144"/>
  <c r="E188" i="144"/>
  <c r="E187" i="144"/>
  <c r="E186" i="144"/>
  <c r="E185" i="144"/>
  <c r="E184" i="144"/>
  <c r="E183" i="144"/>
  <c r="E182" i="144"/>
  <c r="E181" i="144"/>
  <c r="E180" i="144"/>
  <c r="E179" i="144"/>
  <c r="E178" i="144"/>
  <c r="E177" i="144"/>
  <c r="E176" i="144"/>
  <c r="E175" i="144"/>
  <c r="E174" i="144"/>
  <c r="E173" i="144"/>
  <c r="E431" i="144"/>
  <c r="E437" i="144"/>
  <c r="E438" i="144"/>
  <c r="E445" i="144"/>
  <c r="E440" i="144"/>
  <c r="E443" i="144"/>
  <c r="E430" i="144"/>
  <c r="E435" i="144"/>
  <c r="E436" i="144"/>
  <c r="E441" i="144"/>
  <c r="E432" i="144"/>
  <c r="E434" i="144"/>
  <c r="E447" i="144"/>
  <c r="E428" i="144"/>
  <c r="E439" i="144"/>
  <c r="E429" i="144"/>
  <c r="E448" i="144"/>
  <c r="E442" i="144"/>
  <c r="E446" i="144"/>
  <c r="E427" i="144"/>
  <c r="E449" i="144"/>
  <c r="E433" i="144"/>
  <c r="E444" i="144"/>
  <c r="E19" i="144"/>
  <c r="E18" i="144"/>
  <c r="E17" i="144"/>
  <c r="E16" i="144"/>
  <c r="E15" i="144"/>
  <c r="E14" i="144"/>
  <c r="E13" i="144"/>
  <c r="E12" i="144"/>
  <c r="E11" i="144"/>
  <c r="E10" i="144"/>
  <c r="E9" i="144"/>
  <c r="E8" i="144"/>
  <c r="E7" i="144"/>
  <c r="E6" i="144"/>
  <c r="F82" i="144" l="1"/>
  <c r="F384" i="144"/>
  <c r="F224" i="144"/>
  <c r="F228" i="144"/>
  <c r="F112" i="144"/>
  <c r="F249" i="144"/>
  <c r="F258" i="144"/>
  <c r="F410" i="144"/>
  <c r="F11" i="144"/>
  <c r="F15" i="144"/>
  <c r="F19" i="144"/>
  <c r="F435" i="144"/>
  <c r="F444" i="144"/>
  <c r="F430" i="144"/>
  <c r="F445" i="144"/>
  <c r="F439" i="144"/>
  <c r="F177" i="144"/>
  <c r="F181" i="144"/>
  <c r="F185" i="144"/>
  <c r="F189" i="144"/>
  <c r="F305" i="144"/>
  <c r="F368" i="144"/>
  <c r="F261" i="144"/>
  <c r="F398" i="144"/>
  <c r="F12" i="144"/>
  <c r="F16" i="144"/>
  <c r="F20" i="144"/>
  <c r="F451" i="144"/>
  <c r="F178" i="144"/>
  <c r="F182" i="144"/>
  <c r="F186" i="144"/>
  <c r="F190" i="144"/>
  <c r="F194" i="144"/>
  <c r="F198" i="144"/>
  <c r="F202" i="144"/>
  <c r="F324" i="144"/>
  <c r="F313" i="144"/>
  <c r="F144" i="144"/>
  <c r="F385" i="144"/>
  <c r="F264" i="144"/>
  <c r="F310" i="144"/>
  <c r="F148" i="144"/>
  <c r="F152" i="144"/>
  <c r="F156" i="144"/>
  <c r="F160" i="144"/>
  <c r="F164" i="144"/>
  <c r="F168" i="144"/>
  <c r="F172" i="144"/>
  <c r="Q615" i="148"/>
  <c r="F446" i="144"/>
  <c r="F300" i="144"/>
  <c r="F297" i="144"/>
  <c r="F365" i="144"/>
  <c r="F380" i="144"/>
  <c r="F484" i="144"/>
  <c r="G484" i="144" s="1"/>
  <c r="I484" i="144" s="1"/>
  <c r="F242" i="144"/>
  <c r="F329" i="144"/>
  <c r="F332" i="144"/>
  <c r="F334" i="144"/>
  <c r="F453" i="144"/>
  <c r="F263" i="144"/>
  <c r="F270" i="144"/>
  <c r="F271" i="144"/>
  <c r="F389" i="144"/>
  <c r="F401" i="144"/>
  <c r="F403" i="144"/>
  <c r="F425" i="144"/>
  <c r="F411" i="144"/>
  <c r="F193" i="144"/>
  <c r="F197" i="144"/>
  <c r="F201" i="144"/>
  <c r="F317" i="144"/>
  <c r="F309" i="144"/>
  <c r="F319" i="144"/>
  <c r="F147" i="144"/>
  <c r="F151" i="144"/>
  <c r="F155" i="144"/>
  <c r="F159" i="144"/>
  <c r="F163" i="144"/>
  <c r="F167" i="144"/>
  <c r="F171" i="144"/>
  <c r="F291" i="144"/>
  <c r="F286" i="144"/>
  <c r="F294" i="144"/>
  <c r="F287" i="144"/>
  <c r="F371" i="144"/>
  <c r="F383" i="144"/>
  <c r="F375" i="144"/>
  <c r="F376" i="144"/>
  <c r="F56" i="144"/>
  <c r="F60" i="144"/>
  <c r="F64" i="144"/>
  <c r="F68" i="144"/>
  <c r="F72" i="144"/>
  <c r="F76" i="144"/>
  <c r="F80" i="144"/>
  <c r="F240" i="144"/>
  <c r="F245" i="144"/>
  <c r="F475" i="144"/>
  <c r="F477" i="144"/>
  <c r="F204" i="144"/>
  <c r="F208" i="144"/>
  <c r="F212" i="144"/>
  <c r="F216" i="144"/>
  <c r="F220" i="144"/>
  <c r="F337" i="144"/>
  <c r="F343" i="144"/>
  <c r="F340" i="144"/>
  <c r="F227" i="144"/>
  <c r="F327" i="144"/>
  <c r="F231" i="144"/>
  <c r="F22" i="144"/>
  <c r="F26" i="144"/>
  <c r="F30" i="144"/>
  <c r="F34" i="144"/>
  <c r="F38" i="144"/>
  <c r="F42" i="144"/>
  <c r="F46" i="144"/>
  <c r="F50" i="144"/>
  <c r="F459" i="144"/>
  <c r="F472" i="144"/>
  <c r="F467" i="144"/>
  <c r="F462" i="144"/>
  <c r="F469" i="144"/>
  <c r="F86" i="144"/>
  <c r="F90" i="144"/>
  <c r="F94" i="144"/>
  <c r="F98" i="144"/>
  <c r="F102" i="144"/>
  <c r="F106" i="144"/>
  <c r="F110" i="144"/>
  <c r="F256" i="144"/>
  <c r="F253" i="144"/>
  <c r="F257" i="144"/>
  <c r="F115" i="144"/>
  <c r="F119" i="144"/>
  <c r="F123" i="144"/>
  <c r="F127" i="144"/>
  <c r="F131" i="144"/>
  <c r="F135" i="144"/>
  <c r="F139" i="144"/>
  <c r="F267" i="144"/>
  <c r="F276" i="144"/>
  <c r="F280" i="144"/>
  <c r="F277" i="144"/>
  <c r="F393" i="144"/>
  <c r="F407" i="144"/>
  <c r="F424" i="144"/>
  <c r="F420" i="144"/>
  <c r="F409" i="144"/>
  <c r="F417" i="144"/>
  <c r="F414" i="144"/>
  <c r="F443" i="144"/>
  <c r="F8" i="144"/>
  <c r="F7" i="144"/>
  <c r="F450" i="144"/>
  <c r="F449" i="144"/>
  <c r="F438" i="144"/>
  <c r="F442" i="144"/>
  <c r="F433" i="144"/>
  <c r="F323" i="144"/>
  <c r="F318" i="144"/>
  <c r="F293" i="144"/>
  <c r="F9" i="144"/>
  <c r="F13" i="144"/>
  <c r="F17" i="144"/>
  <c r="F21" i="144"/>
  <c r="F429" i="144"/>
  <c r="F431" i="144"/>
  <c r="F436" i="144"/>
  <c r="F437" i="144"/>
  <c r="F447" i="144"/>
  <c r="F175" i="144"/>
  <c r="F179" i="144"/>
  <c r="F183" i="144"/>
  <c r="F187" i="144"/>
  <c r="F191" i="144"/>
  <c r="F195" i="144"/>
  <c r="F199" i="144"/>
  <c r="F314" i="144"/>
  <c r="F312" i="144"/>
  <c r="F322" i="144"/>
  <c r="F320" i="144"/>
  <c r="F311" i="144"/>
  <c r="F145" i="144"/>
  <c r="F149" i="144"/>
  <c r="F153" i="144"/>
  <c r="F157" i="144"/>
  <c r="F161" i="144"/>
  <c r="F165" i="144"/>
  <c r="F169" i="144"/>
  <c r="F173" i="144"/>
  <c r="F296" i="144"/>
  <c r="F301" i="144"/>
  <c r="F288" i="144"/>
  <c r="F298" i="144"/>
  <c r="F295" i="144"/>
  <c r="F364" i="144"/>
  <c r="F363" i="144"/>
  <c r="F362" i="144"/>
  <c r="F382" i="144"/>
  <c r="F377" i="144"/>
  <c r="F367" i="144"/>
  <c r="F54" i="144"/>
  <c r="F58" i="144"/>
  <c r="F62" i="144"/>
  <c r="F66" i="144"/>
  <c r="F70" i="144"/>
  <c r="F74" i="144"/>
  <c r="F78" i="144"/>
  <c r="F483" i="144"/>
  <c r="F474" i="144"/>
  <c r="F479" i="144"/>
  <c r="F241" i="144"/>
  <c r="F206" i="144"/>
  <c r="F210" i="144"/>
  <c r="F214" i="144"/>
  <c r="F218" i="144"/>
  <c r="F10" i="144"/>
  <c r="F14" i="144"/>
  <c r="F18" i="144"/>
  <c r="F448" i="144"/>
  <c r="F441" i="144"/>
  <c r="F434" i="144"/>
  <c r="F432" i="144"/>
  <c r="F440" i="144"/>
  <c r="F176" i="144"/>
  <c r="F180" i="144"/>
  <c r="F184" i="144"/>
  <c r="F188" i="144"/>
  <c r="F192" i="144"/>
  <c r="F196" i="144"/>
  <c r="F200" i="144"/>
  <c r="F316" i="144"/>
  <c r="F306" i="144"/>
  <c r="F315" i="144"/>
  <c r="F307" i="144"/>
  <c r="F321" i="144"/>
  <c r="F6" i="144"/>
  <c r="F146" i="144"/>
  <c r="F150" i="144"/>
  <c r="F154" i="144"/>
  <c r="F158" i="144"/>
  <c r="F162" i="144"/>
  <c r="F166" i="144"/>
  <c r="F170" i="144"/>
  <c r="F174" i="144"/>
  <c r="F289" i="144"/>
  <c r="F302" i="144"/>
  <c r="F370" i="144"/>
  <c r="F374" i="144"/>
  <c r="F373" i="144"/>
  <c r="F379" i="144"/>
  <c r="F55" i="144"/>
  <c r="F59" i="144"/>
  <c r="F63" i="144"/>
  <c r="F67" i="144"/>
  <c r="F71" i="144"/>
  <c r="F75" i="144"/>
  <c r="F79" i="144"/>
  <c r="F482" i="144"/>
  <c r="F480" i="144"/>
  <c r="F203" i="144"/>
  <c r="F207" i="144"/>
  <c r="F211" i="144"/>
  <c r="F215" i="144"/>
  <c r="F219" i="144"/>
  <c r="F339" i="144"/>
  <c r="F308" i="144"/>
  <c r="L3" i="144"/>
  <c r="A2" i="144"/>
  <c r="E3" i="144"/>
  <c r="F5" i="144" s="1"/>
  <c r="F304" i="144"/>
  <c r="F369" i="144"/>
  <c r="F239" i="144"/>
  <c r="F237" i="144"/>
  <c r="F238" i="144"/>
  <c r="F341" i="144"/>
  <c r="F466" i="144"/>
  <c r="F254" i="144"/>
  <c r="F143" i="144"/>
  <c r="F284" i="144"/>
  <c r="F396" i="144"/>
  <c r="F406" i="144"/>
  <c r="F394" i="144"/>
  <c r="F292" i="144"/>
  <c r="F303" i="144"/>
  <c r="F290" i="144"/>
  <c r="F299" i="144"/>
  <c r="F381" i="144"/>
  <c r="F378" i="144"/>
  <c r="F372" i="144"/>
  <c r="F366" i="144"/>
  <c r="F53" i="144"/>
  <c r="F57" i="144"/>
  <c r="F61" i="144"/>
  <c r="F65" i="144"/>
  <c r="F69" i="144"/>
  <c r="F73" i="144"/>
  <c r="F77" i="144"/>
  <c r="F81" i="144"/>
  <c r="F478" i="144"/>
  <c r="F481" i="144"/>
  <c r="F476" i="144"/>
  <c r="F244" i="144"/>
  <c r="F243" i="144"/>
  <c r="F205" i="144"/>
  <c r="F209" i="144"/>
  <c r="F213" i="144"/>
  <c r="F217" i="144"/>
  <c r="F230" i="144"/>
  <c r="F331" i="144"/>
  <c r="F225" i="144"/>
  <c r="F221" i="144"/>
  <c r="F336" i="144"/>
  <c r="F222" i="144"/>
  <c r="F328" i="144"/>
  <c r="F232" i="144"/>
  <c r="F325" i="144"/>
  <c r="F23" i="144"/>
  <c r="F27" i="144"/>
  <c r="F31" i="144"/>
  <c r="F35" i="144"/>
  <c r="F39" i="144"/>
  <c r="F43" i="144"/>
  <c r="F47" i="144"/>
  <c r="F51" i="144"/>
  <c r="F461" i="144"/>
  <c r="F470" i="144"/>
  <c r="F460" i="144"/>
  <c r="F454" i="144"/>
  <c r="F463" i="144"/>
  <c r="F83" i="144"/>
  <c r="F87" i="144"/>
  <c r="F91" i="144"/>
  <c r="F95" i="144"/>
  <c r="F99" i="144"/>
  <c r="F103" i="144"/>
  <c r="F107" i="144"/>
  <c r="F111" i="144"/>
  <c r="F255" i="144"/>
  <c r="F247" i="144"/>
  <c r="F260" i="144"/>
  <c r="F259" i="144"/>
  <c r="F116" i="144"/>
  <c r="F120" i="144"/>
  <c r="F124" i="144"/>
  <c r="F128" i="144"/>
  <c r="F132" i="144"/>
  <c r="F136" i="144"/>
  <c r="F140" i="144"/>
  <c r="F278" i="144"/>
  <c r="F274" i="144"/>
  <c r="F272" i="144"/>
  <c r="F275" i="144"/>
  <c r="F266" i="144"/>
  <c r="F273" i="144"/>
  <c r="F405" i="144"/>
  <c r="F402" i="144"/>
  <c r="F397" i="144"/>
  <c r="F390" i="144"/>
  <c r="F391" i="144"/>
  <c r="F416" i="144"/>
  <c r="F423" i="144"/>
  <c r="F421" i="144"/>
  <c r="F426" i="144"/>
  <c r="F419" i="144"/>
  <c r="F342" i="144"/>
  <c r="F338" i="144"/>
  <c r="F344" i="144"/>
  <c r="F333" i="144"/>
  <c r="F223" i="144"/>
  <c r="F326" i="144"/>
  <c r="F24" i="144"/>
  <c r="F28" i="144"/>
  <c r="F32" i="144"/>
  <c r="F36" i="144"/>
  <c r="F40" i="144"/>
  <c r="F44" i="144"/>
  <c r="F48" i="144"/>
  <c r="F52" i="144"/>
  <c r="F464" i="144"/>
  <c r="F471" i="144"/>
  <c r="F456" i="144"/>
  <c r="F468" i="144"/>
  <c r="F465" i="144"/>
  <c r="F84" i="144"/>
  <c r="F88" i="144"/>
  <c r="F92" i="144"/>
  <c r="F96" i="144"/>
  <c r="F100" i="144"/>
  <c r="F104" i="144"/>
  <c r="F108" i="144"/>
  <c r="F252" i="144"/>
  <c r="F250" i="144"/>
  <c r="F246" i="144"/>
  <c r="F117" i="144"/>
  <c r="F121" i="144"/>
  <c r="F125" i="144"/>
  <c r="F129" i="144"/>
  <c r="F133" i="144"/>
  <c r="F137" i="144"/>
  <c r="F141" i="144"/>
  <c r="F265" i="144"/>
  <c r="F285" i="144"/>
  <c r="F269" i="144"/>
  <c r="F283" i="144"/>
  <c r="F281" i="144"/>
  <c r="F408" i="144"/>
  <c r="F387" i="144"/>
  <c r="F392" i="144"/>
  <c r="F404" i="144"/>
  <c r="F395" i="144"/>
  <c r="F386" i="144"/>
  <c r="F427" i="144"/>
  <c r="F415" i="144"/>
  <c r="F412" i="144"/>
  <c r="F413" i="144"/>
  <c r="F226" i="144"/>
  <c r="F335" i="144"/>
  <c r="F330" i="144"/>
  <c r="F345" i="144"/>
  <c r="F229" i="144"/>
  <c r="F25" i="144"/>
  <c r="F29" i="144"/>
  <c r="F33" i="144"/>
  <c r="F37" i="144"/>
  <c r="F41" i="144"/>
  <c r="F45" i="144"/>
  <c r="F49" i="144"/>
  <c r="F473" i="144"/>
  <c r="F458" i="144"/>
  <c r="F457" i="144"/>
  <c r="F455" i="144"/>
  <c r="F452" i="144"/>
  <c r="F85" i="144"/>
  <c r="F89" i="144"/>
  <c r="F93" i="144"/>
  <c r="F97" i="144"/>
  <c r="F101" i="144"/>
  <c r="F105" i="144"/>
  <c r="F109" i="144"/>
  <c r="F113" i="144"/>
  <c r="F251" i="144"/>
  <c r="F262" i="144"/>
  <c r="F248" i="144"/>
  <c r="F114" i="144"/>
  <c r="F118" i="144"/>
  <c r="F122" i="144"/>
  <c r="F126" i="144"/>
  <c r="F130" i="144"/>
  <c r="F134" i="144"/>
  <c r="F138" i="144"/>
  <c r="F142" i="144"/>
  <c r="F282" i="144"/>
  <c r="F279" i="144"/>
  <c r="F268" i="144"/>
  <c r="F388" i="144"/>
  <c r="F399" i="144"/>
  <c r="F400" i="144"/>
  <c r="F422" i="144"/>
  <c r="F418" i="144"/>
  <c r="F428" i="144"/>
  <c r="H484" i="144" l="1"/>
  <c r="J484" i="144" s="1"/>
  <c r="K484" i="144" s="1"/>
  <c r="Q616" i="148"/>
  <c r="G483" i="144"/>
  <c r="E2" i="144"/>
  <c r="L2" i="144"/>
  <c r="Q617" i="148" l="1"/>
  <c r="F4" i="144"/>
  <c r="F3" i="144"/>
  <c r="I483" i="144"/>
  <c r="G482" i="144" s="1"/>
  <c r="H483" i="144"/>
  <c r="J483" i="144" s="1"/>
  <c r="K483" i="144" s="1"/>
  <c r="Q618" i="148" l="1"/>
  <c r="Q619" i="148" s="1"/>
  <c r="Q620" i="148" s="1"/>
  <c r="I482" i="144"/>
  <c r="G481" i="144" s="1"/>
  <c r="H482" i="144"/>
  <c r="J482" i="144" s="1"/>
  <c r="K482" i="144" s="1"/>
  <c r="Q621" i="148" l="1"/>
  <c r="Q622" i="148" s="1"/>
  <c r="I481" i="144"/>
  <c r="G480" i="144" s="1"/>
  <c r="H481" i="144"/>
  <c r="J481" i="144" s="1"/>
  <c r="K481" i="144" s="1"/>
  <c r="Q623" i="148" l="1"/>
  <c r="I480" i="144"/>
  <c r="G479" i="144" s="1"/>
  <c r="H480" i="144"/>
  <c r="J480" i="144" s="1"/>
  <c r="K480" i="144" s="1"/>
  <c r="Q624" i="148" l="1"/>
  <c r="I479" i="144"/>
  <c r="G478" i="144" s="1"/>
  <c r="H479" i="144"/>
  <c r="J479" i="144" s="1"/>
  <c r="K479" i="144" s="1"/>
  <c r="Q625" i="148" l="1"/>
  <c r="I478" i="144"/>
  <c r="G477" i="144" s="1"/>
  <c r="H478" i="144"/>
  <c r="J478" i="144" s="1"/>
  <c r="K478" i="144" s="1"/>
  <c r="Q626" i="148" l="1"/>
  <c r="Q627" i="148" s="1"/>
  <c r="Q628" i="148" s="1"/>
  <c r="I477" i="144"/>
  <c r="G476" i="144" s="1"/>
  <c r="H477" i="144"/>
  <c r="J477" i="144" s="1"/>
  <c r="K477" i="144" s="1"/>
  <c r="Q629" i="148" l="1"/>
  <c r="Q630" i="148" s="1"/>
  <c r="I476" i="144"/>
  <c r="G475" i="144" s="1"/>
  <c r="H476" i="144"/>
  <c r="J476" i="144" s="1"/>
  <c r="K476" i="144" s="1"/>
  <c r="Q631" i="148" l="1"/>
  <c r="I475" i="144"/>
  <c r="G474" i="144" s="1"/>
  <c r="H475" i="144"/>
  <c r="J475" i="144" s="1"/>
  <c r="K475" i="144" s="1"/>
  <c r="Q632" i="148" l="1"/>
  <c r="Q633" i="148" s="1"/>
  <c r="U263" i="148" s="1"/>
  <c r="I474" i="144"/>
  <c r="G473" i="144" s="1"/>
  <c r="H474" i="144"/>
  <c r="J474" i="144" s="1"/>
  <c r="K474" i="144" s="1"/>
  <c r="I473" i="144" l="1"/>
  <c r="G472" i="144" s="1"/>
  <c r="H473" i="144"/>
  <c r="J473" i="144" s="1"/>
  <c r="K473" i="144" s="1"/>
  <c r="I472" i="144" l="1"/>
  <c r="G471" i="144" s="1"/>
  <c r="H472" i="144"/>
  <c r="J472" i="144" s="1"/>
  <c r="K472" i="144" s="1"/>
  <c r="I471" i="144" l="1"/>
  <c r="G470" i="144" s="1"/>
  <c r="H471" i="144"/>
  <c r="J471" i="144" s="1"/>
  <c r="K471" i="144" s="1"/>
  <c r="I470" i="144" l="1"/>
  <c r="G469" i="144" s="1"/>
  <c r="H470" i="144"/>
  <c r="J470" i="144" s="1"/>
  <c r="K470" i="144" s="1"/>
  <c r="I469" i="144" l="1"/>
  <c r="G468" i="144" s="1"/>
  <c r="H469" i="144"/>
  <c r="J469" i="144" s="1"/>
  <c r="K469" i="144" s="1"/>
  <c r="I468" i="144" l="1"/>
  <c r="G467" i="144" s="1"/>
  <c r="H468" i="144"/>
  <c r="J468" i="144" s="1"/>
  <c r="K468" i="144" s="1"/>
  <c r="I467" i="144" l="1"/>
  <c r="G466" i="144" s="1"/>
  <c r="H467" i="144"/>
  <c r="J467" i="144" s="1"/>
  <c r="K467" i="144" s="1"/>
  <c r="I466" i="144" l="1"/>
  <c r="G465" i="144" s="1"/>
  <c r="H466" i="144"/>
  <c r="J466" i="144" s="1"/>
  <c r="K466" i="144" s="1"/>
  <c r="I465" i="144" l="1"/>
  <c r="G464" i="144" s="1"/>
  <c r="H465" i="144"/>
  <c r="J465" i="144" s="1"/>
  <c r="K465" i="144" s="1"/>
  <c r="I464" i="144" l="1"/>
  <c r="G463" i="144" s="1"/>
  <c r="H464" i="144"/>
  <c r="J464" i="144" s="1"/>
  <c r="K464" i="144" s="1"/>
  <c r="I463" i="144" l="1"/>
  <c r="G462" i="144" s="1"/>
  <c r="H463" i="144"/>
  <c r="J463" i="144" s="1"/>
  <c r="K463" i="144" s="1"/>
  <c r="I462" i="144" l="1"/>
  <c r="G461" i="144" s="1"/>
  <c r="H462" i="144"/>
  <c r="J462" i="144" s="1"/>
  <c r="K462" i="144" s="1"/>
  <c r="I461" i="144" l="1"/>
  <c r="G460" i="144" s="1"/>
  <c r="H461" i="144"/>
  <c r="J461" i="144" s="1"/>
  <c r="K461" i="144" s="1"/>
  <c r="I460" i="144" l="1"/>
  <c r="G459" i="144" s="1"/>
  <c r="H460" i="144"/>
  <c r="J460" i="144" s="1"/>
  <c r="K460" i="144" s="1"/>
  <c r="I459" i="144" l="1"/>
  <c r="G458" i="144" s="1"/>
  <c r="H459" i="144"/>
  <c r="J459" i="144" s="1"/>
  <c r="K459" i="144" s="1"/>
  <c r="I458" i="144" l="1"/>
  <c r="G457" i="144" s="1"/>
  <c r="H458" i="144"/>
  <c r="J458" i="144" s="1"/>
  <c r="K458" i="144" s="1"/>
  <c r="I457" i="144" l="1"/>
  <c r="G456" i="144" s="1"/>
  <c r="H457" i="144"/>
  <c r="J457" i="144" s="1"/>
  <c r="K457" i="144" s="1"/>
  <c r="I456" i="144" l="1"/>
  <c r="G455" i="144" s="1"/>
  <c r="H456" i="144"/>
  <c r="J456" i="144" s="1"/>
  <c r="K456" i="144" s="1"/>
  <c r="I455" i="144" l="1"/>
  <c r="G454" i="144" s="1"/>
  <c r="H455" i="144"/>
  <c r="J455" i="144" s="1"/>
  <c r="K455" i="144" s="1"/>
  <c r="I454" i="144" l="1"/>
  <c r="G453" i="144" s="1"/>
  <c r="H454" i="144"/>
  <c r="J454" i="144" s="1"/>
  <c r="K454" i="144" s="1"/>
  <c r="I453" i="144" l="1"/>
  <c r="G452" i="144" s="1"/>
  <c r="H453" i="144"/>
  <c r="J453" i="144" s="1"/>
  <c r="K453" i="144" s="1"/>
  <c r="H452" i="144" l="1"/>
  <c r="J452" i="144" s="1"/>
  <c r="K452" i="144" s="1"/>
  <c r="I452" i="144"/>
  <c r="G451" i="144" s="1"/>
  <c r="H451" i="144" l="1"/>
  <c r="J451" i="144" s="1"/>
  <c r="K451" i="144" s="1"/>
  <c r="I451" i="144"/>
  <c r="G450" i="144" s="1"/>
  <c r="H450" i="144" l="1"/>
  <c r="J450" i="144" s="1"/>
  <c r="K450" i="144" s="1"/>
  <c r="I450" i="144"/>
  <c r="G449" i="144" s="1"/>
  <c r="H449" i="144" l="1"/>
  <c r="J449" i="144" s="1"/>
  <c r="K449" i="144" s="1"/>
  <c r="I449" i="144"/>
  <c r="G448" i="144" s="1"/>
  <c r="H448" i="144" l="1"/>
  <c r="J448" i="144" s="1"/>
  <c r="K448" i="144" s="1"/>
  <c r="I448" i="144"/>
  <c r="G447" i="144" s="1"/>
  <c r="H447" i="144" l="1"/>
  <c r="J447" i="144" s="1"/>
  <c r="K447" i="144" s="1"/>
  <c r="I447" i="144"/>
  <c r="G446" i="144" s="1"/>
  <c r="H446" i="144" l="1"/>
  <c r="J446" i="144" s="1"/>
  <c r="K446" i="144" s="1"/>
  <c r="I446" i="144"/>
  <c r="G445" i="144" s="1"/>
  <c r="H445" i="144" l="1"/>
  <c r="J445" i="144" s="1"/>
  <c r="K445" i="144" s="1"/>
  <c r="I445" i="144"/>
  <c r="G444" i="144" s="1"/>
  <c r="H444" i="144" l="1"/>
  <c r="J444" i="144" s="1"/>
  <c r="K444" i="144" s="1"/>
  <c r="I444" i="144"/>
  <c r="G443" i="144" s="1"/>
  <c r="H443" i="144" l="1"/>
  <c r="J443" i="144" s="1"/>
  <c r="K443" i="144" s="1"/>
  <c r="I443" i="144"/>
  <c r="G442" i="144" s="1"/>
  <c r="H442" i="144" l="1"/>
  <c r="J442" i="144" s="1"/>
  <c r="K442" i="144" s="1"/>
  <c r="I442" i="144"/>
  <c r="G441" i="144" s="1"/>
  <c r="H441" i="144" l="1"/>
  <c r="J441" i="144" s="1"/>
  <c r="K441" i="144" s="1"/>
  <c r="I441" i="144"/>
  <c r="G440" i="144" s="1"/>
  <c r="H440" i="144" l="1"/>
  <c r="J440" i="144" s="1"/>
  <c r="K440" i="144" s="1"/>
  <c r="I440" i="144"/>
  <c r="G439" i="144" s="1"/>
  <c r="H439" i="144" l="1"/>
  <c r="J439" i="144" s="1"/>
  <c r="K439" i="144" s="1"/>
  <c r="I439" i="144"/>
  <c r="G438" i="144" s="1"/>
  <c r="H438" i="144" l="1"/>
  <c r="J438" i="144" s="1"/>
  <c r="K438" i="144" s="1"/>
  <c r="I438" i="144"/>
  <c r="G437" i="144" s="1"/>
  <c r="H437" i="144" l="1"/>
  <c r="J437" i="144" s="1"/>
  <c r="K437" i="144" s="1"/>
  <c r="I437" i="144"/>
  <c r="G436" i="144" s="1"/>
  <c r="H436" i="144" l="1"/>
  <c r="J436" i="144" s="1"/>
  <c r="K436" i="144" s="1"/>
  <c r="I436" i="144"/>
  <c r="G435" i="144" s="1"/>
  <c r="H435" i="144" l="1"/>
  <c r="J435" i="144" s="1"/>
  <c r="K435" i="144" s="1"/>
  <c r="I435" i="144"/>
  <c r="G434" i="144" s="1"/>
  <c r="H434" i="144" l="1"/>
  <c r="J434" i="144" s="1"/>
  <c r="K434" i="144" s="1"/>
  <c r="I434" i="144"/>
  <c r="G433" i="144" s="1"/>
  <c r="H433" i="144" l="1"/>
  <c r="J433" i="144" s="1"/>
  <c r="K433" i="144" s="1"/>
  <c r="I433" i="144"/>
  <c r="G432" i="144" s="1"/>
  <c r="H432" i="144" l="1"/>
  <c r="J432" i="144" s="1"/>
  <c r="K432" i="144" s="1"/>
  <c r="I432" i="144"/>
  <c r="G431" i="144" s="1"/>
  <c r="H431" i="144" l="1"/>
  <c r="J431" i="144" s="1"/>
  <c r="K431" i="144" s="1"/>
  <c r="I431" i="144"/>
  <c r="G430" i="144" s="1"/>
  <c r="H430" i="144" l="1"/>
  <c r="J430" i="144" s="1"/>
  <c r="K430" i="144" s="1"/>
  <c r="I430" i="144"/>
  <c r="G429" i="144" s="1"/>
  <c r="H429" i="144" l="1"/>
  <c r="J429" i="144" s="1"/>
  <c r="K429" i="144" s="1"/>
  <c r="I429" i="144"/>
  <c r="G428" i="144" s="1"/>
  <c r="H428" i="144" l="1"/>
  <c r="J428" i="144" s="1"/>
  <c r="K428" i="144" s="1"/>
  <c r="I428" i="144"/>
  <c r="G427" i="144" s="1"/>
  <c r="H427" i="144" l="1"/>
  <c r="J427" i="144" s="1"/>
  <c r="K427" i="144" s="1"/>
  <c r="I427" i="144"/>
  <c r="G426" i="144" s="1"/>
  <c r="H426" i="144" l="1"/>
  <c r="J426" i="144" s="1"/>
  <c r="K426" i="144" s="1"/>
  <c r="I426" i="144"/>
  <c r="G425" i="144" s="1"/>
  <c r="H425" i="144" l="1"/>
  <c r="J425" i="144" s="1"/>
  <c r="K425" i="144" s="1"/>
  <c r="I425" i="144"/>
  <c r="G424" i="144" s="1"/>
  <c r="H424" i="144" l="1"/>
  <c r="J424" i="144" s="1"/>
  <c r="K424" i="144" s="1"/>
  <c r="I424" i="144"/>
  <c r="G423" i="144" s="1"/>
  <c r="H423" i="144" l="1"/>
  <c r="J423" i="144" s="1"/>
  <c r="K423" i="144" s="1"/>
  <c r="I423" i="144"/>
  <c r="G422" i="144" s="1"/>
  <c r="H422" i="144" l="1"/>
  <c r="J422" i="144" s="1"/>
  <c r="K422" i="144" s="1"/>
  <c r="I422" i="144"/>
  <c r="G421" i="144" s="1"/>
  <c r="H421" i="144" l="1"/>
  <c r="J421" i="144" s="1"/>
  <c r="K421" i="144" s="1"/>
  <c r="I421" i="144"/>
  <c r="G420" i="144" s="1"/>
  <c r="H420" i="144" l="1"/>
  <c r="J420" i="144" s="1"/>
  <c r="K420" i="144" s="1"/>
  <c r="I420" i="144"/>
  <c r="G419" i="144" s="1"/>
  <c r="H419" i="144" l="1"/>
  <c r="J419" i="144" s="1"/>
  <c r="K419" i="144" s="1"/>
  <c r="I419" i="144"/>
  <c r="G418" i="144" s="1"/>
  <c r="H418" i="144" l="1"/>
  <c r="J418" i="144" s="1"/>
  <c r="K418" i="144" s="1"/>
  <c r="I418" i="144"/>
  <c r="G417" i="144" s="1"/>
  <c r="H417" i="144" l="1"/>
  <c r="J417" i="144" s="1"/>
  <c r="K417" i="144" s="1"/>
  <c r="I417" i="144"/>
  <c r="G416" i="144" s="1"/>
  <c r="H416" i="144" l="1"/>
  <c r="J416" i="144" s="1"/>
  <c r="K416" i="144" s="1"/>
  <c r="I416" i="144"/>
  <c r="G415" i="144" s="1"/>
  <c r="H415" i="144" l="1"/>
  <c r="J415" i="144" s="1"/>
  <c r="K415" i="144" s="1"/>
  <c r="I415" i="144"/>
  <c r="G414" i="144" s="1"/>
  <c r="H414" i="144" l="1"/>
  <c r="J414" i="144" s="1"/>
  <c r="K414" i="144" s="1"/>
  <c r="I414" i="144"/>
  <c r="G413" i="144" s="1"/>
  <c r="H413" i="144" l="1"/>
  <c r="J413" i="144" s="1"/>
  <c r="K413" i="144" s="1"/>
  <c r="I413" i="144"/>
  <c r="G412" i="144" s="1"/>
  <c r="H412" i="144" l="1"/>
  <c r="J412" i="144" s="1"/>
  <c r="K412" i="144" s="1"/>
  <c r="I412" i="144"/>
  <c r="G411" i="144" s="1"/>
  <c r="H411" i="144" l="1"/>
  <c r="J411" i="144" s="1"/>
  <c r="K411" i="144" s="1"/>
  <c r="I411" i="144"/>
  <c r="G410" i="144" s="1"/>
  <c r="H410" i="144" l="1"/>
  <c r="J410" i="144" s="1"/>
  <c r="K410" i="144" s="1"/>
  <c r="I410" i="144"/>
  <c r="G409" i="144" s="1"/>
  <c r="H409" i="144" l="1"/>
  <c r="J409" i="144" s="1"/>
  <c r="K409" i="144" s="1"/>
  <c r="I409" i="144"/>
  <c r="G408" i="144" s="1"/>
  <c r="H408" i="144" l="1"/>
  <c r="J408" i="144" s="1"/>
  <c r="K408" i="144" s="1"/>
  <c r="I408" i="144"/>
  <c r="G407" i="144" s="1"/>
  <c r="H407" i="144" l="1"/>
  <c r="J407" i="144" s="1"/>
  <c r="K407" i="144" s="1"/>
  <c r="I407" i="144"/>
  <c r="G406" i="144" s="1"/>
  <c r="H406" i="144" l="1"/>
  <c r="J406" i="144" s="1"/>
  <c r="K406" i="144" s="1"/>
  <c r="I406" i="144"/>
  <c r="G405" i="144" s="1"/>
  <c r="H405" i="144" l="1"/>
  <c r="J405" i="144" s="1"/>
  <c r="K405" i="144" s="1"/>
  <c r="I405" i="144"/>
  <c r="G404" i="144" s="1"/>
  <c r="H404" i="144" l="1"/>
  <c r="J404" i="144" s="1"/>
  <c r="K404" i="144" s="1"/>
  <c r="I404" i="144"/>
  <c r="G403" i="144" s="1"/>
  <c r="H403" i="144" l="1"/>
  <c r="J403" i="144" s="1"/>
  <c r="K403" i="144" s="1"/>
  <c r="I403" i="144"/>
  <c r="G402" i="144" s="1"/>
  <c r="H402" i="144" l="1"/>
  <c r="J402" i="144" s="1"/>
  <c r="K402" i="144" s="1"/>
  <c r="I402" i="144"/>
  <c r="G401" i="144" s="1"/>
  <c r="H401" i="144" l="1"/>
  <c r="J401" i="144" s="1"/>
  <c r="K401" i="144" s="1"/>
  <c r="I401" i="144"/>
  <c r="G400" i="144" s="1"/>
  <c r="H400" i="144" l="1"/>
  <c r="J400" i="144" s="1"/>
  <c r="K400" i="144" s="1"/>
  <c r="I400" i="144"/>
  <c r="G399" i="144" s="1"/>
  <c r="H399" i="144" l="1"/>
  <c r="J399" i="144" s="1"/>
  <c r="K399" i="144" s="1"/>
  <c r="I399" i="144"/>
  <c r="G398" i="144" s="1"/>
  <c r="H398" i="144" l="1"/>
  <c r="J398" i="144" s="1"/>
  <c r="K398" i="144" s="1"/>
  <c r="I398" i="144"/>
  <c r="G397" i="144" s="1"/>
  <c r="H397" i="144" l="1"/>
  <c r="J397" i="144" s="1"/>
  <c r="K397" i="144" s="1"/>
  <c r="I397" i="144"/>
  <c r="G396" i="144" s="1"/>
  <c r="H396" i="144" l="1"/>
  <c r="J396" i="144" s="1"/>
  <c r="K396" i="144" s="1"/>
  <c r="I396" i="144"/>
  <c r="G395" i="144" s="1"/>
  <c r="H395" i="144" l="1"/>
  <c r="J395" i="144" s="1"/>
  <c r="K395" i="144" s="1"/>
  <c r="I395" i="144"/>
  <c r="G394" i="144" s="1"/>
  <c r="H394" i="144" l="1"/>
  <c r="J394" i="144" s="1"/>
  <c r="K394" i="144" s="1"/>
  <c r="I394" i="144"/>
  <c r="G393" i="144" s="1"/>
  <c r="H393" i="144" l="1"/>
  <c r="J393" i="144" s="1"/>
  <c r="K393" i="144" s="1"/>
  <c r="I393" i="144"/>
  <c r="G392" i="144" s="1"/>
  <c r="H392" i="144" l="1"/>
  <c r="J392" i="144" s="1"/>
  <c r="K392" i="144" s="1"/>
  <c r="I392" i="144"/>
  <c r="G391" i="144" s="1"/>
  <c r="H391" i="144" l="1"/>
  <c r="J391" i="144" s="1"/>
  <c r="K391" i="144" s="1"/>
  <c r="I391" i="144"/>
  <c r="G390" i="144" s="1"/>
  <c r="H390" i="144" l="1"/>
  <c r="J390" i="144" s="1"/>
  <c r="K390" i="144" s="1"/>
  <c r="I390" i="144"/>
  <c r="G389" i="144" s="1"/>
  <c r="H389" i="144" l="1"/>
  <c r="J389" i="144" s="1"/>
  <c r="K389" i="144" s="1"/>
  <c r="I389" i="144"/>
  <c r="G388" i="144" s="1"/>
  <c r="H388" i="144" l="1"/>
  <c r="J388" i="144" s="1"/>
  <c r="K388" i="144" s="1"/>
  <c r="I388" i="144"/>
  <c r="G387" i="144" s="1"/>
  <c r="H387" i="144" l="1"/>
  <c r="J387" i="144" s="1"/>
  <c r="K387" i="144" s="1"/>
  <c r="I387" i="144"/>
  <c r="G386" i="144" s="1"/>
  <c r="H386" i="144" l="1"/>
  <c r="J386" i="144" s="1"/>
  <c r="K386" i="144" s="1"/>
  <c r="I386" i="144"/>
  <c r="G385" i="144" s="1"/>
  <c r="H385" i="144" l="1"/>
  <c r="J385" i="144" s="1"/>
  <c r="K385" i="144" s="1"/>
  <c r="I385" i="144"/>
  <c r="G384" i="144" s="1"/>
  <c r="H384" i="144" l="1"/>
  <c r="J384" i="144" s="1"/>
  <c r="K384" i="144" s="1"/>
  <c r="I384" i="144"/>
  <c r="G383" i="144" s="1"/>
  <c r="H383" i="144" l="1"/>
  <c r="J383" i="144" s="1"/>
  <c r="K383" i="144" s="1"/>
  <c r="I383" i="144"/>
  <c r="G382" i="144" s="1"/>
  <c r="H382" i="144" l="1"/>
  <c r="J382" i="144" s="1"/>
  <c r="K382" i="144" s="1"/>
  <c r="I382" i="144"/>
  <c r="G381" i="144" s="1"/>
  <c r="H381" i="144" l="1"/>
  <c r="J381" i="144" s="1"/>
  <c r="K381" i="144" s="1"/>
  <c r="I381" i="144"/>
  <c r="G380" i="144" s="1"/>
  <c r="H380" i="144" l="1"/>
  <c r="J380" i="144" s="1"/>
  <c r="K380" i="144" s="1"/>
  <c r="I380" i="144"/>
  <c r="G379" i="144" s="1"/>
  <c r="H379" i="144" l="1"/>
  <c r="J379" i="144" s="1"/>
  <c r="K379" i="144" s="1"/>
  <c r="I379" i="144"/>
  <c r="G378" i="144" s="1"/>
  <c r="H378" i="144" l="1"/>
  <c r="J378" i="144" s="1"/>
  <c r="K378" i="144" s="1"/>
  <c r="I378" i="144"/>
  <c r="G377" i="144" s="1"/>
  <c r="H377" i="144" l="1"/>
  <c r="J377" i="144" s="1"/>
  <c r="K377" i="144" s="1"/>
  <c r="I377" i="144"/>
  <c r="G376" i="144" s="1"/>
  <c r="H376" i="144" l="1"/>
  <c r="J376" i="144" s="1"/>
  <c r="K376" i="144" s="1"/>
  <c r="I376" i="144"/>
  <c r="G375" i="144" s="1"/>
  <c r="H375" i="144" l="1"/>
  <c r="J375" i="144" s="1"/>
  <c r="K375" i="144" s="1"/>
  <c r="I375" i="144"/>
  <c r="G374" i="144" s="1"/>
  <c r="H374" i="144" l="1"/>
  <c r="J374" i="144" s="1"/>
  <c r="K374" i="144" s="1"/>
  <c r="I374" i="144"/>
  <c r="G373" i="144" s="1"/>
  <c r="H373" i="144" l="1"/>
  <c r="J373" i="144" s="1"/>
  <c r="K373" i="144" s="1"/>
  <c r="I373" i="144"/>
  <c r="G372" i="144" s="1"/>
  <c r="H372" i="144" l="1"/>
  <c r="J372" i="144" s="1"/>
  <c r="K372" i="144" s="1"/>
  <c r="I372" i="144"/>
  <c r="G371" i="144" s="1"/>
  <c r="H371" i="144" l="1"/>
  <c r="J371" i="144" s="1"/>
  <c r="K371" i="144" s="1"/>
  <c r="I371" i="144"/>
  <c r="G370" i="144" s="1"/>
  <c r="H370" i="144" l="1"/>
  <c r="J370" i="144" s="1"/>
  <c r="K370" i="144" s="1"/>
  <c r="I370" i="144"/>
  <c r="G369" i="144" s="1"/>
  <c r="H369" i="144" l="1"/>
  <c r="J369" i="144" s="1"/>
  <c r="K369" i="144" s="1"/>
  <c r="I369" i="144"/>
  <c r="G368" i="144" s="1"/>
  <c r="H368" i="144" l="1"/>
  <c r="J368" i="144" s="1"/>
  <c r="K368" i="144" s="1"/>
  <c r="I368" i="144"/>
  <c r="G367" i="144" s="1"/>
  <c r="H367" i="144" l="1"/>
  <c r="J367" i="144" s="1"/>
  <c r="K367" i="144" s="1"/>
  <c r="I367" i="144"/>
  <c r="G366" i="144" s="1"/>
  <c r="H366" i="144" l="1"/>
  <c r="J366" i="144" s="1"/>
  <c r="K366" i="144" s="1"/>
  <c r="I366" i="144"/>
  <c r="G365" i="144" s="1"/>
  <c r="H365" i="144" l="1"/>
  <c r="J365" i="144" s="1"/>
  <c r="K365" i="144" s="1"/>
  <c r="I365" i="144"/>
  <c r="G364" i="144" s="1"/>
  <c r="H364" i="144" l="1"/>
  <c r="J364" i="144" s="1"/>
  <c r="K364" i="144" s="1"/>
  <c r="I364" i="144"/>
  <c r="G363" i="144" s="1"/>
  <c r="H363" i="144" l="1"/>
  <c r="J363" i="144" s="1"/>
  <c r="K363" i="144" s="1"/>
  <c r="I363" i="144"/>
  <c r="G362" i="144" s="1"/>
  <c r="H362" i="144" l="1"/>
  <c r="J362" i="144" s="1"/>
  <c r="K362" i="144" s="1"/>
  <c r="I362" i="144"/>
  <c r="G361" i="144" s="1"/>
  <c r="H361" i="144" l="1"/>
  <c r="J361" i="144" s="1"/>
  <c r="K361" i="144" s="1"/>
  <c r="I361" i="144"/>
  <c r="G360" i="144" s="1"/>
  <c r="H360" i="144" l="1"/>
  <c r="J360" i="144" s="1"/>
  <c r="K360" i="144" s="1"/>
  <c r="I360" i="144"/>
  <c r="G359" i="144" s="1"/>
  <c r="H359" i="144" l="1"/>
  <c r="J359" i="144" s="1"/>
  <c r="K359" i="144" s="1"/>
  <c r="I359" i="144"/>
  <c r="G358" i="144" s="1"/>
  <c r="H358" i="144" l="1"/>
  <c r="J358" i="144" s="1"/>
  <c r="K358" i="144" s="1"/>
  <c r="I358" i="144"/>
  <c r="G357" i="144" s="1"/>
  <c r="H357" i="144" l="1"/>
  <c r="J357" i="144" s="1"/>
  <c r="K357" i="144" s="1"/>
  <c r="I357" i="144"/>
  <c r="G356" i="144" s="1"/>
  <c r="H356" i="144" l="1"/>
  <c r="J356" i="144" s="1"/>
  <c r="K356" i="144" s="1"/>
  <c r="I356" i="144"/>
  <c r="G355" i="144" s="1"/>
  <c r="H355" i="144" l="1"/>
  <c r="J355" i="144" s="1"/>
  <c r="K355" i="144" s="1"/>
  <c r="I355" i="144"/>
  <c r="G354" i="144" s="1"/>
  <c r="H354" i="144" l="1"/>
  <c r="J354" i="144" s="1"/>
  <c r="K354" i="144" s="1"/>
  <c r="I354" i="144"/>
  <c r="G353" i="144" s="1"/>
  <c r="H353" i="144" l="1"/>
  <c r="J353" i="144" s="1"/>
  <c r="K353" i="144" s="1"/>
  <c r="I353" i="144"/>
  <c r="G352" i="144" s="1"/>
  <c r="H352" i="144" l="1"/>
  <c r="J352" i="144" s="1"/>
  <c r="K352" i="144" s="1"/>
  <c r="I352" i="144"/>
  <c r="G351" i="144" s="1"/>
  <c r="H351" i="144" l="1"/>
  <c r="J351" i="144" s="1"/>
  <c r="K351" i="144" s="1"/>
  <c r="I351" i="144"/>
  <c r="G350" i="144" s="1"/>
  <c r="H350" i="144" l="1"/>
  <c r="J350" i="144" s="1"/>
  <c r="K350" i="144" s="1"/>
  <c r="I350" i="144"/>
  <c r="G349" i="144" s="1"/>
  <c r="H349" i="144" l="1"/>
  <c r="J349" i="144" s="1"/>
  <c r="K349" i="144" s="1"/>
  <c r="I349" i="144"/>
  <c r="G348" i="144" s="1"/>
  <c r="H348" i="144" l="1"/>
  <c r="J348" i="144" s="1"/>
  <c r="K348" i="144" s="1"/>
  <c r="I348" i="144"/>
  <c r="G347" i="144" s="1"/>
  <c r="H347" i="144" l="1"/>
  <c r="J347" i="144" s="1"/>
  <c r="K347" i="144" s="1"/>
  <c r="I347" i="144"/>
  <c r="G346" i="144" s="1"/>
  <c r="H346" i="144" l="1"/>
  <c r="J346" i="144" s="1"/>
  <c r="K346" i="144" s="1"/>
  <c r="I346" i="144"/>
  <c r="G345" i="144" s="1"/>
  <c r="H345" i="144" l="1"/>
  <c r="J345" i="144" s="1"/>
  <c r="K345" i="144" s="1"/>
  <c r="I345" i="144"/>
  <c r="G344" i="144" s="1"/>
  <c r="H344" i="144" l="1"/>
  <c r="J344" i="144" s="1"/>
  <c r="K344" i="144" s="1"/>
  <c r="I344" i="144"/>
  <c r="G343" i="144" s="1"/>
  <c r="H343" i="144" l="1"/>
  <c r="J343" i="144" s="1"/>
  <c r="K343" i="144" s="1"/>
  <c r="I343" i="144"/>
  <c r="G342" i="144" s="1"/>
  <c r="H342" i="144" l="1"/>
  <c r="J342" i="144" s="1"/>
  <c r="K342" i="144" s="1"/>
  <c r="I342" i="144"/>
  <c r="G341" i="144" s="1"/>
  <c r="H341" i="144" l="1"/>
  <c r="J341" i="144" s="1"/>
  <c r="K341" i="144" s="1"/>
  <c r="I341" i="144"/>
  <c r="G340" i="144" s="1"/>
  <c r="H340" i="144" l="1"/>
  <c r="J340" i="144" s="1"/>
  <c r="K340" i="144" s="1"/>
  <c r="I340" i="144"/>
  <c r="G339" i="144" s="1"/>
  <c r="H339" i="144" l="1"/>
  <c r="J339" i="144" s="1"/>
  <c r="K339" i="144" s="1"/>
  <c r="I339" i="144"/>
  <c r="G338" i="144" s="1"/>
  <c r="H338" i="144" l="1"/>
  <c r="J338" i="144" s="1"/>
  <c r="K338" i="144" s="1"/>
  <c r="I338" i="144"/>
  <c r="G337" i="144" s="1"/>
  <c r="H337" i="144" l="1"/>
  <c r="J337" i="144" s="1"/>
  <c r="K337" i="144" s="1"/>
  <c r="I337" i="144"/>
  <c r="G336" i="144" s="1"/>
  <c r="H336" i="144" l="1"/>
  <c r="J336" i="144" s="1"/>
  <c r="K336" i="144" s="1"/>
  <c r="I336" i="144"/>
  <c r="G335" i="144" s="1"/>
  <c r="H335" i="144" l="1"/>
  <c r="J335" i="144" s="1"/>
  <c r="K335" i="144" s="1"/>
  <c r="I335" i="144"/>
  <c r="G334" i="144" s="1"/>
  <c r="H334" i="144" l="1"/>
  <c r="J334" i="144" s="1"/>
  <c r="K334" i="144" s="1"/>
  <c r="I334" i="144"/>
  <c r="G333" i="144" s="1"/>
  <c r="H333" i="144" l="1"/>
  <c r="J333" i="144" s="1"/>
  <c r="K333" i="144" s="1"/>
  <c r="I333" i="144"/>
  <c r="G332" i="144" s="1"/>
  <c r="H332" i="144" l="1"/>
  <c r="J332" i="144" s="1"/>
  <c r="K332" i="144" s="1"/>
  <c r="I332" i="144"/>
  <c r="G331" i="144" s="1"/>
  <c r="H331" i="144" l="1"/>
  <c r="J331" i="144" s="1"/>
  <c r="K331" i="144" s="1"/>
  <c r="I331" i="144"/>
  <c r="G330" i="144" s="1"/>
  <c r="H330" i="144" l="1"/>
  <c r="J330" i="144" s="1"/>
  <c r="K330" i="144" s="1"/>
  <c r="I330" i="144"/>
  <c r="G329" i="144" s="1"/>
  <c r="H329" i="144" l="1"/>
  <c r="J329" i="144" s="1"/>
  <c r="K329" i="144" s="1"/>
  <c r="I329" i="144"/>
  <c r="G328" i="144" s="1"/>
  <c r="H328" i="144" l="1"/>
  <c r="J328" i="144" s="1"/>
  <c r="K328" i="144" s="1"/>
  <c r="I328" i="144"/>
  <c r="G327" i="144" s="1"/>
  <c r="H327" i="144" l="1"/>
  <c r="J327" i="144" s="1"/>
  <c r="K327" i="144" s="1"/>
  <c r="I327" i="144"/>
  <c r="G326" i="144" s="1"/>
  <c r="H326" i="144" l="1"/>
  <c r="J326" i="144" s="1"/>
  <c r="K326" i="144" s="1"/>
  <c r="I326" i="144"/>
  <c r="G325" i="144" s="1"/>
  <c r="H325" i="144" l="1"/>
  <c r="J325" i="144" s="1"/>
  <c r="K325" i="144" s="1"/>
  <c r="I325" i="144"/>
  <c r="G324" i="144" s="1"/>
  <c r="H324" i="144" l="1"/>
  <c r="J324" i="144" s="1"/>
  <c r="K324" i="144" s="1"/>
  <c r="I324" i="144"/>
  <c r="G323" i="144" s="1"/>
  <c r="H323" i="144" l="1"/>
  <c r="J323" i="144" s="1"/>
  <c r="K323" i="144" s="1"/>
  <c r="I323" i="144"/>
  <c r="G322" i="144" s="1"/>
  <c r="H322" i="144" l="1"/>
  <c r="J322" i="144" s="1"/>
  <c r="K322" i="144" s="1"/>
  <c r="I322" i="144"/>
  <c r="G321" i="144" s="1"/>
  <c r="H321" i="144" l="1"/>
  <c r="J321" i="144" s="1"/>
  <c r="K321" i="144" s="1"/>
  <c r="I321" i="144"/>
  <c r="G320" i="144" s="1"/>
  <c r="H320" i="144" l="1"/>
  <c r="J320" i="144" s="1"/>
  <c r="K320" i="144" s="1"/>
  <c r="I320" i="144"/>
  <c r="G319" i="144" s="1"/>
  <c r="H319" i="144" l="1"/>
  <c r="J319" i="144" s="1"/>
  <c r="K319" i="144" s="1"/>
  <c r="I319" i="144"/>
  <c r="G318" i="144" s="1"/>
  <c r="H318" i="144" l="1"/>
  <c r="J318" i="144" s="1"/>
  <c r="K318" i="144" s="1"/>
  <c r="I318" i="144"/>
  <c r="G317" i="144" s="1"/>
  <c r="H317" i="144" l="1"/>
  <c r="J317" i="144" s="1"/>
  <c r="K317" i="144" s="1"/>
  <c r="I317" i="144"/>
  <c r="G316" i="144" s="1"/>
  <c r="H316" i="144" l="1"/>
  <c r="J316" i="144" s="1"/>
  <c r="K316" i="144" s="1"/>
  <c r="I316" i="144"/>
  <c r="G315" i="144" s="1"/>
  <c r="H315" i="144" l="1"/>
  <c r="J315" i="144" s="1"/>
  <c r="K315" i="144" s="1"/>
  <c r="I315" i="144"/>
  <c r="G314" i="144" s="1"/>
  <c r="H314" i="144" l="1"/>
  <c r="J314" i="144" s="1"/>
  <c r="K314" i="144" s="1"/>
  <c r="I314" i="144"/>
  <c r="G313" i="144" s="1"/>
  <c r="H313" i="144" l="1"/>
  <c r="J313" i="144" s="1"/>
  <c r="K313" i="144" s="1"/>
  <c r="I313" i="144"/>
  <c r="G312" i="144" s="1"/>
  <c r="H312" i="144" l="1"/>
  <c r="J312" i="144" s="1"/>
  <c r="K312" i="144" s="1"/>
  <c r="I312" i="144"/>
  <c r="G311" i="144" s="1"/>
  <c r="H311" i="144" l="1"/>
  <c r="J311" i="144" s="1"/>
  <c r="K311" i="144" s="1"/>
  <c r="I311" i="144"/>
  <c r="G310" i="144" s="1"/>
  <c r="H310" i="144" l="1"/>
  <c r="J310" i="144" s="1"/>
  <c r="K310" i="144" s="1"/>
  <c r="I310" i="144"/>
  <c r="G309" i="144" s="1"/>
  <c r="H309" i="144" l="1"/>
  <c r="J309" i="144" s="1"/>
  <c r="K309" i="144" s="1"/>
  <c r="I309" i="144"/>
  <c r="G308" i="144" s="1"/>
  <c r="H308" i="144" l="1"/>
  <c r="J308" i="144" s="1"/>
  <c r="K308" i="144" s="1"/>
  <c r="I308" i="144"/>
  <c r="G307" i="144" s="1"/>
  <c r="H307" i="144" l="1"/>
  <c r="J307" i="144" s="1"/>
  <c r="K307" i="144" s="1"/>
  <c r="I307" i="144"/>
  <c r="G306" i="144" s="1"/>
  <c r="H306" i="144" l="1"/>
  <c r="J306" i="144" s="1"/>
  <c r="K306" i="144" s="1"/>
  <c r="I306" i="144"/>
  <c r="G305" i="144" s="1"/>
  <c r="H305" i="144" l="1"/>
  <c r="J305" i="144" s="1"/>
  <c r="K305" i="144" s="1"/>
  <c r="I305" i="144"/>
  <c r="G304" i="144" s="1"/>
  <c r="H304" i="144" l="1"/>
  <c r="J304" i="144" s="1"/>
  <c r="K304" i="144" s="1"/>
  <c r="I304" i="144"/>
  <c r="G303" i="144" s="1"/>
  <c r="H303" i="144" l="1"/>
  <c r="J303" i="144" s="1"/>
  <c r="K303" i="144" s="1"/>
  <c r="I303" i="144"/>
  <c r="G302" i="144" s="1"/>
  <c r="H302" i="144" l="1"/>
  <c r="J302" i="144" s="1"/>
  <c r="K302" i="144" s="1"/>
  <c r="I302" i="144"/>
  <c r="G301" i="144" s="1"/>
  <c r="H301" i="144" l="1"/>
  <c r="J301" i="144" s="1"/>
  <c r="K301" i="144" s="1"/>
  <c r="I301" i="144"/>
  <c r="G300" i="144" s="1"/>
  <c r="H300" i="144" l="1"/>
  <c r="J300" i="144" s="1"/>
  <c r="K300" i="144" s="1"/>
  <c r="I300" i="144"/>
  <c r="G299" i="144" s="1"/>
  <c r="H299" i="144" l="1"/>
  <c r="J299" i="144" s="1"/>
  <c r="K299" i="144" s="1"/>
  <c r="I299" i="144"/>
  <c r="G298" i="144" s="1"/>
  <c r="H298" i="144" l="1"/>
  <c r="J298" i="144" s="1"/>
  <c r="K298" i="144" s="1"/>
  <c r="I298" i="144"/>
  <c r="G297" i="144" s="1"/>
  <c r="H297" i="144" l="1"/>
  <c r="J297" i="144" s="1"/>
  <c r="K297" i="144" s="1"/>
  <c r="I297" i="144"/>
  <c r="G296" i="144" s="1"/>
  <c r="H296" i="144" l="1"/>
  <c r="J296" i="144" s="1"/>
  <c r="K296" i="144" s="1"/>
  <c r="I296" i="144"/>
  <c r="G295" i="144" s="1"/>
  <c r="H295" i="144" l="1"/>
  <c r="J295" i="144" s="1"/>
  <c r="K295" i="144" s="1"/>
  <c r="I295" i="144"/>
  <c r="G294" i="144" s="1"/>
  <c r="H294" i="144" l="1"/>
  <c r="J294" i="144" s="1"/>
  <c r="K294" i="144" s="1"/>
  <c r="I294" i="144"/>
  <c r="G293" i="144" s="1"/>
  <c r="H293" i="144" l="1"/>
  <c r="J293" i="144" s="1"/>
  <c r="K293" i="144" s="1"/>
  <c r="I293" i="144"/>
  <c r="G292" i="144" s="1"/>
  <c r="H292" i="144" l="1"/>
  <c r="J292" i="144" s="1"/>
  <c r="K292" i="144" s="1"/>
  <c r="I292" i="144"/>
  <c r="G291" i="144" s="1"/>
  <c r="H291" i="144" l="1"/>
  <c r="J291" i="144" s="1"/>
  <c r="K291" i="144" s="1"/>
  <c r="I291" i="144"/>
  <c r="G290" i="144" s="1"/>
  <c r="H290" i="144" l="1"/>
  <c r="J290" i="144" s="1"/>
  <c r="K290" i="144" s="1"/>
  <c r="I290" i="144"/>
  <c r="G289" i="144" s="1"/>
  <c r="H289" i="144" l="1"/>
  <c r="J289" i="144" s="1"/>
  <c r="K289" i="144" s="1"/>
  <c r="I289" i="144"/>
  <c r="G288" i="144" s="1"/>
  <c r="H288" i="144" l="1"/>
  <c r="J288" i="144" s="1"/>
  <c r="K288" i="144" s="1"/>
  <c r="I288" i="144"/>
  <c r="G287" i="144" s="1"/>
  <c r="H287" i="144" l="1"/>
  <c r="J287" i="144" s="1"/>
  <c r="K287" i="144" s="1"/>
  <c r="I287" i="144"/>
  <c r="G286" i="144" s="1"/>
  <c r="H286" i="144" l="1"/>
  <c r="J286" i="144" s="1"/>
  <c r="K286" i="144" s="1"/>
  <c r="I286" i="144"/>
  <c r="G285" i="144" s="1"/>
  <c r="H285" i="144" l="1"/>
  <c r="J285" i="144" s="1"/>
  <c r="K285" i="144" s="1"/>
  <c r="I285" i="144"/>
  <c r="G284" i="144" s="1"/>
  <c r="H284" i="144" l="1"/>
  <c r="J284" i="144" s="1"/>
  <c r="K284" i="144" s="1"/>
  <c r="I284" i="144"/>
  <c r="G283" i="144" s="1"/>
  <c r="H283" i="144" l="1"/>
  <c r="J283" i="144" s="1"/>
  <c r="K283" i="144" s="1"/>
  <c r="I283" i="144"/>
  <c r="G282" i="144" s="1"/>
  <c r="H282" i="144" l="1"/>
  <c r="J282" i="144" s="1"/>
  <c r="K282" i="144" s="1"/>
  <c r="I282" i="144"/>
  <c r="G281" i="144" s="1"/>
  <c r="H281" i="144" l="1"/>
  <c r="J281" i="144" s="1"/>
  <c r="K281" i="144" s="1"/>
  <c r="I281" i="144"/>
  <c r="G280" i="144" s="1"/>
  <c r="H280" i="144" l="1"/>
  <c r="J280" i="144" s="1"/>
  <c r="K280" i="144" s="1"/>
  <c r="I280" i="144"/>
  <c r="G279" i="144" s="1"/>
  <c r="H279" i="144" l="1"/>
  <c r="J279" i="144" s="1"/>
  <c r="K279" i="144" s="1"/>
  <c r="I279" i="144"/>
  <c r="G278" i="144" s="1"/>
  <c r="H278" i="144" l="1"/>
  <c r="J278" i="144" s="1"/>
  <c r="K278" i="144" s="1"/>
  <c r="I278" i="144"/>
  <c r="G277" i="144" s="1"/>
  <c r="H277" i="144" l="1"/>
  <c r="J277" i="144" s="1"/>
  <c r="K277" i="144" s="1"/>
  <c r="I277" i="144"/>
  <c r="G276" i="144" s="1"/>
  <c r="H276" i="144" l="1"/>
  <c r="J276" i="144" s="1"/>
  <c r="K276" i="144" s="1"/>
  <c r="I276" i="144"/>
  <c r="G275" i="144" s="1"/>
  <c r="H275" i="144" l="1"/>
  <c r="J275" i="144" s="1"/>
  <c r="K275" i="144" s="1"/>
  <c r="I275" i="144"/>
  <c r="G274" i="144" s="1"/>
  <c r="H274" i="144" l="1"/>
  <c r="J274" i="144" s="1"/>
  <c r="K274" i="144" s="1"/>
  <c r="I274" i="144"/>
  <c r="G273" i="144" s="1"/>
  <c r="H273" i="144" l="1"/>
  <c r="J273" i="144" s="1"/>
  <c r="K273" i="144" s="1"/>
  <c r="I273" i="144"/>
  <c r="G272" i="144" s="1"/>
  <c r="H272" i="144" l="1"/>
  <c r="J272" i="144" s="1"/>
  <c r="K272" i="144" s="1"/>
  <c r="I272" i="144"/>
  <c r="G271" i="144" s="1"/>
  <c r="H271" i="144" l="1"/>
  <c r="J271" i="144" s="1"/>
  <c r="K271" i="144" s="1"/>
  <c r="I271" i="144"/>
  <c r="G270" i="144" s="1"/>
  <c r="H270" i="144" l="1"/>
  <c r="J270" i="144" s="1"/>
  <c r="K270" i="144" s="1"/>
  <c r="I270" i="144"/>
  <c r="G269" i="144" s="1"/>
  <c r="H269" i="144" l="1"/>
  <c r="J269" i="144" s="1"/>
  <c r="K269" i="144" s="1"/>
  <c r="I269" i="144"/>
  <c r="G268" i="144" s="1"/>
  <c r="H268" i="144" l="1"/>
  <c r="J268" i="144" s="1"/>
  <c r="K268" i="144" s="1"/>
  <c r="I268" i="144"/>
  <c r="G267" i="144" s="1"/>
  <c r="H267" i="144" l="1"/>
  <c r="J267" i="144" s="1"/>
  <c r="K267" i="144" s="1"/>
  <c r="I267" i="144"/>
  <c r="G266" i="144" s="1"/>
  <c r="H266" i="144" l="1"/>
  <c r="J266" i="144" s="1"/>
  <c r="K266" i="144" s="1"/>
  <c r="I266" i="144"/>
  <c r="G265" i="144" s="1"/>
  <c r="H265" i="144" l="1"/>
  <c r="J265" i="144" s="1"/>
  <c r="K265" i="144" s="1"/>
  <c r="I265" i="144"/>
  <c r="G264" i="144" s="1"/>
  <c r="H264" i="144" l="1"/>
  <c r="J264" i="144" s="1"/>
  <c r="K264" i="144" s="1"/>
  <c r="I264" i="144"/>
  <c r="G263" i="144" s="1"/>
  <c r="H263" i="144" l="1"/>
  <c r="J263" i="144" s="1"/>
  <c r="K263" i="144" s="1"/>
  <c r="I263" i="144"/>
  <c r="G262" i="144" s="1"/>
  <c r="H262" i="144" l="1"/>
  <c r="J262" i="144" s="1"/>
  <c r="K262" i="144" s="1"/>
  <c r="I262" i="144"/>
  <c r="G261" i="144" s="1"/>
  <c r="H261" i="144" l="1"/>
  <c r="J261" i="144" s="1"/>
  <c r="K261" i="144" s="1"/>
  <c r="I261" i="144"/>
  <c r="G260" i="144" s="1"/>
  <c r="H260" i="144" l="1"/>
  <c r="J260" i="144" s="1"/>
  <c r="K260" i="144" s="1"/>
  <c r="I260" i="144"/>
  <c r="G259" i="144" s="1"/>
  <c r="H259" i="144" l="1"/>
  <c r="J259" i="144" s="1"/>
  <c r="K259" i="144" s="1"/>
  <c r="I259" i="144"/>
  <c r="G258" i="144" s="1"/>
  <c r="H258" i="144" l="1"/>
  <c r="J258" i="144" s="1"/>
  <c r="K258" i="144" s="1"/>
  <c r="I258" i="144"/>
  <c r="G257" i="144" s="1"/>
  <c r="H257" i="144" l="1"/>
  <c r="J257" i="144" s="1"/>
  <c r="K257" i="144" s="1"/>
  <c r="I257" i="144"/>
  <c r="G256" i="144" s="1"/>
  <c r="H256" i="144" l="1"/>
  <c r="J256" i="144" s="1"/>
  <c r="K256" i="144" s="1"/>
  <c r="I256" i="144"/>
  <c r="G255" i="144" s="1"/>
  <c r="H255" i="144" l="1"/>
  <c r="J255" i="144" s="1"/>
  <c r="K255" i="144" s="1"/>
  <c r="I255" i="144"/>
  <c r="G254" i="144" s="1"/>
  <c r="H254" i="144" l="1"/>
  <c r="J254" i="144" s="1"/>
  <c r="K254" i="144" s="1"/>
  <c r="I254" i="144"/>
  <c r="G253" i="144" s="1"/>
  <c r="H253" i="144" l="1"/>
  <c r="J253" i="144" s="1"/>
  <c r="K253" i="144" s="1"/>
  <c r="I253" i="144"/>
  <c r="G252" i="144" s="1"/>
  <c r="H252" i="144" l="1"/>
  <c r="J252" i="144" s="1"/>
  <c r="K252" i="144" s="1"/>
  <c r="I252" i="144"/>
  <c r="G251" i="144" s="1"/>
  <c r="H251" i="144" l="1"/>
  <c r="J251" i="144" s="1"/>
  <c r="K251" i="144" s="1"/>
  <c r="I251" i="144"/>
  <c r="G250" i="144" s="1"/>
  <c r="H250" i="144" l="1"/>
  <c r="J250" i="144" s="1"/>
  <c r="K250" i="144" s="1"/>
  <c r="I250" i="144"/>
  <c r="G249" i="144" s="1"/>
  <c r="H249" i="144" l="1"/>
  <c r="J249" i="144" s="1"/>
  <c r="K249" i="144" s="1"/>
  <c r="I249" i="144"/>
  <c r="G248" i="144" s="1"/>
  <c r="H248" i="144" l="1"/>
  <c r="J248" i="144" s="1"/>
  <c r="K248" i="144" s="1"/>
  <c r="I248" i="144"/>
  <c r="G247" i="144" s="1"/>
  <c r="H247" i="144" l="1"/>
  <c r="J247" i="144" s="1"/>
  <c r="K247" i="144" s="1"/>
  <c r="I247" i="144"/>
  <c r="G246" i="144" s="1"/>
  <c r="H246" i="144" l="1"/>
  <c r="J246" i="144" s="1"/>
  <c r="K246" i="144" s="1"/>
  <c r="I246" i="144"/>
  <c r="G245" i="144" s="1"/>
  <c r="H245" i="144" l="1"/>
  <c r="J245" i="144" s="1"/>
  <c r="K245" i="144" s="1"/>
  <c r="I245" i="144"/>
  <c r="G244" i="144" s="1"/>
  <c r="H244" i="144" l="1"/>
  <c r="J244" i="144" s="1"/>
  <c r="K244" i="144" s="1"/>
  <c r="I244" i="144"/>
  <c r="G243" i="144" s="1"/>
  <c r="H243" i="144" l="1"/>
  <c r="J243" i="144" s="1"/>
  <c r="K243" i="144" s="1"/>
  <c r="I243" i="144"/>
  <c r="G242" i="144" s="1"/>
  <c r="H242" i="144" l="1"/>
  <c r="J242" i="144" s="1"/>
  <c r="K242" i="144" s="1"/>
  <c r="I242" i="144"/>
  <c r="G241" i="144" s="1"/>
  <c r="H241" i="144" l="1"/>
  <c r="J241" i="144" s="1"/>
  <c r="K241" i="144" s="1"/>
  <c r="I241" i="144"/>
  <c r="G240" i="144" s="1"/>
  <c r="H240" i="144" l="1"/>
  <c r="J240" i="144" s="1"/>
  <c r="K240" i="144" s="1"/>
  <c r="I240" i="144"/>
  <c r="G239" i="144" s="1"/>
  <c r="H239" i="144" l="1"/>
  <c r="J239" i="144" s="1"/>
  <c r="K239" i="144" s="1"/>
  <c r="I239" i="144"/>
  <c r="G238" i="144" s="1"/>
  <c r="H238" i="144" l="1"/>
  <c r="J238" i="144" s="1"/>
  <c r="K238" i="144" s="1"/>
  <c r="I238" i="144"/>
  <c r="G237" i="144" s="1"/>
  <c r="H237" i="144" l="1"/>
  <c r="J237" i="144" s="1"/>
  <c r="K237" i="144" s="1"/>
  <c r="I237" i="144"/>
  <c r="G236" i="144" s="1"/>
  <c r="H236" i="144" l="1"/>
  <c r="J236" i="144" s="1"/>
  <c r="I236" i="144"/>
  <c r="G235" i="144" l="1"/>
  <c r="H235" i="144" s="1"/>
  <c r="J235" i="144" s="1"/>
  <c r="K236" i="144"/>
  <c r="B12" i="141" s="1"/>
  <c r="B11" i="141"/>
  <c r="B10" i="141"/>
  <c r="K235" i="144" l="1"/>
  <c r="G12" i="142"/>
  <c r="J12" i="142"/>
  <c r="B13" i="141"/>
  <c r="G10" i="142"/>
  <c r="C20" i="142"/>
  <c r="J10" i="142"/>
  <c r="C10" i="141"/>
  <c r="F19" i="141"/>
  <c r="J11" i="142"/>
  <c r="G11" i="142"/>
  <c r="I235" i="144"/>
  <c r="G234" i="144" l="1"/>
  <c r="H234" i="144" s="1"/>
  <c r="J234" i="144" s="1"/>
  <c r="J14" i="142"/>
  <c r="G14" i="142"/>
  <c r="K234" i="144" l="1"/>
  <c r="I234" i="144"/>
  <c r="G233" i="144" l="1"/>
  <c r="H233" i="144" s="1"/>
  <c r="J233" i="144" s="1"/>
  <c r="K233" i="144" l="1"/>
  <c r="I233" i="144"/>
  <c r="G232" i="144" l="1"/>
  <c r="H232" i="144" s="1"/>
  <c r="J232" i="144" s="1"/>
  <c r="C18" i="142"/>
  <c r="K232" i="144" l="1"/>
  <c r="I232" i="144"/>
  <c r="G231" i="144" l="1"/>
  <c r="H231" i="144" s="1"/>
  <c r="J231" i="144" s="1"/>
  <c r="K231" i="144" l="1"/>
  <c r="I231" i="144"/>
  <c r="G230" i="144" l="1"/>
  <c r="H230" i="144" s="1"/>
  <c r="J230" i="144" s="1"/>
  <c r="K230" i="144" l="1"/>
  <c r="I230" i="144"/>
  <c r="G229" i="144" l="1"/>
  <c r="H229" i="144" s="1"/>
  <c r="J229" i="144" s="1"/>
  <c r="K229" i="144" l="1"/>
  <c r="I229" i="144"/>
  <c r="G228" i="144" l="1"/>
  <c r="H228" i="144" s="1"/>
  <c r="J228" i="144" s="1"/>
  <c r="K228" i="144" l="1"/>
  <c r="I228" i="144"/>
  <c r="G227" i="144" l="1"/>
  <c r="H227" i="144" s="1"/>
  <c r="J227" i="144" s="1"/>
  <c r="K227" i="144" l="1"/>
  <c r="I227" i="144"/>
  <c r="G226" i="144" l="1"/>
  <c r="H226" i="144" s="1"/>
  <c r="J226" i="144" s="1"/>
  <c r="K226" i="144" l="1"/>
  <c r="I226" i="144"/>
  <c r="G225" i="144" l="1"/>
  <c r="H225" i="144" s="1"/>
  <c r="J225" i="144" s="1"/>
  <c r="K225" i="144" l="1"/>
  <c r="I225" i="144"/>
  <c r="G224" i="144" l="1"/>
  <c r="H224" i="144" s="1"/>
  <c r="J224" i="144" s="1"/>
  <c r="K224" i="144" l="1"/>
  <c r="I224" i="144"/>
  <c r="G223" i="144" l="1"/>
  <c r="H223" i="144" s="1"/>
  <c r="J223" i="144" s="1"/>
  <c r="K223" i="144" l="1"/>
  <c r="I223" i="144"/>
  <c r="G222" i="144" l="1"/>
  <c r="H222" i="144" s="1"/>
  <c r="J222" i="144" s="1"/>
  <c r="K222" i="144" l="1"/>
  <c r="I222" i="144"/>
  <c r="G221" i="144" l="1"/>
  <c r="H221" i="144" s="1"/>
  <c r="J221" i="144" s="1"/>
  <c r="K221" i="144" l="1"/>
  <c r="I221" i="144"/>
  <c r="G220" i="144" l="1"/>
  <c r="H220" i="144" s="1"/>
  <c r="J220" i="144" s="1"/>
  <c r="K220" i="144" l="1"/>
  <c r="I220" i="144"/>
  <c r="G219" i="144" l="1"/>
  <c r="H219" i="144" s="1"/>
  <c r="J219" i="144" s="1"/>
  <c r="K219" i="144" l="1"/>
  <c r="I219" i="144"/>
  <c r="G218" i="144" l="1"/>
  <c r="H218" i="144" s="1"/>
  <c r="J218" i="144" s="1"/>
  <c r="K218" i="144" l="1"/>
  <c r="I218" i="144"/>
  <c r="G217" i="144" l="1"/>
  <c r="H217" i="144" s="1"/>
  <c r="J217" i="144" s="1"/>
  <c r="K217" i="144" l="1"/>
  <c r="I217" i="144"/>
  <c r="G216" i="144" l="1"/>
  <c r="H216" i="144" s="1"/>
  <c r="J216" i="144" s="1"/>
  <c r="K216" i="144" l="1"/>
  <c r="I216" i="144"/>
  <c r="G215" i="144" l="1"/>
  <c r="H215" i="144" s="1"/>
  <c r="J215" i="144" s="1"/>
  <c r="K215" i="144" l="1"/>
  <c r="I215" i="144"/>
  <c r="G214" i="144" l="1"/>
  <c r="H214" i="144" s="1"/>
  <c r="J214" i="144" s="1"/>
  <c r="K214" i="144" l="1"/>
  <c r="I214" i="144"/>
  <c r="G213" i="144" l="1"/>
  <c r="H213" i="144" s="1"/>
  <c r="J213" i="144" s="1"/>
  <c r="K213" i="144" l="1"/>
  <c r="I213" i="144"/>
  <c r="G212" i="144" l="1"/>
  <c r="H212" i="144" s="1"/>
  <c r="J212" i="144" s="1"/>
  <c r="K212" i="144" l="1"/>
  <c r="I212" i="144"/>
  <c r="G211" i="144" l="1"/>
  <c r="H211" i="144" s="1"/>
  <c r="J211" i="144" s="1"/>
  <c r="K211" i="144" l="1"/>
  <c r="I211" i="144"/>
  <c r="G210" i="144" l="1"/>
  <c r="H210" i="144" s="1"/>
  <c r="J210" i="144" s="1"/>
  <c r="K210" i="144" l="1"/>
  <c r="I210" i="144"/>
  <c r="G209" i="144" l="1"/>
  <c r="H209" i="144" s="1"/>
  <c r="J209" i="144" s="1"/>
  <c r="K209" i="144" l="1"/>
  <c r="I209" i="144"/>
  <c r="G208" i="144" l="1"/>
  <c r="H208" i="144" s="1"/>
  <c r="J208" i="144" s="1"/>
  <c r="K208" i="144" l="1"/>
  <c r="I208" i="144"/>
  <c r="G207" i="144" l="1"/>
  <c r="H207" i="144" s="1"/>
  <c r="J207" i="144" s="1"/>
  <c r="K207" i="144" l="1"/>
  <c r="I207" i="144"/>
  <c r="G206" i="144" l="1"/>
  <c r="H206" i="144" s="1"/>
  <c r="J206" i="144" s="1"/>
  <c r="K206" i="144" l="1"/>
  <c r="I206" i="144"/>
  <c r="G205" i="144" l="1"/>
  <c r="H205" i="144" s="1"/>
  <c r="J205" i="144" s="1"/>
  <c r="K205" i="144" l="1"/>
  <c r="I205" i="144"/>
  <c r="G204" i="144" l="1"/>
  <c r="H204" i="144" s="1"/>
  <c r="J204" i="144" s="1"/>
  <c r="K204" i="144" l="1"/>
  <c r="I204" i="144"/>
  <c r="G203" i="144" l="1"/>
  <c r="H203" i="144" s="1"/>
  <c r="J203" i="144" s="1"/>
  <c r="K203" i="144" l="1"/>
  <c r="I203" i="144"/>
  <c r="G202" i="144" l="1"/>
  <c r="H202" i="144" s="1"/>
  <c r="J202" i="144" s="1"/>
  <c r="K202" i="144" l="1"/>
  <c r="I202" i="144"/>
  <c r="G201" i="144" l="1"/>
  <c r="H201" i="144" s="1"/>
  <c r="J201" i="144" s="1"/>
  <c r="K201" i="144" l="1"/>
  <c r="I201" i="144"/>
  <c r="G200" i="144" l="1"/>
  <c r="H200" i="144" s="1"/>
  <c r="J200" i="144" s="1"/>
  <c r="K200" i="144" l="1"/>
  <c r="I200" i="144"/>
  <c r="G199" i="144" l="1"/>
  <c r="H199" i="144" s="1"/>
  <c r="J199" i="144" s="1"/>
  <c r="K199" i="144" l="1"/>
  <c r="I199" i="144"/>
  <c r="G198" i="144" l="1"/>
  <c r="H198" i="144" s="1"/>
  <c r="J198" i="144" s="1"/>
  <c r="K198" i="144" l="1"/>
  <c r="I198" i="144"/>
  <c r="G197" i="144" l="1"/>
  <c r="H197" i="144" s="1"/>
  <c r="J197" i="144" s="1"/>
  <c r="K197" i="144" l="1"/>
  <c r="I197" i="144"/>
  <c r="G196" i="144" l="1"/>
  <c r="H196" i="144" s="1"/>
  <c r="J196" i="144" s="1"/>
  <c r="K196" i="144" l="1"/>
  <c r="I196" i="144"/>
  <c r="G195" i="144" l="1"/>
  <c r="H195" i="144" s="1"/>
  <c r="J195" i="144" s="1"/>
  <c r="K195" i="144" l="1"/>
  <c r="I195" i="144"/>
  <c r="G194" i="144" l="1"/>
  <c r="H194" i="144" s="1"/>
  <c r="J194" i="144" s="1"/>
  <c r="K194" i="144" l="1"/>
  <c r="I194" i="144"/>
  <c r="G193" i="144" l="1"/>
  <c r="H193" i="144" s="1"/>
  <c r="J193" i="144" s="1"/>
  <c r="K193" i="144" l="1"/>
  <c r="I193" i="144"/>
  <c r="G192" i="144" l="1"/>
  <c r="H192" i="144" s="1"/>
  <c r="J192" i="144" s="1"/>
  <c r="K192" i="144" l="1"/>
  <c r="I192" i="144"/>
  <c r="G191" i="144" l="1"/>
  <c r="H191" i="144" s="1"/>
  <c r="J191" i="144" s="1"/>
  <c r="K191" i="144" l="1"/>
  <c r="I191" i="144"/>
  <c r="G190" i="144" l="1"/>
  <c r="H190" i="144" s="1"/>
  <c r="J190" i="144" s="1"/>
  <c r="K190" i="144" l="1"/>
  <c r="I190" i="144"/>
  <c r="G189" i="144" l="1"/>
  <c r="H189" i="144" s="1"/>
  <c r="J189" i="144" s="1"/>
  <c r="K189" i="144" l="1"/>
  <c r="I189" i="144"/>
  <c r="G188" i="144" l="1"/>
  <c r="H188" i="144" s="1"/>
  <c r="J188" i="144" s="1"/>
  <c r="K188" i="144" l="1"/>
  <c r="I188" i="144"/>
  <c r="G187" i="144" l="1"/>
  <c r="H187" i="144" s="1"/>
  <c r="J187" i="144" s="1"/>
  <c r="K187" i="144" l="1"/>
  <c r="I187" i="144"/>
  <c r="G186" i="144" l="1"/>
  <c r="H186" i="144" s="1"/>
  <c r="J186" i="144" s="1"/>
  <c r="K186" i="144" l="1"/>
  <c r="I186" i="144"/>
  <c r="G185" i="144" l="1"/>
  <c r="H185" i="144" s="1"/>
  <c r="J185" i="144" s="1"/>
  <c r="K185" i="144" l="1"/>
  <c r="I185" i="144"/>
  <c r="G184" i="144" l="1"/>
  <c r="H184" i="144" s="1"/>
  <c r="J184" i="144" s="1"/>
  <c r="K184" i="144" l="1"/>
  <c r="I184" i="144"/>
  <c r="G183" i="144" l="1"/>
  <c r="H183" i="144" s="1"/>
  <c r="J183" i="144" s="1"/>
  <c r="K183" i="144" l="1"/>
  <c r="I183" i="144"/>
  <c r="G182" i="144" l="1"/>
  <c r="H182" i="144" s="1"/>
  <c r="J182" i="144" s="1"/>
  <c r="K182" i="144" l="1"/>
  <c r="I182" i="144"/>
  <c r="G181" i="144" l="1"/>
  <c r="H181" i="144" s="1"/>
  <c r="J181" i="144" s="1"/>
  <c r="K181" i="144" l="1"/>
  <c r="I181" i="144"/>
  <c r="G180" i="144" l="1"/>
  <c r="H180" i="144" s="1"/>
  <c r="J180" i="144" s="1"/>
  <c r="K180" i="144" l="1"/>
  <c r="I180" i="144"/>
  <c r="G179" i="144" l="1"/>
  <c r="H179" i="144" s="1"/>
  <c r="J179" i="144" s="1"/>
  <c r="K179" i="144" l="1"/>
  <c r="I179" i="144"/>
  <c r="G178" i="144" l="1"/>
  <c r="H178" i="144" s="1"/>
  <c r="J178" i="144" s="1"/>
  <c r="K178" i="144" l="1"/>
  <c r="I178" i="144"/>
  <c r="G177" i="144" l="1"/>
  <c r="H177" i="144" s="1"/>
  <c r="J177" i="144" s="1"/>
  <c r="K177" i="144" l="1"/>
  <c r="I177" i="144"/>
  <c r="G176" i="144" l="1"/>
  <c r="H176" i="144" s="1"/>
  <c r="J176" i="144" s="1"/>
  <c r="K176" i="144" l="1"/>
  <c r="I176" i="144"/>
  <c r="G175" i="144" l="1"/>
  <c r="H175" i="144" s="1"/>
  <c r="J175" i="144" s="1"/>
  <c r="K175" i="144" l="1"/>
  <c r="I175" i="144"/>
  <c r="G174" i="144" l="1"/>
  <c r="H174" i="144" s="1"/>
  <c r="J174" i="144" s="1"/>
  <c r="K174" i="144" l="1"/>
  <c r="I174" i="144"/>
  <c r="G173" i="144" l="1"/>
  <c r="H173" i="144" s="1"/>
  <c r="J173" i="144" s="1"/>
  <c r="K173" i="144" l="1"/>
  <c r="I173" i="144"/>
  <c r="G172" i="144" l="1"/>
  <c r="H172" i="144" s="1"/>
  <c r="J172" i="144" s="1"/>
  <c r="K172" i="144" l="1"/>
  <c r="I172" i="144"/>
  <c r="G171" i="144" l="1"/>
  <c r="H171" i="144" s="1"/>
  <c r="J171" i="144" s="1"/>
  <c r="K171" i="144" l="1"/>
  <c r="I171" i="144"/>
  <c r="G170" i="144" l="1"/>
  <c r="H170" i="144" s="1"/>
  <c r="J170" i="144" s="1"/>
  <c r="K170" i="144" l="1"/>
  <c r="I170" i="144"/>
  <c r="G169" i="144" l="1"/>
  <c r="H169" i="144" s="1"/>
  <c r="J169" i="144" s="1"/>
  <c r="K169" i="144" l="1"/>
  <c r="I169" i="144"/>
  <c r="G168" i="144" l="1"/>
  <c r="H168" i="144" s="1"/>
  <c r="J168" i="144" s="1"/>
  <c r="K168" i="144" l="1"/>
  <c r="I168" i="144"/>
  <c r="G167" i="144" l="1"/>
  <c r="H167" i="144" s="1"/>
  <c r="J167" i="144" s="1"/>
  <c r="K167" i="144" l="1"/>
  <c r="I167" i="144"/>
  <c r="G166" i="144" l="1"/>
  <c r="H166" i="144" s="1"/>
  <c r="J166" i="144" s="1"/>
  <c r="K166" i="144" l="1"/>
  <c r="I166" i="144"/>
  <c r="G165" i="144" l="1"/>
  <c r="H165" i="144" s="1"/>
  <c r="J165" i="144" s="1"/>
  <c r="K165" i="144" l="1"/>
  <c r="I165" i="144"/>
  <c r="G164" i="144" l="1"/>
  <c r="H164" i="144" s="1"/>
  <c r="J164" i="144" s="1"/>
  <c r="K164" i="144" l="1"/>
  <c r="I164" i="144"/>
  <c r="G163" i="144" l="1"/>
  <c r="H163" i="144" s="1"/>
  <c r="J163" i="144" s="1"/>
  <c r="K163" i="144" l="1"/>
  <c r="I163" i="144"/>
  <c r="G162" i="144" l="1"/>
  <c r="H162" i="144" s="1"/>
  <c r="J162" i="144" s="1"/>
  <c r="K162" i="144" l="1"/>
  <c r="I162" i="144"/>
  <c r="G161" i="144" l="1"/>
  <c r="H161" i="144" s="1"/>
  <c r="J161" i="144" s="1"/>
  <c r="K161" i="144" l="1"/>
  <c r="I161" i="144"/>
  <c r="G160" i="144" l="1"/>
  <c r="H160" i="144" s="1"/>
  <c r="J160" i="144" s="1"/>
  <c r="K160" i="144" l="1"/>
  <c r="I160" i="144"/>
  <c r="G159" i="144" l="1"/>
  <c r="H159" i="144" s="1"/>
  <c r="J159" i="144" s="1"/>
  <c r="K159" i="144" l="1"/>
  <c r="I159" i="144"/>
  <c r="G158" i="144" l="1"/>
  <c r="H158" i="144" s="1"/>
  <c r="J158" i="144" s="1"/>
  <c r="K158" i="144" l="1"/>
  <c r="I158" i="144"/>
  <c r="G157" i="144" l="1"/>
  <c r="H157" i="144" s="1"/>
  <c r="J157" i="144" s="1"/>
  <c r="K157" i="144" l="1"/>
  <c r="I157" i="144"/>
  <c r="G156" i="144" l="1"/>
  <c r="H156" i="144" s="1"/>
  <c r="J156" i="144" s="1"/>
  <c r="K156" i="144" l="1"/>
  <c r="I156" i="144"/>
  <c r="G155" i="144" l="1"/>
  <c r="H155" i="144" s="1"/>
  <c r="J155" i="144" s="1"/>
  <c r="K155" i="144" l="1"/>
  <c r="I155" i="144"/>
  <c r="G154" i="144" l="1"/>
  <c r="H154" i="144" s="1"/>
  <c r="J154" i="144" s="1"/>
  <c r="K154" i="144" l="1"/>
  <c r="I154" i="144"/>
  <c r="G153" i="144" l="1"/>
  <c r="H153" i="144" s="1"/>
  <c r="J153" i="144" s="1"/>
  <c r="K153" i="144" l="1"/>
  <c r="I153" i="144"/>
  <c r="G152" i="144" l="1"/>
  <c r="H152" i="144" s="1"/>
  <c r="J152" i="144" s="1"/>
  <c r="K152" i="144" l="1"/>
  <c r="I152" i="144"/>
  <c r="G151" i="144" l="1"/>
  <c r="H151" i="144" s="1"/>
  <c r="J151" i="144" s="1"/>
  <c r="K151" i="144" l="1"/>
  <c r="I151" i="144"/>
  <c r="G150" i="144" l="1"/>
  <c r="H150" i="144" s="1"/>
  <c r="J150" i="144" s="1"/>
  <c r="K150" i="144" l="1"/>
  <c r="I150" i="144"/>
  <c r="G149" i="144" l="1"/>
  <c r="H149" i="144" s="1"/>
  <c r="J149" i="144" s="1"/>
  <c r="K149" i="144" l="1"/>
  <c r="I149" i="144"/>
  <c r="G148" i="144" l="1"/>
  <c r="H148" i="144" s="1"/>
  <c r="J148" i="144" s="1"/>
  <c r="K148" i="144" l="1"/>
  <c r="I148" i="144"/>
  <c r="G147" i="144" l="1"/>
  <c r="H147" i="144" s="1"/>
  <c r="J147" i="144" s="1"/>
  <c r="K147" i="144" l="1"/>
  <c r="I147" i="144"/>
  <c r="G146" i="144" l="1"/>
  <c r="H146" i="144" s="1"/>
  <c r="J146" i="144" s="1"/>
  <c r="K146" i="144" l="1"/>
  <c r="I146" i="144"/>
  <c r="G145" i="144" l="1"/>
  <c r="H145" i="144" s="1"/>
  <c r="J145" i="144" s="1"/>
  <c r="K145" i="144" l="1"/>
  <c r="I145" i="144"/>
  <c r="G144" i="144" l="1"/>
  <c r="H144" i="144" s="1"/>
  <c r="J144" i="144" s="1"/>
  <c r="K144" i="144" l="1"/>
  <c r="I144" i="144"/>
  <c r="G143" i="144" l="1"/>
  <c r="H143" i="144" s="1"/>
  <c r="J143" i="144" s="1"/>
  <c r="K143" i="144" l="1"/>
  <c r="I143" i="144"/>
  <c r="G142" i="144" l="1"/>
  <c r="H142" i="144" s="1"/>
  <c r="J142" i="144" s="1"/>
  <c r="K142" i="144" l="1"/>
  <c r="I142" i="144"/>
  <c r="G141" i="144" l="1"/>
  <c r="H141" i="144" s="1"/>
  <c r="J141" i="144" s="1"/>
  <c r="K141" i="144" l="1"/>
  <c r="I141" i="144"/>
  <c r="G140" i="144" l="1"/>
  <c r="H140" i="144" s="1"/>
  <c r="J140" i="144" s="1"/>
  <c r="K140" i="144" l="1"/>
  <c r="I140" i="144"/>
  <c r="G139" i="144" l="1"/>
  <c r="H139" i="144" s="1"/>
  <c r="J139" i="144" s="1"/>
  <c r="K139" i="144" l="1"/>
  <c r="I139" i="144"/>
  <c r="G138" i="144" l="1"/>
  <c r="H138" i="144" s="1"/>
  <c r="J138" i="144" s="1"/>
  <c r="K138" i="144" l="1"/>
  <c r="I138" i="144"/>
  <c r="G137" i="144" l="1"/>
  <c r="H137" i="144" s="1"/>
  <c r="J137" i="144" s="1"/>
  <c r="K137" i="144" l="1"/>
  <c r="I137" i="144"/>
  <c r="G136" i="144" l="1"/>
  <c r="H136" i="144" s="1"/>
  <c r="J136" i="144" s="1"/>
  <c r="K136" i="144" l="1"/>
  <c r="I136" i="144"/>
  <c r="G135" i="144" l="1"/>
  <c r="H135" i="144" s="1"/>
  <c r="J135" i="144" s="1"/>
  <c r="K135" i="144" l="1"/>
  <c r="I135" i="144"/>
  <c r="G134" i="144" l="1"/>
  <c r="H134" i="144" s="1"/>
  <c r="J134" i="144" s="1"/>
  <c r="K134" i="144" l="1"/>
  <c r="I134" i="144"/>
  <c r="G133" i="144" l="1"/>
  <c r="H133" i="144" s="1"/>
  <c r="J133" i="144" s="1"/>
  <c r="K133" i="144" l="1"/>
  <c r="I133" i="144"/>
  <c r="G132" i="144" l="1"/>
  <c r="H132" i="144" s="1"/>
  <c r="J132" i="144" s="1"/>
  <c r="K132" i="144" l="1"/>
  <c r="I132" i="144"/>
  <c r="G131" i="144" l="1"/>
  <c r="H131" i="144" s="1"/>
  <c r="J131" i="144" s="1"/>
  <c r="K131" i="144" l="1"/>
  <c r="I131" i="144"/>
  <c r="G130" i="144" l="1"/>
  <c r="H130" i="144" s="1"/>
  <c r="J130" i="144" s="1"/>
  <c r="K130" i="144" l="1"/>
  <c r="I130" i="144"/>
  <c r="G129" i="144" l="1"/>
  <c r="H129" i="144" s="1"/>
  <c r="J129" i="144" s="1"/>
  <c r="K129" i="144" l="1"/>
  <c r="I129" i="144"/>
  <c r="G128" i="144" l="1"/>
  <c r="H128" i="144" s="1"/>
  <c r="J128" i="144" s="1"/>
  <c r="K128" i="144" l="1"/>
  <c r="I128" i="144"/>
  <c r="G127" i="144" l="1"/>
  <c r="H127" i="144" s="1"/>
  <c r="J127" i="144" s="1"/>
  <c r="K127" i="144" l="1"/>
  <c r="I127" i="144"/>
  <c r="G126" i="144" l="1"/>
  <c r="H126" i="144" s="1"/>
  <c r="J126" i="144" s="1"/>
  <c r="K126" i="144" l="1"/>
  <c r="I126" i="144"/>
  <c r="G125" i="144" l="1"/>
  <c r="H125" i="144" s="1"/>
  <c r="J125" i="144" s="1"/>
  <c r="K125" i="144" l="1"/>
  <c r="I125" i="144"/>
  <c r="G124" i="144" l="1"/>
  <c r="H124" i="144" s="1"/>
  <c r="J124" i="144" s="1"/>
  <c r="K124" i="144" l="1"/>
  <c r="I124" i="144"/>
  <c r="G123" i="144" l="1"/>
  <c r="H123" i="144" s="1"/>
  <c r="J123" i="144" s="1"/>
  <c r="K123" i="144" l="1"/>
  <c r="I123" i="144"/>
  <c r="G122" i="144" l="1"/>
  <c r="H122" i="144" s="1"/>
  <c r="J122" i="144" s="1"/>
  <c r="K122" i="144" l="1"/>
  <c r="I122" i="144"/>
  <c r="G121" i="144" l="1"/>
  <c r="H121" i="144" s="1"/>
  <c r="J121" i="144" s="1"/>
  <c r="K121" i="144" l="1"/>
  <c r="I121" i="144"/>
  <c r="G120" i="144" l="1"/>
  <c r="H120" i="144" s="1"/>
  <c r="J120" i="144" s="1"/>
  <c r="K120" i="144" l="1"/>
  <c r="I120" i="144"/>
  <c r="G119" i="144" l="1"/>
  <c r="H119" i="144" s="1"/>
  <c r="J119" i="144" s="1"/>
  <c r="K119" i="144" l="1"/>
  <c r="I119" i="144"/>
  <c r="G118" i="144" l="1"/>
  <c r="H118" i="144" s="1"/>
  <c r="J118" i="144" s="1"/>
  <c r="K118" i="144" l="1"/>
  <c r="I118" i="144"/>
  <c r="G117" i="144" l="1"/>
  <c r="H117" i="144" s="1"/>
  <c r="J117" i="144" s="1"/>
  <c r="K117" i="144" l="1"/>
  <c r="I117" i="144"/>
  <c r="G116" i="144" l="1"/>
  <c r="H116" i="144" s="1"/>
  <c r="J116" i="144" s="1"/>
  <c r="K116" i="144" l="1"/>
  <c r="I116" i="144"/>
  <c r="G115" i="144" l="1"/>
  <c r="H115" i="144" s="1"/>
  <c r="J115" i="144" s="1"/>
  <c r="K115" i="144" l="1"/>
  <c r="I115" i="144"/>
  <c r="G114" i="144" l="1"/>
  <c r="H114" i="144" s="1"/>
  <c r="J114" i="144" s="1"/>
  <c r="K114" i="144" l="1"/>
  <c r="I114" i="144"/>
  <c r="G113" i="144" l="1"/>
  <c r="H113" i="144" s="1"/>
  <c r="J113" i="144" s="1"/>
  <c r="K113" i="144" l="1"/>
  <c r="I113" i="144"/>
  <c r="G112" i="144" l="1"/>
  <c r="H112" i="144" s="1"/>
  <c r="J112" i="144" s="1"/>
  <c r="K112" i="144" l="1"/>
  <c r="I112" i="144"/>
  <c r="G111" i="144" l="1"/>
  <c r="H111" i="144" s="1"/>
  <c r="J111" i="144" s="1"/>
  <c r="K111" i="144" l="1"/>
  <c r="I111" i="144"/>
  <c r="G110" i="144" l="1"/>
  <c r="H110" i="144" s="1"/>
  <c r="J110" i="144" s="1"/>
  <c r="K110" i="144" l="1"/>
  <c r="I110" i="144"/>
  <c r="G109" i="144" l="1"/>
  <c r="H109" i="144" s="1"/>
  <c r="J109" i="144" s="1"/>
  <c r="K109" i="144" l="1"/>
  <c r="I109" i="144"/>
  <c r="G108" i="144" l="1"/>
  <c r="H108" i="144" s="1"/>
  <c r="J108" i="144" s="1"/>
  <c r="K108" i="144" l="1"/>
  <c r="I108" i="144"/>
  <c r="G107" i="144" l="1"/>
  <c r="H107" i="144" s="1"/>
  <c r="J107" i="144" s="1"/>
  <c r="K107" i="144" l="1"/>
  <c r="I107" i="144"/>
  <c r="G106" i="144" l="1"/>
  <c r="H106" i="144" s="1"/>
  <c r="J106" i="144" s="1"/>
  <c r="K106" i="144" l="1"/>
  <c r="I106" i="144"/>
  <c r="G105" i="144" l="1"/>
  <c r="H105" i="144" s="1"/>
  <c r="J105" i="144" s="1"/>
  <c r="K105" i="144" l="1"/>
  <c r="I105" i="144"/>
  <c r="G104" i="144" l="1"/>
  <c r="H104" i="144" s="1"/>
  <c r="J104" i="144" s="1"/>
  <c r="K104" i="144" l="1"/>
  <c r="I104" i="144"/>
  <c r="G103" i="144" l="1"/>
  <c r="H103" i="144" s="1"/>
  <c r="J103" i="144" s="1"/>
  <c r="K103" i="144" l="1"/>
  <c r="I103" i="144"/>
  <c r="G102" i="144" l="1"/>
  <c r="H102" i="144" s="1"/>
  <c r="J102" i="144" s="1"/>
  <c r="K102" i="144" l="1"/>
  <c r="I102" i="144"/>
  <c r="G101" i="144" l="1"/>
  <c r="H101" i="144" s="1"/>
  <c r="J101" i="144" s="1"/>
  <c r="K101" i="144" l="1"/>
  <c r="I101" i="144"/>
  <c r="G100" i="144" l="1"/>
  <c r="H100" i="144" s="1"/>
  <c r="J100" i="144" s="1"/>
  <c r="K100" i="144" l="1"/>
  <c r="I100" i="144"/>
  <c r="G99" i="144" l="1"/>
  <c r="H99" i="144" s="1"/>
  <c r="J99" i="144" s="1"/>
  <c r="K99" i="144" l="1"/>
  <c r="I99" i="144"/>
  <c r="G98" i="144" l="1"/>
  <c r="H98" i="144" s="1"/>
  <c r="J98" i="144" s="1"/>
  <c r="K98" i="144" l="1"/>
  <c r="I98" i="144"/>
  <c r="G97" i="144" l="1"/>
  <c r="H97" i="144" s="1"/>
  <c r="J97" i="144" s="1"/>
  <c r="K97" i="144" l="1"/>
  <c r="I97" i="144"/>
  <c r="G96" i="144" l="1"/>
  <c r="H96" i="144" s="1"/>
  <c r="J96" i="144" s="1"/>
  <c r="K96" i="144" l="1"/>
  <c r="I96" i="144"/>
  <c r="G95" i="144" l="1"/>
  <c r="H95" i="144" s="1"/>
  <c r="J95" i="144" s="1"/>
  <c r="K95" i="144" l="1"/>
  <c r="I95" i="144"/>
  <c r="G94" i="144" l="1"/>
  <c r="H94" i="144" s="1"/>
  <c r="J94" i="144" s="1"/>
  <c r="K94" i="144" l="1"/>
  <c r="I94" i="144"/>
  <c r="G93" i="144" l="1"/>
  <c r="H93" i="144" s="1"/>
  <c r="J93" i="144" s="1"/>
  <c r="K93" i="144" l="1"/>
  <c r="I93" i="144"/>
  <c r="G92" i="144" l="1"/>
  <c r="H92" i="144" s="1"/>
  <c r="J92" i="144" s="1"/>
  <c r="K92" i="144" l="1"/>
  <c r="I92" i="144"/>
  <c r="D12" i="39"/>
  <c r="D13" i="39" s="1"/>
  <c r="D14" i="39" s="1"/>
  <c r="D15" i="39" s="1"/>
  <c r="D16" i="39" s="1"/>
  <c r="D17" i="39" s="1"/>
  <c r="D18" i="39" s="1"/>
  <c r="D19" i="39" s="1"/>
  <c r="D20" i="39" s="1"/>
  <c r="D21" i="39" s="1"/>
  <c r="D22" i="39" s="1"/>
  <c r="D23" i="39" s="1"/>
  <c r="D24" i="39" s="1"/>
  <c r="D25" i="39" s="1"/>
  <c r="D26" i="39" s="1"/>
  <c r="D27" i="39" s="1"/>
  <c r="D28" i="39" s="1"/>
  <c r="D29" i="39" s="1"/>
  <c r="D30" i="39" s="1"/>
  <c r="D31" i="39" s="1"/>
  <c r="D32" i="39" s="1"/>
  <c r="D33" i="39" s="1"/>
  <c r="D34" i="39" s="1"/>
  <c r="D35" i="39" s="1"/>
  <c r="D36" i="39" s="1"/>
  <c r="D37" i="39" s="1"/>
  <c r="D38" i="39" s="1"/>
  <c r="D39" i="39" s="1"/>
  <c r="D40" i="39" s="1"/>
  <c r="D41" i="39" s="1"/>
  <c r="D42" i="39" s="1"/>
  <c r="D43" i="39" s="1"/>
  <c r="D44" i="39" s="1"/>
  <c r="D45" i="39" s="1"/>
  <c r="D46" i="39" s="1"/>
  <c r="D47" i="39" s="1"/>
  <c r="D48" i="39" s="1"/>
  <c r="D49" i="39" s="1"/>
  <c r="D50" i="39" s="1"/>
  <c r="D51" i="39" s="1"/>
  <c r="D52" i="39" s="1"/>
  <c r="D53" i="39" s="1"/>
  <c r="D54" i="39" s="1"/>
  <c r="D55" i="39" s="1"/>
  <c r="D56" i="39" s="1"/>
  <c r="D57" i="39" s="1"/>
  <c r="D58" i="39" s="1"/>
  <c r="D59" i="39" s="1"/>
  <c r="D60" i="39" s="1"/>
  <c r="D61" i="39" s="1"/>
  <c r="D62" i="39" s="1"/>
  <c r="D63" i="39" s="1"/>
  <c r="D64" i="39" s="1"/>
  <c r="D65" i="39" s="1"/>
  <c r="D66" i="39" s="1"/>
  <c r="D67" i="39" s="1"/>
  <c r="D68" i="39" s="1"/>
  <c r="D69" i="39" s="1"/>
  <c r="D70" i="39" s="1"/>
  <c r="D71" i="39" s="1"/>
  <c r="D72" i="39" s="1"/>
  <c r="D73" i="39" s="1"/>
  <c r="D74" i="39" s="1"/>
  <c r="D75" i="39" s="1"/>
  <c r="D76" i="39" s="1"/>
  <c r="D77" i="39" s="1"/>
  <c r="D78" i="39" s="1"/>
  <c r="D79" i="39" s="1"/>
  <c r="D80" i="39" s="1"/>
  <c r="D81" i="39" s="1"/>
  <c r="D82" i="39" s="1"/>
  <c r="D83" i="39" s="1"/>
  <c r="D84" i="39" s="1"/>
  <c r="D85" i="39" s="1"/>
  <c r="D86" i="39" s="1"/>
  <c r="D87" i="39" s="1"/>
  <c r="D88" i="39" s="1"/>
  <c r="D89" i="39" s="1"/>
  <c r="D90" i="39" s="1"/>
  <c r="D91" i="39" s="1"/>
  <c r="D92" i="39" s="1"/>
  <c r="D93" i="39" s="1"/>
  <c r="D94" i="39" s="1"/>
  <c r="D95" i="39" s="1"/>
  <c r="D96" i="39" s="1"/>
  <c r="D97" i="39" s="1"/>
  <c r="D98" i="39" s="1"/>
  <c r="D99" i="39" s="1"/>
  <c r="D100" i="39" s="1"/>
  <c r="D101" i="39" s="1"/>
  <c r="D102" i="39" s="1"/>
  <c r="D103" i="39" s="1"/>
  <c r="D104" i="39" s="1"/>
  <c r="D105" i="39" s="1"/>
  <c r="D106" i="39" s="1"/>
  <c r="D107" i="39" s="1"/>
  <c r="D108" i="39" s="1"/>
  <c r="D109" i="39" s="1"/>
  <c r="D110" i="39" s="1"/>
  <c r="D111" i="39" s="1"/>
  <c r="D112" i="39" s="1"/>
  <c r="D113" i="39" s="1"/>
  <c r="D114" i="39" s="1"/>
  <c r="D115" i="39" s="1"/>
  <c r="D116" i="39" s="1"/>
  <c r="D117" i="39" s="1"/>
  <c r="D118" i="39" s="1"/>
  <c r="D119" i="39" s="1"/>
  <c r="D120" i="39" s="1"/>
  <c r="D121" i="39" s="1"/>
  <c r="D122" i="39" s="1"/>
  <c r="D123" i="39" s="1"/>
  <c r="D124" i="39" s="1"/>
  <c r="D125" i="39" s="1"/>
  <c r="D126" i="39" s="1"/>
  <c r="D127" i="39" s="1"/>
  <c r="D128" i="39" s="1"/>
  <c r="D129" i="39" s="1"/>
  <c r="D130" i="39" s="1"/>
  <c r="D131" i="39" s="1"/>
  <c r="D132" i="39" s="1"/>
  <c r="D133" i="39" s="1"/>
  <c r="D134" i="39" s="1"/>
  <c r="D135" i="39" s="1"/>
  <c r="D136" i="39" s="1"/>
  <c r="D137" i="39" s="1"/>
  <c r="D138" i="39" s="1"/>
  <c r="D139" i="39" s="1"/>
  <c r="D140" i="39" s="1"/>
  <c r="D141" i="39" s="1"/>
  <c r="D142" i="39" s="1"/>
  <c r="D143" i="39" s="1"/>
  <c r="D144" i="39" s="1"/>
  <c r="D145" i="39" s="1"/>
  <c r="D146" i="39" s="1"/>
  <c r="D147" i="39" s="1"/>
  <c r="D148" i="39" s="1"/>
  <c r="D149" i="39" s="1"/>
  <c r="D150" i="39" s="1"/>
  <c r="D151" i="39" s="1"/>
  <c r="D152" i="39" s="1"/>
  <c r="D153" i="39" s="1"/>
  <c r="D154" i="39" s="1"/>
  <c r="D155" i="39" s="1"/>
  <c r="D156" i="39" s="1"/>
  <c r="D157" i="39" s="1"/>
  <c r="D158" i="39" s="1"/>
  <c r="D159" i="39" s="1"/>
  <c r="D160" i="39" s="1"/>
  <c r="D161" i="39" s="1"/>
  <c r="D162" i="39" s="1"/>
  <c r="D163" i="39" s="1"/>
  <c r="D164" i="39" s="1"/>
  <c r="D165" i="39" s="1"/>
  <c r="D166" i="39" s="1"/>
  <c r="D167" i="39" s="1"/>
  <c r="D168" i="39" s="1"/>
  <c r="D169" i="39" s="1"/>
  <c r="D170" i="39" s="1"/>
  <c r="D171" i="39" s="1"/>
  <c r="D172" i="39" s="1"/>
  <c r="D173" i="39" s="1"/>
  <c r="D174" i="39" s="1"/>
  <c r="D175" i="39" s="1"/>
  <c r="D176" i="39" s="1"/>
  <c r="D177" i="39" s="1"/>
  <c r="D178" i="39" s="1"/>
  <c r="D179" i="39" s="1"/>
  <c r="D180" i="39" s="1"/>
  <c r="D181" i="39" s="1"/>
  <c r="D182" i="39" s="1"/>
  <c r="D183" i="39" s="1"/>
  <c r="D184" i="39" s="1"/>
  <c r="D185" i="39" s="1"/>
  <c r="D186" i="39" s="1"/>
  <c r="D187" i="39" s="1"/>
  <c r="D188" i="39" s="1"/>
  <c r="D189" i="39" s="1"/>
  <c r="D190" i="39" s="1"/>
  <c r="D191" i="39" s="1"/>
  <c r="D192" i="39" s="1"/>
  <c r="D193" i="39" s="1"/>
  <c r="D194" i="39" s="1"/>
  <c r="D195" i="39" s="1"/>
  <c r="D196" i="39" s="1"/>
  <c r="D197" i="39" s="1"/>
  <c r="D198" i="39" s="1"/>
  <c r="D199" i="39" s="1"/>
  <c r="D200" i="39" s="1"/>
  <c r="D201" i="39" s="1"/>
  <c r="D202" i="39" s="1"/>
  <c r="D203" i="39" s="1"/>
  <c r="D204" i="39" s="1"/>
  <c r="D205" i="39" s="1"/>
  <c r="D206" i="39" s="1"/>
  <c r="D207" i="39" s="1"/>
  <c r="D208" i="39" s="1"/>
  <c r="D209" i="39" s="1"/>
  <c r="D210" i="39" s="1"/>
  <c r="D211" i="39" s="1"/>
  <c r="D212" i="39" s="1"/>
  <c r="D213" i="39" s="1"/>
  <c r="D214" i="39" s="1"/>
  <c r="D215" i="39" s="1"/>
  <c r="D216" i="39" s="1"/>
  <c r="D217" i="39" s="1"/>
  <c r="D218" i="39" s="1"/>
  <c r="D219" i="39" s="1"/>
  <c r="D220" i="39" s="1"/>
  <c r="D221" i="39" s="1"/>
  <c r="D222" i="39" s="1"/>
  <c r="D223" i="39" s="1"/>
  <c r="D224" i="39" s="1"/>
  <c r="D225" i="39" s="1"/>
  <c r="D226" i="39" s="1"/>
  <c r="D227" i="39" s="1"/>
  <c r="D228" i="39" s="1"/>
  <c r="D229" i="39" s="1"/>
  <c r="D230" i="39" s="1"/>
  <c r="D231" i="39" s="1"/>
  <c r="D232" i="39" s="1"/>
  <c r="D233" i="39" s="1"/>
  <c r="D234" i="39" s="1"/>
  <c r="D235" i="39" s="1"/>
  <c r="D236" i="39" s="1"/>
  <c r="D237" i="39" s="1"/>
  <c r="D238" i="39" s="1"/>
  <c r="D239" i="39" s="1"/>
  <c r="D240" i="39" s="1"/>
  <c r="D241" i="39" s="1"/>
  <c r="D242" i="39" s="1"/>
  <c r="D243" i="39" s="1"/>
  <c r="D244" i="39" s="1"/>
  <c r="D245" i="39" s="1"/>
  <c r="D246" i="39" s="1"/>
  <c r="D247" i="39" s="1"/>
  <c r="D248" i="39" s="1"/>
  <c r="D249" i="39" s="1"/>
  <c r="D250" i="39" s="1"/>
  <c r="D251" i="39" s="1"/>
  <c r="D252" i="39" s="1"/>
  <c r="D253" i="39" s="1"/>
  <c r="D254" i="39" s="1"/>
  <c r="D255" i="39" s="1"/>
  <c r="D256" i="39" s="1"/>
  <c r="D257" i="39" s="1"/>
  <c r="D258" i="39" s="1"/>
  <c r="D259" i="39" s="1"/>
  <c r="D260" i="39" s="1"/>
  <c r="D261" i="39" s="1"/>
  <c r="D262" i="39" s="1"/>
  <c r="D263" i="39" s="1"/>
  <c r="D264" i="39" s="1"/>
  <c r="D265" i="39" s="1"/>
  <c r="D266" i="39" s="1"/>
  <c r="D267" i="39" s="1"/>
  <c r="D268" i="39" s="1"/>
  <c r="D269" i="39" s="1"/>
  <c r="D270" i="39" s="1"/>
  <c r="D271" i="39" s="1"/>
  <c r="D272" i="39" s="1"/>
  <c r="D273" i="39" s="1"/>
  <c r="D274" i="39" s="1"/>
  <c r="D275" i="39" s="1"/>
  <c r="D276" i="39" s="1"/>
  <c r="D277" i="39" s="1"/>
  <c r="D278" i="39" s="1"/>
  <c r="D279" i="39" s="1"/>
  <c r="D280" i="39" s="1"/>
  <c r="D281" i="39" s="1"/>
  <c r="D282" i="39" s="1"/>
  <c r="D283" i="39" s="1"/>
  <c r="D284" i="39" s="1"/>
  <c r="D285" i="39" s="1"/>
  <c r="D286" i="39" s="1"/>
  <c r="G91" i="144" l="1"/>
  <c r="H91" i="144" s="1"/>
  <c r="J91" i="144" s="1"/>
  <c r="AB247" i="36"/>
  <c r="AA247" i="36"/>
  <c r="Z247" i="36"/>
  <c r="Y247" i="36"/>
  <c r="X247" i="36"/>
  <c r="W247" i="36"/>
  <c r="V247" i="36"/>
  <c r="AB246" i="36"/>
  <c r="AA246" i="36"/>
  <c r="Z246" i="36"/>
  <c r="Y246" i="36"/>
  <c r="X246" i="36"/>
  <c r="W246" i="36"/>
  <c r="V246" i="36"/>
  <c r="AB245" i="36"/>
  <c r="AA245" i="36"/>
  <c r="Z245" i="36"/>
  <c r="Y245" i="36"/>
  <c r="X245" i="36"/>
  <c r="W245" i="36"/>
  <c r="V245" i="36"/>
  <c r="AB244" i="36"/>
  <c r="AA244" i="36"/>
  <c r="Z244" i="36"/>
  <c r="Y244" i="36"/>
  <c r="X244" i="36"/>
  <c r="W244" i="36"/>
  <c r="V244" i="36"/>
  <c r="AB243" i="36"/>
  <c r="AA243" i="36"/>
  <c r="Z243" i="36"/>
  <c r="Y243" i="36"/>
  <c r="X243" i="36"/>
  <c r="W243" i="36"/>
  <c r="V243" i="36"/>
  <c r="AB242" i="36"/>
  <c r="AA242" i="36"/>
  <c r="Z242" i="36"/>
  <c r="Y242" i="36"/>
  <c r="X242" i="36"/>
  <c r="W242" i="36"/>
  <c r="V242" i="36"/>
  <c r="AB241" i="36"/>
  <c r="AA241" i="36"/>
  <c r="Z241" i="36"/>
  <c r="Y241" i="36"/>
  <c r="X241" i="36"/>
  <c r="W241" i="36"/>
  <c r="V241" i="36"/>
  <c r="AB240" i="36"/>
  <c r="AA240" i="36"/>
  <c r="Z240" i="36"/>
  <c r="Y240" i="36"/>
  <c r="X240" i="36"/>
  <c r="W240" i="36"/>
  <c r="V240" i="36"/>
  <c r="AB239" i="36"/>
  <c r="AA239" i="36"/>
  <c r="Z239" i="36"/>
  <c r="Y239" i="36"/>
  <c r="X239" i="36"/>
  <c r="W239" i="36"/>
  <c r="V239" i="36"/>
  <c r="AB238" i="36"/>
  <c r="AA238" i="36"/>
  <c r="Z238" i="36"/>
  <c r="Y238" i="36"/>
  <c r="X238" i="36"/>
  <c r="W238" i="36"/>
  <c r="V238" i="36"/>
  <c r="AB237" i="36"/>
  <c r="AA237" i="36"/>
  <c r="Z237" i="36"/>
  <c r="Y237" i="36"/>
  <c r="X237" i="36"/>
  <c r="W237" i="36"/>
  <c r="V237" i="36"/>
  <c r="AB236" i="36"/>
  <c r="AA236" i="36"/>
  <c r="Z236" i="36"/>
  <c r="Y236" i="36"/>
  <c r="X236" i="36"/>
  <c r="W236" i="36"/>
  <c r="V236" i="36"/>
  <c r="AB235" i="36"/>
  <c r="AA235" i="36"/>
  <c r="Z235" i="36"/>
  <c r="Y235" i="36"/>
  <c r="X235" i="36"/>
  <c r="W235" i="36"/>
  <c r="V235" i="36"/>
  <c r="AB234" i="36"/>
  <c r="AA234" i="36"/>
  <c r="Z234" i="36"/>
  <c r="Y234" i="36"/>
  <c r="X234" i="36"/>
  <c r="W234" i="36"/>
  <c r="V234" i="36"/>
  <c r="AB233" i="36"/>
  <c r="AA233" i="36"/>
  <c r="Z233" i="36"/>
  <c r="Y233" i="36"/>
  <c r="X233" i="36"/>
  <c r="W233" i="36"/>
  <c r="V233" i="36"/>
  <c r="AB232" i="36"/>
  <c r="AA232" i="36"/>
  <c r="Z232" i="36"/>
  <c r="Y232" i="36"/>
  <c r="X232" i="36"/>
  <c r="W232" i="36"/>
  <c r="V232" i="36"/>
  <c r="AB231" i="36"/>
  <c r="AA231" i="36"/>
  <c r="Z231" i="36"/>
  <c r="Y231" i="36"/>
  <c r="X231" i="36"/>
  <c r="W231" i="36"/>
  <c r="V231" i="36"/>
  <c r="AB230" i="36"/>
  <c r="AA230" i="36"/>
  <c r="Z230" i="36"/>
  <c r="Y230" i="36"/>
  <c r="X230" i="36"/>
  <c r="W230" i="36"/>
  <c r="V230" i="36"/>
  <c r="AB229" i="36"/>
  <c r="AA229" i="36"/>
  <c r="Z229" i="36"/>
  <c r="Y229" i="36"/>
  <c r="X229" i="36"/>
  <c r="W229" i="36"/>
  <c r="V229" i="36"/>
  <c r="AB228" i="36"/>
  <c r="AA228" i="36"/>
  <c r="Z228" i="36"/>
  <c r="Y228" i="36"/>
  <c r="X228" i="36"/>
  <c r="W228" i="36"/>
  <c r="V228" i="36"/>
  <c r="AB227" i="36"/>
  <c r="AA227" i="36"/>
  <c r="Z227" i="36"/>
  <c r="Y227" i="36"/>
  <c r="X227" i="36"/>
  <c r="W227" i="36"/>
  <c r="V227" i="36"/>
  <c r="AB226" i="36"/>
  <c r="AA226" i="36"/>
  <c r="Z226" i="36"/>
  <c r="Y226" i="36"/>
  <c r="X226" i="36"/>
  <c r="W226" i="36"/>
  <c r="V226" i="36"/>
  <c r="AB225" i="36"/>
  <c r="AA225" i="36"/>
  <c r="Z225" i="36"/>
  <c r="Y225" i="36"/>
  <c r="X225" i="36"/>
  <c r="W225" i="36"/>
  <c r="V225" i="36"/>
  <c r="AB224" i="36"/>
  <c r="AA224" i="36"/>
  <c r="Z224" i="36"/>
  <c r="Y224" i="36"/>
  <c r="X224" i="36"/>
  <c r="W224" i="36"/>
  <c r="V224" i="36"/>
  <c r="AB223" i="36"/>
  <c r="AA223" i="36"/>
  <c r="Z223" i="36"/>
  <c r="Y223" i="36"/>
  <c r="X223" i="36"/>
  <c r="W223" i="36"/>
  <c r="V223" i="36"/>
  <c r="AB222" i="36"/>
  <c r="AA222" i="36"/>
  <c r="Z222" i="36"/>
  <c r="Y222" i="36"/>
  <c r="X222" i="36"/>
  <c r="W222" i="36"/>
  <c r="V222" i="36"/>
  <c r="AB221" i="36"/>
  <c r="AA221" i="36"/>
  <c r="Z221" i="36"/>
  <c r="Y221" i="36"/>
  <c r="X221" i="36"/>
  <c r="W221" i="36"/>
  <c r="V221" i="36"/>
  <c r="AB220" i="36"/>
  <c r="AA220" i="36"/>
  <c r="Z220" i="36"/>
  <c r="Y220" i="36"/>
  <c r="X220" i="36"/>
  <c r="W220" i="36"/>
  <c r="V220" i="36"/>
  <c r="AB219" i="36"/>
  <c r="AA219" i="36"/>
  <c r="Z219" i="36"/>
  <c r="Y219" i="36"/>
  <c r="X219" i="36"/>
  <c r="W219" i="36"/>
  <c r="V219" i="36"/>
  <c r="AB218" i="36"/>
  <c r="AA218" i="36"/>
  <c r="Z218" i="36"/>
  <c r="Y218" i="36"/>
  <c r="X218" i="36"/>
  <c r="W218" i="36"/>
  <c r="V218" i="36"/>
  <c r="AB217" i="36"/>
  <c r="AA217" i="36"/>
  <c r="Z217" i="36"/>
  <c r="Y217" i="36"/>
  <c r="X217" i="36"/>
  <c r="W217" i="36"/>
  <c r="V217" i="36"/>
  <c r="AB216" i="36"/>
  <c r="AA216" i="36"/>
  <c r="Z216" i="36"/>
  <c r="Y216" i="36"/>
  <c r="X216" i="36"/>
  <c r="W216" i="36"/>
  <c r="V216" i="36"/>
  <c r="AB215" i="36"/>
  <c r="AA215" i="36"/>
  <c r="Z215" i="36"/>
  <c r="Y215" i="36"/>
  <c r="X215" i="36"/>
  <c r="W215" i="36"/>
  <c r="V215" i="36"/>
  <c r="AB214" i="36"/>
  <c r="AA214" i="36"/>
  <c r="Z214" i="36"/>
  <c r="Y214" i="36"/>
  <c r="X214" i="36"/>
  <c r="W214" i="36"/>
  <c r="V214" i="36"/>
  <c r="AB213" i="36"/>
  <c r="AA213" i="36"/>
  <c r="Z213" i="36"/>
  <c r="Y213" i="36"/>
  <c r="X213" i="36"/>
  <c r="W213" i="36"/>
  <c r="V213" i="36"/>
  <c r="AB212" i="36"/>
  <c r="AA212" i="36"/>
  <c r="Z212" i="36"/>
  <c r="Y212" i="36"/>
  <c r="X212" i="36"/>
  <c r="W212" i="36"/>
  <c r="V212" i="36"/>
  <c r="AB211" i="36"/>
  <c r="AA211" i="36"/>
  <c r="Z211" i="36"/>
  <c r="Y211" i="36"/>
  <c r="X211" i="36"/>
  <c r="W211" i="36"/>
  <c r="V211" i="36"/>
  <c r="AB210" i="36"/>
  <c r="AA210" i="36"/>
  <c r="Z210" i="36"/>
  <c r="Y210" i="36"/>
  <c r="X210" i="36"/>
  <c r="W210" i="36"/>
  <c r="V210" i="36"/>
  <c r="AB209" i="36"/>
  <c r="AA209" i="36"/>
  <c r="Z209" i="36"/>
  <c r="Y209" i="36"/>
  <c r="X209" i="36"/>
  <c r="W209" i="36"/>
  <c r="V209" i="36"/>
  <c r="AB208" i="36"/>
  <c r="AA208" i="36"/>
  <c r="Z208" i="36"/>
  <c r="Y208" i="36"/>
  <c r="X208" i="36"/>
  <c r="W208" i="36"/>
  <c r="V208" i="36"/>
  <c r="AB207" i="36"/>
  <c r="AA207" i="36"/>
  <c r="Z207" i="36"/>
  <c r="Y207" i="36"/>
  <c r="X207" i="36"/>
  <c r="W207" i="36"/>
  <c r="V207" i="36"/>
  <c r="AB206" i="36"/>
  <c r="AA206" i="36"/>
  <c r="Z206" i="36"/>
  <c r="Y206" i="36"/>
  <c r="X206" i="36"/>
  <c r="W206" i="36"/>
  <c r="V206" i="36"/>
  <c r="AB205" i="36"/>
  <c r="AA205" i="36"/>
  <c r="Z205" i="36"/>
  <c r="Y205" i="36"/>
  <c r="X205" i="36"/>
  <c r="W205" i="36"/>
  <c r="V205" i="36"/>
  <c r="AB204" i="36"/>
  <c r="AA204" i="36"/>
  <c r="Z204" i="36"/>
  <c r="Y204" i="36"/>
  <c r="X204" i="36"/>
  <c r="W204" i="36"/>
  <c r="V204" i="36"/>
  <c r="AB203" i="36"/>
  <c r="AA203" i="36"/>
  <c r="Z203" i="36"/>
  <c r="Y203" i="36"/>
  <c r="X203" i="36"/>
  <c r="W203" i="36"/>
  <c r="V203" i="36"/>
  <c r="AB202" i="36"/>
  <c r="AA202" i="36"/>
  <c r="Z202" i="36"/>
  <c r="Y202" i="36"/>
  <c r="X202" i="36"/>
  <c r="W202" i="36"/>
  <c r="V202" i="36"/>
  <c r="AB201" i="36"/>
  <c r="AA201" i="36"/>
  <c r="Z201" i="36"/>
  <c r="Y201" i="36"/>
  <c r="X201" i="36"/>
  <c r="W201" i="36"/>
  <c r="V201" i="36"/>
  <c r="AB200" i="36"/>
  <c r="AA200" i="36"/>
  <c r="Z200" i="36"/>
  <c r="Y200" i="36"/>
  <c r="X200" i="36"/>
  <c r="W200" i="36"/>
  <c r="V200" i="36"/>
  <c r="AB199" i="36"/>
  <c r="AA199" i="36"/>
  <c r="Z199" i="36"/>
  <c r="Y199" i="36"/>
  <c r="X199" i="36"/>
  <c r="W199" i="36"/>
  <c r="V199" i="36"/>
  <c r="AB198" i="36"/>
  <c r="AA198" i="36"/>
  <c r="Z198" i="36"/>
  <c r="Y198" i="36"/>
  <c r="X198" i="36"/>
  <c r="W198" i="36"/>
  <c r="V198" i="36"/>
  <c r="AB197" i="36"/>
  <c r="AA197" i="36"/>
  <c r="Z197" i="36"/>
  <c r="Y197" i="36"/>
  <c r="X197" i="36"/>
  <c r="W197" i="36"/>
  <c r="V197" i="36"/>
  <c r="AB196" i="36"/>
  <c r="AA196" i="36"/>
  <c r="Z196" i="36"/>
  <c r="Y196" i="36"/>
  <c r="X196" i="36"/>
  <c r="W196" i="36"/>
  <c r="V196" i="36"/>
  <c r="AB195" i="36"/>
  <c r="AA195" i="36"/>
  <c r="Z195" i="36"/>
  <c r="Y195" i="36"/>
  <c r="X195" i="36"/>
  <c r="W195" i="36"/>
  <c r="V195" i="36"/>
  <c r="AB194" i="36"/>
  <c r="AA194" i="36"/>
  <c r="Z194" i="36"/>
  <c r="Y194" i="36"/>
  <c r="X194" i="36"/>
  <c r="W194" i="36"/>
  <c r="V194" i="36"/>
  <c r="AB193" i="36"/>
  <c r="AA193" i="36"/>
  <c r="Z193" i="36"/>
  <c r="Y193" i="36"/>
  <c r="X193" i="36"/>
  <c r="W193" i="36"/>
  <c r="V193" i="36"/>
  <c r="AB192" i="36"/>
  <c r="AA192" i="36"/>
  <c r="Z192" i="36"/>
  <c r="Y192" i="36"/>
  <c r="X192" i="36"/>
  <c r="W192" i="36"/>
  <c r="V192" i="36"/>
  <c r="AB191" i="36"/>
  <c r="AA191" i="36"/>
  <c r="Z191" i="36"/>
  <c r="Y191" i="36"/>
  <c r="X191" i="36"/>
  <c r="W191" i="36"/>
  <c r="V191" i="36"/>
  <c r="AB190" i="36"/>
  <c r="AA190" i="36"/>
  <c r="Z190" i="36"/>
  <c r="Y190" i="36"/>
  <c r="X190" i="36"/>
  <c r="W190" i="36"/>
  <c r="V190" i="36"/>
  <c r="AB189" i="36"/>
  <c r="AA189" i="36"/>
  <c r="Z189" i="36"/>
  <c r="Y189" i="36"/>
  <c r="X189" i="36"/>
  <c r="W189" i="36"/>
  <c r="V189" i="36"/>
  <c r="AB188" i="36"/>
  <c r="AA188" i="36"/>
  <c r="Z188" i="36"/>
  <c r="Y188" i="36"/>
  <c r="X188" i="36"/>
  <c r="W188" i="36"/>
  <c r="V188" i="36"/>
  <c r="AB187" i="36"/>
  <c r="AA187" i="36"/>
  <c r="Z187" i="36"/>
  <c r="Y187" i="36"/>
  <c r="X187" i="36"/>
  <c r="W187" i="36"/>
  <c r="V187" i="36"/>
  <c r="AB186" i="36"/>
  <c r="AA186" i="36"/>
  <c r="Z186" i="36"/>
  <c r="Y186" i="36"/>
  <c r="X186" i="36"/>
  <c r="W186" i="36"/>
  <c r="V186" i="36"/>
  <c r="AB185" i="36"/>
  <c r="AA185" i="36"/>
  <c r="Z185" i="36"/>
  <c r="Y185" i="36"/>
  <c r="X185" i="36"/>
  <c r="W185" i="36"/>
  <c r="V185" i="36"/>
  <c r="AB184" i="36"/>
  <c r="AA184" i="36"/>
  <c r="Z184" i="36"/>
  <c r="Y184" i="36"/>
  <c r="X184" i="36"/>
  <c r="W184" i="36"/>
  <c r="V184" i="36"/>
  <c r="AB183" i="36"/>
  <c r="AA183" i="36"/>
  <c r="Z183" i="36"/>
  <c r="Y183" i="36"/>
  <c r="X183" i="36"/>
  <c r="W183" i="36"/>
  <c r="V183" i="36"/>
  <c r="AB182" i="36"/>
  <c r="AA182" i="36"/>
  <c r="Z182" i="36"/>
  <c r="Y182" i="36"/>
  <c r="X182" i="36"/>
  <c r="W182" i="36"/>
  <c r="V182" i="36"/>
  <c r="AB181" i="36"/>
  <c r="AA181" i="36"/>
  <c r="Z181" i="36"/>
  <c r="Y181" i="36"/>
  <c r="X181" i="36"/>
  <c r="W181" i="36"/>
  <c r="V181" i="36"/>
  <c r="AB180" i="36"/>
  <c r="AA180" i="36"/>
  <c r="Z180" i="36"/>
  <c r="Y180" i="36"/>
  <c r="X180" i="36"/>
  <c r="W180" i="36"/>
  <c r="V180" i="36"/>
  <c r="AB179" i="36"/>
  <c r="AA179" i="36"/>
  <c r="Z179" i="36"/>
  <c r="Y179" i="36"/>
  <c r="X179" i="36"/>
  <c r="W179" i="36"/>
  <c r="V179" i="36"/>
  <c r="AB178" i="36"/>
  <c r="AA178" i="36"/>
  <c r="Z178" i="36"/>
  <c r="Y178" i="36"/>
  <c r="X178" i="36"/>
  <c r="W178" i="36"/>
  <c r="V178" i="36"/>
  <c r="AB177" i="36"/>
  <c r="AA177" i="36"/>
  <c r="Z177" i="36"/>
  <c r="Y177" i="36"/>
  <c r="X177" i="36"/>
  <c r="W177" i="36"/>
  <c r="V177" i="36"/>
  <c r="AB176" i="36"/>
  <c r="AA176" i="36"/>
  <c r="Z176" i="36"/>
  <c r="Y176" i="36"/>
  <c r="X176" i="36"/>
  <c r="W176" i="36"/>
  <c r="V176" i="36"/>
  <c r="AB175" i="36"/>
  <c r="AA175" i="36"/>
  <c r="Z175" i="36"/>
  <c r="Y175" i="36"/>
  <c r="X175" i="36"/>
  <c r="W175" i="36"/>
  <c r="V175" i="36"/>
  <c r="AB174" i="36"/>
  <c r="AA174" i="36"/>
  <c r="Z174" i="36"/>
  <c r="Y174" i="36"/>
  <c r="X174" i="36"/>
  <c r="W174" i="36"/>
  <c r="V174" i="36"/>
  <c r="AB173" i="36"/>
  <c r="AA173" i="36"/>
  <c r="Z173" i="36"/>
  <c r="Y173" i="36"/>
  <c r="X173" i="36"/>
  <c r="W173" i="36"/>
  <c r="V173" i="36"/>
  <c r="AB172" i="36"/>
  <c r="AA172" i="36"/>
  <c r="Z172" i="36"/>
  <c r="Y172" i="36"/>
  <c r="X172" i="36"/>
  <c r="W172" i="36"/>
  <c r="V172" i="36"/>
  <c r="AB171" i="36"/>
  <c r="AA171" i="36"/>
  <c r="Z171" i="36"/>
  <c r="Y171" i="36"/>
  <c r="X171" i="36"/>
  <c r="W171" i="36"/>
  <c r="V171" i="36"/>
  <c r="AB170" i="36"/>
  <c r="AA170" i="36"/>
  <c r="Z170" i="36"/>
  <c r="Y170" i="36"/>
  <c r="X170" i="36"/>
  <c r="W170" i="36"/>
  <c r="V170" i="36"/>
  <c r="AB169" i="36"/>
  <c r="AA169" i="36"/>
  <c r="Z169" i="36"/>
  <c r="Y169" i="36"/>
  <c r="X169" i="36"/>
  <c r="W169" i="36"/>
  <c r="V169" i="36"/>
  <c r="AB168" i="36"/>
  <c r="AA168" i="36"/>
  <c r="Z168" i="36"/>
  <c r="Y168" i="36"/>
  <c r="X168" i="36"/>
  <c r="W168" i="36"/>
  <c r="V168" i="36"/>
  <c r="AB167" i="36"/>
  <c r="AA167" i="36"/>
  <c r="Z167" i="36"/>
  <c r="Y167" i="36"/>
  <c r="X167" i="36"/>
  <c r="W167" i="36"/>
  <c r="V167" i="36"/>
  <c r="AB166" i="36"/>
  <c r="AA166" i="36"/>
  <c r="Z166" i="36"/>
  <c r="Y166" i="36"/>
  <c r="X166" i="36"/>
  <c r="W166" i="36"/>
  <c r="V166" i="36"/>
  <c r="AB165" i="36"/>
  <c r="AA165" i="36"/>
  <c r="Z165" i="36"/>
  <c r="Y165" i="36"/>
  <c r="X165" i="36"/>
  <c r="W165" i="36"/>
  <c r="V165" i="36"/>
  <c r="AB164" i="36"/>
  <c r="AA164" i="36"/>
  <c r="Z164" i="36"/>
  <c r="Y164" i="36"/>
  <c r="X164" i="36"/>
  <c r="W164" i="36"/>
  <c r="V164" i="36"/>
  <c r="AB163" i="36"/>
  <c r="AA163" i="36"/>
  <c r="Z163" i="36"/>
  <c r="Y163" i="36"/>
  <c r="X163" i="36"/>
  <c r="W163" i="36"/>
  <c r="V163" i="36"/>
  <c r="AB162" i="36"/>
  <c r="AA162" i="36"/>
  <c r="Z162" i="36"/>
  <c r="Y162" i="36"/>
  <c r="X162" i="36"/>
  <c r="W162" i="36"/>
  <c r="V162" i="36"/>
  <c r="AB161" i="36"/>
  <c r="AA161" i="36"/>
  <c r="Z161" i="36"/>
  <c r="Y161" i="36"/>
  <c r="X161" i="36"/>
  <c r="W161" i="36"/>
  <c r="V161" i="36"/>
  <c r="AB160" i="36"/>
  <c r="AA160" i="36"/>
  <c r="Z160" i="36"/>
  <c r="Y160" i="36"/>
  <c r="X160" i="36"/>
  <c r="W160" i="36"/>
  <c r="V160" i="36"/>
  <c r="AB159" i="36"/>
  <c r="AA159" i="36"/>
  <c r="Z159" i="36"/>
  <c r="Y159" i="36"/>
  <c r="X159" i="36"/>
  <c r="W159" i="36"/>
  <c r="V159" i="36"/>
  <c r="AB158" i="36"/>
  <c r="AA158" i="36"/>
  <c r="Z158" i="36"/>
  <c r="Y158" i="36"/>
  <c r="X158" i="36"/>
  <c r="W158" i="36"/>
  <c r="V158" i="36"/>
  <c r="AB157" i="36"/>
  <c r="AA157" i="36"/>
  <c r="Z157" i="36"/>
  <c r="Y157" i="36"/>
  <c r="X157" i="36"/>
  <c r="W157" i="36"/>
  <c r="V157" i="36"/>
  <c r="AB156" i="36"/>
  <c r="AA156" i="36"/>
  <c r="Z156" i="36"/>
  <c r="Y156" i="36"/>
  <c r="X156" i="36"/>
  <c r="W156" i="36"/>
  <c r="V156" i="36"/>
  <c r="AB155" i="36"/>
  <c r="AA155" i="36"/>
  <c r="Z155" i="36"/>
  <c r="Y155" i="36"/>
  <c r="X155" i="36"/>
  <c r="W155" i="36"/>
  <c r="V155" i="36"/>
  <c r="AB154" i="36"/>
  <c r="AA154" i="36"/>
  <c r="Z154" i="36"/>
  <c r="Y154" i="36"/>
  <c r="X154" i="36"/>
  <c r="W154" i="36"/>
  <c r="V154" i="36"/>
  <c r="AB153" i="36"/>
  <c r="AA153" i="36"/>
  <c r="Z153" i="36"/>
  <c r="Y153" i="36"/>
  <c r="X153" i="36"/>
  <c r="W153" i="36"/>
  <c r="V153" i="36"/>
  <c r="AB152" i="36"/>
  <c r="AA152" i="36"/>
  <c r="Z152" i="36"/>
  <c r="Y152" i="36"/>
  <c r="X152" i="36"/>
  <c r="W152" i="36"/>
  <c r="V152" i="36"/>
  <c r="AB151" i="36"/>
  <c r="AA151" i="36"/>
  <c r="Z151" i="36"/>
  <c r="Y151" i="36"/>
  <c r="X151" i="36"/>
  <c r="W151" i="36"/>
  <c r="V151" i="36"/>
  <c r="AB150" i="36"/>
  <c r="AA150" i="36"/>
  <c r="Z150" i="36"/>
  <c r="Y150" i="36"/>
  <c r="X150" i="36"/>
  <c r="W150" i="36"/>
  <c r="V150" i="36"/>
  <c r="AB149" i="36"/>
  <c r="AA149" i="36"/>
  <c r="Z149" i="36"/>
  <c r="Y149" i="36"/>
  <c r="X149" i="36"/>
  <c r="W149" i="36"/>
  <c r="V149" i="36"/>
  <c r="AB148" i="36"/>
  <c r="AA148" i="36"/>
  <c r="Z148" i="36"/>
  <c r="Y148" i="36"/>
  <c r="X148" i="36"/>
  <c r="W148" i="36"/>
  <c r="V148" i="36"/>
  <c r="AB147" i="36"/>
  <c r="AA147" i="36"/>
  <c r="Z147" i="36"/>
  <c r="Y147" i="36"/>
  <c r="X147" i="36"/>
  <c r="W147" i="36"/>
  <c r="V147" i="36"/>
  <c r="AB146" i="36"/>
  <c r="AA146" i="36"/>
  <c r="Z146" i="36"/>
  <c r="Y146" i="36"/>
  <c r="X146" i="36"/>
  <c r="W146" i="36"/>
  <c r="V146" i="36"/>
  <c r="AB145" i="36"/>
  <c r="AA145" i="36"/>
  <c r="Z145" i="36"/>
  <c r="Y145" i="36"/>
  <c r="X145" i="36"/>
  <c r="W145" i="36"/>
  <c r="V145" i="36"/>
  <c r="AB144" i="36"/>
  <c r="AA144" i="36"/>
  <c r="Z144" i="36"/>
  <c r="Y144" i="36"/>
  <c r="X144" i="36"/>
  <c r="W144" i="36"/>
  <c r="V144" i="36"/>
  <c r="AB143" i="36"/>
  <c r="AA143" i="36"/>
  <c r="Z143" i="36"/>
  <c r="Y143" i="36"/>
  <c r="X143" i="36"/>
  <c r="W143" i="36"/>
  <c r="V143" i="36"/>
  <c r="AB142" i="36"/>
  <c r="AA142" i="36"/>
  <c r="Z142" i="36"/>
  <c r="Y142" i="36"/>
  <c r="X142" i="36"/>
  <c r="W142" i="36"/>
  <c r="V142" i="36"/>
  <c r="AB141" i="36"/>
  <c r="AA141" i="36"/>
  <c r="Z141" i="36"/>
  <c r="Y141" i="36"/>
  <c r="X141" i="36"/>
  <c r="W141" i="36"/>
  <c r="V141" i="36"/>
  <c r="AB140" i="36"/>
  <c r="AA140" i="36"/>
  <c r="Z140" i="36"/>
  <c r="Y140" i="36"/>
  <c r="X140" i="36"/>
  <c r="W140" i="36"/>
  <c r="V140" i="36"/>
  <c r="AB139" i="36"/>
  <c r="AA139" i="36"/>
  <c r="Z139" i="36"/>
  <c r="Y139" i="36"/>
  <c r="X139" i="36"/>
  <c r="W139" i="36"/>
  <c r="V139" i="36"/>
  <c r="AB138" i="36"/>
  <c r="AA138" i="36"/>
  <c r="Z138" i="36"/>
  <c r="Y138" i="36"/>
  <c r="X138" i="36"/>
  <c r="W138" i="36"/>
  <c r="V138" i="36"/>
  <c r="AB137" i="36"/>
  <c r="AA137" i="36"/>
  <c r="Z137" i="36"/>
  <c r="Y137" i="36"/>
  <c r="X137" i="36"/>
  <c r="W137" i="36"/>
  <c r="V137" i="36"/>
  <c r="AB136" i="36"/>
  <c r="AA136" i="36"/>
  <c r="Z136" i="36"/>
  <c r="Y136" i="36"/>
  <c r="X136" i="36"/>
  <c r="W136" i="36"/>
  <c r="V136" i="36"/>
  <c r="AB135" i="36"/>
  <c r="AA135" i="36"/>
  <c r="Z135" i="36"/>
  <c r="Y135" i="36"/>
  <c r="X135" i="36"/>
  <c r="W135" i="36"/>
  <c r="V135" i="36"/>
  <c r="AB134" i="36"/>
  <c r="AA134" i="36"/>
  <c r="Z134" i="36"/>
  <c r="Y134" i="36"/>
  <c r="X134" i="36"/>
  <c r="W134" i="36"/>
  <c r="V134" i="36"/>
  <c r="AB133" i="36"/>
  <c r="AA133" i="36"/>
  <c r="Z133" i="36"/>
  <c r="Y133" i="36"/>
  <c r="X133" i="36"/>
  <c r="W133" i="36"/>
  <c r="V133" i="36"/>
  <c r="AB132" i="36"/>
  <c r="AA132" i="36"/>
  <c r="Z132" i="36"/>
  <c r="Y132" i="36"/>
  <c r="X132" i="36"/>
  <c r="W132" i="36"/>
  <c r="V132" i="36"/>
  <c r="AB131" i="36"/>
  <c r="AA131" i="36"/>
  <c r="Z131" i="36"/>
  <c r="Y131" i="36"/>
  <c r="X131" i="36"/>
  <c r="W131" i="36"/>
  <c r="V131" i="36"/>
  <c r="AB130" i="36"/>
  <c r="AA130" i="36"/>
  <c r="Z130" i="36"/>
  <c r="Y130" i="36"/>
  <c r="X130" i="36"/>
  <c r="W130" i="36"/>
  <c r="V130" i="36"/>
  <c r="AB129" i="36"/>
  <c r="AA129" i="36"/>
  <c r="Z129" i="36"/>
  <c r="Y129" i="36"/>
  <c r="X129" i="36"/>
  <c r="W129" i="36"/>
  <c r="V129" i="36"/>
  <c r="AB128" i="36"/>
  <c r="AA128" i="36"/>
  <c r="Z128" i="36"/>
  <c r="Y128" i="36"/>
  <c r="X128" i="36"/>
  <c r="W128" i="36"/>
  <c r="V128" i="36"/>
  <c r="AB127" i="36"/>
  <c r="AA127" i="36"/>
  <c r="Z127" i="36"/>
  <c r="Y127" i="36"/>
  <c r="X127" i="36"/>
  <c r="W127" i="36"/>
  <c r="V127" i="36"/>
  <c r="AB126" i="36"/>
  <c r="AA126" i="36"/>
  <c r="Z126" i="36"/>
  <c r="Y126" i="36"/>
  <c r="X126" i="36"/>
  <c r="W126" i="36"/>
  <c r="V126" i="36"/>
  <c r="AB125" i="36"/>
  <c r="AA125" i="36"/>
  <c r="Z125" i="36"/>
  <c r="Y125" i="36"/>
  <c r="X125" i="36"/>
  <c r="W125" i="36"/>
  <c r="V125" i="36"/>
  <c r="AB124" i="36"/>
  <c r="AA124" i="36"/>
  <c r="Z124" i="36"/>
  <c r="Y124" i="36"/>
  <c r="X124" i="36"/>
  <c r="W124" i="36"/>
  <c r="V124" i="36"/>
  <c r="AB123" i="36"/>
  <c r="AA123" i="36"/>
  <c r="Z123" i="36"/>
  <c r="Y123" i="36"/>
  <c r="X123" i="36"/>
  <c r="W123" i="36"/>
  <c r="V123" i="36"/>
  <c r="AB122" i="36"/>
  <c r="AA122" i="36"/>
  <c r="Z122" i="36"/>
  <c r="Y122" i="36"/>
  <c r="X122" i="36"/>
  <c r="W122" i="36"/>
  <c r="V122" i="36"/>
  <c r="AB121" i="36"/>
  <c r="AA121" i="36"/>
  <c r="Z121" i="36"/>
  <c r="Y121" i="36"/>
  <c r="X121" i="36"/>
  <c r="W121" i="36"/>
  <c r="V121" i="36"/>
  <c r="AB120" i="36"/>
  <c r="AA120" i="36"/>
  <c r="Z120" i="36"/>
  <c r="Y120" i="36"/>
  <c r="X120" i="36"/>
  <c r="W120" i="36"/>
  <c r="V120" i="36"/>
  <c r="AB119" i="36"/>
  <c r="AA119" i="36"/>
  <c r="Z119" i="36"/>
  <c r="Y119" i="36"/>
  <c r="X119" i="36"/>
  <c r="W119" i="36"/>
  <c r="V119" i="36"/>
  <c r="AB118" i="36"/>
  <c r="AA118" i="36"/>
  <c r="Z118" i="36"/>
  <c r="Y118" i="36"/>
  <c r="X118" i="36"/>
  <c r="W118" i="36"/>
  <c r="V118" i="36"/>
  <c r="AB117" i="36"/>
  <c r="AA117" i="36"/>
  <c r="Z117" i="36"/>
  <c r="Y117" i="36"/>
  <c r="X117" i="36"/>
  <c r="W117" i="36"/>
  <c r="V117" i="36"/>
  <c r="AB116" i="36"/>
  <c r="AA116" i="36"/>
  <c r="Z116" i="36"/>
  <c r="Y116" i="36"/>
  <c r="X116" i="36"/>
  <c r="W116" i="36"/>
  <c r="V116" i="36"/>
  <c r="AB115" i="36"/>
  <c r="AA115" i="36"/>
  <c r="Z115" i="36"/>
  <c r="Y115" i="36"/>
  <c r="X115" i="36"/>
  <c r="W115" i="36"/>
  <c r="V115" i="36"/>
  <c r="AB114" i="36"/>
  <c r="AA114" i="36"/>
  <c r="Z114" i="36"/>
  <c r="Y114" i="36"/>
  <c r="X114" i="36"/>
  <c r="W114" i="36"/>
  <c r="V114" i="36"/>
  <c r="AB113" i="36"/>
  <c r="AA113" i="36"/>
  <c r="Z113" i="36"/>
  <c r="Y113" i="36"/>
  <c r="X113" i="36"/>
  <c r="W113" i="36"/>
  <c r="V113" i="36"/>
  <c r="AB112" i="36"/>
  <c r="AA112" i="36"/>
  <c r="Z112" i="36"/>
  <c r="Y112" i="36"/>
  <c r="X112" i="36"/>
  <c r="W112" i="36"/>
  <c r="V112" i="36"/>
  <c r="AB111" i="36"/>
  <c r="AA111" i="36"/>
  <c r="Z111" i="36"/>
  <c r="Y111" i="36"/>
  <c r="X111" i="36"/>
  <c r="W111" i="36"/>
  <c r="V111" i="36"/>
  <c r="AB110" i="36"/>
  <c r="AA110" i="36"/>
  <c r="Z110" i="36"/>
  <c r="Y110" i="36"/>
  <c r="X110" i="36"/>
  <c r="W110" i="36"/>
  <c r="V110" i="36"/>
  <c r="AB109" i="36"/>
  <c r="AA109" i="36"/>
  <c r="Z109" i="36"/>
  <c r="Y109" i="36"/>
  <c r="X109" i="36"/>
  <c r="W109" i="36"/>
  <c r="V109" i="36"/>
  <c r="AB108" i="36"/>
  <c r="AA108" i="36"/>
  <c r="Z108" i="36"/>
  <c r="Y108" i="36"/>
  <c r="X108" i="36"/>
  <c r="W108" i="36"/>
  <c r="V108" i="36"/>
  <c r="AB107" i="36"/>
  <c r="AA107" i="36"/>
  <c r="Z107" i="36"/>
  <c r="Y107" i="36"/>
  <c r="X107" i="36"/>
  <c r="W107" i="36"/>
  <c r="V107" i="36"/>
  <c r="AB106" i="36"/>
  <c r="AA106" i="36"/>
  <c r="Z106" i="36"/>
  <c r="Y106" i="36"/>
  <c r="X106" i="36"/>
  <c r="W106" i="36"/>
  <c r="V106" i="36"/>
  <c r="AB105" i="36"/>
  <c r="AA105" i="36"/>
  <c r="Z105" i="36"/>
  <c r="Y105" i="36"/>
  <c r="X105" i="36"/>
  <c r="W105" i="36"/>
  <c r="V105" i="36"/>
  <c r="AB104" i="36"/>
  <c r="AA104" i="36"/>
  <c r="Z104" i="36"/>
  <c r="Y104" i="36"/>
  <c r="X104" i="36"/>
  <c r="W104" i="36"/>
  <c r="V104" i="36"/>
  <c r="AB103" i="36"/>
  <c r="AA103" i="36"/>
  <c r="Z103" i="36"/>
  <c r="Y103" i="36"/>
  <c r="X103" i="36"/>
  <c r="W103" i="36"/>
  <c r="V103" i="36"/>
  <c r="AB102" i="36"/>
  <c r="AA102" i="36"/>
  <c r="Z102" i="36"/>
  <c r="Y102" i="36"/>
  <c r="X102" i="36"/>
  <c r="W102" i="36"/>
  <c r="V102" i="36"/>
  <c r="AB101" i="36"/>
  <c r="AA101" i="36"/>
  <c r="Z101" i="36"/>
  <c r="Y101" i="36"/>
  <c r="X101" i="36"/>
  <c r="W101" i="36"/>
  <c r="V101" i="36"/>
  <c r="AB100" i="36"/>
  <c r="AA100" i="36"/>
  <c r="Z100" i="36"/>
  <c r="Y100" i="36"/>
  <c r="X100" i="36"/>
  <c r="W100" i="36"/>
  <c r="V100" i="36"/>
  <c r="AB99" i="36"/>
  <c r="AA99" i="36"/>
  <c r="Z99" i="36"/>
  <c r="Y99" i="36"/>
  <c r="X99" i="36"/>
  <c r="W99" i="36"/>
  <c r="V99" i="36"/>
  <c r="AB98" i="36"/>
  <c r="AA98" i="36"/>
  <c r="Z98" i="36"/>
  <c r="Y98" i="36"/>
  <c r="X98" i="36"/>
  <c r="W98" i="36"/>
  <c r="V98" i="36"/>
  <c r="AB97" i="36"/>
  <c r="AA97" i="36"/>
  <c r="Z97" i="36"/>
  <c r="Y97" i="36"/>
  <c r="X97" i="36"/>
  <c r="W97" i="36"/>
  <c r="V97" i="36"/>
  <c r="AB96" i="36"/>
  <c r="AA96" i="36"/>
  <c r="Z96" i="36"/>
  <c r="Y96" i="36"/>
  <c r="X96" i="36"/>
  <c r="W96" i="36"/>
  <c r="V96" i="36"/>
  <c r="AB95" i="36"/>
  <c r="AA95" i="36"/>
  <c r="Z95" i="36"/>
  <c r="Y95" i="36"/>
  <c r="X95" i="36"/>
  <c r="W95" i="36"/>
  <c r="V95" i="36"/>
  <c r="AB94" i="36"/>
  <c r="AA94" i="36"/>
  <c r="Z94" i="36"/>
  <c r="Y94" i="36"/>
  <c r="X94" i="36"/>
  <c r="W94" i="36"/>
  <c r="V94" i="36"/>
  <c r="AB93" i="36"/>
  <c r="AA93" i="36"/>
  <c r="Z93" i="36"/>
  <c r="Y93" i="36"/>
  <c r="X93" i="36"/>
  <c r="W93" i="36"/>
  <c r="V93" i="36"/>
  <c r="AB92" i="36"/>
  <c r="AA92" i="36"/>
  <c r="Z92" i="36"/>
  <c r="Y92" i="36"/>
  <c r="X92" i="36"/>
  <c r="W92" i="36"/>
  <c r="V92" i="36"/>
  <c r="AB91" i="36"/>
  <c r="AA91" i="36"/>
  <c r="Z91" i="36"/>
  <c r="Y91" i="36"/>
  <c r="X91" i="36"/>
  <c r="W91" i="36"/>
  <c r="V91" i="36"/>
  <c r="AB90" i="36"/>
  <c r="AA90" i="36"/>
  <c r="Z90" i="36"/>
  <c r="Y90" i="36"/>
  <c r="X90" i="36"/>
  <c r="W90" i="36"/>
  <c r="V90" i="36"/>
  <c r="AB89" i="36"/>
  <c r="AA89" i="36"/>
  <c r="Z89" i="36"/>
  <c r="Y89" i="36"/>
  <c r="X89" i="36"/>
  <c r="W89" i="36"/>
  <c r="V89" i="36"/>
  <c r="AB88" i="36"/>
  <c r="AA88" i="36"/>
  <c r="Z88" i="36"/>
  <c r="Y88" i="36"/>
  <c r="X88" i="36"/>
  <c r="W88" i="36"/>
  <c r="V88" i="36"/>
  <c r="AB87" i="36"/>
  <c r="AA87" i="36"/>
  <c r="Z87" i="36"/>
  <c r="Y87" i="36"/>
  <c r="X87" i="36"/>
  <c r="W87" i="36"/>
  <c r="V87" i="36"/>
  <c r="AB86" i="36"/>
  <c r="AA86" i="36"/>
  <c r="Z86" i="36"/>
  <c r="Y86" i="36"/>
  <c r="X86" i="36"/>
  <c r="W86" i="36"/>
  <c r="V86" i="36"/>
  <c r="AB85" i="36"/>
  <c r="AA85" i="36"/>
  <c r="Z85" i="36"/>
  <c r="Y85" i="36"/>
  <c r="X85" i="36"/>
  <c r="W85" i="36"/>
  <c r="V85" i="36"/>
  <c r="AB84" i="36"/>
  <c r="AA84" i="36"/>
  <c r="Z84" i="36"/>
  <c r="Y84" i="36"/>
  <c r="X84" i="36"/>
  <c r="W84" i="36"/>
  <c r="V84" i="36"/>
  <c r="AB83" i="36"/>
  <c r="AA83" i="36"/>
  <c r="Z83" i="36"/>
  <c r="Y83" i="36"/>
  <c r="X83" i="36"/>
  <c r="W83" i="36"/>
  <c r="V83" i="36"/>
  <c r="AB82" i="36"/>
  <c r="AA82" i="36"/>
  <c r="Z82" i="36"/>
  <c r="Y82" i="36"/>
  <c r="X82" i="36"/>
  <c r="W82" i="36"/>
  <c r="V82" i="36"/>
  <c r="AB81" i="36"/>
  <c r="AA81" i="36"/>
  <c r="Z81" i="36"/>
  <c r="Y81" i="36"/>
  <c r="X81" i="36"/>
  <c r="W81" i="36"/>
  <c r="V81" i="36"/>
  <c r="AB80" i="36"/>
  <c r="AA80" i="36"/>
  <c r="Z80" i="36"/>
  <c r="Y80" i="36"/>
  <c r="X80" i="36"/>
  <c r="W80" i="36"/>
  <c r="V80" i="36"/>
  <c r="AB79" i="36"/>
  <c r="AA79" i="36"/>
  <c r="Z79" i="36"/>
  <c r="Y79" i="36"/>
  <c r="X79" i="36"/>
  <c r="W79" i="36"/>
  <c r="V79" i="36"/>
  <c r="AB78" i="36"/>
  <c r="AA78" i="36"/>
  <c r="Z78" i="36"/>
  <c r="Y78" i="36"/>
  <c r="X78" i="36"/>
  <c r="W78" i="36"/>
  <c r="V78" i="36"/>
  <c r="AB77" i="36"/>
  <c r="AA77" i="36"/>
  <c r="Z77" i="36"/>
  <c r="Y77" i="36"/>
  <c r="X77" i="36"/>
  <c r="W77" i="36"/>
  <c r="V77" i="36"/>
  <c r="AB76" i="36"/>
  <c r="AA76" i="36"/>
  <c r="Z76" i="36"/>
  <c r="Y76" i="36"/>
  <c r="X76" i="36"/>
  <c r="W76" i="36"/>
  <c r="V76" i="36"/>
  <c r="AB75" i="36"/>
  <c r="AA75" i="36"/>
  <c r="Z75" i="36"/>
  <c r="Y75" i="36"/>
  <c r="X75" i="36"/>
  <c r="W75" i="36"/>
  <c r="V75" i="36"/>
  <c r="AB74" i="36"/>
  <c r="AA74" i="36"/>
  <c r="Z74" i="36"/>
  <c r="Y74" i="36"/>
  <c r="X74" i="36"/>
  <c r="W74" i="36"/>
  <c r="V74" i="36"/>
  <c r="AB73" i="36"/>
  <c r="AA73" i="36"/>
  <c r="Z73" i="36"/>
  <c r="Y73" i="36"/>
  <c r="X73" i="36"/>
  <c r="W73" i="36"/>
  <c r="V73" i="36"/>
  <c r="AB72" i="36"/>
  <c r="AA72" i="36"/>
  <c r="Z72" i="36"/>
  <c r="Y72" i="36"/>
  <c r="X72" i="36"/>
  <c r="W72" i="36"/>
  <c r="V72" i="36"/>
  <c r="AB71" i="36"/>
  <c r="AA71" i="36"/>
  <c r="Z71" i="36"/>
  <c r="Y71" i="36"/>
  <c r="X71" i="36"/>
  <c r="W71" i="36"/>
  <c r="V71" i="36"/>
  <c r="AB70" i="36"/>
  <c r="AA70" i="36"/>
  <c r="Z70" i="36"/>
  <c r="Y70" i="36"/>
  <c r="X70" i="36"/>
  <c r="W70" i="36"/>
  <c r="V70" i="36"/>
  <c r="AB69" i="36"/>
  <c r="AA69" i="36"/>
  <c r="Z69" i="36"/>
  <c r="Y69" i="36"/>
  <c r="X69" i="36"/>
  <c r="W69" i="36"/>
  <c r="V69" i="36"/>
  <c r="AB68" i="36"/>
  <c r="AA68" i="36"/>
  <c r="Z68" i="36"/>
  <c r="Y68" i="36"/>
  <c r="X68" i="36"/>
  <c r="W68" i="36"/>
  <c r="V68" i="36"/>
  <c r="AB67" i="36"/>
  <c r="AA67" i="36"/>
  <c r="Z67" i="36"/>
  <c r="Y67" i="36"/>
  <c r="X67" i="36"/>
  <c r="W67" i="36"/>
  <c r="V67" i="36"/>
  <c r="AB66" i="36"/>
  <c r="AA66" i="36"/>
  <c r="Z66" i="36"/>
  <c r="Y66" i="36"/>
  <c r="X66" i="36"/>
  <c r="W66" i="36"/>
  <c r="V66" i="36"/>
  <c r="AB65" i="36"/>
  <c r="AA65" i="36"/>
  <c r="Z65" i="36"/>
  <c r="Y65" i="36"/>
  <c r="X65" i="36"/>
  <c r="W65" i="36"/>
  <c r="V65" i="36"/>
  <c r="AB64" i="36"/>
  <c r="AA64" i="36"/>
  <c r="Z64" i="36"/>
  <c r="Y64" i="36"/>
  <c r="X64" i="36"/>
  <c r="W64" i="36"/>
  <c r="V64" i="36"/>
  <c r="AB63" i="36"/>
  <c r="AA63" i="36"/>
  <c r="Z63" i="36"/>
  <c r="Y63" i="36"/>
  <c r="X63" i="36"/>
  <c r="W63" i="36"/>
  <c r="V63" i="36"/>
  <c r="AB62" i="36"/>
  <c r="AA62" i="36"/>
  <c r="Z62" i="36"/>
  <c r="Y62" i="36"/>
  <c r="X62" i="36"/>
  <c r="W62" i="36"/>
  <c r="V62" i="36"/>
  <c r="AB61" i="36"/>
  <c r="AA61" i="36"/>
  <c r="Z61" i="36"/>
  <c r="Y61" i="36"/>
  <c r="X61" i="36"/>
  <c r="W61" i="36"/>
  <c r="V61" i="36"/>
  <c r="AB60" i="36"/>
  <c r="AA60" i="36"/>
  <c r="Z60" i="36"/>
  <c r="Y60" i="36"/>
  <c r="X60" i="36"/>
  <c r="W60" i="36"/>
  <c r="V60" i="36"/>
  <c r="AB59" i="36"/>
  <c r="AA59" i="36"/>
  <c r="Z59" i="36"/>
  <c r="Y59" i="36"/>
  <c r="X59" i="36"/>
  <c r="W59" i="36"/>
  <c r="V59" i="36"/>
  <c r="AB58" i="36"/>
  <c r="AA58" i="36"/>
  <c r="Z58" i="36"/>
  <c r="Y58" i="36"/>
  <c r="X58" i="36"/>
  <c r="W58" i="36"/>
  <c r="V58" i="36"/>
  <c r="AB57" i="36"/>
  <c r="AA57" i="36"/>
  <c r="Z57" i="36"/>
  <c r="Y57" i="36"/>
  <c r="X57" i="36"/>
  <c r="W57" i="36"/>
  <c r="V57" i="36"/>
  <c r="AB56" i="36"/>
  <c r="AA56" i="36"/>
  <c r="Z56" i="36"/>
  <c r="Y56" i="36"/>
  <c r="X56" i="36"/>
  <c r="W56" i="36"/>
  <c r="V56" i="36"/>
  <c r="AB55" i="36"/>
  <c r="AA55" i="36"/>
  <c r="Z55" i="36"/>
  <c r="Y55" i="36"/>
  <c r="X55" i="36"/>
  <c r="W55" i="36"/>
  <c r="V55" i="36"/>
  <c r="AB54" i="36"/>
  <c r="AA54" i="36"/>
  <c r="Z54" i="36"/>
  <c r="Y54" i="36"/>
  <c r="X54" i="36"/>
  <c r="W54" i="36"/>
  <c r="V54" i="36"/>
  <c r="AB53" i="36"/>
  <c r="AA53" i="36"/>
  <c r="Z53" i="36"/>
  <c r="Y53" i="36"/>
  <c r="X53" i="36"/>
  <c r="W53" i="36"/>
  <c r="V53" i="36"/>
  <c r="AB52" i="36"/>
  <c r="AA52" i="36"/>
  <c r="Z52" i="36"/>
  <c r="Y52" i="36"/>
  <c r="X52" i="36"/>
  <c r="W52" i="36"/>
  <c r="V52" i="36"/>
  <c r="AB51" i="36"/>
  <c r="AA51" i="36"/>
  <c r="Z51" i="36"/>
  <c r="Y51" i="36"/>
  <c r="X51" i="36"/>
  <c r="W51" i="36"/>
  <c r="V51" i="36"/>
  <c r="AB50" i="36"/>
  <c r="AA50" i="36"/>
  <c r="Z50" i="36"/>
  <c r="Y50" i="36"/>
  <c r="X50" i="36"/>
  <c r="W50" i="36"/>
  <c r="V50" i="36"/>
  <c r="AB49" i="36"/>
  <c r="AA49" i="36"/>
  <c r="Z49" i="36"/>
  <c r="Y49" i="36"/>
  <c r="X49" i="36"/>
  <c r="W49" i="36"/>
  <c r="V49" i="36"/>
  <c r="AB48" i="36"/>
  <c r="AA48" i="36"/>
  <c r="Z48" i="36"/>
  <c r="Y48" i="36"/>
  <c r="X48" i="36"/>
  <c r="W48" i="36"/>
  <c r="V48" i="36"/>
  <c r="AB47" i="36"/>
  <c r="AA47" i="36"/>
  <c r="Z47" i="36"/>
  <c r="Y47" i="36"/>
  <c r="X47" i="36"/>
  <c r="W47" i="36"/>
  <c r="V47" i="36"/>
  <c r="AB46" i="36"/>
  <c r="AA46" i="36"/>
  <c r="Z46" i="36"/>
  <c r="Y46" i="36"/>
  <c r="X46" i="36"/>
  <c r="W46" i="36"/>
  <c r="V46" i="36"/>
  <c r="AB45" i="36"/>
  <c r="AA45" i="36"/>
  <c r="Z45" i="36"/>
  <c r="Y45" i="36"/>
  <c r="X45" i="36"/>
  <c r="W45" i="36"/>
  <c r="V45" i="36"/>
  <c r="AB44" i="36"/>
  <c r="AA44" i="36"/>
  <c r="Z44" i="36"/>
  <c r="Y44" i="36"/>
  <c r="X44" i="36"/>
  <c r="W44" i="36"/>
  <c r="V44" i="36"/>
  <c r="AB43" i="36"/>
  <c r="AA43" i="36"/>
  <c r="Z43" i="36"/>
  <c r="Y43" i="36"/>
  <c r="X43" i="36"/>
  <c r="W43" i="36"/>
  <c r="V43" i="36"/>
  <c r="AB42" i="36"/>
  <c r="AA42" i="36"/>
  <c r="Z42" i="36"/>
  <c r="Y42" i="36"/>
  <c r="X42" i="36"/>
  <c r="W42" i="36"/>
  <c r="V42" i="36"/>
  <c r="AB41" i="36"/>
  <c r="AA41" i="36"/>
  <c r="Z41" i="36"/>
  <c r="Y41" i="36"/>
  <c r="X41" i="36"/>
  <c r="W41" i="36"/>
  <c r="V41" i="36"/>
  <c r="AB40" i="36"/>
  <c r="AA40" i="36"/>
  <c r="Z40" i="36"/>
  <c r="Y40" i="36"/>
  <c r="X40" i="36"/>
  <c r="W40" i="36"/>
  <c r="V40" i="36"/>
  <c r="AB39" i="36"/>
  <c r="AA39" i="36"/>
  <c r="Z39" i="36"/>
  <c r="Y39" i="36"/>
  <c r="X39" i="36"/>
  <c r="W39" i="36"/>
  <c r="V39" i="36"/>
  <c r="AB38" i="36"/>
  <c r="AA38" i="36"/>
  <c r="Z38" i="36"/>
  <c r="Y38" i="36"/>
  <c r="X38" i="36"/>
  <c r="W38" i="36"/>
  <c r="V38" i="36"/>
  <c r="AB37" i="36"/>
  <c r="AA37" i="36"/>
  <c r="Z37" i="36"/>
  <c r="Y37" i="36"/>
  <c r="X37" i="36"/>
  <c r="W37" i="36"/>
  <c r="V37" i="36"/>
  <c r="AB36" i="36"/>
  <c r="AA36" i="36"/>
  <c r="Z36" i="36"/>
  <c r="Y36" i="36"/>
  <c r="X36" i="36"/>
  <c r="W36" i="36"/>
  <c r="V36" i="36"/>
  <c r="AB35" i="36"/>
  <c r="AA35" i="36"/>
  <c r="Z35" i="36"/>
  <c r="Y35" i="36"/>
  <c r="X35" i="36"/>
  <c r="W35" i="36"/>
  <c r="V35" i="36"/>
  <c r="AB34" i="36"/>
  <c r="AA34" i="36"/>
  <c r="Z34" i="36"/>
  <c r="Y34" i="36"/>
  <c r="X34" i="36"/>
  <c r="W34" i="36"/>
  <c r="V34" i="36"/>
  <c r="AB33" i="36"/>
  <c r="AA33" i="36"/>
  <c r="Z33" i="36"/>
  <c r="Y33" i="36"/>
  <c r="X33" i="36"/>
  <c r="W33" i="36"/>
  <c r="V33" i="36"/>
  <c r="AB32" i="36"/>
  <c r="AA32" i="36"/>
  <c r="Z32" i="36"/>
  <c r="Y32" i="36"/>
  <c r="X32" i="36"/>
  <c r="W32" i="36"/>
  <c r="V32" i="36"/>
  <c r="AB31" i="36"/>
  <c r="AA31" i="36"/>
  <c r="Z31" i="36"/>
  <c r="Y31" i="36"/>
  <c r="X31" i="36"/>
  <c r="W31" i="36"/>
  <c r="V31" i="36"/>
  <c r="AB30" i="36"/>
  <c r="AA30" i="36"/>
  <c r="Z30" i="36"/>
  <c r="Y30" i="36"/>
  <c r="X30" i="36"/>
  <c r="W30" i="36"/>
  <c r="V30" i="36"/>
  <c r="AB29" i="36"/>
  <c r="AA29" i="36"/>
  <c r="Z29" i="36"/>
  <c r="Y29" i="36"/>
  <c r="X29" i="36"/>
  <c r="W29" i="36"/>
  <c r="V29" i="36"/>
  <c r="AB28" i="36"/>
  <c r="AA28" i="36"/>
  <c r="Z28" i="36"/>
  <c r="Y28" i="36"/>
  <c r="X28" i="36"/>
  <c r="W28" i="36"/>
  <c r="V28" i="36"/>
  <c r="AB27" i="36"/>
  <c r="AA27" i="36"/>
  <c r="Z27" i="36"/>
  <c r="Y27" i="36"/>
  <c r="X27" i="36"/>
  <c r="W27" i="36"/>
  <c r="V27" i="36"/>
  <c r="AB26" i="36"/>
  <c r="AA26" i="36"/>
  <c r="Z26" i="36"/>
  <c r="Y26" i="36"/>
  <c r="X26" i="36"/>
  <c r="W26" i="36"/>
  <c r="V26" i="36"/>
  <c r="AB25" i="36"/>
  <c r="AA25" i="36"/>
  <c r="Z25" i="36"/>
  <c r="Y25" i="36"/>
  <c r="X25" i="36"/>
  <c r="W25" i="36"/>
  <c r="V25" i="36"/>
  <c r="AB24" i="36"/>
  <c r="AA24" i="36"/>
  <c r="Z24" i="36"/>
  <c r="Y24" i="36"/>
  <c r="X24" i="36"/>
  <c r="W24" i="36"/>
  <c r="V24" i="36"/>
  <c r="AB23" i="36"/>
  <c r="AA23" i="36"/>
  <c r="Z23" i="36"/>
  <c r="Y23" i="36"/>
  <c r="X23" i="36"/>
  <c r="W23" i="36"/>
  <c r="V23" i="36"/>
  <c r="AB22" i="36"/>
  <c r="AA22" i="36"/>
  <c r="Z22" i="36"/>
  <c r="Y22" i="36"/>
  <c r="X22" i="36"/>
  <c r="W22" i="36"/>
  <c r="V22" i="36"/>
  <c r="AB21" i="36"/>
  <c r="AA21" i="36"/>
  <c r="Z21" i="36"/>
  <c r="Y21" i="36"/>
  <c r="X21" i="36"/>
  <c r="W21" i="36"/>
  <c r="V21" i="36"/>
  <c r="AB20" i="36"/>
  <c r="AA20" i="36"/>
  <c r="Z20" i="36"/>
  <c r="Y20" i="36"/>
  <c r="X20" i="36"/>
  <c r="W20" i="36"/>
  <c r="V20" i="36"/>
  <c r="AB19" i="36"/>
  <c r="AA19" i="36"/>
  <c r="Z19" i="36"/>
  <c r="Y19" i="36"/>
  <c r="X19" i="36"/>
  <c r="W19" i="36"/>
  <c r="V19" i="36"/>
  <c r="AB18" i="36"/>
  <c r="AA18" i="36"/>
  <c r="Z18" i="36"/>
  <c r="Y18" i="36"/>
  <c r="X18" i="36"/>
  <c r="W18" i="36"/>
  <c r="V18" i="36"/>
  <c r="AB17" i="36"/>
  <c r="AA17" i="36"/>
  <c r="Z17" i="36"/>
  <c r="Y17" i="36"/>
  <c r="X17" i="36"/>
  <c r="W17" i="36"/>
  <c r="V17" i="36"/>
  <c r="AB16" i="36"/>
  <c r="AA16" i="36"/>
  <c r="Z16" i="36"/>
  <c r="Y16" i="36"/>
  <c r="X16" i="36"/>
  <c r="W16" i="36"/>
  <c r="V16" i="36"/>
  <c r="AB15" i="36"/>
  <c r="AA15" i="36"/>
  <c r="Z15" i="36"/>
  <c r="Y15" i="36"/>
  <c r="X15" i="36"/>
  <c r="W15" i="36"/>
  <c r="V15" i="36"/>
  <c r="AB14" i="36"/>
  <c r="AA14" i="36"/>
  <c r="Z14" i="36"/>
  <c r="Y14" i="36"/>
  <c r="X14" i="36"/>
  <c r="W14" i="36"/>
  <c r="V14" i="36"/>
  <c r="AB13" i="36"/>
  <c r="AA13" i="36"/>
  <c r="Z13" i="36"/>
  <c r="Y13" i="36"/>
  <c r="X13" i="36"/>
  <c r="W13" i="36"/>
  <c r="V13" i="36"/>
  <c r="AB12" i="36"/>
  <c r="AA12" i="36"/>
  <c r="Z12" i="36"/>
  <c r="Y12" i="36"/>
  <c r="X12" i="36"/>
  <c r="W12" i="36"/>
  <c r="V12" i="36"/>
  <c r="AB11" i="36"/>
  <c r="AA11" i="36"/>
  <c r="Z11" i="36"/>
  <c r="Y11" i="36"/>
  <c r="X11" i="36"/>
  <c r="W11" i="36"/>
  <c r="V11" i="36"/>
  <c r="AB10" i="36"/>
  <c r="AA10" i="36"/>
  <c r="Z10" i="36"/>
  <c r="Y10" i="36"/>
  <c r="X10" i="36"/>
  <c r="W10" i="36"/>
  <c r="V10" i="36"/>
  <c r="AB9" i="36"/>
  <c r="AA9" i="36"/>
  <c r="Z9" i="36"/>
  <c r="Y9" i="36"/>
  <c r="X9" i="36"/>
  <c r="W9" i="36"/>
  <c r="V9" i="36"/>
  <c r="AB8" i="36"/>
  <c r="AA8" i="36"/>
  <c r="Z8" i="36"/>
  <c r="Y8" i="36"/>
  <c r="X8" i="36"/>
  <c r="W8" i="36"/>
  <c r="V8" i="36"/>
  <c r="AB7" i="36"/>
  <c r="AA7" i="36"/>
  <c r="Z7" i="36"/>
  <c r="Y7" i="36"/>
  <c r="X7" i="36"/>
  <c r="W7" i="36"/>
  <c r="V7" i="36"/>
  <c r="AB6" i="36"/>
  <c r="AA6" i="36"/>
  <c r="Z6" i="36"/>
  <c r="Y6" i="36"/>
  <c r="X6" i="36"/>
  <c r="W6" i="36"/>
  <c r="V6" i="36"/>
  <c r="AB5" i="36"/>
  <c r="AA5" i="36"/>
  <c r="Z5" i="36"/>
  <c r="Y5" i="36"/>
  <c r="X5" i="36"/>
  <c r="W5" i="36"/>
  <c r="V5" i="36"/>
  <c r="AB4" i="36"/>
  <c r="AA4" i="36"/>
  <c r="Z4" i="36"/>
  <c r="Y4" i="36"/>
  <c r="X4" i="36"/>
  <c r="W4" i="36"/>
  <c r="V4" i="36"/>
  <c r="AB3" i="36"/>
  <c r="AA3" i="36"/>
  <c r="Z3" i="36"/>
  <c r="Y3" i="36"/>
  <c r="X3" i="36"/>
  <c r="W3" i="36"/>
  <c r="V3" i="36"/>
  <c r="AB2" i="36"/>
  <c r="AA2" i="36"/>
  <c r="Z2" i="36"/>
  <c r="Y2" i="36"/>
  <c r="X2" i="36"/>
  <c r="W2" i="36"/>
  <c r="V2" i="36"/>
  <c r="H2" i="35"/>
  <c r="K4" i="139" s="1"/>
  <c r="K6" i="139" s="1"/>
  <c r="K91" i="144" l="1"/>
  <c r="I91" i="144"/>
  <c r="G90" i="144" l="1"/>
  <c r="H90" i="144" s="1"/>
  <c r="J90" i="144" s="1"/>
  <c r="J8" i="10"/>
  <c r="J7" i="10"/>
  <c r="J6" i="10"/>
  <c r="C7" i="10" s="1"/>
  <c r="J5" i="10"/>
  <c r="C6" i="10"/>
  <c r="C5" i="10"/>
  <c r="C8" i="10"/>
  <c r="C9" i="10"/>
  <c r="K90" i="144" l="1"/>
  <c r="I90" i="144"/>
  <c r="G89" i="144" l="1"/>
  <c r="H89" i="144" s="1"/>
  <c r="J89" i="144" s="1"/>
  <c r="C10" i="10"/>
  <c r="I89" i="144" l="1"/>
  <c r="K89" i="144"/>
  <c r="G88" i="144" l="1"/>
  <c r="H88" i="144" s="1"/>
  <c r="J88" i="144" s="1"/>
  <c r="I88" i="144" l="1"/>
  <c r="K88" i="144"/>
  <c r="G87" i="144" l="1"/>
  <c r="H87" i="144" s="1"/>
  <c r="J87" i="144" s="1"/>
  <c r="K87" i="144" l="1"/>
  <c r="I87" i="144"/>
  <c r="G86" i="144" l="1"/>
  <c r="H86" i="144" s="1"/>
  <c r="J86" i="144" s="1"/>
  <c r="I86" i="144" l="1"/>
  <c r="K86" i="144"/>
  <c r="G85" i="144" l="1"/>
  <c r="H85" i="144" s="1"/>
  <c r="J85" i="144" s="1"/>
  <c r="I85" i="144" l="1"/>
  <c r="K85" i="144"/>
  <c r="G84" i="144" l="1"/>
  <c r="H84" i="144" s="1"/>
  <c r="J84" i="144" s="1"/>
  <c r="I84" i="144" l="1"/>
  <c r="K84" i="144"/>
  <c r="G83" i="144" l="1"/>
  <c r="H83" i="144" s="1"/>
  <c r="J83" i="144" s="1"/>
  <c r="K83" i="144" l="1"/>
  <c r="I83" i="144"/>
  <c r="G82" i="144" l="1"/>
  <c r="H82" i="144" s="1"/>
  <c r="J82" i="144" s="1"/>
  <c r="K82" i="144" l="1"/>
  <c r="I82" i="144"/>
  <c r="G81" i="144" l="1"/>
  <c r="H81" i="144" s="1"/>
  <c r="J81" i="144" s="1"/>
  <c r="I81" i="144" l="1"/>
  <c r="K81" i="144"/>
  <c r="G80" i="144" l="1"/>
  <c r="H80" i="144" s="1"/>
  <c r="J80" i="144" s="1"/>
  <c r="I80" i="144" l="1"/>
  <c r="K80" i="144"/>
  <c r="G79" i="144" l="1"/>
  <c r="H79" i="144" s="1"/>
  <c r="J79" i="144" s="1"/>
  <c r="I79" i="144" l="1"/>
  <c r="K79" i="144"/>
  <c r="G78" i="144" l="1"/>
  <c r="H78" i="144" s="1"/>
  <c r="J78" i="144" s="1"/>
  <c r="I78" i="144" l="1"/>
  <c r="K78" i="144"/>
  <c r="G77" i="144" l="1"/>
  <c r="H77" i="144" s="1"/>
  <c r="J77" i="144" s="1"/>
  <c r="I77" i="144" l="1"/>
  <c r="K77" i="144"/>
  <c r="G76" i="144" l="1"/>
  <c r="H76" i="144" s="1"/>
  <c r="J76" i="144" s="1"/>
  <c r="I76" i="144" l="1"/>
  <c r="K76" i="144"/>
  <c r="G75" i="144" l="1"/>
  <c r="H75" i="144" s="1"/>
  <c r="J75" i="144" s="1"/>
  <c r="I75" i="144" l="1"/>
  <c r="K75" i="144"/>
  <c r="G74" i="144" l="1"/>
  <c r="H74" i="144" s="1"/>
  <c r="J74" i="144" s="1"/>
  <c r="I74" i="144" l="1"/>
  <c r="K74" i="144"/>
  <c r="G73" i="144" l="1"/>
  <c r="H73" i="144" s="1"/>
  <c r="J73" i="144" s="1"/>
  <c r="I73" i="144" l="1"/>
  <c r="K73" i="144"/>
  <c r="G72" i="144" l="1"/>
  <c r="H72" i="144" s="1"/>
  <c r="J72" i="144" s="1"/>
  <c r="I72" i="144" l="1"/>
  <c r="K72" i="144"/>
  <c r="G71" i="144" l="1"/>
  <c r="H71" i="144" s="1"/>
  <c r="J71" i="144" s="1"/>
  <c r="I71" i="144" l="1"/>
  <c r="K71" i="144"/>
  <c r="G70" i="144" l="1"/>
  <c r="H70" i="144" s="1"/>
  <c r="J70" i="144" s="1"/>
  <c r="I70" i="144" l="1"/>
  <c r="K70" i="144"/>
  <c r="G69" i="144" l="1"/>
  <c r="H69" i="144" s="1"/>
  <c r="J69" i="144" s="1"/>
  <c r="I69" i="144" l="1"/>
  <c r="K69" i="144"/>
  <c r="G68" i="144" l="1"/>
  <c r="H68" i="144" s="1"/>
  <c r="J68" i="144" s="1"/>
  <c r="I68" i="144" l="1"/>
  <c r="K68" i="144"/>
  <c r="G67" i="144" l="1"/>
  <c r="H67" i="144" s="1"/>
  <c r="J67" i="144" s="1"/>
  <c r="I67" i="144" l="1"/>
  <c r="K67" i="144"/>
  <c r="G66" i="144" l="1"/>
  <c r="H66" i="144" s="1"/>
  <c r="J66" i="144" s="1"/>
  <c r="I66" i="144" l="1"/>
  <c r="K66" i="144"/>
  <c r="G65" i="144" l="1"/>
  <c r="H65" i="144" s="1"/>
  <c r="J65" i="144" s="1"/>
  <c r="I65" i="144" l="1"/>
  <c r="K65" i="144"/>
  <c r="G64" i="144" l="1"/>
  <c r="H64" i="144" s="1"/>
  <c r="J64" i="144" s="1"/>
  <c r="I64" i="144" l="1"/>
  <c r="K64" i="144"/>
  <c r="G63" i="144" l="1"/>
  <c r="H63" i="144" s="1"/>
  <c r="J63" i="144" s="1"/>
  <c r="I63" i="144" l="1"/>
  <c r="K63" i="144"/>
  <c r="G62" i="144" l="1"/>
  <c r="H62" i="144" s="1"/>
  <c r="J62" i="144" s="1"/>
  <c r="I62" i="144" l="1"/>
  <c r="K62" i="144"/>
  <c r="G61" i="144" l="1"/>
  <c r="H61" i="144" s="1"/>
  <c r="J61" i="144" s="1"/>
  <c r="I61" i="144" l="1"/>
  <c r="K61" i="144"/>
  <c r="G60" i="144" l="1"/>
  <c r="H60" i="144" s="1"/>
  <c r="J60" i="144" s="1"/>
  <c r="I60" i="144" l="1"/>
  <c r="K60" i="144"/>
  <c r="G59" i="144" l="1"/>
  <c r="H59" i="144" s="1"/>
  <c r="J59" i="144" s="1"/>
  <c r="I59" i="144" l="1"/>
  <c r="K59" i="144"/>
  <c r="G58" i="144" l="1"/>
  <c r="H58" i="144" s="1"/>
  <c r="J58" i="144" s="1"/>
  <c r="I58" i="144" l="1"/>
  <c r="K58" i="144"/>
  <c r="G57" i="144" l="1"/>
  <c r="H57" i="144" s="1"/>
  <c r="J57" i="144" s="1"/>
  <c r="I57" i="144" l="1"/>
  <c r="K57" i="144"/>
  <c r="G56" i="144" l="1"/>
  <c r="H56" i="144" s="1"/>
  <c r="J56" i="144" s="1"/>
  <c r="I56" i="144" l="1"/>
  <c r="K56" i="144"/>
  <c r="G55" i="144" l="1"/>
  <c r="H55" i="144" s="1"/>
  <c r="J55" i="144" s="1"/>
  <c r="I55" i="144" l="1"/>
  <c r="K55" i="144"/>
  <c r="G54" i="144" l="1"/>
  <c r="H54" i="144" s="1"/>
  <c r="J54" i="144" s="1"/>
  <c r="I54" i="144" l="1"/>
  <c r="K54" i="144"/>
  <c r="G53" i="144" l="1"/>
  <c r="H53" i="144" s="1"/>
  <c r="J53" i="144" s="1"/>
  <c r="I53" i="144" l="1"/>
  <c r="K53" i="144"/>
  <c r="G52" i="144" l="1"/>
  <c r="H52" i="144" s="1"/>
  <c r="J52" i="144" s="1"/>
  <c r="I52" i="144" l="1"/>
  <c r="K52" i="144"/>
  <c r="G51" i="144" l="1"/>
  <c r="H51" i="144" s="1"/>
  <c r="J51" i="144" s="1"/>
  <c r="I51" i="144" l="1"/>
  <c r="K51" i="144"/>
  <c r="G50" i="144" l="1"/>
  <c r="H50" i="144" s="1"/>
  <c r="J50" i="144" s="1"/>
  <c r="I50" i="144" l="1"/>
  <c r="K50" i="144"/>
  <c r="G49" i="144" l="1"/>
  <c r="H49" i="144" s="1"/>
  <c r="J49" i="144" s="1"/>
  <c r="I49" i="144" l="1"/>
  <c r="K49" i="144"/>
  <c r="G48" i="144" l="1"/>
  <c r="H48" i="144" s="1"/>
  <c r="J48" i="144" s="1"/>
  <c r="I48" i="144" l="1"/>
  <c r="K48" i="144"/>
  <c r="G47" i="144" l="1"/>
  <c r="H47" i="144" s="1"/>
  <c r="J47" i="144" s="1"/>
  <c r="I47" i="144" l="1"/>
  <c r="K47" i="144"/>
  <c r="G46" i="144" l="1"/>
  <c r="H46" i="144" s="1"/>
  <c r="J46" i="144" s="1"/>
  <c r="I46" i="144" l="1"/>
  <c r="K46" i="144"/>
  <c r="G45" i="144" l="1"/>
  <c r="H45" i="144" s="1"/>
  <c r="J45" i="144" s="1"/>
  <c r="I45" i="144" l="1"/>
  <c r="K45" i="144"/>
  <c r="G44" i="144" l="1"/>
  <c r="H44" i="144" s="1"/>
  <c r="J44" i="144" s="1"/>
  <c r="I44" i="144" l="1"/>
  <c r="K44" i="144"/>
  <c r="G43" i="144" l="1"/>
  <c r="H43" i="144" s="1"/>
  <c r="J43" i="144" s="1"/>
  <c r="I43" i="144" l="1"/>
  <c r="K43" i="144"/>
  <c r="G42" i="144" l="1"/>
  <c r="H42" i="144" s="1"/>
  <c r="J42" i="144" s="1"/>
  <c r="I42" i="144" l="1"/>
  <c r="K42" i="144"/>
  <c r="G41" i="144" l="1"/>
  <c r="H41" i="144" s="1"/>
  <c r="J41" i="144" s="1"/>
  <c r="I41" i="144" l="1"/>
  <c r="K41" i="144"/>
  <c r="G40" i="144" l="1"/>
  <c r="H40" i="144" s="1"/>
  <c r="J40" i="144" s="1"/>
  <c r="I40" i="144" l="1"/>
  <c r="K40" i="144"/>
  <c r="G39" i="144" l="1"/>
  <c r="H39" i="144" s="1"/>
  <c r="J39" i="144" s="1"/>
  <c r="I39" i="144" l="1"/>
  <c r="K39" i="144"/>
  <c r="G38" i="144" l="1"/>
  <c r="H38" i="144" s="1"/>
  <c r="J38" i="144" s="1"/>
  <c r="I38" i="144" l="1"/>
  <c r="K38" i="144"/>
  <c r="G37" i="144" l="1"/>
  <c r="H37" i="144" s="1"/>
  <c r="J37" i="144" s="1"/>
  <c r="I37" i="144" l="1"/>
  <c r="K37" i="144"/>
  <c r="G36" i="144" l="1"/>
  <c r="H36" i="144" s="1"/>
  <c r="J36" i="144" s="1"/>
  <c r="I36" i="144" l="1"/>
  <c r="K36" i="144"/>
  <c r="G35" i="144" l="1"/>
  <c r="H35" i="144" s="1"/>
  <c r="J35" i="144" s="1"/>
  <c r="I35" i="144" l="1"/>
  <c r="K35" i="144"/>
  <c r="G34" i="144" l="1"/>
  <c r="H34" i="144" s="1"/>
  <c r="J34" i="144" s="1"/>
  <c r="K34" i="144" l="1"/>
  <c r="I34" i="144"/>
  <c r="G33" i="144" l="1"/>
  <c r="H33" i="144" s="1"/>
  <c r="J33" i="144" s="1"/>
  <c r="I33" i="144" l="1"/>
  <c r="K33" i="144"/>
  <c r="G32" i="144" l="1"/>
  <c r="H32" i="144" s="1"/>
  <c r="J32" i="144" s="1"/>
  <c r="I32" i="144" l="1"/>
  <c r="K32" i="144"/>
  <c r="G31" i="144" l="1"/>
  <c r="H31" i="144" s="1"/>
  <c r="J31" i="144" s="1"/>
  <c r="I31" i="144" l="1"/>
  <c r="K31" i="144"/>
  <c r="G30" i="144" l="1"/>
  <c r="H30" i="144" s="1"/>
  <c r="J30" i="144" s="1"/>
  <c r="I30" i="144" l="1"/>
  <c r="K30" i="144"/>
  <c r="G29" i="144" l="1"/>
  <c r="H29" i="144" s="1"/>
  <c r="J29" i="144" s="1"/>
  <c r="I29" i="144" l="1"/>
  <c r="K29" i="144"/>
  <c r="G28" i="144" l="1"/>
  <c r="H28" i="144" s="1"/>
  <c r="J28" i="144" s="1"/>
  <c r="I28" i="144" l="1"/>
  <c r="K28" i="144"/>
  <c r="G27" i="144" l="1"/>
  <c r="H27" i="144" s="1"/>
  <c r="J27" i="144" s="1"/>
  <c r="I27" i="144" l="1"/>
  <c r="K27" i="144"/>
  <c r="G26" i="144" l="1"/>
  <c r="H26" i="144" s="1"/>
  <c r="J26" i="144" s="1"/>
  <c r="I26" i="144" l="1"/>
  <c r="K26" i="144"/>
  <c r="G25" i="144" l="1"/>
  <c r="H25" i="144" s="1"/>
  <c r="J25" i="144" s="1"/>
  <c r="I25" i="144" l="1"/>
  <c r="K25" i="144"/>
  <c r="G24" i="144" l="1"/>
  <c r="H24" i="144" s="1"/>
  <c r="J24" i="144" s="1"/>
  <c r="I24" i="144" l="1"/>
  <c r="K24" i="144"/>
  <c r="G23" i="144" l="1"/>
  <c r="H23" i="144" s="1"/>
  <c r="J23" i="144" s="1"/>
  <c r="I23" i="144" l="1"/>
  <c r="K23" i="144"/>
  <c r="G22" i="144" l="1"/>
  <c r="H22" i="144" s="1"/>
  <c r="J22" i="144" s="1"/>
  <c r="I22" i="144" l="1"/>
  <c r="K22" i="144"/>
  <c r="G21" i="144" l="1"/>
  <c r="H21" i="144" s="1"/>
  <c r="J21" i="144" s="1"/>
  <c r="I21" i="144" l="1"/>
  <c r="K21" i="144"/>
  <c r="G20" i="144" l="1"/>
  <c r="H20" i="144" s="1"/>
  <c r="J20" i="144" s="1"/>
  <c r="I20" i="144" l="1"/>
  <c r="K20" i="144"/>
  <c r="G19" i="144" l="1"/>
  <c r="H19" i="144" s="1"/>
  <c r="J19" i="144" s="1"/>
  <c r="I19" i="144" l="1"/>
  <c r="K19" i="144"/>
  <c r="G18" i="144" l="1"/>
  <c r="H18" i="144" s="1"/>
  <c r="J18" i="144" s="1"/>
  <c r="I18" i="144" l="1"/>
  <c r="K18" i="144"/>
  <c r="G17" i="144" l="1"/>
  <c r="H17" i="144" s="1"/>
  <c r="J17" i="144" s="1"/>
  <c r="I17" i="144" l="1"/>
  <c r="K17" i="144"/>
  <c r="G16" i="144" l="1"/>
  <c r="H16" i="144" s="1"/>
  <c r="J16" i="144" s="1"/>
  <c r="I16" i="144" l="1"/>
  <c r="K16" i="144"/>
  <c r="G15" i="144" l="1"/>
  <c r="H15" i="144" s="1"/>
  <c r="J15" i="144" s="1"/>
  <c r="I15" i="144" l="1"/>
  <c r="K15" i="144"/>
  <c r="G14" i="144" l="1"/>
  <c r="H14" i="144" s="1"/>
  <c r="J14" i="144" s="1"/>
  <c r="I14" i="144" l="1"/>
  <c r="K14" i="144"/>
  <c r="G13" i="144" l="1"/>
  <c r="H13" i="144" s="1"/>
  <c r="J13" i="144" s="1"/>
  <c r="I13" i="144" l="1"/>
  <c r="K13" i="144"/>
  <c r="G12" i="144" l="1"/>
  <c r="H12" i="144" s="1"/>
  <c r="J12" i="144" s="1"/>
  <c r="I12" i="144" l="1"/>
  <c r="K12" i="144"/>
  <c r="G11" i="144" l="1"/>
  <c r="H11" i="144" s="1"/>
  <c r="J11" i="144" s="1"/>
  <c r="I11" i="144" l="1"/>
  <c r="K11" i="144"/>
  <c r="G10" i="144" l="1"/>
  <c r="H10" i="144" s="1"/>
  <c r="J10" i="144" s="1"/>
  <c r="K10" i="144" l="1"/>
  <c r="I10" i="144"/>
  <c r="G9" i="144" l="1"/>
  <c r="H9" i="144" s="1"/>
  <c r="J9" i="144" s="1"/>
  <c r="I9" i="144" l="1"/>
  <c r="K9" i="144"/>
  <c r="G8" i="144" l="1"/>
  <c r="H8" i="144" s="1"/>
  <c r="J8" i="144" s="1"/>
  <c r="I8" i="144" l="1"/>
  <c r="K8" i="144"/>
  <c r="G7" i="144" l="1"/>
  <c r="H7" i="144" s="1"/>
  <c r="J7" i="144" s="1"/>
  <c r="K7" i="144" l="1"/>
  <c r="I7" i="144"/>
  <c r="G6" i="144" l="1"/>
  <c r="H6" i="144" s="1"/>
  <c r="J6" i="144" s="1"/>
  <c r="I6" i="144" l="1"/>
  <c r="K6" i="144"/>
  <c r="G5" i="144" l="1"/>
  <c r="H5" i="144" s="1"/>
  <c r="J5" i="144" s="1"/>
  <c r="I5" i="144" l="1"/>
  <c r="K5" i="144"/>
  <c r="G4" i="144" l="1"/>
  <c r="H4" i="144" s="1"/>
  <c r="J4" i="144" s="1"/>
  <c r="I4" i="144" l="1"/>
  <c r="K4" i="144"/>
  <c r="G3" i="144" l="1"/>
  <c r="H3" i="144" s="1"/>
  <c r="J3" i="144" s="1"/>
  <c r="I3" i="144" l="1"/>
  <c r="K3" i="144"/>
  <c r="G2" i="144" l="1"/>
  <c r="H2" i="144" s="1"/>
  <c r="J2" i="144" s="1"/>
  <c r="K2" i="144" s="1"/>
  <c r="I2" i="144" l="1"/>
</calcChain>
</file>

<file path=xl/comments1.xml><?xml version="1.0" encoding="utf-8"?>
<comments xmlns="http://schemas.openxmlformats.org/spreadsheetml/2006/main">
  <authors>
    <author>Bjørn Tømmerbakk</author>
  </authors>
  <commentList>
    <comment ref="H7" authorId="0" shapeId="0">
      <text>
        <r>
          <rPr>
            <sz val="8"/>
            <color indexed="81"/>
            <rFont val="Tahoma"/>
            <family val="2"/>
          </rPr>
          <t>Calculated as 'average stock volume' / 'average stock coverage' * 'safety stock volume'</t>
        </r>
      </text>
    </comment>
    <comment ref="H8" authorId="0" shapeId="0">
      <text>
        <r>
          <rPr>
            <sz val="8"/>
            <color indexed="81"/>
            <rFont val="Tahoma"/>
            <family val="2"/>
          </rPr>
          <t>Calculated as Total Usage / Average Stock. Then it's recalculated to annual basis.</t>
        </r>
      </text>
    </comment>
  </commentList>
</comments>
</file>

<file path=xl/comments2.xml><?xml version="1.0" encoding="utf-8"?>
<comments xmlns="http://schemas.openxmlformats.org/spreadsheetml/2006/main">
  <authors>
    <author>Bjørn Tømmerbakk</author>
  </authors>
  <commentList>
    <comment ref="A3" authorId="0" shapeId="0">
      <text>
        <r>
          <rPr>
            <sz val="8"/>
            <color indexed="81"/>
            <rFont val="Tahoma"/>
            <family val="2"/>
          </rPr>
          <t>Share of all rolling usage days below actual safety stock.</t>
        </r>
      </text>
    </comment>
    <comment ref="D3" authorId="0" shapeId="0">
      <text>
        <r>
          <rPr>
            <sz val="8"/>
            <color indexed="81"/>
            <rFont val="Tahoma"/>
            <family val="2"/>
          </rPr>
          <t>Calculated safety stock in pieces divided on total usage in period.</t>
        </r>
      </text>
    </comment>
    <comment ref="G3" authorId="0" shapeId="0">
      <text>
        <r>
          <rPr>
            <sz val="8"/>
            <color indexed="81"/>
            <rFont val="Tahoma"/>
            <family val="2"/>
          </rPr>
          <t>Average dayly quantity actually used  including also all days with zero usage.</t>
        </r>
      </text>
    </comment>
    <comment ref="J3" authorId="0" shapeId="0">
      <text>
        <r>
          <rPr>
            <sz val="8"/>
            <color indexed="81"/>
            <rFont val="Tahoma"/>
            <family val="2"/>
          </rPr>
          <t>Average dayly quantity used  when excluding all days with zero usage.</t>
        </r>
      </text>
    </comment>
    <comment ref="A4" authorId="0" shapeId="0">
      <text>
        <r>
          <rPr>
            <sz val="8"/>
            <color indexed="81"/>
            <rFont val="Tahoma"/>
            <family val="2"/>
          </rPr>
          <t>Input the period in days for which you want to see the rolling usage in the graph below.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Calculated needed safety stock according to needed Safety Days.</t>
        </r>
      </text>
    </comment>
    <comment ref="G4" authorId="0" shapeId="0">
      <text>
        <r>
          <rPr>
            <sz val="8"/>
            <color indexed="81"/>
            <rFont val="Tahoma"/>
            <family val="2"/>
          </rPr>
          <t xml:space="preserve">Average quantity used  within choosen rolling usage period. </t>
        </r>
      </text>
    </comment>
    <comment ref="J4" authorId="0" shapeId="0">
      <text>
        <r>
          <rPr>
            <sz val="8"/>
            <color indexed="81"/>
            <rFont val="Tahoma"/>
            <family val="2"/>
          </rPr>
          <t>Productions often goes over serveral days - this lower this frequency. 
In case of productions usage - look to Future Frequency.</t>
        </r>
      </text>
    </comment>
    <comment ref="A5" authorId="0" shapeId="0">
      <text>
        <r>
          <rPr>
            <sz val="8"/>
            <color indexed="81"/>
            <rFont val="Tahoma"/>
            <family val="2"/>
          </rPr>
          <t>Number of deliveries (Purchasing or Productions)</t>
        </r>
      </text>
    </comment>
    <comment ref="D5" authorId="0" shapeId="0">
      <text>
        <r>
          <rPr>
            <sz val="8"/>
            <color indexed="81"/>
            <rFont val="Tahoma"/>
            <family val="2"/>
          </rPr>
          <t>Average quantity not able to deliver if delivery date appear on rolling usage periods above the safety stock.</t>
        </r>
      </text>
    </comment>
    <comment ref="G5" authorId="0" shapeId="0">
      <text>
        <r>
          <rPr>
            <sz val="8"/>
            <color indexed="81"/>
            <rFont val="Tahoma"/>
            <family val="2"/>
          </rPr>
          <t>Total quantity used in the period.</t>
        </r>
      </text>
    </comment>
    <comment ref="J5" authorId="0" shapeId="0">
      <text>
        <r>
          <rPr>
            <sz val="8"/>
            <color indexed="81"/>
            <rFont val="Tahoma"/>
            <family val="2"/>
          </rPr>
          <t>Average dayly future quantity requirements  when excluding all days with zero usage.</t>
        </r>
      </text>
    </comment>
    <comment ref="A6" authorId="0" shapeId="0">
      <text>
        <r>
          <rPr>
            <sz val="8"/>
            <color indexed="81"/>
            <rFont val="Tahoma"/>
            <family val="2"/>
          </rPr>
          <t>Actual % delivered goods in time.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Not delivered quantity calculated from number of deliveries - and average not delivered if quantity above saf. stock.</t>
        </r>
      </text>
    </comment>
    <comment ref="G6" authorId="0" shapeId="0">
      <text>
        <r>
          <rPr>
            <sz val="8"/>
            <color indexed="81"/>
            <rFont val="Tahoma"/>
            <family val="2"/>
          </rPr>
          <t>Standard deviation from the rolling usage figures - in percent of the average usage.</t>
        </r>
      </text>
    </comment>
    <comment ref="J6" authorId="0" shapeId="0">
      <text>
        <r>
          <rPr>
            <sz val="8"/>
            <color indexed="81"/>
            <rFont val="Tahoma"/>
            <family val="2"/>
          </rPr>
          <t>If usage type is sales, look to the Acc. Usage Frequency.
If production usage - use Future Frequency.</t>
        </r>
      </text>
    </comment>
  </commentList>
</comments>
</file>

<file path=xl/comments3.xml><?xml version="1.0" encoding="utf-8"?>
<comments xmlns="http://schemas.openxmlformats.org/spreadsheetml/2006/main">
  <authors>
    <author>Bjørn Tømmerbakk</author>
  </authors>
  <commentList>
    <comment ref="A8" authorId="0" shapeId="0">
      <text>
        <r>
          <rPr>
            <sz val="9"/>
            <color indexed="81"/>
            <rFont val="Tahoma"/>
            <family val="2"/>
          </rPr>
          <t>Actual stock in quantity one year ago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Actual average stock in units last 12 months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Simulated avergae stock in units based on current simulation values for Lead time, Safety Stock, Lot size and Stock in quantity</t>
        </r>
      </text>
    </comment>
  </commentList>
</comments>
</file>

<file path=xl/comments4.xml><?xml version="1.0" encoding="utf-8"?>
<comments xmlns="http://schemas.openxmlformats.org/spreadsheetml/2006/main">
  <authors>
    <author>Bjørn Tømmerbakk</author>
  </authors>
  <commentList>
    <comment ref="B236" authorId="0" shapeId="0">
      <text>
        <r>
          <rPr>
            <sz val="8"/>
            <color indexed="81"/>
            <rFont val="Tahoma"/>
            <family val="2"/>
          </rPr>
          <t>Total Valuated Stock.  At current time.</t>
        </r>
      </text>
    </comment>
    <comment ref="C236" authorId="0" shapeId="0">
      <text>
        <r>
          <rPr>
            <sz val="8"/>
            <color indexed="81"/>
            <rFont val="Tahoma"/>
            <family val="2"/>
          </rPr>
          <t>Usage so far this day + not consumpted prognoses.</t>
        </r>
      </text>
    </comment>
    <comment ref="B237" authorId="0" shapeId="0">
      <text>
        <r>
          <rPr>
            <sz val="8"/>
            <color indexed="81"/>
            <rFont val="Tahoma"/>
            <family val="2"/>
          </rPr>
          <t>Stock at the end of the day.</t>
        </r>
      </text>
    </comment>
    <comment ref="C237" authorId="0" shapeId="0">
      <text>
        <r>
          <rPr>
            <sz val="8"/>
            <color indexed="81"/>
            <rFont val="Tahoma"/>
            <family val="2"/>
          </rPr>
          <t>Total Usage at certain date.</t>
        </r>
      </text>
    </comment>
  </commentList>
</comments>
</file>

<file path=xl/comments5.xml><?xml version="1.0" encoding="utf-8"?>
<comments xmlns="http://schemas.openxmlformats.org/spreadsheetml/2006/main">
  <authors>
    <author>Bjørn Tømmerbakk</author>
  </authors>
  <commentList>
    <comment ref="C249" authorId="0" shapeId="0">
      <text>
        <r>
          <rPr>
            <sz val="8"/>
            <color indexed="81"/>
            <rFont val="Tahoma"/>
            <family val="2"/>
          </rPr>
          <t>Requirements tomorrow + not withdrawn from today.</t>
        </r>
      </text>
    </comment>
    <comment ref="B250" authorId="0" shapeId="0">
      <text>
        <r>
          <rPr>
            <sz val="8"/>
            <color indexed="81"/>
            <rFont val="Tahoma"/>
            <family val="2"/>
          </rPr>
          <t>Total Valuated Stock.  At current time.</t>
        </r>
      </text>
    </comment>
    <comment ref="C250" authorId="0" shapeId="0">
      <text>
        <r>
          <rPr>
            <sz val="8"/>
            <color indexed="81"/>
            <rFont val="Tahoma"/>
            <family val="2"/>
          </rPr>
          <t>Usage so far this day + not consumpted prognoses.</t>
        </r>
      </text>
    </comment>
    <comment ref="W250" authorId="0" shapeId="0">
      <text>
        <r>
          <rPr>
            <sz val="8"/>
            <color indexed="81"/>
            <rFont val="Tahoma"/>
            <family val="2"/>
          </rPr>
          <t>Requirements today (part of Usage today).</t>
        </r>
      </text>
    </comment>
    <comment ref="B251" authorId="0" shapeId="0">
      <text>
        <r>
          <rPr>
            <sz val="8"/>
            <color indexed="81"/>
            <rFont val="Tahoma"/>
            <family val="2"/>
          </rPr>
          <t>Stock at the end of the day.</t>
        </r>
      </text>
    </comment>
    <comment ref="C251" authorId="0" shapeId="0">
      <text>
        <r>
          <rPr>
            <sz val="8"/>
            <color indexed="81"/>
            <rFont val="Tahoma"/>
            <family val="2"/>
          </rPr>
          <t>Total Usage at certain date.</t>
        </r>
      </text>
    </comment>
  </commentList>
</comments>
</file>

<file path=xl/connections.xml><?xml version="1.0" encoding="utf-8"?>
<connections xmlns="http://schemas.openxmlformats.org/spreadsheetml/2006/main">
  <connection id="1" name="product" type="4" refreshedVersion="0" background="1">
    <webPr xml="1" sourceData="1" url="C:\Users\abottu\Desktop\product.xml" htmlTables="1" htmlFormat="all"/>
  </connection>
</connections>
</file>

<file path=xl/sharedStrings.xml><?xml version="1.0" encoding="utf-8"?>
<sst xmlns="http://schemas.openxmlformats.org/spreadsheetml/2006/main" count="2847" uniqueCount="587">
  <si>
    <t>ReportName</t>
  </si>
  <si>
    <t>ReportID</t>
  </si>
  <si>
    <t>Plnt</t>
  </si>
  <si>
    <t>Material</t>
  </si>
  <si>
    <t>SLoc</t>
  </si>
  <si>
    <t>BUn</t>
  </si>
  <si>
    <t>Prc</t>
  </si>
  <si>
    <t>NOA104</t>
  </si>
  <si>
    <t>Currency</t>
  </si>
  <si>
    <t>Budget price this year</t>
  </si>
  <si>
    <t>Current calculated standard price</t>
  </si>
  <si>
    <t>This sheet is used to handle user selections in the ribbon group Options</t>
  </si>
  <si>
    <t>Description</t>
  </si>
  <si>
    <t>Ribbon options</t>
  </si>
  <si>
    <t>Value</t>
  </si>
  <si>
    <t>Moving</t>
  </si>
  <si>
    <t>Budget</t>
  </si>
  <si>
    <t>Standard</t>
  </si>
  <si>
    <t>Item tag</t>
  </si>
  <si>
    <t>Price for current stock (moving average)</t>
  </si>
  <si>
    <t>FirstSheet</t>
  </si>
  <si>
    <t>FirstTable</t>
  </si>
  <si>
    <t>From</t>
  </si>
  <si>
    <t>To</t>
  </si>
  <si>
    <t>Valid from</t>
  </si>
  <si>
    <t>Profit Center</t>
  </si>
  <si>
    <t>FieldName</t>
  </si>
  <si>
    <t>Plant</t>
  </si>
  <si>
    <t>QuantityUnit</t>
  </si>
  <si>
    <t>SalesValue</t>
  </si>
  <si>
    <t>CustomerHierarchy</t>
  </si>
  <si>
    <t>ProductHierarchy</t>
  </si>
  <si>
    <t>MaterialPrice</t>
  </si>
  <si>
    <t>Delivery</t>
  </si>
  <si>
    <t>NOA108</t>
  </si>
  <si>
    <t>C</t>
  </si>
  <si>
    <t>A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</si>
  <si>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</si>
  <si>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</si>
  <si>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</si>
  <si>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</si>
  <si>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</si>
  <si>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</si>
  <si>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</si>
  <si>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</si>
  <si>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</si>
  <si>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</si>
  <si>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Customer</t>
  </si>
  <si>
    <t>NO</t>
  </si>
  <si>
    <t>This sheet contains report information used by the addin</t>
  </si>
  <si>
    <t>Sold To Party</t>
  </si>
  <si>
    <t>Regional</t>
  </si>
  <si>
    <t>National</t>
  </si>
  <si>
    <t>International</t>
  </si>
  <si>
    <t>Level</t>
  </si>
  <si>
    <t>Column</t>
  </si>
  <si>
    <t>Level 1</t>
  </si>
  <si>
    <t>Level 2</t>
  </si>
  <si>
    <t>Level 3</t>
  </si>
  <si>
    <t>Level 4</t>
  </si>
  <si>
    <t>Characters</t>
  </si>
  <si>
    <t>Product Hierarchy Level 1</t>
  </si>
  <si>
    <t>Product Hierarchy Level 2</t>
  </si>
  <si>
    <t>Product Hierarchy Level 3</t>
  </si>
  <si>
    <t>Product Hierarchy Level 4</t>
  </si>
  <si>
    <t>RE</t>
  </si>
  <si>
    <t>IN</t>
  </si>
  <si>
    <t>NOA109</t>
  </si>
  <si>
    <t>FS</t>
  </si>
  <si>
    <t>NOA102</t>
  </si>
  <si>
    <t>NOK102</t>
  </si>
  <si>
    <t>Sector</t>
  </si>
  <si>
    <t>Material Price</t>
  </si>
  <si>
    <t>ReportCaption</t>
  </si>
  <si>
    <t>X</t>
  </si>
  <si>
    <t>BR</t>
  </si>
  <si>
    <t>Asko Sentrallager AS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</si>
  <si>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</si>
  <si>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</si>
  <si>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</si>
  <si>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</si>
  <si>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</si>
  <si>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</si>
  <si>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</si>
  <si>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</si>
  <si>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</si>
  <si>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</si>
  <si>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</si>
  <si>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</si>
  <si>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</si>
  <si>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</si>
  <si>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</si>
  <si>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</si>
  <si>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</si>
  <si>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</si>
  <si>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</si>
  <si>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</si>
  <si>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</si>
  <si>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</si>
  <si>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</si>
  <si>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</si>
  <si>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</si>
  <si>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</si>
  <si>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</si>
  <si>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</si>
  <si>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</si>
  <si>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</si>
  <si>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</si>
  <si>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</si>
  <si>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Gross</t>
  </si>
  <si>
    <t>Default</t>
  </si>
  <si>
    <t>NOAR</t>
  </si>
  <si>
    <t>SLHA</t>
  </si>
  <si>
    <t>P-S matl status</t>
  </si>
  <si>
    <t>ABC Indicator</t>
  </si>
  <si>
    <t>Critical Part</t>
  </si>
  <si>
    <t>Purch. Group</t>
  </si>
  <si>
    <t>Unit of issue</t>
  </si>
  <si>
    <t>MRP profile</t>
  </si>
  <si>
    <t>MRP Type</t>
  </si>
  <si>
    <t>MRP Controller</t>
  </si>
  <si>
    <t>Controller name</t>
  </si>
  <si>
    <t>Pl. Deliv. Time</t>
  </si>
  <si>
    <t>GR Proc. Time</t>
  </si>
  <si>
    <t>Period Ind.</t>
  </si>
  <si>
    <t>Lot size</t>
  </si>
  <si>
    <t>Procurement</t>
  </si>
  <si>
    <t>SpecProcurement</t>
  </si>
  <si>
    <t>Reorder Point</t>
  </si>
  <si>
    <t>Safety Stock</t>
  </si>
  <si>
    <t>Min. Lot Size</t>
  </si>
  <si>
    <t>Max. Lot Size</t>
  </si>
  <si>
    <t>Fixed lot size</t>
  </si>
  <si>
    <t>Rounding value</t>
  </si>
  <si>
    <t>Safety time ind</t>
  </si>
  <si>
    <t>Safety time</t>
  </si>
  <si>
    <t>Current period</t>
  </si>
  <si>
    <t>Year cur.period</t>
  </si>
  <si>
    <t>Min SafetyStock</t>
  </si>
  <si>
    <t>Base Unit</t>
  </si>
  <si>
    <t>Material Group</t>
  </si>
  <si>
    <t>Tot. shelf life</t>
  </si>
  <si>
    <t>Rem. Shelf Life</t>
  </si>
  <si>
    <t>LEADBUYER</t>
  </si>
  <si>
    <t>LEADBUYERN</t>
  </si>
  <si>
    <t>LEADDEVEL</t>
  </si>
  <si>
    <t>LEADDEVELN</t>
  </si>
  <si>
    <t>Mat.Name:</t>
  </si>
  <si>
    <t>00.00.0000</t>
  </si>
  <si>
    <t>CT</t>
  </si>
  <si>
    <t>A001</t>
  </si>
  <si>
    <t>ZD</t>
  </si>
  <si>
    <t>Finished goods</t>
  </si>
  <si>
    <t>M</t>
  </si>
  <si>
    <t>E</t>
  </si>
  <si>
    <t>PCE</t>
  </si>
  <si>
    <t>F106</t>
  </si>
  <si>
    <t>Swedish Pea soup</t>
  </si>
  <si>
    <t>Unrestricted</t>
  </si>
  <si>
    <t>Stock in tfr</t>
  </si>
  <si>
    <t>In Qual. Insp.</t>
  </si>
  <si>
    <t>Restricted-Use</t>
  </si>
  <si>
    <t>Blocked</t>
  </si>
  <si>
    <t>TotStock</t>
  </si>
  <si>
    <t>Returns</t>
  </si>
  <si>
    <t>Unrestr.-use</t>
  </si>
  <si>
    <t>In transfer</t>
  </si>
  <si>
    <t>Restr.-use PP</t>
  </si>
  <si>
    <t>Stock in Trans.</t>
  </si>
  <si>
    <t>PLAAB</t>
  </si>
  <si>
    <t>SORT1</t>
  </si>
  <si>
    <t>SORT2</t>
  </si>
  <si>
    <t>DELKZ</t>
  </si>
  <si>
    <t>PLUMI</t>
  </si>
  <si>
    <t>DAT00</t>
  </si>
  <si>
    <t>DAT01</t>
  </si>
  <si>
    <t>DELB0</t>
  </si>
  <si>
    <t>EXTRA</t>
  </si>
  <si>
    <t>AUSSL</t>
  </si>
  <si>
    <t>AUSKT</t>
  </si>
  <si>
    <t>MNG01</t>
  </si>
  <si>
    <t>DAT02</t>
  </si>
  <si>
    <t>WRK01</t>
  </si>
  <si>
    <t>WRK02</t>
  </si>
  <si>
    <t>SLOC2</t>
  </si>
  <si>
    <t>LGORT</t>
  </si>
  <si>
    <t>LIFNR</t>
  </si>
  <si>
    <t>KUNNR</t>
  </si>
  <si>
    <t>MD4KD</t>
  </si>
  <si>
    <t>MD4LI</t>
  </si>
  <si>
    <t>Vendor</t>
  </si>
  <si>
    <t>Date</t>
  </si>
  <si>
    <t>Week</t>
  </si>
  <si>
    <t>Month</t>
  </si>
  <si>
    <t>Year</t>
  </si>
  <si>
    <t>NetQty</t>
  </si>
  <si>
    <t>WB</t>
  </si>
  <si>
    <t>Stock</t>
  </si>
  <si>
    <t>5530,000</t>
  </si>
  <si>
    <t>VJ</t>
  </si>
  <si>
    <t>-</t>
  </si>
  <si>
    <t>Delvry</t>
  </si>
  <si>
    <t>0080692738/000540/0000</t>
  </si>
  <si>
    <t>-1150,000</t>
  </si>
  <si>
    <t>+</t>
  </si>
  <si>
    <t>PrcOrd</t>
  </si>
  <si>
    <t>000100470971/YPI1/Re</t>
  </si>
  <si>
    <t>U2</t>
  </si>
  <si>
    <t>10676,000</t>
  </si>
  <si>
    <t>PP</t>
  </si>
  <si>
    <t>IndReq</t>
  </si>
  <si>
    <t>VSF</t>
  </si>
  <si>
    <t>-184,000</t>
  </si>
  <si>
    <t>-188,000</t>
  </si>
  <si>
    <t>-190,000</t>
  </si>
  <si>
    <t>-202,000</t>
  </si>
  <si>
    <t>-216,000</t>
  </si>
  <si>
    <t>-214,000</t>
  </si>
  <si>
    <t>-360,000</t>
  </si>
  <si>
    <t>PA</t>
  </si>
  <si>
    <t>PldOrd</t>
  </si>
  <si>
    <t>0100252280/STCK**</t>
  </si>
  <si>
    <t>16944,000</t>
  </si>
  <si>
    <t>-418,000</t>
  </si>
  <si>
    <t>-416,000</t>
  </si>
  <si>
    <t>-414,000</t>
  </si>
  <si>
    <t>-384,000</t>
  </si>
  <si>
    <t>-392,000</t>
  </si>
  <si>
    <t>-396,000</t>
  </si>
  <si>
    <t>-354,000</t>
  </si>
  <si>
    <t>-206,000</t>
  </si>
  <si>
    <t>-208,000</t>
  </si>
  <si>
    <t>0101509279/STCK</t>
  </si>
  <si>
    <t>11469,000</t>
  </si>
  <si>
    <t>-204,000</t>
  </si>
  <si>
    <t>-292,000</t>
  </si>
  <si>
    <t>-294,000</t>
  </si>
  <si>
    <t>-445,000</t>
  </si>
  <si>
    <t>-220,000</t>
  </si>
  <si>
    <t>-192,000</t>
  </si>
  <si>
    <t>-194,000</t>
  </si>
  <si>
    <t>0101378970/STCK</t>
  </si>
  <si>
    <t>15819,000</t>
  </si>
  <si>
    <t>-586,000</t>
  </si>
  <si>
    <t>-584,000</t>
  </si>
  <si>
    <t>-180,000</t>
  </si>
  <si>
    <t>-182,000</t>
  </si>
  <si>
    <t>-172,000</t>
  </si>
  <si>
    <t>0101378971/STCK</t>
  </si>
  <si>
    <t>6538,000</t>
  </si>
  <si>
    <t>-198,000</t>
  </si>
  <si>
    <t>-270,000</t>
  </si>
  <si>
    <t>-203,000</t>
  </si>
  <si>
    <t>-323,000</t>
  </si>
  <si>
    <t>-322,000</t>
  </si>
  <si>
    <t>-94,000</t>
  </si>
  <si>
    <t>-92,000</t>
  </si>
  <si>
    <t>-115,000</t>
  </si>
  <si>
    <t>LB</t>
  </si>
  <si>
    <t>SLocSt</t>
  </si>
  <si>
    <t>SLEA StLoc: not plnd</t>
  </si>
  <si>
    <t>0,000</t>
  </si>
  <si>
    <t>SLEA</t>
  </si>
  <si>
    <t>Sum av NetQty</t>
  </si>
  <si>
    <t>Mat. Doc.</t>
  </si>
  <si>
    <t>Number of Material Document</t>
  </si>
  <si>
    <t>MatYr</t>
  </si>
  <si>
    <t>Material Document Year</t>
  </si>
  <si>
    <t>MvT</t>
  </si>
  <si>
    <t>Movement Type (Inventory Management)</t>
  </si>
  <si>
    <t>Material in Respect of Which Stock is Managed</t>
  </si>
  <si>
    <t>Storage Location</t>
  </si>
  <si>
    <t>Batch</t>
  </si>
  <si>
    <t>Batch Number</t>
  </si>
  <si>
    <t>Quantity</t>
  </si>
  <si>
    <t>Quantity in Unit of Entry</t>
  </si>
  <si>
    <t>Base Unit of Measure</t>
  </si>
  <si>
    <t>Tfr</t>
  </si>
  <si>
    <t>Special Stock Indicator for Physical Stock Transfer</t>
  </si>
  <si>
    <t>Mvt</t>
  </si>
  <si>
    <t>Cns</t>
  </si>
  <si>
    <t>Consumption Posting</t>
  </si>
  <si>
    <t>Rec</t>
  </si>
  <si>
    <t>Receipt Indicator</t>
  </si>
  <si>
    <t>MTy</t>
  </si>
  <si>
    <t>Movement Type for Warehouse Management</t>
  </si>
  <si>
    <t>S</t>
  </si>
  <si>
    <t>Material Staging Indicator for Production Supply</t>
  </si>
  <si>
    <t>Pstng Date</t>
  </si>
  <si>
    <t>Posting Date in the Document</t>
  </si>
  <si>
    <t>User Name</t>
  </si>
  <si>
    <t>Entry Dte</t>
  </si>
  <si>
    <t>Day On Which Accounting Document Was Entered</t>
  </si>
  <si>
    <t>Time</t>
  </si>
  <si>
    <t>Time of Entry</t>
  </si>
  <si>
    <t>D/C</t>
  </si>
  <si>
    <t>Debit/credit indicator for the stock movement</t>
  </si>
  <si>
    <t>Movement Type Text</t>
  </si>
  <si>
    <t>Movement Type Text (Inventory Management)</t>
  </si>
  <si>
    <t>Order</t>
  </si>
  <si>
    <t>Order Number</t>
  </si>
  <si>
    <t>PO</t>
  </si>
  <si>
    <t>Purchase Order Number</t>
  </si>
  <si>
    <t>Reas.</t>
  </si>
  <si>
    <t>Reason for Movement</t>
  </si>
  <si>
    <t>Total valuated stock before th</t>
  </si>
  <si>
    <t>Total valuated stock before the transaction</t>
  </si>
  <si>
    <t>W</t>
  </si>
  <si>
    <t>Indicator: posting in warehouse management system</t>
  </si>
  <si>
    <t>StR</t>
  </si>
  <si>
    <t>Transaction/event is relevant to statistics</t>
  </si>
  <si>
    <t>Value of total valuated stock</t>
  </si>
  <si>
    <t>Crcy</t>
  </si>
  <si>
    <t>Currency Key</t>
  </si>
  <si>
    <t>Manuf. Dte</t>
  </si>
  <si>
    <t>Date of Manufacture</t>
  </si>
  <si>
    <t>StockOut</t>
  </si>
  <si>
    <t>System Field</t>
  </si>
  <si>
    <t>StockTest</t>
  </si>
  <si>
    <t xml:space="preserve">Net Stock Movement Quantity </t>
  </si>
  <si>
    <t>Dates</t>
  </si>
  <si>
    <t>Calendar Dates</t>
  </si>
  <si>
    <t>Stock in BUm</t>
  </si>
  <si>
    <t>Stock Quantity in Base Unit of Measure</t>
  </si>
  <si>
    <t>Usage</t>
  </si>
  <si>
    <t>Total usage Quantity</t>
  </si>
  <si>
    <t>Coverage Work Days</t>
  </si>
  <si>
    <t>Stock Coverage in Work Days</t>
  </si>
  <si>
    <t>Future</t>
  </si>
  <si>
    <t>Requirements and Prognosis</t>
  </si>
  <si>
    <t>Avg. Coverage</t>
  </si>
  <si>
    <t>Avg. Stock Coverage in selected period</t>
  </si>
  <si>
    <t>Type</t>
  </si>
  <si>
    <t>Future requirements / prognosis or Historical Stock Usage</t>
  </si>
  <si>
    <t>Year of the selected day</t>
  </si>
  <si>
    <t>Month of the selected day</t>
  </si>
  <si>
    <t>Week number of the selected day</t>
  </si>
  <si>
    <t>Material requirements planning segment</t>
  </si>
  <si>
    <t>Sort indicator 01</t>
  </si>
  <si>
    <t>Sort indicator 02</t>
  </si>
  <si>
    <t>MRP element</t>
  </si>
  <si>
    <t>Receipt/issue indicator</t>
  </si>
  <si>
    <t>Receipt/Requirements date</t>
  </si>
  <si>
    <t>Delivery/order finish date</t>
  </si>
  <si>
    <t>Abbreviation for MRP element</t>
  </si>
  <si>
    <t>MRP element data</t>
  </si>
  <si>
    <t>Exception message key</t>
  </si>
  <si>
    <t>Exception message number</t>
  </si>
  <si>
    <t>Quantity received or quantity required</t>
  </si>
  <si>
    <t>Start/release date</t>
  </si>
  <si>
    <t>Planning Plant</t>
  </si>
  <si>
    <t>Issuing/Receiving Storage Location</t>
  </si>
  <si>
    <t>Account Number of Vendor or Creditor</t>
  </si>
  <si>
    <t>Customer Number 1</t>
  </si>
  <si>
    <t>Customer name</t>
  </si>
  <si>
    <t>Vendor name</t>
  </si>
  <si>
    <t>Customer Number and Name</t>
  </si>
  <si>
    <t>Vendor Number and Name</t>
  </si>
  <si>
    <t>Date of MRP Element</t>
  </si>
  <si>
    <t>Week Number</t>
  </si>
  <si>
    <t>Month Number</t>
  </si>
  <si>
    <t>Year of MRP Date</t>
  </si>
  <si>
    <t>Net MRP Quantity</t>
  </si>
  <si>
    <t>- Use this report to simulate stock development and service levels</t>
  </si>
  <si>
    <t xml:space="preserve">  for individual materials.</t>
  </si>
  <si>
    <t>- You'll be able to simulate stock and service levels from these input variables:</t>
  </si>
  <si>
    <t xml:space="preserve">   - Lead Time</t>
  </si>
  <si>
    <t xml:space="preserve">   - Safety Time</t>
  </si>
  <si>
    <t xml:space="preserve">   - Lot Size</t>
  </si>
  <si>
    <t xml:space="preserve">   - Different stock in quantities</t>
  </si>
  <si>
    <t>- The report will show 24 months of historic material usage/sales.</t>
  </si>
  <si>
    <t>Stock History 500011 Kylling 6x6x6 Fryse-Tørket</t>
  </si>
  <si>
    <t>UsageTest</t>
  </si>
  <si>
    <t>NewDate</t>
  </si>
  <si>
    <t>Sum av StockIn</t>
  </si>
  <si>
    <t>Stock Coverage Analysis - Work Days</t>
  </si>
  <si>
    <t>Current Stock key Figures</t>
  </si>
  <si>
    <t>Minium coverage</t>
  </si>
  <si>
    <t>Valuated Stock</t>
  </si>
  <si>
    <t>Maximum coverage</t>
  </si>
  <si>
    <t>Valuated Stock, not blocked</t>
  </si>
  <si>
    <t>Average coverage Valuated Stock</t>
  </si>
  <si>
    <t>Coverage Stock, not blocked</t>
  </si>
  <si>
    <t>WD</t>
  </si>
  <si>
    <t>Average coverage Safety Stock</t>
  </si>
  <si>
    <t>Inventory Turnover</t>
  </si>
  <si>
    <t>Avg</t>
  </si>
  <si>
    <t>Max</t>
  </si>
  <si>
    <t>Rol. usage below Saf. Stock</t>
  </si>
  <si>
    <t>Safety Stock Days</t>
  </si>
  <si>
    <t>Average Usage</t>
  </si>
  <si>
    <t>Average Usage Qty</t>
  </si>
  <si>
    <t>Rolling Safety Days</t>
  </si>
  <si>
    <t>Safety Stock PCEs</t>
  </si>
  <si>
    <t>Average Usage Rolling Period</t>
  </si>
  <si>
    <t>Average Usage Frequency</t>
  </si>
  <si>
    <t>Number of Deliveries</t>
  </si>
  <si>
    <t>Average not delivered</t>
  </si>
  <si>
    <t>Total Usage</t>
  </si>
  <si>
    <t>Future Usage Qty</t>
  </si>
  <si>
    <t>Actual Service Level</t>
  </si>
  <si>
    <t>Actual not delivered</t>
  </si>
  <si>
    <t>Std. deviation / average</t>
  </si>
  <si>
    <t>Future Usage Frequency</t>
  </si>
  <si>
    <t>Simulation Range</t>
  </si>
  <si>
    <t>Current simulation</t>
  </si>
  <si>
    <t>Values</t>
  </si>
  <si>
    <t>Unit</t>
  </si>
  <si>
    <t>Step</t>
  </si>
  <si>
    <t>Lead time</t>
  </si>
  <si>
    <t>days</t>
  </si>
  <si>
    <t>Stock in</t>
  </si>
  <si>
    <t>units</t>
  </si>
  <si>
    <t>Avg actual stock</t>
  </si>
  <si>
    <t>Avg simulated stock</t>
  </si>
  <si>
    <t>SAP Masterdata</t>
  </si>
  <si>
    <t>Days out of stock</t>
  </si>
  <si>
    <t>Lead time:</t>
  </si>
  <si>
    <t>Quantity out of stock</t>
  </si>
  <si>
    <t>Safety time:</t>
  </si>
  <si>
    <t>Service level</t>
  </si>
  <si>
    <t>Lot size:</t>
  </si>
  <si>
    <t>Rounding value:</t>
  </si>
  <si>
    <t>Log Stock-In values</t>
  </si>
  <si>
    <t>Min</t>
  </si>
  <si>
    <t>Service level FC loops:</t>
  </si>
  <si>
    <t>Avg. stock FC loops:</t>
  </si>
  <si>
    <t>Deviation vs simulated:</t>
  </si>
  <si>
    <t>FC total LY:</t>
  </si>
  <si>
    <t>Stock-In avg stock</t>
  </si>
  <si>
    <t>Forceast base:</t>
  </si>
  <si>
    <t>LY</t>
  </si>
  <si>
    <t>Forecast loops:</t>
  </si>
  <si>
    <t>Average FC accuracy</t>
  </si>
  <si>
    <t>FC Safety time:</t>
  </si>
  <si>
    <t>Monthly FC error max</t>
  </si>
  <si>
    <t>Forecast accuracy</t>
  </si>
  <si>
    <t>Forecast LY</t>
  </si>
  <si>
    <t>Actual LY2</t>
  </si>
  <si>
    <t>Actual LY</t>
  </si>
  <si>
    <t>Forecast TY</t>
  </si>
  <si>
    <t>Total</t>
  </si>
  <si>
    <t>These values are copied to the log sheets.</t>
  </si>
  <si>
    <t>Forecast</t>
  </si>
  <si>
    <t>Lead Time</t>
  </si>
  <si>
    <t>Lot Size</t>
  </si>
  <si>
    <t>Help</t>
  </si>
  <si>
    <t>Fields</t>
  </si>
  <si>
    <t>Log_Avg</t>
  </si>
  <si>
    <t>Month_01</t>
  </si>
  <si>
    <t>Month_02</t>
  </si>
  <si>
    <t>Safety stock</t>
  </si>
  <si>
    <t>Month_03</t>
  </si>
  <si>
    <t>Month_04</t>
  </si>
  <si>
    <t>Month_05</t>
  </si>
  <si>
    <t>Month_06</t>
  </si>
  <si>
    <t>Month_07</t>
  </si>
  <si>
    <t>Month_08</t>
  </si>
  <si>
    <t>Month_09</t>
  </si>
  <si>
    <t>Total usage</t>
  </si>
  <si>
    <t>Month_10</t>
  </si>
  <si>
    <t>Month_11</t>
  </si>
  <si>
    <t>Month_12</t>
  </si>
  <si>
    <t>Total_Dev</t>
  </si>
  <si>
    <t>Service_Level</t>
  </si>
  <si>
    <t>Days</t>
  </si>
  <si>
    <t>Per D</t>
  </si>
  <si>
    <t>Year_Help</t>
  </si>
  <si>
    <t>HistPeriod</t>
  </si>
  <si>
    <t>Kladd_LLY</t>
  </si>
  <si>
    <t>Actual stock LY</t>
  </si>
  <si>
    <t>Act Usage</t>
  </si>
  <si>
    <t>Requirements Safety Time and Lead Time</t>
  </si>
  <si>
    <t>Simulated order</t>
  </si>
  <si>
    <t>Simulated delivery</t>
  </si>
  <si>
    <t>Help_Stock</t>
  </si>
  <si>
    <t>Simulated stock</t>
  </si>
  <si>
    <t>Manko</t>
  </si>
  <si>
    <t>Batch size</t>
  </si>
  <si>
    <t>Forecast Acc</t>
  </si>
  <si>
    <t>FactCal</t>
  </si>
  <si>
    <t>AccFC</t>
  </si>
  <si>
    <t>Saf_Stock_PCE</t>
  </si>
  <si>
    <t>Row</t>
  </si>
  <si>
    <t>Undelivered</t>
  </si>
  <si>
    <t>Number of Days:</t>
  </si>
  <si>
    <t>Top range:</t>
  </si>
  <si>
    <t>Total Stock not blocked:</t>
  </si>
  <si>
    <t>Safety Stock:</t>
  </si>
  <si>
    <t>Avg. total Stock:</t>
  </si>
  <si>
    <t>Avg. Cov SafStoc:</t>
  </si>
  <si>
    <t>Total usage:</t>
  </si>
  <si>
    <t>Inventory Turnover:</t>
  </si>
  <si>
    <t>Min Cov.</t>
  </si>
  <si>
    <t>Max Coverage</t>
  </si>
  <si>
    <t>Days of Rolling Usage</t>
  </si>
  <si>
    <t>Average rolling period</t>
  </si>
  <si>
    <t>Std. deviation</t>
  </si>
  <si>
    <t>Safety Level Deliv. Freq.</t>
  </si>
  <si>
    <t>SL_Days</t>
  </si>
  <si>
    <t>Probability Out Of Stock</t>
  </si>
  <si>
    <t>Occations Out Of Stock</t>
  </si>
  <si>
    <t>Possible number of deliveries</t>
  </si>
  <si>
    <t>Number of deliveries</t>
  </si>
  <si>
    <t>Number below saf. stock</t>
  </si>
  <si>
    <t>Average deviation</t>
  </si>
  <si>
    <t>Total not delivered</t>
  </si>
  <si>
    <t>Sum av Usage</t>
  </si>
  <si>
    <t>History</t>
  </si>
  <si>
    <t>Requirements</t>
  </si>
  <si>
    <t>Data</t>
  </si>
  <si>
    <t>H</t>
  </si>
  <si>
    <t>Sum av Stock Price</t>
  </si>
  <si>
    <t/>
  </si>
  <si>
    <t>10856 Asko Sentrallager AS</t>
  </si>
  <si>
    <t>Test2</t>
  </si>
  <si>
    <t>StockIn</t>
  </si>
  <si>
    <t>StockIn:</t>
  </si>
  <si>
    <t>F</t>
  </si>
  <si>
    <t>Total usage quantity</t>
  </si>
  <si>
    <t>Total usage value</t>
  </si>
  <si>
    <t>Profit Ctr</t>
  </si>
  <si>
    <t>Matl Group</t>
  </si>
  <si>
    <t>Net Weight</t>
  </si>
  <si>
    <t>ValCl</t>
  </si>
  <si>
    <t>Total Stock</t>
  </si>
  <si>
    <t>Total Value</t>
  </si>
  <si>
    <t>MovAvgPrice</t>
  </si>
  <si>
    <t>PlanPrice 1</t>
  </si>
  <si>
    <t>Standard price</t>
  </si>
  <si>
    <t>CoCd</t>
  </si>
  <si>
    <t>Grand Total</t>
  </si>
  <si>
    <t>(All)</t>
  </si>
  <si>
    <t>2012 Total</t>
  </si>
  <si>
    <t>2013 Total</t>
  </si>
  <si>
    <t>2014 Total</t>
  </si>
  <si>
    <t>(blank)</t>
  </si>
  <si>
    <t>Total Sum av NetQty</t>
  </si>
  <si>
    <t>Total Sum av Stock Price</t>
  </si>
  <si>
    <t>Simulation</t>
  </si>
  <si>
    <t>Lang</t>
  </si>
  <si>
    <t>Materialtype Description</t>
  </si>
  <si>
    <t>Material2</t>
  </si>
  <si>
    <t>R/S Plnt</t>
  </si>
  <si>
    <t>Plant Description</t>
  </si>
  <si>
    <t>Beh.kat.</t>
  </si>
  <si>
    <t>Sloc</t>
  </si>
  <si>
    <t>Whr</t>
  </si>
  <si>
    <t>Mty</t>
  </si>
  <si>
    <t>S2</t>
  </si>
  <si>
    <t>LangCode</t>
  </si>
  <si>
    <t>Mtyp</t>
  </si>
  <si>
    <t>Norsk</t>
  </si>
  <si>
    <t>Stabburet Bayersk postei 8x6x22g</t>
  </si>
  <si>
    <t>Ferdigvare OFN Pricat</t>
  </si>
  <si>
    <t>Ikke tilordnet</t>
  </si>
  <si>
    <t>09.06.2014</t>
  </si>
  <si>
    <t>FR00</t>
  </si>
  <si>
    <t>Råbekken</t>
  </si>
  <si>
    <t>Q</t>
  </si>
  <si>
    <t>Ferdigvare tørr</t>
  </si>
  <si>
    <t>BATCH</t>
  </si>
  <si>
    <t>LO kval.Til fri disp</t>
  </si>
  <si>
    <t>ZFER</t>
  </si>
  <si>
    <t>MaterialName</t>
  </si>
  <si>
    <t>0CO_AREA</t>
  </si>
  <si>
    <t>Språktkst</t>
  </si>
  <si>
    <t>Materialtekst</t>
  </si>
  <si>
    <t>Mtyptekst</t>
  </si>
  <si>
    <t>Fabrikktekst</t>
  </si>
  <si>
    <t>Språk</t>
  </si>
  <si>
    <t>Stabburet AS</t>
  </si>
  <si>
    <t>Stabb Leverpostei 60x100g</t>
  </si>
  <si>
    <t>POSTEI-LINJENE</t>
  </si>
  <si>
    <t>Ferdigvare, Stab. Pricat</t>
  </si>
  <si>
    <t>Ikke tilordnet/P2662</t>
  </si>
  <si>
    <t>Stabbur Makrell Porsjon 70x22g</t>
  </si>
  <si>
    <t>HV,aktiv bearbeiding</t>
  </si>
  <si>
    <t>Ikke tilordnet/P2000</t>
  </si>
  <si>
    <t>In qual. insp.2</t>
  </si>
  <si>
    <t>Blocked3</t>
  </si>
  <si>
    <t>Returns4</t>
  </si>
  <si>
    <t>Beholdnings Simulering</t>
  </si>
  <si>
    <t>Rapporter Statistikker</t>
  </si>
  <si>
    <t>Rapporten Inneholder</t>
  </si>
  <si>
    <t xml:space="preserve">    Trykk F10 for å lansere valgskjermen</t>
  </si>
  <si>
    <t>Ikke tilordnet/201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</si>
</sst>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#,##0.0\ %;[Red]\-#,##0.0\ %"/>
    <numFmt numFmtId="165" formatCode="#,##0.000;[Red]\-#,##0.000"/>
    <numFmt numFmtId="166" formatCode="#,##0.0;[Red]\-#,##0.0"/>
    <numFmt numFmtId="167" formatCode="0.0"/>
    <numFmt numFmtId="168" formatCode="0.0\ %;[Red]\-0.0\ %"/>
    <numFmt numFmtId="169" formatCode="0.00\ %;[Red]\-0.00\ %"/>
    <numFmt numFmtId="170" formatCode="0\ %;[Red]\-0\ %"/>
    <numFmt numFmtId="171" formatCode="0.00000"/>
    <numFmt numFmtId="172" formatCode="0.0\ %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sz val="8"/>
      <color indexed="81"/>
      <name val="Tahoma"/>
      <family val="2"/>
    </font>
    <font>
      <sz val="10"/>
      <color theme="1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22"/>
        <bgColor indexed="64"/>
      </patternFill>
    </fill>
  </fills>
  <borders count="5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5"/>
      </left>
      <right/>
      <top style="thin">
        <color indexed="64"/>
      </top>
      <bottom style="thick">
        <color indexed="64"/>
      </bottom>
      <diagonal/>
    </border>
    <border>
      <left style="thin">
        <color indexed="8"/>
      </left>
      <right/>
      <top style="thin">
        <color indexed="64"/>
      </top>
      <bottom style="thick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63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63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3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3"/>
      </right>
      <top style="thin">
        <color indexed="9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63"/>
      </bottom>
      <diagonal/>
    </border>
    <border>
      <left style="thin">
        <color indexed="9"/>
      </left>
      <right style="thin">
        <color indexed="63"/>
      </right>
      <top style="thin">
        <color indexed="9"/>
      </top>
      <bottom style="thin">
        <color indexed="63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 style="thin">
        <color indexed="64"/>
      </top>
      <bottom/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 style="thin">
        <color indexed="8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indexed="8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  <border>
      <left style="thin">
        <color indexed="64"/>
      </left>
      <right/>
      <top style="thin">
        <color rgb="FFABABAB"/>
      </top>
      <bottom/>
      <diagonal/>
    </border>
  </borders>
  <cellStyleXfs count="13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10" fillId="0" borderId="0"/>
    <xf numFmtId="0" fontId="8" fillId="0" borderId="0"/>
    <xf numFmtId="0" fontId="7" fillId="0" borderId="0"/>
    <xf numFmtId="0" fontId="7" fillId="0" borderId="0"/>
    <xf numFmtId="0" fontId="14" fillId="0" borderId="0"/>
    <xf numFmtId="0" fontId="18" fillId="0" borderId="0"/>
    <xf numFmtId="0" fontId="14" fillId="0" borderId="0"/>
  </cellStyleXfs>
  <cellXfs count="243">
    <xf numFmtId="0" fontId="0" fillId="0" borderId="0" xfId="0"/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3" fillId="0" borderId="0" xfId="0" applyFont="1" applyFill="1"/>
    <xf numFmtId="0" fontId="0" fillId="3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1" fillId="0" borderId="12" xfId="0" applyFont="1" applyBorder="1"/>
    <xf numFmtId="0" fontId="1" fillId="0" borderId="12" xfId="0" applyFont="1" applyBorder="1" applyAlignment="1"/>
    <xf numFmtId="0" fontId="1" fillId="0" borderId="12" xfId="0" applyFont="1" applyBorder="1" applyAlignment="1">
      <alignment horizontal="right"/>
    </xf>
    <xf numFmtId="0" fontId="4" fillId="0" borderId="0" xfId="0" quotePrefix="1" applyFont="1" applyFill="1"/>
    <xf numFmtId="0" fontId="0" fillId="3" borderId="0" xfId="0" applyFill="1" applyAlignment="1">
      <alignment horizontal="left"/>
    </xf>
    <xf numFmtId="0" fontId="9" fillId="0" borderId="0" xfId="0" applyFont="1" applyFill="1"/>
    <xf numFmtId="0" fontId="4" fillId="0" borderId="0" xfId="0" applyFont="1" applyFill="1" applyAlignment="1">
      <alignment horizontal="left"/>
    </xf>
    <xf numFmtId="0" fontId="10" fillId="0" borderId="0" xfId="6"/>
    <xf numFmtId="0" fontId="8" fillId="0" borderId="0" xfId="7"/>
    <xf numFmtId="4" fontId="10" fillId="0" borderId="0" xfId="6" applyNumberFormat="1"/>
    <xf numFmtId="3" fontId="10" fillId="0" borderId="0" xfId="6" applyNumberFormat="1"/>
    <xf numFmtId="38" fontId="10" fillId="0" borderId="0" xfId="6" applyNumberFormat="1"/>
    <xf numFmtId="14" fontId="10" fillId="0" borderId="0" xfId="6" applyNumberFormat="1"/>
    <xf numFmtId="19" fontId="10" fillId="0" borderId="0" xfId="6" applyNumberFormat="1"/>
    <xf numFmtId="49" fontId="10" fillId="0" borderId="0" xfId="6" applyNumberFormat="1"/>
    <xf numFmtId="165" fontId="10" fillId="0" borderId="0" xfId="6" applyNumberFormat="1"/>
    <xf numFmtId="0" fontId="7" fillId="0" borderId="0" xfId="1" applyFill="1"/>
    <xf numFmtId="0" fontId="7" fillId="0" borderId="0" xfId="1" applyFont="1" applyFill="1"/>
    <xf numFmtId="0" fontId="7" fillId="0" borderId="0" xfId="1"/>
    <xf numFmtId="0" fontId="11" fillId="0" borderId="0" xfId="1" applyFont="1"/>
    <xf numFmtId="38" fontId="7" fillId="0" borderId="0" xfId="1" applyNumberFormat="1"/>
    <xf numFmtId="11" fontId="12" fillId="0" borderId="0" xfId="9" applyNumberFormat="1" applyFont="1" applyFill="1"/>
    <xf numFmtId="11" fontId="7" fillId="0" borderId="0" xfId="9" applyNumberFormat="1" applyFill="1"/>
    <xf numFmtId="0" fontId="7" fillId="0" borderId="0" xfId="9" applyFill="1"/>
    <xf numFmtId="0" fontId="7" fillId="0" borderId="0" xfId="9" quotePrefix="1" applyFill="1" applyAlignment="1"/>
    <xf numFmtId="0" fontId="7" fillId="0" borderId="0" xfId="9" quotePrefix="1" applyFill="1" applyAlignment="1">
      <alignment wrapText="1"/>
    </xf>
    <xf numFmtId="0" fontId="11" fillId="6" borderId="20" xfId="9" applyFont="1" applyFill="1" applyBorder="1" applyProtection="1"/>
    <xf numFmtId="0" fontId="11" fillId="6" borderId="21" xfId="9" applyFont="1" applyFill="1" applyBorder="1" applyAlignment="1" applyProtection="1">
      <alignment horizontal="center"/>
    </xf>
    <xf numFmtId="0" fontId="11" fillId="6" borderId="22" xfId="9" applyFont="1" applyFill="1" applyBorder="1" applyAlignment="1" applyProtection="1">
      <alignment horizontal="center"/>
    </xf>
    <xf numFmtId="0" fontId="11" fillId="6" borderId="23" xfId="9" applyFont="1" applyFill="1" applyBorder="1" applyAlignment="1" applyProtection="1">
      <alignment horizontal="center"/>
    </xf>
    <xf numFmtId="38" fontId="7" fillId="0" borderId="0" xfId="9" applyNumberFormat="1" applyFill="1"/>
    <xf numFmtId="0" fontId="7" fillId="7" borderId="24" xfId="9" applyFont="1" applyFill="1" applyBorder="1" applyProtection="1"/>
    <xf numFmtId="38" fontId="7" fillId="7" borderId="25" xfId="9" applyNumberFormat="1" applyFill="1" applyBorder="1" applyAlignment="1" applyProtection="1"/>
    <xf numFmtId="38" fontId="7" fillId="7" borderId="24" xfId="9" applyNumberFormat="1" applyFont="1" applyFill="1" applyBorder="1" applyProtection="1"/>
    <xf numFmtId="38" fontId="7" fillId="7" borderId="25" xfId="9" applyNumberFormat="1" applyFont="1" applyFill="1" applyBorder="1" applyAlignment="1" applyProtection="1"/>
    <xf numFmtId="0" fontId="7" fillId="0" borderId="0" xfId="9" applyFill="1" applyAlignment="1">
      <alignment wrapText="1"/>
    </xf>
    <xf numFmtId="11" fontId="7" fillId="0" borderId="0" xfId="9" quotePrefix="1" applyNumberFormat="1" applyFill="1" applyAlignment="1">
      <alignment wrapText="1"/>
    </xf>
    <xf numFmtId="0" fontId="7" fillId="7" borderId="20" xfId="9" applyFont="1" applyFill="1" applyBorder="1" applyProtection="1"/>
    <xf numFmtId="38" fontId="7" fillId="7" borderId="26" xfId="9" applyNumberFormat="1" applyFill="1" applyBorder="1" applyAlignment="1" applyProtection="1"/>
    <xf numFmtId="11" fontId="7" fillId="7" borderId="24" xfId="9" applyNumberFormat="1" applyFont="1" applyFill="1" applyBorder="1" applyProtection="1"/>
    <xf numFmtId="0" fontId="7" fillId="0" borderId="0" xfId="9" applyFill="1" applyAlignment="1"/>
    <xf numFmtId="0" fontId="7" fillId="7" borderId="27" xfId="9" applyFont="1" applyFill="1" applyBorder="1" applyProtection="1"/>
    <xf numFmtId="38" fontId="7" fillId="7" borderId="27" xfId="9" applyNumberFormat="1" applyFont="1" applyFill="1" applyBorder="1" applyProtection="1"/>
    <xf numFmtId="38" fontId="7" fillId="7" borderId="28" xfId="9" applyNumberFormat="1" applyFont="1" applyFill="1" applyBorder="1" applyAlignment="1" applyProtection="1"/>
    <xf numFmtId="166" fontId="7" fillId="7" borderId="28" xfId="9" applyNumberFormat="1" applyFill="1" applyBorder="1" applyAlignment="1" applyProtection="1"/>
    <xf numFmtId="14" fontId="7" fillId="0" borderId="0" xfId="9" applyNumberFormat="1" applyFill="1"/>
    <xf numFmtId="0" fontId="7" fillId="0" borderId="0" xfId="9" applyFill="1" applyProtection="1"/>
    <xf numFmtId="0" fontId="15" fillId="0" borderId="0" xfId="10" applyFont="1"/>
    <xf numFmtId="0" fontId="14" fillId="0" borderId="0" xfId="10"/>
    <xf numFmtId="0" fontId="15" fillId="0" borderId="0" xfId="10" applyFont="1" applyBorder="1"/>
    <xf numFmtId="0" fontId="14" fillId="0" borderId="0" xfId="10" quotePrefix="1" applyFont="1"/>
    <xf numFmtId="0" fontId="16" fillId="0" borderId="0" xfId="10" applyFont="1"/>
    <xf numFmtId="0" fontId="16" fillId="0" borderId="0" xfId="10" applyFont="1" applyAlignment="1">
      <alignment horizontal="center"/>
    </xf>
    <xf numFmtId="0" fontId="16" fillId="0" borderId="12" xfId="10" applyFont="1" applyBorder="1"/>
    <xf numFmtId="0" fontId="16" fillId="0" borderId="12" xfId="10" applyFont="1" applyBorder="1" applyAlignment="1">
      <alignment horizontal="right"/>
    </xf>
    <xf numFmtId="38" fontId="16" fillId="0" borderId="12" xfId="10" applyNumberFormat="1" applyFont="1" applyBorder="1" applyAlignment="1">
      <alignment horizontal="right"/>
    </xf>
    <xf numFmtId="0" fontId="14" fillId="0" borderId="12" xfId="10" applyBorder="1"/>
    <xf numFmtId="0" fontId="14" fillId="9" borderId="0" xfId="10" applyFill="1" applyProtection="1">
      <protection locked="0"/>
    </xf>
    <xf numFmtId="38" fontId="14" fillId="9" borderId="0" xfId="10" applyNumberFormat="1" applyFill="1" applyProtection="1">
      <protection locked="0"/>
    </xf>
    <xf numFmtId="0" fontId="14" fillId="0" borderId="0" xfId="10" applyFont="1"/>
    <xf numFmtId="38" fontId="14" fillId="0" borderId="0" xfId="10" applyNumberFormat="1"/>
    <xf numFmtId="38" fontId="14" fillId="10" borderId="0" xfId="10" applyNumberFormat="1" applyFill="1"/>
    <xf numFmtId="168" fontId="14" fillId="10" borderId="0" xfId="10" applyNumberFormat="1" applyFill="1" applyAlignment="1">
      <alignment horizontal="left"/>
    </xf>
    <xf numFmtId="0" fontId="16" fillId="0" borderId="0" xfId="10" applyFont="1" applyAlignment="1">
      <alignment horizontal="right"/>
    </xf>
    <xf numFmtId="38" fontId="16" fillId="0" borderId="0" xfId="10" applyNumberFormat="1" applyFont="1" applyAlignment="1">
      <alignment horizontal="right"/>
    </xf>
    <xf numFmtId="0" fontId="14" fillId="10" borderId="0" xfId="10" applyFill="1"/>
    <xf numFmtId="0" fontId="14" fillId="0" borderId="0" xfId="10" applyFont="1" applyAlignment="1">
      <alignment horizontal="right"/>
    </xf>
    <xf numFmtId="38" fontId="14" fillId="11" borderId="0" xfId="10" applyNumberFormat="1" applyFill="1" applyAlignment="1">
      <alignment horizontal="right"/>
    </xf>
    <xf numFmtId="168" fontId="14" fillId="10" borderId="0" xfId="10" applyNumberFormat="1" applyFill="1"/>
    <xf numFmtId="38" fontId="14" fillId="9" borderId="0" xfId="10" applyNumberFormat="1" applyFill="1"/>
    <xf numFmtId="169" fontId="14" fillId="10" borderId="0" xfId="10" applyNumberFormat="1" applyFill="1"/>
    <xf numFmtId="0" fontId="14" fillId="0" borderId="0" xfId="10" applyFont="1" applyAlignment="1"/>
    <xf numFmtId="38" fontId="14" fillId="9" borderId="0" xfId="10" applyNumberFormat="1" applyFont="1" applyFill="1" applyAlignment="1">
      <alignment horizontal="right"/>
    </xf>
    <xf numFmtId="0" fontId="14" fillId="9" borderId="0" xfId="10" applyFill="1"/>
    <xf numFmtId="0" fontId="14" fillId="0" borderId="0" xfId="10" applyFont="1" applyFill="1"/>
    <xf numFmtId="0" fontId="14" fillId="0" borderId="0" xfId="10" applyFill="1" applyProtection="1">
      <protection locked="0"/>
    </xf>
    <xf numFmtId="170" fontId="14" fillId="9" borderId="0" xfId="10" applyNumberFormat="1" applyFill="1" applyProtection="1">
      <protection locked="0"/>
    </xf>
    <xf numFmtId="170" fontId="14" fillId="0" borderId="0" xfId="10" applyNumberFormat="1"/>
    <xf numFmtId="170" fontId="14" fillId="0" borderId="12" xfId="10" applyNumberFormat="1" applyBorder="1"/>
    <xf numFmtId="38" fontId="14" fillId="9" borderId="12" xfId="10" applyNumberFormat="1" applyFill="1" applyBorder="1" applyProtection="1">
      <protection locked="0"/>
    </xf>
    <xf numFmtId="38" fontId="14" fillId="0" borderId="12" xfId="10" applyNumberFormat="1" applyBorder="1"/>
    <xf numFmtId="170" fontId="16" fillId="0" borderId="0" xfId="10" applyNumberFormat="1" applyFont="1"/>
    <xf numFmtId="38" fontId="16" fillId="0" borderId="0" xfId="10" applyNumberFormat="1" applyFont="1"/>
    <xf numFmtId="168" fontId="14" fillId="0" borderId="0" xfId="10" applyNumberFormat="1"/>
    <xf numFmtId="38" fontId="14" fillId="0" borderId="0" xfId="10" quotePrefix="1" applyNumberFormat="1" applyFont="1"/>
    <xf numFmtId="0" fontId="14" fillId="0" borderId="12" xfId="10" applyFont="1" applyBorder="1"/>
    <xf numFmtId="166" fontId="14" fillId="0" borderId="0" xfId="10" applyNumberFormat="1"/>
    <xf numFmtId="166" fontId="14" fillId="0" borderId="12" xfId="10" applyNumberFormat="1" applyBorder="1"/>
    <xf numFmtId="166" fontId="16" fillId="0" borderId="0" xfId="10" applyNumberFormat="1" applyFont="1"/>
    <xf numFmtId="0" fontId="11" fillId="0" borderId="0" xfId="10" applyFont="1" applyAlignment="1">
      <alignment horizontal="center" wrapText="1"/>
    </xf>
    <xf numFmtId="38" fontId="11" fillId="0" borderId="0" xfId="10" applyNumberFormat="1" applyFont="1" applyAlignment="1">
      <alignment horizontal="right" wrapText="1"/>
    </xf>
    <xf numFmtId="0" fontId="11" fillId="0" borderId="0" xfId="10" applyFont="1" applyAlignment="1">
      <alignment horizontal="right" wrapText="1"/>
    </xf>
    <xf numFmtId="0" fontId="16" fillId="0" borderId="0" xfId="10" applyFont="1" applyAlignment="1">
      <alignment horizontal="right" wrapText="1"/>
    </xf>
    <xf numFmtId="166" fontId="16" fillId="0" borderId="0" xfId="10" applyNumberFormat="1" applyFont="1" applyAlignment="1">
      <alignment horizontal="right" wrapText="1"/>
    </xf>
    <xf numFmtId="14" fontId="7" fillId="0" borderId="0" xfId="10" applyNumberFormat="1" applyFont="1" applyAlignment="1">
      <alignment horizontal="center"/>
    </xf>
    <xf numFmtId="38" fontId="7" fillId="0" borderId="0" xfId="10" applyNumberFormat="1" applyFont="1" applyAlignment="1">
      <alignment horizontal="right"/>
    </xf>
    <xf numFmtId="0" fontId="7" fillId="0" borderId="0" xfId="10" applyFont="1"/>
    <xf numFmtId="40" fontId="14" fillId="0" borderId="0" xfId="10" applyNumberFormat="1"/>
    <xf numFmtId="168" fontId="16" fillId="0" borderId="0" xfId="10" applyNumberFormat="1" applyFont="1"/>
    <xf numFmtId="1" fontId="14" fillId="0" borderId="0" xfId="10" applyNumberFormat="1"/>
    <xf numFmtId="171" fontId="14" fillId="0" borderId="0" xfId="10" applyNumberFormat="1"/>
    <xf numFmtId="0" fontId="8" fillId="0" borderId="0" xfId="7" applyFont="1"/>
    <xf numFmtId="38" fontId="8" fillId="0" borderId="0" xfId="7" applyNumberFormat="1" applyFont="1"/>
    <xf numFmtId="0" fontId="8" fillId="0" borderId="0" xfId="7" applyNumberFormat="1" applyFont="1"/>
    <xf numFmtId="14" fontId="8" fillId="0" borderId="0" xfId="7" applyNumberFormat="1" applyFont="1"/>
    <xf numFmtId="21" fontId="8" fillId="0" borderId="0" xfId="7" applyNumberFormat="1" applyFont="1"/>
    <xf numFmtId="38" fontId="8" fillId="0" borderId="0" xfId="7" applyNumberFormat="1"/>
    <xf numFmtId="11" fontId="7" fillId="0" borderId="0" xfId="1" applyNumberFormat="1"/>
    <xf numFmtId="0" fontId="11" fillId="0" borderId="0" xfId="1" applyFont="1" applyAlignment="1">
      <alignment horizontal="right"/>
    </xf>
    <xf numFmtId="0" fontId="7" fillId="0" borderId="0" xfId="1" applyFont="1"/>
    <xf numFmtId="164" fontId="7" fillId="0" borderId="0" xfId="1" applyNumberFormat="1" applyFill="1" applyAlignment="1" applyProtection="1">
      <alignment horizontal="center"/>
      <protection locked="0"/>
    </xf>
    <xf numFmtId="166" fontId="7" fillId="0" borderId="0" xfId="1" applyNumberFormat="1" applyAlignment="1"/>
    <xf numFmtId="0" fontId="7" fillId="8" borderId="0" xfId="1" applyFill="1" applyAlignment="1" applyProtection="1">
      <alignment horizontal="center"/>
      <protection locked="0"/>
    </xf>
    <xf numFmtId="38" fontId="7" fillId="0" borderId="0" xfId="1" applyNumberFormat="1" applyAlignment="1"/>
    <xf numFmtId="166" fontId="7" fillId="0" borderId="0" xfId="1" applyNumberFormat="1"/>
    <xf numFmtId="167" fontId="7" fillId="0" borderId="0" xfId="1" applyNumberFormat="1" applyFill="1" applyAlignment="1" applyProtection="1">
      <alignment horizontal="center"/>
      <protection locked="0"/>
    </xf>
    <xf numFmtId="164" fontId="11" fillId="0" borderId="0" xfId="1" applyNumberFormat="1" applyFont="1"/>
    <xf numFmtId="164" fontId="7" fillId="0" borderId="0" xfId="1" applyNumberFormat="1"/>
    <xf numFmtId="170" fontId="7" fillId="0" borderId="0" xfId="1" applyNumberFormat="1"/>
    <xf numFmtId="38" fontId="7" fillId="0" borderId="0" xfId="1" applyNumberFormat="1" applyFont="1"/>
    <xf numFmtId="14" fontId="8" fillId="12" borderId="0" xfId="1" applyNumberFormat="1" applyFont="1" applyFill="1"/>
    <xf numFmtId="38" fontId="7" fillId="12" borderId="0" xfId="1" applyNumberFormat="1" applyFill="1"/>
    <xf numFmtId="14" fontId="8" fillId="0" borderId="0" xfId="1" applyNumberFormat="1" applyFont="1"/>
    <xf numFmtId="14" fontId="7" fillId="0" borderId="0" xfId="1" applyNumberFormat="1"/>
    <xf numFmtId="0" fontId="11" fillId="0" borderId="0" xfId="1" applyFont="1" applyAlignment="1">
      <alignment horizontal="center"/>
    </xf>
    <xf numFmtId="0" fontId="11" fillId="0" borderId="0" xfId="1" applyFont="1" applyAlignment="1"/>
    <xf numFmtId="14" fontId="7" fillId="0" borderId="0" xfId="1" applyNumberFormat="1" applyFont="1" applyAlignment="1"/>
    <xf numFmtId="0" fontId="7" fillId="0" borderId="0" xfId="1" applyAlignment="1">
      <alignment horizontal="right"/>
    </xf>
    <xf numFmtId="165" fontId="7" fillId="0" borderId="0" xfId="1" applyNumberFormat="1"/>
    <xf numFmtId="168" fontId="7" fillId="0" borderId="0" xfId="1" applyNumberFormat="1"/>
    <xf numFmtId="172" fontId="7" fillId="0" borderId="0" xfId="1" applyNumberFormat="1"/>
    <xf numFmtId="167" fontId="7" fillId="0" borderId="0" xfId="1" applyNumberFormat="1"/>
    <xf numFmtId="2" fontId="7" fillId="0" borderId="0" xfId="1" applyNumberFormat="1"/>
    <xf numFmtId="0" fontId="0" fillId="0" borderId="3" xfId="0" pivotButton="1" applyBorder="1"/>
    <xf numFmtId="0" fontId="0" fillId="0" borderId="15" xfId="0" applyBorder="1"/>
    <xf numFmtId="14" fontId="0" fillId="0" borderId="3" xfId="0" applyNumberFormat="1" applyBorder="1"/>
    <xf numFmtId="14" fontId="0" fillId="0" borderId="16" xfId="0" applyNumberFormat="1" applyBorder="1"/>
    <xf numFmtId="14" fontId="0" fillId="0" borderId="18" xfId="0" applyNumberFormat="1" applyBorder="1"/>
    <xf numFmtId="0" fontId="0" fillId="0" borderId="1" xfId="0" pivotButton="1" applyBorder="1"/>
    <xf numFmtId="0" fontId="0" fillId="0" borderId="1" xfId="0" applyBorder="1"/>
    <xf numFmtId="38" fontId="0" fillId="0" borderId="15" xfId="0" applyNumberFormat="1" applyBorder="1"/>
    <xf numFmtId="38" fontId="0" fillId="0" borderId="17" xfId="0" applyNumberFormat="1" applyBorder="1"/>
    <xf numFmtId="38" fontId="0" fillId="0" borderId="19" xfId="0" applyNumberFormat="1" applyBorder="1"/>
    <xf numFmtId="0" fontId="0" fillId="0" borderId="3" xfId="0" applyBorder="1"/>
    <xf numFmtId="14" fontId="0" fillId="0" borderId="30" xfId="0" applyNumberFormat="1" applyBorder="1"/>
    <xf numFmtId="0" fontId="1" fillId="0" borderId="0" xfId="0" applyFont="1" applyBorder="1"/>
    <xf numFmtId="0" fontId="1" fillId="0" borderId="2" xfId="0" applyFont="1" applyBorder="1"/>
    <xf numFmtId="0" fontId="1" fillId="0" borderId="0" xfId="0" applyFont="1" applyBorder="1" applyAlignment="1">
      <alignment horizontal="right"/>
    </xf>
    <xf numFmtId="14" fontId="1" fillId="2" borderId="5" xfId="0" applyNumberFormat="1" applyFont="1" applyFill="1" applyBorder="1"/>
    <xf numFmtId="38" fontId="0" fillId="0" borderId="15" xfId="0" applyNumberFormat="1" applyBorder="1" applyAlignment="1">
      <alignment horizontal="right"/>
    </xf>
    <xf numFmtId="38" fontId="0" fillId="0" borderId="17" xfId="0" applyNumberFormat="1" applyBorder="1" applyAlignment="1">
      <alignment horizontal="right"/>
    </xf>
    <xf numFmtId="38" fontId="1" fillId="2" borderId="7" xfId="0" applyNumberFormat="1" applyFont="1" applyFill="1" applyBorder="1" applyAlignment="1">
      <alignment horizontal="right"/>
    </xf>
    <xf numFmtId="0" fontId="0" fillId="0" borderId="10" xfId="0" applyBorder="1"/>
    <xf numFmtId="0" fontId="1" fillId="0" borderId="3" xfId="0" applyFont="1" applyBorder="1" applyAlignment="1">
      <alignment horizontal="right"/>
    </xf>
    <xf numFmtId="38" fontId="0" fillId="0" borderId="3" xfId="0" applyNumberFormat="1" applyBorder="1" applyAlignment="1">
      <alignment horizontal="right"/>
    </xf>
    <xf numFmtId="0" fontId="0" fillId="0" borderId="8" xfId="0" applyBorder="1"/>
    <xf numFmtId="0" fontId="0" fillId="0" borderId="31" xfId="0" applyBorder="1"/>
    <xf numFmtId="0" fontId="0" fillId="0" borderId="4" xfId="0" applyBorder="1"/>
    <xf numFmtId="38" fontId="0" fillId="0" borderId="3" xfId="0" applyNumberFormat="1" applyBorder="1"/>
    <xf numFmtId="38" fontId="0" fillId="0" borderId="4" xfId="0" applyNumberFormat="1" applyBorder="1"/>
    <xf numFmtId="0" fontId="0" fillId="0" borderId="9" xfId="0" applyBorder="1"/>
    <xf numFmtId="0" fontId="0" fillId="0" borderId="30" xfId="0" applyBorder="1"/>
    <xf numFmtId="38" fontId="0" fillId="0" borderId="30" xfId="0" applyNumberFormat="1" applyBorder="1"/>
    <xf numFmtId="38" fontId="0" fillId="0" borderId="32" xfId="0" applyNumberFormat="1" applyBorder="1"/>
    <xf numFmtId="0" fontId="0" fillId="0" borderId="0" xfId="0" applyBorder="1"/>
    <xf numFmtId="0" fontId="1" fillId="2" borderId="11" xfId="0" applyFont="1" applyFill="1" applyBorder="1"/>
    <xf numFmtId="0" fontId="19" fillId="2" borderId="5" xfId="0" applyFont="1" applyFill="1" applyBorder="1"/>
    <xf numFmtId="0" fontId="19" fillId="2" borderId="13" xfId="0" applyFont="1" applyFill="1" applyBorder="1"/>
    <xf numFmtId="0" fontId="1" fillId="0" borderId="4" xfId="0" applyFont="1" applyBorder="1" applyAlignment="1">
      <alignment horizontal="right"/>
    </xf>
    <xf numFmtId="38" fontId="0" fillId="0" borderId="4" xfId="0" applyNumberFormat="1" applyBorder="1" applyAlignment="1">
      <alignment horizontal="right"/>
    </xf>
    <xf numFmtId="38" fontId="0" fillId="0" borderId="16" xfId="0" applyNumberFormat="1" applyBorder="1" applyAlignment="1">
      <alignment horizontal="right"/>
    </xf>
    <xf numFmtId="38" fontId="0" fillId="0" borderId="0" xfId="0" applyNumberFormat="1" applyAlignment="1">
      <alignment horizontal="right"/>
    </xf>
    <xf numFmtId="38" fontId="19" fillId="2" borderId="14" xfId="0" applyNumberFormat="1" applyFont="1" applyFill="1" applyBorder="1" applyAlignment="1">
      <alignment horizontal="right"/>
    </xf>
    <xf numFmtId="38" fontId="19" fillId="2" borderId="6" xfId="0" applyNumberFormat="1" applyFont="1" applyFill="1" applyBorder="1" applyAlignment="1">
      <alignment horizontal="right"/>
    </xf>
    <xf numFmtId="0" fontId="1" fillId="2" borderId="5" xfId="0" applyFont="1" applyFill="1" applyBorder="1"/>
    <xf numFmtId="0" fontId="1" fillId="2" borderId="6" xfId="0" applyFont="1" applyFill="1" applyBorder="1"/>
    <xf numFmtId="38" fontId="1" fillId="2" borderId="6" xfId="0" applyNumberFormat="1" applyFont="1" applyFill="1" applyBorder="1" applyAlignment="1">
      <alignment horizontal="right"/>
    </xf>
    <xf numFmtId="0" fontId="1" fillId="0" borderId="15" xfId="0" applyFont="1" applyBorder="1" applyAlignment="1">
      <alignment horizontal="right"/>
    </xf>
    <xf numFmtId="38" fontId="19" fillId="2" borderId="29" xfId="0" applyNumberFormat="1" applyFont="1" applyFill="1" applyBorder="1" applyAlignment="1">
      <alignment horizontal="right"/>
    </xf>
    <xf numFmtId="0" fontId="0" fillId="4" borderId="3" xfId="0" applyFill="1" applyBorder="1"/>
    <xf numFmtId="0" fontId="0" fillId="4" borderId="8" xfId="0" applyFill="1" applyBorder="1"/>
    <xf numFmtId="38" fontId="0" fillId="4" borderId="3" xfId="0" applyNumberFormat="1" applyFill="1" applyBorder="1" applyAlignment="1">
      <alignment horizontal="right"/>
    </xf>
    <xf numFmtId="38" fontId="0" fillId="4" borderId="4" xfId="0" applyNumberFormat="1" applyFill="1" applyBorder="1" applyAlignment="1">
      <alignment horizontal="right"/>
    </xf>
    <xf numFmtId="38" fontId="0" fillId="4" borderId="15" xfId="0" applyNumberFormat="1" applyFill="1" applyBorder="1" applyAlignment="1">
      <alignment horizontal="right"/>
    </xf>
    <xf numFmtId="38" fontId="1" fillId="2" borderId="5" xfId="0" applyNumberFormat="1" applyFont="1" applyFill="1" applyBorder="1" applyAlignment="1">
      <alignment horizontal="right"/>
    </xf>
    <xf numFmtId="40" fontId="1" fillId="2" borderId="6" xfId="0" applyNumberFormat="1" applyFont="1" applyFill="1" applyBorder="1" applyAlignment="1">
      <alignment horizontal="right"/>
    </xf>
    <xf numFmtId="40" fontId="1" fillId="2" borderId="7" xfId="0" applyNumberFormat="1" applyFont="1" applyFill="1" applyBorder="1" applyAlignment="1">
      <alignment horizontal="right"/>
    </xf>
    <xf numFmtId="38" fontId="0" fillId="0" borderId="10" xfId="0" applyNumberFormat="1" applyBorder="1"/>
    <xf numFmtId="38" fontId="0" fillId="0" borderId="33" xfId="0" applyNumberFormat="1" applyBorder="1"/>
    <xf numFmtId="0" fontId="20" fillId="0" borderId="0" xfId="6" applyFont="1"/>
    <xf numFmtId="0" fontId="21" fillId="0" borderId="0" xfId="6" applyFont="1"/>
    <xf numFmtId="0" fontId="20" fillId="5" borderId="0" xfId="6" applyFont="1" applyFill="1"/>
    <xf numFmtId="0" fontId="20" fillId="0" borderId="0" xfId="7" applyNumberFormat="1" applyFont="1"/>
    <xf numFmtId="0" fontId="20" fillId="5" borderId="0" xfId="7" applyNumberFormat="1" applyFont="1" applyFill="1"/>
    <xf numFmtId="0" fontId="20" fillId="5" borderId="0" xfId="7" applyFont="1" applyFill="1"/>
    <xf numFmtId="3" fontId="7" fillId="0" borderId="0" xfId="6" applyNumberFormat="1" applyFont="1"/>
    <xf numFmtId="0" fontId="20" fillId="13" borderId="0" xfId="7" applyNumberFormat="1" applyFont="1" applyFill="1"/>
    <xf numFmtId="49" fontId="1" fillId="0" borderId="0" xfId="0" applyNumberFormat="1" applyFont="1"/>
    <xf numFmtId="0" fontId="0" fillId="0" borderId="36" xfId="0" pivotButton="1" applyBorder="1"/>
    <xf numFmtId="0" fontId="0" fillId="0" borderId="36" xfId="0" applyBorder="1"/>
    <xf numFmtId="38" fontId="0" fillId="0" borderId="36" xfId="0" applyNumberFormat="1" applyBorder="1" applyAlignment="1">
      <alignment horizontal="left"/>
    </xf>
    <xf numFmtId="14" fontId="0" fillId="0" borderId="37" xfId="0" applyNumberFormat="1" applyBorder="1"/>
    <xf numFmtId="0" fontId="1" fillId="0" borderId="34" xfId="0" applyFont="1" applyBorder="1" applyAlignment="1">
      <alignment horizontal="right"/>
    </xf>
    <xf numFmtId="0" fontId="1" fillId="0" borderId="35" xfId="0" applyFont="1" applyBorder="1" applyAlignment="1">
      <alignment horizontal="right"/>
    </xf>
    <xf numFmtId="38" fontId="0" fillId="0" borderId="34" xfId="0" applyNumberFormat="1" applyBorder="1" applyAlignment="1">
      <alignment horizontal="right"/>
    </xf>
    <xf numFmtId="14" fontId="0" fillId="0" borderId="36" xfId="0" applyNumberFormat="1" applyBorder="1"/>
    <xf numFmtId="0" fontId="1" fillId="0" borderId="40" xfId="0" applyFont="1" applyBorder="1"/>
    <xf numFmtId="38" fontId="0" fillId="0" borderId="38" xfId="0" applyNumberFormat="1" applyBorder="1" applyAlignment="1">
      <alignment horizontal="right"/>
    </xf>
    <xf numFmtId="14" fontId="0" fillId="0" borderId="42" xfId="0" applyNumberFormat="1" applyBorder="1"/>
    <xf numFmtId="38" fontId="0" fillId="0" borderId="39" xfId="0" applyNumberFormat="1" applyBorder="1" applyAlignment="1">
      <alignment horizontal="right"/>
    </xf>
    <xf numFmtId="38" fontId="0" fillId="0" borderId="41" xfId="0" applyNumberFormat="1" applyBorder="1" applyAlignment="1">
      <alignment horizontal="right"/>
    </xf>
    <xf numFmtId="0" fontId="0" fillId="0" borderId="37" xfId="0" applyBorder="1"/>
    <xf numFmtId="0" fontId="1" fillId="0" borderId="38" xfId="0" applyFont="1" applyBorder="1" applyAlignment="1">
      <alignment horizontal="right"/>
    </xf>
    <xf numFmtId="21" fontId="0" fillId="0" borderId="37" xfId="0" applyNumberFormat="1" applyBorder="1"/>
    <xf numFmtId="0" fontId="1" fillId="0" borderId="37" xfId="0" applyFont="1" applyBorder="1"/>
    <xf numFmtId="0" fontId="0" fillId="4" borderId="45" xfId="0" applyFill="1" applyBorder="1"/>
    <xf numFmtId="0" fontId="0" fillId="4" borderId="44" xfId="0" applyFill="1" applyBorder="1"/>
    <xf numFmtId="38" fontId="0" fillId="4" borderId="46" xfId="0" applyNumberFormat="1" applyFill="1" applyBorder="1" applyAlignment="1">
      <alignment horizontal="right"/>
    </xf>
    <xf numFmtId="0" fontId="1" fillId="0" borderId="49" xfId="0" applyFont="1" applyBorder="1"/>
    <xf numFmtId="0" fontId="1" fillId="0" borderId="43" xfId="0" applyFont="1" applyBorder="1"/>
    <xf numFmtId="0" fontId="1" fillId="14" borderId="49" xfId="0" applyFont="1" applyFill="1" applyBorder="1"/>
    <xf numFmtId="0" fontId="1" fillId="14" borderId="43" xfId="0" applyFont="1" applyFill="1" applyBorder="1"/>
    <xf numFmtId="0" fontId="1" fillId="0" borderId="37" xfId="0" applyFont="1" applyBorder="1" applyAlignment="1">
      <alignment horizontal="right"/>
    </xf>
    <xf numFmtId="38" fontId="0" fillId="0" borderId="49" xfId="0" applyNumberFormat="1" applyBorder="1" applyAlignment="1">
      <alignment horizontal="right"/>
    </xf>
    <xf numFmtId="40" fontId="0" fillId="0" borderId="37" xfId="0" applyNumberFormat="1" applyBorder="1" applyAlignment="1">
      <alignment horizontal="right"/>
    </xf>
    <xf numFmtId="38" fontId="0" fillId="14" borderId="34" xfId="0" applyNumberFormat="1" applyFill="1" applyBorder="1" applyAlignment="1">
      <alignment horizontal="right"/>
    </xf>
    <xf numFmtId="40" fontId="0" fillId="14" borderId="37" xfId="0" applyNumberFormat="1" applyFill="1" applyBorder="1" applyAlignment="1">
      <alignment horizontal="right"/>
    </xf>
    <xf numFmtId="40" fontId="0" fillId="0" borderId="38" xfId="0" applyNumberFormat="1" applyBorder="1" applyAlignment="1">
      <alignment horizontal="right"/>
    </xf>
    <xf numFmtId="0" fontId="1" fillId="0" borderId="47" xfId="0" applyFont="1" applyBorder="1" applyAlignment="1">
      <alignment horizontal="right"/>
    </xf>
    <xf numFmtId="0" fontId="1" fillId="0" borderId="48" xfId="0" applyFont="1" applyBorder="1" applyAlignment="1">
      <alignment horizontal="right"/>
    </xf>
    <xf numFmtId="0" fontId="10" fillId="0" borderId="0" xfId="6" applyNumberFormat="1"/>
  </cellXfs>
  <cellStyles count="13">
    <cellStyle name="Min stil" xfId="2"/>
    <cellStyle name="Normal" xfId="0" builtinId="0"/>
    <cellStyle name="Normal 2" xfId="1"/>
    <cellStyle name="Normal 2 2" xfId="3"/>
    <cellStyle name="Normal 2_Material_Usage_M" xfId="8"/>
    <cellStyle name="Normal 3" xfId="4"/>
    <cellStyle name="Normal 3 2" xfId="10"/>
    <cellStyle name="Normal 4" xfId="5"/>
    <cellStyle name="Normal 4 2" xfId="12"/>
    <cellStyle name="Normal 5" xfId="6"/>
    <cellStyle name="Normal 6" xfId="11"/>
    <cellStyle name="Normal_Material_History_M" xfId="9"/>
    <cellStyle name="Normal_Stock_History_M1" xfId="7"/>
  </cellStyles>
  <dxfs count="88">
    <dxf>
      <numFmt numFmtId="19" formatCode="dd/mm/yyyy"/>
    </dxf>
    <dxf>
      <numFmt numFmtId="6" formatCode="#,##0;[Red]\-#,##0"/>
    </dxf>
    <dxf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6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6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6" formatCode="#,##0;[Red]\-#,##0"/>
    </dxf>
    <dxf>
      <numFmt numFmtId="165" formatCode="#,##0.000;[Red]\-#,##0.000"/>
    </dxf>
    <dxf>
      <numFmt numFmtId="19" formatCode="dd/mm/yyyy"/>
    </dxf>
    <dxf>
      <numFmt numFmtId="24" formatCode="h:mm:ss\ AM/PM"/>
    </dxf>
    <dxf>
      <numFmt numFmtId="30" formatCode="@"/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</dxf>
    <dxf>
      <numFmt numFmtId="3" formatCode="#,##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</dxf>
  </dxfs>
  <tableStyles count="0" defaultTableStyle="TableStyleMedium2" defaultPivotStyle="PivotStyleLight16"/>
  <colors>
    <mruColors>
      <color rgb="FFFFFF99"/>
      <color rgb="FFFF8080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xmlMaps" Target="xmlMap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3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969782159891027E-2"/>
          <c:y val="9.7328244274809197E-2"/>
          <c:w val="0.82048291866132139"/>
          <c:h val="0.73091603053435161"/>
        </c:manualLayout>
      </c:layout>
      <c:areaChart>
        <c:grouping val="standard"/>
        <c:varyColors val="0"/>
        <c:ser>
          <c:idx val="0"/>
          <c:order val="0"/>
          <c:tx>
            <c:strRef>
              <c:f>SourceData!$B$1</c:f>
              <c:strCache>
                <c:ptCount val="1"/>
                <c:pt idx="0">
                  <c:v>Stock in BUm</c:v>
                </c:pt>
              </c:strCache>
            </c:strRef>
          </c:tx>
          <c:spPr>
            <a:solidFill>
              <a:srgbClr val="9999FF"/>
            </a:solidFill>
            <a:ln w="25400">
              <a:solidFill>
                <a:srgbClr val="9999FF"/>
              </a:solidFill>
              <a:prstDash val="solid"/>
            </a:ln>
          </c:spPr>
          <c:cat>
            <c:numRef>
              <c:f>[0]!X_Range</c:f>
              <c:numCache>
                <c:formatCode>m/d/yyyy</c:formatCode>
                <c:ptCount val="290"/>
                <c:pt idx="0">
                  <c:v>41493</c:v>
                </c:pt>
                <c:pt idx="1">
                  <c:v>41492</c:v>
                </c:pt>
                <c:pt idx="2">
                  <c:v>41491</c:v>
                </c:pt>
                <c:pt idx="3">
                  <c:v>41488</c:v>
                </c:pt>
                <c:pt idx="4">
                  <c:v>41487</c:v>
                </c:pt>
                <c:pt idx="5">
                  <c:v>41486</c:v>
                </c:pt>
                <c:pt idx="6">
                  <c:v>41485</c:v>
                </c:pt>
                <c:pt idx="7">
                  <c:v>41484</c:v>
                </c:pt>
                <c:pt idx="8">
                  <c:v>41481</c:v>
                </c:pt>
                <c:pt idx="9">
                  <c:v>41480</c:v>
                </c:pt>
                <c:pt idx="10">
                  <c:v>41479</c:v>
                </c:pt>
                <c:pt idx="11">
                  <c:v>41478</c:v>
                </c:pt>
                <c:pt idx="12">
                  <c:v>41477</c:v>
                </c:pt>
                <c:pt idx="13">
                  <c:v>41474</c:v>
                </c:pt>
                <c:pt idx="14">
                  <c:v>41473</c:v>
                </c:pt>
                <c:pt idx="15">
                  <c:v>41472</c:v>
                </c:pt>
                <c:pt idx="16">
                  <c:v>41471</c:v>
                </c:pt>
                <c:pt idx="17">
                  <c:v>41470</c:v>
                </c:pt>
                <c:pt idx="18">
                  <c:v>41467</c:v>
                </c:pt>
                <c:pt idx="19">
                  <c:v>41466</c:v>
                </c:pt>
                <c:pt idx="20">
                  <c:v>41465</c:v>
                </c:pt>
                <c:pt idx="21">
                  <c:v>41464</c:v>
                </c:pt>
                <c:pt idx="22">
                  <c:v>41463</c:v>
                </c:pt>
                <c:pt idx="23">
                  <c:v>41460</c:v>
                </c:pt>
                <c:pt idx="24">
                  <c:v>41459</c:v>
                </c:pt>
                <c:pt idx="25">
                  <c:v>41458</c:v>
                </c:pt>
                <c:pt idx="26">
                  <c:v>41457</c:v>
                </c:pt>
                <c:pt idx="27">
                  <c:v>41456</c:v>
                </c:pt>
                <c:pt idx="28">
                  <c:v>41453</c:v>
                </c:pt>
                <c:pt idx="29">
                  <c:v>41452</c:v>
                </c:pt>
                <c:pt idx="30">
                  <c:v>41451</c:v>
                </c:pt>
                <c:pt idx="31">
                  <c:v>41450</c:v>
                </c:pt>
                <c:pt idx="32">
                  <c:v>41449</c:v>
                </c:pt>
                <c:pt idx="33">
                  <c:v>41446</c:v>
                </c:pt>
                <c:pt idx="34">
                  <c:v>41445</c:v>
                </c:pt>
                <c:pt idx="35">
                  <c:v>41444</c:v>
                </c:pt>
                <c:pt idx="36">
                  <c:v>41443</c:v>
                </c:pt>
                <c:pt idx="37">
                  <c:v>41442</c:v>
                </c:pt>
                <c:pt idx="38">
                  <c:v>41439</c:v>
                </c:pt>
                <c:pt idx="39">
                  <c:v>41438</c:v>
                </c:pt>
                <c:pt idx="40">
                  <c:v>42440</c:v>
                </c:pt>
                <c:pt idx="41">
                  <c:v>41436</c:v>
                </c:pt>
                <c:pt idx="42">
                  <c:v>41435</c:v>
                </c:pt>
                <c:pt idx="43">
                  <c:v>41432</c:v>
                </c:pt>
                <c:pt idx="44">
                  <c:v>41431</c:v>
                </c:pt>
                <c:pt idx="45">
                  <c:v>41430</c:v>
                </c:pt>
                <c:pt idx="46">
                  <c:v>41429</c:v>
                </c:pt>
                <c:pt idx="47">
                  <c:v>41428</c:v>
                </c:pt>
                <c:pt idx="48">
                  <c:v>41425</c:v>
                </c:pt>
                <c:pt idx="49">
                  <c:v>41424</c:v>
                </c:pt>
                <c:pt idx="50">
                  <c:v>41423</c:v>
                </c:pt>
                <c:pt idx="51">
                  <c:v>41422</c:v>
                </c:pt>
                <c:pt idx="52">
                  <c:v>41421</c:v>
                </c:pt>
                <c:pt idx="53">
                  <c:v>41418</c:v>
                </c:pt>
                <c:pt idx="54">
                  <c:v>41417</c:v>
                </c:pt>
                <c:pt idx="55">
                  <c:v>41416</c:v>
                </c:pt>
                <c:pt idx="56">
                  <c:v>41415</c:v>
                </c:pt>
                <c:pt idx="57">
                  <c:v>41410</c:v>
                </c:pt>
                <c:pt idx="58">
                  <c:v>41409</c:v>
                </c:pt>
                <c:pt idx="59">
                  <c:v>41408</c:v>
                </c:pt>
                <c:pt idx="60">
                  <c:v>41407</c:v>
                </c:pt>
                <c:pt idx="61">
                  <c:v>41404</c:v>
                </c:pt>
                <c:pt idx="62">
                  <c:v>41402</c:v>
                </c:pt>
                <c:pt idx="63">
                  <c:v>41401</c:v>
                </c:pt>
                <c:pt idx="64">
                  <c:v>41400</c:v>
                </c:pt>
                <c:pt idx="65">
                  <c:v>41397</c:v>
                </c:pt>
                <c:pt idx="66">
                  <c:v>41396</c:v>
                </c:pt>
                <c:pt idx="67">
                  <c:v>41394</c:v>
                </c:pt>
                <c:pt idx="68">
                  <c:v>41393</c:v>
                </c:pt>
                <c:pt idx="69">
                  <c:v>41390</c:v>
                </c:pt>
                <c:pt idx="70">
                  <c:v>41389</c:v>
                </c:pt>
                <c:pt idx="71">
                  <c:v>41388</c:v>
                </c:pt>
                <c:pt idx="72">
                  <c:v>41387</c:v>
                </c:pt>
                <c:pt idx="73">
                  <c:v>41386</c:v>
                </c:pt>
                <c:pt idx="74">
                  <c:v>41383</c:v>
                </c:pt>
                <c:pt idx="75">
                  <c:v>41382</c:v>
                </c:pt>
                <c:pt idx="76">
                  <c:v>41381</c:v>
                </c:pt>
                <c:pt idx="77">
                  <c:v>41380</c:v>
                </c:pt>
                <c:pt idx="78">
                  <c:v>41379</c:v>
                </c:pt>
                <c:pt idx="79">
                  <c:v>41376</c:v>
                </c:pt>
                <c:pt idx="80">
                  <c:v>41375</c:v>
                </c:pt>
                <c:pt idx="81">
                  <c:v>41374</c:v>
                </c:pt>
                <c:pt idx="82">
                  <c:v>41373</c:v>
                </c:pt>
                <c:pt idx="83">
                  <c:v>41372</c:v>
                </c:pt>
                <c:pt idx="84">
                  <c:v>41369</c:v>
                </c:pt>
                <c:pt idx="85">
                  <c:v>41368</c:v>
                </c:pt>
                <c:pt idx="86">
                  <c:v>41367</c:v>
                </c:pt>
                <c:pt idx="87">
                  <c:v>41366</c:v>
                </c:pt>
                <c:pt idx="88">
                  <c:v>41360</c:v>
                </c:pt>
                <c:pt idx="89">
                  <c:v>41359</c:v>
                </c:pt>
                <c:pt idx="90">
                  <c:v>41358</c:v>
                </c:pt>
                <c:pt idx="91">
                  <c:v>41355</c:v>
                </c:pt>
                <c:pt idx="92">
                  <c:v>41354</c:v>
                </c:pt>
                <c:pt idx="93">
                  <c:v>41353</c:v>
                </c:pt>
                <c:pt idx="94">
                  <c:v>41352</c:v>
                </c:pt>
                <c:pt idx="95">
                  <c:v>41351</c:v>
                </c:pt>
                <c:pt idx="96">
                  <c:v>41348</c:v>
                </c:pt>
                <c:pt idx="97">
                  <c:v>41347</c:v>
                </c:pt>
                <c:pt idx="98">
                  <c:v>41346</c:v>
                </c:pt>
                <c:pt idx="99">
                  <c:v>41345</c:v>
                </c:pt>
                <c:pt idx="100">
                  <c:v>41344</c:v>
                </c:pt>
                <c:pt idx="101">
                  <c:v>41341</c:v>
                </c:pt>
                <c:pt idx="102">
                  <c:v>41340</c:v>
                </c:pt>
                <c:pt idx="103">
                  <c:v>41339</c:v>
                </c:pt>
                <c:pt idx="104">
                  <c:v>41338</c:v>
                </c:pt>
                <c:pt idx="105">
                  <c:v>41337</c:v>
                </c:pt>
                <c:pt idx="106">
                  <c:v>41334</c:v>
                </c:pt>
                <c:pt idx="107">
                  <c:v>41333</c:v>
                </c:pt>
                <c:pt idx="108">
                  <c:v>41332</c:v>
                </c:pt>
                <c:pt idx="109">
                  <c:v>41331</c:v>
                </c:pt>
                <c:pt idx="110">
                  <c:v>41330</c:v>
                </c:pt>
                <c:pt idx="111">
                  <c:v>41327</c:v>
                </c:pt>
                <c:pt idx="112">
                  <c:v>41326</c:v>
                </c:pt>
                <c:pt idx="113">
                  <c:v>41325</c:v>
                </c:pt>
                <c:pt idx="114">
                  <c:v>41324</c:v>
                </c:pt>
                <c:pt idx="115">
                  <c:v>41323</c:v>
                </c:pt>
                <c:pt idx="116">
                  <c:v>41320</c:v>
                </c:pt>
                <c:pt idx="117">
                  <c:v>41319</c:v>
                </c:pt>
                <c:pt idx="118">
                  <c:v>41318</c:v>
                </c:pt>
                <c:pt idx="119">
                  <c:v>41317</c:v>
                </c:pt>
                <c:pt idx="120">
                  <c:v>41316</c:v>
                </c:pt>
                <c:pt idx="121">
                  <c:v>41313</c:v>
                </c:pt>
                <c:pt idx="122">
                  <c:v>41312</c:v>
                </c:pt>
                <c:pt idx="123">
                  <c:v>41311</c:v>
                </c:pt>
                <c:pt idx="124">
                  <c:v>41310</c:v>
                </c:pt>
                <c:pt idx="125">
                  <c:v>41309</c:v>
                </c:pt>
                <c:pt idx="126">
                  <c:v>41306</c:v>
                </c:pt>
                <c:pt idx="127">
                  <c:v>41305</c:v>
                </c:pt>
                <c:pt idx="128">
                  <c:v>41304</c:v>
                </c:pt>
                <c:pt idx="129">
                  <c:v>41303</c:v>
                </c:pt>
                <c:pt idx="130">
                  <c:v>41302</c:v>
                </c:pt>
                <c:pt idx="131">
                  <c:v>41299</c:v>
                </c:pt>
                <c:pt idx="132">
                  <c:v>41298</c:v>
                </c:pt>
                <c:pt idx="133">
                  <c:v>41297</c:v>
                </c:pt>
                <c:pt idx="134">
                  <c:v>41296</c:v>
                </c:pt>
                <c:pt idx="135">
                  <c:v>41295</c:v>
                </c:pt>
                <c:pt idx="136">
                  <c:v>41292</c:v>
                </c:pt>
                <c:pt idx="137">
                  <c:v>41291</c:v>
                </c:pt>
                <c:pt idx="138">
                  <c:v>41290</c:v>
                </c:pt>
                <c:pt idx="139">
                  <c:v>41289</c:v>
                </c:pt>
                <c:pt idx="140">
                  <c:v>41288</c:v>
                </c:pt>
                <c:pt idx="141">
                  <c:v>41285</c:v>
                </c:pt>
                <c:pt idx="142">
                  <c:v>41284</c:v>
                </c:pt>
                <c:pt idx="143">
                  <c:v>41283</c:v>
                </c:pt>
                <c:pt idx="144">
                  <c:v>41282</c:v>
                </c:pt>
                <c:pt idx="145">
                  <c:v>41281</c:v>
                </c:pt>
                <c:pt idx="146">
                  <c:v>41278</c:v>
                </c:pt>
                <c:pt idx="147">
                  <c:v>41277</c:v>
                </c:pt>
                <c:pt idx="148">
                  <c:v>41276</c:v>
                </c:pt>
                <c:pt idx="149">
                  <c:v>41271</c:v>
                </c:pt>
                <c:pt idx="150">
                  <c:v>41270</c:v>
                </c:pt>
                <c:pt idx="151">
                  <c:v>41264</c:v>
                </c:pt>
                <c:pt idx="152">
                  <c:v>41263</c:v>
                </c:pt>
                <c:pt idx="153">
                  <c:v>41262</c:v>
                </c:pt>
                <c:pt idx="154">
                  <c:v>41261</c:v>
                </c:pt>
                <c:pt idx="155">
                  <c:v>41260</c:v>
                </c:pt>
                <c:pt idx="156">
                  <c:v>41257</c:v>
                </c:pt>
                <c:pt idx="157">
                  <c:v>41256</c:v>
                </c:pt>
                <c:pt idx="158">
                  <c:v>41255</c:v>
                </c:pt>
                <c:pt idx="159">
                  <c:v>41254</c:v>
                </c:pt>
                <c:pt idx="160">
                  <c:v>41253</c:v>
                </c:pt>
                <c:pt idx="161">
                  <c:v>41250</c:v>
                </c:pt>
                <c:pt idx="162">
                  <c:v>41249</c:v>
                </c:pt>
                <c:pt idx="163">
                  <c:v>41248</c:v>
                </c:pt>
                <c:pt idx="164">
                  <c:v>41247</c:v>
                </c:pt>
                <c:pt idx="165">
                  <c:v>41246</c:v>
                </c:pt>
                <c:pt idx="166">
                  <c:v>41243</c:v>
                </c:pt>
                <c:pt idx="167">
                  <c:v>41242</c:v>
                </c:pt>
                <c:pt idx="168">
                  <c:v>41241</c:v>
                </c:pt>
                <c:pt idx="169">
                  <c:v>41240</c:v>
                </c:pt>
                <c:pt idx="170">
                  <c:v>41239</c:v>
                </c:pt>
                <c:pt idx="171">
                  <c:v>41236</c:v>
                </c:pt>
                <c:pt idx="172">
                  <c:v>41235</c:v>
                </c:pt>
                <c:pt idx="173">
                  <c:v>41234</c:v>
                </c:pt>
                <c:pt idx="174">
                  <c:v>41233</c:v>
                </c:pt>
                <c:pt idx="175">
                  <c:v>41232</c:v>
                </c:pt>
                <c:pt idx="176">
                  <c:v>41229</c:v>
                </c:pt>
                <c:pt idx="177">
                  <c:v>41228</c:v>
                </c:pt>
                <c:pt idx="178">
                  <c:v>41227</c:v>
                </c:pt>
                <c:pt idx="179">
                  <c:v>41226</c:v>
                </c:pt>
                <c:pt idx="180">
                  <c:v>41225</c:v>
                </c:pt>
                <c:pt idx="181">
                  <c:v>41222</c:v>
                </c:pt>
                <c:pt idx="182">
                  <c:v>41221</c:v>
                </c:pt>
                <c:pt idx="183">
                  <c:v>41220</c:v>
                </c:pt>
                <c:pt idx="184">
                  <c:v>41219</c:v>
                </c:pt>
                <c:pt idx="185">
                  <c:v>41218</c:v>
                </c:pt>
                <c:pt idx="186">
                  <c:v>41215</c:v>
                </c:pt>
                <c:pt idx="187">
                  <c:v>41214</c:v>
                </c:pt>
                <c:pt idx="188">
                  <c:v>41213</c:v>
                </c:pt>
                <c:pt idx="189">
                  <c:v>41212</c:v>
                </c:pt>
                <c:pt idx="190">
                  <c:v>41211</c:v>
                </c:pt>
                <c:pt idx="191">
                  <c:v>41208</c:v>
                </c:pt>
                <c:pt idx="192">
                  <c:v>41207</c:v>
                </c:pt>
                <c:pt idx="193">
                  <c:v>41206</c:v>
                </c:pt>
                <c:pt idx="194">
                  <c:v>41205</c:v>
                </c:pt>
                <c:pt idx="195">
                  <c:v>41204</c:v>
                </c:pt>
                <c:pt idx="196">
                  <c:v>41201</c:v>
                </c:pt>
                <c:pt idx="197">
                  <c:v>41200</c:v>
                </c:pt>
                <c:pt idx="198">
                  <c:v>41199</c:v>
                </c:pt>
                <c:pt idx="199">
                  <c:v>41198</c:v>
                </c:pt>
                <c:pt idx="200">
                  <c:v>41197</c:v>
                </c:pt>
                <c:pt idx="201">
                  <c:v>41194</c:v>
                </c:pt>
                <c:pt idx="202">
                  <c:v>41193</c:v>
                </c:pt>
                <c:pt idx="203">
                  <c:v>41192</c:v>
                </c:pt>
                <c:pt idx="204">
                  <c:v>41191</c:v>
                </c:pt>
                <c:pt idx="205">
                  <c:v>41190</c:v>
                </c:pt>
                <c:pt idx="206">
                  <c:v>41187</c:v>
                </c:pt>
                <c:pt idx="207">
                  <c:v>41186</c:v>
                </c:pt>
                <c:pt idx="208">
                  <c:v>41185</c:v>
                </c:pt>
                <c:pt idx="209">
                  <c:v>41184</c:v>
                </c:pt>
                <c:pt idx="210">
                  <c:v>41183</c:v>
                </c:pt>
                <c:pt idx="211">
                  <c:v>41180</c:v>
                </c:pt>
                <c:pt idx="212">
                  <c:v>41179</c:v>
                </c:pt>
                <c:pt idx="213">
                  <c:v>41178</c:v>
                </c:pt>
                <c:pt idx="214">
                  <c:v>41177</c:v>
                </c:pt>
                <c:pt idx="215">
                  <c:v>41176</c:v>
                </c:pt>
                <c:pt idx="216">
                  <c:v>41173</c:v>
                </c:pt>
                <c:pt idx="217">
                  <c:v>41172</c:v>
                </c:pt>
                <c:pt idx="218">
                  <c:v>41171</c:v>
                </c:pt>
                <c:pt idx="219">
                  <c:v>41170</c:v>
                </c:pt>
                <c:pt idx="220">
                  <c:v>41169</c:v>
                </c:pt>
                <c:pt idx="221">
                  <c:v>41166</c:v>
                </c:pt>
                <c:pt idx="222">
                  <c:v>41165</c:v>
                </c:pt>
                <c:pt idx="223">
                  <c:v>41164</c:v>
                </c:pt>
                <c:pt idx="224">
                  <c:v>41163</c:v>
                </c:pt>
                <c:pt idx="225">
                  <c:v>41162</c:v>
                </c:pt>
                <c:pt idx="226">
                  <c:v>41159</c:v>
                </c:pt>
                <c:pt idx="227">
                  <c:v>41158</c:v>
                </c:pt>
                <c:pt idx="228">
                  <c:v>41157</c:v>
                </c:pt>
                <c:pt idx="229">
                  <c:v>41156</c:v>
                </c:pt>
                <c:pt idx="230">
                  <c:v>41155</c:v>
                </c:pt>
                <c:pt idx="231">
                  <c:v>41152</c:v>
                </c:pt>
                <c:pt idx="232">
                  <c:v>41151</c:v>
                </c:pt>
                <c:pt idx="233">
                  <c:v>41150</c:v>
                </c:pt>
                <c:pt idx="234">
                  <c:v>41149</c:v>
                </c:pt>
                <c:pt idx="235">
                  <c:v>41148</c:v>
                </c:pt>
                <c:pt idx="236">
                  <c:v>41145</c:v>
                </c:pt>
                <c:pt idx="237">
                  <c:v>41144</c:v>
                </c:pt>
                <c:pt idx="238">
                  <c:v>41143</c:v>
                </c:pt>
                <c:pt idx="239">
                  <c:v>41142</c:v>
                </c:pt>
                <c:pt idx="240">
                  <c:v>41141</c:v>
                </c:pt>
                <c:pt idx="241">
                  <c:v>41138</c:v>
                </c:pt>
                <c:pt idx="242">
                  <c:v>41137</c:v>
                </c:pt>
                <c:pt idx="243">
                  <c:v>41136</c:v>
                </c:pt>
                <c:pt idx="244">
                  <c:v>41135</c:v>
                </c:pt>
                <c:pt idx="245">
                  <c:v>41134</c:v>
                </c:pt>
                <c:pt idx="246">
                  <c:v>41131</c:v>
                </c:pt>
                <c:pt idx="247">
                  <c:v>41130</c:v>
                </c:pt>
                <c:pt idx="248">
                  <c:v>41129</c:v>
                </c:pt>
                <c:pt idx="249">
                  <c:v>41128</c:v>
                </c:pt>
                <c:pt idx="250">
                  <c:v>41127</c:v>
                </c:pt>
                <c:pt idx="251">
                  <c:v>41124</c:v>
                </c:pt>
                <c:pt idx="252">
                  <c:v>41123</c:v>
                </c:pt>
                <c:pt idx="253">
                  <c:v>41122</c:v>
                </c:pt>
                <c:pt idx="254">
                  <c:v>41121</c:v>
                </c:pt>
                <c:pt idx="255">
                  <c:v>41120</c:v>
                </c:pt>
                <c:pt idx="256">
                  <c:v>41117</c:v>
                </c:pt>
                <c:pt idx="257">
                  <c:v>41116</c:v>
                </c:pt>
                <c:pt idx="258">
                  <c:v>41115</c:v>
                </c:pt>
                <c:pt idx="259">
                  <c:v>41114</c:v>
                </c:pt>
                <c:pt idx="260">
                  <c:v>41113</c:v>
                </c:pt>
                <c:pt idx="261">
                  <c:v>41110</c:v>
                </c:pt>
                <c:pt idx="262">
                  <c:v>41109</c:v>
                </c:pt>
                <c:pt idx="263">
                  <c:v>41108</c:v>
                </c:pt>
                <c:pt idx="264">
                  <c:v>41107</c:v>
                </c:pt>
                <c:pt idx="265">
                  <c:v>41106</c:v>
                </c:pt>
                <c:pt idx="266">
                  <c:v>41103</c:v>
                </c:pt>
                <c:pt idx="267">
                  <c:v>41102</c:v>
                </c:pt>
                <c:pt idx="268">
                  <c:v>41101</c:v>
                </c:pt>
                <c:pt idx="269">
                  <c:v>41100</c:v>
                </c:pt>
                <c:pt idx="270">
                  <c:v>41099</c:v>
                </c:pt>
                <c:pt idx="271">
                  <c:v>41096</c:v>
                </c:pt>
                <c:pt idx="272">
                  <c:v>41095</c:v>
                </c:pt>
                <c:pt idx="273">
                  <c:v>41094</c:v>
                </c:pt>
                <c:pt idx="274">
                  <c:v>41093</c:v>
                </c:pt>
                <c:pt idx="275">
                  <c:v>41092</c:v>
                </c:pt>
                <c:pt idx="276">
                  <c:v>41089</c:v>
                </c:pt>
                <c:pt idx="277">
                  <c:v>41088</c:v>
                </c:pt>
                <c:pt idx="278">
                  <c:v>41087</c:v>
                </c:pt>
                <c:pt idx="279">
                  <c:v>41086</c:v>
                </c:pt>
                <c:pt idx="280">
                  <c:v>41085</c:v>
                </c:pt>
                <c:pt idx="281">
                  <c:v>41082</c:v>
                </c:pt>
                <c:pt idx="282">
                  <c:v>41081</c:v>
                </c:pt>
                <c:pt idx="283">
                  <c:v>41080</c:v>
                </c:pt>
                <c:pt idx="284">
                  <c:v>41079</c:v>
                </c:pt>
                <c:pt idx="285">
                  <c:v>41078</c:v>
                </c:pt>
                <c:pt idx="286">
                  <c:v>41075</c:v>
                </c:pt>
                <c:pt idx="287">
                  <c:v>41074</c:v>
                </c:pt>
                <c:pt idx="288">
                  <c:v>41073</c:v>
                </c:pt>
                <c:pt idx="289">
                  <c:v>41072</c:v>
                </c:pt>
              </c:numCache>
            </c:numRef>
          </c:cat>
          <c:val>
            <c:numRef>
              <c:f>SourceData!$B$210:$B$499</c:f>
              <c:numCache>
                <c:formatCode>#,##0_);[Red]\(#,##0\)</c:formatCode>
                <c:ptCount val="290"/>
              </c:numCache>
            </c:numRef>
          </c:val>
        </c:ser>
        <c:ser>
          <c:idx val="3"/>
          <c:order val="3"/>
          <c:tx>
            <c:v>Stock Usage</c:v>
          </c:tx>
          <c:spPr>
            <a:solidFill>
              <a:srgbClr val="FFE899"/>
            </a:solidFill>
            <a:ln w="25400">
              <a:noFill/>
            </a:ln>
          </c:spPr>
          <c:cat>
            <c:numRef>
              <c:f>[0]!X_Range</c:f>
              <c:numCache>
                <c:formatCode>m/d/yyyy</c:formatCode>
                <c:ptCount val="290"/>
                <c:pt idx="0">
                  <c:v>41493</c:v>
                </c:pt>
                <c:pt idx="1">
                  <c:v>41492</c:v>
                </c:pt>
                <c:pt idx="2">
                  <c:v>41491</c:v>
                </c:pt>
                <c:pt idx="3">
                  <c:v>41488</c:v>
                </c:pt>
                <c:pt idx="4">
                  <c:v>41487</c:v>
                </c:pt>
                <c:pt idx="5">
                  <c:v>41486</c:v>
                </c:pt>
                <c:pt idx="6">
                  <c:v>41485</c:v>
                </c:pt>
                <c:pt idx="7">
                  <c:v>41484</c:v>
                </c:pt>
                <c:pt idx="8">
                  <c:v>41481</c:v>
                </c:pt>
                <c:pt idx="9">
                  <c:v>41480</c:v>
                </c:pt>
                <c:pt idx="10">
                  <c:v>41479</c:v>
                </c:pt>
                <c:pt idx="11">
                  <c:v>41478</c:v>
                </c:pt>
                <c:pt idx="12">
                  <c:v>41477</c:v>
                </c:pt>
                <c:pt idx="13">
                  <c:v>41474</c:v>
                </c:pt>
                <c:pt idx="14">
                  <c:v>41473</c:v>
                </c:pt>
                <c:pt idx="15">
                  <c:v>41472</c:v>
                </c:pt>
                <c:pt idx="16">
                  <c:v>41471</c:v>
                </c:pt>
                <c:pt idx="17">
                  <c:v>41470</c:v>
                </c:pt>
                <c:pt idx="18">
                  <c:v>41467</c:v>
                </c:pt>
                <c:pt idx="19">
                  <c:v>41466</c:v>
                </c:pt>
                <c:pt idx="20">
                  <c:v>41465</c:v>
                </c:pt>
                <c:pt idx="21">
                  <c:v>41464</c:v>
                </c:pt>
                <c:pt idx="22">
                  <c:v>41463</c:v>
                </c:pt>
                <c:pt idx="23">
                  <c:v>41460</c:v>
                </c:pt>
                <c:pt idx="24">
                  <c:v>41459</c:v>
                </c:pt>
                <c:pt idx="25">
                  <c:v>41458</c:v>
                </c:pt>
                <c:pt idx="26">
                  <c:v>41457</c:v>
                </c:pt>
                <c:pt idx="27">
                  <c:v>41456</c:v>
                </c:pt>
                <c:pt idx="28">
                  <c:v>41453</c:v>
                </c:pt>
                <c:pt idx="29">
                  <c:v>41452</c:v>
                </c:pt>
                <c:pt idx="30">
                  <c:v>41451</c:v>
                </c:pt>
                <c:pt idx="31">
                  <c:v>41450</c:v>
                </c:pt>
                <c:pt idx="32">
                  <c:v>41449</c:v>
                </c:pt>
                <c:pt idx="33">
                  <c:v>41446</c:v>
                </c:pt>
                <c:pt idx="34">
                  <c:v>41445</c:v>
                </c:pt>
                <c:pt idx="35">
                  <c:v>41444</c:v>
                </c:pt>
                <c:pt idx="36">
                  <c:v>41443</c:v>
                </c:pt>
                <c:pt idx="37">
                  <c:v>41442</c:v>
                </c:pt>
                <c:pt idx="38">
                  <c:v>41439</c:v>
                </c:pt>
                <c:pt idx="39">
                  <c:v>41438</c:v>
                </c:pt>
                <c:pt idx="40">
                  <c:v>42440</c:v>
                </c:pt>
                <c:pt idx="41">
                  <c:v>41436</c:v>
                </c:pt>
                <c:pt idx="42">
                  <c:v>41435</c:v>
                </c:pt>
                <c:pt idx="43">
                  <c:v>41432</c:v>
                </c:pt>
                <c:pt idx="44">
                  <c:v>41431</c:v>
                </c:pt>
                <c:pt idx="45">
                  <c:v>41430</c:v>
                </c:pt>
                <c:pt idx="46">
                  <c:v>41429</c:v>
                </c:pt>
                <c:pt idx="47">
                  <c:v>41428</c:v>
                </c:pt>
                <c:pt idx="48">
                  <c:v>41425</c:v>
                </c:pt>
                <c:pt idx="49">
                  <c:v>41424</c:v>
                </c:pt>
                <c:pt idx="50">
                  <c:v>41423</c:v>
                </c:pt>
                <c:pt idx="51">
                  <c:v>41422</c:v>
                </c:pt>
                <c:pt idx="52">
                  <c:v>41421</c:v>
                </c:pt>
                <c:pt idx="53">
                  <c:v>41418</c:v>
                </c:pt>
                <c:pt idx="54">
                  <c:v>41417</c:v>
                </c:pt>
                <c:pt idx="55">
                  <c:v>41416</c:v>
                </c:pt>
                <c:pt idx="56">
                  <c:v>41415</c:v>
                </c:pt>
                <c:pt idx="57">
                  <c:v>41410</c:v>
                </c:pt>
                <c:pt idx="58">
                  <c:v>41409</c:v>
                </c:pt>
                <c:pt idx="59">
                  <c:v>41408</c:v>
                </c:pt>
                <c:pt idx="60">
                  <c:v>41407</c:v>
                </c:pt>
                <c:pt idx="61">
                  <c:v>41404</c:v>
                </c:pt>
                <c:pt idx="62">
                  <c:v>41402</c:v>
                </c:pt>
                <c:pt idx="63">
                  <c:v>41401</c:v>
                </c:pt>
                <c:pt idx="64">
                  <c:v>41400</c:v>
                </c:pt>
                <c:pt idx="65">
                  <c:v>41397</c:v>
                </c:pt>
                <c:pt idx="66">
                  <c:v>41396</c:v>
                </c:pt>
                <c:pt idx="67">
                  <c:v>41394</c:v>
                </c:pt>
                <c:pt idx="68">
                  <c:v>41393</c:v>
                </c:pt>
                <c:pt idx="69">
                  <c:v>41390</c:v>
                </c:pt>
                <c:pt idx="70">
                  <c:v>41389</c:v>
                </c:pt>
                <c:pt idx="71">
                  <c:v>41388</c:v>
                </c:pt>
                <c:pt idx="72">
                  <c:v>41387</c:v>
                </c:pt>
                <c:pt idx="73">
                  <c:v>41386</c:v>
                </c:pt>
                <c:pt idx="74">
                  <c:v>41383</c:v>
                </c:pt>
                <c:pt idx="75">
                  <c:v>41382</c:v>
                </c:pt>
                <c:pt idx="76">
                  <c:v>41381</c:v>
                </c:pt>
                <c:pt idx="77">
                  <c:v>41380</c:v>
                </c:pt>
                <c:pt idx="78">
                  <c:v>41379</c:v>
                </c:pt>
                <c:pt idx="79">
                  <c:v>41376</c:v>
                </c:pt>
                <c:pt idx="80">
                  <c:v>41375</c:v>
                </c:pt>
                <c:pt idx="81">
                  <c:v>41374</c:v>
                </c:pt>
                <c:pt idx="82">
                  <c:v>41373</c:v>
                </c:pt>
                <c:pt idx="83">
                  <c:v>41372</c:v>
                </c:pt>
                <c:pt idx="84">
                  <c:v>41369</c:v>
                </c:pt>
                <c:pt idx="85">
                  <c:v>41368</c:v>
                </c:pt>
                <c:pt idx="86">
                  <c:v>41367</c:v>
                </c:pt>
                <c:pt idx="87">
                  <c:v>41366</c:v>
                </c:pt>
                <c:pt idx="88">
                  <c:v>41360</c:v>
                </c:pt>
                <c:pt idx="89">
                  <c:v>41359</c:v>
                </c:pt>
                <c:pt idx="90">
                  <c:v>41358</c:v>
                </c:pt>
                <c:pt idx="91">
                  <c:v>41355</c:v>
                </c:pt>
                <c:pt idx="92">
                  <c:v>41354</c:v>
                </c:pt>
                <c:pt idx="93">
                  <c:v>41353</c:v>
                </c:pt>
                <c:pt idx="94">
                  <c:v>41352</c:v>
                </c:pt>
                <c:pt idx="95">
                  <c:v>41351</c:v>
                </c:pt>
                <c:pt idx="96">
                  <c:v>41348</c:v>
                </c:pt>
                <c:pt idx="97">
                  <c:v>41347</c:v>
                </c:pt>
                <c:pt idx="98">
                  <c:v>41346</c:v>
                </c:pt>
                <c:pt idx="99">
                  <c:v>41345</c:v>
                </c:pt>
                <c:pt idx="100">
                  <c:v>41344</c:v>
                </c:pt>
                <c:pt idx="101">
                  <c:v>41341</c:v>
                </c:pt>
                <c:pt idx="102">
                  <c:v>41340</c:v>
                </c:pt>
                <c:pt idx="103">
                  <c:v>41339</c:v>
                </c:pt>
                <c:pt idx="104">
                  <c:v>41338</c:v>
                </c:pt>
                <c:pt idx="105">
                  <c:v>41337</c:v>
                </c:pt>
                <c:pt idx="106">
                  <c:v>41334</c:v>
                </c:pt>
                <c:pt idx="107">
                  <c:v>41333</c:v>
                </c:pt>
                <c:pt idx="108">
                  <c:v>41332</c:v>
                </c:pt>
                <c:pt idx="109">
                  <c:v>41331</c:v>
                </c:pt>
                <c:pt idx="110">
                  <c:v>41330</c:v>
                </c:pt>
                <c:pt idx="111">
                  <c:v>41327</c:v>
                </c:pt>
                <c:pt idx="112">
                  <c:v>41326</c:v>
                </c:pt>
                <c:pt idx="113">
                  <c:v>41325</c:v>
                </c:pt>
                <c:pt idx="114">
                  <c:v>41324</c:v>
                </c:pt>
                <c:pt idx="115">
                  <c:v>41323</c:v>
                </c:pt>
                <c:pt idx="116">
                  <c:v>41320</c:v>
                </c:pt>
                <c:pt idx="117">
                  <c:v>41319</c:v>
                </c:pt>
                <c:pt idx="118">
                  <c:v>41318</c:v>
                </c:pt>
                <c:pt idx="119">
                  <c:v>41317</c:v>
                </c:pt>
                <c:pt idx="120">
                  <c:v>41316</c:v>
                </c:pt>
                <c:pt idx="121">
                  <c:v>41313</c:v>
                </c:pt>
                <c:pt idx="122">
                  <c:v>41312</c:v>
                </c:pt>
                <c:pt idx="123">
                  <c:v>41311</c:v>
                </c:pt>
                <c:pt idx="124">
                  <c:v>41310</c:v>
                </c:pt>
                <c:pt idx="125">
                  <c:v>41309</c:v>
                </c:pt>
                <c:pt idx="126">
                  <c:v>41306</c:v>
                </c:pt>
                <c:pt idx="127">
                  <c:v>41305</c:v>
                </c:pt>
                <c:pt idx="128">
                  <c:v>41304</c:v>
                </c:pt>
                <c:pt idx="129">
                  <c:v>41303</c:v>
                </c:pt>
                <c:pt idx="130">
                  <c:v>41302</c:v>
                </c:pt>
                <c:pt idx="131">
                  <c:v>41299</c:v>
                </c:pt>
                <c:pt idx="132">
                  <c:v>41298</c:v>
                </c:pt>
                <c:pt idx="133">
                  <c:v>41297</c:v>
                </c:pt>
                <c:pt idx="134">
                  <c:v>41296</c:v>
                </c:pt>
                <c:pt idx="135">
                  <c:v>41295</c:v>
                </c:pt>
                <c:pt idx="136">
                  <c:v>41292</c:v>
                </c:pt>
                <c:pt idx="137">
                  <c:v>41291</c:v>
                </c:pt>
                <c:pt idx="138">
                  <c:v>41290</c:v>
                </c:pt>
                <c:pt idx="139">
                  <c:v>41289</c:v>
                </c:pt>
                <c:pt idx="140">
                  <c:v>41288</c:v>
                </c:pt>
                <c:pt idx="141">
                  <c:v>41285</c:v>
                </c:pt>
                <c:pt idx="142">
                  <c:v>41284</c:v>
                </c:pt>
                <c:pt idx="143">
                  <c:v>41283</c:v>
                </c:pt>
                <c:pt idx="144">
                  <c:v>41282</c:v>
                </c:pt>
                <c:pt idx="145">
                  <c:v>41281</c:v>
                </c:pt>
                <c:pt idx="146">
                  <c:v>41278</c:v>
                </c:pt>
                <c:pt idx="147">
                  <c:v>41277</c:v>
                </c:pt>
                <c:pt idx="148">
                  <c:v>41276</c:v>
                </c:pt>
                <c:pt idx="149">
                  <c:v>41271</c:v>
                </c:pt>
                <c:pt idx="150">
                  <c:v>41270</c:v>
                </c:pt>
                <c:pt idx="151">
                  <c:v>41264</c:v>
                </c:pt>
                <c:pt idx="152">
                  <c:v>41263</c:v>
                </c:pt>
                <c:pt idx="153">
                  <c:v>41262</c:v>
                </c:pt>
                <c:pt idx="154">
                  <c:v>41261</c:v>
                </c:pt>
                <c:pt idx="155">
                  <c:v>41260</c:v>
                </c:pt>
                <c:pt idx="156">
                  <c:v>41257</c:v>
                </c:pt>
                <c:pt idx="157">
                  <c:v>41256</c:v>
                </c:pt>
                <c:pt idx="158">
                  <c:v>41255</c:v>
                </c:pt>
                <c:pt idx="159">
                  <c:v>41254</c:v>
                </c:pt>
                <c:pt idx="160">
                  <c:v>41253</c:v>
                </c:pt>
                <c:pt idx="161">
                  <c:v>41250</c:v>
                </c:pt>
                <c:pt idx="162">
                  <c:v>41249</c:v>
                </c:pt>
                <c:pt idx="163">
                  <c:v>41248</c:v>
                </c:pt>
                <c:pt idx="164">
                  <c:v>41247</c:v>
                </c:pt>
                <c:pt idx="165">
                  <c:v>41246</c:v>
                </c:pt>
                <c:pt idx="166">
                  <c:v>41243</c:v>
                </c:pt>
                <c:pt idx="167">
                  <c:v>41242</c:v>
                </c:pt>
                <c:pt idx="168">
                  <c:v>41241</c:v>
                </c:pt>
                <c:pt idx="169">
                  <c:v>41240</c:v>
                </c:pt>
                <c:pt idx="170">
                  <c:v>41239</c:v>
                </c:pt>
                <c:pt idx="171">
                  <c:v>41236</c:v>
                </c:pt>
                <c:pt idx="172">
                  <c:v>41235</c:v>
                </c:pt>
                <c:pt idx="173">
                  <c:v>41234</c:v>
                </c:pt>
                <c:pt idx="174">
                  <c:v>41233</c:v>
                </c:pt>
                <c:pt idx="175">
                  <c:v>41232</c:v>
                </c:pt>
                <c:pt idx="176">
                  <c:v>41229</c:v>
                </c:pt>
                <c:pt idx="177">
                  <c:v>41228</c:v>
                </c:pt>
                <c:pt idx="178">
                  <c:v>41227</c:v>
                </c:pt>
                <c:pt idx="179">
                  <c:v>41226</c:v>
                </c:pt>
                <c:pt idx="180">
                  <c:v>41225</c:v>
                </c:pt>
                <c:pt idx="181">
                  <c:v>41222</c:v>
                </c:pt>
                <c:pt idx="182">
                  <c:v>41221</c:v>
                </c:pt>
                <c:pt idx="183">
                  <c:v>41220</c:v>
                </c:pt>
                <c:pt idx="184">
                  <c:v>41219</c:v>
                </c:pt>
                <c:pt idx="185">
                  <c:v>41218</c:v>
                </c:pt>
                <c:pt idx="186">
                  <c:v>41215</c:v>
                </c:pt>
                <c:pt idx="187">
                  <c:v>41214</c:v>
                </c:pt>
                <c:pt idx="188">
                  <c:v>41213</c:v>
                </c:pt>
                <c:pt idx="189">
                  <c:v>41212</c:v>
                </c:pt>
                <c:pt idx="190">
                  <c:v>41211</c:v>
                </c:pt>
                <c:pt idx="191">
                  <c:v>41208</c:v>
                </c:pt>
                <c:pt idx="192">
                  <c:v>41207</c:v>
                </c:pt>
                <c:pt idx="193">
                  <c:v>41206</c:v>
                </c:pt>
                <c:pt idx="194">
                  <c:v>41205</c:v>
                </c:pt>
                <c:pt idx="195">
                  <c:v>41204</c:v>
                </c:pt>
                <c:pt idx="196">
                  <c:v>41201</c:v>
                </c:pt>
                <c:pt idx="197">
                  <c:v>41200</c:v>
                </c:pt>
                <c:pt idx="198">
                  <c:v>41199</c:v>
                </c:pt>
                <c:pt idx="199">
                  <c:v>41198</c:v>
                </c:pt>
                <c:pt idx="200">
                  <c:v>41197</c:v>
                </c:pt>
                <c:pt idx="201">
                  <c:v>41194</c:v>
                </c:pt>
                <c:pt idx="202">
                  <c:v>41193</c:v>
                </c:pt>
                <c:pt idx="203">
                  <c:v>41192</c:v>
                </c:pt>
                <c:pt idx="204">
                  <c:v>41191</c:v>
                </c:pt>
                <c:pt idx="205">
                  <c:v>41190</c:v>
                </c:pt>
                <c:pt idx="206">
                  <c:v>41187</c:v>
                </c:pt>
                <c:pt idx="207">
                  <c:v>41186</c:v>
                </c:pt>
                <c:pt idx="208">
                  <c:v>41185</c:v>
                </c:pt>
                <c:pt idx="209">
                  <c:v>41184</c:v>
                </c:pt>
                <c:pt idx="210">
                  <c:v>41183</c:v>
                </c:pt>
                <c:pt idx="211">
                  <c:v>41180</c:v>
                </c:pt>
                <c:pt idx="212">
                  <c:v>41179</c:v>
                </c:pt>
                <c:pt idx="213">
                  <c:v>41178</c:v>
                </c:pt>
                <c:pt idx="214">
                  <c:v>41177</c:v>
                </c:pt>
                <c:pt idx="215">
                  <c:v>41176</c:v>
                </c:pt>
                <c:pt idx="216">
                  <c:v>41173</c:v>
                </c:pt>
                <c:pt idx="217">
                  <c:v>41172</c:v>
                </c:pt>
                <c:pt idx="218">
                  <c:v>41171</c:v>
                </c:pt>
                <c:pt idx="219">
                  <c:v>41170</c:v>
                </c:pt>
                <c:pt idx="220">
                  <c:v>41169</c:v>
                </c:pt>
                <c:pt idx="221">
                  <c:v>41166</c:v>
                </c:pt>
                <c:pt idx="222">
                  <c:v>41165</c:v>
                </c:pt>
                <c:pt idx="223">
                  <c:v>41164</c:v>
                </c:pt>
                <c:pt idx="224">
                  <c:v>41163</c:v>
                </c:pt>
                <c:pt idx="225">
                  <c:v>41162</c:v>
                </c:pt>
                <c:pt idx="226">
                  <c:v>41159</c:v>
                </c:pt>
                <c:pt idx="227">
                  <c:v>41158</c:v>
                </c:pt>
                <c:pt idx="228">
                  <c:v>41157</c:v>
                </c:pt>
                <c:pt idx="229">
                  <c:v>41156</c:v>
                </c:pt>
                <c:pt idx="230">
                  <c:v>41155</c:v>
                </c:pt>
                <c:pt idx="231">
                  <c:v>41152</c:v>
                </c:pt>
                <c:pt idx="232">
                  <c:v>41151</c:v>
                </c:pt>
                <c:pt idx="233">
                  <c:v>41150</c:v>
                </c:pt>
                <c:pt idx="234">
                  <c:v>41149</c:v>
                </c:pt>
                <c:pt idx="235">
                  <c:v>41148</c:v>
                </c:pt>
                <c:pt idx="236">
                  <c:v>41145</c:v>
                </c:pt>
                <c:pt idx="237">
                  <c:v>41144</c:v>
                </c:pt>
                <c:pt idx="238">
                  <c:v>41143</c:v>
                </c:pt>
                <c:pt idx="239">
                  <c:v>41142</c:v>
                </c:pt>
                <c:pt idx="240">
                  <c:v>41141</c:v>
                </c:pt>
                <c:pt idx="241">
                  <c:v>41138</c:v>
                </c:pt>
                <c:pt idx="242">
                  <c:v>41137</c:v>
                </c:pt>
                <c:pt idx="243">
                  <c:v>41136</c:v>
                </c:pt>
                <c:pt idx="244">
                  <c:v>41135</c:v>
                </c:pt>
                <c:pt idx="245">
                  <c:v>41134</c:v>
                </c:pt>
                <c:pt idx="246">
                  <c:v>41131</c:v>
                </c:pt>
                <c:pt idx="247">
                  <c:v>41130</c:v>
                </c:pt>
                <c:pt idx="248">
                  <c:v>41129</c:v>
                </c:pt>
                <c:pt idx="249">
                  <c:v>41128</c:v>
                </c:pt>
                <c:pt idx="250">
                  <c:v>41127</c:v>
                </c:pt>
                <c:pt idx="251">
                  <c:v>41124</c:v>
                </c:pt>
                <c:pt idx="252">
                  <c:v>41123</c:v>
                </c:pt>
                <c:pt idx="253">
                  <c:v>41122</c:v>
                </c:pt>
                <c:pt idx="254">
                  <c:v>41121</c:v>
                </c:pt>
                <c:pt idx="255">
                  <c:v>41120</c:v>
                </c:pt>
                <c:pt idx="256">
                  <c:v>41117</c:v>
                </c:pt>
                <c:pt idx="257">
                  <c:v>41116</c:v>
                </c:pt>
                <c:pt idx="258">
                  <c:v>41115</c:v>
                </c:pt>
                <c:pt idx="259">
                  <c:v>41114</c:v>
                </c:pt>
                <c:pt idx="260">
                  <c:v>41113</c:v>
                </c:pt>
                <c:pt idx="261">
                  <c:v>41110</c:v>
                </c:pt>
                <c:pt idx="262">
                  <c:v>41109</c:v>
                </c:pt>
                <c:pt idx="263">
                  <c:v>41108</c:v>
                </c:pt>
                <c:pt idx="264">
                  <c:v>41107</c:v>
                </c:pt>
                <c:pt idx="265">
                  <c:v>41106</c:v>
                </c:pt>
                <c:pt idx="266">
                  <c:v>41103</c:v>
                </c:pt>
                <c:pt idx="267">
                  <c:v>41102</c:v>
                </c:pt>
                <c:pt idx="268">
                  <c:v>41101</c:v>
                </c:pt>
                <c:pt idx="269">
                  <c:v>41100</c:v>
                </c:pt>
                <c:pt idx="270">
                  <c:v>41099</c:v>
                </c:pt>
                <c:pt idx="271">
                  <c:v>41096</c:v>
                </c:pt>
                <c:pt idx="272">
                  <c:v>41095</c:v>
                </c:pt>
                <c:pt idx="273">
                  <c:v>41094</c:v>
                </c:pt>
                <c:pt idx="274">
                  <c:v>41093</c:v>
                </c:pt>
                <c:pt idx="275">
                  <c:v>41092</c:v>
                </c:pt>
                <c:pt idx="276">
                  <c:v>41089</c:v>
                </c:pt>
                <c:pt idx="277">
                  <c:v>41088</c:v>
                </c:pt>
                <c:pt idx="278">
                  <c:v>41087</c:v>
                </c:pt>
                <c:pt idx="279">
                  <c:v>41086</c:v>
                </c:pt>
                <c:pt idx="280">
                  <c:v>41085</c:v>
                </c:pt>
                <c:pt idx="281">
                  <c:v>41082</c:v>
                </c:pt>
                <c:pt idx="282">
                  <c:v>41081</c:v>
                </c:pt>
                <c:pt idx="283">
                  <c:v>41080</c:v>
                </c:pt>
                <c:pt idx="284">
                  <c:v>41079</c:v>
                </c:pt>
                <c:pt idx="285">
                  <c:v>41078</c:v>
                </c:pt>
                <c:pt idx="286">
                  <c:v>41075</c:v>
                </c:pt>
                <c:pt idx="287">
                  <c:v>41074</c:v>
                </c:pt>
                <c:pt idx="288">
                  <c:v>41073</c:v>
                </c:pt>
                <c:pt idx="289">
                  <c:v>41072</c:v>
                </c:pt>
              </c:numCache>
            </c:numRef>
          </c:cat>
          <c:val>
            <c:numRef>
              <c:f>SourceData!$E$210:$E$499</c:f>
              <c:numCache>
                <c:formatCode>#,##0_);[Red]\(#,##0\)</c:formatCode>
                <c:ptCount val="29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5895840"/>
        <c:axId val="925889568"/>
      </c:areaChart>
      <c:lineChart>
        <c:grouping val="standard"/>
        <c:varyColors val="0"/>
        <c:ser>
          <c:idx val="1"/>
          <c:order val="1"/>
          <c:tx>
            <c:strRef>
              <c:f>SourceData!$F$1</c:f>
              <c:strCache>
                <c:ptCount val="1"/>
                <c:pt idx="0">
                  <c:v>Avg. Coverage</c:v>
                </c:pt>
              </c:strCache>
            </c:strRef>
          </c:tx>
          <c:spPr>
            <a:ln w="254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[0]!X_Range</c:f>
              <c:numCache>
                <c:formatCode>m/d/yyyy</c:formatCode>
                <c:ptCount val="290"/>
                <c:pt idx="0">
                  <c:v>41493</c:v>
                </c:pt>
                <c:pt idx="1">
                  <c:v>41492</c:v>
                </c:pt>
                <c:pt idx="2">
                  <c:v>41491</c:v>
                </c:pt>
                <c:pt idx="3">
                  <c:v>41488</c:v>
                </c:pt>
                <c:pt idx="4">
                  <c:v>41487</c:v>
                </c:pt>
                <c:pt idx="5">
                  <c:v>41486</c:v>
                </c:pt>
                <c:pt idx="6">
                  <c:v>41485</c:v>
                </c:pt>
                <c:pt idx="7">
                  <c:v>41484</c:v>
                </c:pt>
                <c:pt idx="8">
                  <c:v>41481</c:v>
                </c:pt>
                <c:pt idx="9">
                  <c:v>41480</c:v>
                </c:pt>
                <c:pt idx="10">
                  <c:v>41479</c:v>
                </c:pt>
                <c:pt idx="11">
                  <c:v>41478</c:v>
                </c:pt>
                <c:pt idx="12">
                  <c:v>41477</c:v>
                </c:pt>
                <c:pt idx="13">
                  <c:v>41474</c:v>
                </c:pt>
                <c:pt idx="14">
                  <c:v>41473</c:v>
                </c:pt>
                <c:pt idx="15">
                  <c:v>41472</c:v>
                </c:pt>
                <c:pt idx="16">
                  <c:v>41471</c:v>
                </c:pt>
                <c:pt idx="17">
                  <c:v>41470</c:v>
                </c:pt>
                <c:pt idx="18">
                  <c:v>41467</c:v>
                </c:pt>
                <c:pt idx="19">
                  <c:v>41466</c:v>
                </c:pt>
                <c:pt idx="20">
                  <c:v>41465</c:v>
                </c:pt>
                <c:pt idx="21">
                  <c:v>41464</c:v>
                </c:pt>
                <c:pt idx="22">
                  <c:v>41463</c:v>
                </c:pt>
                <c:pt idx="23">
                  <c:v>41460</c:v>
                </c:pt>
                <c:pt idx="24">
                  <c:v>41459</c:v>
                </c:pt>
                <c:pt idx="25">
                  <c:v>41458</c:v>
                </c:pt>
                <c:pt idx="26">
                  <c:v>41457</c:v>
                </c:pt>
                <c:pt idx="27">
                  <c:v>41456</c:v>
                </c:pt>
                <c:pt idx="28">
                  <c:v>41453</c:v>
                </c:pt>
                <c:pt idx="29">
                  <c:v>41452</c:v>
                </c:pt>
                <c:pt idx="30">
                  <c:v>41451</c:v>
                </c:pt>
                <c:pt idx="31">
                  <c:v>41450</c:v>
                </c:pt>
                <c:pt idx="32">
                  <c:v>41449</c:v>
                </c:pt>
                <c:pt idx="33">
                  <c:v>41446</c:v>
                </c:pt>
                <c:pt idx="34">
                  <c:v>41445</c:v>
                </c:pt>
                <c:pt idx="35">
                  <c:v>41444</c:v>
                </c:pt>
                <c:pt idx="36">
                  <c:v>41443</c:v>
                </c:pt>
                <c:pt idx="37">
                  <c:v>41442</c:v>
                </c:pt>
                <c:pt idx="38">
                  <c:v>41439</c:v>
                </c:pt>
                <c:pt idx="39">
                  <c:v>41438</c:v>
                </c:pt>
                <c:pt idx="40">
                  <c:v>42440</c:v>
                </c:pt>
                <c:pt idx="41">
                  <c:v>41436</c:v>
                </c:pt>
                <c:pt idx="42">
                  <c:v>41435</c:v>
                </c:pt>
                <c:pt idx="43">
                  <c:v>41432</c:v>
                </c:pt>
                <c:pt idx="44">
                  <c:v>41431</c:v>
                </c:pt>
                <c:pt idx="45">
                  <c:v>41430</c:v>
                </c:pt>
                <c:pt idx="46">
                  <c:v>41429</c:v>
                </c:pt>
                <c:pt idx="47">
                  <c:v>41428</c:v>
                </c:pt>
                <c:pt idx="48">
                  <c:v>41425</c:v>
                </c:pt>
                <c:pt idx="49">
                  <c:v>41424</c:v>
                </c:pt>
                <c:pt idx="50">
                  <c:v>41423</c:v>
                </c:pt>
                <c:pt idx="51">
                  <c:v>41422</c:v>
                </c:pt>
                <c:pt idx="52">
                  <c:v>41421</c:v>
                </c:pt>
                <c:pt idx="53">
                  <c:v>41418</c:v>
                </c:pt>
                <c:pt idx="54">
                  <c:v>41417</c:v>
                </c:pt>
                <c:pt idx="55">
                  <c:v>41416</c:v>
                </c:pt>
                <c:pt idx="56">
                  <c:v>41415</c:v>
                </c:pt>
                <c:pt idx="57">
                  <c:v>41410</c:v>
                </c:pt>
                <c:pt idx="58">
                  <c:v>41409</c:v>
                </c:pt>
                <c:pt idx="59">
                  <c:v>41408</c:v>
                </c:pt>
                <c:pt idx="60">
                  <c:v>41407</c:v>
                </c:pt>
                <c:pt idx="61">
                  <c:v>41404</c:v>
                </c:pt>
                <c:pt idx="62">
                  <c:v>41402</c:v>
                </c:pt>
                <c:pt idx="63">
                  <c:v>41401</c:v>
                </c:pt>
                <c:pt idx="64">
                  <c:v>41400</c:v>
                </c:pt>
                <c:pt idx="65">
                  <c:v>41397</c:v>
                </c:pt>
                <c:pt idx="66">
                  <c:v>41396</c:v>
                </c:pt>
                <c:pt idx="67">
                  <c:v>41394</c:v>
                </c:pt>
                <c:pt idx="68">
                  <c:v>41393</c:v>
                </c:pt>
                <c:pt idx="69">
                  <c:v>41390</c:v>
                </c:pt>
                <c:pt idx="70">
                  <c:v>41389</c:v>
                </c:pt>
                <c:pt idx="71">
                  <c:v>41388</c:v>
                </c:pt>
                <c:pt idx="72">
                  <c:v>41387</c:v>
                </c:pt>
                <c:pt idx="73">
                  <c:v>41386</c:v>
                </c:pt>
                <c:pt idx="74">
                  <c:v>41383</c:v>
                </c:pt>
                <c:pt idx="75">
                  <c:v>41382</c:v>
                </c:pt>
                <c:pt idx="76">
                  <c:v>41381</c:v>
                </c:pt>
                <c:pt idx="77">
                  <c:v>41380</c:v>
                </c:pt>
                <c:pt idx="78">
                  <c:v>41379</c:v>
                </c:pt>
                <c:pt idx="79">
                  <c:v>41376</c:v>
                </c:pt>
                <c:pt idx="80">
                  <c:v>41375</c:v>
                </c:pt>
                <c:pt idx="81">
                  <c:v>41374</c:v>
                </c:pt>
                <c:pt idx="82">
                  <c:v>41373</c:v>
                </c:pt>
                <c:pt idx="83">
                  <c:v>41372</c:v>
                </c:pt>
                <c:pt idx="84">
                  <c:v>41369</c:v>
                </c:pt>
                <c:pt idx="85">
                  <c:v>41368</c:v>
                </c:pt>
                <c:pt idx="86">
                  <c:v>41367</c:v>
                </c:pt>
                <c:pt idx="87">
                  <c:v>41366</c:v>
                </c:pt>
                <c:pt idx="88">
                  <c:v>41360</c:v>
                </c:pt>
                <c:pt idx="89">
                  <c:v>41359</c:v>
                </c:pt>
                <c:pt idx="90">
                  <c:v>41358</c:v>
                </c:pt>
                <c:pt idx="91">
                  <c:v>41355</c:v>
                </c:pt>
                <c:pt idx="92">
                  <c:v>41354</c:v>
                </c:pt>
                <c:pt idx="93">
                  <c:v>41353</c:v>
                </c:pt>
                <c:pt idx="94">
                  <c:v>41352</c:v>
                </c:pt>
                <c:pt idx="95">
                  <c:v>41351</c:v>
                </c:pt>
                <c:pt idx="96">
                  <c:v>41348</c:v>
                </c:pt>
                <c:pt idx="97">
                  <c:v>41347</c:v>
                </c:pt>
                <c:pt idx="98">
                  <c:v>41346</c:v>
                </c:pt>
                <c:pt idx="99">
                  <c:v>41345</c:v>
                </c:pt>
                <c:pt idx="100">
                  <c:v>41344</c:v>
                </c:pt>
                <c:pt idx="101">
                  <c:v>41341</c:v>
                </c:pt>
                <c:pt idx="102">
                  <c:v>41340</c:v>
                </c:pt>
                <c:pt idx="103">
                  <c:v>41339</c:v>
                </c:pt>
                <c:pt idx="104">
                  <c:v>41338</c:v>
                </c:pt>
                <c:pt idx="105">
                  <c:v>41337</c:v>
                </c:pt>
                <c:pt idx="106">
                  <c:v>41334</c:v>
                </c:pt>
                <c:pt idx="107">
                  <c:v>41333</c:v>
                </c:pt>
                <c:pt idx="108">
                  <c:v>41332</c:v>
                </c:pt>
                <c:pt idx="109">
                  <c:v>41331</c:v>
                </c:pt>
                <c:pt idx="110">
                  <c:v>41330</c:v>
                </c:pt>
                <c:pt idx="111">
                  <c:v>41327</c:v>
                </c:pt>
                <c:pt idx="112">
                  <c:v>41326</c:v>
                </c:pt>
                <c:pt idx="113">
                  <c:v>41325</c:v>
                </c:pt>
                <c:pt idx="114">
                  <c:v>41324</c:v>
                </c:pt>
                <c:pt idx="115">
                  <c:v>41323</c:v>
                </c:pt>
                <c:pt idx="116">
                  <c:v>41320</c:v>
                </c:pt>
                <c:pt idx="117">
                  <c:v>41319</c:v>
                </c:pt>
                <c:pt idx="118">
                  <c:v>41318</c:v>
                </c:pt>
                <c:pt idx="119">
                  <c:v>41317</c:v>
                </c:pt>
                <c:pt idx="120">
                  <c:v>41316</c:v>
                </c:pt>
                <c:pt idx="121">
                  <c:v>41313</c:v>
                </c:pt>
                <c:pt idx="122">
                  <c:v>41312</c:v>
                </c:pt>
                <c:pt idx="123">
                  <c:v>41311</c:v>
                </c:pt>
                <c:pt idx="124">
                  <c:v>41310</c:v>
                </c:pt>
                <c:pt idx="125">
                  <c:v>41309</c:v>
                </c:pt>
                <c:pt idx="126">
                  <c:v>41306</c:v>
                </c:pt>
                <c:pt idx="127">
                  <c:v>41305</c:v>
                </c:pt>
                <c:pt idx="128">
                  <c:v>41304</c:v>
                </c:pt>
                <c:pt idx="129">
                  <c:v>41303</c:v>
                </c:pt>
                <c:pt idx="130">
                  <c:v>41302</c:v>
                </c:pt>
                <c:pt idx="131">
                  <c:v>41299</c:v>
                </c:pt>
                <c:pt idx="132">
                  <c:v>41298</c:v>
                </c:pt>
                <c:pt idx="133">
                  <c:v>41297</c:v>
                </c:pt>
                <c:pt idx="134">
                  <c:v>41296</c:v>
                </c:pt>
                <c:pt idx="135">
                  <c:v>41295</c:v>
                </c:pt>
                <c:pt idx="136">
                  <c:v>41292</c:v>
                </c:pt>
                <c:pt idx="137">
                  <c:v>41291</c:v>
                </c:pt>
                <c:pt idx="138">
                  <c:v>41290</c:v>
                </c:pt>
                <c:pt idx="139">
                  <c:v>41289</c:v>
                </c:pt>
                <c:pt idx="140">
                  <c:v>41288</c:v>
                </c:pt>
                <c:pt idx="141">
                  <c:v>41285</c:v>
                </c:pt>
                <c:pt idx="142">
                  <c:v>41284</c:v>
                </c:pt>
                <c:pt idx="143">
                  <c:v>41283</c:v>
                </c:pt>
                <c:pt idx="144">
                  <c:v>41282</c:v>
                </c:pt>
                <c:pt idx="145">
                  <c:v>41281</c:v>
                </c:pt>
                <c:pt idx="146">
                  <c:v>41278</c:v>
                </c:pt>
                <c:pt idx="147">
                  <c:v>41277</c:v>
                </c:pt>
                <c:pt idx="148">
                  <c:v>41276</c:v>
                </c:pt>
                <c:pt idx="149">
                  <c:v>41271</c:v>
                </c:pt>
                <c:pt idx="150">
                  <c:v>41270</c:v>
                </c:pt>
                <c:pt idx="151">
                  <c:v>41264</c:v>
                </c:pt>
                <c:pt idx="152">
                  <c:v>41263</c:v>
                </c:pt>
                <c:pt idx="153">
                  <c:v>41262</c:v>
                </c:pt>
                <c:pt idx="154">
                  <c:v>41261</c:v>
                </c:pt>
                <c:pt idx="155">
                  <c:v>41260</c:v>
                </c:pt>
                <c:pt idx="156">
                  <c:v>41257</c:v>
                </c:pt>
                <c:pt idx="157">
                  <c:v>41256</c:v>
                </c:pt>
                <c:pt idx="158">
                  <c:v>41255</c:v>
                </c:pt>
                <c:pt idx="159">
                  <c:v>41254</c:v>
                </c:pt>
                <c:pt idx="160">
                  <c:v>41253</c:v>
                </c:pt>
                <c:pt idx="161">
                  <c:v>41250</c:v>
                </c:pt>
                <c:pt idx="162">
                  <c:v>41249</c:v>
                </c:pt>
                <c:pt idx="163">
                  <c:v>41248</c:v>
                </c:pt>
                <c:pt idx="164">
                  <c:v>41247</c:v>
                </c:pt>
                <c:pt idx="165">
                  <c:v>41246</c:v>
                </c:pt>
                <c:pt idx="166">
                  <c:v>41243</c:v>
                </c:pt>
                <c:pt idx="167">
                  <c:v>41242</c:v>
                </c:pt>
                <c:pt idx="168">
                  <c:v>41241</c:v>
                </c:pt>
                <c:pt idx="169">
                  <c:v>41240</c:v>
                </c:pt>
                <c:pt idx="170">
                  <c:v>41239</c:v>
                </c:pt>
                <c:pt idx="171">
                  <c:v>41236</c:v>
                </c:pt>
                <c:pt idx="172">
                  <c:v>41235</c:v>
                </c:pt>
                <c:pt idx="173">
                  <c:v>41234</c:v>
                </c:pt>
                <c:pt idx="174">
                  <c:v>41233</c:v>
                </c:pt>
                <c:pt idx="175">
                  <c:v>41232</c:v>
                </c:pt>
                <c:pt idx="176">
                  <c:v>41229</c:v>
                </c:pt>
                <c:pt idx="177">
                  <c:v>41228</c:v>
                </c:pt>
                <c:pt idx="178">
                  <c:v>41227</c:v>
                </c:pt>
                <c:pt idx="179">
                  <c:v>41226</c:v>
                </c:pt>
                <c:pt idx="180">
                  <c:v>41225</c:v>
                </c:pt>
                <c:pt idx="181">
                  <c:v>41222</c:v>
                </c:pt>
                <c:pt idx="182">
                  <c:v>41221</c:v>
                </c:pt>
                <c:pt idx="183">
                  <c:v>41220</c:v>
                </c:pt>
                <c:pt idx="184">
                  <c:v>41219</c:v>
                </c:pt>
                <c:pt idx="185">
                  <c:v>41218</c:v>
                </c:pt>
                <c:pt idx="186">
                  <c:v>41215</c:v>
                </c:pt>
                <c:pt idx="187">
                  <c:v>41214</c:v>
                </c:pt>
                <c:pt idx="188">
                  <c:v>41213</c:v>
                </c:pt>
                <c:pt idx="189">
                  <c:v>41212</c:v>
                </c:pt>
                <c:pt idx="190">
                  <c:v>41211</c:v>
                </c:pt>
                <c:pt idx="191">
                  <c:v>41208</c:v>
                </c:pt>
                <c:pt idx="192">
                  <c:v>41207</c:v>
                </c:pt>
                <c:pt idx="193">
                  <c:v>41206</c:v>
                </c:pt>
                <c:pt idx="194">
                  <c:v>41205</c:v>
                </c:pt>
                <c:pt idx="195">
                  <c:v>41204</c:v>
                </c:pt>
                <c:pt idx="196">
                  <c:v>41201</c:v>
                </c:pt>
                <c:pt idx="197">
                  <c:v>41200</c:v>
                </c:pt>
                <c:pt idx="198">
                  <c:v>41199</c:v>
                </c:pt>
                <c:pt idx="199">
                  <c:v>41198</c:v>
                </c:pt>
                <c:pt idx="200">
                  <c:v>41197</c:v>
                </c:pt>
                <c:pt idx="201">
                  <c:v>41194</c:v>
                </c:pt>
                <c:pt idx="202">
                  <c:v>41193</c:v>
                </c:pt>
                <c:pt idx="203">
                  <c:v>41192</c:v>
                </c:pt>
                <c:pt idx="204">
                  <c:v>41191</c:v>
                </c:pt>
                <c:pt idx="205">
                  <c:v>41190</c:v>
                </c:pt>
                <c:pt idx="206">
                  <c:v>41187</c:v>
                </c:pt>
                <c:pt idx="207">
                  <c:v>41186</c:v>
                </c:pt>
                <c:pt idx="208">
                  <c:v>41185</c:v>
                </c:pt>
                <c:pt idx="209">
                  <c:v>41184</c:v>
                </c:pt>
                <c:pt idx="210">
                  <c:v>41183</c:v>
                </c:pt>
                <c:pt idx="211">
                  <c:v>41180</c:v>
                </c:pt>
                <c:pt idx="212">
                  <c:v>41179</c:v>
                </c:pt>
                <c:pt idx="213">
                  <c:v>41178</c:v>
                </c:pt>
                <c:pt idx="214">
                  <c:v>41177</c:v>
                </c:pt>
                <c:pt idx="215">
                  <c:v>41176</c:v>
                </c:pt>
                <c:pt idx="216">
                  <c:v>41173</c:v>
                </c:pt>
                <c:pt idx="217">
                  <c:v>41172</c:v>
                </c:pt>
                <c:pt idx="218">
                  <c:v>41171</c:v>
                </c:pt>
                <c:pt idx="219">
                  <c:v>41170</c:v>
                </c:pt>
                <c:pt idx="220">
                  <c:v>41169</c:v>
                </c:pt>
                <c:pt idx="221">
                  <c:v>41166</c:v>
                </c:pt>
                <c:pt idx="222">
                  <c:v>41165</c:v>
                </c:pt>
                <c:pt idx="223">
                  <c:v>41164</c:v>
                </c:pt>
                <c:pt idx="224">
                  <c:v>41163</c:v>
                </c:pt>
                <c:pt idx="225">
                  <c:v>41162</c:v>
                </c:pt>
                <c:pt idx="226">
                  <c:v>41159</c:v>
                </c:pt>
                <c:pt idx="227">
                  <c:v>41158</c:v>
                </c:pt>
                <c:pt idx="228">
                  <c:v>41157</c:v>
                </c:pt>
                <c:pt idx="229">
                  <c:v>41156</c:v>
                </c:pt>
                <c:pt idx="230">
                  <c:v>41155</c:v>
                </c:pt>
                <c:pt idx="231">
                  <c:v>41152</c:v>
                </c:pt>
                <c:pt idx="232">
                  <c:v>41151</c:v>
                </c:pt>
                <c:pt idx="233">
                  <c:v>41150</c:v>
                </c:pt>
                <c:pt idx="234">
                  <c:v>41149</c:v>
                </c:pt>
                <c:pt idx="235">
                  <c:v>41148</c:v>
                </c:pt>
                <c:pt idx="236">
                  <c:v>41145</c:v>
                </c:pt>
                <c:pt idx="237">
                  <c:v>41144</c:v>
                </c:pt>
                <c:pt idx="238">
                  <c:v>41143</c:v>
                </c:pt>
                <c:pt idx="239">
                  <c:v>41142</c:v>
                </c:pt>
                <c:pt idx="240">
                  <c:v>41141</c:v>
                </c:pt>
                <c:pt idx="241">
                  <c:v>41138</c:v>
                </c:pt>
                <c:pt idx="242">
                  <c:v>41137</c:v>
                </c:pt>
                <c:pt idx="243">
                  <c:v>41136</c:v>
                </c:pt>
                <c:pt idx="244">
                  <c:v>41135</c:v>
                </c:pt>
                <c:pt idx="245">
                  <c:v>41134</c:v>
                </c:pt>
                <c:pt idx="246">
                  <c:v>41131</c:v>
                </c:pt>
                <c:pt idx="247">
                  <c:v>41130</c:v>
                </c:pt>
                <c:pt idx="248">
                  <c:v>41129</c:v>
                </c:pt>
                <c:pt idx="249">
                  <c:v>41128</c:v>
                </c:pt>
                <c:pt idx="250">
                  <c:v>41127</c:v>
                </c:pt>
                <c:pt idx="251">
                  <c:v>41124</c:v>
                </c:pt>
                <c:pt idx="252">
                  <c:v>41123</c:v>
                </c:pt>
                <c:pt idx="253">
                  <c:v>41122</c:v>
                </c:pt>
                <c:pt idx="254">
                  <c:v>41121</c:v>
                </c:pt>
                <c:pt idx="255">
                  <c:v>41120</c:v>
                </c:pt>
                <c:pt idx="256">
                  <c:v>41117</c:v>
                </c:pt>
                <c:pt idx="257">
                  <c:v>41116</c:v>
                </c:pt>
                <c:pt idx="258">
                  <c:v>41115</c:v>
                </c:pt>
                <c:pt idx="259">
                  <c:v>41114</c:v>
                </c:pt>
                <c:pt idx="260">
                  <c:v>41113</c:v>
                </c:pt>
                <c:pt idx="261">
                  <c:v>41110</c:v>
                </c:pt>
                <c:pt idx="262">
                  <c:v>41109</c:v>
                </c:pt>
                <c:pt idx="263">
                  <c:v>41108</c:v>
                </c:pt>
                <c:pt idx="264">
                  <c:v>41107</c:v>
                </c:pt>
                <c:pt idx="265">
                  <c:v>41106</c:v>
                </c:pt>
                <c:pt idx="266">
                  <c:v>41103</c:v>
                </c:pt>
                <c:pt idx="267">
                  <c:v>41102</c:v>
                </c:pt>
                <c:pt idx="268">
                  <c:v>41101</c:v>
                </c:pt>
                <c:pt idx="269">
                  <c:v>41100</c:v>
                </c:pt>
                <c:pt idx="270">
                  <c:v>41099</c:v>
                </c:pt>
                <c:pt idx="271">
                  <c:v>41096</c:v>
                </c:pt>
                <c:pt idx="272">
                  <c:v>41095</c:v>
                </c:pt>
                <c:pt idx="273">
                  <c:v>41094</c:v>
                </c:pt>
                <c:pt idx="274">
                  <c:v>41093</c:v>
                </c:pt>
                <c:pt idx="275">
                  <c:v>41092</c:v>
                </c:pt>
                <c:pt idx="276">
                  <c:v>41089</c:v>
                </c:pt>
                <c:pt idx="277">
                  <c:v>41088</c:v>
                </c:pt>
                <c:pt idx="278">
                  <c:v>41087</c:v>
                </c:pt>
                <c:pt idx="279">
                  <c:v>41086</c:v>
                </c:pt>
                <c:pt idx="280">
                  <c:v>41085</c:v>
                </c:pt>
                <c:pt idx="281">
                  <c:v>41082</c:v>
                </c:pt>
                <c:pt idx="282">
                  <c:v>41081</c:v>
                </c:pt>
                <c:pt idx="283">
                  <c:v>41080</c:v>
                </c:pt>
                <c:pt idx="284">
                  <c:v>41079</c:v>
                </c:pt>
                <c:pt idx="285">
                  <c:v>41078</c:v>
                </c:pt>
                <c:pt idx="286">
                  <c:v>41075</c:v>
                </c:pt>
                <c:pt idx="287">
                  <c:v>41074</c:v>
                </c:pt>
                <c:pt idx="288">
                  <c:v>41073</c:v>
                </c:pt>
                <c:pt idx="289">
                  <c:v>41072</c:v>
                </c:pt>
              </c:numCache>
            </c:numRef>
          </c:cat>
          <c:val>
            <c:numRef>
              <c:f>SourceData!$F$210:$F$499</c:f>
              <c:numCache>
                <c:formatCode>#,##0_);[Red]\(#,##0\)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SourceData!$D$1</c:f>
              <c:strCache>
                <c:ptCount val="1"/>
                <c:pt idx="0">
                  <c:v>Coverage Work Days</c:v>
                </c:pt>
              </c:strCache>
            </c:strRef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none"/>
          </c:marker>
          <c:cat>
            <c:numRef>
              <c:f>[0]!X_Range</c:f>
              <c:numCache>
                <c:formatCode>m/d/yyyy</c:formatCode>
                <c:ptCount val="290"/>
                <c:pt idx="0">
                  <c:v>41493</c:v>
                </c:pt>
                <c:pt idx="1">
                  <c:v>41492</c:v>
                </c:pt>
                <c:pt idx="2">
                  <c:v>41491</c:v>
                </c:pt>
                <c:pt idx="3">
                  <c:v>41488</c:v>
                </c:pt>
                <c:pt idx="4">
                  <c:v>41487</c:v>
                </c:pt>
                <c:pt idx="5">
                  <c:v>41486</c:v>
                </c:pt>
                <c:pt idx="6">
                  <c:v>41485</c:v>
                </c:pt>
                <c:pt idx="7">
                  <c:v>41484</c:v>
                </c:pt>
                <c:pt idx="8">
                  <c:v>41481</c:v>
                </c:pt>
                <c:pt idx="9">
                  <c:v>41480</c:v>
                </c:pt>
                <c:pt idx="10">
                  <c:v>41479</c:v>
                </c:pt>
                <c:pt idx="11">
                  <c:v>41478</c:v>
                </c:pt>
                <c:pt idx="12">
                  <c:v>41477</c:v>
                </c:pt>
                <c:pt idx="13">
                  <c:v>41474</c:v>
                </c:pt>
                <c:pt idx="14">
                  <c:v>41473</c:v>
                </c:pt>
                <c:pt idx="15">
                  <c:v>41472</c:v>
                </c:pt>
                <c:pt idx="16">
                  <c:v>41471</c:v>
                </c:pt>
                <c:pt idx="17">
                  <c:v>41470</c:v>
                </c:pt>
                <c:pt idx="18">
                  <c:v>41467</c:v>
                </c:pt>
                <c:pt idx="19">
                  <c:v>41466</c:v>
                </c:pt>
                <c:pt idx="20">
                  <c:v>41465</c:v>
                </c:pt>
                <c:pt idx="21">
                  <c:v>41464</c:v>
                </c:pt>
                <c:pt idx="22">
                  <c:v>41463</c:v>
                </c:pt>
                <c:pt idx="23">
                  <c:v>41460</c:v>
                </c:pt>
                <c:pt idx="24">
                  <c:v>41459</c:v>
                </c:pt>
                <c:pt idx="25">
                  <c:v>41458</c:v>
                </c:pt>
                <c:pt idx="26">
                  <c:v>41457</c:v>
                </c:pt>
                <c:pt idx="27">
                  <c:v>41456</c:v>
                </c:pt>
                <c:pt idx="28">
                  <c:v>41453</c:v>
                </c:pt>
                <c:pt idx="29">
                  <c:v>41452</c:v>
                </c:pt>
                <c:pt idx="30">
                  <c:v>41451</c:v>
                </c:pt>
                <c:pt idx="31">
                  <c:v>41450</c:v>
                </c:pt>
                <c:pt idx="32">
                  <c:v>41449</c:v>
                </c:pt>
                <c:pt idx="33">
                  <c:v>41446</c:v>
                </c:pt>
                <c:pt idx="34">
                  <c:v>41445</c:v>
                </c:pt>
                <c:pt idx="35">
                  <c:v>41444</c:v>
                </c:pt>
                <c:pt idx="36">
                  <c:v>41443</c:v>
                </c:pt>
                <c:pt idx="37">
                  <c:v>41442</c:v>
                </c:pt>
                <c:pt idx="38">
                  <c:v>41439</c:v>
                </c:pt>
                <c:pt idx="39">
                  <c:v>41438</c:v>
                </c:pt>
                <c:pt idx="40">
                  <c:v>42440</c:v>
                </c:pt>
                <c:pt idx="41">
                  <c:v>41436</c:v>
                </c:pt>
                <c:pt idx="42">
                  <c:v>41435</c:v>
                </c:pt>
                <c:pt idx="43">
                  <c:v>41432</c:v>
                </c:pt>
                <c:pt idx="44">
                  <c:v>41431</c:v>
                </c:pt>
                <c:pt idx="45">
                  <c:v>41430</c:v>
                </c:pt>
                <c:pt idx="46">
                  <c:v>41429</c:v>
                </c:pt>
                <c:pt idx="47">
                  <c:v>41428</c:v>
                </c:pt>
                <c:pt idx="48">
                  <c:v>41425</c:v>
                </c:pt>
                <c:pt idx="49">
                  <c:v>41424</c:v>
                </c:pt>
                <c:pt idx="50">
                  <c:v>41423</c:v>
                </c:pt>
                <c:pt idx="51">
                  <c:v>41422</c:v>
                </c:pt>
                <c:pt idx="52">
                  <c:v>41421</c:v>
                </c:pt>
                <c:pt idx="53">
                  <c:v>41418</c:v>
                </c:pt>
                <c:pt idx="54">
                  <c:v>41417</c:v>
                </c:pt>
                <c:pt idx="55">
                  <c:v>41416</c:v>
                </c:pt>
                <c:pt idx="56">
                  <c:v>41415</c:v>
                </c:pt>
                <c:pt idx="57">
                  <c:v>41410</c:v>
                </c:pt>
                <c:pt idx="58">
                  <c:v>41409</c:v>
                </c:pt>
                <c:pt idx="59">
                  <c:v>41408</c:v>
                </c:pt>
                <c:pt idx="60">
                  <c:v>41407</c:v>
                </c:pt>
                <c:pt idx="61">
                  <c:v>41404</c:v>
                </c:pt>
                <c:pt idx="62">
                  <c:v>41402</c:v>
                </c:pt>
                <c:pt idx="63">
                  <c:v>41401</c:v>
                </c:pt>
                <c:pt idx="64">
                  <c:v>41400</c:v>
                </c:pt>
                <c:pt idx="65">
                  <c:v>41397</c:v>
                </c:pt>
                <c:pt idx="66">
                  <c:v>41396</c:v>
                </c:pt>
                <c:pt idx="67">
                  <c:v>41394</c:v>
                </c:pt>
                <c:pt idx="68">
                  <c:v>41393</c:v>
                </c:pt>
                <c:pt idx="69">
                  <c:v>41390</c:v>
                </c:pt>
                <c:pt idx="70">
                  <c:v>41389</c:v>
                </c:pt>
                <c:pt idx="71">
                  <c:v>41388</c:v>
                </c:pt>
                <c:pt idx="72">
                  <c:v>41387</c:v>
                </c:pt>
                <c:pt idx="73">
                  <c:v>41386</c:v>
                </c:pt>
                <c:pt idx="74">
                  <c:v>41383</c:v>
                </c:pt>
                <c:pt idx="75">
                  <c:v>41382</c:v>
                </c:pt>
                <c:pt idx="76">
                  <c:v>41381</c:v>
                </c:pt>
                <c:pt idx="77">
                  <c:v>41380</c:v>
                </c:pt>
                <c:pt idx="78">
                  <c:v>41379</c:v>
                </c:pt>
                <c:pt idx="79">
                  <c:v>41376</c:v>
                </c:pt>
                <c:pt idx="80">
                  <c:v>41375</c:v>
                </c:pt>
                <c:pt idx="81">
                  <c:v>41374</c:v>
                </c:pt>
                <c:pt idx="82">
                  <c:v>41373</c:v>
                </c:pt>
                <c:pt idx="83">
                  <c:v>41372</c:v>
                </c:pt>
                <c:pt idx="84">
                  <c:v>41369</c:v>
                </c:pt>
                <c:pt idx="85">
                  <c:v>41368</c:v>
                </c:pt>
                <c:pt idx="86">
                  <c:v>41367</c:v>
                </c:pt>
                <c:pt idx="87">
                  <c:v>41366</c:v>
                </c:pt>
                <c:pt idx="88">
                  <c:v>41360</c:v>
                </c:pt>
                <c:pt idx="89">
                  <c:v>41359</c:v>
                </c:pt>
                <c:pt idx="90">
                  <c:v>41358</c:v>
                </c:pt>
                <c:pt idx="91">
                  <c:v>41355</c:v>
                </c:pt>
                <c:pt idx="92">
                  <c:v>41354</c:v>
                </c:pt>
                <c:pt idx="93">
                  <c:v>41353</c:v>
                </c:pt>
                <c:pt idx="94">
                  <c:v>41352</c:v>
                </c:pt>
                <c:pt idx="95">
                  <c:v>41351</c:v>
                </c:pt>
                <c:pt idx="96">
                  <c:v>41348</c:v>
                </c:pt>
                <c:pt idx="97">
                  <c:v>41347</c:v>
                </c:pt>
                <c:pt idx="98">
                  <c:v>41346</c:v>
                </c:pt>
                <c:pt idx="99">
                  <c:v>41345</c:v>
                </c:pt>
                <c:pt idx="100">
                  <c:v>41344</c:v>
                </c:pt>
                <c:pt idx="101">
                  <c:v>41341</c:v>
                </c:pt>
                <c:pt idx="102">
                  <c:v>41340</c:v>
                </c:pt>
                <c:pt idx="103">
                  <c:v>41339</c:v>
                </c:pt>
                <c:pt idx="104">
                  <c:v>41338</c:v>
                </c:pt>
                <c:pt idx="105">
                  <c:v>41337</c:v>
                </c:pt>
                <c:pt idx="106">
                  <c:v>41334</c:v>
                </c:pt>
                <c:pt idx="107">
                  <c:v>41333</c:v>
                </c:pt>
                <c:pt idx="108">
                  <c:v>41332</c:v>
                </c:pt>
                <c:pt idx="109">
                  <c:v>41331</c:v>
                </c:pt>
                <c:pt idx="110">
                  <c:v>41330</c:v>
                </c:pt>
                <c:pt idx="111">
                  <c:v>41327</c:v>
                </c:pt>
                <c:pt idx="112">
                  <c:v>41326</c:v>
                </c:pt>
                <c:pt idx="113">
                  <c:v>41325</c:v>
                </c:pt>
                <c:pt idx="114">
                  <c:v>41324</c:v>
                </c:pt>
                <c:pt idx="115">
                  <c:v>41323</c:v>
                </c:pt>
                <c:pt idx="116">
                  <c:v>41320</c:v>
                </c:pt>
                <c:pt idx="117">
                  <c:v>41319</c:v>
                </c:pt>
                <c:pt idx="118">
                  <c:v>41318</c:v>
                </c:pt>
                <c:pt idx="119">
                  <c:v>41317</c:v>
                </c:pt>
                <c:pt idx="120">
                  <c:v>41316</c:v>
                </c:pt>
                <c:pt idx="121">
                  <c:v>41313</c:v>
                </c:pt>
                <c:pt idx="122">
                  <c:v>41312</c:v>
                </c:pt>
                <c:pt idx="123">
                  <c:v>41311</c:v>
                </c:pt>
                <c:pt idx="124">
                  <c:v>41310</c:v>
                </c:pt>
                <c:pt idx="125">
                  <c:v>41309</c:v>
                </c:pt>
                <c:pt idx="126">
                  <c:v>41306</c:v>
                </c:pt>
                <c:pt idx="127">
                  <c:v>41305</c:v>
                </c:pt>
                <c:pt idx="128">
                  <c:v>41304</c:v>
                </c:pt>
                <c:pt idx="129">
                  <c:v>41303</c:v>
                </c:pt>
                <c:pt idx="130">
                  <c:v>41302</c:v>
                </c:pt>
                <c:pt idx="131">
                  <c:v>41299</c:v>
                </c:pt>
                <c:pt idx="132">
                  <c:v>41298</c:v>
                </c:pt>
                <c:pt idx="133">
                  <c:v>41297</c:v>
                </c:pt>
                <c:pt idx="134">
                  <c:v>41296</c:v>
                </c:pt>
                <c:pt idx="135">
                  <c:v>41295</c:v>
                </c:pt>
                <c:pt idx="136">
                  <c:v>41292</c:v>
                </c:pt>
                <c:pt idx="137">
                  <c:v>41291</c:v>
                </c:pt>
                <c:pt idx="138">
                  <c:v>41290</c:v>
                </c:pt>
                <c:pt idx="139">
                  <c:v>41289</c:v>
                </c:pt>
                <c:pt idx="140">
                  <c:v>41288</c:v>
                </c:pt>
                <c:pt idx="141">
                  <c:v>41285</c:v>
                </c:pt>
                <c:pt idx="142">
                  <c:v>41284</c:v>
                </c:pt>
                <c:pt idx="143">
                  <c:v>41283</c:v>
                </c:pt>
                <c:pt idx="144">
                  <c:v>41282</c:v>
                </c:pt>
                <c:pt idx="145">
                  <c:v>41281</c:v>
                </c:pt>
                <c:pt idx="146">
                  <c:v>41278</c:v>
                </c:pt>
                <c:pt idx="147">
                  <c:v>41277</c:v>
                </c:pt>
                <c:pt idx="148">
                  <c:v>41276</c:v>
                </c:pt>
                <c:pt idx="149">
                  <c:v>41271</c:v>
                </c:pt>
                <c:pt idx="150">
                  <c:v>41270</c:v>
                </c:pt>
                <c:pt idx="151">
                  <c:v>41264</c:v>
                </c:pt>
                <c:pt idx="152">
                  <c:v>41263</c:v>
                </c:pt>
                <c:pt idx="153">
                  <c:v>41262</c:v>
                </c:pt>
                <c:pt idx="154">
                  <c:v>41261</c:v>
                </c:pt>
                <c:pt idx="155">
                  <c:v>41260</c:v>
                </c:pt>
                <c:pt idx="156">
                  <c:v>41257</c:v>
                </c:pt>
                <c:pt idx="157">
                  <c:v>41256</c:v>
                </c:pt>
                <c:pt idx="158">
                  <c:v>41255</c:v>
                </c:pt>
                <c:pt idx="159">
                  <c:v>41254</c:v>
                </c:pt>
                <c:pt idx="160">
                  <c:v>41253</c:v>
                </c:pt>
                <c:pt idx="161">
                  <c:v>41250</c:v>
                </c:pt>
                <c:pt idx="162">
                  <c:v>41249</c:v>
                </c:pt>
                <c:pt idx="163">
                  <c:v>41248</c:v>
                </c:pt>
                <c:pt idx="164">
                  <c:v>41247</c:v>
                </c:pt>
                <c:pt idx="165">
                  <c:v>41246</c:v>
                </c:pt>
                <c:pt idx="166">
                  <c:v>41243</c:v>
                </c:pt>
                <c:pt idx="167">
                  <c:v>41242</c:v>
                </c:pt>
                <c:pt idx="168">
                  <c:v>41241</c:v>
                </c:pt>
                <c:pt idx="169">
                  <c:v>41240</c:v>
                </c:pt>
                <c:pt idx="170">
                  <c:v>41239</c:v>
                </c:pt>
                <c:pt idx="171">
                  <c:v>41236</c:v>
                </c:pt>
                <c:pt idx="172">
                  <c:v>41235</c:v>
                </c:pt>
                <c:pt idx="173">
                  <c:v>41234</c:v>
                </c:pt>
                <c:pt idx="174">
                  <c:v>41233</c:v>
                </c:pt>
                <c:pt idx="175">
                  <c:v>41232</c:v>
                </c:pt>
                <c:pt idx="176">
                  <c:v>41229</c:v>
                </c:pt>
                <c:pt idx="177">
                  <c:v>41228</c:v>
                </c:pt>
                <c:pt idx="178">
                  <c:v>41227</c:v>
                </c:pt>
                <c:pt idx="179">
                  <c:v>41226</c:v>
                </c:pt>
                <c:pt idx="180">
                  <c:v>41225</c:v>
                </c:pt>
                <c:pt idx="181">
                  <c:v>41222</c:v>
                </c:pt>
                <c:pt idx="182">
                  <c:v>41221</c:v>
                </c:pt>
                <c:pt idx="183">
                  <c:v>41220</c:v>
                </c:pt>
                <c:pt idx="184">
                  <c:v>41219</c:v>
                </c:pt>
                <c:pt idx="185">
                  <c:v>41218</c:v>
                </c:pt>
                <c:pt idx="186">
                  <c:v>41215</c:v>
                </c:pt>
                <c:pt idx="187">
                  <c:v>41214</c:v>
                </c:pt>
                <c:pt idx="188">
                  <c:v>41213</c:v>
                </c:pt>
                <c:pt idx="189">
                  <c:v>41212</c:v>
                </c:pt>
                <c:pt idx="190">
                  <c:v>41211</c:v>
                </c:pt>
                <c:pt idx="191">
                  <c:v>41208</c:v>
                </c:pt>
                <c:pt idx="192">
                  <c:v>41207</c:v>
                </c:pt>
                <c:pt idx="193">
                  <c:v>41206</c:v>
                </c:pt>
                <c:pt idx="194">
                  <c:v>41205</c:v>
                </c:pt>
                <c:pt idx="195">
                  <c:v>41204</c:v>
                </c:pt>
                <c:pt idx="196">
                  <c:v>41201</c:v>
                </c:pt>
                <c:pt idx="197">
                  <c:v>41200</c:v>
                </c:pt>
                <c:pt idx="198">
                  <c:v>41199</c:v>
                </c:pt>
                <c:pt idx="199">
                  <c:v>41198</c:v>
                </c:pt>
                <c:pt idx="200">
                  <c:v>41197</c:v>
                </c:pt>
                <c:pt idx="201">
                  <c:v>41194</c:v>
                </c:pt>
                <c:pt idx="202">
                  <c:v>41193</c:v>
                </c:pt>
                <c:pt idx="203">
                  <c:v>41192</c:v>
                </c:pt>
                <c:pt idx="204">
                  <c:v>41191</c:v>
                </c:pt>
                <c:pt idx="205">
                  <c:v>41190</c:v>
                </c:pt>
                <c:pt idx="206">
                  <c:v>41187</c:v>
                </c:pt>
                <c:pt idx="207">
                  <c:v>41186</c:v>
                </c:pt>
                <c:pt idx="208">
                  <c:v>41185</c:v>
                </c:pt>
                <c:pt idx="209">
                  <c:v>41184</c:v>
                </c:pt>
                <c:pt idx="210">
                  <c:v>41183</c:v>
                </c:pt>
                <c:pt idx="211">
                  <c:v>41180</c:v>
                </c:pt>
                <c:pt idx="212">
                  <c:v>41179</c:v>
                </c:pt>
                <c:pt idx="213">
                  <c:v>41178</c:v>
                </c:pt>
                <c:pt idx="214">
                  <c:v>41177</c:v>
                </c:pt>
                <c:pt idx="215">
                  <c:v>41176</c:v>
                </c:pt>
                <c:pt idx="216">
                  <c:v>41173</c:v>
                </c:pt>
                <c:pt idx="217">
                  <c:v>41172</c:v>
                </c:pt>
                <c:pt idx="218">
                  <c:v>41171</c:v>
                </c:pt>
                <c:pt idx="219">
                  <c:v>41170</c:v>
                </c:pt>
                <c:pt idx="220">
                  <c:v>41169</c:v>
                </c:pt>
                <c:pt idx="221">
                  <c:v>41166</c:v>
                </c:pt>
                <c:pt idx="222">
                  <c:v>41165</c:v>
                </c:pt>
                <c:pt idx="223">
                  <c:v>41164</c:v>
                </c:pt>
                <c:pt idx="224">
                  <c:v>41163</c:v>
                </c:pt>
                <c:pt idx="225">
                  <c:v>41162</c:v>
                </c:pt>
                <c:pt idx="226">
                  <c:v>41159</c:v>
                </c:pt>
                <c:pt idx="227">
                  <c:v>41158</c:v>
                </c:pt>
                <c:pt idx="228">
                  <c:v>41157</c:v>
                </c:pt>
                <c:pt idx="229">
                  <c:v>41156</c:v>
                </c:pt>
                <c:pt idx="230">
                  <c:v>41155</c:v>
                </c:pt>
                <c:pt idx="231">
                  <c:v>41152</c:v>
                </c:pt>
                <c:pt idx="232">
                  <c:v>41151</c:v>
                </c:pt>
                <c:pt idx="233">
                  <c:v>41150</c:v>
                </c:pt>
                <c:pt idx="234">
                  <c:v>41149</c:v>
                </c:pt>
                <c:pt idx="235">
                  <c:v>41148</c:v>
                </c:pt>
                <c:pt idx="236">
                  <c:v>41145</c:v>
                </c:pt>
                <c:pt idx="237">
                  <c:v>41144</c:v>
                </c:pt>
                <c:pt idx="238">
                  <c:v>41143</c:v>
                </c:pt>
                <c:pt idx="239">
                  <c:v>41142</c:v>
                </c:pt>
                <c:pt idx="240">
                  <c:v>41141</c:v>
                </c:pt>
                <c:pt idx="241">
                  <c:v>41138</c:v>
                </c:pt>
                <c:pt idx="242">
                  <c:v>41137</c:v>
                </c:pt>
                <c:pt idx="243">
                  <c:v>41136</c:v>
                </c:pt>
                <c:pt idx="244">
                  <c:v>41135</c:v>
                </c:pt>
                <c:pt idx="245">
                  <c:v>41134</c:v>
                </c:pt>
                <c:pt idx="246">
                  <c:v>41131</c:v>
                </c:pt>
                <c:pt idx="247">
                  <c:v>41130</c:v>
                </c:pt>
                <c:pt idx="248">
                  <c:v>41129</c:v>
                </c:pt>
                <c:pt idx="249">
                  <c:v>41128</c:v>
                </c:pt>
                <c:pt idx="250">
                  <c:v>41127</c:v>
                </c:pt>
                <c:pt idx="251">
                  <c:v>41124</c:v>
                </c:pt>
                <c:pt idx="252">
                  <c:v>41123</c:v>
                </c:pt>
                <c:pt idx="253">
                  <c:v>41122</c:v>
                </c:pt>
                <c:pt idx="254">
                  <c:v>41121</c:v>
                </c:pt>
                <c:pt idx="255">
                  <c:v>41120</c:v>
                </c:pt>
                <c:pt idx="256">
                  <c:v>41117</c:v>
                </c:pt>
                <c:pt idx="257">
                  <c:v>41116</c:v>
                </c:pt>
                <c:pt idx="258">
                  <c:v>41115</c:v>
                </c:pt>
                <c:pt idx="259">
                  <c:v>41114</c:v>
                </c:pt>
                <c:pt idx="260">
                  <c:v>41113</c:v>
                </c:pt>
                <c:pt idx="261">
                  <c:v>41110</c:v>
                </c:pt>
                <c:pt idx="262">
                  <c:v>41109</c:v>
                </c:pt>
                <c:pt idx="263">
                  <c:v>41108</c:v>
                </c:pt>
                <c:pt idx="264">
                  <c:v>41107</c:v>
                </c:pt>
                <c:pt idx="265">
                  <c:v>41106</c:v>
                </c:pt>
                <c:pt idx="266">
                  <c:v>41103</c:v>
                </c:pt>
                <c:pt idx="267">
                  <c:v>41102</c:v>
                </c:pt>
                <c:pt idx="268">
                  <c:v>41101</c:v>
                </c:pt>
                <c:pt idx="269">
                  <c:v>41100</c:v>
                </c:pt>
                <c:pt idx="270">
                  <c:v>41099</c:v>
                </c:pt>
                <c:pt idx="271">
                  <c:v>41096</c:v>
                </c:pt>
                <c:pt idx="272">
                  <c:v>41095</c:v>
                </c:pt>
                <c:pt idx="273">
                  <c:v>41094</c:v>
                </c:pt>
                <c:pt idx="274">
                  <c:v>41093</c:v>
                </c:pt>
                <c:pt idx="275">
                  <c:v>41092</c:v>
                </c:pt>
                <c:pt idx="276">
                  <c:v>41089</c:v>
                </c:pt>
                <c:pt idx="277">
                  <c:v>41088</c:v>
                </c:pt>
                <c:pt idx="278">
                  <c:v>41087</c:v>
                </c:pt>
                <c:pt idx="279">
                  <c:v>41086</c:v>
                </c:pt>
                <c:pt idx="280">
                  <c:v>41085</c:v>
                </c:pt>
                <c:pt idx="281">
                  <c:v>41082</c:v>
                </c:pt>
                <c:pt idx="282">
                  <c:v>41081</c:v>
                </c:pt>
                <c:pt idx="283">
                  <c:v>41080</c:v>
                </c:pt>
                <c:pt idx="284">
                  <c:v>41079</c:v>
                </c:pt>
                <c:pt idx="285">
                  <c:v>41078</c:v>
                </c:pt>
                <c:pt idx="286">
                  <c:v>41075</c:v>
                </c:pt>
                <c:pt idx="287">
                  <c:v>41074</c:v>
                </c:pt>
                <c:pt idx="288">
                  <c:v>41073</c:v>
                </c:pt>
                <c:pt idx="289">
                  <c:v>41072</c:v>
                </c:pt>
              </c:numCache>
            </c:numRef>
          </c:cat>
          <c:val>
            <c:numRef>
              <c:f>SourceData!$D$210:$D$499</c:f>
              <c:numCache>
                <c:formatCode>General</c:formatCode>
                <c:ptCount val="29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893096"/>
        <c:axId val="925888784"/>
      </c:lineChart>
      <c:dateAx>
        <c:axId val="925895840"/>
        <c:scaling>
          <c:orientation val="minMax"/>
        </c:scaling>
        <c:delete val="0"/>
        <c:axPos val="b"/>
        <c:numFmt formatCode="dd/mm/yyyy" sourceLinked="0"/>
        <c:majorTickMark val="out"/>
        <c:minorTickMark val="none"/>
        <c:tickLblPos val="nextTo"/>
        <c:spPr>
          <a:ln w="3175">
            <a:solidFill>
              <a:srgbClr val="ABABAB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25889568"/>
        <c:crosses val="autoZero"/>
        <c:auto val="1"/>
        <c:lblOffset val="100"/>
        <c:baseTimeUnit val="days"/>
        <c:majorUnit val="14"/>
        <c:majorTimeUnit val="days"/>
        <c:minorUnit val="7"/>
        <c:minorTimeUnit val="days"/>
      </c:dateAx>
      <c:valAx>
        <c:axId val="925889568"/>
        <c:scaling>
          <c:orientation val="minMax"/>
        </c:scaling>
        <c:delete val="0"/>
        <c:axPos val="l"/>
        <c:majorGridlines>
          <c:spPr>
            <a:ln w="3175">
              <a:solidFill>
                <a:srgbClr val="D3D3D3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Stock in BUm</a:t>
                </a:r>
              </a:p>
            </c:rich>
          </c:tx>
          <c:layout>
            <c:manualLayout>
              <c:xMode val="edge"/>
              <c:yMode val="edge"/>
              <c:x val="1.9801980198019941E-2"/>
              <c:y val="0.3778625954198528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25895840"/>
        <c:crosses val="autoZero"/>
        <c:crossBetween val="between"/>
      </c:valAx>
      <c:dateAx>
        <c:axId val="9258930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925888784"/>
        <c:crosses val="autoZero"/>
        <c:auto val="1"/>
        <c:lblOffset val="100"/>
        <c:baseTimeUnit val="days"/>
      </c:dateAx>
      <c:valAx>
        <c:axId val="92588878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Coverage in Work Days</a:t>
                </a:r>
              </a:p>
            </c:rich>
          </c:tx>
          <c:layout>
            <c:manualLayout>
              <c:xMode val="edge"/>
              <c:yMode val="edge"/>
              <c:x val="0.95297081676672024"/>
              <c:y val="0.3167938931297733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cross"/>
        <c:minorTickMark val="none"/>
        <c:tickLblPos val="nextTo"/>
        <c:spPr>
          <a:ln w="3175">
            <a:solidFill>
              <a:srgbClr val="ABABAB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25893096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0119335751435057"/>
          <c:y val="1.5771773909028324E-2"/>
          <c:w val="0.74577752085934534"/>
          <c:h val="6.262852193006586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b-NO"/>
              <a:t>Current Valuated Stock</a:t>
            </a:r>
          </a:p>
        </c:rich>
      </c:tx>
      <c:layout>
        <c:manualLayout>
          <c:xMode val="edge"/>
          <c:yMode val="edge"/>
          <c:x val="4.4164037854890245E-2"/>
          <c:y val="7.53138075313808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1.5772870662460751E-2"/>
          <c:y val="0.15899597831538814"/>
          <c:w val="0.50157728706624038"/>
          <c:h val="0.8117163103469763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Y084_StockData!$C$1</c:f>
              <c:strCache>
                <c:ptCount val="1"/>
                <c:pt idx="0">
                  <c:v>Unrestricted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ABABAB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Y084_StockData!$C$2</c:f>
              <c:numCache>
                <c:formatCode>General</c:formatCode>
                <c:ptCount val="1"/>
                <c:pt idx="0">
                  <c:v>5530</c:v>
                </c:pt>
              </c:numCache>
            </c:numRef>
          </c:val>
        </c:ser>
        <c:ser>
          <c:idx val="1"/>
          <c:order val="1"/>
          <c:tx>
            <c:strRef>
              <c:f>Y084_StockData!$D$1</c:f>
              <c:strCache>
                <c:ptCount val="1"/>
                <c:pt idx="0">
                  <c:v>Stock in tfr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ABABAB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Y084_StockData!$D$2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Y084_StockData!$E$1</c:f>
              <c:strCache>
                <c:ptCount val="1"/>
                <c:pt idx="0">
                  <c:v>In Qual. Insp.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ABABAB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Y084_StockData!$E$2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Y084_StockData!$F$1</c:f>
              <c:strCache>
                <c:ptCount val="1"/>
                <c:pt idx="0">
                  <c:v>Restricted-Use</c:v>
                </c:pt>
              </c:strCache>
            </c:strRef>
          </c:tx>
          <c:spPr>
            <a:solidFill>
              <a:srgbClr val="FFAA99"/>
            </a:solidFill>
            <a:ln w="12700">
              <a:solidFill>
                <a:srgbClr val="ABABAB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Y084_StockData!$F$2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Y084_StockData!$G$1</c:f>
              <c:strCache>
                <c:ptCount val="1"/>
                <c:pt idx="0">
                  <c:v>Blocked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ABABAB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Y084_StockData!$G$2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25897016"/>
        <c:axId val="925898192"/>
      </c:barChart>
      <c:catAx>
        <c:axId val="925897016"/>
        <c:scaling>
          <c:orientation val="minMax"/>
        </c:scaling>
        <c:delete val="1"/>
        <c:axPos val="b"/>
        <c:majorTickMark val="out"/>
        <c:minorTickMark val="none"/>
        <c:tickLblPos val="none"/>
        <c:crossAx val="925898192"/>
        <c:crosses val="autoZero"/>
        <c:auto val="1"/>
        <c:lblAlgn val="ctr"/>
        <c:lblOffset val="100"/>
        <c:noMultiLvlLbl val="0"/>
      </c:catAx>
      <c:valAx>
        <c:axId val="925898192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one"/>
        <c:crossAx val="92589701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421328737377484"/>
          <c:y val="0.16215226160705618"/>
          <c:w val="0.36633866681127808"/>
          <c:h val="0.23349925671416275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5" footer="0.5"/>
    <c:pageSetup paperSize="9" orientation="landscape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45374785614241"/>
          <c:y val="9.7328244274809197E-2"/>
          <c:w val="0.8643022515592097"/>
          <c:h val="0.74712035993792758"/>
        </c:manualLayout>
      </c:layout>
      <c:areaChart>
        <c:grouping val="standard"/>
        <c:varyColors val="0"/>
        <c:ser>
          <c:idx val="0"/>
          <c:order val="0"/>
          <c:tx>
            <c:strRef>
              <c:f>SourceData!$M$1</c:f>
              <c:strCache>
                <c:ptCount val="1"/>
                <c:pt idx="0">
                  <c:v>Roll Sales 5 days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9999FF"/>
              </a:solidFill>
              <a:prstDash val="solid"/>
            </a:ln>
          </c:spPr>
          <c:cat>
            <c:numRef>
              <c:f>[0]!X1_Range</c:f>
              <c:numCache>
                <c:formatCode>m/d/yyyy</c:formatCode>
                <c:ptCount val="250"/>
                <c:pt idx="0">
                  <c:v>42440</c:v>
                </c:pt>
                <c:pt idx="1">
                  <c:v>41436</c:v>
                </c:pt>
                <c:pt idx="2">
                  <c:v>41435</c:v>
                </c:pt>
                <c:pt idx="3">
                  <c:v>41432</c:v>
                </c:pt>
                <c:pt idx="4">
                  <c:v>41431</c:v>
                </c:pt>
                <c:pt idx="5">
                  <c:v>41430</c:v>
                </c:pt>
                <c:pt idx="6">
                  <c:v>41429</c:v>
                </c:pt>
                <c:pt idx="7">
                  <c:v>41428</c:v>
                </c:pt>
                <c:pt idx="8">
                  <c:v>41425</c:v>
                </c:pt>
                <c:pt idx="9">
                  <c:v>41424</c:v>
                </c:pt>
                <c:pt idx="10">
                  <c:v>41423</c:v>
                </c:pt>
                <c:pt idx="11">
                  <c:v>41422</c:v>
                </c:pt>
                <c:pt idx="12">
                  <c:v>41421</c:v>
                </c:pt>
                <c:pt idx="13">
                  <c:v>41418</c:v>
                </c:pt>
                <c:pt idx="14">
                  <c:v>41417</c:v>
                </c:pt>
                <c:pt idx="15">
                  <c:v>41416</c:v>
                </c:pt>
                <c:pt idx="16">
                  <c:v>41415</c:v>
                </c:pt>
                <c:pt idx="17">
                  <c:v>41410</c:v>
                </c:pt>
                <c:pt idx="18">
                  <c:v>41409</c:v>
                </c:pt>
                <c:pt idx="19">
                  <c:v>41408</c:v>
                </c:pt>
                <c:pt idx="20">
                  <c:v>41407</c:v>
                </c:pt>
                <c:pt idx="21">
                  <c:v>41404</c:v>
                </c:pt>
                <c:pt idx="22">
                  <c:v>41402</c:v>
                </c:pt>
                <c:pt idx="23">
                  <c:v>41401</c:v>
                </c:pt>
                <c:pt idx="24">
                  <c:v>41400</c:v>
                </c:pt>
                <c:pt idx="25">
                  <c:v>41397</c:v>
                </c:pt>
                <c:pt idx="26">
                  <c:v>41396</c:v>
                </c:pt>
                <c:pt idx="27">
                  <c:v>41394</c:v>
                </c:pt>
                <c:pt idx="28">
                  <c:v>41393</c:v>
                </c:pt>
                <c:pt idx="29">
                  <c:v>41390</c:v>
                </c:pt>
                <c:pt idx="30">
                  <c:v>41389</c:v>
                </c:pt>
                <c:pt idx="31">
                  <c:v>41388</c:v>
                </c:pt>
                <c:pt idx="32">
                  <c:v>41387</c:v>
                </c:pt>
                <c:pt idx="33">
                  <c:v>41386</c:v>
                </c:pt>
                <c:pt idx="34">
                  <c:v>41383</c:v>
                </c:pt>
                <c:pt idx="35">
                  <c:v>41382</c:v>
                </c:pt>
                <c:pt idx="36">
                  <c:v>41381</c:v>
                </c:pt>
                <c:pt idx="37">
                  <c:v>41380</c:v>
                </c:pt>
                <c:pt idx="38">
                  <c:v>41379</c:v>
                </c:pt>
                <c:pt idx="39">
                  <c:v>41376</c:v>
                </c:pt>
                <c:pt idx="40">
                  <c:v>41375</c:v>
                </c:pt>
                <c:pt idx="41">
                  <c:v>41374</c:v>
                </c:pt>
                <c:pt idx="42">
                  <c:v>41373</c:v>
                </c:pt>
                <c:pt idx="43">
                  <c:v>41372</c:v>
                </c:pt>
                <c:pt idx="44">
                  <c:v>41369</c:v>
                </c:pt>
                <c:pt idx="45">
                  <c:v>41368</c:v>
                </c:pt>
                <c:pt idx="46">
                  <c:v>41367</c:v>
                </c:pt>
                <c:pt idx="47">
                  <c:v>41366</c:v>
                </c:pt>
                <c:pt idx="48">
                  <c:v>41360</c:v>
                </c:pt>
                <c:pt idx="49">
                  <c:v>41359</c:v>
                </c:pt>
                <c:pt idx="50">
                  <c:v>41358</c:v>
                </c:pt>
                <c:pt idx="51">
                  <c:v>41355</c:v>
                </c:pt>
                <c:pt idx="52">
                  <c:v>41354</c:v>
                </c:pt>
                <c:pt idx="53">
                  <c:v>41353</c:v>
                </c:pt>
                <c:pt idx="54">
                  <c:v>41352</c:v>
                </c:pt>
                <c:pt idx="55">
                  <c:v>41351</c:v>
                </c:pt>
                <c:pt idx="56">
                  <c:v>41348</c:v>
                </c:pt>
                <c:pt idx="57">
                  <c:v>41347</c:v>
                </c:pt>
                <c:pt idx="58">
                  <c:v>41346</c:v>
                </c:pt>
                <c:pt idx="59">
                  <c:v>41345</c:v>
                </c:pt>
                <c:pt idx="60">
                  <c:v>41344</c:v>
                </c:pt>
                <c:pt idx="61">
                  <c:v>41341</c:v>
                </c:pt>
                <c:pt idx="62">
                  <c:v>41340</c:v>
                </c:pt>
                <c:pt idx="63">
                  <c:v>41339</c:v>
                </c:pt>
                <c:pt idx="64">
                  <c:v>41338</c:v>
                </c:pt>
                <c:pt idx="65">
                  <c:v>41337</c:v>
                </c:pt>
                <c:pt idx="66">
                  <c:v>41334</c:v>
                </c:pt>
                <c:pt idx="67">
                  <c:v>41333</c:v>
                </c:pt>
                <c:pt idx="68">
                  <c:v>41332</c:v>
                </c:pt>
                <c:pt idx="69">
                  <c:v>41331</c:v>
                </c:pt>
                <c:pt idx="70">
                  <c:v>41330</c:v>
                </c:pt>
                <c:pt idx="71">
                  <c:v>41327</c:v>
                </c:pt>
                <c:pt idx="72">
                  <c:v>41326</c:v>
                </c:pt>
                <c:pt idx="73">
                  <c:v>41325</c:v>
                </c:pt>
                <c:pt idx="74">
                  <c:v>41324</c:v>
                </c:pt>
                <c:pt idx="75">
                  <c:v>41323</c:v>
                </c:pt>
                <c:pt idx="76">
                  <c:v>41320</c:v>
                </c:pt>
                <c:pt idx="77">
                  <c:v>41319</c:v>
                </c:pt>
                <c:pt idx="78">
                  <c:v>41318</c:v>
                </c:pt>
                <c:pt idx="79">
                  <c:v>41317</c:v>
                </c:pt>
                <c:pt idx="80">
                  <c:v>41316</c:v>
                </c:pt>
                <c:pt idx="81">
                  <c:v>41313</c:v>
                </c:pt>
                <c:pt idx="82">
                  <c:v>41312</c:v>
                </c:pt>
                <c:pt idx="83">
                  <c:v>41311</c:v>
                </c:pt>
                <c:pt idx="84">
                  <c:v>41310</c:v>
                </c:pt>
                <c:pt idx="85">
                  <c:v>41309</c:v>
                </c:pt>
                <c:pt idx="86">
                  <c:v>41306</c:v>
                </c:pt>
                <c:pt idx="87">
                  <c:v>41305</c:v>
                </c:pt>
                <c:pt idx="88">
                  <c:v>41304</c:v>
                </c:pt>
                <c:pt idx="89">
                  <c:v>41303</c:v>
                </c:pt>
                <c:pt idx="90">
                  <c:v>41302</c:v>
                </c:pt>
                <c:pt idx="91">
                  <c:v>41299</c:v>
                </c:pt>
                <c:pt idx="92">
                  <c:v>41298</c:v>
                </c:pt>
                <c:pt idx="93">
                  <c:v>41297</c:v>
                </c:pt>
                <c:pt idx="94">
                  <c:v>41296</c:v>
                </c:pt>
                <c:pt idx="95">
                  <c:v>41295</c:v>
                </c:pt>
                <c:pt idx="96">
                  <c:v>41292</c:v>
                </c:pt>
                <c:pt idx="97">
                  <c:v>41291</c:v>
                </c:pt>
                <c:pt idx="98">
                  <c:v>41290</c:v>
                </c:pt>
                <c:pt idx="99">
                  <c:v>41289</c:v>
                </c:pt>
                <c:pt idx="100">
                  <c:v>41288</c:v>
                </c:pt>
                <c:pt idx="101">
                  <c:v>41285</c:v>
                </c:pt>
                <c:pt idx="102">
                  <c:v>41284</c:v>
                </c:pt>
                <c:pt idx="103">
                  <c:v>41283</c:v>
                </c:pt>
                <c:pt idx="104">
                  <c:v>41282</c:v>
                </c:pt>
                <c:pt idx="105">
                  <c:v>41281</c:v>
                </c:pt>
                <c:pt idx="106">
                  <c:v>41278</c:v>
                </c:pt>
                <c:pt idx="107">
                  <c:v>41277</c:v>
                </c:pt>
                <c:pt idx="108">
                  <c:v>41276</c:v>
                </c:pt>
                <c:pt idx="109">
                  <c:v>41271</c:v>
                </c:pt>
                <c:pt idx="110">
                  <c:v>41270</c:v>
                </c:pt>
                <c:pt idx="111">
                  <c:v>41264</c:v>
                </c:pt>
                <c:pt idx="112">
                  <c:v>41263</c:v>
                </c:pt>
                <c:pt idx="113">
                  <c:v>41262</c:v>
                </c:pt>
                <c:pt idx="114">
                  <c:v>41261</c:v>
                </c:pt>
                <c:pt idx="115">
                  <c:v>41260</c:v>
                </c:pt>
                <c:pt idx="116">
                  <c:v>41257</c:v>
                </c:pt>
                <c:pt idx="117">
                  <c:v>41256</c:v>
                </c:pt>
                <c:pt idx="118">
                  <c:v>41255</c:v>
                </c:pt>
                <c:pt idx="119">
                  <c:v>41254</c:v>
                </c:pt>
                <c:pt idx="120">
                  <c:v>41253</c:v>
                </c:pt>
                <c:pt idx="121">
                  <c:v>41250</c:v>
                </c:pt>
                <c:pt idx="122">
                  <c:v>41249</c:v>
                </c:pt>
                <c:pt idx="123">
                  <c:v>41248</c:v>
                </c:pt>
                <c:pt idx="124">
                  <c:v>41247</c:v>
                </c:pt>
                <c:pt idx="125">
                  <c:v>41246</c:v>
                </c:pt>
                <c:pt idx="126">
                  <c:v>41243</c:v>
                </c:pt>
                <c:pt idx="127">
                  <c:v>41242</c:v>
                </c:pt>
                <c:pt idx="128">
                  <c:v>41241</c:v>
                </c:pt>
                <c:pt idx="129">
                  <c:v>41240</c:v>
                </c:pt>
                <c:pt idx="130">
                  <c:v>41239</c:v>
                </c:pt>
                <c:pt idx="131">
                  <c:v>41236</c:v>
                </c:pt>
                <c:pt idx="132">
                  <c:v>41235</c:v>
                </c:pt>
                <c:pt idx="133">
                  <c:v>41234</c:v>
                </c:pt>
                <c:pt idx="134">
                  <c:v>41233</c:v>
                </c:pt>
                <c:pt idx="135">
                  <c:v>41232</c:v>
                </c:pt>
                <c:pt idx="136">
                  <c:v>41229</c:v>
                </c:pt>
                <c:pt idx="137">
                  <c:v>41228</c:v>
                </c:pt>
                <c:pt idx="138">
                  <c:v>41227</c:v>
                </c:pt>
                <c:pt idx="139">
                  <c:v>41226</c:v>
                </c:pt>
                <c:pt idx="140">
                  <c:v>41225</c:v>
                </c:pt>
                <c:pt idx="141">
                  <c:v>41222</c:v>
                </c:pt>
                <c:pt idx="142">
                  <c:v>41221</c:v>
                </c:pt>
                <c:pt idx="143">
                  <c:v>41220</c:v>
                </c:pt>
                <c:pt idx="144">
                  <c:v>41219</c:v>
                </c:pt>
                <c:pt idx="145">
                  <c:v>41218</c:v>
                </c:pt>
                <c:pt idx="146">
                  <c:v>41215</c:v>
                </c:pt>
                <c:pt idx="147">
                  <c:v>41214</c:v>
                </c:pt>
                <c:pt idx="148">
                  <c:v>41213</c:v>
                </c:pt>
                <c:pt idx="149">
                  <c:v>41212</c:v>
                </c:pt>
                <c:pt idx="150">
                  <c:v>41211</c:v>
                </c:pt>
                <c:pt idx="151">
                  <c:v>41208</c:v>
                </c:pt>
                <c:pt idx="152">
                  <c:v>41207</c:v>
                </c:pt>
                <c:pt idx="153">
                  <c:v>41206</c:v>
                </c:pt>
                <c:pt idx="154">
                  <c:v>41205</c:v>
                </c:pt>
                <c:pt idx="155">
                  <c:v>41204</c:v>
                </c:pt>
                <c:pt idx="156">
                  <c:v>41201</c:v>
                </c:pt>
                <c:pt idx="157">
                  <c:v>41200</c:v>
                </c:pt>
                <c:pt idx="158">
                  <c:v>41199</c:v>
                </c:pt>
                <c:pt idx="159">
                  <c:v>41198</c:v>
                </c:pt>
                <c:pt idx="160">
                  <c:v>41197</c:v>
                </c:pt>
                <c:pt idx="161">
                  <c:v>41194</c:v>
                </c:pt>
                <c:pt idx="162">
                  <c:v>41193</c:v>
                </c:pt>
                <c:pt idx="163">
                  <c:v>41192</c:v>
                </c:pt>
                <c:pt idx="164">
                  <c:v>41191</c:v>
                </c:pt>
                <c:pt idx="165">
                  <c:v>41190</c:v>
                </c:pt>
                <c:pt idx="166">
                  <c:v>41187</c:v>
                </c:pt>
                <c:pt idx="167">
                  <c:v>41186</c:v>
                </c:pt>
                <c:pt idx="168">
                  <c:v>41185</c:v>
                </c:pt>
                <c:pt idx="169">
                  <c:v>41184</c:v>
                </c:pt>
                <c:pt idx="170">
                  <c:v>41183</c:v>
                </c:pt>
                <c:pt idx="171">
                  <c:v>41180</c:v>
                </c:pt>
                <c:pt idx="172">
                  <c:v>41179</c:v>
                </c:pt>
                <c:pt idx="173">
                  <c:v>41178</c:v>
                </c:pt>
                <c:pt idx="174">
                  <c:v>41177</c:v>
                </c:pt>
                <c:pt idx="175">
                  <c:v>41176</c:v>
                </c:pt>
                <c:pt idx="176">
                  <c:v>41173</c:v>
                </c:pt>
                <c:pt idx="177">
                  <c:v>41172</c:v>
                </c:pt>
                <c:pt idx="178">
                  <c:v>41171</c:v>
                </c:pt>
                <c:pt idx="179">
                  <c:v>41170</c:v>
                </c:pt>
                <c:pt idx="180">
                  <c:v>41169</c:v>
                </c:pt>
                <c:pt idx="181">
                  <c:v>41166</c:v>
                </c:pt>
                <c:pt idx="182">
                  <c:v>41165</c:v>
                </c:pt>
                <c:pt idx="183">
                  <c:v>41164</c:v>
                </c:pt>
                <c:pt idx="184">
                  <c:v>41163</c:v>
                </c:pt>
                <c:pt idx="185">
                  <c:v>41162</c:v>
                </c:pt>
                <c:pt idx="186">
                  <c:v>41159</c:v>
                </c:pt>
                <c:pt idx="187">
                  <c:v>41158</c:v>
                </c:pt>
                <c:pt idx="188">
                  <c:v>41157</c:v>
                </c:pt>
                <c:pt idx="189">
                  <c:v>41156</c:v>
                </c:pt>
                <c:pt idx="190">
                  <c:v>41155</c:v>
                </c:pt>
                <c:pt idx="191">
                  <c:v>41152</c:v>
                </c:pt>
                <c:pt idx="192">
                  <c:v>41151</c:v>
                </c:pt>
                <c:pt idx="193">
                  <c:v>41150</c:v>
                </c:pt>
                <c:pt idx="194">
                  <c:v>41149</c:v>
                </c:pt>
                <c:pt idx="195">
                  <c:v>41148</c:v>
                </c:pt>
                <c:pt idx="196">
                  <c:v>41145</c:v>
                </c:pt>
                <c:pt idx="197">
                  <c:v>41144</c:v>
                </c:pt>
                <c:pt idx="198">
                  <c:v>41143</c:v>
                </c:pt>
                <c:pt idx="199">
                  <c:v>41142</c:v>
                </c:pt>
                <c:pt idx="200">
                  <c:v>41141</c:v>
                </c:pt>
                <c:pt idx="201">
                  <c:v>41138</c:v>
                </c:pt>
                <c:pt idx="202">
                  <c:v>41137</c:v>
                </c:pt>
                <c:pt idx="203">
                  <c:v>41136</c:v>
                </c:pt>
                <c:pt idx="204">
                  <c:v>41135</c:v>
                </c:pt>
                <c:pt idx="205">
                  <c:v>41134</c:v>
                </c:pt>
                <c:pt idx="206">
                  <c:v>41131</c:v>
                </c:pt>
                <c:pt idx="207">
                  <c:v>41130</c:v>
                </c:pt>
                <c:pt idx="208">
                  <c:v>41129</c:v>
                </c:pt>
                <c:pt idx="209">
                  <c:v>41128</c:v>
                </c:pt>
                <c:pt idx="210">
                  <c:v>41127</c:v>
                </c:pt>
                <c:pt idx="211">
                  <c:v>41124</c:v>
                </c:pt>
                <c:pt idx="212">
                  <c:v>41123</c:v>
                </c:pt>
                <c:pt idx="213">
                  <c:v>41122</c:v>
                </c:pt>
                <c:pt idx="214">
                  <c:v>41121</c:v>
                </c:pt>
                <c:pt idx="215">
                  <c:v>41120</c:v>
                </c:pt>
                <c:pt idx="216">
                  <c:v>41117</c:v>
                </c:pt>
                <c:pt idx="217">
                  <c:v>41116</c:v>
                </c:pt>
                <c:pt idx="218">
                  <c:v>41115</c:v>
                </c:pt>
                <c:pt idx="219">
                  <c:v>41114</c:v>
                </c:pt>
                <c:pt idx="220">
                  <c:v>41113</c:v>
                </c:pt>
                <c:pt idx="221">
                  <c:v>41110</c:v>
                </c:pt>
                <c:pt idx="222">
                  <c:v>41109</c:v>
                </c:pt>
                <c:pt idx="223">
                  <c:v>41108</c:v>
                </c:pt>
                <c:pt idx="224">
                  <c:v>41107</c:v>
                </c:pt>
                <c:pt idx="225">
                  <c:v>41106</c:v>
                </c:pt>
                <c:pt idx="226">
                  <c:v>41103</c:v>
                </c:pt>
                <c:pt idx="227">
                  <c:v>41102</c:v>
                </c:pt>
                <c:pt idx="228">
                  <c:v>41101</c:v>
                </c:pt>
                <c:pt idx="229">
                  <c:v>41100</c:v>
                </c:pt>
                <c:pt idx="230">
                  <c:v>41099</c:v>
                </c:pt>
                <c:pt idx="231">
                  <c:v>41096</c:v>
                </c:pt>
                <c:pt idx="232">
                  <c:v>41095</c:v>
                </c:pt>
                <c:pt idx="233">
                  <c:v>41094</c:v>
                </c:pt>
                <c:pt idx="234">
                  <c:v>41093</c:v>
                </c:pt>
                <c:pt idx="235">
                  <c:v>41092</c:v>
                </c:pt>
                <c:pt idx="236">
                  <c:v>41089</c:v>
                </c:pt>
                <c:pt idx="237">
                  <c:v>41088</c:v>
                </c:pt>
                <c:pt idx="238">
                  <c:v>41087</c:v>
                </c:pt>
                <c:pt idx="239">
                  <c:v>41086</c:v>
                </c:pt>
                <c:pt idx="240">
                  <c:v>41085</c:v>
                </c:pt>
                <c:pt idx="241">
                  <c:v>41082</c:v>
                </c:pt>
                <c:pt idx="242">
                  <c:v>41081</c:v>
                </c:pt>
                <c:pt idx="243">
                  <c:v>41080</c:v>
                </c:pt>
                <c:pt idx="244">
                  <c:v>41079</c:v>
                </c:pt>
                <c:pt idx="245">
                  <c:v>41078</c:v>
                </c:pt>
                <c:pt idx="246">
                  <c:v>41075</c:v>
                </c:pt>
                <c:pt idx="247">
                  <c:v>41074</c:v>
                </c:pt>
                <c:pt idx="248">
                  <c:v>41073</c:v>
                </c:pt>
                <c:pt idx="249">
                  <c:v>41072</c:v>
                </c:pt>
              </c:numCache>
            </c:numRef>
          </c:cat>
          <c:val>
            <c:numRef>
              <c:f>SourceData!$M$250:$M$499</c:f>
              <c:numCache>
                <c:formatCode>#,##0_);[Red]\(#,##0\)</c:formatCode>
                <c:ptCount val="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5897408"/>
        <c:axId val="951134048"/>
      </c:areaChart>
      <c:barChart>
        <c:barDir val="col"/>
        <c:grouping val="clustered"/>
        <c:varyColors val="0"/>
        <c:ser>
          <c:idx val="2"/>
          <c:order val="1"/>
          <c:tx>
            <c:strRef>
              <c:f>SourceData!$C$1</c:f>
              <c:strCache>
                <c:ptCount val="1"/>
                <c:pt idx="0">
                  <c:v>Usage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</c:spPr>
          <c:invertIfNegative val="0"/>
          <c:cat>
            <c:numRef>
              <c:f>[0]!X1_Range</c:f>
              <c:numCache>
                <c:formatCode>m/d/yyyy</c:formatCode>
                <c:ptCount val="250"/>
                <c:pt idx="0">
                  <c:v>42440</c:v>
                </c:pt>
                <c:pt idx="1">
                  <c:v>41436</c:v>
                </c:pt>
                <c:pt idx="2">
                  <c:v>41435</c:v>
                </c:pt>
                <c:pt idx="3">
                  <c:v>41432</c:v>
                </c:pt>
                <c:pt idx="4">
                  <c:v>41431</c:v>
                </c:pt>
                <c:pt idx="5">
                  <c:v>41430</c:v>
                </c:pt>
                <c:pt idx="6">
                  <c:v>41429</c:v>
                </c:pt>
                <c:pt idx="7">
                  <c:v>41428</c:v>
                </c:pt>
                <c:pt idx="8">
                  <c:v>41425</c:v>
                </c:pt>
                <c:pt idx="9">
                  <c:v>41424</c:v>
                </c:pt>
                <c:pt idx="10">
                  <c:v>41423</c:v>
                </c:pt>
                <c:pt idx="11">
                  <c:v>41422</c:v>
                </c:pt>
                <c:pt idx="12">
                  <c:v>41421</c:v>
                </c:pt>
                <c:pt idx="13">
                  <c:v>41418</c:v>
                </c:pt>
                <c:pt idx="14">
                  <c:v>41417</c:v>
                </c:pt>
                <c:pt idx="15">
                  <c:v>41416</c:v>
                </c:pt>
                <c:pt idx="16">
                  <c:v>41415</c:v>
                </c:pt>
                <c:pt idx="17">
                  <c:v>41410</c:v>
                </c:pt>
                <c:pt idx="18">
                  <c:v>41409</c:v>
                </c:pt>
                <c:pt idx="19">
                  <c:v>41408</c:v>
                </c:pt>
                <c:pt idx="20">
                  <c:v>41407</c:v>
                </c:pt>
                <c:pt idx="21">
                  <c:v>41404</c:v>
                </c:pt>
                <c:pt idx="22">
                  <c:v>41402</c:v>
                </c:pt>
                <c:pt idx="23">
                  <c:v>41401</c:v>
                </c:pt>
                <c:pt idx="24">
                  <c:v>41400</c:v>
                </c:pt>
                <c:pt idx="25">
                  <c:v>41397</c:v>
                </c:pt>
                <c:pt idx="26">
                  <c:v>41396</c:v>
                </c:pt>
                <c:pt idx="27">
                  <c:v>41394</c:v>
                </c:pt>
                <c:pt idx="28">
                  <c:v>41393</c:v>
                </c:pt>
                <c:pt idx="29">
                  <c:v>41390</c:v>
                </c:pt>
                <c:pt idx="30">
                  <c:v>41389</c:v>
                </c:pt>
                <c:pt idx="31">
                  <c:v>41388</c:v>
                </c:pt>
                <c:pt idx="32">
                  <c:v>41387</c:v>
                </c:pt>
                <c:pt idx="33">
                  <c:v>41386</c:v>
                </c:pt>
                <c:pt idx="34">
                  <c:v>41383</c:v>
                </c:pt>
                <c:pt idx="35">
                  <c:v>41382</c:v>
                </c:pt>
                <c:pt idx="36">
                  <c:v>41381</c:v>
                </c:pt>
                <c:pt idx="37">
                  <c:v>41380</c:v>
                </c:pt>
                <c:pt idx="38">
                  <c:v>41379</c:v>
                </c:pt>
                <c:pt idx="39">
                  <c:v>41376</c:v>
                </c:pt>
                <c:pt idx="40">
                  <c:v>41375</c:v>
                </c:pt>
                <c:pt idx="41">
                  <c:v>41374</c:v>
                </c:pt>
                <c:pt idx="42">
                  <c:v>41373</c:v>
                </c:pt>
                <c:pt idx="43">
                  <c:v>41372</c:v>
                </c:pt>
                <c:pt idx="44">
                  <c:v>41369</c:v>
                </c:pt>
                <c:pt idx="45">
                  <c:v>41368</c:v>
                </c:pt>
                <c:pt idx="46">
                  <c:v>41367</c:v>
                </c:pt>
                <c:pt idx="47">
                  <c:v>41366</c:v>
                </c:pt>
                <c:pt idx="48">
                  <c:v>41360</c:v>
                </c:pt>
                <c:pt idx="49">
                  <c:v>41359</c:v>
                </c:pt>
                <c:pt idx="50">
                  <c:v>41358</c:v>
                </c:pt>
                <c:pt idx="51">
                  <c:v>41355</c:v>
                </c:pt>
                <c:pt idx="52">
                  <c:v>41354</c:v>
                </c:pt>
                <c:pt idx="53">
                  <c:v>41353</c:v>
                </c:pt>
                <c:pt idx="54">
                  <c:v>41352</c:v>
                </c:pt>
                <c:pt idx="55">
                  <c:v>41351</c:v>
                </c:pt>
                <c:pt idx="56">
                  <c:v>41348</c:v>
                </c:pt>
                <c:pt idx="57">
                  <c:v>41347</c:v>
                </c:pt>
                <c:pt idx="58">
                  <c:v>41346</c:v>
                </c:pt>
                <c:pt idx="59">
                  <c:v>41345</c:v>
                </c:pt>
                <c:pt idx="60">
                  <c:v>41344</c:v>
                </c:pt>
                <c:pt idx="61">
                  <c:v>41341</c:v>
                </c:pt>
                <c:pt idx="62">
                  <c:v>41340</c:v>
                </c:pt>
                <c:pt idx="63">
                  <c:v>41339</c:v>
                </c:pt>
                <c:pt idx="64">
                  <c:v>41338</c:v>
                </c:pt>
                <c:pt idx="65">
                  <c:v>41337</c:v>
                </c:pt>
                <c:pt idx="66">
                  <c:v>41334</c:v>
                </c:pt>
                <c:pt idx="67">
                  <c:v>41333</c:v>
                </c:pt>
                <c:pt idx="68">
                  <c:v>41332</c:v>
                </c:pt>
                <c:pt idx="69">
                  <c:v>41331</c:v>
                </c:pt>
                <c:pt idx="70">
                  <c:v>41330</c:v>
                </c:pt>
                <c:pt idx="71">
                  <c:v>41327</c:v>
                </c:pt>
                <c:pt idx="72">
                  <c:v>41326</c:v>
                </c:pt>
                <c:pt idx="73">
                  <c:v>41325</c:v>
                </c:pt>
                <c:pt idx="74">
                  <c:v>41324</c:v>
                </c:pt>
                <c:pt idx="75">
                  <c:v>41323</c:v>
                </c:pt>
                <c:pt idx="76">
                  <c:v>41320</c:v>
                </c:pt>
                <c:pt idx="77">
                  <c:v>41319</c:v>
                </c:pt>
                <c:pt idx="78">
                  <c:v>41318</c:v>
                </c:pt>
                <c:pt idx="79">
                  <c:v>41317</c:v>
                </c:pt>
                <c:pt idx="80">
                  <c:v>41316</c:v>
                </c:pt>
                <c:pt idx="81">
                  <c:v>41313</c:v>
                </c:pt>
                <c:pt idx="82">
                  <c:v>41312</c:v>
                </c:pt>
                <c:pt idx="83">
                  <c:v>41311</c:v>
                </c:pt>
                <c:pt idx="84">
                  <c:v>41310</c:v>
                </c:pt>
                <c:pt idx="85">
                  <c:v>41309</c:v>
                </c:pt>
                <c:pt idx="86">
                  <c:v>41306</c:v>
                </c:pt>
                <c:pt idx="87">
                  <c:v>41305</c:v>
                </c:pt>
                <c:pt idx="88">
                  <c:v>41304</c:v>
                </c:pt>
                <c:pt idx="89">
                  <c:v>41303</c:v>
                </c:pt>
                <c:pt idx="90">
                  <c:v>41302</c:v>
                </c:pt>
                <c:pt idx="91">
                  <c:v>41299</c:v>
                </c:pt>
                <c:pt idx="92">
                  <c:v>41298</c:v>
                </c:pt>
                <c:pt idx="93">
                  <c:v>41297</c:v>
                </c:pt>
                <c:pt idx="94">
                  <c:v>41296</c:v>
                </c:pt>
                <c:pt idx="95">
                  <c:v>41295</c:v>
                </c:pt>
                <c:pt idx="96">
                  <c:v>41292</c:v>
                </c:pt>
                <c:pt idx="97">
                  <c:v>41291</c:v>
                </c:pt>
                <c:pt idx="98">
                  <c:v>41290</c:v>
                </c:pt>
                <c:pt idx="99">
                  <c:v>41289</c:v>
                </c:pt>
                <c:pt idx="100">
                  <c:v>41288</c:v>
                </c:pt>
                <c:pt idx="101">
                  <c:v>41285</c:v>
                </c:pt>
                <c:pt idx="102">
                  <c:v>41284</c:v>
                </c:pt>
                <c:pt idx="103">
                  <c:v>41283</c:v>
                </c:pt>
                <c:pt idx="104">
                  <c:v>41282</c:v>
                </c:pt>
                <c:pt idx="105">
                  <c:v>41281</c:v>
                </c:pt>
                <c:pt idx="106">
                  <c:v>41278</c:v>
                </c:pt>
                <c:pt idx="107">
                  <c:v>41277</c:v>
                </c:pt>
                <c:pt idx="108">
                  <c:v>41276</c:v>
                </c:pt>
                <c:pt idx="109">
                  <c:v>41271</c:v>
                </c:pt>
                <c:pt idx="110">
                  <c:v>41270</c:v>
                </c:pt>
                <c:pt idx="111">
                  <c:v>41264</c:v>
                </c:pt>
                <c:pt idx="112">
                  <c:v>41263</c:v>
                </c:pt>
                <c:pt idx="113">
                  <c:v>41262</c:v>
                </c:pt>
                <c:pt idx="114">
                  <c:v>41261</c:v>
                </c:pt>
                <c:pt idx="115">
                  <c:v>41260</c:v>
                </c:pt>
                <c:pt idx="116">
                  <c:v>41257</c:v>
                </c:pt>
                <c:pt idx="117">
                  <c:v>41256</c:v>
                </c:pt>
                <c:pt idx="118">
                  <c:v>41255</c:v>
                </c:pt>
                <c:pt idx="119">
                  <c:v>41254</c:v>
                </c:pt>
                <c:pt idx="120">
                  <c:v>41253</c:v>
                </c:pt>
                <c:pt idx="121">
                  <c:v>41250</c:v>
                </c:pt>
                <c:pt idx="122">
                  <c:v>41249</c:v>
                </c:pt>
                <c:pt idx="123">
                  <c:v>41248</c:v>
                </c:pt>
                <c:pt idx="124">
                  <c:v>41247</c:v>
                </c:pt>
                <c:pt idx="125">
                  <c:v>41246</c:v>
                </c:pt>
                <c:pt idx="126">
                  <c:v>41243</c:v>
                </c:pt>
                <c:pt idx="127">
                  <c:v>41242</c:v>
                </c:pt>
                <c:pt idx="128">
                  <c:v>41241</c:v>
                </c:pt>
                <c:pt idx="129">
                  <c:v>41240</c:v>
                </c:pt>
                <c:pt idx="130">
                  <c:v>41239</c:v>
                </c:pt>
                <c:pt idx="131">
                  <c:v>41236</c:v>
                </c:pt>
                <c:pt idx="132">
                  <c:v>41235</c:v>
                </c:pt>
                <c:pt idx="133">
                  <c:v>41234</c:v>
                </c:pt>
                <c:pt idx="134">
                  <c:v>41233</c:v>
                </c:pt>
                <c:pt idx="135">
                  <c:v>41232</c:v>
                </c:pt>
                <c:pt idx="136">
                  <c:v>41229</c:v>
                </c:pt>
                <c:pt idx="137">
                  <c:v>41228</c:v>
                </c:pt>
                <c:pt idx="138">
                  <c:v>41227</c:v>
                </c:pt>
                <c:pt idx="139">
                  <c:v>41226</c:v>
                </c:pt>
                <c:pt idx="140">
                  <c:v>41225</c:v>
                </c:pt>
                <c:pt idx="141">
                  <c:v>41222</c:v>
                </c:pt>
                <c:pt idx="142">
                  <c:v>41221</c:v>
                </c:pt>
                <c:pt idx="143">
                  <c:v>41220</c:v>
                </c:pt>
                <c:pt idx="144">
                  <c:v>41219</c:v>
                </c:pt>
                <c:pt idx="145">
                  <c:v>41218</c:v>
                </c:pt>
                <c:pt idx="146">
                  <c:v>41215</c:v>
                </c:pt>
                <c:pt idx="147">
                  <c:v>41214</c:v>
                </c:pt>
                <c:pt idx="148">
                  <c:v>41213</c:v>
                </c:pt>
                <c:pt idx="149">
                  <c:v>41212</c:v>
                </c:pt>
                <c:pt idx="150">
                  <c:v>41211</c:v>
                </c:pt>
                <c:pt idx="151">
                  <c:v>41208</c:v>
                </c:pt>
                <c:pt idx="152">
                  <c:v>41207</c:v>
                </c:pt>
                <c:pt idx="153">
                  <c:v>41206</c:v>
                </c:pt>
                <c:pt idx="154">
                  <c:v>41205</c:v>
                </c:pt>
                <c:pt idx="155">
                  <c:v>41204</c:v>
                </c:pt>
                <c:pt idx="156">
                  <c:v>41201</c:v>
                </c:pt>
                <c:pt idx="157">
                  <c:v>41200</c:v>
                </c:pt>
                <c:pt idx="158">
                  <c:v>41199</c:v>
                </c:pt>
                <c:pt idx="159">
                  <c:v>41198</c:v>
                </c:pt>
                <c:pt idx="160">
                  <c:v>41197</c:v>
                </c:pt>
                <c:pt idx="161">
                  <c:v>41194</c:v>
                </c:pt>
                <c:pt idx="162">
                  <c:v>41193</c:v>
                </c:pt>
                <c:pt idx="163">
                  <c:v>41192</c:v>
                </c:pt>
                <c:pt idx="164">
                  <c:v>41191</c:v>
                </c:pt>
                <c:pt idx="165">
                  <c:v>41190</c:v>
                </c:pt>
                <c:pt idx="166">
                  <c:v>41187</c:v>
                </c:pt>
                <c:pt idx="167">
                  <c:v>41186</c:v>
                </c:pt>
                <c:pt idx="168">
                  <c:v>41185</c:v>
                </c:pt>
                <c:pt idx="169">
                  <c:v>41184</c:v>
                </c:pt>
                <c:pt idx="170">
                  <c:v>41183</c:v>
                </c:pt>
                <c:pt idx="171">
                  <c:v>41180</c:v>
                </c:pt>
                <c:pt idx="172">
                  <c:v>41179</c:v>
                </c:pt>
                <c:pt idx="173">
                  <c:v>41178</c:v>
                </c:pt>
                <c:pt idx="174">
                  <c:v>41177</c:v>
                </c:pt>
                <c:pt idx="175">
                  <c:v>41176</c:v>
                </c:pt>
                <c:pt idx="176">
                  <c:v>41173</c:v>
                </c:pt>
                <c:pt idx="177">
                  <c:v>41172</c:v>
                </c:pt>
                <c:pt idx="178">
                  <c:v>41171</c:v>
                </c:pt>
                <c:pt idx="179">
                  <c:v>41170</c:v>
                </c:pt>
                <c:pt idx="180">
                  <c:v>41169</c:v>
                </c:pt>
                <c:pt idx="181">
                  <c:v>41166</c:v>
                </c:pt>
                <c:pt idx="182">
                  <c:v>41165</c:v>
                </c:pt>
                <c:pt idx="183">
                  <c:v>41164</c:v>
                </c:pt>
                <c:pt idx="184">
                  <c:v>41163</c:v>
                </c:pt>
                <c:pt idx="185">
                  <c:v>41162</c:v>
                </c:pt>
                <c:pt idx="186">
                  <c:v>41159</c:v>
                </c:pt>
                <c:pt idx="187">
                  <c:v>41158</c:v>
                </c:pt>
                <c:pt idx="188">
                  <c:v>41157</c:v>
                </c:pt>
                <c:pt idx="189">
                  <c:v>41156</c:v>
                </c:pt>
                <c:pt idx="190">
                  <c:v>41155</c:v>
                </c:pt>
                <c:pt idx="191">
                  <c:v>41152</c:v>
                </c:pt>
                <c:pt idx="192">
                  <c:v>41151</c:v>
                </c:pt>
                <c:pt idx="193">
                  <c:v>41150</c:v>
                </c:pt>
                <c:pt idx="194">
                  <c:v>41149</c:v>
                </c:pt>
                <c:pt idx="195">
                  <c:v>41148</c:v>
                </c:pt>
                <c:pt idx="196">
                  <c:v>41145</c:v>
                </c:pt>
                <c:pt idx="197">
                  <c:v>41144</c:v>
                </c:pt>
                <c:pt idx="198">
                  <c:v>41143</c:v>
                </c:pt>
                <c:pt idx="199">
                  <c:v>41142</c:v>
                </c:pt>
                <c:pt idx="200">
                  <c:v>41141</c:v>
                </c:pt>
                <c:pt idx="201">
                  <c:v>41138</c:v>
                </c:pt>
                <c:pt idx="202">
                  <c:v>41137</c:v>
                </c:pt>
                <c:pt idx="203">
                  <c:v>41136</c:v>
                </c:pt>
                <c:pt idx="204">
                  <c:v>41135</c:v>
                </c:pt>
                <c:pt idx="205">
                  <c:v>41134</c:v>
                </c:pt>
                <c:pt idx="206">
                  <c:v>41131</c:v>
                </c:pt>
                <c:pt idx="207">
                  <c:v>41130</c:v>
                </c:pt>
                <c:pt idx="208">
                  <c:v>41129</c:v>
                </c:pt>
                <c:pt idx="209">
                  <c:v>41128</c:v>
                </c:pt>
                <c:pt idx="210">
                  <c:v>41127</c:v>
                </c:pt>
                <c:pt idx="211">
                  <c:v>41124</c:v>
                </c:pt>
                <c:pt idx="212">
                  <c:v>41123</c:v>
                </c:pt>
                <c:pt idx="213">
                  <c:v>41122</c:v>
                </c:pt>
                <c:pt idx="214">
                  <c:v>41121</c:v>
                </c:pt>
                <c:pt idx="215">
                  <c:v>41120</c:v>
                </c:pt>
                <c:pt idx="216">
                  <c:v>41117</c:v>
                </c:pt>
                <c:pt idx="217">
                  <c:v>41116</c:v>
                </c:pt>
                <c:pt idx="218">
                  <c:v>41115</c:v>
                </c:pt>
                <c:pt idx="219">
                  <c:v>41114</c:v>
                </c:pt>
                <c:pt idx="220">
                  <c:v>41113</c:v>
                </c:pt>
                <c:pt idx="221">
                  <c:v>41110</c:v>
                </c:pt>
                <c:pt idx="222">
                  <c:v>41109</c:v>
                </c:pt>
                <c:pt idx="223">
                  <c:v>41108</c:v>
                </c:pt>
                <c:pt idx="224">
                  <c:v>41107</c:v>
                </c:pt>
                <c:pt idx="225">
                  <c:v>41106</c:v>
                </c:pt>
                <c:pt idx="226">
                  <c:v>41103</c:v>
                </c:pt>
                <c:pt idx="227">
                  <c:v>41102</c:v>
                </c:pt>
                <c:pt idx="228">
                  <c:v>41101</c:v>
                </c:pt>
                <c:pt idx="229">
                  <c:v>41100</c:v>
                </c:pt>
                <c:pt idx="230">
                  <c:v>41099</c:v>
                </c:pt>
                <c:pt idx="231">
                  <c:v>41096</c:v>
                </c:pt>
                <c:pt idx="232">
                  <c:v>41095</c:v>
                </c:pt>
                <c:pt idx="233">
                  <c:v>41094</c:v>
                </c:pt>
                <c:pt idx="234">
                  <c:v>41093</c:v>
                </c:pt>
                <c:pt idx="235">
                  <c:v>41092</c:v>
                </c:pt>
                <c:pt idx="236">
                  <c:v>41089</c:v>
                </c:pt>
                <c:pt idx="237">
                  <c:v>41088</c:v>
                </c:pt>
                <c:pt idx="238">
                  <c:v>41087</c:v>
                </c:pt>
                <c:pt idx="239">
                  <c:v>41086</c:v>
                </c:pt>
                <c:pt idx="240">
                  <c:v>41085</c:v>
                </c:pt>
                <c:pt idx="241">
                  <c:v>41082</c:v>
                </c:pt>
                <c:pt idx="242">
                  <c:v>41081</c:v>
                </c:pt>
                <c:pt idx="243">
                  <c:v>41080</c:v>
                </c:pt>
                <c:pt idx="244">
                  <c:v>41079</c:v>
                </c:pt>
                <c:pt idx="245">
                  <c:v>41078</c:v>
                </c:pt>
                <c:pt idx="246">
                  <c:v>41075</c:v>
                </c:pt>
                <c:pt idx="247">
                  <c:v>41074</c:v>
                </c:pt>
                <c:pt idx="248">
                  <c:v>41073</c:v>
                </c:pt>
                <c:pt idx="249">
                  <c:v>41072</c:v>
                </c:pt>
              </c:numCache>
            </c:numRef>
          </c:cat>
          <c:val>
            <c:numRef>
              <c:f>SourceData!$C$250:$C$499</c:f>
              <c:numCache>
                <c:formatCode>#,##0_);[Red]\(#,##0\)</c:formatCode>
                <c:ptCount val="25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25897408"/>
        <c:axId val="951134048"/>
      </c:barChart>
      <c:dateAx>
        <c:axId val="925897408"/>
        <c:scaling>
          <c:orientation val="minMax"/>
        </c:scaling>
        <c:delete val="0"/>
        <c:axPos val="b"/>
        <c:numFmt formatCode="dd/mm/yyyy" sourceLinked="0"/>
        <c:majorTickMark val="out"/>
        <c:minorTickMark val="none"/>
        <c:tickLblPos val="nextTo"/>
        <c:spPr>
          <a:ln w="3175">
            <a:solidFill>
              <a:srgbClr val="ABABAB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51134048"/>
        <c:crosses val="autoZero"/>
        <c:auto val="1"/>
        <c:lblOffset val="100"/>
        <c:baseTimeUnit val="days"/>
        <c:majorUnit val="14"/>
        <c:majorTimeUnit val="days"/>
        <c:minorUnit val="7"/>
        <c:minorTimeUnit val="days"/>
      </c:dateAx>
      <c:valAx>
        <c:axId val="951134048"/>
        <c:scaling>
          <c:orientation val="minMax"/>
        </c:scaling>
        <c:delete val="0"/>
        <c:axPos val="l"/>
        <c:majorGridlines>
          <c:spPr>
            <a:ln w="3175">
              <a:solidFill>
                <a:srgbClr val="D3D3D3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Stock in BUm</a:t>
                </a:r>
              </a:p>
            </c:rich>
          </c:tx>
          <c:layout>
            <c:manualLayout>
              <c:xMode val="edge"/>
              <c:yMode val="edge"/>
              <c:x val="1.9801980198019948E-2"/>
              <c:y val="0.3778625954198531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2589740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8705822896700344"/>
          <c:y val="1.5771773909028324E-2"/>
          <c:w val="0.58653381760008061"/>
          <c:h val="5.29287636066061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6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5" footer="0.5"/>
    <c:pageSetup paperSize="9" orientation="landscape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Service level &amp; Forecast accuracy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684147180564992"/>
          <c:y val="0.27511657758108704"/>
          <c:w val="0.79447383373993807"/>
          <c:h val="0.5571610297448287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Log_Forecast!$N$1</c:f>
              <c:strCache>
                <c:ptCount val="1"/>
                <c:pt idx="0">
                  <c:v>Service_Level</c:v>
                </c:pt>
              </c:strCache>
            </c:strRef>
          </c:tx>
          <c:invertIfNegative val="0"/>
          <c:val>
            <c:numRef>
              <c:f>Log_Forecast!$N$1:$N$2</c:f>
              <c:numCache>
                <c:formatCode>0\ %;[Red]\-0\ %</c:formatCode>
                <c:ptCount val="2"/>
                <c:pt idx="0" formatCode="0.0\ %;[Red]\-0.0\ %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1136400"/>
        <c:axId val="951135224"/>
      </c:barChart>
      <c:lineChart>
        <c:grouping val="standard"/>
        <c:varyColors val="0"/>
        <c:ser>
          <c:idx val="0"/>
          <c:order val="0"/>
          <c:tx>
            <c:strRef>
              <c:f>Log_Forecast!$M$1</c:f>
              <c:strCache>
                <c:ptCount val="1"/>
                <c:pt idx="0">
                  <c:v>Forecast Acc</c:v>
                </c:pt>
              </c:strCache>
            </c:strRef>
          </c:tx>
          <c:marker>
            <c:symbol val="none"/>
          </c:marker>
          <c:val>
            <c:numRef>
              <c:f>Log_Forecast!$M$1:$M$2</c:f>
              <c:numCache>
                <c:formatCode>0\ %;[Red]\-0\ %</c:formatCode>
                <c:ptCount val="2"/>
                <c:pt idx="0" formatCode="0.0\ %;[Red]\-0.0\ %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136008"/>
        <c:axId val="951135616"/>
      </c:lineChart>
      <c:catAx>
        <c:axId val="951136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Forecast versions</a:t>
                </a:r>
              </a:p>
            </c:rich>
          </c:tx>
          <c:overlay val="0"/>
        </c:title>
        <c:majorTickMark val="none"/>
        <c:minorTickMark val="none"/>
        <c:tickLblPos val="nextTo"/>
        <c:crossAx val="951135224"/>
        <c:crosses val="autoZero"/>
        <c:auto val="1"/>
        <c:lblAlgn val="ctr"/>
        <c:lblOffset val="100"/>
        <c:noMultiLvlLbl val="0"/>
      </c:catAx>
      <c:valAx>
        <c:axId val="951135224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\ %;[Red]\-0\ %" sourceLinked="0"/>
        <c:majorTickMark val="none"/>
        <c:minorTickMark val="none"/>
        <c:tickLblPos val="nextTo"/>
        <c:crossAx val="951136400"/>
        <c:crosses val="autoZero"/>
        <c:crossBetween val="between"/>
      </c:valAx>
      <c:valAx>
        <c:axId val="951135616"/>
        <c:scaling>
          <c:orientation val="minMax"/>
        </c:scaling>
        <c:delete val="0"/>
        <c:axPos val="r"/>
        <c:numFmt formatCode="0\ %;[Red]\-0\ %" sourceLinked="0"/>
        <c:majorTickMark val="out"/>
        <c:minorTickMark val="none"/>
        <c:tickLblPos val="nextTo"/>
        <c:crossAx val="951136008"/>
        <c:crosses val="max"/>
        <c:crossBetween val="between"/>
      </c:valAx>
      <c:catAx>
        <c:axId val="951136008"/>
        <c:scaling>
          <c:orientation val="minMax"/>
        </c:scaling>
        <c:delete val="1"/>
        <c:axPos val="b"/>
        <c:majorTickMark val="out"/>
        <c:minorTickMark val="none"/>
        <c:tickLblPos val="nextTo"/>
        <c:crossAx val="951135616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47111886160714284"/>
          <c:y val="0.64210581665216127"/>
          <c:w val="0.33789455983740196"/>
          <c:h val="0.10777932960893855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Service level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837676373961884"/>
          <c:y val="0.19792037037037036"/>
          <c:w val="0.78395644466891123"/>
          <c:h val="0.535165062422221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Log_StockIn!$I$1</c:f>
              <c:strCache>
                <c:ptCount val="1"/>
                <c:pt idx="0">
                  <c:v>Service level</c:v>
                </c:pt>
              </c:strCache>
            </c:strRef>
          </c:tx>
          <c:invertIfNegative val="0"/>
          <c:cat>
            <c:numRef>
              <c:f>Log_StockIn!$D$2</c:f>
              <c:numCache>
                <c:formatCode>General</c:formatCode>
                <c:ptCount val="1"/>
              </c:numCache>
            </c:numRef>
          </c:cat>
          <c:val>
            <c:numRef>
              <c:f>Log_StockIn!$I$2</c:f>
              <c:numCache>
                <c:formatCode>0.0\ %;[Red]\-0.0\ %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1077208"/>
        <c:axId val="951072112"/>
      </c:barChart>
      <c:catAx>
        <c:axId val="951077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Stock-In quantities</a:t>
                </a:r>
              </a:p>
            </c:rich>
          </c:tx>
          <c:layout>
            <c:manualLayout>
              <c:xMode val="edge"/>
              <c:yMode val="edge"/>
              <c:x val="0.35579847448730789"/>
              <c:y val="0.9012223217946252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51072112"/>
        <c:crosses val="autoZero"/>
        <c:auto val="1"/>
        <c:lblAlgn val="ctr"/>
        <c:lblOffset val="100"/>
        <c:noMultiLvlLbl val="0"/>
      </c:catAx>
      <c:valAx>
        <c:axId val="951072112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\ %;[Red]\-0\ %" sourceLinked="0"/>
        <c:majorTickMark val="out"/>
        <c:minorTickMark val="none"/>
        <c:tickLblPos val="nextTo"/>
        <c:crossAx val="951077208"/>
        <c:crosses val="autoZero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Actual &amp; Forecast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637154547647233"/>
          <c:y val="0.2478373694318235"/>
          <c:w val="0.83920875518099391"/>
          <c:h val="0.59464050532792978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Simulation!$C$27</c:f>
              <c:strCache>
                <c:ptCount val="1"/>
                <c:pt idx="0">
                  <c:v>Forecast LY</c:v>
                </c:pt>
              </c:strCache>
            </c:strRef>
          </c:tx>
          <c:invertIfNegative val="0"/>
          <c:val>
            <c:numRef>
              <c:f>Simulation!$C$28:$C$39</c:f>
              <c:numCache>
                <c:formatCode>#,##0_);[Red]\(#,##0\)</c:formatCode>
                <c:ptCount val="12"/>
                <c:pt idx="0">
                  <c:v>6210</c:v>
                </c:pt>
                <c:pt idx="1">
                  <c:v>4370</c:v>
                </c:pt>
                <c:pt idx="2">
                  <c:v>4600</c:v>
                </c:pt>
                <c:pt idx="3">
                  <c:v>9550</c:v>
                </c:pt>
                <c:pt idx="4">
                  <c:v>9050</c:v>
                </c:pt>
                <c:pt idx="5">
                  <c:v>4260</c:v>
                </c:pt>
                <c:pt idx="6">
                  <c:v>5980</c:v>
                </c:pt>
                <c:pt idx="7">
                  <c:v>4410</c:v>
                </c:pt>
                <c:pt idx="8">
                  <c:v>11600</c:v>
                </c:pt>
                <c:pt idx="9">
                  <c:v>3700</c:v>
                </c:pt>
                <c:pt idx="10">
                  <c:v>4190</c:v>
                </c:pt>
                <c:pt idx="11">
                  <c:v>2530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1079560"/>
        <c:axId val="951074072"/>
      </c:barChart>
      <c:lineChart>
        <c:grouping val="standard"/>
        <c:varyColors val="0"/>
        <c:ser>
          <c:idx val="0"/>
          <c:order val="0"/>
          <c:tx>
            <c:strRef>
              <c:f>Simulation!$E$27</c:f>
              <c:strCache>
                <c:ptCount val="1"/>
                <c:pt idx="0">
                  <c:v>Actual LY</c:v>
                </c:pt>
              </c:strCache>
            </c:strRef>
          </c:tx>
          <c:marker>
            <c:symbol val="none"/>
          </c:marker>
          <c:cat>
            <c:numRef>
              <c:f>Simulation!$B$28:$B$39</c:f>
              <c:numCache>
                <c:formatCode>General</c:formatCode>
                <c:ptCount val="12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</c:v>
                </c:pt>
                <c:pt idx="11">
                  <c:v>2</c:v>
                </c:pt>
              </c:numCache>
            </c:numRef>
          </c:cat>
          <c:val>
            <c:numRef>
              <c:f>Simulation!$E$28:$E$39</c:f>
              <c:numCache>
                <c:formatCode>#,##0_);[Red]\(#,##0\)</c:formatCode>
                <c:ptCount val="12"/>
                <c:pt idx="0">
                  <c:v>4850</c:v>
                </c:pt>
                <c:pt idx="1">
                  <c:v>4190</c:v>
                </c:pt>
                <c:pt idx="2">
                  <c:v>2530</c:v>
                </c:pt>
                <c:pt idx="3">
                  <c:v>5060</c:v>
                </c:pt>
                <c:pt idx="4">
                  <c:v>4370</c:v>
                </c:pt>
                <c:pt idx="5">
                  <c:v>4600</c:v>
                </c:pt>
                <c:pt idx="6">
                  <c:v>9550</c:v>
                </c:pt>
                <c:pt idx="7">
                  <c:v>9050</c:v>
                </c:pt>
                <c:pt idx="8">
                  <c:v>4260</c:v>
                </c:pt>
                <c:pt idx="9">
                  <c:v>5980</c:v>
                </c:pt>
                <c:pt idx="10">
                  <c:v>4410</c:v>
                </c:pt>
                <c:pt idx="11">
                  <c:v>11600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Simulation!$D$27</c:f>
              <c:strCache>
                <c:ptCount val="1"/>
                <c:pt idx="0">
                  <c:v>Actual LY2</c:v>
                </c:pt>
              </c:strCache>
            </c:strRef>
          </c:tx>
          <c:marker>
            <c:symbol val="none"/>
          </c:marker>
          <c:cat>
            <c:numRef>
              <c:f>Simulation!$B$28:$B$39</c:f>
              <c:numCache>
                <c:formatCode>General</c:formatCode>
                <c:ptCount val="12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</c:v>
                </c:pt>
                <c:pt idx="11">
                  <c:v>2</c:v>
                </c:pt>
              </c:numCache>
            </c:numRef>
          </c:cat>
          <c:val>
            <c:numRef>
              <c:f>Simulation!$D$28:$D$39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079560"/>
        <c:axId val="951074072"/>
      </c:lineChart>
      <c:catAx>
        <c:axId val="951079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</a:t>
                </a:r>
              </a:p>
            </c:rich>
          </c:tx>
          <c:layout>
            <c:manualLayout>
              <c:xMode val="edge"/>
              <c:yMode val="edge"/>
              <c:x val="0.45840460231983071"/>
              <c:y val="0.92565533355344076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951074072"/>
        <c:crosses val="autoZero"/>
        <c:auto val="1"/>
        <c:lblAlgn val="ctr"/>
        <c:lblOffset val="100"/>
        <c:noMultiLvlLbl val="0"/>
      </c:catAx>
      <c:valAx>
        <c:axId val="9510740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#,##0_);[Red]\(#,##0\)" sourceLinked="1"/>
        <c:majorTickMark val="none"/>
        <c:minorTickMark val="none"/>
        <c:tickLblPos val="nextTo"/>
        <c:crossAx val="9510795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697032863389643"/>
          <c:y val="0.16418731383084864"/>
          <c:w val="0.29915699191790313"/>
          <c:h val="0.19006360136853601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Current simulation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591593898511"/>
          <c:y val="0.18104050279329609"/>
          <c:w val="0.82431971671011139"/>
          <c:h val="0.61924891371818758"/>
        </c:manualLayout>
      </c:layout>
      <c:lineChart>
        <c:grouping val="standard"/>
        <c:varyColors val="0"/>
        <c:ser>
          <c:idx val="1"/>
          <c:order val="0"/>
          <c:tx>
            <c:strRef>
              <c:f>Sim_Data!$J$1</c:f>
              <c:strCache>
                <c:ptCount val="1"/>
                <c:pt idx="0">
                  <c:v>Simulated stock</c:v>
                </c:pt>
              </c:strCache>
            </c:strRef>
          </c:tx>
          <c:marker>
            <c:symbol val="none"/>
          </c:marker>
          <c:cat>
            <c:numRef>
              <c:f>Sim_Data!$A$236:$A$484</c:f>
              <c:numCache>
                <c:formatCode>m/d/yyyy</c:formatCode>
                <c:ptCount val="249"/>
                <c:pt idx="0">
                  <c:v>42440</c:v>
                </c:pt>
                <c:pt idx="1">
                  <c:v>41436</c:v>
                </c:pt>
                <c:pt idx="2">
                  <c:v>41435</c:v>
                </c:pt>
                <c:pt idx="3">
                  <c:v>41432</c:v>
                </c:pt>
                <c:pt idx="4">
                  <c:v>41431</c:v>
                </c:pt>
                <c:pt idx="5">
                  <c:v>41430</c:v>
                </c:pt>
                <c:pt idx="6">
                  <c:v>41429</c:v>
                </c:pt>
                <c:pt idx="7">
                  <c:v>41428</c:v>
                </c:pt>
                <c:pt idx="8">
                  <c:v>41425</c:v>
                </c:pt>
                <c:pt idx="9">
                  <c:v>41424</c:v>
                </c:pt>
                <c:pt idx="10">
                  <c:v>41423</c:v>
                </c:pt>
                <c:pt idx="11">
                  <c:v>41422</c:v>
                </c:pt>
                <c:pt idx="12">
                  <c:v>41421</c:v>
                </c:pt>
                <c:pt idx="13">
                  <c:v>41418</c:v>
                </c:pt>
                <c:pt idx="14">
                  <c:v>41417</c:v>
                </c:pt>
                <c:pt idx="15">
                  <c:v>41416</c:v>
                </c:pt>
                <c:pt idx="16">
                  <c:v>41415</c:v>
                </c:pt>
                <c:pt idx="17">
                  <c:v>41410</c:v>
                </c:pt>
                <c:pt idx="18">
                  <c:v>41409</c:v>
                </c:pt>
                <c:pt idx="19">
                  <c:v>41408</c:v>
                </c:pt>
                <c:pt idx="20">
                  <c:v>41407</c:v>
                </c:pt>
                <c:pt idx="21">
                  <c:v>41404</c:v>
                </c:pt>
                <c:pt idx="22">
                  <c:v>41402</c:v>
                </c:pt>
                <c:pt idx="23">
                  <c:v>41401</c:v>
                </c:pt>
                <c:pt idx="24">
                  <c:v>41400</c:v>
                </c:pt>
                <c:pt idx="25">
                  <c:v>41397</c:v>
                </c:pt>
                <c:pt idx="26">
                  <c:v>41396</c:v>
                </c:pt>
                <c:pt idx="27">
                  <c:v>41394</c:v>
                </c:pt>
                <c:pt idx="28">
                  <c:v>41393</c:v>
                </c:pt>
                <c:pt idx="29">
                  <c:v>41390</c:v>
                </c:pt>
                <c:pt idx="30">
                  <c:v>41389</c:v>
                </c:pt>
                <c:pt idx="31">
                  <c:v>41388</c:v>
                </c:pt>
                <c:pt idx="32">
                  <c:v>41387</c:v>
                </c:pt>
                <c:pt idx="33">
                  <c:v>41386</c:v>
                </c:pt>
                <c:pt idx="34">
                  <c:v>41383</c:v>
                </c:pt>
                <c:pt idx="35">
                  <c:v>41382</c:v>
                </c:pt>
                <c:pt idx="36">
                  <c:v>41381</c:v>
                </c:pt>
                <c:pt idx="37">
                  <c:v>41380</c:v>
                </c:pt>
                <c:pt idx="38">
                  <c:v>41379</c:v>
                </c:pt>
                <c:pt idx="39">
                  <c:v>41376</c:v>
                </c:pt>
                <c:pt idx="40">
                  <c:v>41375</c:v>
                </c:pt>
                <c:pt idx="41">
                  <c:v>41374</c:v>
                </c:pt>
                <c:pt idx="42">
                  <c:v>41373</c:v>
                </c:pt>
                <c:pt idx="43">
                  <c:v>41372</c:v>
                </c:pt>
                <c:pt idx="44">
                  <c:v>41369</c:v>
                </c:pt>
                <c:pt idx="45">
                  <c:v>41368</c:v>
                </c:pt>
                <c:pt idx="46">
                  <c:v>41367</c:v>
                </c:pt>
                <c:pt idx="47">
                  <c:v>41366</c:v>
                </c:pt>
                <c:pt idx="48">
                  <c:v>41360</c:v>
                </c:pt>
                <c:pt idx="49">
                  <c:v>41359</c:v>
                </c:pt>
                <c:pt idx="50">
                  <c:v>41358</c:v>
                </c:pt>
                <c:pt idx="51">
                  <c:v>41355</c:v>
                </c:pt>
                <c:pt idx="52">
                  <c:v>41354</c:v>
                </c:pt>
                <c:pt idx="53">
                  <c:v>41353</c:v>
                </c:pt>
                <c:pt idx="54">
                  <c:v>41352</c:v>
                </c:pt>
                <c:pt idx="55">
                  <c:v>41351</c:v>
                </c:pt>
                <c:pt idx="56">
                  <c:v>41348</c:v>
                </c:pt>
                <c:pt idx="57">
                  <c:v>41347</c:v>
                </c:pt>
                <c:pt idx="58">
                  <c:v>41346</c:v>
                </c:pt>
                <c:pt idx="59">
                  <c:v>41345</c:v>
                </c:pt>
                <c:pt idx="60">
                  <c:v>41344</c:v>
                </c:pt>
                <c:pt idx="61">
                  <c:v>41341</c:v>
                </c:pt>
                <c:pt idx="62">
                  <c:v>41340</c:v>
                </c:pt>
                <c:pt idx="63">
                  <c:v>41339</c:v>
                </c:pt>
                <c:pt idx="64">
                  <c:v>41338</c:v>
                </c:pt>
                <c:pt idx="65">
                  <c:v>41337</c:v>
                </c:pt>
                <c:pt idx="66">
                  <c:v>41334</c:v>
                </c:pt>
                <c:pt idx="67">
                  <c:v>41333</c:v>
                </c:pt>
                <c:pt idx="68">
                  <c:v>41332</c:v>
                </c:pt>
                <c:pt idx="69">
                  <c:v>41331</c:v>
                </c:pt>
                <c:pt idx="70">
                  <c:v>41330</c:v>
                </c:pt>
                <c:pt idx="71">
                  <c:v>41327</c:v>
                </c:pt>
                <c:pt idx="72">
                  <c:v>41326</c:v>
                </c:pt>
                <c:pt idx="73">
                  <c:v>41325</c:v>
                </c:pt>
                <c:pt idx="74">
                  <c:v>41324</c:v>
                </c:pt>
                <c:pt idx="75">
                  <c:v>41323</c:v>
                </c:pt>
                <c:pt idx="76">
                  <c:v>41320</c:v>
                </c:pt>
                <c:pt idx="77">
                  <c:v>41319</c:v>
                </c:pt>
                <c:pt idx="78">
                  <c:v>41318</c:v>
                </c:pt>
                <c:pt idx="79">
                  <c:v>41317</c:v>
                </c:pt>
                <c:pt idx="80">
                  <c:v>41316</c:v>
                </c:pt>
                <c:pt idx="81">
                  <c:v>41313</c:v>
                </c:pt>
                <c:pt idx="82">
                  <c:v>41312</c:v>
                </c:pt>
                <c:pt idx="83">
                  <c:v>41311</c:v>
                </c:pt>
                <c:pt idx="84">
                  <c:v>41310</c:v>
                </c:pt>
                <c:pt idx="85">
                  <c:v>41309</c:v>
                </c:pt>
                <c:pt idx="86">
                  <c:v>41306</c:v>
                </c:pt>
                <c:pt idx="87">
                  <c:v>41305</c:v>
                </c:pt>
                <c:pt idx="88">
                  <c:v>41304</c:v>
                </c:pt>
                <c:pt idx="89">
                  <c:v>41303</c:v>
                </c:pt>
                <c:pt idx="90">
                  <c:v>41302</c:v>
                </c:pt>
                <c:pt idx="91">
                  <c:v>41299</c:v>
                </c:pt>
                <c:pt idx="92">
                  <c:v>41298</c:v>
                </c:pt>
                <c:pt idx="93">
                  <c:v>41297</c:v>
                </c:pt>
                <c:pt idx="94">
                  <c:v>41296</c:v>
                </c:pt>
                <c:pt idx="95">
                  <c:v>41295</c:v>
                </c:pt>
                <c:pt idx="96">
                  <c:v>41292</c:v>
                </c:pt>
                <c:pt idx="97">
                  <c:v>41291</c:v>
                </c:pt>
                <c:pt idx="98">
                  <c:v>41290</c:v>
                </c:pt>
                <c:pt idx="99">
                  <c:v>41289</c:v>
                </c:pt>
                <c:pt idx="100">
                  <c:v>41288</c:v>
                </c:pt>
                <c:pt idx="101">
                  <c:v>41285</c:v>
                </c:pt>
                <c:pt idx="102">
                  <c:v>41284</c:v>
                </c:pt>
                <c:pt idx="103">
                  <c:v>41283</c:v>
                </c:pt>
                <c:pt idx="104">
                  <c:v>41282</c:v>
                </c:pt>
                <c:pt idx="105">
                  <c:v>41281</c:v>
                </c:pt>
                <c:pt idx="106">
                  <c:v>41278</c:v>
                </c:pt>
                <c:pt idx="107">
                  <c:v>41277</c:v>
                </c:pt>
                <c:pt idx="108">
                  <c:v>41276</c:v>
                </c:pt>
                <c:pt idx="109">
                  <c:v>41271</c:v>
                </c:pt>
                <c:pt idx="110">
                  <c:v>41270</c:v>
                </c:pt>
                <c:pt idx="111">
                  <c:v>41264</c:v>
                </c:pt>
                <c:pt idx="112">
                  <c:v>41263</c:v>
                </c:pt>
                <c:pt idx="113">
                  <c:v>41262</c:v>
                </c:pt>
                <c:pt idx="114">
                  <c:v>41261</c:v>
                </c:pt>
                <c:pt idx="115">
                  <c:v>41260</c:v>
                </c:pt>
                <c:pt idx="116">
                  <c:v>41257</c:v>
                </c:pt>
                <c:pt idx="117">
                  <c:v>41256</c:v>
                </c:pt>
                <c:pt idx="118">
                  <c:v>41255</c:v>
                </c:pt>
                <c:pt idx="119">
                  <c:v>41254</c:v>
                </c:pt>
                <c:pt idx="120">
                  <c:v>41253</c:v>
                </c:pt>
                <c:pt idx="121">
                  <c:v>41250</c:v>
                </c:pt>
                <c:pt idx="122">
                  <c:v>41249</c:v>
                </c:pt>
                <c:pt idx="123">
                  <c:v>41248</c:v>
                </c:pt>
                <c:pt idx="124">
                  <c:v>41247</c:v>
                </c:pt>
                <c:pt idx="125">
                  <c:v>41246</c:v>
                </c:pt>
                <c:pt idx="126">
                  <c:v>41243</c:v>
                </c:pt>
                <c:pt idx="127">
                  <c:v>41242</c:v>
                </c:pt>
                <c:pt idx="128">
                  <c:v>41241</c:v>
                </c:pt>
                <c:pt idx="129">
                  <c:v>41240</c:v>
                </c:pt>
                <c:pt idx="130">
                  <c:v>41239</c:v>
                </c:pt>
                <c:pt idx="131">
                  <c:v>41236</c:v>
                </c:pt>
                <c:pt idx="132">
                  <c:v>41235</c:v>
                </c:pt>
                <c:pt idx="133">
                  <c:v>41234</c:v>
                </c:pt>
                <c:pt idx="134">
                  <c:v>41233</c:v>
                </c:pt>
                <c:pt idx="135">
                  <c:v>41232</c:v>
                </c:pt>
                <c:pt idx="136">
                  <c:v>41229</c:v>
                </c:pt>
                <c:pt idx="137">
                  <c:v>41228</c:v>
                </c:pt>
                <c:pt idx="138">
                  <c:v>41227</c:v>
                </c:pt>
                <c:pt idx="139">
                  <c:v>41226</c:v>
                </c:pt>
                <c:pt idx="140">
                  <c:v>41225</c:v>
                </c:pt>
                <c:pt idx="141">
                  <c:v>41222</c:v>
                </c:pt>
                <c:pt idx="142">
                  <c:v>41221</c:v>
                </c:pt>
                <c:pt idx="143">
                  <c:v>41220</c:v>
                </c:pt>
                <c:pt idx="144">
                  <c:v>41219</c:v>
                </c:pt>
                <c:pt idx="145">
                  <c:v>41218</c:v>
                </c:pt>
                <c:pt idx="146">
                  <c:v>41215</c:v>
                </c:pt>
                <c:pt idx="147">
                  <c:v>41214</c:v>
                </c:pt>
                <c:pt idx="148">
                  <c:v>41213</c:v>
                </c:pt>
                <c:pt idx="149">
                  <c:v>41212</c:v>
                </c:pt>
                <c:pt idx="150">
                  <c:v>41211</c:v>
                </c:pt>
                <c:pt idx="151">
                  <c:v>41208</c:v>
                </c:pt>
                <c:pt idx="152">
                  <c:v>41207</c:v>
                </c:pt>
                <c:pt idx="153">
                  <c:v>41206</c:v>
                </c:pt>
                <c:pt idx="154">
                  <c:v>41205</c:v>
                </c:pt>
                <c:pt idx="155">
                  <c:v>41204</c:v>
                </c:pt>
                <c:pt idx="156">
                  <c:v>41201</c:v>
                </c:pt>
                <c:pt idx="157">
                  <c:v>41200</c:v>
                </c:pt>
                <c:pt idx="158">
                  <c:v>41199</c:v>
                </c:pt>
                <c:pt idx="159">
                  <c:v>41198</c:v>
                </c:pt>
                <c:pt idx="160">
                  <c:v>41197</c:v>
                </c:pt>
                <c:pt idx="161">
                  <c:v>41194</c:v>
                </c:pt>
                <c:pt idx="162">
                  <c:v>41193</c:v>
                </c:pt>
                <c:pt idx="163">
                  <c:v>41192</c:v>
                </c:pt>
                <c:pt idx="164">
                  <c:v>41191</c:v>
                </c:pt>
                <c:pt idx="165">
                  <c:v>41190</c:v>
                </c:pt>
                <c:pt idx="166">
                  <c:v>41187</c:v>
                </c:pt>
                <c:pt idx="167">
                  <c:v>41186</c:v>
                </c:pt>
                <c:pt idx="168">
                  <c:v>41185</c:v>
                </c:pt>
                <c:pt idx="169">
                  <c:v>41184</c:v>
                </c:pt>
                <c:pt idx="170">
                  <c:v>41183</c:v>
                </c:pt>
                <c:pt idx="171">
                  <c:v>41180</c:v>
                </c:pt>
                <c:pt idx="172">
                  <c:v>41179</c:v>
                </c:pt>
                <c:pt idx="173">
                  <c:v>41178</c:v>
                </c:pt>
                <c:pt idx="174">
                  <c:v>41177</c:v>
                </c:pt>
                <c:pt idx="175">
                  <c:v>41176</c:v>
                </c:pt>
                <c:pt idx="176">
                  <c:v>41173</c:v>
                </c:pt>
                <c:pt idx="177">
                  <c:v>41172</c:v>
                </c:pt>
                <c:pt idx="178">
                  <c:v>41171</c:v>
                </c:pt>
                <c:pt idx="179">
                  <c:v>41170</c:v>
                </c:pt>
                <c:pt idx="180">
                  <c:v>41169</c:v>
                </c:pt>
                <c:pt idx="181">
                  <c:v>41166</c:v>
                </c:pt>
                <c:pt idx="182">
                  <c:v>41165</c:v>
                </c:pt>
                <c:pt idx="183">
                  <c:v>41164</c:v>
                </c:pt>
                <c:pt idx="184">
                  <c:v>41163</c:v>
                </c:pt>
                <c:pt idx="185">
                  <c:v>41162</c:v>
                </c:pt>
                <c:pt idx="186">
                  <c:v>41159</c:v>
                </c:pt>
                <c:pt idx="187">
                  <c:v>41158</c:v>
                </c:pt>
                <c:pt idx="188">
                  <c:v>41157</c:v>
                </c:pt>
                <c:pt idx="189">
                  <c:v>41156</c:v>
                </c:pt>
                <c:pt idx="190">
                  <c:v>41155</c:v>
                </c:pt>
                <c:pt idx="191">
                  <c:v>41152</c:v>
                </c:pt>
                <c:pt idx="192">
                  <c:v>41151</c:v>
                </c:pt>
                <c:pt idx="193">
                  <c:v>41150</c:v>
                </c:pt>
                <c:pt idx="194">
                  <c:v>41149</c:v>
                </c:pt>
                <c:pt idx="195">
                  <c:v>41148</c:v>
                </c:pt>
                <c:pt idx="196">
                  <c:v>41145</c:v>
                </c:pt>
                <c:pt idx="197">
                  <c:v>41144</c:v>
                </c:pt>
                <c:pt idx="198">
                  <c:v>41143</c:v>
                </c:pt>
                <c:pt idx="199">
                  <c:v>41142</c:v>
                </c:pt>
                <c:pt idx="200">
                  <c:v>41141</c:v>
                </c:pt>
                <c:pt idx="201">
                  <c:v>41138</c:v>
                </c:pt>
                <c:pt idx="202">
                  <c:v>41137</c:v>
                </c:pt>
                <c:pt idx="203">
                  <c:v>41136</c:v>
                </c:pt>
                <c:pt idx="204">
                  <c:v>41135</c:v>
                </c:pt>
                <c:pt idx="205">
                  <c:v>41134</c:v>
                </c:pt>
                <c:pt idx="206">
                  <c:v>41131</c:v>
                </c:pt>
                <c:pt idx="207">
                  <c:v>41130</c:v>
                </c:pt>
                <c:pt idx="208">
                  <c:v>41129</c:v>
                </c:pt>
                <c:pt idx="209">
                  <c:v>41128</c:v>
                </c:pt>
                <c:pt idx="210">
                  <c:v>41127</c:v>
                </c:pt>
                <c:pt idx="211">
                  <c:v>41124</c:v>
                </c:pt>
                <c:pt idx="212">
                  <c:v>41123</c:v>
                </c:pt>
                <c:pt idx="213">
                  <c:v>41122</c:v>
                </c:pt>
                <c:pt idx="214">
                  <c:v>41121</c:v>
                </c:pt>
                <c:pt idx="215">
                  <c:v>41120</c:v>
                </c:pt>
                <c:pt idx="216">
                  <c:v>41117</c:v>
                </c:pt>
                <c:pt idx="217">
                  <c:v>41116</c:v>
                </c:pt>
                <c:pt idx="218">
                  <c:v>41115</c:v>
                </c:pt>
                <c:pt idx="219">
                  <c:v>41114</c:v>
                </c:pt>
                <c:pt idx="220">
                  <c:v>41113</c:v>
                </c:pt>
                <c:pt idx="221">
                  <c:v>41110</c:v>
                </c:pt>
                <c:pt idx="222">
                  <c:v>41109</c:v>
                </c:pt>
                <c:pt idx="223">
                  <c:v>41108</c:v>
                </c:pt>
                <c:pt idx="224">
                  <c:v>41107</c:v>
                </c:pt>
                <c:pt idx="225">
                  <c:v>41106</c:v>
                </c:pt>
                <c:pt idx="226">
                  <c:v>41103</c:v>
                </c:pt>
                <c:pt idx="227">
                  <c:v>41102</c:v>
                </c:pt>
                <c:pt idx="228">
                  <c:v>41101</c:v>
                </c:pt>
                <c:pt idx="229">
                  <c:v>41100</c:v>
                </c:pt>
                <c:pt idx="230">
                  <c:v>41099</c:v>
                </c:pt>
                <c:pt idx="231">
                  <c:v>41096</c:v>
                </c:pt>
                <c:pt idx="232">
                  <c:v>41095</c:v>
                </c:pt>
                <c:pt idx="233">
                  <c:v>41094</c:v>
                </c:pt>
                <c:pt idx="234">
                  <c:v>41093</c:v>
                </c:pt>
                <c:pt idx="235">
                  <c:v>41092</c:v>
                </c:pt>
                <c:pt idx="236">
                  <c:v>41089</c:v>
                </c:pt>
                <c:pt idx="237">
                  <c:v>41088</c:v>
                </c:pt>
                <c:pt idx="238">
                  <c:v>41087</c:v>
                </c:pt>
                <c:pt idx="239">
                  <c:v>41086</c:v>
                </c:pt>
                <c:pt idx="240">
                  <c:v>41085</c:v>
                </c:pt>
                <c:pt idx="241">
                  <c:v>41082</c:v>
                </c:pt>
                <c:pt idx="242">
                  <c:v>41081</c:v>
                </c:pt>
                <c:pt idx="243">
                  <c:v>41080</c:v>
                </c:pt>
                <c:pt idx="244">
                  <c:v>41079</c:v>
                </c:pt>
                <c:pt idx="245">
                  <c:v>41078</c:v>
                </c:pt>
                <c:pt idx="246">
                  <c:v>41075</c:v>
                </c:pt>
                <c:pt idx="247">
                  <c:v>41074</c:v>
                </c:pt>
                <c:pt idx="248">
                  <c:v>41073</c:v>
                </c:pt>
              </c:numCache>
            </c:numRef>
          </c:cat>
          <c:val>
            <c:numRef>
              <c:f>Sim_Data!$J$236:$J$484</c:f>
              <c:numCache>
                <c:formatCode>#,##0_);[Red]\(#,##0\)</c:formatCode>
                <c:ptCount val="249"/>
                <c:pt idx="0">
                  <c:v>7992</c:v>
                </c:pt>
                <c:pt idx="1">
                  <c:v>9142</c:v>
                </c:pt>
                <c:pt idx="2">
                  <c:v>10292</c:v>
                </c:pt>
                <c:pt idx="3">
                  <c:v>10292</c:v>
                </c:pt>
                <c:pt idx="4">
                  <c:v>10292</c:v>
                </c:pt>
                <c:pt idx="5">
                  <c:v>10292</c:v>
                </c:pt>
                <c:pt idx="6">
                  <c:v>10292</c:v>
                </c:pt>
                <c:pt idx="7">
                  <c:v>10292</c:v>
                </c:pt>
                <c:pt idx="8">
                  <c:v>10982</c:v>
                </c:pt>
                <c:pt idx="9">
                  <c:v>10982</c:v>
                </c:pt>
                <c:pt idx="10">
                  <c:v>10982</c:v>
                </c:pt>
                <c:pt idx="11">
                  <c:v>10982</c:v>
                </c:pt>
                <c:pt idx="12">
                  <c:v>10982</c:v>
                </c:pt>
                <c:pt idx="13">
                  <c:v>10982</c:v>
                </c:pt>
                <c:pt idx="14">
                  <c:v>10982</c:v>
                </c:pt>
                <c:pt idx="15">
                  <c:v>10982</c:v>
                </c:pt>
                <c:pt idx="16">
                  <c:v>10982</c:v>
                </c:pt>
                <c:pt idx="17">
                  <c:v>10982</c:v>
                </c:pt>
                <c:pt idx="18">
                  <c:v>12132</c:v>
                </c:pt>
                <c:pt idx="19">
                  <c:v>13282</c:v>
                </c:pt>
                <c:pt idx="20">
                  <c:v>13282</c:v>
                </c:pt>
                <c:pt idx="21">
                  <c:v>685</c:v>
                </c:pt>
                <c:pt idx="22">
                  <c:v>915</c:v>
                </c:pt>
                <c:pt idx="23">
                  <c:v>915</c:v>
                </c:pt>
                <c:pt idx="24">
                  <c:v>915</c:v>
                </c:pt>
                <c:pt idx="25">
                  <c:v>915</c:v>
                </c:pt>
                <c:pt idx="26">
                  <c:v>915</c:v>
                </c:pt>
                <c:pt idx="27">
                  <c:v>915</c:v>
                </c:pt>
                <c:pt idx="28">
                  <c:v>915</c:v>
                </c:pt>
                <c:pt idx="29">
                  <c:v>2755</c:v>
                </c:pt>
                <c:pt idx="30">
                  <c:v>2795</c:v>
                </c:pt>
                <c:pt idx="31">
                  <c:v>2795</c:v>
                </c:pt>
                <c:pt idx="32">
                  <c:v>2795</c:v>
                </c:pt>
                <c:pt idx="33">
                  <c:v>2795</c:v>
                </c:pt>
                <c:pt idx="34">
                  <c:v>2795</c:v>
                </c:pt>
                <c:pt idx="35">
                  <c:v>2795</c:v>
                </c:pt>
                <c:pt idx="36">
                  <c:v>2795</c:v>
                </c:pt>
                <c:pt idx="37">
                  <c:v>3945</c:v>
                </c:pt>
                <c:pt idx="38">
                  <c:v>3945</c:v>
                </c:pt>
                <c:pt idx="39">
                  <c:v>3945</c:v>
                </c:pt>
                <c:pt idx="40">
                  <c:v>3955</c:v>
                </c:pt>
                <c:pt idx="41">
                  <c:v>3955</c:v>
                </c:pt>
                <c:pt idx="42">
                  <c:v>3955</c:v>
                </c:pt>
                <c:pt idx="43">
                  <c:v>5105</c:v>
                </c:pt>
                <c:pt idx="44">
                  <c:v>5105</c:v>
                </c:pt>
                <c:pt idx="45">
                  <c:v>5105</c:v>
                </c:pt>
                <c:pt idx="46">
                  <c:v>5105</c:v>
                </c:pt>
                <c:pt idx="47">
                  <c:v>5105</c:v>
                </c:pt>
                <c:pt idx="48">
                  <c:v>5105</c:v>
                </c:pt>
                <c:pt idx="49">
                  <c:v>5105</c:v>
                </c:pt>
                <c:pt idx="50">
                  <c:v>5105</c:v>
                </c:pt>
                <c:pt idx="51">
                  <c:v>6255</c:v>
                </c:pt>
                <c:pt idx="52">
                  <c:v>6485</c:v>
                </c:pt>
                <c:pt idx="53">
                  <c:v>6485</c:v>
                </c:pt>
                <c:pt idx="54">
                  <c:v>7635</c:v>
                </c:pt>
                <c:pt idx="55">
                  <c:v>7635</c:v>
                </c:pt>
                <c:pt idx="56">
                  <c:v>7635</c:v>
                </c:pt>
                <c:pt idx="57">
                  <c:v>7635</c:v>
                </c:pt>
                <c:pt idx="58">
                  <c:v>7635</c:v>
                </c:pt>
                <c:pt idx="59">
                  <c:v>7635</c:v>
                </c:pt>
                <c:pt idx="60">
                  <c:v>7635</c:v>
                </c:pt>
                <c:pt idx="61">
                  <c:v>7635</c:v>
                </c:pt>
                <c:pt idx="62">
                  <c:v>7635</c:v>
                </c:pt>
                <c:pt idx="63">
                  <c:v>8785</c:v>
                </c:pt>
                <c:pt idx="64">
                  <c:v>8785</c:v>
                </c:pt>
                <c:pt idx="65">
                  <c:v>8785</c:v>
                </c:pt>
                <c:pt idx="66">
                  <c:v>8785</c:v>
                </c:pt>
                <c:pt idx="67">
                  <c:v>8805</c:v>
                </c:pt>
                <c:pt idx="68">
                  <c:v>8805</c:v>
                </c:pt>
                <c:pt idx="69">
                  <c:v>-1231</c:v>
                </c:pt>
                <c:pt idx="70">
                  <c:v>2219</c:v>
                </c:pt>
                <c:pt idx="71">
                  <c:v>3369</c:v>
                </c:pt>
                <c:pt idx="72">
                  <c:v>3369</c:v>
                </c:pt>
                <c:pt idx="73">
                  <c:v>5769</c:v>
                </c:pt>
                <c:pt idx="74">
                  <c:v>6919</c:v>
                </c:pt>
                <c:pt idx="75">
                  <c:v>6919</c:v>
                </c:pt>
                <c:pt idx="76">
                  <c:v>6919</c:v>
                </c:pt>
                <c:pt idx="77">
                  <c:v>7149</c:v>
                </c:pt>
                <c:pt idx="78">
                  <c:v>7149</c:v>
                </c:pt>
                <c:pt idx="79">
                  <c:v>7149</c:v>
                </c:pt>
                <c:pt idx="80">
                  <c:v>7839</c:v>
                </c:pt>
                <c:pt idx="81">
                  <c:v>7839</c:v>
                </c:pt>
                <c:pt idx="82">
                  <c:v>7839</c:v>
                </c:pt>
                <c:pt idx="83">
                  <c:v>-33</c:v>
                </c:pt>
                <c:pt idx="84">
                  <c:v>1117</c:v>
                </c:pt>
                <c:pt idx="85">
                  <c:v>1117</c:v>
                </c:pt>
                <c:pt idx="86">
                  <c:v>1117</c:v>
                </c:pt>
                <c:pt idx="87">
                  <c:v>1117</c:v>
                </c:pt>
                <c:pt idx="88">
                  <c:v>1117</c:v>
                </c:pt>
                <c:pt idx="89">
                  <c:v>1117</c:v>
                </c:pt>
                <c:pt idx="90">
                  <c:v>2497</c:v>
                </c:pt>
                <c:pt idx="91">
                  <c:v>3187</c:v>
                </c:pt>
                <c:pt idx="92">
                  <c:v>3187</c:v>
                </c:pt>
                <c:pt idx="93">
                  <c:v>3187</c:v>
                </c:pt>
                <c:pt idx="94">
                  <c:v>3187</c:v>
                </c:pt>
                <c:pt idx="95">
                  <c:v>3187</c:v>
                </c:pt>
                <c:pt idx="96">
                  <c:v>3187</c:v>
                </c:pt>
                <c:pt idx="97">
                  <c:v>3187</c:v>
                </c:pt>
                <c:pt idx="98">
                  <c:v>3187</c:v>
                </c:pt>
                <c:pt idx="99">
                  <c:v>3187</c:v>
                </c:pt>
                <c:pt idx="100">
                  <c:v>4337</c:v>
                </c:pt>
                <c:pt idx="101">
                  <c:v>4337</c:v>
                </c:pt>
                <c:pt idx="102">
                  <c:v>4337</c:v>
                </c:pt>
                <c:pt idx="103">
                  <c:v>4337</c:v>
                </c:pt>
                <c:pt idx="104">
                  <c:v>4337</c:v>
                </c:pt>
                <c:pt idx="105">
                  <c:v>4377</c:v>
                </c:pt>
                <c:pt idx="106">
                  <c:v>4377</c:v>
                </c:pt>
                <c:pt idx="107">
                  <c:v>5527</c:v>
                </c:pt>
                <c:pt idx="108">
                  <c:v>5527</c:v>
                </c:pt>
                <c:pt idx="109">
                  <c:v>5527</c:v>
                </c:pt>
                <c:pt idx="110">
                  <c:v>5527</c:v>
                </c:pt>
                <c:pt idx="111">
                  <c:v>5527</c:v>
                </c:pt>
                <c:pt idx="112">
                  <c:v>5527</c:v>
                </c:pt>
                <c:pt idx="113">
                  <c:v>6217</c:v>
                </c:pt>
                <c:pt idx="114">
                  <c:v>7367</c:v>
                </c:pt>
                <c:pt idx="115">
                  <c:v>8517</c:v>
                </c:pt>
                <c:pt idx="116">
                  <c:v>8517</c:v>
                </c:pt>
                <c:pt idx="117">
                  <c:v>8517</c:v>
                </c:pt>
                <c:pt idx="118">
                  <c:v>8517</c:v>
                </c:pt>
                <c:pt idx="119">
                  <c:v>8517</c:v>
                </c:pt>
                <c:pt idx="120">
                  <c:v>9207</c:v>
                </c:pt>
                <c:pt idx="121">
                  <c:v>9207</c:v>
                </c:pt>
                <c:pt idx="122">
                  <c:v>9207</c:v>
                </c:pt>
                <c:pt idx="123">
                  <c:v>10357</c:v>
                </c:pt>
                <c:pt idx="124">
                  <c:v>11507</c:v>
                </c:pt>
                <c:pt idx="125">
                  <c:v>11507</c:v>
                </c:pt>
                <c:pt idx="126">
                  <c:v>11507</c:v>
                </c:pt>
                <c:pt idx="127">
                  <c:v>11507</c:v>
                </c:pt>
                <c:pt idx="128">
                  <c:v>11507</c:v>
                </c:pt>
                <c:pt idx="129">
                  <c:v>11607</c:v>
                </c:pt>
                <c:pt idx="130">
                  <c:v>12297</c:v>
                </c:pt>
                <c:pt idx="131">
                  <c:v>12297</c:v>
                </c:pt>
                <c:pt idx="132">
                  <c:v>12527</c:v>
                </c:pt>
                <c:pt idx="133">
                  <c:v>1330</c:v>
                </c:pt>
                <c:pt idx="134">
                  <c:v>2480</c:v>
                </c:pt>
                <c:pt idx="135">
                  <c:v>2480</c:v>
                </c:pt>
                <c:pt idx="136">
                  <c:v>2480</c:v>
                </c:pt>
                <c:pt idx="137">
                  <c:v>2710</c:v>
                </c:pt>
                <c:pt idx="138">
                  <c:v>2710</c:v>
                </c:pt>
                <c:pt idx="139">
                  <c:v>2710</c:v>
                </c:pt>
                <c:pt idx="140">
                  <c:v>3400</c:v>
                </c:pt>
                <c:pt idx="141">
                  <c:v>3400</c:v>
                </c:pt>
                <c:pt idx="142">
                  <c:v>3400</c:v>
                </c:pt>
                <c:pt idx="143">
                  <c:v>4550</c:v>
                </c:pt>
                <c:pt idx="144">
                  <c:v>4550</c:v>
                </c:pt>
                <c:pt idx="145">
                  <c:v>4550</c:v>
                </c:pt>
                <c:pt idx="146">
                  <c:v>4550</c:v>
                </c:pt>
                <c:pt idx="147">
                  <c:v>4550</c:v>
                </c:pt>
                <c:pt idx="148">
                  <c:v>4550</c:v>
                </c:pt>
                <c:pt idx="149">
                  <c:v>4550</c:v>
                </c:pt>
                <c:pt idx="150">
                  <c:v>4550</c:v>
                </c:pt>
                <c:pt idx="151">
                  <c:v>4550</c:v>
                </c:pt>
                <c:pt idx="152">
                  <c:v>4630</c:v>
                </c:pt>
                <c:pt idx="153">
                  <c:v>4630</c:v>
                </c:pt>
                <c:pt idx="154">
                  <c:v>5780</c:v>
                </c:pt>
                <c:pt idx="155">
                  <c:v>6470</c:v>
                </c:pt>
                <c:pt idx="156">
                  <c:v>6470</c:v>
                </c:pt>
                <c:pt idx="157">
                  <c:v>6470</c:v>
                </c:pt>
                <c:pt idx="158">
                  <c:v>6470</c:v>
                </c:pt>
                <c:pt idx="159">
                  <c:v>6470</c:v>
                </c:pt>
                <c:pt idx="160">
                  <c:v>6470</c:v>
                </c:pt>
                <c:pt idx="161">
                  <c:v>7620</c:v>
                </c:pt>
                <c:pt idx="162">
                  <c:v>7850</c:v>
                </c:pt>
                <c:pt idx="163">
                  <c:v>7860</c:v>
                </c:pt>
                <c:pt idx="164">
                  <c:v>7860</c:v>
                </c:pt>
                <c:pt idx="165">
                  <c:v>7860</c:v>
                </c:pt>
                <c:pt idx="166">
                  <c:v>8550</c:v>
                </c:pt>
                <c:pt idx="167">
                  <c:v>8550</c:v>
                </c:pt>
                <c:pt idx="168">
                  <c:v>9000</c:v>
                </c:pt>
                <c:pt idx="169">
                  <c:v>10150</c:v>
                </c:pt>
                <c:pt idx="170">
                  <c:v>13600</c:v>
                </c:pt>
                <c:pt idx="171">
                  <c:v>13600</c:v>
                </c:pt>
                <c:pt idx="172">
                  <c:v>13600</c:v>
                </c:pt>
                <c:pt idx="173">
                  <c:v>14750</c:v>
                </c:pt>
                <c:pt idx="174">
                  <c:v>14750</c:v>
                </c:pt>
                <c:pt idx="175">
                  <c:v>-327</c:v>
                </c:pt>
                <c:pt idx="176">
                  <c:v>1973</c:v>
                </c:pt>
                <c:pt idx="177">
                  <c:v>2663</c:v>
                </c:pt>
                <c:pt idx="178">
                  <c:v>2663</c:v>
                </c:pt>
                <c:pt idx="179">
                  <c:v>3813</c:v>
                </c:pt>
                <c:pt idx="180">
                  <c:v>4963</c:v>
                </c:pt>
                <c:pt idx="181">
                  <c:v>4963</c:v>
                </c:pt>
                <c:pt idx="182">
                  <c:v>4963</c:v>
                </c:pt>
                <c:pt idx="183">
                  <c:v>5063</c:v>
                </c:pt>
                <c:pt idx="184">
                  <c:v>5063</c:v>
                </c:pt>
                <c:pt idx="185">
                  <c:v>6213</c:v>
                </c:pt>
                <c:pt idx="186">
                  <c:v>6213</c:v>
                </c:pt>
                <c:pt idx="187">
                  <c:v>6213</c:v>
                </c:pt>
                <c:pt idx="188">
                  <c:v>6213</c:v>
                </c:pt>
                <c:pt idx="189">
                  <c:v>6213</c:v>
                </c:pt>
                <c:pt idx="190">
                  <c:v>8053</c:v>
                </c:pt>
                <c:pt idx="191">
                  <c:v>8053</c:v>
                </c:pt>
                <c:pt idx="192">
                  <c:v>8053</c:v>
                </c:pt>
                <c:pt idx="193">
                  <c:v>8053</c:v>
                </c:pt>
                <c:pt idx="194">
                  <c:v>8053</c:v>
                </c:pt>
                <c:pt idx="195">
                  <c:v>8053</c:v>
                </c:pt>
                <c:pt idx="196">
                  <c:v>8053</c:v>
                </c:pt>
                <c:pt idx="197">
                  <c:v>8513</c:v>
                </c:pt>
                <c:pt idx="198">
                  <c:v>9663</c:v>
                </c:pt>
                <c:pt idx="199">
                  <c:v>10813</c:v>
                </c:pt>
                <c:pt idx="200">
                  <c:v>10813</c:v>
                </c:pt>
                <c:pt idx="201">
                  <c:v>10813</c:v>
                </c:pt>
                <c:pt idx="202">
                  <c:v>11043</c:v>
                </c:pt>
                <c:pt idx="203">
                  <c:v>11043</c:v>
                </c:pt>
                <c:pt idx="204">
                  <c:v>11043</c:v>
                </c:pt>
                <c:pt idx="205">
                  <c:v>360</c:v>
                </c:pt>
                <c:pt idx="206">
                  <c:v>590</c:v>
                </c:pt>
                <c:pt idx="207">
                  <c:v>590</c:v>
                </c:pt>
                <c:pt idx="208">
                  <c:v>1740</c:v>
                </c:pt>
                <c:pt idx="209">
                  <c:v>1740</c:v>
                </c:pt>
                <c:pt idx="210">
                  <c:v>1970</c:v>
                </c:pt>
                <c:pt idx="211">
                  <c:v>1970</c:v>
                </c:pt>
                <c:pt idx="212">
                  <c:v>1970</c:v>
                </c:pt>
                <c:pt idx="213">
                  <c:v>1970</c:v>
                </c:pt>
                <c:pt idx="214">
                  <c:v>1970</c:v>
                </c:pt>
                <c:pt idx="215">
                  <c:v>1970</c:v>
                </c:pt>
                <c:pt idx="216">
                  <c:v>1970</c:v>
                </c:pt>
                <c:pt idx="217">
                  <c:v>1970</c:v>
                </c:pt>
                <c:pt idx="218">
                  <c:v>1970</c:v>
                </c:pt>
                <c:pt idx="219">
                  <c:v>1970</c:v>
                </c:pt>
                <c:pt idx="220">
                  <c:v>3120</c:v>
                </c:pt>
                <c:pt idx="221">
                  <c:v>3580</c:v>
                </c:pt>
                <c:pt idx="222">
                  <c:v>3580</c:v>
                </c:pt>
                <c:pt idx="223">
                  <c:v>3580</c:v>
                </c:pt>
                <c:pt idx="224">
                  <c:v>4730</c:v>
                </c:pt>
                <c:pt idx="225">
                  <c:v>4730</c:v>
                </c:pt>
                <c:pt idx="226">
                  <c:v>4730</c:v>
                </c:pt>
                <c:pt idx="227">
                  <c:v>4730</c:v>
                </c:pt>
                <c:pt idx="228">
                  <c:v>4730</c:v>
                </c:pt>
                <c:pt idx="229">
                  <c:v>4730</c:v>
                </c:pt>
                <c:pt idx="230">
                  <c:v>4730</c:v>
                </c:pt>
                <c:pt idx="231">
                  <c:v>5190</c:v>
                </c:pt>
                <c:pt idx="232">
                  <c:v>5190</c:v>
                </c:pt>
                <c:pt idx="233">
                  <c:v>6340</c:v>
                </c:pt>
                <c:pt idx="234">
                  <c:v>6340</c:v>
                </c:pt>
                <c:pt idx="235">
                  <c:v>6340</c:v>
                </c:pt>
                <c:pt idx="236">
                  <c:v>6340</c:v>
                </c:pt>
                <c:pt idx="237">
                  <c:v>6340</c:v>
                </c:pt>
                <c:pt idx="238">
                  <c:v>6340</c:v>
                </c:pt>
                <c:pt idx="239">
                  <c:v>7490</c:v>
                </c:pt>
                <c:pt idx="240">
                  <c:v>7950</c:v>
                </c:pt>
                <c:pt idx="241">
                  <c:v>7950</c:v>
                </c:pt>
                <c:pt idx="242">
                  <c:v>7950</c:v>
                </c:pt>
                <c:pt idx="243">
                  <c:v>7950</c:v>
                </c:pt>
                <c:pt idx="244">
                  <c:v>7950</c:v>
                </c:pt>
                <c:pt idx="245">
                  <c:v>9100</c:v>
                </c:pt>
                <c:pt idx="246">
                  <c:v>9100</c:v>
                </c:pt>
                <c:pt idx="247">
                  <c:v>9560</c:v>
                </c:pt>
                <c:pt idx="248">
                  <c:v>9560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Sim_Data!$B$1</c:f>
              <c:strCache>
                <c:ptCount val="1"/>
                <c:pt idx="0">
                  <c:v>Actual stock LY</c:v>
                </c:pt>
              </c:strCache>
            </c:strRef>
          </c:tx>
          <c:marker>
            <c:symbol val="none"/>
          </c:marker>
          <c:cat>
            <c:numRef>
              <c:f>Sim_Data!$A$236:$A$484</c:f>
              <c:numCache>
                <c:formatCode>m/d/yyyy</c:formatCode>
                <c:ptCount val="249"/>
                <c:pt idx="0">
                  <c:v>42440</c:v>
                </c:pt>
                <c:pt idx="1">
                  <c:v>41436</c:v>
                </c:pt>
                <c:pt idx="2">
                  <c:v>41435</c:v>
                </c:pt>
                <c:pt idx="3">
                  <c:v>41432</c:v>
                </c:pt>
                <c:pt idx="4">
                  <c:v>41431</c:v>
                </c:pt>
                <c:pt idx="5">
                  <c:v>41430</c:v>
                </c:pt>
                <c:pt idx="6">
                  <c:v>41429</c:v>
                </c:pt>
                <c:pt idx="7">
                  <c:v>41428</c:v>
                </c:pt>
                <c:pt idx="8">
                  <c:v>41425</c:v>
                </c:pt>
                <c:pt idx="9">
                  <c:v>41424</c:v>
                </c:pt>
                <c:pt idx="10">
                  <c:v>41423</c:v>
                </c:pt>
                <c:pt idx="11">
                  <c:v>41422</c:v>
                </c:pt>
                <c:pt idx="12">
                  <c:v>41421</c:v>
                </c:pt>
                <c:pt idx="13">
                  <c:v>41418</c:v>
                </c:pt>
                <c:pt idx="14">
                  <c:v>41417</c:v>
                </c:pt>
                <c:pt idx="15">
                  <c:v>41416</c:v>
                </c:pt>
                <c:pt idx="16">
                  <c:v>41415</c:v>
                </c:pt>
                <c:pt idx="17">
                  <c:v>41410</c:v>
                </c:pt>
                <c:pt idx="18">
                  <c:v>41409</c:v>
                </c:pt>
                <c:pt idx="19">
                  <c:v>41408</c:v>
                </c:pt>
                <c:pt idx="20">
                  <c:v>41407</c:v>
                </c:pt>
                <c:pt idx="21">
                  <c:v>41404</c:v>
                </c:pt>
                <c:pt idx="22">
                  <c:v>41402</c:v>
                </c:pt>
                <c:pt idx="23">
                  <c:v>41401</c:v>
                </c:pt>
                <c:pt idx="24">
                  <c:v>41400</c:v>
                </c:pt>
                <c:pt idx="25">
                  <c:v>41397</c:v>
                </c:pt>
                <c:pt idx="26">
                  <c:v>41396</c:v>
                </c:pt>
                <c:pt idx="27">
                  <c:v>41394</c:v>
                </c:pt>
                <c:pt idx="28">
                  <c:v>41393</c:v>
                </c:pt>
                <c:pt idx="29">
                  <c:v>41390</c:v>
                </c:pt>
                <c:pt idx="30">
                  <c:v>41389</c:v>
                </c:pt>
                <c:pt idx="31">
                  <c:v>41388</c:v>
                </c:pt>
                <c:pt idx="32">
                  <c:v>41387</c:v>
                </c:pt>
                <c:pt idx="33">
                  <c:v>41386</c:v>
                </c:pt>
                <c:pt idx="34">
                  <c:v>41383</c:v>
                </c:pt>
                <c:pt idx="35">
                  <c:v>41382</c:v>
                </c:pt>
                <c:pt idx="36">
                  <c:v>41381</c:v>
                </c:pt>
                <c:pt idx="37">
                  <c:v>41380</c:v>
                </c:pt>
                <c:pt idx="38">
                  <c:v>41379</c:v>
                </c:pt>
                <c:pt idx="39">
                  <c:v>41376</c:v>
                </c:pt>
                <c:pt idx="40">
                  <c:v>41375</c:v>
                </c:pt>
                <c:pt idx="41">
                  <c:v>41374</c:v>
                </c:pt>
                <c:pt idx="42">
                  <c:v>41373</c:v>
                </c:pt>
                <c:pt idx="43">
                  <c:v>41372</c:v>
                </c:pt>
                <c:pt idx="44">
                  <c:v>41369</c:v>
                </c:pt>
                <c:pt idx="45">
                  <c:v>41368</c:v>
                </c:pt>
                <c:pt idx="46">
                  <c:v>41367</c:v>
                </c:pt>
                <c:pt idx="47">
                  <c:v>41366</c:v>
                </c:pt>
                <c:pt idx="48">
                  <c:v>41360</c:v>
                </c:pt>
                <c:pt idx="49">
                  <c:v>41359</c:v>
                </c:pt>
                <c:pt idx="50">
                  <c:v>41358</c:v>
                </c:pt>
                <c:pt idx="51">
                  <c:v>41355</c:v>
                </c:pt>
                <c:pt idx="52">
                  <c:v>41354</c:v>
                </c:pt>
                <c:pt idx="53">
                  <c:v>41353</c:v>
                </c:pt>
                <c:pt idx="54">
                  <c:v>41352</c:v>
                </c:pt>
                <c:pt idx="55">
                  <c:v>41351</c:v>
                </c:pt>
                <c:pt idx="56">
                  <c:v>41348</c:v>
                </c:pt>
                <c:pt idx="57">
                  <c:v>41347</c:v>
                </c:pt>
                <c:pt idx="58">
                  <c:v>41346</c:v>
                </c:pt>
                <c:pt idx="59">
                  <c:v>41345</c:v>
                </c:pt>
                <c:pt idx="60">
                  <c:v>41344</c:v>
                </c:pt>
                <c:pt idx="61">
                  <c:v>41341</c:v>
                </c:pt>
                <c:pt idx="62">
                  <c:v>41340</c:v>
                </c:pt>
                <c:pt idx="63">
                  <c:v>41339</c:v>
                </c:pt>
                <c:pt idx="64">
                  <c:v>41338</c:v>
                </c:pt>
                <c:pt idx="65">
                  <c:v>41337</c:v>
                </c:pt>
                <c:pt idx="66">
                  <c:v>41334</c:v>
                </c:pt>
                <c:pt idx="67">
                  <c:v>41333</c:v>
                </c:pt>
                <c:pt idx="68">
                  <c:v>41332</c:v>
                </c:pt>
                <c:pt idx="69">
                  <c:v>41331</c:v>
                </c:pt>
                <c:pt idx="70">
                  <c:v>41330</c:v>
                </c:pt>
                <c:pt idx="71">
                  <c:v>41327</c:v>
                </c:pt>
                <c:pt idx="72">
                  <c:v>41326</c:v>
                </c:pt>
                <c:pt idx="73">
                  <c:v>41325</c:v>
                </c:pt>
                <c:pt idx="74">
                  <c:v>41324</c:v>
                </c:pt>
                <c:pt idx="75">
                  <c:v>41323</c:v>
                </c:pt>
                <c:pt idx="76">
                  <c:v>41320</c:v>
                </c:pt>
                <c:pt idx="77">
                  <c:v>41319</c:v>
                </c:pt>
                <c:pt idx="78">
                  <c:v>41318</c:v>
                </c:pt>
                <c:pt idx="79">
                  <c:v>41317</c:v>
                </c:pt>
                <c:pt idx="80">
                  <c:v>41316</c:v>
                </c:pt>
                <c:pt idx="81">
                  <c:v>41313</c:v>
                </c:pt>
                <c:pt idx="82">
                  <c:v>41312</c:v>
                </c:pt>
                <c:pt idx="83">
                  <c:v>41311</c:v>
                </c:pt>
                <c:pt idx="84">
                  <c:v>41310</c:v>
                </c:pt>
                <c:pt idx="85">
                  <c:v>41309</c:v>
                </c:pt>
                <c:pt idx="86">
                  <c:v>41306</c:v>
                </c:pt>
                <c:pt idx="87">
                  <c:v>41305</c:v>
                </c:pt>
                <c:pt idx="88">
                  <c:v>41304</c:v>
                </c:pt>
                <c:pt idx="89">
                  <c:v>41303</c:v>
                </c:pt>
                <c:pt idx="90">
                  <c:v>41302</c:v>
                </c:pt>
                <c:pt idx="91">
                  <c:v>41299</c:v>
                </c:pt>
                <c:pt idx="92">
                  <c:v>41298</c:v>
                </c:pt>
                <c:pt idx="93">
                  <c:v>41297</c:v>
                </c:pt>
                <c:pt idx="94">
                  <c:v>41296</c:v>
                </c:pt>
                <c:pt idx="95">
                  <c:v>41295</c:v>
                </c:pt>
                <c:pt idx="96">
                  <c:v>41292</c:v>
                </c:pt>
                <c:pt idx="97">
                  <c:v>41291</c:v>
                </c:pt>
                <c:pt idx="98">
                  <c:v>41290</c:v>
                </c:pt>
                <c:pt idx="99">
                  <c:v>41289</c:v>
                </c:pt>
                <c:pt idx="100">
                  <c:v>41288</c:v>
                </c:pt>
                <c:pt idx="101">
                  <c:v>41285</c:v>
                </c:pt>
                <c:pt idx="102">
                  <c:v>41284</c:v>
                </c:pt>
                <c:pt idx="103">
                  <c:v>41283</c:v>
                </c:pt>
                <c:pt idx="104">
                  <c:v>41282</c:v>
                </c:pt>
                <c:pt idx="105">
                  <c:v>41281</c:v>
                </c:pt>
                <c:pt idx="106">
                  <c:v>41278</c:v>
                </c:pt>
                <c:pt idx="107">
                  <c:v>41277</c:v>
                </c:pt>
                <c:pt idx="108">
                  <c:v>41276</c:v>
                </c:pt>
                <c:pt idx="109">
                  <c:v>41271</c:v>
                </c:pt>
                <c:pt idx="110">
                  <c:v>41270</c:v>
                </c:pt>
                <c:pt idx="111">
                  <c:v>41264</c:v>
                </c:pt>
                <c:pt idx="112">
                  <c:v>41263</c:v>
                </c:pt>
                <c:pt idx="113">
                  <c:v>41262</c:v>
                </c:pt>
                <c:pt idx="114">
                  <c:v>41261</c:v>
                </c:pt>
                <c:pt idx="115">
                  <c:v>41260</c:v>
                </c:pt>
                <c:pt idx="116">
                  <c:v>41257</c:v>
                </c:pt>
                <c:pt idx="117">
                  <c:v>41256</c:v>
                </c:pt>
                <c:pt idx="118">
                  <c:v>41255</c:v>
                </c:pt>
                <c:pt idx="119">
                  <c:v>41254</c:v>
                </c:pt>
                <c:pt idx="120">
                  <c:v>41253</c:v>
                </c:pt>
                <c:pt idx="121">
                  <c:v>41250</c:v>
                </c:pt>
                <c:pt idx="122">
                  <c:v>41249</c:v>
                </c:pt>
                <c:pt idx="123">
                  <c:v>41248</c:v>
                </c:pt>
                <c:pt idx="124">
                  <c:v>41247</c:v>
                </c:pt>
                <c:pt idx="125">
                  <c:v>41246</c:v>
                </c:pt>
                <c:pt idx="126">
                  <c:v>41243</c:v>
                </c:pt>
                <c:pt idx="127">
                  <c:v>41242</c:v>
                </c:pt>
                <c:pt idx="128">
                  <c:v>41241</c:v>
                </c:pt>
                <c:pt idx="129">
                  <c:v>41240</c:v>
                </c:pt>
                <c:pt idx="130">
                  <c:v>41239</c:v>
                </c:pt>
                <c:pt idx="131">
                  <c:v>41236</c:v>
                </c:pt>
                <c:pt idx="132">
                  <c:v>41235</c:v>
                </c:pt>
                <c:pt idx="133">
                  <c:v>41234</c:v>
                </c:pt>
                <c:pt idx="134">
                  <c:v>41233</c:v>
                </c:pt>
                <c:pt idx="135">
                  <c:v>41232</c:v>
                </c:pt>
                <c:pt idx="136">
                  <c:v>41229</c:v>
                </c:pt>
                <c:pt idx="137">
                  <c:v>41228</c:v>
                </c:pt>
                <c:pt idx="138">
                  <c:v>41227</c:v>
                </c:pt>
                <c:pt idx="139">
                  <c:v>41226</c:v>
                </c:pt>
                <c:pt idx="140">
                  <c:v>41225</c:v>
                </c:pt>
                <c:pt idx="141">
                  <c:v>41222</c:v>
                </c:pt>
                <c:pt idx="142">
                  <c:v>41221</c:v>
                </c:pt>
                <c:pt idx="143">
                  <c:v>41220</c:v>
                </c:pt>
                <c:pt idx="144">
                  <c:v>41219</c:v>
                </c:pt>
                <c:pt idx="145">
                  <c:v>41218</c:v>
                </c:pt>
                <c:pt idx="146">
                  <c:v>41215</c:v>
                </c:pt>
                <c:pt idx="147">
                  <c:v>41214</c:v>
                </c:pt>
                <c:pt idx="148">
                  <c:v>41213</c:v>
                </c:pt>
                <c:pt idx="149">
                  <c:v>41212</c:v>
                </c:pt>
                <c:pt idx="150">
                  <c:v>41211</c:v>
                </c:pt>
                <c:pt idx="151">
                  <c:v>41208</c:v>
                </c:pt>
                <c:pt idx="152">
                  <c:v>41207</c:v>
                </c:pt>
                <c:pt idx="153">
                  <c:v>41206</c:v>
                </c:pt>
                <c:pt idx="154">
                  <c:v>41205</c:v>
                </c:pt>
                <c:pt idx="155">
                  <c:v>41204</c:v>
                </c:pt>
                <c:pt idx="156">
                  <c:v>41201</c:v>
                </c:pt>
                <c:pt idx="157">
                  <c:v>41200</c:v>
                </c:pt>
                <c:pt idx="158">
                  <c:v>41199</c:v>
                </c:pt>
                <c:pt idx="159">
                  <c:v>41198</c:v>
                </c:pt>
                <c:pt idx="160">
                  <c:v>41197</c:v>
                </c:pt>
                <c:pt idx="161">
                  <c:v>41194</c:v>
                </c:pt>
                <c:pt idx="162">
                  <c:v>41193</c:v>
                </c:pt>
                <c:pt idx="163">
                  <c:v>41192</c:v>
                </c:pt>
                <c:pt idx="164">
                  <c:v>41191</c:v>
                </c:pt>
                <c:pt idx="165">
                  <c:v>41190</c:v>
                </c:pt>
                <c:pt idx="166">
                  <c:v>41187</c:v>
                </c:pt>
                <c:pt idx="167">
                  <c:v>41186</c:v>
                </c:pt>
                <c:pt idx="168">
                  <c:v>41185</c:v>
                </c:pt>
                <c:pt idx="169">
                  <c:v>41184</c:v>
                </c:pt>
                <c:pt idx="170">
                  <c:v>41183</c:v>
                </c:pt>
                <c:pt idx="171">
                  <c:v>41180</c:v>
                </c:pt>
                <c:pt idx="172">
                  <c:v>41179</c:v>
                </c:pt>
                <c:pt idx="173">
                  <c:v>41178</c:v>
                </c:pt>
                <c:pt idx="174">
                  <c:v>41177</c:v>
                </c:pt>
                <c:pt idx="175">
                  <c:v>41176</c:v>
                </c:pt>
                <c:pt idx="176">
                  <c:v>41173</c:v>
                </c:pt>
                <c:pt idx="177">
                  <c:v>41172</c:v>
                </c:pt>
                <c:pt idx="178">
                  <c:v>41171</c:v>
                </c:pt>
                <c:pt idx="179">
                  <c:v>41170</c:v>
                </c:pt>
                <c:pt idx="180">
                  <c:v>41169</c:v>
                </c:pt>
                <c:pt idx="181">
                  <c:v>41166</c:v>
                </c:pt>
                <c:pt idx="182">
                  <c:v>41165</c:v>
                </c:pt>
                <c:pt idx="183">
                  <c:v>41164</c:v>
                </c:pt>
                <c:pt idx="184">
                  <c:v>41163</c:v>
                </c:pt>
                <c:pt idx="185">
                  <c:v>41162</c:v>
                </c:pt>
                <c:pt idx="186">
                  <c:v>41159</c:v>
                </c:pt>
                <c:pt idx="187">
                  <c:v>41158</c:v>
                </c:pt>
                <c:pt idx="188">
                  <c:v>41157</c:v>
                </c:pt>
                <c:pt idx="189">
                  <c:v>41156</c:v>
                </c:pt>
                <c:pt idx="190">
                  <c:v>41155</c:v>
                </c:pt>
                <c:pt idx="191">
                  <c:v>41152</c:v>
                </c:pt>
                <c:pt idx="192">
                  <c:v>41151</c:v>
                </c:pt>
                <c:pt idx="193">
                  <c:v>41150</c:v>
                </c:pt>
                <c:pt idx="194">
                  <c:v>41149</c:v>
                </c:pt>
                <c:pt idx="195">
                  <c:v>41148</c:v>
                </c:pt>
                <c:pt idx="196">
                  <c:v>41145</c:v>
                </c:pt>
                <c:pt idx="197">
                  <c:v>41144</c:v>
                </c:pt>
                <c:pt idx="198">
                  <c:v>41143</c:v>
                </c:pt>
                <c:pt idx="199">
                  <c:v>41142</c:v>
                </c:pt>
                <c:pt idx="200">
                  <c:v>41141</c:v>
                </c:pt>
                <c:pt idx="201">
                  <c:v>41138</c:v>
                </c:pt>
                <c:pt idx="202">
                  <c:v>41137</c:v>
                </c:pt>
                <c:pt idx="203">
                  <c:v>41136</c:v>
                </c:pt>
                <c:pt idx="204">
                  <c:v>41135</c:v>
                </c:pt>
                <c:pt idx="205">
                  <c:v>41134</c:v>
                </c:pt>
                <c:pt idx="206">
                  <c:v>41131</c:v>
                </c:pt>
                <c:pt idx="207">
                  <c:v>41130</c:v>
                </c:pt>
                <c:pt idx="208">
                  <c:v>41129</c:v>
                </c:pt>
                <c:pt idx="209">
                  <c:v>41128</c:v>
                </c:pt>
                <c:pt idx="210">
                  <c:v>41127</c:v>
                </c:pt>
                <c:pt idx="211">
                  <c:v>41124</c:v>
                </c:pt>
                <c:pt idx="212">
                  <c:v>41123</c:v>
                </c:pt>
                <c:pt idx="213">
                  <c:v>41122</c:v>
                </c:pt>
                <c:pt idx="214">
                  <c:v>41121</c:v>
                </c:pt>
                <c:pt idx="215">
                  <c:v>41120</c:v>
                </c:pt>
                <c:pt idx="216">
                  <c:v>41117</c:v>
                </c:pt>
                <c:pt idx="217">
                  <c:v>41116</c:v>
                </c:pt>
                <c:pt idx="218">
                  <c:v>41115</c:v>
                </c:pt>
                <c:pt idx="219">
                  <c:v>41114</c:v>
                </c:pt>
                <c:pt idx="220">
                  <c:v>41113</c:v>
                </c:pt>
                <c:pt idx="221">
                  <c:v>41110</c:v>
                </c:pt>
                <c:pt idx="222">
                  <c:v>41109</c:v>
                </c:pt>
                <c:pt idx="223">
                  <c:v>41108</c:v>
                </c:pt>
                <c:pt idx="224">
                  <c:v>41107</c:v>
                </c:pt>
                <c:pt idx="225">
                  <c:v>41106</c:v>
                </c:pt>
                <c:pt idx="226">
                  <c:v>41103</c:v>
                </c:pt>
                <c:pt idx="227">
                  <c:v>41102</c:v>
                </c:pt>
                <c:pt idx="228">
                  <c:v>41101</c:v>
                </c:pt>
                <c:pt idx="229">
                  <c:v>41100</c:v>
                </c:pt>
                <c:pt idx="230">
                  <c:v>41099</c:v>
                </c:pt>
                <c:pt idx="231">
                  <c:v>41096</c:v>
                </c:pt>
                <c:pt idx="232">
                  <c:v>41095</c:v>
                </c:pt>
                <c:pt idx="233">
                  <c:v>41094</c:v>
                </c:pt>
                <c:pt idx="234">
                  <c:v>41093</c:v>
                </c:pt>
                <c:pt idx="235">
                  <c:v>41092</c:v>
                </c:pt>
                <c:pt idx="236">
                  <c:v>41089</c:v>
                </c:pt>
                <c:pt idx="237">
                  <c:v>41088</c:v>
                </c:pt>
                <c:pt idx="238">
                  <c:v>41087</c:v>
                </c:pt>
                <c:pt idx="239">
                  <c:v>41086</c:v>
                </c:pt>
                <c:pt idx="240">
                  <c:v>41085</c:v>
                </c:pt>
                <c:pt idx="241">
                  <c:v>41082</c:v>
                </c:pt>
                <c:pt idx="242">
                  <c:v>41081</c:v>
                </c:pt>
                <c:pt idx="243">
                  <c:v>41080</c:v>
                </c:pt>
                <c:pt idx="244">
                  <c:v>41079</c:v>
                </c:pt>
                <c:pt idx="245">
                  <c:v>41078</c:v>
                </c:pt>
                <c:pt idx="246">
                  <c:v>41075</c:v>
                </c:pt>
                <c:pt idx="247">
                  <c:v>41074</c:v>
                </c:pt>
                <c:pt idx="248">
                  <c:v>41073</c:v>
                </c:pt>
              </c:numCache>
            </c:numRef>
          </c:cat>
          <c:val>
            <c:numRef>
              <c:f>Sim_Data!$B$236:$B$484</c:f>
              <c:numCache>
                <c:formatCode>#,##0_);[Red]\(#,##0\)</c:formatCode>
                <c:ptCount val="249"/>
                <c:pt idx="0">
                  <c:v>5530</c:v>
                </c:pt>
                <c:pt idx="1">
                  <c:v>5530</c:v>
                </c:pt>
                <c:pt idx="2">
                  <c:v>6680</c:v>
                </c:pt>
                <c:pt idx="3">
                  <c:v>6680</c:v>
                </c:pt>
                <c:pt idx="4">
                  <c:v>6680</c:v>
                </c:pt>
                <c:pt idx="5">
                  <c:v>6680</c:v>
                </c:pt>
                <c:pt idx="6">
                  <c:v>6680</c:v>
                </c:pt>
                <c:pt idx="7">
                  <c:v>6680</c:v>
                </c:pt>
                <c:pt idx="8">
                  <c:v>7370</c:v>
                </c:pt>
                <c:pt idx="9">
                  <c:v>7370</c:v>
                </c:pt>
                <c:pt idx="10">
                  <c:v>7370</c:v>
                </c:pt>
                <c:pt idx="11">
                  <c:v>7370</c:v>
                </c:pt>
                <c:pt idx="12">
                  <c:v>7370</c:v>
                </c:pt>
                <c:pt idx="13">
                  <c:v>7370</c:v>
                </c:pt>
                <c:pt idx="14">
                  <c:v>7370</c:v>
                </c:pt>
                <c:pt idx="15">
                  <c:v>7370</c:v>
                </c:pt>
                <c:pt idx="16">
                  <c:v>7370</c:v>
                </c:pt>
                <c:pt idx="17">
                  <c:v>7370</c:v>
                </c:pt>
                <c:pt idx="18">
                  <c:v>8520</c:v>
                </c:pt>
                <c:pt idx="19">
                  <c:v>9670</c:v>
                </c:pt>
                <c:pt idx="20">
                  <c:v>9670</c:v>
                </c:pt>
                <c:pt idx="21">
                  <c:v>9670</c:v>
                </c:pt>
                <c:pt idx="22">
                  <c:v>9900</c:v>
                </c:pt>
                <c:pt idx="23">
                  <c:v>9900</c:v>
                </c:pt>
                <c:pt idx="24">
                  <c:v>9900</c:v>
                </c:pt>
                <c:pt idx="25">
                  <c:v>9900</c:v>
                </c:pt>
                <c:pt idx="26">
                  <c:v>9900</c:v>
                </c:pt>
                <c:pt idx="27">
                  <c:v>9900</c:v>
                </c:pt>
                <c:pt idx="28">
                  <c:v>9900</c:v>
                </c:pt>
                <c:pt idx="29">
                  <c:v>11740</c:v>
                </c:pt>
                <c:pt idx="30">
                  <c:v>11780</c:v>
                </c:pt>
                <c:pt idx="31">
                  <c:v>11780</c:v>
                </c:pt>
                <c:pt idx="32">
                  <c:v>11780</c:v>
                </c:pt>
                <c:pt idx="33">
                  <c:v>11780</c:v>
                </c:pt>
                <c:pt idx="34">
                  <c:v>11780</c:v>
                </c:pt>
                <c:pt idx="35">
                  <c:v>11780</c:v>
                </c:pt>
                <c:pt idx="36">
                  <c:v>11780</c:v>
                </c:pt>
                <c:pt idx="37">
                  <c:v>12930</c:v>
                </c:pt>
                <c:pt idx="38">
                  <c:v>12930</c:v>
                </c:pt>
                <c:pt idx="39">
                  <c:v>12930</c:v>
                </c:pt>
                <c:pt idx="40">
                  <c:v>12940</c:v>
                </c:pt>
                <c:pt idx="41">
                  <c:v>12940</c:v>
                </c:pt>
                <c:pt idx="42">
                  <c:v>12940</c:v>
                </c:pt>
                <c:pt idx="43">
                  <c:v>14090</c:v>
                </c:pt>
                <c:pt idx="44">
                  <c:v>14090</c:v>
                </c:pt>
                <c:pt idx="45">
                  <c:v>14090</c:v>
                </c:pt>
                <c:pt idx="46">
                  <c:v>14090</c:v>
                </c:pt>
                <c:pt idx="47">
                  <c:v>14090</c:v>
                </c:pt>
                <c:pt idx="48">
                  <c:v>14090</c:v>
                </c:pt>
                <c:pt idx="49">
                  <c:v>14090</c:v>
                </c:pt>
                <c:pt idx="50">
                  <c:v>14090</c:v>
                </c:pt>
                <c:pt idx="51">
                  <c:v>15240</c:v>
                </c:pt>
                <c:pt idx="52">
                  <c:v>15470</c:v>
                </c:pt>
                <c:pt idx="53">
                  <c:v>15470</c:v>
                </c:pt>
                <c:pt idx="54">
                  <c:v>16620</c:v>
                </c:pt>
                <c:pt idx="55">
                  <c:v>16620</c:v>
                </c:pt>
                <c:pt idx="56">
                  <c:v>16620</c:v>
                </c:pt>
                <c:pt idx="57">
                  <c:v>16620</c:v>
                </c:pt>
                <c:pt idx="58">
                  <c:v>16620</c:v>
                </c:pt>
                <c:pt idx="59">
                  <c:v>16620</c:v>
                </c:pt>
                <c:pt idx="60">
                  <c:v>3560</c:v>
                </c:pt>
                <c:pt idx="61">
                  <c:v>3560</c:v>
                </c:pt>
                <c:pt idx="62">
                  <c:v>3560</c:v>
                </c:pt>
                <c:pt idx="63">
                  <c:v>4710</c:v>
                </c:pt>
                <c:pt idx="64">
                  <c:v>4710</c:v>
                </c:pt>
                <c:pt idx="65">
                  <c:v>4710</c:v>
                </c:pt>
                <c:pt idx="66">
                  <c:v>4710</c:v>
                </c:pt>
                <c:pt idx="67">
                  <c:v>4730</c:v>
                </c:pt>
                <c:pt idx="68">
                  <c:v>4730</c:v>
                </c:pt>
                <c:pt idx="69">
                  <c:v>4960</c:v>
                </c:pt>
                <c:pt idx="70">
                  <c:v>8410</c:v>
                </c:pt>
                <c:pt idx="71">
                  <c:v>9560</c:v>
                </c:pt>
                <c:pt idx="72">
                  <c:v>9560</c:v>
                </c:pt>
                <c:pt idx="73">
                  <c:v>11960</c:v>
                </c:pt>
                <c:pt idx="74">
                  <c:v>13110</c:v>
                </c:pt>
                <c:pt idx="75">
                  <c:v>13110</c:v>
                </c:pt>
                <c:pt idx="76">
                  <c:v>13110</c:v>
                </c:pt>
                <c:pt idx="77">
                  <c:v>13340</c:v>
                </c:pt>
                <c:pt idx="78">
                  <c:v>13340</c:v>
                </c:pt>
                <c:pt idx="79">
                  <c:v>13340</c:v>
                </c:pt>
                <c:pt idx="80">
                  <c:v>14030</c:v>
                </c:pt>
                <c:pt idx="81">
                  <c:v>14030</c:v>
                </c:pt>
                <c:pt idx="82">
                  <c:v>14030</c:v>
                </c:pt>
                <c:pt idx="83">
                  <c:v>15180</c:v>
                </c:pt>
                <c:pt idx="84">
                  <c:v>16330</c:v>
                </c:pt>
                <c:pt idx="85">
                  <c:v>16330</c:v>
                </c:pt>
                <c:pt idx="86">
                  <c:v>16330</c:v>
                </c:pt>
                <c:pt idx="87">
                  <c:v>16330</c:v>
                </c:pt>
                <c:pt idx="88">
                  <c:v>16330</c:v>
                </c:pt>
                <c:pt idx="89">
                  <c:v>16330</c:v>
                </c:pt>
                <c:pt idx="90">
                  <c:v>17710</c:v>
                </c:pt>
                <c:pt idx="91">
                  <c:v>18400</c:v>
                </c:pt>
                <c:pt idx="92">
                  <c:v>18400</c:v>
                </c:pt>
                <c:pt idx="93">
                  <c:v>18400</c:v>
                </c:pt>
                <c:pt idx="94">
                  <c:v>18400</c:v>
                </c:pt>
                <c:pt idx="95">
                  <c:v>18400</c:v>
                </c:pt>
                <c:pt idx="96">
                  <c:v>18400</c:v>
                </c:pt>
                <c:pt idx="97">
                  <c:v>18400</c:v>
                </c:pt>
                <c:pt idx="98">
                  <c:v>18400</c:v>
                </c:pt>
                <c:pt idx="99">
                  <c:v>18400</c:v>
                </c:pt>
                <c:pt idx="100">
                  <c:v>19550</c:v>
                </c:pt>
                <c:pt idx="101">
                  <c:v>19550</c:v>
                </c:pt>
                <c:pt idx="102">
                  <c:v>19550</c:v>
                </c:pt>
                <c:pt idx="103">
                  <c:v>19550</c:v>
                </c:pt>
                <c:pt idx="104">
                  <c:v>5950</c:v>
                </c:pt>
                <c:pt idx="105">
                  <c:v>1620</c:v>
                </c:pt>
                <c:pt idx="106">
                  <c:v>1620</c:v>
                </c:pt>
                <c:pt idx="107">
                  <c:v>2770</c:v>
                </c:pt>
                <c:pt idx="108">
                  <c:v>2770</c:v>
                </c:pt>
                <c:pt idx="109">
                  <c:v>2770</c:v>
                </c:pt>
                <c:pt idx="110">
                  <c:v>2770</c:v>
                </c:pt>
                <c:pt idx="111">
                  <c:v>2770</c:v>
                </c:pt>
                <c:pt idx="112">
                  <c:v>2770</c:v>
                </c:pt>
                <c:pt idx="113">
                  <c:v>3460</c:v>
                </c:pt>
                <c:pt idx="114">
                  <c:v>4610</c:v>
                </c:pt>
                <c:pt idx="115">
                  <c:v>5760</c:v>
                </c:pt>
                <c:pt idx="116">
                  <c:v>5760</c:v>
                </c:pt>
                <c:pt idx="117">
                  <c:v>5760</c:v>
                </c:pt>
                <c:pt idx="118">
                  <c:v>5760</c:v>
                </c:pt>
                <c:pt idx="119">
                  <c:v>5760</c:v>
                </c:pt>
                <c:pt idx="120">
                  <c:v>6450</c:v>
                </c:pt>
                <c:pt idx="121">
                  <c:v>6450</c:v>
                </c:pt>
                <c:pt idx="122">
                  <c:v>6450</c:v>
                </c:pt>
                <c:pt idx="123">
                  <c:v>7600</c:v>
                </c:pt>
                <c:pt idx="124">
                  <c:v>8750</c:v>
                </c:pt>
                <c:pt idx="125">
                  <c:v>8750</c:v>
                </c:pt>
                <c:pt idx="126">
                  <c:v>8750</c:v>
                </c:pt>
                <c:pt idx="127">
                  <c:v>8750</c:v>
                </c:pt>
                <c:pt idx="128">
                  <c:v>8750</c:v>
                </c:pt>
                <c:pt idx="129">
                  <c:v>8850</c:v>
                </c:pt>
                <c:pt idx="130">
                  <c:v>9540</c:v>
                </c:pt>
                <c:pt idx="131">
                  <c:v>9540</c:v>
                </c:pt>
                <c:pt idx="132">
                  <c:v>9770</c:v>
                </c:pt>
                <c:pt idx="133">
                  <c:v>9790</c:v>
                </c:pt>
                <c:pt idx="134">
                  <c:v>10940</c:v>
                </c:pt>
                <c:pt idx="135">
                  <c:v>10940</c:v>
                </c:pt>
                <c:pt idx="136">
                  <c:v>10940</c:v>
                </c:pt>
                <c:pt idx="137">
                  <c:v>11170</c:v>
                </c:pt>
                <c:pt idx="138">
                  <c:v>11170</c:v>
                </c:pt>
                <c:pt idx="139">
                  <c:v>11170</c:v>
                </c:pt>
                <c:pt idx="140">
                  <c:v>11860</c:v>
                </c:pt>
                <c:pt idx="141">
                  <c:v>11860</c:v>
                </c:pt>
                <c:pt idx="142">
                  <c:v>11860</c:v>
                </c:pt>
                <c:pt idx="143">
                  <c:v>13010</c:v>
                </c:pt>
                <c:pt idx="144">
                  <c:v>13010</c:v>
                </c:pt>
                <c:pt idx="145">
                  <c:v>13010</c:v>
                </c:pt>
                <c:pt idx="146">
                  <c:v>13010</c:v>
                </c:pt>
                <c:pt idx="147">
                  <c:v>13010</c:v>
                </c:pt>
                <c:pt idx="148">
                  <c:v>13010</c:v>
                </c:pt>
                <c:pt idx="149">
                  <c:v>13010</c:v>
                </c:pt>
                <c:pt idx="150">
                  <c:v>13010</c:v>
                </c:pt>
                <c:pt idx="151">
                  <c:v>13010</c:v>
                </c:pt>
                <c:pt idx="152">
                  <c:v>13090</c:v>
                </c:pt>
                <c:pt idx="153">
                  <c:v>13090</c:v>
                </c:pt>
                <c:pt idx="154">
                  <c:v>14240</c:v>
                </c:pt>
                <c:pt idx="155">
                  <c:v>14930</c:v>
                </c:pt>
                <c:pt idx="156">
                  <c:v>14930</c:v>
                </c:pt>
                <c:pt idx="157">
                  <c:v>14930</c:v>
                </c:pt>
                <c:pt idx="158">
                  <c:v>14930</c:v>
                </c:pt>
                <c:pt idx="159">
                  <c:v>14930</c:v>
                </c:pt>
                <c:pt idx="160">
                  <c:v>14930</c:v>
                </c:pt>
                <c:pt idx="161">
                  <c:v>16080</c:v>
                </c:pt>
                <c:pt idx="162">
                  <c:v>16310</c:v>
                </c:pt>
                <c:pt idx="163">
                  <c:v>16330</c:v>
                </c:pt>
                <c:pt idx="164">
                  <c:v>16330</c:v>
                </c:pt>
                <c:pt idx="165">
                  <c:v>16330</c:v>
                </c:pt>
                <c:pt idx="166">
                  <c:v>8050</c:v>
                </c:pt>
                <c:pt idx="167">
                  <c:v>0</c:v>
                </c:pt>
                <c:pt idx="168">
                  <c:v>450</c:v>
                </c:pt>
                <c:pt idx="169">
                  <c:v>1600</c:v>
                </c:pt>
                <c:pt idx="170">
                  <c:v>5050</c:v>
                </c:pt>
                <c:pt idx="171">
                  <c:v>5050</c:v>
                </c:pt>
                <c:pt idx="172">
                  <c:v>5050</c:v>
                </c:pt>
                <c:pt idx="173">
                  <c:v>6200</c:v>
                </c:pt>
                <c:pt idx="174">
                  <c:v>6200</c:v>
                </c:pt>
                <c:pt idx="175">
                  <c:v>6220</c:v>
                </c:pt>
                <c:pt idx="176">
                  <c:v>8520</c:v>
                </c:pt>
                <c:pt idx="177">
                  <c:v>9210</c:v>
                </c:pt>
                <c:pt idx="178">
                  <c:v>9210</c:v>
                </c:pt>
                <c:pt idx="179">
                  <c:v>10360</c:v>
                </c:pt>
                <c:pt idx="180">
                  <c:v>11430</c:v>
                </c:pt>
                <c:pt idx="181">
                  <c:v>4530</c:v>
                </c:pt>
                <c:pt idx="182">
                  <c:v>4530</c:v>
                </c:pt>
                <c:pt idx="183">
                  <c:v>4630</c:v>
                </c:pt>
                <c:pt idx="184">
                  <c:v>4630</c:v>
                </c:pt>
                <c:pt idx="185">
                  <c:v>5780</c:v>
                </c:pt>
                <c:pt idx="186">
                  <c:v>5780</c:v>
                </c:pt>
                <c:pt idx="187">
                  <c:v>5780</c:v>
                </c:pt>
                <c:pt idx="188">
                  <c:v>5780</c:v>
                </c:pt>
                <c:pt idx="189">
                  <c:v>5780</c:v>
                </c:pt>
                <c:pt idx="190">
                  <c:v>7620</c:v>
                </c:pt>
                <c:pt idx="191">
                  <c:v>7620</c:v>
                </c:pt>
                <c:pt idx="192">
                  <c:v>7620</c:v>
                </c:pt>
                <c:pt idx="193">
                  <c:v>7620</c:v>
                </c:pt>
                <c:pt idx="194">
                  <c:v>7620</c:v>
                </c:pt>
                <c:pt idx="195">
                  <c:v>7620</c:v>
                </c:pt>
                <c:pt idx="196">
                  <c:v>7620</c:v>
                </c:pt>
                <c:pt idx="197">
                  <c:v>8080</c:v>
                </c:pt>
                <c:pt idx="198">
                  <c:v>9260</c:v>
                </c:pt>
                <c:pt idx="199">
                  <c:v>10410</c:v>
                </c:pt>
                <c:pt idx="200">
                  <c:v>10410</c:v>
                </c:pt>
                <c:pt idx="201" formatCode="General">
                  <c:v>10410</c:v>
                </c:pt>
                <c:pt idx="202" formatCode="General">
                  <c:v>10640</c:v>
                </c:pt>
                <c:pt idx="203" formatCode="General">
                  <c:v>10640</c:v>
                </c:pt>
                <c:pt idx="204" formatCode="General">
                  <c:v>10640</c:v>
                </c:pt>
                <c:pt idx="205" formatCode="General">
                  <c:v>10640</c:v>
                </c:pt>
                <c:pt idx="206" formatCode="General">
                  <c:v>10870</c:v>
                </c:pt>
                <c:pt idx="207" formatCode="General">
                  <c:v>10870</c:v>
                </c:pt>
                <c:pt idx="208" formatCode="General">
                  <c:v>12020</c:v>
                </c:pt>
                <c:pt idx="209" formatCode="General">
                  <c:v>12020</c:v>
                </c:pt>
                <c:pt idx="210" formatCode="General">
                  <c:v>12250</c:v>
                </c:pt>
                <c:pt idx="211" formatCode="General">
                  <c:v>12250</c:v>
                </c:pt>
                <c:pt idx="212" formatCode="General">
                  <c:v>12250</c:v>
                </c:pt>
                <c:pt idx="213" formatCode="General">
                  <c:v>12250</c:v>
                </c:pt>
                <c:pt idx="214" formatCode="General">
                  <c:v>12250</c:v>
                </c:pt>
                <c:pt idx="215" formatCode="General">
                  <c:v>12250</c:v>
                </c:pt>
                <c:pt idx="216" formatCode="General">
                  <c:v>12250</c:v>
                </c:pt>
                <c:pt idx="217" formatCode="General">
                  <c:v>12250</c:v>
                </c:pt>
                <c:pt idx="218" formatCode="General">
                  <c:v>12250</c:v>
                </c:pt>
                <c:pt idx="219" formatCode="General">
                  <c:v>12250</c:v>
                </c:pt>
                <c:pt idx="220" formatCode="General">
                  <c:v>13400</c:v>
                </c:pt>
                <c:pt idx="221" formatCode="General">
                  <c:v>13860</c:v>
                </c:pt>
                <c:pt idx="222" formatCode="General">
                  <c:v>13860</c:v>
                </c:pt>
                <c:pt idx="223" formatCode="General">
                  <c:v>13860</c:v>
                </c:pt>
                <c:pt idx="224" formatCode="General">
                  <c:v>15010</c:v>
                </c:pt>
                <c:pt idx="225" formatCode="General">
                  <c:v>15010</c:v>
                </c:pt>
                <c:pt idx="226" formatCode="General">
                  <c:v>15010</c:v>
                </c:pt>
                <c:pt idx="227" formatCode="General">
                  <c:v>15010</c:v>
                </c:pt>
                <c:pt idx="228" formatCode="General">
                  <c:v>15010</c:v>
                </c:pt>
                <c:pt idx="229" formatCode="General">
                  <c:v>15010</c:v>
                </c:pt>
                <c:pt idx="230" formatCode="General">
                  <c:v>15010</c:v>
                </c:pt>
                <c:pt idx="231" formatCode="General">
                  <c:v>15470</c:v>
                </c:pt>
                <c:pt idx="232" formatCode="General">
                  <c:v>15470</c:v>
                </c:pt>
                <c:pt idx="233" formatCode="General">
                  <c:v>16620</c:v>
                </c:pt>
                <c:pt idx="234" formatCode="General">
                  <c:v>16620</c:v>
                </c:pt>
                <c:pt idx="235" formatCode="General">
                  <c:v>16620</c:v>
                </c:pt>
                <c:pt idx="236" formatCode="General">
                  <c:v>16620</c:v>
                </c:pt>
                <c:pt idx="237" formatCode="General">
                  <c:v>16620</c:v>
                </c:pt>
                <c:pt idx="238" formatCode="General">
                  <c:v>16620</c:v>
                </c:pt>
                <c:pt idx="239" formatCode="General">
                  <c:v>17770</c:v>
                </c:pt>
                <c:pt idx="240" formatCode="General">
                  <c:v>18230</c:v>
                </c:pt>
                <c:pt idx="241" formatCode="General">
                  <c:v>7910</c:v>
                </c:pt>
                <c:pt idx="242" formatCode="General">
                  <c:v>7910</c:v>
                </c:pt>
                <c:pt idx="243" formatCode="General">
                  <c:v>7910</c:v>
                </c:pt>
                <c:pt idx="244" formatCode="General">
                  <c:v>7910</c:v>
                </c:pt>
                <c:pt idx="245" formatCode="General">
                  <c:v>9060</c:v>
                </c:pt>
                <c:pt idx="246" formatCode="General">
                  <c:v>9060</c:v>
                </c:pt>
                <c:pt idx="247" formatCode="General">
                  <c:v>9520</c:v>
                </c:pt>
                <c:pt idx="248" formatCode="General">
                  <c:v>9560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074464"/>
        <c:axId val="951079952"/>
      </c:lineChart>
      <c:dateAx>
        <c:axId val="9510744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crossAx val="951079952"/>
        <c:crosses val="autoZero"/>
        <c:auto val="1"/>
        <c:lblOffset val="100"/>
        <c:baseTimeUnit val="days"/>
      </c:dateAx>
      <c:valAx>
        <c:axId val="9510799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#,##0_);[Red]\(#,##0\)" sourceLinked="1"/>
        <c:majorTickMark val="none"/>
        <c:minorTickMark val="none"/>
        <c:tickLblPos val="nextTo"/>
        <c:crossAx val="951074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128508101170894"/>
          <c:y val="0.13642439128810008"/>
          <c:w val="0.42331437981605768"/>
          <c:h val="0.13101519103993498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LogRanges!$L$38:$L$61</c:f>
              <c:numCache>
                <c:formatCode>General</c:formatCode>
                <c:ptCount val="24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9</c:v>
                </c:pt>
                <c:pt idx="19">
                  <c:v>10</c:v>
                </c:pt>
                <c:pt idx="20">
                  <c:v>11</c:v>
                </c:pt>
                <c:pt idx="21">
                  <c:v>12</c:v>
                </c:pt>
                <c:pt idx="22">
                  <c:v>1</c:v>
                </c:pt>
                <c:pt idx="23">
                  <c:v>2</c:v>
                </c:pt>
              </c:numCache>
            </c:numRef>
          </c:cat>
          <c:val>
            <c:numRef>
              <c:f>LogRanges!$R$38:$R$61</c:f>
              <c:numCache>
                <c:formatCode>#,##0_);[Red]\(#,##0\)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1072896"/>
        <c:axId val="951081128"/>
      </c:barChart>
      <c:catAx>
        <c:axId val="951072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1081128"/>
        <c:crosses val="autoZero"/>
        <c:auto val="1"/>
        <c:lblAlgn val="ctr"/>
        <c:lblOffset val="100"/>
        <c:noMultiLvlLbl val="0"/>
      </c:catAx>
      <c:valAx>
        <c:axId val="951081128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951072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Optimized MRP settings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8712800325284525E-2"/>
          <c:y val="0.28278632588875274"/>
          <c:w val="0.79253907496802001"/>
          <c:h val="0.4849411111111111"/>
        </c:manualLayout>
      </c:layout>
      <c:lineChart>
        <c:grouping val="standard"/>
        <c:varyColors val="0"/>
        <c:ser>
          <c:idx val="1"/>
          <c:order val="1"/>
          <c:tx>
            <c:strRef>
              <c:f>Log_LLS!$F$1</c:f>
              <c:strCache>
                <c:ptCount val="1"/>
                <c:pt idx="0">
                  <c:v>Avg simulated stock</c:v>
                </c:pt>
              </c:strCache>
            </c:strRef>
          </c:tx>
          <c:marker>
            <c:symbol val="none"/>
          </c:marker>
          <c:val>
            <c:numRef>
              <c:f>Log_LLS!$F$1:$F$2</c:f>
              <c:numCache>
                <c:formatCode>#,##0_);[Red]\(#,##0\)</c:formatCode>
                <c:ptCount val="2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073288"/>
        <c:axId val="951076424"/>
      </c:lineChart>
      <c:lineChart>
        <c:grouping val="standard"/>
        <c:varyColors val="0"/>
        <c:ser>
          <c:idx val="0"/>
          <c:order val="0"/>
          <c:tx>
            <c:strRef>
              <c:f>Log_LLS!$J$1</c:f>
              <c:strCache>
                <c:ptCount val="1"/>
                <c:pt idx="0">
                  <c:v>Service level</c:v>
                </c:pt>
              </c:strCache>
            </c:strRef>
          </c:tx>
          <c:marker>
            <c:symbol val="none"/>
          </c:marker>
          <c:val>
            <c:numRef>
              <c:f>Log_LLS!$J$1:$J$2</c:f>
              <c:numCache>
                <c:formatCode>0.0\ %;[Red]\-0.0\ %</c:formatCode>
                <c:ptCount val="2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082304"/>
        <c:axId val="951080344"/>
      </c:lineChart>
      <c:catAx>
        <c:axId val="951073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Lead Time, Safety Stock</a:t>
                </a:r>
                <a:r>
                  <a:rPr lang="en-US" baseline="0"/>
                  <a:t> and Lot Size combinations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16155617283950618"/>
              <c:y val="0.871071481481481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951076424"/>
        <c:crosses val="autoZero"/>
        <c:auto val="1"/>
        <c:lblAlgn val="ctr"/>
        <c:lblOffset val="100"/>
        <c:noMultiLvlLbl val="0"/>
      </c:catAx>
      <c:valAx>
        <c:axId val="9510764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#,##0_);[Red]\(#,##0\)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951073288"/>
        <c:crosses val="autoZero"/>
        <c:crossBetween val="between"/>
      </c:valAx>
      <c:valAx>
        <c:axId val="951080344"/>
        <c:scaling>
          <c:orientation val="minMax"/>
          <c:max val="1"/>
        </c:scaling>
        <c:delete val="0"/>
        <c:axPos val="r"/>
        <c:numFmt formatCode="0\ %;[Red]\-0\ %" sourceLinked="0"/>
        <c:majorTickMark val="out"/>
        <c:minorTickMark val="none"/>
        <c:tickLblPos val="nextTo"/>
        <c:crossAx val="951082304"/>
        <c:crosses val="max"/>
        <c:crossBetween val="between"/>
      </c:valAx>
      <c:catAx>
        <c:axId val="951082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51080344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1785312260025658"/>
          <c:y val="0.16200535249421821"/>
          <c:w val="0.46042402967763402"/>
          <c:h val="0.11481232067839622"/>
        </c:manualLayout>
      </c:layout>
      <c:overlay val="0"/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b-NO"/>
              <a:t>Stock levels forecast log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497462817147858"/>
          <c:y val="0.21504703703703704"/>
          <c:w val="0.80516316710411195"/>
          <c:h val="0.61469047259550047"/>
        </c:manualLayout>
      </c:layout>
      <c:lineChart>
        <c:grouping val="standard"/>
        <c:varyColors val="0"/>
        <c:ser>
          <c:idx val="0"/>
          <c:order val="0"/>
          <c:tx>
            <c:strRef>
              <c:f>Log_Forecast!$O$1</c:f>
              <c:strCache>
                <c:ptCount val="1"/>
                <c:pt idx="0">
                  <c:v>Avg actual stock</c:v>
                </c:pt>
              </c:strCache>
            </c:strRef>
          </c:tx>
          <c:marker>
            <c:symbol val="none"/>
          </c:marker>
          <c:val>
            <c:numRef>
              <c:f>Log_Forecast!$O$1:$O$2</c:f>
              <c:numCache>
                <c:formatCode>#,##0_);[Red]\(#,##0\)</c:formatCode>
                <c:ptCount val="2"/>
                <c:pt idx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Log_Forecast!$P$1</c:f>
              <c:strCache>
                <c:ptCount val="1"/>
                <c:pt idx="0">
                  <c:v>Avg simulated stock</c:v>
                </c:pt>
              </c:strCache>
            </c:strRef>
          </c:tx>
          <c:marker>
            <c:symbol val="none"/>
          </c:marker>
          <c:val>
            <c:numRef>
              <c:f>Log_Forecast!$P$1:$P$2</c:f>
              <c:numCache>
                <c:formatCode>#,##0_);[Red]\(#,##0\)</c:formatCode>
                <c:ptCount val="2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083480"/>
        <c:axId val="951075640"/>
      </c:lineChart>
      <c:catAx>
        <c:axId val="951083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Forecast versions</a:t>
                </a:r>
              </a:p>
            </c:rich>
          </c:tx>
          <c:layout>
            <c:manualLayout>
              <c:xMode val="edge"/>
              <c:yMode val="edge"/>
              <c:x val="0.37220152377569976"/>
              <c:y val="0.91116978710554131"/>
            </c:manualLayout>
          </c:layout>
          <c:overlay val="0"/>
        </c:title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951075640"/>
        <c:crosses val="autoZero"/>
        <c:auto val="1"/>
        <c:lblAlgn val="ctr"/>
        <c:lblOffset val="100"/>
        <c:noMultiLvlLbl val="0"/>
      </c:catAx>
      <c:valAx>
        <c:axId val="9510756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#,##0_);[Red]\(#,##0\)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9510834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8579405893993161"/>
          <c:y val="0.67108825305752673"/>
          <c:w val="0.45636222222222228"/>
          <c:h val="0.11949856528145018"/>
        </c:manualLayout>
      </c:layout>
      <c:overlay val="0"/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Stock levels as function of stock-in quantities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4325195651913371E-2"/>
          <c:y val="0.2908"/>
          <c:w val="0.87234027253442636"/>
          <c:h val="0.51336139211837539"/>
        </c:manualLayout>
      </c:layout>
      <c:lineChart>
        <c:grouping val="standard"/>
        <c:varyColors val="0"/>
        <c:ser>
          <c:idx val="0"/>
          <c:order val="0"/>
          <c:tx>
            <c:strRef>
              <c:f>Log_StockIn!$E$1</c:f>
              <c:strCache>
                <c:ptCount val="1"/>
                <c:pt idx="0">
                  <c:v>Avg actual stock</c:v>
                </c:pt>
              </c:strCache>
            </c:strRef>
          </c:tx>
          <c:marker>
            <c:symbol val="none"/>
          </c:marker>
          <c:cat>
            <c:numRef>
              <c:f>Log_StockIn!$D$2</c:f>
              <c:numCache>
                <c:formatCode>General</c:formatCode>
                <c:ptCount val="1"/>
              </c:numCache>
            </c:numRef>
          </c:cat>
          <c:val>
            <c:numRef>
              <c:f>Log_StockIn!$E$2</c:f>
              <c:numCache>
                <c:formatCode>#,##0_);[Red]\(#,##0\)</c:formatCode>
                <c:ptCount val="1"/>
              </c:numCache>
            </c:numRef>
          </c:val>
          <c:smooth val="0"/>
        </c:ser>
        <c:ser>
          <c:idx val="1"/>
          <c:order val="1"/>
          <c:tx>
            <c:strRef>
              <c:f>Log_StockIn!$F$1</c:f>
              <c:strCache>
                <c:ptCount val="1"/>
                <c:pt idx="0">
                  <c:v>Avg simulated stock</c:v>
                </c:pt>
              </c:strCache>
            </c:strRef>
          </c:tx>
          <c:marker>
            <c:symbol val="none"/>
          </c:marker>
          <c:cat>
            <c:numRef>
              <c:f>Log_StockIn!$D$2</c:f>
              <c:numCache>
                <c:formatCode>General</c:formatCode>
                <c:ptCount val="1"/>
              </c:numCache>
            </c:numRef>
          </c:cat>
          <c:val>
            <c:numRef>
              <c:f>Log_StockIn!$F$2</c:f>
              <c:numCache>
                <c:formatCode>#,##0_);[Red]\(#,##0\)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094064"/>
        <c:axId val="951090536"/>
      </c:lineChart>
      <c:catAx>
        <c:axId val="95109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Stock in quantity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951090536"/>
        <c:crosses val="autoZero"/>
        <c:auto val="1"/>
        <c:lblAlgn val="ctr"/>
        <c:lblOffset val="100"/>
        <c:noMultiLvlLbl val="0"/>
      </c:catAx>
      <c:valAx>
        <c:axId val="95109053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#,##0_);[Red]\(#,##0\)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95109406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2328604420172286"/>
          <c:y val="0.64478144345462785"/>
          <c:w val="0.45250743408252253"/>
          <c:h val="0.15020081534048013"/>
        </c:manualLayout>
      </c:layout>
      <c:overlay val="0"/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>
                <a:latin typeface="+mn-lt"/>
              </a:defRPr>
            </a:pPr>
            <a:r>
              <a:rPr lang="nb-NO" sz="1800" b="1">
                <a:latin typeface="+mn-lt"/>
              </a:rPr>
              <a:t>Accumulated rolling usage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656136317063812"/>
          <c:y val="0.20122414313755096"/>
          <c:w val="0.80051927208511608"/>
          <c:h val="0.4720949720670391"/>
        </c:manualLayout>
      </c:layout>
      <c:areaChart>
        <c:grouping val="standard"/>
        <c:varyColors val="0"/>
        <c:ser>
          <c:idx val="0"/>
          <c:order val="0"/>
          <c:tx>
            <c:strRef>
              <c:f>SourceData!$M$1</c:f>
              <c:strCache>
                <c:ptCount val="1"/>
                <c:pt idx="0">
                  <c:v>Roll Sales 5 days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9999FF"/>
              </a:solidFill>
              <a:prstDash val="solid"/>
            </a:ln>
          </c:spPr>
          <c:cat>
            <c:numRef>
              <c:f>SourceData!$A$250:$A$499</c:f>
              <c:numCache>
                <c:formatCode>m/d/yyyy</c:formatCode>
                <c:ptCount val="250"/>
                <c:pt idx="0">
                  <c:v>42440</c:v>
                </c:pt>
                <c:pt idx="1">
                  <c:v>41436</c:v>
                </c:pt>
                <c:pt idx="2">
                  <c:v>41435</c:v>
                </c:pt>
                <c:pt idx="3">
                  <c:v>41432</c:v>
                </c:pt>
                <c:pt idx="4">
                  <c:v>41431</c:v>
                </c:pt>
                <c:pt idx="5">
                  <c:v>41430</c:v>
                </c:pt>
                <c:pt idx="6">
                  <c:v>41429</c:v>
                </c:pt>
                <c:pt idx="7">
                  <c:v>41428</c:v>
                </c:pt>
                <c:pt idx="8">
                  <c:v>41425</c:v>
                </c:pt>
                <c:pt idx="9">
                  <c:v>41424</c:v>
                </c:pt>
                <c:pt idx="10">
                  <c:v>41423</c:v>
                </c:pt>
                <c:pt idx="11">
                  <c:v>41422</c:v>
                </c:pt>
                <c:pt idx="12">
                  <c:v>41421</c:v>
                </c:pt>
                <c:pt idx="13">
                  <c:v>41418</c:v>
                </c:pt>
                <c:pt idx="14">
                  <c:v>41417</c:v>
                </c:pt>
                <c:pt idx="15">
                  <c:v>41416</c:v>
                </c:pt>
                <c:pt idx="16">
                  <c:v>41415</c:v>
                </c:pt>
                <c:pt idx="17">
                  <c:v>41410</c:v>
                </c:pt>
                <c:pt idx="18">
                  <c:v>41409</c:v>
                </c:pt>
                <c:pt idx="19">
                  <c:v>41408</c:v>
                </c:pt>
                <c:pt idx="20">
                  <c:v>41407</c:v>
                </c:pt>
                <c:pt idx="21">
                  <c:v>41404</c:v>
                </c:pt>
                <c:pt idx="22">
                  <c:v>41402</c:v>
                </c:pt>
                <c:pt idx="23">
                  <c:v>41401</c:v>
                </c:pt>
                <c:pt idx="24">
                  <c:v>41400</c:v>
                </c:pt>
                <c:pt idx="25">
                  <c:v>41397</c:v>
                </c:pt>
                <c:pt idx="26">
                  <c:v>41396</c:v>
                </c:pt>
                <c:pt idx="27">
                  <c:v>41394</c:v>
                </c:pt>
                <c:pt idx="28">
                  <c:v>41393</c:v>
                </c:pt>
                <c:pt idx="29">
                  <c:v>41390</c:v>
                </c:pt>
                <c:pt idx="30">
                  <c:v>41389</c:v>
                </c:pt>
                <c:pt idx="31">
                  <c:v>41388</c:v>
                </c:pt>
                <c:pt idx="32">
                  <c:v>41387</c:v>
                </c:pt>
                <c:pt idx="33">
                  <c:v>41386</c:v>
                </c:pt>
                <c:pt idx="34">
                  <c:v>41383</c:v>
                </c:pt>
                <c:pt idx="35">
                  <c:v>41382</c:v>
                </c:pt>
                <c:pt idx="36">
                  <c:v>41381</c:v>
                </c:pt>
                <c:pt idx="37">
                  <c:v>41380</c:v>
                </c:pt>
                <c:pt idx="38">
                  <c:v>41379</c:v>
                </c:pt>
                <c:pt idx="39">
                  <c:v>41376</c:v>
                </c:pt>
                <c:pt idx="40">
                  <c:v>41375</c:v>
                </c:pt>
                <c:pt idx="41">
                  <c:v>41374</c:v>
                </c:pt>
                <c:pt idx="42">
                  <c:v>41373</c:v>
                </c:pt>
                <c:pt idx="43">
                  <c:v>41372</c:v>
                </c:pt>
                <c:pt idx="44">
                  <c:v>41369</c:v>
                </c:pt>
                <c:pt idx="45">
                  <c:v>41368</c:v>
                </c:pt>
                <c:pt idx="46">
                  <c:v>41367</c:v>
                </c:pt>
                <c:pt idx="47">
                  <c:v>41366</c:v>
                </c:pt>
                <c:pt idx="48">
                  <c:v>41360</c:v>
                </c:pt>
                <c:pt idx="49">
                  <c:v>41359</c:v>
                </c:pt>
                <c:pt idx="50">
                  <c:v>41358</c:v>
                </c:pt>
                <c:pt idx="51">
                  <c:v>41355</c:v>
                </c:pt>
                <c:pt idx="52">
                  <c:v>41354</c:v>
                </c:pt>
                <c:pt idx="53">
                  <c:v>41353</c:v>
                </c:pt>
                <c:pt idx="54">
                  <c:v>41352</c:v>
                </c:pt>
                <c:pt idx="55">
                  <c:v>41351</c:v>
                </c:pt>
                <c:pt idx="56">
                  <c:v>41348</c:v>
                </c:pt>
                <c:pt idx="57">
                  <c:v>41347</c:v>
                </c:pt>
                <c:pt idx="58">
                  <c:v>41346</c:v>
                </c:pt>
                <c:pt idx="59">
                  <c:v>41345</c:v>
                </c:pt>
                <c:pt idx="60">
                  <c:v>41344</c:v>
                </c:pt>
                <c:pt idx="61">
                  <c:v>41341</c:v>
                </c:pt>
                <c:pt idx="62">
                  <c:v>41340</c:v>
                </c:pt>
                <c:pt idx="63">
                  <c:v>41339</c:v>
                </c:pt>
                <c:pt idx="64">
                  <c:v>41338</c:v>
                </c:pt>
                <c:pt idx="65">
                  <c:v>41337</c:v>
                </c:pt>
                <c:pt idx="66">
                  <c:v>41334</c:v>
                </c:pt>
                <c:pt idx="67">
                  <c:v>41333</c:v>
                </c:pt>
                <c:pt idx="68">
                  <c:v>41332</c:v>
                </c:pt>
                <c:pt idx="69">
                  <c:v>41331</c:v>
                </c:pt>
                <c:pt idx="70">
                  <c:v>41330</c:v>
                </c:pt>
                <c:pt idx="71">
                  <c:v>41327</c:v>
                </c:pt>
                <c:pt idx="72">
                  <c:v>41326</c:v>
                </c:pt>
                <c:pt idx="73">
                  <c:v>41325</c:v>
                </c:pt>
                <c:pt idx="74">
                  <c:v>41324</c:v>
                </c:pt>
                <c:pt idx="75">
                  <c:v>41323</c:v>
                </c:pt>
                <c:pt idx="76">
                  <c:v>41320</c:v>
                </c:pt>
                <c:pt idx="77">
                  <c:v>41319</c:v>
                </c:pt>
                <c:pt idx="78">
                  <c:v>41318</c:v>
                </c:pt>
                <c:pt idx="79">
                  <c:v>41317</c:v>
                </c:pt>
                <c:pt idx="80">
                  <c:v>41316</c:v>
                </c:pt>
                <c:pt idx="81">
                  <c:v>41313</c:v>
                </c:pt>
                <c:pt idx="82">
                  <c:v>41312</c:v>
                </c:pt>
                <c:pt idx="83">
                  <c:v>41311</c:v>
                </c:pt>
                <c:pt idx="84">
                  <c:v>41310</c:v>
                </c:pt>
                <c:pt idx="85">
                  <c:v>41309</c:v>
                </c:pt>
                <c:pt idx="86">
                  <c:v>41306</c:v>
                </c:pt>
                <c:pt idx="87">
                  <c:v>41305</c:v>
                </c:pt>
                <c:pt idx="88">
                  <c:v>41304</c:v>
                </c:pt>
                <c:pt idx="89">
                  <c:v>41303</c:v>
                </c:pt>
                <c:pt idx="90">
                  <c:v>41302</c:v>
                </c:pt>
                <c:pt idx="91">
                  <c:v>41299</c:v>
                </c:pt>
                <c:pt idx="92">
                  <c:v>41298</c:v>
                </c:pt>
                <c:pt idx="93">
                  <c:v>41297</c:v>
                </c:pt>
                <c:pt idx="94">
                  <c:v>41296</c:v>
                </c:pt>
                <c:pt idx="95">
                  <c:v>41295</c:v>
                </c:pt>
                <c:pt idx="96">
                  <c:v>41292</c:v>
                </c:pt>
                <c:pt idx="97">
                  <c:v>41291</c:v>
                </c:pt>
                <c:pt idx="98">
                  <c:v>41290</c:v>
                </c:pt>
                <c:pt idx="99">
                  <c:v>41289</c:v>
                </c:pt>
                <c:pt idx="100">
                  <c:v>41288</c:v>
                </c:pt>
                <c:pt idx="101">
                  <c:v>41285</c:v>
                </c:pt>
                <c:pt idx="102">
                  <c:v>41284</c:v>
                </c:pt>
                <c:pt idx="103">
                  <c:v>41283</c:v>
                </c:pt>
                <c:pt idx="104">
                  <c:v>41282</c:v>
                </c:pt>
                <c:pt idx="105">
                  <c:v>41281</c:v>
                </c:pt>
                <c:pt idx="106">
                  <c:v>41278</c:v>
                </c:pt>
                <c:pt idx="107">
                  <c:v>41277</c:v>
                </c:pt>
                <c:pt idx="108">
                  <c:v>41276</c:v>
                </c:pt>
                <c:pt idx="109">
                  <c:v>41271</c:v>
                </c:pt>
                <c:pt idx="110">
                  <c:v>41270</c:v>
                </c:pt>
                <c:pt idx="111">
                  <c:v>41264</c:v>
                </c:pt>
                <c:pt idx="112">
                  <c:v>41263</c:v>
                </c:pt>
                <c:pt idx="113">
                  <c:v>41262</c:v>
                </c:pt>
                <c:pt idx="114">
                  <c:v>41261</c:v>
                </c:pt>
                <c:pt idx="115">
                  <c:v>41260</c:v>
                </c:pt>
                <c:pt idx="116">
                  <c:v>41257</c:v>
                </c:pt>
                <c:pt idx="117">
                  <c:v>41256</c:v>
                </c:pt>
                <c:pt idx="118">
                  <c:v>41255</c:v>
                </c:pt>
                <c:pt idx="119">
                  <c:v>41254</c:v>
                </c:pt>
                <c:pt idx="120">
                  <c:v>41253</c:v>
                </c:pt>
                <c:pt idx="121">
                  <c:v>41250</c:v>
                </c:pt>
                <c:pt idx="122">
                  <c:v>41249</c:v>
                </c:pt>
                <c:pt idx="123">
                  <c:v>41248</c:v>
                </c:pt>
                <c:pt idx="124">
                  <c:v>41247</c:v>
                </c:pt>
                <c:pt idx="125">
                  <c:v>41246</c:v>
                </c:pt>
                <c:pt idx="126">
                  <c:v>41243</c:v>
                </c:pt>
                <c:pt idx="127">
                  <c:v>41242</c:v>
                </c:pt>
                <c:pt idx="128">
                  <c:v>41241</c:v>
                </c:pt>
                <c:pt idx="129">
                  <c:v>41240</c:v>
                </c:pt>
                <c:pt idx="130">
                  <c:v>41239</c:v>
                </c:pt>
                <c:pt idx="131">
                  <c:v>41236</c:v>
                </c:pt>
                <c:pt idx="132">
                  <c:v>41235</c:v>
                </c:pt>
                <c:pt idx="133">
                  <c:v>41234</c:v>
                </c:pt>
                <c:pt idx="134">
                  <c:v>41233</c:v>
                </c:pt>
                <c:pt idx="135">
                  <c:v>41232</c:v>
                </c:pt>
                <c:pt idx="136">
                  <c:v>41229</c:v>
                </c:pt>
                <c:pt idx="137">
                  <c:v>41228</c:v>
                </c:pt>
                <c:pt idx="138">
                  <c:v>41227</c:v>
                </c:pt>
                <c:pt idx="139">
                  <c:v>41226</c:v>
                </c:pt>
                <c:pt idx="140">
                  <c:v>41225</c:v>
                </c:pt>
                <c:pt idx="141">
                  <c:v>41222</c:v>
                </c:pt>
                <c:pt idx="142">
                  <c:v>41221</c:v>
                </c:pt>
                <c:pt idx="143">
                  <c:v>41220</c:v>
                </c:pt>
                <c:pt idx="144">
                  <c:v>41219</c:v>
                </c:pt>
                <c:pt idx="145">
                  <c:v>41218</c:v>
                </c:pt>
                <c:pt idx="146">
                  <c:v>41215</c:v>
                </c:pt>
                <c:pt idx="147">
                  <c:v>41214</c:v>
                </c:pt>
                <c:pt idx="148">
                  <c:v>41213</c:v>
                </c:pt>
                <c:pt idx="149">
                  <c:v>41212</c:v>
                </c:pt>
                <c:pt idx="150">
                  <c:v>41211</c:v>
                </c:pt>
                <c:pt idx="151">
                  <c:v>41208</c:v>
                </c:pt>
                <c:pt idx="152">
                  <c:v>41207</c:v>
                </c:pt>
                <c:pt idx="153">
                  <c:v>41206</c:v>
                </c:pt>
                <c:pt idx="154">
                  <c:v>41205</c:v>
                </c:pt>
                <c:pt idx="155">
                  <c:v>41204</c:v>
                </c:pt>
                <c:pt idx="156">
                  <c:v>41201</c:v>
                </c:pt>
                <c:pt idx="157">
                  <c:v>41200</c:v>
                </c:pt>
                <c:pt idx="158">
                  <c:v>41199</c:v>
                </c:pt>
                <c:pt idx="159">
                  <c:v>41198</c:v>
                </c:pt>
                <c:pt idx="160">
                  <c:v>41197</c:v>
                </c:pt>
                <c:pt idx="161">
                  <c:v>41194</c:v>
                </c:pt>
                <c:pt idx="162">
                  <c:v>41193</c:v>
                </c:pt>
                <c:pt idx="163">
                  <c:v>41192</c:v>
                </c:pt>
                <c:pt idx="164">
                  <c:v>41191</c:v>
                </c:pt>
                <c:pt idx="165">
                  <c:v>41190</c:v>
                </c:pt>
                <c:pt idx="166">
                  <c:v>41187</c:v>
                </c:pt>
                <c:pt idx="167">
                  <c:v>41186</c:v>
                </c:pt>
                <c:pt idx="168">
                  <c:v>41185</c:v>
                </c:pt>
                <c:pt idx="169">
                  <c:v>41184</c:v>
                </c:pt>
                <c:pt idx="170">
                  <c:v>41183</c:v>
                </c:pt>
                <c:pt idx="171">
                  <c:v>41180</c:v>
                </c:pt>
                <c:pt idx="172">
                  <c:v>41179</c:v>
                </c:pt>
                <c:pt idx="173">
                  <c:v>41178</c:v>
                </c:pt>
                <c:pt idx="174">
                  <c:v>41177</c:v>
                </c:pt>
                <c:pt idx="175">
                  <c:v>41176</c:v>
                </c:pt>
                <c:pt idx="176">
                  <c:v>41173</c:v>
                </c:pt>
                <c:pt idx="177">
                  <c:v>41172</c:v>
                </c:pt>
                <c:pt idx="178">
                  <c:v>41171</c:v>
                </c:pt>
                <c:pt idx="179">
                  <c:v>41170</c:v>
                </c:pt>
                <c:pt idx="180">
                  <c:v>41169</c:v>
                </c:pt>
                <c:pt idx="181">
                  <c:v>41166</c:v>
                </c:pt>
                <c:pt idx="182">
                  <c:v>41165</c:v>
                </c:pt>
                <c:pt idx="183">
                  <c:v>41164</c:v>
                </c:pt>
                <c:pt idx="184">
                  <c:v>41163</c:v>
                </c:pt>
                <c:pt idx="185">
                  <c:v>41162</c:v>
                </c:pt>
                <c:pt idx="186">
                  <c:v>41159</c:v>
                </c:pt>
                <c:pt idx="187">
                  <c:v>41158</c:v>
                </c:pt>
                <c:pt idx="188">
                  <c:v>41157</c:v>
                </c:pt>
                <c:pt idx="189">
                  <c:v>41156</c:v>
                </c:pt>
                <c:pt idx="190">
                  <c:v>41155</c:v>
                </c:pt>
                <c:pt idx="191">
                  <c:v>41152</c:v>
                </c:pt>
                <c:pt idx="192">
                  <c:v>41151</c:v>
                </c:pt>
                <c:pt idx="193">
                  <c:v>41150</c:v>
                </c:pt>
                <c:pt idx="194">
                  <c:v>41149</c:v>
                </c:pt>
                <c:pt idx="195">
                  <c:v>41148</c:v>
                </c:pt>
                <c:pt idx="196">
                  <c:v>41145</c:v>
                </c:pt>
                <c:pt idx="197">
                  <c:v>41144</c:v>
                </c:pt>
                <c:pt idx="198">
                  <c:v>41143</c:v>
                </c:pt>
                <c:pt idx="199">
                  <c:v>41142</c:v>
                </c:pt>
                <c:pt idx="200">
                  <c:v>41141</c:v>
                </c:pt>
                <c:pt idx="201">
                  <c:v>41138</c:v>
                </c:pt>
                <c:pt idx="202">
                  <c:v>41137</c:v>
                </c:pt>
                <c:pt idx="203">
                  <c:v>41136</c:v>
                </c:pt>
                <c:pt idx="204">
                  <c:v>41135</c:v>
                </c:pt>
                <c:pt idx="205">
                  <c:v>41134</c:v>
                </c:pt>
                <c:pt idx="206">
                  <c:v>41131</c:v>
                </c:pt>
                <c:pt idx="207">
                  <c:v>41130</c:v>
                </c:pt>
                <c:pt idx="208">
                  <c:v>41129</c:v>
                </c:pt>
                <c:pt idx="209">
                  <c:v>41128</c:v>
                </c:pt>
                <c:pt idx="210">
                  <c:v>41127</c:v>
                </c:pt>
                <c:pt idx="211">
                  <c:v>41124</c:v>
                </c:pt>
                <c:pt idx="212">
                  <c:v>41123</c:v>
                </c:pt>
                <c:pt idx="213">
                  <c:v>41122</c:v>
                </c:pt>
                <c:pt idx="214">
                  <c:v>41121</c:v>
                </c:pt>
                <c:pt idx="215">
                  <c:v>41120</c:v>
                </c:pt>
                <c:pt idx="216">
                  <c:v>41117</c:v>
                </c:pt>
                <c:pt idx="217">
                  <c:v>41116</c:v>
                </c:pt>
                <c:pt idx="218">
                  <c:v>41115</c:v>
                </c:pt>
                <c:pt idx="219">
                  <c:v>41114</c:v>
                </c:pt>
                <c:pt idx="220">
                  <c:v>41113</c:v>
                </c:pt>
                <c:pt idx="221">
                  <c:v>41110</c:v>
                </c:pt>
                <c:pt idx="222">
                  <c:v>41109</c:v>
                </c:pt>
                <c:pt idx="223">
                  <c:v>41108</c:v>
                </c:pt>
                <c:pt idx="224">
                  <c:v>41107</c:v>
                </c:pt>
                <c:pt idx="225">
                  <c:v>41106</c:v>
                </c:pt>
                <c:pt idx="226">
                  <c:v>41103</c:v>
                </c:pt>
                <c:pt idx="227">
                  <c:v>41102</c:v>
                </c:pt>
                <c:pt idx="228">
                  <c:v>41101</c:v>
                </c:pt>
                <c:pt idx="229">
                  <c:v>41100</c:v>
                </c:pt>
                <c:pt idx="230">
                  <c:v>41099</c:v>
                </c:pt>
                <c:pt idx="231">
                  <c:v>41096</c:v>
                </c:pt>
                <c:pt idx="232">
                  <c:v>41095</c:v>
                </c:pt>
                <c:pt idx="233">
                  <c:v>41094</c:v>
                </c:pt>
                <c:pt idx="234">
                  <c:v>41093</c:v>
                </c:pt>
                <c:pt idx="235">
                  <c:v>41092</c:v>
                </c:pt>
                <c:pt idx="236">
                  <c:v>41089</c:v>
                </c:pt>
                <c:pt idx="237">
                  <c:v>41088</c:v>
                </c:pt>
                <c:pt idx="238">
                  <c:v>41087</c:v>
                </c:pt>
                <c:pt idx="239">
                  <c:v>41086</c:v>
                </c:pt>
                <c:pt idx="240">
                  <c:v>41085</c:v>
                </c:pt>
                <c:pt idx="241">
                  <c:v>41082</c:v>
                </c:pt>
                <c:pt idx="242">
                  <c:v>41081</c:v>
                </c:pt>
                <c:pt idx="243">
                  <c:v>41080</c:v>
                </c:pt>
                <c:pt idx="244">
                  <c:v>41079</c:v>
                </c:pt>
                <c:pt idx="245">
                  <c:v>41078</c:v>
                </c:pt>
                <c:pt idx="246">
                  <c:v>41075</c:v>
                </c:pt>
                <c:pt idx="247">
                  <c:v>41074</c:v>
                </c:pt>
                <c:pt idx="248">
                  <c:v>41073</c:v>
                </c:pt>
                <c:pt idx="249">
                  <c:v>41072</c:v>
                </c:pt>
              </c:numCache>
            </c:numRef>
          </c:cat>
          <c:val>
            <c:numRef>
              <c:f>SourceData!$M$250:$M$499</c:f>
              <c:numCache>
                <c:formatCode>#,##0_);[Red]\(#,##0\)</c:formatCode>
                <c:ptCount val="2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1092888"/>
        <c:axId val="951096024"/>
      </c:areaChart>
      <c:barChart>
        <c:barDir val="col"/>
        <c:grouping val="clustered"/>
        <c:varyColors val="0"/>
        <c:ser>
          <c:idx val="2"/>
          <c:order val="1"/>
          <c:tx>
            <c:strRef>
              <c:f>SourceData!$C$1</c:f>
              <c:strCache>
                <c:ptCount val="1"/>
                <c:pt idx="0">
                  <c:v>Usage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</c:spPr>
          <c:invertIfNegative val="0"/>
          <c:cat>
            <c:numRef>
              <c:f>SourceData!$A$250:$A$499</c:f>
              <c:numCache>
                <c:formatCode>m/d/yyyy</c:formatCode>
                <c:ptCount val="250"/>
                <c:pt idx="0">
                  <c:v>42440</c:v>
                </c:pt>
                <c:pt idx="1">
                  <c:v>41436</c:v>
                </c:pt>
                <c:pt idx="2">
                  <c:v>41435</c:v>
                </c:pt>
                <c:pt idx="3">
                  <c:v>41432</c:v>
                </c:pt>
                <c:pt idx="4">
                  <c:v>41431</c:v>
                </c:pt>
                <c:pt idx="5">
                  <c:v>41430</c:v>
                </c:pt>
                <c:pt idx="6">
                  <c:v>41429</c:v>
                </c:pt>
                <c:pt idx="7">
                  <c:v>41428</c:v>
                </c:pt>
                <c:pt idx="8">
                  <c:v>41425</c:v>
                </c:pt>
                <c:pt idx="9">
                  <c:v>41424</c:v>
                </c:pt>
                <c:pt idx="10">
                  <c:v>41423</c:v>
                </c:pt>
                <c:pt idx="11">
                  <c:v>41422</c:v>
                </c:pt>
                <c:pt idx="12">
                  <c:v>41421</c:v>
                </c:pt>
                <c:pt idx="13">
                  <c:v>41418</c:v>
                </c:pt>
                <c:pt idx="14">
                  <c:v>41417</c:v>
                </c:pt>
                <c:pt idx="15">
                  <c:v>41416</c:v>
                </c:pt>
                <c:pt idx="16">
                  <c:v>41415</c:v>
                </c:pt>
                <c:pt idx="17">
                  <c:v>41410</c:v>
                </c:pt>
                <c:pt idx="18">
                  <c:v>41409</c:v>
                </c:pt>
                <c:pt idx="19">
                  <c:v>41408</c:v>
                </c:pt>
                <c:pt idx="20">
                  <c:v>41407</c:v>
                </c:pt>
                <c:pt idx="21">
                  <c:v>41404</c:v>
                </c:pt>
                <c:pt idx="22">
                  <c:v>41402</c:v>
                </c:pt>
                <c:pt idx="23">
                  <c:v>41401</c:v>
                </c:pt>
                <c:pt idx="24">
                  <c:v>41400</c:v>
                </c:pt>
                <c:pt idx="25">
                  <c:v>41397</c:v>
                </c:pt>
                <c:pt idx="26">
                  <c:v>41396</c:v>
                </c:pt>
                <c:pt idx="27">
                  <c:v>41394</c:v>
                </c:pt>
                <c:pt idx="28">
                  <c:v>41393</c:v>
                </c:pt>
                <c:pt idx="29">
                  <c:v>41390</c:v>
                </c:pt>
                <c:pt idx="30">
                  <c:v>41389</c:v>
                </c:pt>
                <c:pt idx="31">
                  <c:v>41388</c:v>
                </c:pt>
                <c:pt idx="32">
                  <c:v>41387</c:v>
                </c:pt>
                <c:pt idx="33">
                  <c:v>41386</c:v>
                </c:pt>
                <c:pt idx="34">
                  <c:v>41383</c:v>
                </c:pt>
                <c:pt idx="35">
                  <c:v>41382</c:v>
                </c:pt>
                <c:pt idx="36">
                  <c:v>41381</c:v>
                </c:pt>
                <c:pt idx="37">
                  <c:v>41380</c:v>
                </c:pt>
                <c:pt idx="38">
                  <c:v>41379</c:v>
                </c:pt>
                <c:pt idx="39">
                  <c:v>41376</c:v>
                </c:pt>
                <c:pt idx="40">
                  <c:v>41375</c:v>
                </c:pt>
                <c:pt idx="41">
                  <c:v>41374</c:v>
                </c:pt>
                <c:pt idx="42">
                  <c:v>41373</c:v>
                </c:pt>
                <c:pt idx="43">
                  <c:v>41372</c:v>
                </c:pt>
                <c:pt idx="44">
                  <c:v>41369</c:v>
                </c:pt>
                <c:pt idx="45">
                  <c:v>41368</c:v>
                </c:pt>
                <c:pt idx="46">
                  <c:v>41367</c:v>
                </c:pt>
                <c:pt idx="47">
                  <c:v>41366</c:v>
                </c:pt>
                <c:pt idx="48">
                  <c:v>41360</c:v>
                </c:pt>
                <c:pt idx="49">
                  <c:v>41359</c:v>
                </c:pt>
                <c:pt idx="50">
                  <c:v>41358</c:v>
                </c:pt>
                <c:pt idx="51">
                  <c:v>41355</c:v>
                </c:pt>
                <c:pt idx="52">
                  <c:v>41354</c:v>
                </c:pt>
                <c:pt idx="53">
                  <c:v>41353</c:v>
                </c:pt>
                <c:pt idx="54">
                  <c:v>41352</c:v>
                </c:pt>
                <c:pt idx="55">
                  <c:v>41351</c:v>
                </c:pt>
                <c:pt idx="56">
                  <c:v>41348</c:v>
                </c:pt>
                <c:pt idx="57">
                  <c:v>41347</c:v>
                </c:pt>
                <c:pt idx="58">
                  <c:v>41346</c:v>
                </c:pt>
                <c:pt idx="59">
                  <c:v>41345</c:v>
                </c:pt>
                <c:pt idx="60">
                  <c:v>41344</c:v>
                </c:pt>
                <c:pt idx="61">
                  <c:v>41341</c:v>
                </c:pt>
                <c:pt idx="62">
                  <c:v>41340</c:v>
                </c:pt>
                <c:pt idx="63">
                  <c:v>41339</c:v>
                </c:pt>
                <c:pt idx="64">
                  <c:v>41338</c:v>
                </c:pt>
                <c:pt idx="65">
                  <c:v>41337</c:v>
                </c:pt>
                <c:pt idx="66">
                  <c:v>41334</c:v>
                </c:pt>
                <c:pt idx="67">
                  <c:v>41333</c:v>
                </c:pt>
                <c:pt idx="68">
                  <c:v>41332</c:v>
                </c:pt>
                <c:pt idx="69">
                  <c:v>41331</c:v>
                </c:pt>
                <c:pt idx="70">
                  <c:v>41330</c:v>
                </c:pt>
                <c:pt idx="71">
                  <c:v>41327</c:v>
                </c:pt>
                <c:pt idx="72">
                  <c:v>41326</c:v>
                </c:pt>
                <c:pt idx="73">
                  <c:v>41325</c:v>
                </c:pt>
                <c:pt idx="74">
                  <c:v>41324</c:v>
                </c:pt>
                <c:pt idx="75">
                  <c:v>41323</c:v>
                </c:pt>
                <c:pt idx="76">
                  <c:v>41320</c:v>
                </c:pt>
                <c:pt idx="77">
                  <c:v>41319</c:v>
                </c:pt>
                <c:pt idx="78">
                  <c:v>41318</c:v>
                </c:pt>
                <c:pt idx="79">
                  <c:v>41317</c:v>
                </c:pt>
                <c:pt idx="80">
                  <c:v>41316</c:v>
                </c:pt>
                <c:pt idx="81">
                  <c:v>41313</c:v>
                </c:pt>
                <c:pt idx="82">
                  <c:v>41312</c:v>
                </c:pt>
                <c:pt idx="83">
                  <c:v>41311</c:v>
                </c:pt>
                <c:pt idx="84">
                  <c:v>41310</c:v>
                </c:pt>
                <c:pt idx="85">
                  <c:v>41309</c:v>
                </c:pt>
                <c:pt idx="86">
                  <c:v>41306</c:v>
                </c:pt>
                <c:pt idx="87">
                  <c:v>41305</c:v>
                </c:pt>
                <c:pt idx="88">
                  <c:v>41304</c:v>
                </c:pt>
                <c:pt idx="89">
                  <c:v>41303</c:v>
                </c:pt>
                <c:pt idx="90">
                  <c:v>41302</c:v>
                </c:pt>
                <c:pt idx="91">
                  <c:v>41299</c:v>
                </c:pt>
                <c:pt idx="92">
                  <c:v>41298</c:v>
                </c:pt>
                <c:pt idx="93">
                  <c:v>41297</c:v>
                </c:pt>
                <c:pt idx="94">
                  <c:v>41296</c:v>
                </c:pt>
                <c:pt idx="95">
                  <c:v>41295</c:v>
                </c:pt>
                <c:pt idx="96">
                  <c:v>41292</c:v>
                </c:pt>
                <c:pt idx="97">
                  <c:v>41291</c:v>
                </c:pt>
                <c:pt idx="98">
                  <c:v>41290</c:v>
                </c:pt>
                <c:pt idx="99">
                  <c:v>41289</c:v>
                </c:pt>
                <c:pt idx="100">
                  <c:v>41288</c:v>
                </c:pt>
                <c:pt idx="101">
                  <c:v>41285</c:v>
                </c:pt>
                <c:pt idx="102">
                  <c:v>41284</c:v>
                </c:pt>
                <c:pt idx="103">
                  <c:v>41283</c:v>
                </c:pt>
                <c:pt idx="104">
                  <c:v>41282</c:v>
                </c:pt>
                <c:pt idx="105">
                  <c:v>41281</c:v>
                </c:pt>
                <c:pt idx="106">
                  <c:v>41278</c:v>
                </c:pt>
                <c:pt idx="107">
                  <c:v>41277</c:v>
                </c:pt>
                <c:pt idx="108">
                  <c:v>41276</c:v>
                </c:pt>
                <c:pt idx="109">
                  <c:v>41271</c:v>
                </c:pt>
                <c:pt idx="110">
                  <c:v>41270</c:v>
                </c:pt>
                <c:pt idx="111">
                  <c:v>41264</c:v>
                </c:pt>
                <c:pt idx="112">
                  <c:v>41263</c:v>
                </c:pt>
                <c:pt idx="113">
                  <c:v>41262</c:v>
                </c:pt>
                <c:pt idx="114">
                  <c:v>41261</c:v>
                </c:pt>
                <c:pt idx="115">
                  <c:v>41260</c:v>
                </c:pt>
                <c:pt idx="116">
                  <c:v>41257</c:v>
                </c:pt>
                <c:pt idx="117">
                  <c:v>41256</c:v>
                </c:pt>
                <c:pt idx="118">
                  <c:v>41255</c:v>
                </c:pt>
                <c:pt idx="119">
                  <c:v>41254</c:v>
                </c:pt>
                <c:pt idx="120">
                  <c:v>41253</c:v>
                </c:pt>
                <c:pt idx="121">
                  <c:v>41250</c:v>
                </c:pt>
                <c:pt idx="122">
                  <c:v>41249</c:v>
                </c:pt>
                <c:pt idx="123">
                  <c:v>41248</c:v>
                </c:pt>
                <c:pt idx="124">
                  <c:v>41247</c:v>
                </c:pt>
                <c:pt idx="125">
                  <c:v>41246</c:v>
                </c:pt>
                <c:pt idx="126">
                  <c:v>41243</c:v>
                </c:pt>
                <c:pt idx="127">
                  <c:v>41242</c:v>
                </c:pt>
                <c:pt idx="128">
                  <c:v>41241</c:v>
                </c:pt>
                <c:pt idx="129">
                  <c:v>41240</c:v>
                </c:pt>
                <c:pt idx="130">
                  <c:v>41239</c:v>
                </c:pt>
                <c:pt idx="131">
                  <c:v>41236</c:v>
                </c:pt>
                <c:pt idx="132">
                  <c:v>41235</c:v>
                </c:pt>
                <c:pt idx="133">
                  <c:v>41234</c:v>
                </c:pt>
                <c:pt idx="134">
                  <c:v>41233</c:v>
                </c:pt>
                <c:pt idx="135">
                  <c:v>41232</c:v>
                </c:pt>
                <c:pt idx="136">
                  <c:v>41229</c:v>
                </c:pt>
                <c:pt idx="137">
                  <c:v>41228</c:v>
                </c:pt>
                <c:pt idx="138">
                  <c:v>41227</c:v>
                </c:pt>
                <c:pt idx="139">
                  <c:v>41226</c:v>
                </c:pt>
                <c:pt idx="140">
                  <c:v>41225</c:v>
                </c:pt>
                <c:pt idx="141">
                  <c:v>41222</c:v>
                </c:pt>
                <c:pt idx="142">
                  <c:v>41221</c:v>
                </c:pt>
                <c:pt idx="143">
                  <c:v>41220</c:v>
                </c:pt>
                <c:pt idx="144">
                  <c:v>41219</c:v>
                </c:pt>
                <c:pt idx="145">
                  <c:v>41218</c:v>
                </c:pt>
                <c:pt idx="146">
                  <c:v>41215</c:v>
                </c:pt>
                <c:pt idx="147">
                  <c:v>41214</c:v>
                </c:pt>
                <c:pt idx="148">
                  <c:v>41213</c:v>
                </c:pt>
                <c:pt idx="149">
                  <c:v>41212</c:v>
                </c:pt>
                <c:pt idx="150">
                  <c:v>41211</c:v>
                </c:pt>
                <c:pt idx="151">
                  <c:v>41208</c:v>
                </c:pt>
                <c:pt idx="152">
                  <c:v>41207</c:v>
                </c:pt>
                <c:pt idx="153">
                  <c:v>41206</c:v>
                </c:pt>
                <c:pt idx="154">
                  <c:v>41205</c:v>
                </c:pt>
                <c:pt idx="155">
                  <c:v>41204</c:v>
                </c:pt>
                <c:pt idx="156">
                  <c:v>41201</c:v>
                </c:pt>
                <c:pt idx="157">
                  <c:v>41200</c:v>
                </c:pt>
                <c:pt idx="158">
                  <c:v>41199</c:v>
                </c:pt>
                <c:pt idx="159">
                  <c:v>41198</c:v>
                </c:pt>
                <c:pt idx="160">
                  <c:v>41197</c:v>
                </c:pt>
                <c:pt idx="161">
                  <c:v>41194</c:v>
                </c:pt>
                <c:pt idx="162">
                  <c:v>41193</c:v>
                </c:pt>
                <c:pt idx="163">
                  <c:v>41192</c:v>
                </c:pt>
                <c:pt idx="164">
                  <c:v>41191</c:v>
                </c:pt>
                <c:pt idx="165">
                  <c:v>41190</c:v>
                </c:pt>
                <c:pt idx="166">
                  <c:v>41187</c:v>
                </c:pt>
                <c:pt idx="167">
                  <c:v>41186</c:v>
                </c:pt>
                <c:pt idx="168">
                  <c:v>41185</c:v>
                </c:pt>
                <c:pt idx="169">
                  <c:v>41184</c:v>
                </c:pt>
                <c:pt idx="170">
                  <c:v>41183</c:v>
                </c:pt>
                <c:pt idx="171">
                  <c:v>41180</c:v>
                </c:pt>
                <c:pt idx="172">
                  <c:v>41179</c:v>
                </c:pt>
                <c:pt idx="173">
                  <c:v>41178</c:v>
                </c:pt>
                <c:pt idx="174">
                  <c:v>41177</c:v>
                </c:pt>
                <c:pt idx="175">
                  <c:v>41176</c:v>
                </c:pt>
                <c:pt idx="176">
                  <c:v>41173</c:v>
                </c:pt>
                <c:pt idx="177">
                  <c:v>41172</c:v>
                </c:pt>
                <c:pt idx="178">
                  <c:v>41171</c:v>
                </c:pt>
                <c:pt idx="179">
                  <c:v>41170</c:v>
                </c:pt>
                <c:pt idx="180">
                  <c:v>41169</c:v>
                </c:pt>
                <c:pt idx="181">
                  <c:v>41166</c:v>
                </c:pt>
                <c:pt idx="182">
                  <c:v>41165</c:v>
                </c:pt>
                <c:pt idx="183">
                  <c:v>41164</c:v>
                </c:pt>
                <c:pt idx="184">
                  <c:v>41163</c:v>
                </c:pt>
                <c:pt idx="185">
                  <c:v>41162</c:v>
                </c:pt>
                <c:pt idx="186">
                  <c:v>41159</c:v>
                </c:pt>
                <c:pt idx="187">
                  <c:v>41158</c:v>
                </c:pt>
                <c:pt idx="188">
                  <c:v>41157</c:v>
                </c:pt>
                <c:pt idx="189">
                  <c:v>41156</c:v>
                </c:pt>
                <c:pt idx="190">
                  <c:v>41155</c:v>
                </c:pt>
                <c:pt idx="191">
                  <c:v>41152</c:v>
                </c:pt>
                <c:pt idx="192">
                  <c:v>41151</c:v>
                </c:pt>
                <c:pt idx="193">
                  <c:v>41150</c:v>
                </c:pt>
                <c:pt idx="194">
                  <c:v>41149</c:v>
                </c:pt>
                <c:pt idx="195">
                  <c:v>41148</c:v>
                </c:pt>
                <c:pt idx="196">
                  <c:v>41145</c:v>
                </c:pt>
                <c:pt idx="197">
                  <c:v>41144</c:v>
                </c:pt>
                <c:pt idx="198">
                  <c:v>41143</c:v>
                </c:pt>
                <c:pt idx="199">
                  <c:v>41142</c:v>
                </c:pt>
                <c:pt idx="200">
                  <c:v>41141</c:v>
                </c:pt>
                <c:pt idx="201">
                  <c:v>41138</c:v>
                </c:pt>
                <c:pt idx="202">
                  <c:v>41137</c:v>
                </c:pt>
                <c:pt idx="203">
                  <c:v>41136</c:v>
                </c:pt>
                <c:pt idx="204">
                  <c:v>41135</c:v>
                </c:pt>
                <c:pt idx="205">
                  <c:v>41134</c:v>
                </c:pt>
                <c:pt idx="206">
                  <c:v>41131</c:v>
                </c:pt>
                <c:pt idx="207">
                  <c:v>41130</c:v>
                </c:pt>
                <c:pt idx="208">
                  <c:v>41129</c:v>
                </c:pt>
                <c:pt idx="209">
                  <c:v>41128</c:v>
                </c:pt>
                <c:pt idx="210">
                  <c:v>41127</c:v>
                </c:pt>
                <c:pt idx="211">
                  <c:v>41124</c:v>
                </c:pt>
                <c:pt idx="212">
                  <c:v>41123</c:v>
                </c:pt>
                <c:pt idx="213">
                  <c:v>41122</c:v>
                </c:pt>
                <c:pt idx="214">
                  <c:v>41121</c:v>
                </c:pt>
                <c:pt idx="215">
                  <c:v>41120</c:v>
                </c:pt>
                <c:pt idx="216">
                  <c:v>41117</c:v>
                </c:pt>
                <c:pt idx="217">
                  <c:v>41116</c:v>
                </c:pt>
                <c:pt idx="218">
                  <c:v>41115</c:v>
                </c:pt>
                <c:pt idx="219">
                  <c:v>41114</c:v>
                </c:pt>
                <c:pt idx="220">
                  <c:v>41113</c:v>
                </c:pt>
                <c:pt idx="221">
                  <c:v>41110</c:v>
                </c:pt>
                <c:pt idx="222">
                  <c:v>41109</c:v>
                </c:pt>
                <c:pt idx="223">
                  <c:v>41108</c:v>
                </c:pt>
                <c:pt idx="224">
                  <c:v>41107</c:v>
                </c:pt>
                <c:pt idx="225">
                  <c:v>41106</c:v>
                </c:pt>
                <c:pt idx="226">
                  <c:v>41103</c:v>
                </c:pt>
                <c:pt idx="227">
                  <c:v>41102</c:v>
                </c:pt>
                <c:pt idx="228">
                  <c:v>41101</c:v>
                </c:pt>
                <c:pt idx="229">
                  <c:v>41100</c:v>
                </c:pt>
                <c:pt idx="230">
                  <c:v>41099</c:v>
                </c:pt>
                <c:pt idx="231">
                  <c:v>41096</c:v>
                </c:pt>
                <c:pt idx="232">
                  <c:v>41095</c:v>
                </c:pt>
                <c:pt idx="233">
                  <c:v>41094</c:v>
                </c:pt>
                <c:pt idx="234">
                  <c:v>41093</c:v>
                </c:pt>
                <c:pt idx="235">
                  <c:v>41092</c:v>
                </c:pt>
                <c:pt idx="236">
                  <c:v>41089</c:v>
                </c:pt>
                <c:pt idx="237">
                  <c:v>41088</c:v>
                </c:pt>
                <c:pt idx="238">
                  <c:v>41087</c:v>
                </c:pt>
                <c:pt idx="239">
                  <c:v>41086</c:v>
                </c:pt>
                <c:pt idx="240">
                  <c:v>41085</c:v>
                </c:pt>
                <c:pt idx="241">
                  <c:v>41082</c:v>
                </c:pt>
                <c:pt idx="242">
                  <c:v>41081</c:v>
                </c:pt>
                <c:pt idx="243">
                  <c:v>41080</c:v>
                </c:pt>
                <c:pt idx="244">
                  <c:v>41079</c:v>
                </c:pt>
                <c:pt idx="245">
                  <c:v>41078</c:v>
                </c:pt>
                <c:pt idx="246">
                  <c:v>41075</c:v>
                </c:pt>
                <c:pt idx="247">
                  <c:v>41074</c:v>
                </c:pt>
                <c:pt idx="248">
                  <c:v>41073</c:v>
                </c:pt>
                <c:pt idx="249">
                  <c:v>41072</c:v>
                </c:pt>
              </c:numCache>
            </c:numRef>
          </c:cat>
          <c:val>
            <c:numRef>
              <c:f>SourceData!$C$250:$C$499</c:f>
              <c:numCache>
                <c:formatCode>#,##0_);[Red]\(#,##0\)</c:formatCode>
                <c:ptCount val="25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1092888"/>
        <c:axId val="951096024"/>
      </c:barChart>
      <c:dateAx>
        <c:axId val="951092888"/>
        <c:scaling>
          <c:orientation val="minMax"/>
        </c:scaling>
        <c:delete val="0"/>
        <c:axPos val="b"/>
        <c:numFmt formatCode="dd/mm/yyyy" sourceLinked="0"/>
        <c:majorTickMark val="none"/>
        <c:minorTickMark val="none"/>
        <c:tickLblPos val="nextTo"/>
        <c:spPr>
          <a:ln w="3175">
            <a:solidFill>
              <a:srgbClr val="ABABAB"/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51096024"/>
        <c:crosses val="autoZero"/>
        <c:auto val="1"/>
        <c:lblOffset val="100"/>
        <c:baseTimeUnit val="days"/>
      </c:dateAx>
      <c:valAx>
        <c:axId val="951096024"/>
        <c:scaling>
          <c:orientation val="minMax"/>
        </c:scaling>
        <c:delete val="0"/>
        <c:axPos val="l"/>
        <c:majorGridlines>
          <c:spPr>
            <a:ln w="3175">
              <a:solidFill>
                <a:srgbClr val="D3D3D3"/>
              </a:solidFill>
              <a:prstDash val="solid"/>
            </a:ln>
          </c:spPr>
        </c:majorGridlines>
        <c:numFmt formatCode="#,##0_);[Red]\(#,##0\)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en-US"/>
          </a:p>
        </c:txPr>
        <c:crossAx val="951092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7091735303343439"/>
          <c:y val="0.92057262569832399"/>
          <c:w val="0.52886519294819778"/>
          <c:h val="7.942737430167597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bg1">
          <a:lumMod val="8500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5" footer="0.5"/>
    <c:pageSetup paperSize="9" orientation="landscape" verticalDpi="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Simulated deliveries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8712800325284525E-2"/>
          <c:y val="0.28278632588875274"/>
          <c:w val="0.79253907496802001"/>
          <c:h val="0.37950105676328505"/>
        </c:manualLayout>
      </c:layout>
      <c:lineChart>
        <c:grouping val="standard"/>
        <c:varyColors val="0"/>
        <c:ser>
          <c:idx val="0"/>
          <c:order val="0"/>
          <c:tx>
            <c:strRef>
              <c:f>Sim_Data!$H$1</c:f>
              <c:strCache>
                <c:ptCount val="1"/>
                <c:pt idx="0">
                  <c:v>Simulated delivery</c:v>
                </c:pt>
              </c:strCache>
            </c:strRef>
          </c:tx>
          <c:marker>
            <c:symbol val="none"/>
          </c:marker>
          <c:cat>
            <c:numRef>
              <c:f>Sim_Data!$A$2:$A$484</c:f>
              <c:numCache>
                <c:formatCode>m/d/yyyy</c:formatCode>
                <c:ptCount val="249"/>
                <c:pt idx="0">
                  <c:v>42440</c:v>
                </c:pt>
                <c:pt idx="1">
                  <c:v>41436</c:v>
                </c:pt>
                <c:pt idx="2">
                  <c:v>41435</c:v>
                </c:pt>
                <c:pt idx="3">
                  <c:v>41432</c:v>
                </c:pt>
                <c:pt idx="4">
                  <c:v>41431</c:v>
                </c:pt>
                <c:pt idx="5">
                  <c:v>41430</c:v>
                </c:pt>
                <c:pt idx="6">
                  <c:v>41429</c:v>
                </c:pt>
                <c:pt idx="7">
                  <c:v>41428</c:v>
                </c:pt>
                <c:pt idx="8">
                  <c:v>41425</c:v>
                </c:pt>
                <c:pt idx="9">
                  <c:v>41424</c:v>
                </c:pt>
                <c:pt idx="10">
                  <c:v>41423</c:v>
                </c:pt>
                <c:pt idx="11">
                  <c:v>41422</c:v>
                </c:pt>
                <c:pt idx="12">
                  <c:v>41421</c:v>
                </c:pt>
                <c:pt idx="13">
                  <c:v>41418</c:v>
                </c:pt>
                <c:pt idx="14">
                  <c:v>41417</c:v>
                </c:pt>
                <c:pt idx="15">
                  <c:v>41416</c:v>
                </c:pt>
                <c:pt idx="16">
                  <c:v>41415</c:v>
                </c:pt>
                <c:pt idx="17">
                  <c:v>41410</c:v>
                </c:pt>
                <c:pt idx="18">
                  <c:v>41409</c:v>
                </c:pt>
                <c:pt idx="19">
                  <c:v>41408</c:v>
                </c:pt>
                <c:pt idx="20">
                  <c:v>41407</c:v>
                </c:pt>
                <c:pt idx="21">
                  <c:v>41404</c:v>
                </c:pt>
                <c:pt idx="22">
                  <c:v>41402</c:v>
                </c:pt>
                <c:pt idx="23">
                  <c:v>41401</c:v>
                </c:pt>
                <c:pt idx="24">
                  <c:v>41400</c:v>
                </c:pt>
                <c:pt idx="25">
                  <c:v>41397</c:v>
                </c:pt>
                <c:pt idx="26">
                  <c:v>41396</c:v>
                </c:pt>
                <c:pt idx="27">
                  <c:v>41394</c:v>
                </c:pt>
                <c:pt idx="28">
                  <c:v>41393</c:v>
                </c:pt>
                <c:pt idx="29">
                  <c:v>41390</c:v>
                </c:pt>
                <c:pt idx="30">
                  <c:v>41389</c:v>
                </c:pt>
                <c:pt idx="31">
                  <c:v>41388</c:v>
                </c:pt>
                <c:pt idx="32">
                  <c:v>41387</c:v>
                </c:pt>
                <c:pt idx="33">
                  <c:v>41386</c:v>
                </c:pt>
                <c:pt idx="34">
                  <c:v>41383</c:v>
                </c:pt>
                <c:pt idx="35">
                  <c:v>41382</c:v>
                </c:pt>
                <c:pt idx="36">
                  <c:v>41381</c:v>
                </c:pt>
                <c:pt idx="37">
                  <c:v>41380</c:v>
                </c:pt>
                <c:pt idx="38">
                  <c:v>41379</c:v>
                </c:pt>
                <c:pt idx="39">
                  <c:v>41376</c:v>
                </c:pt>
                <c:pt idx="40">
                  <c:v>41375</c:v>
                </c:pt>
                <c:pt idx="41">
                  <c:v>41374</c:v>
                </c:pt>
                <c:pt idx="42">
                  <c:v>41373</c:v>
                </c:pt>
                <c:pt idx="43">
                  <c:v>41372</c:v>
                </c:pt>
                <c:pt idx="44">
                  <c:v>41369</c:v>
                </c:pt>
                <c:pt idx="45">
                  <c:v>41368</c:v>
                </c:pt>
                <c:pt idx="46">
                  <c:v>41367</c:v>
                </c:pt>
                <c:pt idx="47">
                  <c:v>41366</c:v>
                </c:pt>
                <c:pt idx="48">
                  <c:v>41360</c:v>
                </c:pt>
                <c:pt idx="49">
                  <c:v>41359</c:v>
                </c:pt>
                <c:pt idx="50">
                  <c:v>41358</c:v>
                </c:pt>
                <c:pt idx="51">
                  <c:v>41355</c:v>
                </c:pt>
                <c:pt idx="52">
                  <c:v>41354</c:v>
                </c:pt>
                <c:pt idx="53">
                  <c:v>41353</c:v>
                </c:pt>
                <c:pt idx="54">
                  <c:v>41352</c:v>
                </c:pt>
                <c:pt idx="55">
                  <c:v>41351</c:v>
                </c:pt>
                <c:pt idx="56">
                  <c:v>41348</c:v>
                </c:pt>
                <c:pt idx="57">
                  <c:v>41347</c:v>
                </c:pt>
                <c:pt idx="58">
                  <c:v>41346</c:v>
                </c:pt>
                <c:pt idx="59">
                  <c:v>41345</c:v>
                </c:pt>
                <c:pt idx="60">
                  <c:v>41344</c:v>
                </c:pt>
                <c:pt idx="61">
                  <c:v>41341</c:v>
                </c:pt>
                <c:pt idx="62">
                  <c:v>41340</c:v>
                </c:pt>
                <c:pt idx="63">
                  <c:v>41339</c:v>
                </c:pt>
                <c:pt idx="64">
                  <c:v>41338</c:v>
                </c:pt>
                <c:pt idx="65">
                  <c:v>41337</c:v>
                </c:pt>
                <c:pt idx="66">
                  <c:v>41334</c:v>
                </c:pt>
                <c:pt idx="67">
                  <c:v>41333</c:v>
                </c:pt>
                <c:pt idx="68">
                  <c:v>41332</c:v>
                </c:pt>
                <c:pt idx="69">
                  <c:v>41331</c:v>
                </c:pt>
                <c:pt idx="70">
                  <c:v>41330</c:v>
                </c:pt>
                <c:pt idx="71">
                  <c:v>41327</c:v>
                </c:pt>
                <c:pt idx="72">
                  <c:v>41326</c:v>
                </c:pt>
                <c:pt idx="73">
                  <c:v>41325</c:v>
                </c:pt>
                <c:pt idx="74">
                  <c:v>41324</c:v>
                </c:pt>
                <c:pt idx="75">
                  <c:v>41323</c:v>
                </c:pt>
                <c:pt idx="76">
                  <c:v>41320</c:v>
                </c:pt>
                <c:pt idx="77">
                  <c:v>41319</c:v>
                </c:pt>
                <c:pt idx="78">
                  <c:v>41318</c:v>
                </c:pt>
                <c:pt idx="79">
                  <c:v>41317</c:v>
                </c:pt>
                <c:pt idx="80">
                  <c:v>41316</c:v>
                </c:pt>
                <c:pt idx="81">
                  <c:v>41313</c:v>
                </c:pt>
                <c:pt idx="82">
                  <c:v>41312</c:v>
                </c:pt>
                <c:pt idx="83">
                  <c:v>41311</c:v>
                </c:pt>
                <c:pt idx="84">
                  <c:v>41310</c:v>
                </c:pt>
                <c:pt idx="85">
                  <c:v>41309</c:v>
                </c:pt>
                <c:pt idx="86">
                  <c:v>41306</c:v>
                </c:pt>
                <c:pt idx="87">
                  <c:v>41305</c:v>
                </c:pt>
                <c:pt idx="88">
                  <c:v>41304</c:v>
                </c:pt>
                <c:pt idx="89">
                  <c:v>41303</c:v>
                </c:pt>
                <c:pt idx="90">
                  <c:v>41302</c:v>
                </c:pt>
                <c:pt idx="91">
                  <c:v>41299</c:v>
                </c:pt>
                <c:pt idx="92">
                  <c:v>41298</c:v>
                </c:pt>
                <c:pt idx="93">
                  <c:v>41297</c:v>
                </c:pt>
                <c:pt idx="94">
                  <c:v>41296</c:v>
                </c:pt>
                <c:pt idx="95">
                  <c:v>41295</c:v>
                </c:pt>
                <c:pt idx="96">
                  <c:v>41292</c:v>
                </c:pt>
                <c:pt idx="97">
                  <c:v>41291</c:v>
                </c:pt>
                <c:pt idx="98">
                  <c:v>41290</c:v>
                </c:pt>
                <c:pt idx="99">
                  <c:v>41289</c:v>
                </c:pt>
                <c:pt idx="100">
                  <c:v>41288</c:v>
                </c:pt>
                <c:pt idx="101">
                  <c:v>41285</c:v>
                </c:pt>
                <c:pt idx="102">
                  <c:v>41284</c:v>
                </c:pt>
                <c:pt idx="103">
                  <c:v>41283</c:v>
                </c:pt>
                <c:pt idx="104">
                  <c:v>41282</c:v>
                </c:pt>
                <c:pt idx="105">
                  <c:v>41281</c:v>
                </c:pt>
                <c:pt idx="106">
                  <c:v>41278</c:v>
                </c:pt>
                <c:pt idx="107">
                  <c:v>41277</c:v>
                </c:pt>
                <c:pt idx="108">
                  <c:v>41276</c:v>
                </c:pt>
                <c:pt idx="109">
                  <c:v>41271</c:v>
                </c:pt>
                <c:pt idx="110">
                  <c:v>41270</c:v>
                </c:pt>
                <c:pt idx="111">
                  <c:v>41264</c:v>
                </c:pt>
                <c:pt idx="112">
                  <c:v>41263</c:v>
                </c:pt>
                <c:pt idx="113">
                  <c:v>41262</c:v>
                </c:pt>
                <c:pt idx="114">
                  <c:v>41261</c:v>
                </c:pt>
                <c:pt idx="115">
                  <c:v>41260</c:v>
                </c:pt>
                <c:pt idx="116">
                  <c:v>41257</c:v>
                </c:pt>
                <c:pt idx="117">
                  <c:v>41256</c:v>
                </c:pt>
                <c:pt idx="118">
                  <c:v>41255</c:v>
                </c:pt>
                <c:pt idx="119">
                  <c:v>41254</c:v>
                </c:pt>
                <c:pt idx="120">
                  <c:v>41253</c:v>
                </c:pt>
                <c:pt idx="121">
                  <c:v>41250</c:v>
                </c:pt>
                <c:pt idx="122">
                  <c:v>41249</c:v>
                </c:pt>
                <c:pt idx="123">
                  <c:v>41248</c:v>
                </c:pt>
                <c:pt idx="124">
                  <c:v>41247</c:v>
                </c:pt>
                <c:pt idx="125">
                  <c:v>41246</c:v>
                </c:pt>
                <c:pt idx="126">
                  <c:v>41243</c:v>
                </c:pt>
                <c:pt idx="127">
                  <c:v>41242</c:v>
                </c:pt>
                <c:pt idx="128">
                  <c:v>41241</c:v>
                </c:pt>
                <c:pt idx="129">
                  <c:v>41240</c:v>
                </c:pt>
                <c:pt idx="130">
                  <c:v>41239</c:v>
                </c:pt>
                <c:pt idx="131">
                  <c:v>41236</c:v>
                </c:pt>
                <c:pt idx="132">
                  <c:v>41235</c:v>
                </c:pt>
                <c:pt idx="133">
                  <c:v>41234</c:v>
                </c:pt>
                <c:pt idx="134">
                  <c:v>41233</c:v>
                </c:pt>
                <c:pt idx="135">
                  <c:v>41232</c:v>
                </c:pt>
                <c:pt idx="136">
                  <c:v>41229</c:v>
                </c:pt>
                <c:pt idx="137">
                  <c:v>41228</c:v>
                </c:pt>
                <c:pt idx="138">
                  <c:v>41227</c:v>
                </c:pt>
                <c:pt idx="139">
                  <c:v>41226</c:v>
                </c:pt>
                <c:pt idx="140">
                  <c:v>41225</c:v>
                </c:pt>
                <c:pt idx="141">
                  <c:v>41222</c:v>
                </c:pt>
                <c:pt idx="142">
                  <c:v>41221</c:v>
                </c:pt>
                <c:pt idx="143">
                  <c:v>41220</c:v>
                </c:pt>
                <c:pt idx="144">
                  <c:v>41219</c:v>
                </c:pt>
                <c:pt idx="145">
                  <c:v>41218</c:v>
                </c:pt>
                <c:pt idx="146">
                  <c:v>41215</c:v>
                </c:pt>
                <c:pt idx="147">
                  <c:v>41214</c:v>
                </c:pt>
                <c:pt idx="148">
                  <c:v>41213</c:v>
                </c:pt>
                <c:pt idx="149">
                  <c:v>41212</c:v>
                </c:pt>
                <c:pt idx="150">
                  <c:v>41211</c:v>
                </c:pt>
                <c:pt idx="151">
                  <c:v>41208</c:v>
                </c:pt>
                <c:pt idx="152">
                  <c:v>41207</c:v>
                </c:pt>
                <c:pt idx="153">
                  <c:v>41206</c:v>
                </c:pt>
                <c:pt idx="154">
                  <c:v>41205</c:v>
                </c:pt>
                <c:pt idx="155">
                  <c:v>41204</c:v>
                </c:pt>
                <c:pt idx="156">
                  <c:v>41201</c:v>
                </c:pt>
                <c:pt idx="157">
                  <c:v>41200</c:v>
                </c:pt>
                <c:pt idx="158">
                  <c:v>41199</c:v>
                </c:pt>
                <c:pt idx="159">
                  <c:v>41198</c:v>
                </c:pt>
                <c:pt idx="160">
                  <c:v>41197</c:v>
                </c:pt>
                <c:pt idx="161">
                  <c:v>41194</c:v>
                </c:pt>
                <c:pt idx="162">
                  <c:v>41193</c:v>
                </c:pt>
                <c:pt idx="163">
                  <c:v>41192</c:v>
                </c:pt>
                <c:pt idx="164">
                  <c:v>41191</c:v>
                </c:pt>
                <c:pt idx="165">
                  <c:v>41190</c:v>
                </c:pt>
                <c:pt idx="166">
                  <c:v>41187</c:v>
                </c:pt>
                <c:pt idx="167">
                  <c:v>41186</c:v>
                </c:pt>
                <c:pt idx="168">
                  <c:v>41185</c:v>
                </c:pt>
                <c:pt idx="169">
                  <c:v>41184</c:v>
                </c:pt>
                <c:pt idx="170">
                  <c:v>41183</c:v>
                </c:pt>
                <c:pt idx="171">
                  <c:v>41180</c:v>
                </c:pt>
                <c:pt idx="172">
                  <c:v>41179</c:v>
                </c:pt>
                <c:pt idx="173">
                  <c:v>41178</c:v>
                </c:pt>
                <c:pt idx="174">
                  <c:v>41177</c:v>
                </c:pt>
                <c:pt idx="175">
                  <c:v>41176</c:v>
                </c:pt>
                <c:pt idx="176">
                  <c:v>41173</c:v>
                </c:pt>
                <c:pt idx="177">
                  <c:v>41172</c:v>
                </c:pt>
                <c:pt idx="178">
                  <c:v>41171</c:v>
                </c:pt>
                <c:pt idx="179">
                  <c:v>41170</c:v>
                </c:pt>
                <c:pt idx="180">
                  <c:v>41169</c:v>
                </c:pt>
                <c:pt idx="181">
                  <c:v>41166</c:v>
                </c:pt>
                <c:pt idx="182">
                  <c:v>41165</c:v>
                </c:pt>
                <c:pt idx="183">
                  <c:v>41164</c:v>
                </c:pt>
                <c:pt idx="184">
                  <c:v>41163</c:v>
                </c:pt>
                <c:pt idx="185">
                  <c:v>41162</c:v>
                </c:pt>
                <c:pt idx="186">
                  <c:v>41159</c:v>
                </c:pt>
                <c:pt idx="187">
                  <c:v>41158</c:v>
                </c:pt>
                <c:pt idx="188">
                  <c:v>41157</c:v>
                </c:pt>
                <c:pt idx="189">
                  <c:v>41156</c:v>
                </c:pt>
                <c:pt idx="190">
                  <c:v>41155</c:v>
                </c:pt>
                <c:pt idx="191">
                  <c:v>41152</c:v>
                </c:pt>
                <c:pt idx="192">
                  <c:v>41151</c:v>
                </c:pt>
                <c:pt idx="193">
                  <c:v>41150</c:v>
                </c:pt>
                <c:pt idx="194">
                  <c:v>41149</c:v>
                </c:pt>
                <c:pt idx="195">
                  <c:v>41148</c:v>
                </c:pt>
                <c:pt idx="196">
                  <c:v>41145</c:v>
                </c:pt>
                <c:pt idx="197">
                  <c:v>41144</c:v>
                </c:pt>
                <c:pt idx="198">
                  <c:v>41143</c:v>
                </c:pt>
                <c:pt idx="199">
                  <c:v>41142</c:v>
                </c:pt>
                <c:pt idx="200">
                  <c:v>41141</c:v>
                </c:pt>
                <c:pt idx="201">
                  <c:v>41138</c:v>
                </c:pt>
                <c:pt idx="202">
                  <c:v>41137</c:v>
                </c:pt>
                <c:pt idx="203">
                  <c:v>41136</c:v>
                </c:pt>
                <c:pt idx="204">
                  <c:v>41135</c:v>
                </c:pt>
                <c:pt idx="205">
                  <c:v>41134</c:v>
                </c:pt>
                <c:pt idx="206">
                  <c:v>41131</c:v>
                </c:pt>
                <c:pt idx="207">
                  <c:v>41130</c:v>
                </c:pt>
                <c:pt idx="208">
                  <c:v>41129</c:v>
                </c:pt>
                <c:pt idx="209">
                  <c:v>41128</c:v>
                </c:pt>
                <c:pt idx="210">
                  <c:v>41127</c:v>
                </c:pt>
                <c:pt idx="211">
                  <c:v>41124</c:v>
                </c:pt>
                <c:pt idx="212">
                  <c:v>41123</c:v>
                </c:pt>
                <c:pt idx="213">
                  <c:v>41122</c:v>
                </c:pt>
                <c:pt idx="214">
                  <c:v>41121</c:v>
                </c:pt>
                <c:pt idx="215">
                  <c:v>41120</c:v>
                </c:pt>
                <c:pt idx="216">
                  <c:v>41117</c:v>
                </c:pt>
                <c:pt idx="217">
                  <c:v>41116</c:v>
                </c:pt>
                <c:pt idx="218">
                  <c:v>41115</c:v>
                </c:pt>
                <c:pt idx="219">
                  <c:v>41114</c:v>
                </c:pt>
                <c:pt idx="220">
                  <c:v>41113</c:v>
                </c:pt>
                <c:pt idx="221">
                  <c:v>41110</c:v>
                </c:pt>
                <c:pt idx="222">
                  <c:v>41109</c:v>
                </c:pt>
                <c:pt idx="223">
                  <c:v>41108</c:v>
                </c:pt>
                <c:pt idx="224">
                  <c:v>41107</c:v>
                </c:pt>
                <c:pt idx="225">
                  <c:v>41106</c:v>
                </c:pt>
                <c:pt idx="226">
                  <c:v>41103</c:v>
                </c:pt>
                <c:pt idx="227">
                  <c:v>41102</c:v>
                </c:pt>
                <c:pt idx="228">
                  <c:v>41101</c:v>
                </c:pt>
                <c:pt idx="229">
                  <c:v>41100</c:v>
                </c:pt>
                <c:pt idx="230">
                  <c:v>41099</c:v>
                </c:pt>
                <c:pt idx="231">
                  <c:v>41096</c:v>
                </c:pt>
                <c:pt idx="232">
                  <c:v>41095</c:v>
                </c:pt>
                <c:pt idx="233">
                  <c:v>41094</c:v>
                </c:pt>
                <c:pt idx="234">
                  <c:v>41093</c:v>
                </c:pt>
                <c:pt idx="235">
                  <c:v>41092</c:v>
                </c:pt>
                <c:pt idx="236">
                  <c:v>41089</c:v>
                </c:pt>
                <c:pt idx="237">
                  <c:v>41088</c:v>
                </c:pt>
                <c:pt idx="238">
                  <c:v>41087</c:v>
                </c:pt>
                <c:pt idx="239">
                  <c:v>41086</c:v>
                </c:pt>
                <c:pt idx="240">
                  <c:v>41085</c:v>
                </c:pt>
                <c:pt idx="241">
                  <c:v>41082</c:v>
                </c:pt>
                <c:pt idx="242">
                  <c:v>41081</c:v>
                </c:pt>
                <c:pt idx="243">
                  <c:v>41080</c:v>
                </c:pt>
                <c:pt idx="244">
                  <c:v>41079</c:v>
                </c:pt>
                <c:pt idx="245">
                  <c:v>41078</c:v>
                </c:pt>
                <c:pt idx="246">
                  <c:v>41075</c:v>
                </c:pt>
                <c:pt idx="247">
                  <c:v>41074</c:v>
                </c:pt>
                <c:pt idx="248">
                  <c:v>41073</c:v>
                </c:pt>
              </c:numCache>
            </c:numRef>
          </c:cat>
          <c:val>
            <c:numRef>
              <c:f>Sim_Data!$H$2:$H$484</c:f>
              <c:numCache>
                <c:formatCode>#\ ##0.0;[Red]\-#\ ##0.0</c:formatCode>
                <c:ptCount val="2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12597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10266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9022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11217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15097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10683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089752"/>
        <c:axId val="951089360"/>
      </c:lineChart>
      <c:dateAx>
        <c:axId val="951089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4186839739500805"/>
              <c:y val="0.91560284159251459"/>
            </c:manualLayout>
          </c:layout>
          <c:overlay val="0"/>
        </c:title>
        <c:numFmt formatCode="m/d/yyyy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951089360"/>
        <c:crosses val="autoZero"/>
        <c:auto val="1"/>
        <c:lblOffset val="100"/>
        <c:baseTimeUnit val="days"/>
      </c:dateAx>
      <c:valAx>
        <c:axId val="951089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#\ ##0.0;[Red]\-#\ ##0.0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951089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8705180263319796"/>
          <c:y val="0.16658212560386471"/>
          <c:w val="0.43669219884336163"/>
          <c:h val="9.5639719202898557E-2"/>
        </c:manualLayout>
      </c:layout>
      <c:overlay val="0"/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/>
            </a:pPr>
            <a:r>
              <a:rPr lang="nb-NO" sz="1800" b="1"/>
              <a:t>Stock history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692908062930188"/>
          <c:y val="0.16657495471014494"/>
          <c:w val="0.67757620452310718"/>
          <c:h val="0.46962749094202899"/>
        </c:manualLayout>
      </c:layout>
      <c:areaChart>
        <c:grouping val="standard"/>
        <c:varyColors val="0"/>
        <c:ser>
          <c:idx val="0"/>
          <c:order val="0"/>
          <c:tx>
            <c:strRef>
              <c:f>SourceData!$B$1</c:f>
              <c:strCache>
                <c:ptCount val="1"/>
                <c:pt idx="0">
                  <c:v>Stock in BUm</c:v>
                </c:pt>
              </c:strCache>
            </c:strRef>
          </c:tx>
          <c:spPr>
            <a:solidFill>
              <a:srgbClr val="9999FF"/>
            </a:solidFill>
            <a:ln w="25400">
              <a:solidFill>
                <a:srgbClr val="9999FF"/>
              </a:solidFill>
              <a:prstDash val="solid"/>
            </a:ln>
          </c:spPr>
          <c:cat>
            <c:numRef>
              <c:f>SourceData!$A$210:$A$499</c:f>
              <c:numCache>
                <c:formatCode>m/d/yyyy</c:formatCode>
                <c:ptCount val="290"/>
                <c:pt idx="0">
                  <c:v>41493</c:v>
                </c:pt>
                <c:pt idx="1">
                  <c:v>41492</c:v>
                </c:pt>
                <c:pt idx="2">
                  <c:v>41491</c:v>
                </c:pt>
                <c:pt idx="3">
                  <c:v>41488</c:v>
                </c:pt>
                <c:pt idx="4">
                  <c:v>41487</c:v>
                </c:pt>
                <c:pt idx="5">
                  <c:v>41486</c:v>
                </c:pt>
                <c:pt idx="6">
                  <c:v>41485</c:v>
                </c:pt>
                <c:pt idx="7">
                  <c:v>41484</c:v>
                </c:pt>
                <c:pt idx="8">
                  <c:v>41481</c:v>
                </c:pt>
                <c:pt idx="9">
                  <c:v>41480</c:v>
                </c:pt>
                <c:pt idx="10">
                  <c:v>41479</c:v>
                </c:pt>
                <c:pt idx="11">
                  <c:v>41478</c:v>
                </c:pt>
                <c:pt idx="12">
                  <c:v>41477</c:v>
                </c:pt>
                <c:pt idx="13">
                  <c:v>41474</c:v>
                </c:pt>
                <c:pt idx="14">
                  <c:v>41473</c:v>
                </c:pt>
                <c:pt idx="15">
                  <c:v>41472</c:v>
                </c:pt>
                <c:pt idx="16">
                  <c:v>41471</c:v>
                </c:pt>
                <c:pt idx="17">
                  <c:v>41470</c:v>
                </c:pt>
                <c:pt idx="18">
                  <c:v>41467</c:v>
                </c:pt>
                <c:pt idx="19">
                  <c:v>41466</c:v>
                </c:pt>
                <c:pt idx="20">
                  <c:v>41465</c:v>
                </c:pt>
                <c:pt idx="21">
                  <c:v>41464</c:v>
                </c:pt>
                <c:pt idx="22">
                  <c:v>41463</c:v>
                </c:pt>
                <c:pt idx="23">
                  <c:v>41460</c:v>
                </c:pt>
                <c:pt idx="24">
                  <c:v>41459</c:v>
                </c:pt>
                <c:pt idx="25">
                  <c:v>41458</c:v>
                </c:pt>
                <c:pt idx="26">
                  <c:v>41457</c:v>
                </c:pt>
                <c:pt idx="27">
                  <c:v>41456</c:v>
                </c:pt>
                <c:pt idx="28">
                  <c:v>41453</c:v>
                </c:pt>
                <c:pt idx="29">
                  <c:v>41452</c:v>
                </c:pt>
                <c:pt idx="30">
                  <c:v>41451</c:v>
                </c:pt>
                <c:pt idx="31">
                  <c:v>41450</c:v>
                </c:pt>
                <c:pt idx="32">
                  <c:v>41449</c:v>
                </c:pt>
                <c:pt idx="33">
                  <c:v>41446</c:v>
                </c:pt>
                <c:pt idx="34">
                  <c:v>41445</c:v>
                </c:pt>
                <c:pt idx="35">
                  <c:v>41444</c:v>
                </c:pt>
                <c:pt idx="36">
                  <c:v>41443</c:v>
                </c:pt>
                <c:pt idx="37">
                  <c:v>41442</c:v>
                </c:pt>
                <c:pt idx="38">
                  <c:v>41439</c:v>
                </c:pt>
                <c:pt idx="39">
                  <c:v>41438</c:v>
                </c:pt>
                <c:pt idx="40">
                  <c:v>42440</c:v>
                </c:pt>
                <c:pt idx="41">
                  <c:v>41436</c:v>
                </c:pt>
                <c:pt idx="42">
                  <c:v>41435</c:v>
                </c:pt>
                <c:pt idx="43">
                  <c:v>41432</c:v>
                </c:pt>
                <c:pt idx="44">
                  <c:v>41431</c:v>
                </c:pt>
                <c:pt idx="45">
                  <c:v>41430</c:v>
                </c:pt>
                <c:pt idx="46">
                  <c:v>41429</c:v>
                </c:pt>
                <c:pt idx="47">
                  <c:v>41428</c:v>
                </c:pt>
                <c:pt idx="48">
                  <c:v>41425</c:v>
                </c:pt>
                <c:pt idx="49">
                  <c:v>41424</c:v>
                </c:pt>
                <c:pt idx="50">
                  <c:v>41423</c:v>
                </c:pt>
                <c:pt idx="51">
                  <c:v>41422</c:v>
                </c:pt>
                <c:pt idx="52">
                  <c:v>41421</c:v>
                </c:pt>
                <c:pt idx="53">
                  <c:v>41418</c:v>
                </c:pt>
                <c:pt idx="54">
                  <c:v>41417</c:v>
                </c:pt>
                <c:pt idx="55">
                  <c:v>41416</c:v>
                </c:pt>
                <c:pt idx="56">
                  <c:v>41415</c:v>
                </c:pt>
                <c:pt idx="57">
                  <c:v>41410</c:v>
                </c:pt>
                <c:pt idx="58">
                  <c:v>41409</c:v>
                </c:pt>
                <c:pt idx="59">
                  <c:v>41408</c:v>
                </c:pt>
                <c:pt idx="60">
                  <c:v>41407</c:v>
                </c:pt>
                <c:pt idx="61">
                  <c:v>41404</c:v>
                </c:pt>
                <c:pt idx="62">
                  <c:v>41402</c:v>
                </c:pt>
                <c:pt idx="63">
                  <c:v>41401</c:v>
                </c:pt>
                <c:pt idx="64">
                  <c:v>41400</c:v>
                </c:pt>
                <c:pt idx="65">
                  <c:v>41397</c:v>
                </c:pt>
                <c:pt idx="66">
                  <c:v>41396</c:v>
                </c:pt>
                <c:pt idx="67">
                  <c:v>41394</c:v>
                </c:pt>
                <c:pt idx="68">
                  <c:v>41393</c:v>
                </c:pt>
                <c:pt idx="69">
                  <c:v>41390</c:v>
                </c:pt>
                <c:pt idx="70">
                  <c:v>41389</c:v>
                </c:pt>
                <c:pt idx="71">
                  <c:v>41388</c:v>
                </c:pt>
                <c:pt idx="72">
                  <c:v>41387</c:v>
                </c:pt>
                <c:pt idx="73">
                  <c:v>41386</c:v>
                </c:pt>
                <c:pt idx="74">
                  <c:v>41383</c:v>
                </c:pt>
                <c:pt idx="75">
                  <c:v>41382</c:v>
                </c:pt>
                <c:pt idx="76">
                  <c:v>41381</c:v>
                </c:pt>
                <c:pt idx="77">
                  <c:v>41380</c:v>
                </c:pt>
                <c:pt idx="78">
                  <c:v>41379</c:v>
                </c:pt>
                <c:pt idx="79">
                  <c:v>41376</c:v>
                </c:pt>
                <c:pt idx="80">
                  <c:v>41375</c:v>
                </c:pt>
                <c:pt idx="81">
                  <c:v>41374</c:v>
                </c:pt>
                <c:pt idx="82">
                  <c:v>41373</c:v>
                </c:pt>
                <c:pt idx="83">
                  <c:v>41372</c:v>
                </c:pt>
                <c:pt idx="84">
                  <c:v>41369</c:v>
                </c:pt>
                <c:pt idx="85">
                  <c:v>41368</c:v>
                </c:pt>
                <c:pt idx="86">
                  <c:v>41367</c:v>
                </c:pt>
                <c:pt idx="87">
                  <c:v>41366</c:v>
                </c:pt>
                <c:pt idx="88">
                  <c:v>41360</c:v>
                </c:pt>
                <c:pt idx="89">
                  <c:v>41359</c:v>
                </c:pt>
                <c:pt idx="90">
                  <c:v>41358</c:v>
                </c:pt>
                <c:pt idx="91">
                  <c:v>41355</c:v>
                </c:pt>
                <c:pt idx="92">
                  <c:v>41354</c:v>
                </c:pt>
                <c:pt idx="93">
                  <c:v>41353</c:v>
                </c:pt>
                <c:pt idx="94">
                  <c:v>41352</c:v>
                </c:pt>
                <c:pt idx="95">
                  <c:v>41351</c:v>
                </c:pt>
                <c:pt idx="96">
                  <c:v>41348</c:v>
                </c:pt>
                <c:pt idx="97">
                  <c:v>41347</c:v>
                </c:pt>
                <c:pt idx="98">
                  <c:v>41346</c:v>
                </c:pt>
                <c:pt idx="99">
                  <c:v>41345</c:v>
                </c:pt>
                <c:pt idx="100">
                  <c:v>41344</c:v>
                </c:pt>
                <c:pt idx="101">
                  <c:v>41341</c:v>
                </c:pt>
                <c:pt idx="102">
                  <c:v>41340</c:v>
                </c:pt>
                <c:pt idx="103">
                  <c:v>41339</c:v>
                </c:pt>
                <c:pt idx="104">
                  <c:v>41338</c:v>
                </c:pt>
                <c:pt idx="105">
                  <c:v>41337</c:v>
                </c:pt>
                <c:pt idx="106">
                  <c:v>41334</c:v>
                </c:pt>
                <c:pt idx="107">
                  <c:v>41333</c:v>
                </c:pt>
                <c:pt idx="108">
                  <c:v>41332</c:v>
                </c:pt>
                <c:pt idx="109">
                  <c:v>41331</c:v>
                </c:pt>
                <c:pt idx="110">
                  <c:v>41330</c:v>
                </c:pt>
                <c:pt idx="111">
                  <c:v>41327</c:v>
                </c:pt>
                <c:pt idx="112">
                  <c:v>41326</c:v>
                </c:pt>
                <c:pt idx="113">
                  <c:v>41325</c:v>
                </c:pt>
                <c:pt idx="114">
                  <c:v>41324</c:v>
                </c:pt>
                <c:pt idx="115">
                  <c:v>41323</c:v>
                </c:pt>
                <c:pt idx="116">
                  <c:v>41320</c:v>
                </c:pt>
                <c:pt idx="117">
                  <c:v>41319</c:v>
                </c:pt>
                <c:pt idx="118">
                  <c:v>41318</c:v>
                </c:pt>
                <c:pt idx="119">
                  <c:v>41317</c:v>
                </c:pt>
                <c:pt idx="120">
                  <c:v>41316</c:v>
                </c:pt>
                <c:pt idx="121">
                  <c:v>41313</c:v>
                </c:pt>
                <c:pt idx="122">
                  <c:v>41312</c:v>
                </c:pt>
                <c:pt idx="123">
                  <c:v>41311</c:v>
                </c:pt>
                <c:pt idx="124">
                  <c:v>41310</c:v>
                </c:pt>
                <c:pt idx="125">
                  <c:v>41309</c:v>
                </c:pt>
                <c:pt idx="126">
                  <c:v>41306</c:v>
                </c:pt>
                <c:pt idx="127">
                  <c:v>41305</c:v>
                </c:pt>
                <c:pt idx="128">
                  <c:v>41304</c:v>
                </c:pt>
                <c:pt idx="129">
                  <c:v>41303</c:v>
                </c:pt>
                <c:pt idx="130">
                  <c:v>41302</c:v>
                </c:pt>
                <c:pt idx="131">
                  <c:v>41299</c:v>
                </c:pt>
                <c:pt idx="132">
                  <c:v>41298</c:v>
                </c:pt>
                <c:pt idx="133">
                  <c:v>41297</c:v>
                </c:pt>
                <c:pt idx="134">
                  <c:v>41296</c:v>
                </c:pt>
                <c:pt idx="135">
                  <c:v>41295</c:v>
                </c:pt>
                <c:pt idx="136">
                  <c:v>41292</c:v>
                </c:pt>
                <c:pt idx="137">
                  <c:v>41291</c:v>
                </c:pt>
                <c:pt idx="138">
                  <c:v>41290</c:v>
                </c:pt>
                <c:pt idx="139">
                  <c:v>41289</c:v>
                </c:pt>
                <c:pt idx="140">
                  <c:v>41288</c:v>
                </c:pt>
                <c:pt idx="141">
                  <c:v>41285</c:v>
                </c:pt>
                <c:pt idx="142">
                  <c:v>41284</c:v>
                </c:pt>
                <c:pt idx="143">
                  <c:v>41283</c:v>
                </c:pt>
                <c:pt idx="144">
                  <c:v>41282</c:v>
                </c:pt>
                <c:pt idx="145">
                  <c:v>41281</c:v>
                </c:pt>
                <c:pt idx="146">
                  <c:v>41278</c:v>
                </c:pt>
                <c:pt idx="147">
                  <c:v>41277</c:v>
                </c:pt>
                <c:pt idx="148">
                  <c:v>41276</c:v>
                </c:pt>
                <c:pt idx="149">
                  <c:v>41271</c:v>
                </c:pt>
                <c:pt idx="150">
                  <c:v>41270</c:v>
                </c:pt>
                <c:pt idx="151">
                  <c:v>41264</c:v>
                </c:pt>
                <c:pt idx="152">
                  <c:v>41263</c:v>
                </c:pt>
                <c:pt idx="153">
                  <c:v>41262</c:v>
                </c:pt>
                <c:pt idx="154">
                  <c:v>41261</c:v>
                </c:pt>
                <c:pt idx="155">
                  <c:v>41260</c:v>
                </c:pt>
                <c:pt idx="156">
                  <c:v>41257</c:v>
                </c:pt>
                <c:pt idx="157">
                  <c:v>41256</c:v>
                </c:pt>
                <c:pt idx="158">
                  <c:v>41255</c:v>
                </c:pt>
                <c:pt idx="159">
                  <c:v>41254</c:v>
                </c:pt>
                <c:pt idx="160">
                  <c:v>41253</c:v>
                </c:pt>
                <c:pt idx="161">
                  <c:v>41250</c:v>
                </c:pt>
                <c:pt idx="162">
                  <c:v>41249</c:v>
                </c:pt>
                <c:pt idx="163">
                  <c:v>41248</c:v>
                </c:pt>
                <c:pt idx="164">
                  <c:v>41247</c:v>
                </c:pt>
                <c:pt idx="165">
                  <c:v>41246</c:v>
                </c:pt>
                <c:pt idx="166">
                  <c:v>41243</c:v>
                </c:pt>
                <c:pt idx="167">
                  <c:v>41242</c:v>
                </c:pt>
                <c:pt idx="168">
                  <c:v>41241</c:v>
                </c:pt>
                <c:pt idx="169">
                  <c:v>41240</c:v>
                </c:pt>
                <c:pt idx="170">
                  <c:v>41239</c:v>
                </c:pt>
                <c:pt idx="171">
                  <c:v>41236</c:v>
                </c:pt>
                <c:pt idx="172">
                  <c:v>41235</c:v>
                </c:pt>
                <c:pt idx="173">
                  <c:v>41234</c:v>
                </c:pt>
                <c:pt idx="174">
                  <c:v>41233</c:v>
                </c:pt>
                <c:pt idx="175">
                  <c:v>41232</c:v>
                </c:pt>
                <c:pt idx="176">
                  <c:v>41229</c:v>
                </c:pt>
                <c:pt idx="177">
                  <c:v>41228</c:v>
                </c:pt>
                <c:pt idx="178">
                  <c:v>41227</c:v>
                </c:pt>
                <c:pt idx="179">
                  <c:v>41226</c:v>
                </c:pt>
                <c:pt idx="180">
                  <c:v>41225</c:v>
                </c:pt>
                <c:pt idx="181">
                  <c:v>41222</c:v>
                </c:pt>
                <c:pt idx="182">
                  <c:v>41221</c:v>
                </c:pt>
                <c:pt idx="183">
                  <c:v>41220</c:v>
                </c:pt>
                <c:pt idx="184">
                  <c:v>41219</c:v>
                </c:pt>
                <c:pt idx="185">
                  <c:v>41218</c:v>
                </c:pt>
                <c:pt idx="186">
                  <c:v>41215</c:v>
                </c:pt>
                <c:pt idx="187">
                  <c:v>41214</c:v>
                </c:pt>
                <c:pt idx="188">
                  <c:v>41213</c:v>
                </c:pt>
                <c:pt idx="189">
                  <c:v>41212</c:v>
                </c:pt>
                <c:pt idx="190">
                  <c:v>41211</c:v>
                </c:pt>
                <c:pt idx="191">
                  <c:v>41208</c:v>
                </c:pt>
                <c:pt idx="192">
                  <c:v>41207</c:v>
                </c:pt>
                <c:pt idx="193">
                  <c:v>41206</c:v>
                </c:pt>
                <c:pt idx="194">
                  <c:v>41205</c:v>
                </c:pt>
                <c:pt idx="195">
                  <c:v>41204</c:v>
                </c:pt>
                <c:pt idx="196">
                  <c:v>41201</c:v>
                </c:pt>
                <c:pt idx="197">
                  <c:v>41200</c:v>
                </c:pt>
                <c:pt idx="198">
                  <c:v>41199</c:v>
                </c:pt>
                <c:pt idx="199">
                  <c:v>41198</c:v>
                </c:pt>
                <c:pt idx="200">
                  <c:v>41197</c:v>
                </c:pt>
                <c:pt idx="201">
                  <c:v>41194</c:v>
                </c:pt>
                <c:pt idx="202">
                  <c:v>41193</c:v>
                </c:pt>
                <c:pt idx="203">
                  <c:v>41192</c:v>
                </c:pt>
                <c:pt idx="204">
                  <c:v>41191</c:v>
                </c:pt>
                <c:pt idx="205">
                  <c:v>41190</c:v>
                </c:pt>
                <c:pt idx="206">
                  <c:v>41187</c:v>
                </c:pt>
                <c:pt idx="207">
                  <c:v>41186</c:v>
                </c:pt>
                <c:pt idx="208">
                  <c:v>41185</c:v>
                </c:pt>
                <c:pt idx="209">
                  <c:v>41184</c:v>
                </c:pt>
                <c:pt idx="210">
                  <c:v>41183</c:v>
                </c:pt>
                <c:pt idx="211">
                  <c:v>41180</c:v>
                </c:pt>
                <c:pt idx="212">
                  <c:v>41179</c:v>
                </c:pt>
                <c:pt idx="213">
                  <c:v>41178</c:v>
                </c:pt>
                <c:pt idx="214">
                  <c:v>41177</c:v>
                </c:pt>
                <c:pt idx="215">
                  <c:v>41176</c:v>
                </c:pt>
                <c:pt idx="216">
                  <c:v>41173</c:v>
                </c:pt>
                <c:pt idx="217">
                  <c:v>41172</c:v>
                </c:pt>
                <c:pt idx="218">
                  <c:v>41171</c:v>
                </c:pt>
                <c:pt idx="219">
                  <c:v>41170</c:v>
                </c:pt>
                <c:pt idx="220">
                  <c:v>41169</c:v>
                </c:pt>
                <c:pt idx="221">
                  <c:v>41166</c:v>
                </c:pt>
                <c:pt idx="222">
                  <c:v>41165</c:v>
                </c:pt>
                <c:pt idx="223">
                  <c:v>41164</c:v>
                </c:pt>
                <c:pt idx="224">
                  <c:v>41163</c:v>
                </c:pt>
                <c:pt idx="225">
                  <c:v>41162</c:v>
                </c:pt>
                <c:pt idx="226">
                  <c:v>41159</c:v>
                </c:pt>
                <c:pt idx="227">
                  <c:v>41158</c:v>
                </c:pt>
                <c:pt idx="228">
                  <c:v>41157</c:v>
                </c:pt>
                <c:pt idx="229">
                  <c:v>41156</c:v>
                </c:pt>
                <c:pt idx="230">
                  <c:v>41155</c:v>
                </c:pt>
                <c:pt idx="231">
                  <c:v>41152</c:v>
                </c:pt>
                <c:pt idx="232">
                  <c:v>41151</c:v>
                </c:pt>
                <c:pt idx="233">
                  <c:v>41150</c:v>
                </c:pt>
                <c:pt idx="234">
                  <c:v>41149</c:v>
                </c:pt>
                <c:pt idx="235">
                  <c:v>41148</c:v>
                </c:pt>
                <c:pt idx="236">
                  <c:v>41145</c:v>
                </c:pt>
                <c:pt idx="237">
                  <c:v>41144</c:v>
                </c:pt>
                <c:pt idx="238">
                  <c:v>41143</c:v>
                </c:pt>
                <c:pt idx="239">
                  <c:v>41142</c:v>
                </c:pt>
                <c:pt idx="240">
                  <c:v>41141</c:v>
                </c:pt>
                <c:pt idx="241">
                  <c:v>41138</c:v>
                </c:pt>
                <c:pt idx="242">
                  <c:v>41137</c:v>
                </c:pt>
                <c:pt idx="243">
                  <c:v>41136</c:v>
                </c:pt>
                <c:pt idx="244">
                  <c:v>41135</c:v>
                </c:pt>
                <c:pt idx="245">
                  <c:v>41134</c:v>
                </c:pt>
                <c:pt idx="246">
                  <c:v>41131</c:v>
                </c:pt>
                <c:pt idx="247">
                  <c:v>41130</c:v>
                </c:pt>
                <c:pt idx="248">
                  <c:v>41129</c:v>
                </c:pt>
                <c:pt idx="249">
                  <c:v>41128</c:v>
                </c:pt>
                <c:pt idx="250">
                  <c:v>41127</c:v>
                </c:pt>
                <c:pt idx="251">
                  <c:v>41124</c:v>
                </c:pt>
                <c:pt idx="252">
                  <c:v>41123</c:v>
                </c:pt>
                <c:pt idx="253">
                  <c:v>41122</c:v>
                </c:pt>
                <c:pt idx="254">
                  <c:v>41121</c:v>
                </c:pt>
                <c:pt idx="255">
                  <c:v>41120</c:v>
                </c:pt>
                <c:pt idx="256">
                  <c:v>41117</c:v>
                </c:pt>
                <c:pt idx="257">
                  <c:v>41116</c:v>
                </c:pt>
                <c:pt idx="258">
                  <c:v>41115</c:v>
                </c:pt>
                <c:pt idx="259">
                  <c:v>41114</c:v>
                </c:pt>
                <c:pt idx="260">
                  <c:v>41113</c:v>
                </c:pt>
                <c:pt idx="261">
                  <c:v>41110</c:v>
                </c:pt>
                <c:pt idx="262">
                  <c:v>41109</c:v>
                </c:pt>
                <c:pt idx="263">
                  <c:v>41108</c:v>
                </c:pt>
                <c:pt idx="264">
                  <c:v>41107</c:v>
                </c:pt>
                <c:pt idx="265">
                  <c:v>41106</c:v>
                </c:pt>
                <c:pt idx="266">
                  <c:v>41103</c:v>
                </c:pt>
                <c:pt idx="267">
                  <c:v>41102</c:v>
                </c:pt>
                <c:pt idx="268">
                  <c:v>41101</c:v>
                </c:pt>
                <c:pt idx="269">
                  <c:v>41100</c:v>
                </c:pt>
                <c:pt idx="270">
                  <c:v>41099</c:v>
                </c:pt>
                <c:pt idx="271">
                  <c:v>41096</c:v>
                </c:pt>
                <c:pt idx="272">
                  <c:v>41095</c:v>
                </c:pt>
                <c:pt idx="273">
                  <c:v>41094</c:v>
                </c:pt>
                <c:pt idx="274">
                  <c:v>41093</c:v>
                </c:pt>
                <c:pt idx="275">
                  <c:v>41092</c:v>
                </c:pt>
                <c:pt idx="276">
                  <c:v>41089</c:v>
                </c:pt>
                <c:pt idx="277">
                  <c:v>41088</c:v>
                </c:pt>
                <c:pt idx="278">
                  <c:v>41087</c:v>
                </c:pt>
                <c:pt idx="279">
                  <c:v>41086</c:v>
                </c:pt>
                <c:pt idx="280">
                  <c:v>41085</c:v>
                </c:pt>
                <c:pt idx="281">
                  <c:v>41082</c:v>
                </c:pt>
                <c:pt idx="282">
                  <c:v>41081</c:v>
                </c:pt>
                <c:pt idx="283">
                  <c:v>41080</c:v>
                </c:pt>
                <c:pt idx="284">
                  <c:v>41079</c:v>
                </c:pt>
                <c:pt idx="285">
                  <c:v>41078</c:v>
                </c:pt>
                <c:pt idx="286">
                  <c:v>41075</c:v>
                </c:pt>
                <c:pt idx="287">
                  <c:v>41074</c:v>
                </c:pt>
                <c:pt idx="288">
                  <c:v>41073</c:v>
                </c:pt>
                <c:pt idx="289">
                  <c:v>41072</c:v>
                </c:pt>
              </c:numCache>
            </c:numRef>
          </c:cat>
          <c:val>
            <c:numRef>
              <c:f>SourceData!$B$210:$B$499</c:f>
              <c:numCache>
                <c:formatCode>#,##0_);[Red]\(#,##0\)</c:formatCode>
                <c:ptCount val="290"/>
              </c:numCache>
            </c:numRef>
          </c:val>
        </c:ser>
        <c:ser>
          <c:idx val="3"/>
          <c:order val="3"/>
          <c:tx>
            <c:v>Stock Usage</c:v>
          </c:tx>
          <c:spPr>
            <a:solidFill>
              <a:srgbClr val="FFE899"/>
            </a:solidFill>
            <a:ln w="25400">
              <a:noFill/>
            </a:ln>
          </c:spPr>
          <c:cat>
            <c:numRef>
              <c:f>SourceData!$A$210:$A$499</c:f>
              <c:numCache>
                <c:formatCode>m/d/yyyy</c:formatCode>
                <c:ptCount val="290"/>
                <c:pt idx="0">
                  <c:v>41493</c:v>
                </c:pt>
                <c:pt idx="1">
                  <c:v>41492</c:v>
                </c:pt>
                <c:pt idx="2">
                  <c:v>41491</c:v>
                </c:pt>
                <c:pt idx="3">
                  <c:v>41488</c:v>
                </c:pt>
                <c:pt idx="4">
                  <c:v>41487</c:v>
                </c:pt>
                <c:pt idx="5">
                  <c:v>41486</c:v>
                </c:pt>
                <c:pt idx="6">
                  <c:v>41485</c:v>
                </c:pt>
                <c:pt idx="7">
                  <c:v>41484</c:v>
                </c:pt>
                <c:pt idx="8">
                  <c:v>41481</c:v>
                </c:pt>
                <c:pt idx="9">
                  <c:v>41480</c:v>
                </c:pt>
                <c:pt idx="10">
                  <c:v>41479</c:v>
                </c:pt>
                <c:pt idx="11">
                  <c:v>41478</c:v>
                </c:pt>
                <c:pt idx="12">
                  <c:v>41477</c:v>
                </c:pt>
                <c:pt idx="13">
                  <c:v>41474</c:v>
                </c:pt>
                <c:pt idx="14">
                  <c:v>41473</c:v>
                </c:pt>
                <c:pt idx="15">
                  <c:v>41472</c:v>
                </c:pt>
                <c:pt idx="16">
                  <c:v>41471</c:v>
                </c:pt>
                <c:pt idx="17">
                  <c:v>41470</c:v>
                </c:pt>
                <c:pt idx="18">
                  <c:v>41467</c:v>
                </c:pt>
                <c:pt idx="19">
                  <c:v>41466</c:v>
                </c:pt>
                <c:pt idx="20">
                  <c:v>41465</c:v>
                </c:pt>
                <c:pt idx="21">
                  <c:v>41464</c:v>
                </c:pt>
                <c:pt idx="22">
                  <c:v>41463</c:v>
                </c:pt>
                <c:pt idx="23">
                  <c:v>41460</c:v>
                </c:pt>
                <c:pt idx="24">
                  <c:v>41459</c:v>
                </c:pt>
                <c:pt idx="25">
                  <c:v>41458</c:v>
                </c:pt>
                <c:pt idx="26">
                  <c:v>41457</c:v>
                </c:pt>
                <c:pt idx="27">
                  <c:v>41456</c:v>
                </c:pt>
                <c:pt idx="28">
                  <c:v>41453</c:v>
                </c:pt>
                <c:pt idx="29">
                  <c:v>41452</c:v>
                </c:pt>
                <c:pt idx="30">
                  <c:v>41451</c:v>
                </c:pt>
                <c:pt idx="31">
                  <c:v>41450</c:v>
                </c:pt>
                <c:pt idx="32">
                  <c:v>41449</c:v>
                </c:pt>
                <c:pt idx="33">
                  <c:v>41446</c:v>
                </c:pt>
                <c:pt idx="34">
                  <c:v>41445</c:v>
                </c:pt>
                <c:pt idx="35">
                  <c:v>41444</c:v>
                </c:pt>
                <c:pt idx="36">
                  <c:v>41443</c:v>
                </c:pt>
                <c:pt idx="37">
                  <c:v>41442</c:v>
                </c:pt>
                <c:pt idx="38">
                  <c:v>41439</c:v>
                </c:pt>
                <c:pt idx="39">
                  <c:v>41438</c:v>
                </c:pt>
                <c:pt idx="40">
                  <c:v>42440</c:v>
                </c:pt>
                <c:pt idx="41">
                  <c:v>41436</c:v>
                </c:pt>
                <c:pt idx="42">
                  <c:v>41435</c:v>
                </c:pt>
                <c:pt idx="43">
                  <c:v>41432</c:v>
                </c:pt>
                <c:pt idx="44">
                  <c:v>41431</c:v>
                </c:pt>
                <c:pt idx="45">
                  <c:v>41430</c:v>
                </c:pt>
                <c:pt idx="46">
                  <c:v>41429</c:v>
                </c:pt>
                <c:pt idx="47">
                  <c:v>41428</c:v>
                </c:pt>
                <c:pt idx="48">
                  <c:v>41425</c:v>
                </c:pt>
                <c:pt idx="49">
                  <c:v>41424</c:v>
                </c:pt>
                <c:pt idx="50">
                  <c:v>41423</c:v>
                </c:pt>
                <c:pt idx="51">
                  <c:v>41422</c:v>
                </c:pt>
                <c:pt idx="52">
                  <c:v>41421</c:v>
                </c:pt>
                <c:pt idx="53">
                  <c:v>41418</c:v>
                </c:pt>
                <c:pt idx="54">
                  <c:v>41417</c:v>
                </c:pt>
                <c:pt idx="55">
                  <c:v>41416</c:v>
                </c:pt>
                <c:pt idx="56">
                  <c:v>41415</c:v>
                </c:pt>
                <c:pt idx="57">
                  <c:v>41410</c:v>
                </c:pt>
                <c:pt idx="58">
                  <c:v>41409</c:v>
                </c:pt>
                <c:pt idx="59">
                  <c:v>41408</c:v>
                </c:pt>
                <c:pt idx="60">
                  <c:v>41407</c:v>
                </c:pt>
                <c:pt idx="61">
                  <c:v>41404</c:v>
                </c:pt>
                <c:pt idx="62">
                  <c:v>41402</c:v>
                </c:pt>
                <c:pt idx="63">
                  <c:v>41401</c:v>
                </c:pt>
                <c:pt idx="64">
                  <c:v>41400</c:v>
                </c:pt>
                <c:pt idx="65">
                  <c:v>41397</c:v>
                </c:pt>
                <c:pt idx="66">
                  <c:v>41396</c:v>
                </c:pt>
                <c:pt idx="67">
                  <c:v>41394</c:v>
                </c:pt>
                <c:pt idx="68">
                  <c:v>41393</c:v>
                </c:pt>
                <c:pt idx="69">
                  <c:v>41390</c:v>
                </c:pt>
                <c:pt idx="70">
                  <c:v>41389</c:v>
                </c:pt>
                <c:pt idx="71">
                  <c:v>41388</c:v>
                </c:pt>
                <c:pt idx="72">
                  <c:v>41387</c:v>
                </c:pt>
                <c:pt idx="73">
                  <c:v>41386</c:v>
                </c:pt>
                <c:pt idx="74">
                  <c:v>41383</c:v>
                </c:pt>
                <c:pt idx="75">
                  <c:v>41382</c:v>
                </c:pt>
                <c:pt idx="76">
                  <c:v>41381</c:v>
                </c:pt>
                <c:pt idx="77">
                  <c:v>41380</c:v>
                </c:pt>
                <c:pt idx="78">
                  <c:v>41379</c:v>
                </c:pt>
                <c:pt idx="79">
                  <c:v>41376</c:v>
                </c:pt>
                <c:pt idx="80">
                  <c:v>41375</c:v>
                </c:pt>
                <c:pt idx="81">
                  <c:v>41374</c:v>
                </c:pt>
                <c:pt idx="82">
                  <c:v>41373</c:v>
                </c:pt>
                <c:pt idx="83">
                  <c:v>41372</c:v>
                </c:pt>
                <c:pt idx="84">
                  <c:v>41369</c:v>
                </c:pt>
                <c:pt idx="85">
                  <c:v>41368</c:v>
                </c:pt>
                <c:pt idx="86">
                  <c:v>41367</c:v>
                </c:pt>
                <c:pt idx="87">
                  <c:v>41366</c:v>
                </c:pt>
                <c:pt idx="88">
                  <c:v>41360</c:v>
                </c:pt>
                <c:pt idx="89">
                  <c:v>41359</c:v>
                </c:pt>
                <c:pt idx="90">
                  <c:v>41358</c:v>
                </c:pt>
                <c:pt idx="91">
                  <c:v>41355</c:v>
                </c:pt>
                <c:pt idx="92">
                  <c:v>41354</c:v>
                </c:pt>
                <c:pt idx="93">
                  <c:v>41353</c:v>
                </c:pt>
                <c:pt idx="94">
                  <c:v>41352</c:v>
                </c:pt>
                <c:pt idx="95">
                  <c:v>41351</c:v>
                </c:pt>
                <c:pt idx="96">
                  <c:v>41348</c:v>
                </c:pt>
                <c:pt idx="97">
                  <c:v>41347</c:v>
                </c:pt>
                <c:pt idx="98">
                  <c:v>41346</c:v>
                </c:pt>
                <c:pt idx="99">
                  <c:v>41345</c:v>
                </c:pt>
                <c:pt idx="100">
                  <c:v>41344</c:v>
                </c:pt>
                <c:pt idx="101">
                  <c:v>41341</c:v>
                </c:pt>
                <c:pt idx="102">
                  <c:v>41340</c:v>
                </c:pt>
                <c:pt idx="103">
                  <c:v>41339</c:v>
                </c:pt>
                <c:pt idx="104">
                  <c:v>41338</c:v>
                </c:pt>
                <c:pt idx="105">
                  <c:v>41337</c:v>
                </c:pt>
                <c:pt idx="106">
                  <c:v>41334</c:v>
                </c:pt>
                <c:pt idx="107">
                  <c:v>41333</c:v>
                </c:pt>
                <c:pt idx="108">
                  <c:v>41332</c:v>
                </c:pt>
                <c:pt idx="109">
                  <c:v>41331</c:v>
                </c:pt>
                <c:pt idx="110">
                  <c:v>41330</c:v>
                </c:pt>
                <c:pt idx="111">
                  <c:v>41327</c:v>
                </c:pt>
                <c:pt idx="112">
                  <c:v>41326</c:v>
                </c:pt>
                <c:pt idx="113">
                  <c:v>41325</c:v>
                </c:pt>
                <c:pt idx="114">
                  <c:v>41324</c:v>
                </c:pt>
                <c:pt idx="115">
                  <c:v>41323</c:v>
                </c:pt>
                <c:pt idx="116">
                  <c:v>41320</c:v>
                </c:pt>
                <c:pt idx="117">
                  <c:v>41319</c:v>
                </c:pt>
                <c:pt idx="118">
                  <c:v>41318</c:v>
                </c:pt>
                <c:pt idx="119">
                  <c:v>41317</c:v>
                </c:pt>
                <c:pt idx="120">
                  <c:v>41316</c:v>
                </c:pt>
                <c:pt idx="121">
                  <c:v>41313</c:v>
                </c:pt>
                <c:pt idx="122">
                  <c:v>41312</c:v>
                </c:pt>
                <c:pt idx="123">
                  <c:v>41311</c:v>
                </c:pt>
                <c:pt idx="124">
                  <c:v>41310</c:v>
                </c:pt>
                <c:pt idx="125">
                  <c:v>41309</c:v>
                </c:pt>
                <c:pt idx="126">
                  <c:v>41306</c:v>
                </c:pt>
                <c:pt idx="127">
                  <c:v>41305</c:v>
                </c:pt>
                <c:pt idx="128">
                  <c:v>41304</c:v>
                </c:pt>
                <c:pt idx="129">
                  <c:v>41303</c:v>
                </c:pt>
                <c:pt idx="130">
                  <c:v>41302</c:v>
                </c:pt>
                <c:pt idx="131">
                  <c:v>41299</c:v>
                </c:pt>
                <c:pt idx="132">
                  <c:v>41298</c:v>
                </c:pt>
                <c:pt idx="133">
                  <c:v>41297</c:v>
                </c:pt>
                <c:pt idx="134">
                  <c:v>41296</c:v>
                </c:pt>
                <c:pt idx="135">
                  <c:v>41295</c:v>
                </c:pt>
                <c:pt idx="136">
                  <c:v>41292</c:v>
                </c:pt>
                <c:pt idx="137">
                  <c:v>41291</c:v>
                </c:pt>
                <c:pt idx="138">
                  <c:v>41290</c:v>
                </c:pt>
                <c:pt idx="139">
                  <c:v>41289</c:v>
                </c:pt>
                <c:pt idx="140">
                  <c:v>41288</c:v>
                </c:pt>
                <c:pt idx="141">
                  <c:v>41285</c:v>
                </c:pt>
                <c:pt idx="142">
                  <c:v>41284</c:v>
                </c:pt>
                <c:pt idx="143">
                  <c:v>41283</c:v>
                </c:pt>
                <c:pt idx="144">
                  <c:v>41282</c:v>
                </c:pt>
                <c:pt idx="145">
                  <c:v>41281</c:v>
                </c:pt>
                <c:pt idx="146">
                  <c:v>41278</c:v>
                </c:pt>
                <c:pt idx="147">
                  <c:v>41277</c:v>
                </c:pt>
                <c:pt idx="148">
                  <c:v>41276</c:v>
                </c:pt>
                <c:pt idx="149">
                  <c:v>41271</c:v>
                </c:pt>
                <c:pt idx="150">
                  <c:v>41270</c:v>
                </c:pt>
                <c:pt idx="151">
                  <c:v>41264</c:v>
                </c:pt>
                <c:pt idx="152">
                  <c:v>41263</c:v>
                </c:pt>
                <c:pt idx="153">
                  <c:v>41262</c:v>
                </c:pt>
                <c:pt idx="154">
                  <c:v>41261</c:v>
                </c:pt>
                <c:pt idx="155">
                  <c:v>41260</c:v>
                </c:pt>
                <c:pt idx="156">
                  <c:v>41257</c:v>
                </c:pt>
                <c:pt idx="157">
                  <c:v>41256</c:v>
                </c:pt>
                <c:pt idx="158">
                  <c:v>41255</c:v>
                </c:pt>
                <c:pt idx="159">
                  <c:v>41254</c:v>
                </c:pt>
                <c:pt idx="160">
                  <c:v>41253</c:v>
                </c:pt>
                <c:pt idx="161">
                  <c:v>41250</c:v>
                </c:pt>
                <c:pt idx="162">
                  <c:v>41249</c:v>
                </c:pt>
                <c:pt idx="163">
                  <c:v>41248</c:v>
                </c:pt>
                <c:pt idx="164">
                  <c:v>41247</c:v>
                </c:pt>
                <c:pt idx="165">
                  <c:v>41246</c:v>
                </c:pt>
                <c:pt idx="166">
                  <c:v>41243</c:v>
                </c:pt>
                <c:pt idx="167">
                  <c:v>41242</c:v>
                </c:pt>
                <c:pt idx="168">
                  <c:v>41241</c:v>
                </c:pt>
                <c:pt idx="169">
                  <c:v>41240</c:v>
                </c:pt>
                <c:pt idx="170">
                  <c:v>41239</c:v>
                </c:pt>
                <c:pt idx="171">
                  <c:v>41236</c:v>
                </c:pt>
                <c:pt idx="172">
                  <c:v>41235</c:v>
                </c:pt>
                <c:pt idx="173">
                  <c:v>41234</c:v>
                </c:pt>
                <c:pt idx="174">
                  <c:v>41233</c:v>
                </c:pt>
                <c:pt idx="175">
                  <c:v>41232</c:v>
                </c:pt>
                <c:pt idx="176">
                  <c:v>41229</c:v>
                </c:pt>
                <c:pt idx="177">
                  <c:v>41228</c:v>
                </c:pt>
                <c:pt idx="178">
                  <c:v>41227</c:v>
                </c:pt>
                <c:pt idx="179">
                  <c:v>41226</c:v>
                </c:pt>
                <c:pt idx="180">
                  <c:v>41225</c:v>
                </c:pt>
                <c:pt idx="181">
                  <c:v>41222</c:v>
                </c:pt>
                <c:pt idx="182">
                  <c:v>41221</c:v>
                </c:pt>
                <c:pt idx="183">
                  <c:v>41220</c:v>
                </c:pt>
                <c:pt idx="184">
                  <c:v>41219</c:v>
                </c:pt>
                <c:pt idx="185">
                  <c:v>41218</c:v>
                </c:pt>
                <c:pt idx="186">
                  <c:v>41215</c:v>
                </c:pt>
                <c:pt idx="187">
                  <c:v>41214</c:v>
                </c:pt>
                <c:pt idx="188">
                  <c:v>41213</c:v>
                </c:pt>
                <c:pt idx="189">
                  <c:v>41212</c:v>
                </c:pt>
                <c:pt idx="190">
                  <c:v>41211</c:v>
                </c:pt>
                <c:pt idx="191">
                  <c:v>41208</c:v>
                </c:pt>
                <c:pt idx="192">
                  <c:v>41207</c:v>
                </c:pt>
                <c:pt idx="193">
                  <c:v>41206</c:v>
                </c:pt>
                <c:pt idx="194">
                  <c:v>41205</c:v>
                </c:pt>
                <c:pt idx="195">
                  <c:v>41204</c:v>
                </c:pt>
                <c:pt idx="196">
                  <c:v>41201</c:v>
                </c:pt>
                <c:pt idx="197">
                  <c:v>41200</c:v>
                </c:pt>
                <c:pt idx="198">
                  <c:v>41199</c:v>
                </c:pt>
                <c:pt idx="199">
                  <c:v>41198</c:v>
                </c:pt>
                <c:pt idx="200">
                  <c:v>41197</c:v>
                </c:pt>
                <c:pt idx="201">
                  <c:v>41194</c:v>
                </c:pt>
                <c:pt idx="202">
                  <c:v>41193</c:v>
                </c:pt>
                <c:pt idx="203">
                  <c:v>41192</c:v>
                </c:pt>
                <c:pt idx="204">
                  <c:v>41191</c:v>
                </c:pt>
                <c:pt idx="205">
                  <c:v>41190</c:v>
                </c:pt>
                <c:pt idx="206">
                  <c:v>41187</c:v>
                </c:pt>
                <c:pt idx="207">
                  <c:v>41186</c:v>
                </c:pt>
                <c:pt idx="208">
                  <c:v>41185</c:v>
                </c:pt>
                <c:pt idx="209">
                  <c:v>41184</c:v>
                </c:pt>
                <c:pt idx="210">
                  <c:v>41183</c:v>
                </c:pt>
                <c:pt idx="211">
                  <c:v>41180</c:v>
                </c:pt>
                <c:pt idx="212">
                  <c:v>41179</c:v>
                </c:pt>
                <c:pt idx="213">
                  <c:v>41178</c:v>
                </c:pt>
                <c:pt idx="214">
                  <c:v>41177</c:v>
                </c:pt>
                <c:pt idx="215">
                  <c:v>41176</c:v>
                </c:pt>
                <c:pt idx="216">
                  <c:v>41173</c:v>
                </c:pt>
                <c:pt idx="217">
                  <c:v>41172</c:v>
                </c:pt>
                <c:pt idx="218">
                  <c:v>41171</c:v>
                </c:pt>
                <c:pt idx="219">
                  <c:v>41170</c:v>
                </c:pt>
                <c:pt idx="220">
                  <c:v>41169</c:v>
                </c:pt>
                <c:pt idx="221">
                  <c:v>41166</c:v>
                </c:pt>
                <c:pt idx="222">
                  <c:v>41165</c:v>
                </c:pt>
                <c:pt idx="223">
                  <c:v>41164</c:v>
                </c:pt>
                <c:pt idx="224">
                  <c:v>41163</c:v>
                </c:pt>
                <c:pt idx="225">
                  <c:v>41162</c:v>
                </c:pt>
                <c:pt idx="226">
                  <c:v>41159</c:v>
                </c:pt>
                <c:pt idx="227">
                  <c:v>41158</c:v>
                </c:pt>
                <c:pt idx="228">
                  <c:v>41157</c:v>
                </c:pt>
                <c:pt idx="229">
                  <c:v>41156</c:v>
                </c:pt>
                <c:pt idx="230">
                  <c:v>41155</c:v>
                </c:pt>
                <c:pt idx="231">
                  <c:v>41152</c:v>
                </c:pt>
                <c:pt idx="232">
                  <c:v>41151</c:v>
                </c:pt>
                <c:pt idx="233">
                  <c:v>41150</c:v>
                </c:pt>
                <c:pt idx="234">
                  <c:v>41149</c:v>
                </c:pt>
                <c:pt idx="235">
                  <c:v>41148</c:v>
                </c:pt>
                <c:pt idx="236">
                  <c:v>41145</c:v>
                </c:pt>
                <c:pt idx="237">
                  <c:v>41144</c:v>
                </c:pt>
                <c:pt idx="238">
                  <c:v>41143</c:v>
                </c:pt>
                <c:pt idx="239">
                  <c:v>41142</c:v>
                </c:pt>
                <c:pt idx="240">
                  <c:v>41141</c:v>
                </c:pt>
                <c:pt idx="241">
                  <c:v>41138</c:v>
                </c:pt>
                <c:pt idx="242">
                  <c:v>41137</c:v>
                </c:pt>
                <c:pt idx="243">
                  <c:v>41136</c:v>
                </c:pt>
                <c:pt idx="244">
                  <c:v>41135</c:v>
                </c:pt>
                <c:pt idx="245">
                  <c:v>41134</c:v>
                </c:pt>
                <c:pt idx="246">
                  <c:v>41131</c:v>
                </c:pt>
                <c:pt idx="247">
                  <c:v>41130</c:v>
                </c:pt>
                <c:pt idx="248">
                  <c:v>41129</c:v>
                </c:pt>
                <c:pt idx="249">
                  <c:v>41128</c:v>
                </c:pt>
                <c:pt idx="250">
                  <c:v>41127</c:v>
                </c:pt>
                <c:pt idx="251">
                  <c:v>41124</c:v>
                </c:pt>
                <c:pt idx="252">
                  <c:v>41123</c:v>
                </c:pt>
                <c:pt idx="253">
                  <c:v>41122</c:v>
                </c:pt>
                <c:pt idx="254">
                  <c:v>41121</c:v>
                </c:pt>
                <c:pt idx="255">
                  <c:v>41120</c:v>
                </c:pt>
                <c:pt idx="256">
                  <c:v>41117</c:v>
                </c:pt>
                <c:pt idx="257">
                  <c:v>41116</c:v>
                </c:pt>
                <c:pt idx="258">
                  <c:v>41115</c:v>
                </c:pt>
                <c:pt idx="259">
                  <c:v>41114</c:v>
                </c:pt>
                <c:pt idx="260">
                  <c:v>41113</c:v>
                </c:pt>
                <c:pt idx="261">
                  <c:v>41110</c:v>
                </c:pt>
                <c:pt idx="262">
                  <c:v>41109</c:v>
                </c:pt>
                <c:pt idx="263">
                  <c:v>41108</c:v>
                </c:pt>
                <c:pt idx="264">
                  <c:v>41107</c:v>
                </c:pt>
                <c:pt idx="265">
                  <c:v>41106</c:v>
                </c:pt>
                <c:pt idx="266">
                  <c:v>41103</c:v>
                </c:pt>
                <c:pt idx="267">
                  <c:v>41102</c:v>
                </c:pt>
                <c:pt idx="268">
                  <c:v>41101</c:v>
                </c:pt>
                <c:pt idx="269">
                  <c:v>41100</c:v>
                </c:pt>
                <c:pt idx="270">
                  <c:v>41099</c:v>
                </c:pt>
                <c:pt idx="271">
                  <c:v>41096</c:v>
                </c:pt>
                <c:pt idx="272">
                  <c:v>41095</c:v>
                </c:pt>
                <c:pt idx="273">
                  <c:v>41094</c:v>
                </c:pt>
                <c:pt idx="274">
                  <c:v>41093</c:v>
                </c:pt>
                <c:pt idx="275">
                  <c:v>41092</c:v>
                </c:pt>
                <c:pt idx="276">
                  <c:v>41089</c:v>
                </c:pt>
                <c:pt idx="277">
                  <c:v>41088</c:v>
                </c:pt>
                <c:pt idx="278">
                  <c:v>41087</c:v>
                </c:pt>
                <c:pt idx="279">
                  <c:v>41086</c:v>
                </c:pt>
                <c:pt idx="280">
                  <c:v>41085</c:v>
                </c:pt>
                <c:pt idx="281">
                  <c:v>41082</c:v>
                </c:pt>
                <c:pt idx="282">
                  <c:v>41081</c:v>
                </c:pt>
                <c:pt idx="283">
                  <c:v>41080</c:v>
                </c:pt>
                <c:pt idx="284">
                  <c:v>41079</c:v>
                </c:pt>
                <c:pt idx="285">
                  <c:v>41078</c:v>
                </c:pt>
                <c:pt idx="286">
                  <c:v>41075</c:v>
                </c:pt>
                <c:pt idx="287">
                  <c:v>41074</c:v>
                </c:pt>
                <c:pt idx="288">
                  <c:v>41073</c:v>
                </c:pt>
                <c:pt idx="289">
                  <c:v>41072</c:v>
                </c:pt>
              </c:numCache>
            </c:numRef>
          </c:cat>
          <c:val>
            <c:numRef>
              <c:f>SourceData!$E$210:$E$499</c:f>
              <c:numCache>
                <c:formatCode>#,##0_);[Red]\(#,##0\)</c:formatCode>
                <c:ptCount val="29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1088576"/>
        <c:axId val="951093672"/>
      </c:areaChart>
      <c:lineChart>
        <c:grouping val="standard"/>
        <c:varyColors val="0"/>
        <c:ser>
          <c:idx val="1"/>
          <c:order val="1"/>
          <c:tx>
            <c:strRef>
              <c:f>SourceData!$F$1</c:f>
              <c:strCache>
                <c:ptCount val="1"/>
                <c:pt idx="0">
                  <c:v>Avg. Coverage</c:v>
                </c:pt>
              </c:strCache>
            </c:strRef>
          </c:tx>
          <c:spPr>
            <a:ln w="254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SourceData!$A$210:$A$499</c:f>
              <c:numCache>
                <c:formatCode>m/d/yyyy</c:formatCode>
                <c:ptCount val="290"/>
                <c:pt idx="0">
                  <c:v>41493</c:v>
                </c:pt>
                <c:pt idx="1">
                  <c:v>41492</c:v>
                </c:pt>
                <c:pt idx="2">
                  <c:v>41491</c:v>
                </c:pt>
                <c:pt idx="3">
                  <c:v>41488</c:v>
                </c:pt>
                <c:pt idx="4">
                  <c:v>41487</c:v>
                </c:pt>
                <c:pt idx="5">
                  <c:v>41486</c:v>
                </c:pt>
                <c:pt idx="6">
                  <c:v>41485</c:v>
                </c:pt>
                <c:pt idx="7">
                  <c:v>41484</c:v>
                </c:pt>
                <c:pt idx="8">
                  <c:v>41481</c:v>
                </c:pt>
                <c:pt idx="9">
                  <c:v>41480</c:v>
                </c:pt>
                <c:pt idx="10">
                  <c:v>41479</c:v>
                </c:pt>
                <c:pt idx="11">
                  <c:v>41478</c:v>
                </c:pt>
                <c:pt idx="12">
                  <c:v>41477</c:v>
                </c:pt>
                <c:pt idx="13">
                  <c:v>41474</c:v>
                </c:pt>
                <c:pt idx="14">
                  <c:v>41473</c:v>
                </c:pt>
                <c:pt idx="15">
                  <c:v>41472</c:v>
                </c:pt>
                <c:pt idx="16">
                  <c:v>41471</c:v>
                </c:pt>
                <c:pt idx="17">
                  <c:v>41470</c:v>
                </c:pt>
                <c:pt idx="18">
                  <c:v>41467</c:v>
                </c:pt>
                <c:pt idx="19">
                  <c:v>41466</c:v>
                </c:pt>
                <c:pt idx="20">
                  <c:v>41465</c:v>
                </c:pt>
                <c:pt idx="21">
                  <c:v>41464</c:v>
                </c:pt>
                <c:pt idx="22">
                  <c:v>41463</c:v>
                </c:pt>
                <c:pt idx="23">
                  <c:v>41460</c:v>
                </c:pt>
                <c:pt idx="24">
                  <c:v>41459</c:v>
                </c:pt>
                <c:pt idx="25">
                  <c:v>41458</c:v>
                </c:pt>
                <c:pt idx="26">
                  <c:v>41457</c:v>
                </c:pt>
                <c:pt idx="27">
                  <c:v>41456</c:v>
                </c:pt>
                <c:pt idx="28">
                  <c:v>41453</c:v>
                </c:pt>
                <c:pt idx="29">
                  <c:v>41452</c:v>
                </c:pt>
                <c:pt idx="30">
                  <c:v>41451</c:v>
                </c:pt>
                <c:pt idx="31">
                  <c:v>41450</c:v>
                </c:pt>
                <c:pt idx="32">
                  <c:v>41449</c:v>
                </c:pt>
                <c:pt idx="33">
                  <c:v>41446</c:v>
                </c:pt>
                <c:pt idx="34">
                  <c:v>41445</c:v>
                </c:pt>
                <c:pt idx="35">
                  <c:v>41444</c:v>
                </c:pt>
                <c:pt idx="36">
                  <c:v>41443</c:v>
                </c:pt>
                <c:pt idx="37">
                  <c:v>41442</c:v>
                </c:pt>
                <c:pt idx="38">
                  <c:v>41439</c:v>
                </c:pt>
                <c:pt idx="39">
                  <c:v>41438</c:v>
                </c:pt>
                <c:pt idx="40">
                  <c:v>42440</c:v>
                </c:pt>
                <c:pt idx="41">
                  <c:v>41436</c:v>
                </c:pt>
                <c:pt idx="42">
                  <c:v>41435</c:v>
                </c:pt>
                <c:pt idx="43">
                  <c:v>41432</c:v>
                </c:pt>
                <c:pt idx="44">
                  <c:v>41431</c:v>
                </c:pt>
                <c:pt idx="45">
                  <c:v>41430</c:v>
                </c:pt>
                <c:pt idx="46">
                  <c:v>41429</c:v>
                </c:pt>
                <c:pt idx="47">
                  <c:v>41428</c:v>
                </c:pt>
                <c:pt idx="48">
                  <c:v>41425</c:v>
                </c:pt>
                <c:pt idx="49">
                  <c:v>41424</c:v>
                </c:pt>
                <c:pt idx="50">
                  <c:v>41423</c:v>
                </c:pt>
                <c:pt idx="51">
                  <c:v>41422</c:v>
                </c:pt>
                <c:pt idx="52">
                  <c:v>41421</c:v>
                </c:pt>
                <c:pt idx="53">
                  <c:v>41418</c:v>
                </c:pt>
                <c:pt idx="54">
                  <c:v>41417</c:v>
                </c:pt>
                <c:pt idx="55">
                  <c:v>41416</c:v>
                </c:pt>
                <c:pt idx="56">
                  <c:v>41415</c:v>
                </c:pt>
                <c:pt idx="57">
                  <c:v>41410</c:v>
                </c:pt>
                <c:pt idx="58">
                  <c:v>41409</c:v>
                </c:pt>
                <c:pt idx="59">
                  <c:v>41408</c:v>
                </c:pt>
                <c:pt idx="60">
                  <c:v>41407</c:v>
                </c:pt>
                <c:pt idx="61">
                  <c:v>41404</c:v>
                </c:pt>
                <c:pt idx="62">
                  <c:v>41402</c:v>
                </c:pt>
                <c:pt idx="63">
                  <c:v>41401</c:v>
                </c:pt>
                <c:pt idx="64">
                  <c:v>41400</c:v>
                </c:pt>
                <c:pt idx="65">
                  <c:v>41397</c:v>
                </c:pt>
                <c:pt idx="66">
                  <c:v>41396</c:v>
                </c:pt>
                <c:pt idx="67">
                  <c:v>41394</c:v>
                </c:pt>
                <c:pt idx="68">
                  <c:v>41393</c:v>
                </c:pt>
                <c:pt idx="69">
                  <c:v>41390</c:v>
                </c:pt>
                <c:pt idx="70">
                  <c:v>41389</c:v>
                </c:pt>
                <c:pt idx="71">
                  <c:v>41388</c:v>
                </c:pt>
                <c:pt idx="72">
                  <c:v>41387</c:v>
                </c:pt>
                <c:pt idx="73">
                  <c:v>41386</c:v>
                </c:pt>
                <c:pt idx="74">
                  <c:v>41383</c:v>
                </c:pt>
                <c:pt idx="75">
                  <c:v>41382</c:v>
                </c:pt>
                <c:pt idx="76">
                  <c:v>41381</c:v>
                </c:pt>
                <c:pt idx="77">
                  <c:v>41380</c:v>
                </c:pt>
                <c:pt idx="78">
                  <c:v>41379</c:v>
                </c:pt>
                <c:pt idx="79">
                  <c:v>41376</c:v>
                </c:pt>
                <c:pt idx="80">
                  <c:v>41375</c:v>
                </c:pt>
                <c:pt idx="81">
                  <c:v>41374</c:v>
                </c:pt>
                <c:pt idx="82">
                  <c:v>41373</c:v>
                </c:pt>
                <c:pt idx="83">
                  <c:v>41372</c:v>
                </c:pt>
                <c:pt idx="84">
                  <c:v>41369</c:v>
                </c:pt>
                <c:pt idx="85">
                  <c:v>41368</c:v>
                </c:pt>
                <c:pt idx="86">
                  <c:v>41367</c:v>
                </c:pt>
                <c:pt idx="87">
                  <c:v>41366</c:v>
                </c:pt>
                <c:pt idx="88">
                  <c:v>41360</c:v>
                </c:pt>
                <c:pt idx="89">
                  <c:v>41359</c:v>
                </c:pt>
                <c:pt idx="90">
                  <c:v>41358</c:v>
                </c:pt>
                <c:pt idx="91">
                  <c:v>41355</c:v>
                </c:pt>
                <c:pt idx="92">
                  <c:v>41354</c:v>
                </c:pt>
                <c:pt idx="93">
                  <c:v>41353</c:v>
                </c:pt>
                <c:pt idx="94">
                  <c:v>41352</c:v>
                </c:pt>
                <c:pt idx="95">
                  <c:v>41351</c:v>
                </c:pt>
                <c:pt idx="96">
                  <c:v>41348</c:v>
                </c:pt>
                <c:pt idx="97">
                  <c:v>41347</c:v>
                </c:pt>
                <c:pt idx="98">
                  <c:v>41346</c:v>
                </c:pt>
                <c:pt idx="99">
                  <c:v>41345</c:v>
                </c:pt>
                <c:pt idx="100">
                  <c:v>41344</c:v>
                </c:pt>
                <c:pt idx="101">
                  <c:v>41341</c:v>
                </c:pt>
                <c:pt idx="102">
                  <c:v>41340</c:v>
                </c:pt>
                <c:pt idx="103">
                  <c:v>41339</c:v>
                </c:pt>
                <c:pt idx="104">
                  <c:v>41338</c:v>
                </c:pt>
                <c:pt idx="105">
                  <c:v>41337</c:v>
                </c:pt>
                <c:pt idx="106">
                  <c:v>41334</c:v>
                </c:pt>
                <c:pt idx="107">
                  <c:v>41333</c:v>
                </c:pt>
                <c:pt idx="108">
                  <c:v>41332</c:v>
                </c:pt>
                <c:pt idx="109">
                  <c:v>41331</c:v>
                </c:pt>
                <c:pt idx="110">
                  <c:v>41330</c:v>
                </c:pt>
                <c:pt idx="111">
                  <c:v>41327</c:v>
                </c:pt>
                <c:pt idx="112">
                  <c:v>41326</c:v>
                </c:pt>
                <c:pt idx="113">
                  <c:v>41325</c:v>
                </c:pt>
                <c:pt idx="114">
                  <c:v>41324</c:v>
                </c:pt>
                <c:pt idx="115">
                  <c:v>41323</c:v>
                </c:pt>
                <c:pt idx="116">
                  <c:v>41320</c:v>
                </c:pt>
                <c:pt idx="117">
                  <c:v>41319</c:v>
                </c:pt>
                <c:pt idx="118">
                  <c:v>41318</c:v>
                </c:pt>
                <c:pt idx="119">
                  <c:v>41317</c:v>
                </c:pt>
                <c:pt idx="120">
                  <c:v>41316</c:v>
                </c:pt>
                <c:pt idx="121">
                  <c:v>41313</c:v>
                </c:pt>
                <c:pt idx="122">
                  <c:v>41312</c:v>
                </c:pt>
                <c:pt idx="123">
                  <c:v>41311</c:v>
                </c:pt>
                <c:pt idx="124">
                  <c:v>41310</c:v>
                </c:pt>
                <c:pt idx="125">
                  <c:v>41309</c:v>
                </c:pt>
                <c:pt idx="126">
                  <c:v>41306</c:v>
                </c:pt>
                <c:pt idx="127">
                  <c:v>41305</c:v>
                </c:pt>
                <c:pt idx="128">
                  <c:v>41304</c:v>
                </c:pt>
                <c:pt idx="129">
                  <c:v>41303</c:v>
                </c:pt>
                <c:pt idx="130">
                  <c:v>41302</c:v>
                </c:pt>
                <c:pt idx="131">
                  <c:v>41299</c:v>
                </c:pt>
                <c:pt idx="132">
                  <c:v>41298</c:v>
                </c:pt>
                <c:pt idx="133">
                  <c:v>41297</c:v>
                </c:pt>
                <c:pt idx="134">
                  <c:v>41296</c:v>
                </c:pt>
                <c:pt idx="135">
                  <c:v>41295</c:v>
                </c:pt>
                <c:pt idx="136">
                  <c:v>41292</c:v>
                </c:pt>
                <c:pt idx="137">
                  <c:v>41291</c:v>
                </c:pt>
                <c:pt idx="138">
                  <c:v>41290</c:v>
                </c:pt>
                <c:pt idx="139">
                  <c:v>41289</c:v>
                </c:pt>
                <c:pt idx="140">
                  <c:v>41288</c:v>
                </c:pt>
                <c:pt idx="141">
                  <c:v>41285</c:v>
                </c:pt>
                <c:pt idx="142">
                  <c:v>41284</c:v>
                </c:pt>
                <c:pt idx="143">
                  <c:v>41283</c:v>
                </c:pt>
                <c:pt idx="144">
                  <c:v>41282</c:v>
                </c:pt>
                <c:pt idx="145">
                  <c:v>41281</c:v>
                </c:pt>
                <c:pt idx="146">
                  <c:v>41278</c:v>
                </c:pt>
                <c:pt idx="147">
                  <c:v>41277</c:v>
                </c:pt>
                <c:pt idx="148">
                  <c:v>41276</c:v>
                </c:pt>
                <c:pt idx="149">
                  <c:v>41271</c:v>
                </c:pt>
                <c:pt idx="150">
                  <c:v>41270</c:v>
                </c:pt>
                <c:pt idx="151">
                  <c:v>41264</c:v>
                </c:pt>
                <c:pt idx="152">
                  <c:v>41263</c:v>
                </c:pt>
                <c:pt idx="153">
                  <c:v>41262</c:v>
                </c:pt>
                <c:pt idx="154">
                  <c:v>41261</c:v>
                </c:pt>
                <c:pt idx="155">
                  <c:v>41260</c:v>
                </c:pt>
                <c:pt idx="156">
                  <c:v>41257</c:v>
                </c:pt>
                <c:pt idx="157">
                  <c:v>41256</c:v>
                </c:pt>
                <c:pt idx="158">
                  <c:v>41255</c:v>
                </c:pt>
                <c:pt idx="159">
                  <c:v>41254</c:v>
                </c:pt>
                <c:pt idx="160">
                  <c:v>41253</c:v>
                </c:pt>
                <c:pt idx="161">
                  <c:v>41250</c:v>
                </c:pt>
                <c:pt idx="162">
                  <c:v>41249</c:v>
                </c:pt>
                <c:pt idx="163">
                  <c:v>41248</c:v>
                </c:pt>
                <c:pt idx="164">
                  <c:v>41247</c:v>
                </c:pt>
                <c:pt idx="165">
                  <c:v>41246</c:v>
                </c:pt>
                <c:pt idx="166">
                  <c:v>41243</c:v>
                </c:pt>
                <c:pt idx="167">
                  <c:v>41242</c:v>
                </c:pt>
                <c:pt idx="168">
                  <c:v>41241</c:v>
                </c:pt>
                <c:pt idx="169">
                  <c:v>41240</c:v>
                </c:pt>
                <c:pt idx="170">
                  <c:v>41239</c:v>
                </c:pt>
                <c:pt idx="171">
                  <c:v>41236</c:v>
                </c:pt>
                <c:pt idx="172">
                  <c:v>41235</c:v>
                </c:pt>
                <c:pt idx="173">
                  <c:v>41234</c:v>
                </c:pt>
                <c:pt idx="174">
                  <c:v>41233</c:v>
                </c:pt>
                <c:pt idx="175">
                  <c:v>41232</c:v>
                </c:pt>
                <c:pt idx="176">
                  <c:v>41229</c:v>
                </c:pt>
                <c:pt idx="177">
                  <c:v>41228</c:v>
                </c:pt>
                <c:pt idx="178">
                  <c:v>41227</c:v>
                </c:pt>
                <c:pt idx="179">
                  <c:v>41226</c:v>
                </c:pt>
                <c:pt idx="180">
                  <c:v>41225</c:v>
                </c:pt>
                <c:pt idx="181">
                  <c:v>41222</c:v>
                </c:pt>
                <c:pt idx="182">
                  <c:v>41221</c:v>
                </c:pt>
                <c:pt idx="183">
                  <c:v>41220</c:v>
                </c:pt>
                <c:pt idx="184">
                  <c:v>41219</c:v>
                </c:pt>
                <c:pt idx="185">
                  <c:v>41218</c:v>
                </c:pt>
                <c:pt idx="186">
                  <c:v>41215</c:v>
                </c:pt>
                <c:pt idx="187">
                  <c:v>41214</c:v>
                </c:pt>
                <c:pt idx="188">
                  <c:v>41213</c:v>
                </c:pt>
                <c:pt idx="189">
                  <c:v>41212</c:v>
                </c:pt>
                <c:pt idx="190">
                  <c:v>41211</c:v>
                </c:pt>
                <c:pt idx="191">
                  <c:v>41208</c:v>
                </c:pt>
                <c:pt idx="192">
                  <c:v>41207</c:v>
                </c:pt>
                <c:pt idx="193">
                  <c:v>41206</c:v>
                </c:pt>
                <c:pt idx="194">
                  <c:v>41205</c:v>
                </c:pt>
                <c:pt idx="195">
                  <c:v>41204</c:v>
                </c:pt>
                <c:pt idx="196">
                  <c:v>41201</c:v>
                </c:pt>
                <c:pt idx="197">
                  <c:v>41200</c:v>
                </c:pt>
                <c:pt idx="198">
                  <c:v>41199</c:v>
                </c:pt>
                <c:pt idx="199">
                  <c:v>41198</c:v>
                </c:pt>
                <c:pt idx="200">
                  <c:v>41197</c:v>
                </c:pt>
                <c:pt idx="201">
                  <c:v>41194</c:v>
                </c:pt>
                <c:pt idx="202">
                  <c:v>41193</c:v>
                </c:pt>
                <c:pt idx="203">
                  <c:v>41192</c:v>
                </c:pt>
                <c:pt idx="204">
                  <c:v>41191</c:v>
                </c:pt>
                <c:pt idx="205">
                  <c:v>41190</c:v>
                </c:pt>
                <c:pt idx="206">
                  <c:v>41187</c:v>
                </c:pt>
                <c:pt idx="207">
                  <c:v>41186</c:v>
                </c:pt>
                <c:pt idx="208">
                  <c:v>41185</c:v>
                </c:pt>
                <c:pt idx="209">
                  <c:v>41184</c:v>
                </c:pt>
                <c:pt idx="210">
                  <c:v>41183</c:v>
                </c:pt>
                <c:pt idx="211">
                  <c:v>41180</c:v>
                </c:pt>
                <c:pt idx="212">
                  <c:v>41179</c:v>
                </c:pt>
                <c:pt idx="213">
                  <c:v>41178</c:v>
                </c:pt>
                <c:pt idx="214">
                  <c:v>41177</c:v>
                </c:pt>
                <c:pt idx="215">
                  <c:v>41176</c:v>
                </c:pt>
                <c:pt idx="216">
                  <c:v>41173</c:v>
                </c:pt>
                <c:pt idx="217">
                  <c:v>41172</c:v>
                </c:pt>
                <c:pt idx="218">
                  <c:v>41171</c:v>
                </c:pt>
                <c:pt idx="219">
                  <c:v>41170</c:v>
                </c:pt>
                <c:pt idx="220">
                  <c:v>41169</c:v>
                </c:pt>
                <c:pt idx="221">
                  <c:v>41166</c:v>
                </c:pt>
                <c:pt idx="222">
                  <c:v>41165</c:v>
                </c:pt>
                <c:pt idx="223">
                  <c:v>41164</c:v>
                </c:pt>
                <c:pt idx="224">
                  <c:v>41163</c:v>
                </c:pt>
                <c:pt idx="225">
                  <c:v>41162</c:v>
                </c:pt>
                <c:pt idx="226">
                  <c:v>41159</c:v>
                </c:pt>
                <c:pt idx="227">
                  <c:v>41158</c:v>
                </c:pt>
                <c:pt idx="228">
                  <c:v>41157</c:v>
                </c:pt>
                <c:pt idx="229">
                  <c:v>41156</c:v>
                </c:pt>
                <c:pt idx="230">
                  <c:v>41155</c:v>
                </c:pt>
                <c:pt idx="231">
                  <c:v>41152</c:v>
                </c:pt>
                <c:pt idx="232">
                  <c:v>41151</c:v>
                </c:pt>
                <c:pt idx="233">
                  <c:v>41150</c:v>
                </c:pt>
                <c:pt idx="234">
                  <c:v>41149</c:v>
                </c:pt>
                <c:pt idx="235">
                  <c:v>41148</c:v>
                </c:pt>
                <c:pt idx="236">
                  <c:v>41145</c:v>
                </c:pt>
                <c:pt idx="237">
                  <c:v>41144</c:v>
                </c:pt>
                <c:pt idx="238">
                  <c:v>41143</c:v>
                </c:pt>
                <c:pt idx="239">
                  <c:v>41142</c:v>
                </c:pt>
                <c:pt idx="240">
                  <c:v>41141</c:v>
                </c:pt>
                <c:pt idx="241">
                  <c:v>41138</c:v>
                </c:pt>
                <c:pt idx="242">
                  <c:v>41137</c:v>
                </c:pt>
                <c:pt idx="243">
                  <c:v>41136</c:v>
                </c:pt>
                <c:pt idx="244">
                  <c:v>41135</c:v>
                </c:pt>
                <c:pt idx="245">
                  <c:v>41134</c:v>
                </c:pt>
                <c:pt idx="246">
                  <c:v>41131</c:v>
                </c:pt>
                <c:pt idx="247">
                  <c:v>41130</c:v>
                </c:pt>
                <c:pt idx="248">
                  <c:v>41129</c:v>
                </c:pt>
                <c:pt idx="249">
                  <c:v>41128</c:v>
                </c:pt>
                <c:pt idx="250">
                  <c:v>41127</c:v>
                </c:pt>
                <c:pt idx="251">
                  <c:v>41124</c:v>
                </c:pt>
                <c:pt idx="252">
                  <c:v>41123</c:v>
                </c:pt>
                <c:pt idx="253">
                  <c:v>41122</c:v>
                </c:pt>
                <c:pt idx="254">
                  <c:v>41121</c:v>
                </c:pt>
                <c:pt idx="255">
                  <c:v>41120</c:v>
                </c:pt>
                <c:pt idx="256">
                  <c:v>41117</c:v>
                </c:pt>
                <c:pt idx="257">
                  <c:v>41116</c:v>
                </c:pt>
                <c:pt idx="258">
                  <c:v>41115</c:v>
                </c:pt>
                <c:pt idx="259">
                  <c:v>41114</c:v>
                </c:pt>
                <c:pt idx="260">
                  <c:v>41113</c:v>
                </c:pt>
                <c:pt idx="261">
                  <c:v>41110</c:v>
                </c:pt>
                <c:pt idx="262">
                  <c:v>41109</c:v>
                </c:pt>
                <c:pt idx="263">
                  <c:v>41108</c:v>
                </c:pt>
                <c:pt idx="264">
                  <c:v>41107</c:v>
                </c:pt>
                <c:pt idx="265">
                  <c:v>41106</c:v>
                </c:pt>
                <c:pt idx="266">
                  <c:v>41103</c:v>
                </c:pt>
                <c:pt idx="267">
                  <c:v>41102</c:v>
                </c:pt>
                <c:pt idx="268">
                  <c:v>41101</c:v>
                </c:pt>
                <c:pt idx="269">
                  <c:v>41100</c:v>
                </c:pt>
                <c:pt idx="270">
                  <c:v>41099</c:v>
                </c:pt>
                <c:pt idx="271">
                  <c:v>41096</c:v>
                </c:pt>
                <c:pt idx="272">
                  <c:v>41095</c:v>
                </c:pt>
                <c:pt idx="273">
                  <c:v>41094</c:v>
                </c:pt>
                <c:pt idx="274">
                  <c:v>41093</c:v>
                </c:pt>
                <c:pt idx="275">
                  <c:v>41092</c:v>
                </c:pt>
                <c:pt idx="276">
                  <c:v>41089</c:v>
                </c:pt>
                <c:pt idx="277">
                  <c:v>41088</c:v>
                </c:pt>
                <c:pt idx="278">
                  <c:v>41087</c:v>
                </c:pt>
                <c:pt idx="279">
                  <c:v>41086</c:v>
                </c:pt>
                <c:pt idx="280">
                  <c:v>41085</c:v>
                </c:pt>
                <c:pt idx="281">
                  <c:v>41082</c:v>
                </c:pt>
                <c:pt idx="282">
                  <c:v>41081</c:v>
                </c:pt>
                <c:pt idx="283">
                  <c:v>41080</c:v>
                </c:pt>
                <c:pt idx="284">
                  <c:v>41079</c:v>
                </c:pt>
                <c:pt idx="285">
                  <c:v>41078</c:v>
                </c:pt>
                <c:pt idx="286">
                  <c:v>41075</c:v>
                </c:pt>
                <c:pt idx="287">
                  <c:v>41074</c:v>
                </c:pt>
                <c:pt idx="288">
                  <c:v>41073</c:v>
                </c:pt>
                <c:pt idx="289">
                  <c:v>41072</c:v>
                </c:pt>
              </c:numCache>
            </c:numRef>
          </c:cat>
          <c:val>
            <c:numRef>
              <c:f>SourceData!$F$210:$F$499</c:f>
              <c:numCache>
                <c:formatCode>#,##0_);[Red]\(#,##0\)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SourceData!$D$1</c:f>
              <c:strCache>
                <c:ptCount val="1"/>
                <c:pt idx="0">
                  <c:v>Coverage Work Days</c:v>
                </c:pt>
              </c:strCache>
            </c:strRef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none"/>
          </c:marker>
          <c:cat>
            <c:numRef>
              <c:f>SourceData!$A$210:$A$499</c:f>
              <c:numCache>
                <c:formatCode>m/d/yyyy</c:formatCode>
                <c:ptCount val="290"/>
                <c:pt idx="0">
                  <c:v>41493</c:v>
                </c:pt>
                <c:pt idx="1">
                  <c:v>41492</c:v>
                </c:pt>
                <c:pt idx="2">
                  <c:v>41491</c:v>
                </c:pt>
                <c:pt idx="3">
                  <c:v>41488</c:v>
                </c:pt>
                <c:pt idx="4">
                  <c:v>41487</c:v>
                </c:pt>
                <c:pt idx="5">
                  <c:v>41486</c:v>
                </c:pt>
                <c:pt idx="6">
                  <c:v>41485</c:v>
                </c:pt>
                <c:pt idx="7">
                  <c:v>41484</c:v>
                </c:pt>
                <c:pt idx="8">
                  <c:v>41481</c:v>
                </c:pt>
                <c:pt idx="9">
                  <c:v>41480</c:v>
                </c:pt>
                <c:pt idx="10">
                  <c:v>41479</c:v>
                </c:pt>
                <c:pt idx="11">
                  <c:v>41478</c:v>
                </c:pt>
                <c:pt idx="12">
                  <c:v>41477</c:v>
                </c:pt>
                <c:pt idx="13">
                  <c:v>41474</c:v>
                </c:pt>
                <c:pt idx="14">
                  <c:v>41473</c:v>
                </c:pt>
                <c:pt idx="15">
                  <c:v>41472</c:v>
                </c:pt>
                <c:pt idx="16">
                  <c:v>41471</c:v>
                </c:pt>
                <c:pt idx="17">
                  <c:v>41470</c:v>
                </c:pt>
                <c:pt idx="18">
                  <c:v>41467</c:v>
                </c:pt>
                <c:pt idx="19">
                  <c:v>41466</c:v>
                </c:pt>
                <c:pt idx="20">
                  <c:v>41465</c:v>
                </c:pt>
                <c:pt idx="21">
                  <c:v>41464</c:v>
                </c:pt>
                <c:pt idx="22">
                  <c:v>41463</c:v>
                </c:pt>
                <c:pt idx="23">
                  <c:v>41460</c:v>
                </c:pt>
                <c:pt idx="24">
                  <c:v>41459</c:v>
                </c:pt>
                <c:pt idx="25">
                  <c:v>41458</c:v>
                </c:pt>
                <c:pt idx="26">
                  <c:v>41457</c:v>
                </c:pt>
                <c:pt idx="27">
                  <c:v>41456</c:v>
                </c:pt>
                <c:pt idx="28">
                  <c:v>41453</c:v>
                </c:pt>
                <c:pt idx="29">
                  <c:v>41452</c:v>
                </c:pt>
                <c:pt idx="30">
                  <c:v>41451</c:v>
                </c:pt>
                <c:pt idx="31">
                  <c:v>41450</c:v>
                </c:pt>
                <c:pt idx="32">
                  <c:v>41449</c:v>
                </c:pt>
                <c:pt idx="33">
                  <c:v>41446</c:v>
                </c:pt>
                <c:pt idx="34">
                  <c:v>41445</c:v>
                </c:pt>
                <c:pt idx="35">
                  <c:v>41444</c:v>
                </c:pt>
                <c:pt idx="36">
                  <c:v>41443</c:v>
                </c:pt>
                <c:pt idx="37">
                  <c:v>41442</c:v>
                </c:pt>
                <c:pt idx="38">
                  <c:v>41439</c:v>
                </c:pt>
                <c:pt idx="39">
                  <c:v>41438</c:v>
                </c:pt>
                <c:pt idx="40">
                  <c:v>42440</c:v>
                </c:pt>
                <c:pt idx="41">
                  <c:v>41436</c:v>
                </c:pt>
                <c:pt idx="42">
                  <c:v>41435</c:v>
                </c:pt>
                <c:pt idx="43">
                  <c:v>41432</c:v>
                </c:pt>
                <c:pt idx="44">
                  <c:v>41431</c:v>
                </c:pt>
                <c:pt idx="45">
                  <c:v>41430</c:v>
                </c:pt>
                <c:pt idx="46">
                  <c:v>41429</c:v>
                </c:pt>
                <c:pt idx="47">
                  <c:v>41428</c:v>
                </c:pt>
                <c:pt idx="48">
                  <c:v>41425</c:v>
                </c:pt>
                <c:pt idx="49">
                  <c:v>41424</c:v>
                </c:pt>
                <c:pt idx="50">
                  <c:v>41423</c:v>
                </c:pt>
                <c:pt idx="51">
                  <c:v>41422</c:v>
                </c:pt>
                <c:pt idx="52">
                  <c:v>41421</c:v>
                </c:pt>
                <c:pt idx="53">
                  <c:v>41418</c:v>
                </c:pt>
                <c:pt idx="54">
                  <c:v>41417</c:v>
                </c:pt>
                <c:pt idx="55">
                  <c:v>41416</c:v>
                </c:pt>
                <c:pt idx="56">
                  <c:v>41415</c:v>
                </c:pt>
                <c:pt idx="57">
                  <c:v>41410</c:v>
                </c:pt>
                <c:pt idx="58">
                  <c:v>41409</c:v>
                </c:pt>
                <c:pt idx="59">
                  <c:v>41408</c:v>
                </c:pt>
                <c:pt idx="60">
                  <c:v>41407</c:v>
                </c:pt>
                <c:pt idx="61">
                  <c:v>41404</c:v>
                </c:pt>
                <c:pt idx="62">
                  <c:v>41402</c:v>
                </c:pt>
                <c:pt idx="63">
                  <c:v>41401</c:v>
                </c:pt>
                <c:pt idx="64">
                  <c:v>41400</c:v>
                </c:pt>
                <c:pt idx="65">
                  <c:v>41397</c:v>
                </c:pt>
                <c:pt idx="66">
                  <c:v>41396</c:v>
                </c:pt>
                <c:pt idx="67">
                  <c:v>41394</c:v>
                </c:pt>
                <c:pt idx="68">
                  <c:v>41393</c:v>
                </c:pt>
                <c:pt idx="69">
                  <c:v>41390</c:v>
                </c:pt>
                <c:pt idx="70">
                  <c:v>41389</c:v>
                </c:pt>
                <c:pt idx="71">
                  <c:v>41388</c:v>
                </c:pt>
                <c:pt idx="72">
                  <c:v>41387</c:v>
                </c:pt>
                <c:pt idx="73">
                  <c:v>41386</c:v>
                </c:pt>
                <c:pt idx="74">
                  <c:v>41383</c:v>
                </c:pt>
                <c:pt idx="75">
                  <c:v>41382</c:v>
                </c:pt>
                <c:pt idx="76">
                  <c:v>41381</c:v>
                </c:pt>
                <c:pt idx="77">
                  <c:v>41380</c:v>
                </c:pt>
                <c:pt idx="78">
                  <c:v>41379</c:v>
                </c:pt>
                <c:pt idx="79">
                  <c:v>41376</c:v>
                </c:pt>
                <c:pt idx="80">
                  <c:v>41375</c:v>
                </c:pt>
                <c:pt idx="81">
                  <c:v>41374</c:v>
                </c:pt>
                <c:pt idx="82">
                  <c:v>41373</c:v>
                </c:pt>
                <c:pt idx="83">
                  <c:v>41372</c:v>
                </c:pt>
                <c:pt idx="84">
                  <c:v>41369</c:v>
                </c:pt>
                <c:pt idx="85">
                  <c:v>41368</c:v>
                </c:pt>
                <c:pt idx="86">
                  <c:v>41367</c:v>
                </c:pt>
                <c:pt idx="87">
                  <c:v>41366</c:v>
                </c:pt>
                <c:pt idx="88">
                  <c:v>41360</c:v>
                </c:pt>
                <c:pt idx="89">
                  <c:v>41359</c:v>
                </c:pt>
                <c:pt idx="90">
                  <c:v>41358</c:v>
                </c:pt>
                <c:pt idx="91">
                  <c:v>41355</c:v>
                </c:pt>
                <c:pt idx="92">
                  <c:v>41354</c:v>
                </c:pt>
                <c:pt idx="93">
                  <c:v>41353</c:v>
                </c:pt>
                <c:pt idx="94">
                  <c:v>41352</c:v>
                </c:pt>
                <c:pt idx="95">
                  <c:v>41351</c:v>
                </c:pt>
                <c:pt idx="96">
                  <c:v>41348</c:v>
                </c:pt>
                <c:pt idx="97">
                  <c:v>41347</c:v>
                </c:pt>
                <c:pt idx="98">
                  <c:v>41346</c:v>
                </c:pt>
                <c:pt idx="99">
                  <c:v>41345</c:v>
                </c:pt>
                <c:pt idx="100">
                  <c:v>41344</c:v>
                </c:pt>
                <c:pt idx="101">
                  <c:v>41341</c:v>
                </c:pt>
                <c:pt idx="102">
                  <c:v>41340</c:v>
                </c:pt>
                <c:pt idx="103">
                  <c:v>41339</c:v>
                </c:pt>
                <c:pt idx="104">
                  <c:v>41338</c:v>
                </c:pt>
                <c:pt idx="105">
                  <c:v>41337</c:v>
                </c:pt>
                <c:pt idx="106">
                  <c:v>41334</c:v>
                </c:pt>
                <c:pt idx="107">
                  <c:v>41333</c:v>
                </c:pt>
                <c:pt idx="108">
                  <c:v>41332</c:v>
                </c:pt>
                <c:pt idx="109">
                  <c:v>41331</c:v>
                </c:pt>
                <c:pt idx="110">
                  <c:v>41330</c:v>
                </c:pt>
                <c:pt idx="111">
                  <c:v>41327</c:v>
                </c:pt>
                <c:pt idx="112">
                  <c:v>41326</c:v>
                </c:pt>
                <c:pt idx="113">
                  <c:v>41325</c:v>
                </c:pt>
                <c:pt idx="114">
                  <c:v>41324</c:v>
                </c:pt>
                <c:pt idx="115">
                  <c:v>41323</c:v>
                </c:pt>
                <c:pt idx="116">
                  <c:v>41320</c:v>
                </c:pt>
                <c:pt idx="117">
                  <c:v>41319</c:v>
                </c:pt>
                <c:pt idx="118">
                  <c:v>41318</c:v>
                </c:pt>
                <c:pt idx="119">
                  <c:v>41317</c:v>
                </c:pt>
                <c:pt idx="120">
                  <c:v>41316</c:v>
                </c:pt>
                <c:pt idx="121">
                  <c:v>41313</c:v>
                </c:pt>
                <c:pt idx="122">
                  <c:v>41312</c:v>
                </c:pt>
                <c:pt idx="123">
                  <c:v>41311</c:v>
                </c:pt>
                <c:pt idx="124">
                  <c:v>41310</c:v>
                </c:pt>
                <c:pt idx="125">
                  <c:v>41309</c:v>
                </c:pt>
                <c:pt idx="126">
                  <c:v>41306</c:v>
                </c:pt>
                <c:pt idx="127">
                  <c:v>41305</c:v>
                </c:pt>
                <c:pt idx="128">
                  <c:v>41304</c:v>
                </c:pt>
                <c:pt idx="129">
                  <c:v>41303</c:v>
                </c:pt>
                <c:pt idx="130">
                  <c:v>41302</c:v>
                </c:pt>
                <c:pt idx="131">
                  <c:v>41299</c:v>
                </c:pt>
                <c:pt idx="132">
                  <c:v>41298</c:v>
                </c:pt>
                <c:pt idx="133">
                  <c:v>41297</c:v>
                </c:pt>
                <c:pt idx="134">
                  <c:v>41296</c:v>
                </c:pt>
                <c:pt idx="135">
                  <c:v>41295</c:v>
                </c:pt>
                <c:pt idx="136">
                  <c:v>41292</c:v>
                </c:pt>
                <c:pt idx="137">
                  <c:v>41291</c:v>
                </c:pt>
                <c:pt idx="138">
                  <c:v>41290</c:v>
                </c:pt>
                <c:pt idx="139">
                  <c:v>41289</c:v>
                </c:pt>
                <c:pt idx="140">
                  <c:v>41288</c:v>
                </c:pt>
                <c:pt idx="141">
                  <c:v>41285</c:v>
                </c:pt>
                <c:pt idx="142">
                  <c:v>41284</c:v>
                </c:pt>
                <c:pt idx="143">
                  <c:v>41283</c:v>
                </c:pt>
                <c:pt idx="144">
                  <c:v>41282</c:v>
                </c:pt>
                <c:pt idx="145">
                  <c:v>41281</c:v>
                </c:pt>
                <c:pt idx="146">
                  <c:v>41278</c:v>
                </c:pt>
                <c:pt idx="147">
                  <c:v>41277</c:v>
                </c:pt>
                <c:pt idx="148">
                  <c:v>41276</c:v>
                </c:pt>
                <c:pt idx="149">
                  <c:v>41271</c:v>
                </c:pt>
                <c:pt idx="150">
                  <c:v>41270</c:v>
                </c:pt>
                <c:pt idx="151">
                  <c:v>41264</c:v>
                </c:pt>
                <c:pt idx="152">
                  <c:v>41263</c:v>
                </c:pt>
                <c:pt idx="153">
                  <c:v>41262</c:v>
                </c:pt>
                <c:pt idx="154">
                  <c:v>41261</c:v>
                </c:pt>
                <c:pt idx="155">
                  <c:v>41260</c:v>
                </c:pt>
                <c:pt idx="156">
                  <c:v>41257</c:v>
                </c:pt>
                <c:pt idx="157">
                  <c:v>41256</c:v>
                </c:pt>
                <c:pt idx="158">
                  <c:v>41255</c:v>
                </c:pt>
                <c:pt idx="159">
                  <c:v>41254</c:v>
                </c:pt>
                <c:pt idx="160">
                  <c:v>41253</c:v>
                </c:pt>
                <c:pt idx="161">
                  <c:v>41250</c:v>
                </c:pt>
                <c:pt idx="162">
                  <c:v>41249</c:v>
                </c:pt>
                <c:pt idx="163">
                  <c:v>41248</c:v>
                </c:pt>
                <c:pt idx="164">
                  <c:v>41247</c:v>
                </c:pt>
                <c:pt idx="165">
                  <c:v>41246</c:v>
                </c:pt>
                <c:pt idx="166">
                  <c:v>41243</c:v>
                </c:pt>
                <c:pt idx="167">
                  <c:v>41242</c:v>
                </c:pt>
                <c:pt idx="168">
                  <c:v>41241</c:v>
                </c:pt>
                <c:pt idx="169">
                  <c:v>41240</c:v>
                </c:pt>
                <c:pt idx="170">
                  <c:v>41239</c:v>
                </c:pt>
                <c:pt idx="171">
                  <c:v>41236</c:v>
                </c:pt>
                <c:pt idx="172">
                  <c:v>41235</c:v>
                </c:pt>
                <c:pt idx="173">
                  <c:v>41234</c:v>
                </c:pt>
                <c:pt idx="174">
                  <c:v>41233</c:v>
                </c:pt>
                <c:pt idx="175">
                  <c:v>41232</c:v>
                </c:pt>
                <c:pt idx="176">
                  <c:v>41229</c:v>
                </c:pt>
                <c:pt idx="177">
                  <c:v>41228</c:v>
                </c:pt>
                <c:pt idx="178">
                  <c:v>41227</c:v>
                </c:pt>
                <c:pt idx="179">
                  <c:v>41226</c:v>
                </c:pt>
                <c:pt idx="180">
                  <c:v>41225</c:v>
                </c:pt>
                <c:pt idx="181">
                  <c:v>41222</c:v>
                </c:pt>
                <c:pt idx="182">
                  <c:v>41221</c:v>
                </c:pt>
                <c:pt idx="183">
                  <c:v>41220</c:v>
                </c:pt>
                <c:pt idx="184">
                  <c:v>41219</c:v>
                </c:pt>
                <c:pt idx="185">
                  <c:v>41218</c:v>
                </c:pt>
                <c:pt idx="186">
                  <c:v>41215</c:v>
                </c:pt>
                <c:pt idx="187">
                  <c:v>41214</c:v>
                </c:pt>
                <c:pt idx="188">
                  <c:v>41213</c:v>
                </c:pt>
                <c:pt idx="189">
                  <c:v>41212</c:v>
                </c:pt>
                <c:pt idx="190">
                  <c:v>41211</c:v>
                </c:pt>
                <c:pt idx="191">
                  <c:v>41208</c:v>
                </c:pt>
                <c:pt idx="192">
                  <c:v>41207</c:v>
                </c:pt>
                <c:pt idx="193">
                  <c:v>41206</c:v>
                </c:pt>
                <c:pt idx="194">
                  <c:v>41205</c:v>
                </c:pt>
                <c:pt idx="195">
                  <c:v>41204</c:v>
                </c:pt>
                <c:pt idx="196">
                  <c:v>41201</c:v>
                </c:pt>
                <c:pt idx="197">
                  <c:v>41200</c:v>
                </c:pt>
                <c:pt idx="198">
                  <c:v>41199</c:v>
                </c:pt>
                <c:pt idx="199">
                  <c:v>41198</c:v>
                </c:pt>
                <c:pt idx="200">
                  <c:v>41197</c:v>
                </c:pt>
                <c:pt idx="201">
                  <c:v>41194</c:v>
                </c:pt>
                <c:pt idx="202">
                  <c:v>41193</c:v>
                </c:pt>
                <c:pt idx="203">
                  <c:v>41192</c:v>
                </c:pt>
                <c:pt idx="204">
                  <c:v>41191</c:v>
                </c:pt>
                <c:pt idx="205">
                  <c:v>41190</c:v>
                </c:pt>
                <c:pt idx="206">
                  <c:v>41187</c:v>
                </c:pt>
                <c:pt idx="207">
                  <c:v>41186</c:v>
                </c:pt>
                <c:pt idx="208">
                  <c:v>41185</c:v>
                </c:pt>
                <c:pt idx="209">
                  <c:v>41184</c:v>
                </c:pt>
                <c:pt idx="210">
                  <c:v>41183</c:v>
                </c:pt>
                <c:pt idx="211">
                  <c:v>41180</c:v>
                </c:pt>
                <c:pt idx="212">
                  <c:v>41179</c:v>
                </c:pt>
                <c:pt idx="213">
                  <c:v>41178</c:v>
                </c:pt>
                <c:pt idx="214">
                  <c:v>41177</c:v>
                </c:pt>
                <c:pt idx="215">
                  <c:v>41176</c:v>
                </c:pt>
                <c:pt idx="216">
                  <c:v>41173</c:v>
                </c:pt>
                <c:pt idx="217">
                  <c:v>41172</c:v>
                </c:pt>
                <c:pt idx="218">
                  <c:v>41171</c:v>
                </c:pt>
                <c:pt idx="219">
                  <c:v>41170</c:v>
                </c:pt>
                <c:pt idx="220">
                  <c:v>41169</c:v>
                </c:pt>
                <c:pt idx="221">
                  <c:v>41166</c:v>
                </c:pt>
                <c:pt idx="222">
                  <c:v>41165</c:v>
                </c:pt>
                <c:pt idx="223">
                  <c:v>41164</c:v>
                </c:pt>
                <c:pt idx="224">
                  <c:v>41163</c:v>
                </c:pt>
                <c:pt idx="225">
                  <c:v>41162</c:v>
                </c:pt>
                <c:pt idx="226">
                  <c:v>41159</c:v>
                </c:pt>
                <c:pt idx="227">
                  <c:v>41158</c:v>
                </c:pt>
                <c:pt idx="228">
                  <c:v>41157</c:v>
                </c:pt>
                <c:pt idx="229">
                  <c:v>41156</c:v>
                </c:pt>
                <c:pt idx="230">
                  <c:v>41155</c:v>
                </c:pt>
                <c:pt idx="231">
                  <c:v>41152</c:v>
                </c:pt>
                <c:pt idx="232">
                  <c:v>41151</c:v>
                </c:pt>
                <c:pt idx="233">
                  <c:v>41150</c:v>
                </c:pt>
                <c:pt idx="234">
                  <c:v>41149</c:v>
                </c:pt>
                <c:pt idx="235">
                  <c:v>41148</c:v>
                </c:pt>
                <c:pt idx="236">
                  <c:v>41145</c:v>
                </c:pt>
                <c:pt idx="237">
                  <c:v>41144</c:v>
                </c:pt>
                <c:pt idx="238">
                  <c:v>41143</c:v>
                </c:pt>
                <c:pt idx="239">
                  <c:v>41142</c:v>
                </c:pt>
                <c:pt idx="240">
                  <c:v>41141</c:v>
                </c:pt>
                <c:pt idx="241">
                  <c:v>41138</c:v>
                </c:pt>
                <c:pt idx="242">
                  <c:v>41137</c:v>
                </c:pt>
                <c:pt idx="243">
                  <c:v>41136</c:v>
                </c:pt>
                <c:pt idx="244">
                  <c:v>41135</c:v>
                </c:pt>
                <c:pt idx="245">
                  <c:v>41134</c:v>
                </c:pt>
                <c:pt idx="246">
                  <c:v>41131</c:v>
                </c:pt>
                <c:pt idx="247">
                  <c:v>41130</c:v>
                </c:pt>
                <c:pt idx="248">
                  <c:v>41129</c:v>
                </c:pt>
                <c:pt idx="249">
                  <c:v>41128</c:v>
                </c:pt>
                <c:pt idx="250">
                  <c:v>41127</c:v>
                </c:pt>
                <c:pt idx="251">
                  <c:v>41124</c:v>
                </c:pt>
                <c:pt idx="252">
                  <c:v>41123</c:v>
                </c:pt>
                <c:pt idx="253">
                  <c:v>41122</c:v>
                </c:pt>
                <c:pt idx="254">
                  <c:v>41121</c:v>
                </c:pt>
                <c:pt idx="255">
                  <c:v>41120</c:v>
                </c:pt>
                <c:pt idx="256">
                  <c:v>41117</c:v>
                </c:pt>
                <c:pt idx="257">
                  <c:v>41116</c:v>
                </c:pt>
                <c:pt idx="258">
                  <c:v>41115</c:v>
                </c:pt>
                <c:pt idx="259">
                  <c:v>41114</c:v>
                </c:pt>
                <c:pt idx="260">
                  <c:v>41113</c:v>
                </c:pt>
                <c:pt idx="261">
                  <c:v>41110</c:v>
                </c:pt>
                <c:pt idx="262">
                  <c:v>41109</c:v>
                </c:pt>
                <c:pt idx="263">
                  <c:v>41108</c:v>
                </c:pt>
                <c:pt idx="264">
                  <c:v>41107</c:v>
                </c:pt>
                <c:pt idx="265">
                  <c:v>41106</c:v>
                </c:pt>
                <c:pt idx="266">
                  <c:v>41103</c:v>
                </c:pt>
                <c:pt idx="267">
                  <c:v>41102</c:v>
                </c:pt>
                <c:pt idx="268">
                  <c:v>41101</c:v>
                </c:pt>
                <c:pt idx="269">
                  <c:v>41100</c:v>
                </c:pt>
                <c:pt idx="270">
                  <c:v>41099</c:v>
                </c:pt>
                <c:pt idx="271">
                  <c:v>41096</c:v>
                </c:pt>
                <c:pt idx="272">
                  <c:v>41095</c:v>
                </c:pt>
                <c:pt idx="273">
                  <c:v>41094</c:v>
                </c:pt>
                <c:pt idx="274">
                  <c:v>41093</c:v>
                </c:pt>
                <c:pt idx="275">
                  <c:v>41092</c:v>
                </c:pt>
                <c:pt idx="276">
                  <c:v>41089</c:v>
                </c:pt>
                <c:pt idx="277">
                  <c:v>41088</c:v>
                </c:pt>
                <c:pt idx="278">
                  <c:v>41087</c:v>
                </c:pt>
                <c:pt idx="279">
                  <c:v>41086</c:v>
                </c:pt>
                <c:pt idx="280">
                  <c:v>41085</c:v>
                </c:pt>
                <c:pt idx="281">
                  <c:v>41082</c:v>
                </c:pt>
                <c:pt idx="282">
                  <c:v>41081</c:v>
                </c:pt>
                <c:pt idx="283">
                  <c:v>41080</c:v>
                </c:pt>
                <c:pt idx="284">
                  <c:v>41079</c:v>
                </c:pt>
                <c:pt idx="285">
                  <c:v>41078</c:v>
                </c:pt>
                <c:pt idx="286">
                  <c:v>41075</c:v>
                </c:pt>
                <c:pt idx="287">
                  <c:v>41074</c:v>
                </c:pt>
                <c:pt idx="288">
                  <c:v>41073</c:v>
                </c:pt>
                <c:pt idx="289">
                  <c:v>41072</c:v>
                </c:pt>
              </c:numCache>
            </c:numRef>
          </c:cat>
          <c:val>
            <c:numRef>
              <c:f>SourceData!$D$210:$D$499</c:f>
              <c:numCache>
                <c:formatCode>General</c:formatCode>
                <c:ptCount val="29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090928"/>
        <c:axId val="951085048"/>
      </c:lineChart>
      <c:dateAx>
        <c:axId val="951088576"/>
        <c:scaling>
          <c:orientation val="minMax"/>
        </c:scaling>
        <c:delete val="0"/>
        <c:axPos val="b"/>
        <c:numFmt formatCode="dd/mm/yyyy" sourceLinked="0"/>
        <c:majorTickMark val="none"/>
        <c:minorTickMark val="none"/>
        <c:tickLblPos val="nextTo"/>
        <c:spPr>
          <a:ln w="3175">
            <a:solidFill>
              <a:srgbClr val="ABABAB"/>
            </a:solidFill>
            <a:prstDash val="solid"/>
          </a:ln>
        </c:spPr>
        <c:txPr>
          <a:bodyPr rot="-5400000" vert="horz"/>
          <a:lstStyle/>
          <a:p>
            <a:pPr>
              <a:defRPr sz="900"/>
            </a:pPr>
            <a:endParaRPr lang="en-US"/>
          </a:p>
        </c:txPr>
        <c:crossAx val="951093672"/>
        <c:crosses val="autoZero"/>
        <c:auto val="1"/>
        <c:lblOffset val="100"/>
        <c:baseTimeUnit val="days"/>
      </c:dateAx>
      <c:valAx>
        <c:axId val="951093672"/>
        <c:scaling>
          <c:orientation val="minMax"/>
        </c:scaling>
        <c:delete val="0"/>
        <c:axPos val="l"/>
        <c:majorGridlines>
          <c:spPr>
            <a:ln w="3175">
              <a:solidFill>
                <a:srgbClr val="D3D3D3"/>
              </a:solidFill>
              <a:prstDash val="solid"/>
            </a:ln>
          </c:spPr>
        </c:majorGridlines>
        <c:numFmt formatCode="#,##0_);[Red]\(#,##0\)" sourceLinked="1"/>
        <c:majorTickMark val="none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n-US"/>
          </a:p>
        </c:txPr>
        <c:crossAx val="951088576"/>
        <c:crosses val="autoZero"/>
        <c:crossBetween val="between"/>
      </c:valAx>
      <c:dateAx>
        <c:axId val="9510909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951085048"/>
        <c:crosses val="autoZero"/>
        <c:auto val="1"/>
        <c:lblOffset val="100"/>
        <c:baseTimeUnit val="days"/>
      </c:dateAx>
      <c:valAx>
        <c:axId val="951085048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900" b="1"/>
                </a:pPr>
                <a:r>
                  <a:rPr lang="nb-NO" sz="900" b="1"/>
                  <a:t>Coverage in Work Days</a:t>
                </a:r>
              </a:p>
            </c:rich>
          </c:tx>
          <c:layout>
            <c:manualLayout>
              <c:xMode val="edge"/>
              <c:yMode val="edge"/>
              <c:x val="0.92981501966568336"/>
              <c:y val="0.1941557216183574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cross"/>
        <c:minorTickMark val="none"/>
        <c:tickLblPos val="nextTo"/>
        <c:spPr>
          <a:ln w="3175">
            <a:solidFill>
              <a:srgbClr val="ABABAB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951090928"/>
        <c:crosses val="max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7.0167465585054087E-2"/>
          <c:y val="0.88177234299516905"/>
          <c:w val="0.87527470501474924"/>
          <c:h val="0.1134344806763285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noFill/>
    <a:ln w="9525">
      <a:solidFill>
        <a:schemeClr val="bg1">
          <a:lumMod val="8500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 paperSize="9" orientation="landscape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Lead Time &amp; Service level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8712800325284525E-2"/>
          <c:y val="0.28278632588875274"/>
          <c:w val="0.79253907496802001"/>
          <c:h val="0.55624974090673629"/>
        </c:manualLayout>
      </c:layout>
      <c:lineChart>
        <c:grouping val="standard"/>
        <c:varyColors val="0"/>
        <c:ser>
          <c:idx val="1"/>
          <c:order val="1"/>
          <c:tx>
            <c:strRef>
              <c:f>Log_LLS!$F$1</c:f>
              <c:strCache>
                <c:ptCount val="1"/>
                <c:pt idx="0">
                  <c:v>Avg simulated stock</c:v>
                </c:pt>
              </c:strCache>
            </c:strRef>
          </c:tx>
          <c:marker>
            <c:symbol val="none"/>
          </c:marker>
          <c:val>
            <c:numRef>
              <c:f>Log_LLS!$F$1:$F$2</c:f>
              <c:numCache>
                <c:formatCode>#,##0_);[Red]\(#,##0\)</c:formatCode>
                <c:ptCount val="2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095240"/>
        <c:axId val="951092104"/>
      </c:lineChart>
      <c:lineChart>
        <c:grouping val="standard"/>
        <c:varyColors val="0"/>
        <c:ser>
          <c:idx val="0"/>
          <c:order val="0"/>
          <c:tx>
            <c:strRef>
              <c:f>Log_LLS!$J$1</c:f>
              <c:strCache>
                <c:ptCount val="1"/>
                <c:pt idx="0">
                  <c:v>Service level</c:v>
                </c:pt>
              </c:strCache>
            </c:strRef>
          </c:tx>
          <c:marker>
            <c:symbol val="none"/>
          </c:marker>
          <c:val>
            <c:numRef>
              <c:f>Log_LLS!$J$1:$J$2</c:f>
              <c:numCache>
                <c:formatCode>0.0\ %;[Red]\-0.0\ %</c:formatCode>
                <c:ptCount val="2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091320"/>
        <c:axId val="951087400"/>
      </c:lineChart>
      <c:catAx>
        <c:axId val="95109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Lead Time, Safety Stock</a:t>
                </a:r>
                <a:r>
                  <a:rPr lang="en-US" baseline="0"/>
                  <a:t> and Lot Size combinations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17238720270934027"/>
              <c:y val="0.93167849081298804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951092104"/>
        <c:crosses val="autoZero"/>
        <c:auto val="1"/>
        <c:lblAlgn val="ctr"/>
        <c:lblOffset val="100"/>
        <c:noMultiLvlLbl val="0"/>
      </c:catAx>
      <c:valAx>
        <c:axId val="9510921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#,##0_);[Red]\(#,##0\)" sourceLinked="1"/>
        <c:majorTickMark val="none"/>
        <c:minorTickMark val="none"/>
        <c:tickLblPos val="nextTo"/>
        <c:crossAx val="951095240"/>
        <c:crosses val="autoZero"/>
        <c:crossBetween val="between"/>
      </c:valAx>
      <c:valAx>
        <c:axId val="951087400"/>
        <c:scaling>
          <c:orientation val="minMax"/>
        </c:scaling>
        <c:delete val="0"/>
        <c:axPos val="r"/>
        <c:numFmt formatCode="0\ %;[Red]\-0\ %" sourceLinked="0"/>
        <c:majorTickMark val="out"/>
        <c:minorTickMark val="none"/>
        <c:tickLblPos val="nextTo"/>
        <c:crossAx val="951091320"/>
        <c:crosses val="max"/>
        <c:crossBetween val="between"/>
      </c:valAx>
      <c:catAx>
        <c:axId val="9510913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51087400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18938338624155346"/>
          <c:y val="0.13302982081712905"/>
          <c:w val="0.36637118421416148"/>
          <c:h val="0.11481232067839622"/>
        </c:manualLayout>
      </c:layout>
      <c:overlay val="0"/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Service level &amp; Forecast accuracy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684147180564992"/>
          <c:y val="0.11939883323688509"/>
          <c:w val="0.79447383373993807"/>
          <c:h val="0.81537459530836998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Log_Forecast!$N$1</c:f>
              <c:strCache>
                <c:ptCount val="1"/>
                <c:pt idx="0">
                  <c:v>Service_Level</c:v>
                </c:pt>
              </c:strCache>
            </c:strRef>
          </c:tx>
          <c:invertIfNegative val="0"/>
          <c:val>
            <c:numRef>
              <c:f>Log_Forecast!$N$1:$N$2</c:f>
              <c:numCache>
                <c:formatCode>0\ %;[Red]\-0\ %</c:formatCode>
                <c:ptCount val="2"/>
                <c:pt idx="0" formatCode="0.0\ %;[Red]\-0.0\ %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1085440"/>
        <c:axId val="951087008"/>
      </c:barChart>
      <c:lineChart>
        <c:grouping val="standard"/>
        <c:varyColors val="0"/>
        <c:ser>
          <c:idx val="0"/>
          <c:order val="0"/>
          <c:tx>
            <c:strRef>
              <c:f>Log_Forecast!$M$1</c:f>
              <c:strCache>
                <c:ptCount val="1"/>
                <c:pt idx="0">
                  <c:v>Forecast Acc</c:v>
                </c:pt>
              </c:strCache>
            </c:strRef>
          </c:tx>
          <c:marker>
            <c:symbol val="none"/>
          </c:marker>
          <c:val>
            <c:numRef>
              <c:f>Log_Forecast!$M$1:$M$2</c:f>
              <c:numCache>
                <c:formatCode>0\ %;[Red]\-0\ %</c:formatCode>
                <c:ptCount val="2"/>
                <c:pt idx="0" formatCode="0.0\ %;[Red]\-0.0\ %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1088968"/>
        <c:axId val="951095632"/>
      </c:lineChart>
      <c:catAx>
        <c:axId val="951085440"/>
        <c:scaling>
          <c:orientation val="minMax"/>
        </c:scaling>
        <c:delete val="0"/>
        <c:axPos val="b"/>
        <c:majorTickMark val="none"/>
        <c:minorTickMark val="none"/>
        <c:tickLblPos val="nextTo"/>
        <c:crossAx val="951087008"/>
        <c:crosses val="autoZero"/>
        <c:auto val="1"/>
        <c:lblAlgn val="ctr"/>
        <c:lblOffset val="100"/>
        <c:noMultiLvlLbl val="0"/>
      </c:catAx>
      <c:valAx>
        <c:axId val="951087008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overlay val="0"/>
        </c:title>
        <c:numFmt formatCode="0\ %;[Red]\-0\ %" sourceLinked="0"/>
        <c:majorTickMark val="none"/>
        <c:minorTickMark val="none"/>
        <c:tickLblPos val="nextTo"/>
        <c:crossAx val="951085440"/>
        <c:crosses val="autoZero"/>
        <c:crossBetween val="between"/>
      </c:valAx>
      <c:valAx>
        <c:axId val="951095632"/>
        <c:scaling>
          <c:orientation val="minMax"/>
        </c:scaling>
        <c:delete val="0"/>
        <c:axPos val="r"/>
        <c:numFmt formatCode="0\ %;[Red]\-0\ %" sourceLinked="0"/>
        <c:majorTickMark val="out"/>
        <c:minorTickMark val="none"/>
        <c:tickLblPos val="nextTo"/>
        <c:crossAx val="951088968"/>
        <c:crosses val="max"/>
        <c:crossBetween val="between"/>
      </c:valAx>
      <c:catAx>
        <c:axId val="951088968"/>
        <c:scaling>
          <c:orientation val="minMax"/>
        </c:scaling>
        <c:delete val="1"/>
        <c:axPos val="b"/>
        <c:majorTickMark val="out"/>
        <c:minorTickMark val="none"/>
        <c:tickLblPos val="nextTo"/>
        <c:crossAx val="951095632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0.22273203395783245"/>
          <c:y val="0.70609142355321786"/>
          <c:w val="0.24624560865004869"/>
          <c:h val="0.10262376469904795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b-NO"/>
              <a:t>Stock levels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497462817147858"/>
          <c:y val="0.13903201962945783"/>
          <c:w val="0.80516316710411195"/>
          <c:h val="0.7850159654554012"/>
        </c:manualLayout>
      </c:layout>
      <c:lineChart>
        <c:grouping val="standard"/>
        <c:varyColors val="0"/>
        <c:ser>
          <c:idx val="0"/>
          <c:order val="0"/>
          <c:tx>
            <c:strRef>
              <c:f>Log_Forecast!$O$1</c:f>
              <c:strCache>
                <c:ptCount val="1"/>
                <c:pt idx="0">
                  <c:v>Avg actual stock</c:v>
                </c:pt>
              </c:strCache>
            </c:strRef>
          </c:tx>
          <c:marker>
            <c:symbol val="none"/>
          </c:marker>
          <c:val>
            <c:numRef>
              <c:f>Log_Forecast!$O$1:$O$2</c:f>
              <c:numCache>
                <c:formatCode>#,##0_);[Red]\(#,##0\)</c:formatCode>
                <c:ptCount val="2"/>
                <c:pt idx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Log_Forecast!$P$1</c:f>
              <c:strCache>
                <c:ptCount val="1"/>
                <c:pt idx="0">
                  <c:v>Avg simulated stock</c:v>
                </c:pt>
              </c:strCache>
            </c:strRef>
          </c:tx>
          <c:marker>
            <c:symbol val="none"/>
          </c:marker>
          <c:val>
            <c:numRef>
              <c:f>Log_Forecast!$P$1:$P$2</c:f>
              <c:numCache>
                <c:formatCode>#,##0_);[Red]\(#,##0\)</c:formatCode>
                <c:ptCount val="2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093280"/>
        <c:axId val="951087792"/>
      </c:lineChart>
      <c:catAx>
        <c:axId val="951093280"/>
        <c:scaling>
          <c:orientation val="minMax"/>
        </c:scaling>
        <c:delete val="0"/>
        <c:axPos val="b"/>
        <c:majorTickMark val="none"/>
        <c:minorTickMark val="none"/>
        <c:tickLblPos val="nextTo"/>
        <c:crossAx val="951087792"/>
        <c:crosses val="autoZero"/>
        <c:auto val="1"/>
        <c:lblAlgn val="ctr"/>
        <c:lblOffset val="100"/>
        <c:noMultiLvlLbl val="0"/>
      </c:catAx>
      <c:valAx>
        <c:axId val="9510877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overlay val="0"/>
        </c:title>
        <c:numFmt formatCode="#,##0_);[Red]\(#,##0\)" sourceLinked="1"/>
        <c:majorTickMark val="none"/>
        <c:minorTickMark val="none"/>
        <c:tickLblPos val="nextTo"/>
        <c:crossAx val="9510932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53624890638670164"/>
          <c:y val="0.16100588743241706"/>
          <c:w val="0.3081955380577428"/>
          <c:h val="0.11949856528145018"/>
        </c:manualLayout>
      </c:layout>
      <c:overlay val="0"/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Different stock levels from varying stock-in quantity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Log_StockIn!$F$1</c:f>
              <c:strCache>
                <c:ptCount val="1"/>
                <c:pt idx="0">
                  <c:v>Avg simulated stock</c:v>
                </c:pt>
              </c:strCache>
            </c:strRef>
          </c:tx>
          <c:marker>
            <c:symbol val="none"/>
          </c:marker>
          <c:cat>
            <c:numRef>
              <c:f>Log_StockIn!$D$2</c:f>
              <c:numCache>
                <c:formatCode>General</c:formatCode>
                <c:ptCount val="1"/>
              </c:numCache>
            </c:numRef>
          </c:cat>
          <c:val>
            <c:numRef>
              <c:f>Log_StockIn!$F$2</c:f>
              <c:numCache>
                <c:formatCode>#,##0_);[Red]\(#,##0\)</c:formatCode>
                <c:ptCount val="1"/>
              </c:numCache>
            </c:numRef>
          </c:val>
          <c:smooth val="0"/>
        </c:ser>
        <c:ser>
          <c:idx val="1"/>
          <c:order val="1"/>
          <c:tx>
            <c:strRef>
              <c:f>Log_StockIn!$E$1</c:f>
              <c:strCache>
                <c:ptCount val="1"/>
                <c:pt idx="0">
                  <c:v>Avg actual stock</c:v>
                </c:pt>
              </c:strCache>
            </c:strRef>
          </c:tx>
          <c:marker>
            <c:symbol val="none"/>
          </c:marker>
          <c:cat>
            <c:numRef>
              <c:f>Log_StockIn!$D$2</c:f>
              <c:numCache>
                <c:formatCode>General</c:formatCode>
                <c:ptCount val="1"/>
              </c:numCache>
            </c:numRef>
          </c:cat>
          <c:val>
            <c:numRef>
              <c:f>Log_StockIn!$E$2</c:f>
              <c:numCache>
                <c:formatCode>#,##0_);[Red]\(#,##0\)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085832"/>
        <c:axId val="951084264"/>
      </c:lineChart>
      <c:catAx>
        <c:axId val="95108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951084264"/>
        <c:crosses val="autoZero"/>
        <c:auto val="1"/>
        <c:lblAlgn val="ctr"/>
        <c:lblOffset val="100"/>
        <c:noMultiLvlLbl val="0"/>
      </c:catAx>
      <c:valAx>
        <c:axId val="951084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#,##0_);[Red]\(#,##0\)" sourceLinked="1"/>
        <c:majorTickMark val="none"/>
        <c:minorTickMark val="none"/>
        <c:tickLblPos val="nextTo"/>
        <c:crossAx val="95108583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5286832909465153"/>
          <c:y val="0.20024731837556795"/>
          <c:w val="0.80398822125146885"/>
          <c:h val="0.746915733758021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Log_StockIn!$H$1</c:f>
              <c:strCache>
                <c:ptCount val="1"/>
                <c:pt idx="0">
                  <c:v>Quantity out of stock</c:v>
                </c:pt>
              </c:strCache>
            </c:strRef>
          </c:tx>
          <c:invertIfNegative val="0"/>
          <c:val>
            <c:numRef>
              <c:f>Log_StockIn!$H$1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51086224"/>
        <c:axId val="951097200"/>
      </c:barChart>
      <c:catAx>
        <c:axId val="951086224"/>
        <c:scaling>
          <c:orientation val="minMax"/>
        </c:scaling>
        <c:delete val="0"/>
        <c:axPos val="b"/>
        <c:majorTickMark val="out"/>
        <c:minorTickMark val="none"/>
        <c:tickLblPos val="nextTo"/>
        <c:crossAx val="951097200"/>
        <c:crosses val="autoZero"/>
        <c:auto val="1"/>
        <c:lblAlgn val="ctr"/>
        <c:lblOffset val="100"/>
        <c:noMultiLvlLbl val="0"/>
      </c:catAx>
      <c:valAx>
        <c:axId val="95109720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951086224"/>
        <c:crosses val="autoZero"/>
        <c:crossBetween val="between"/>
      </c:valAx>
    </c:plotArea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History</c:v>
          </c:tx>
          <c:invertIfNegative val="0"/>
          <c:cat>
            <c:strLit>
              <c:ptCount val="25"/>
              <c:pt idx="0">
                <c:v>2012 6</c:v>
              </c:pt>
              <c:pt idx="1">
                <c:v>2012 7</c:v>
              </c:pt>
              <c:pt idx="2">
                <c:v>2012 8</c:v>
              </c:pt>
              <c:pt idx="3">
                <c:v>2012 9</c:v>
              </c:pt>
              <c:pt idx="4">
                <c:v>2012 10</c:v>
              </c:pt>
              <c:pt idx="5">
                <c:v>2012 11</c:v>
              </c:pt>
              <c:pt idx="6">
                <c:v>2012 12</c:v>
              </c:pt>
              <c:pt idx="7">
                <c:v>2013 1</c:v>
              </c:pt>
              <c:pt idx="8">
                <c:v>2013 2</c:v>
              </c:pt>
              <c:pt idx="9">
                <c:v>2013 3</c:v>
              </c:pt>
              <c:pt idx="10">
                <c:v>2013 4</c:v>
              </c:pt>
              <c:pt idx="11">
                <c:v>2013 5</c:v>
              </c:pt>
              <c:pt idx="12">
                <c:v>2013 6</c:v>
              </c:pt>
              <c:pt idx="13">
                <c:v>2013 7</c:v>
              </c:pt>
              <c:pt idx="14">
                <c:v>2013 8</c:v>
              </c:pt>
              <c:pt idx="15">
                <c:v>2013 9</c:v>
              </c:pt>
              <c:pt idx="16">
                <c:v>2013 10</c:v>
              </c:pt>
              <c:pt idx="17">
                <c:v>2013 11</c:v>
              </c:pt>
              <c:pt idx="18">
                <c:v>2013 12</c:v>
              </c:pt>
              <c:pt idx="19">
                <c:v>2014 1</c:v>
              </c:pt>
              <c:pt idx="20">
                <c:v>2014 2</c:v>
              </c:pt>
              <c:pt idx="21">
                <c:v>2014 3</c:v>
              </c:pt>
              <c:pt idx="22">
                <c:v>2014 4</c:v>
              </c:pt>
              <c:pt idx="23">
                <c:v>2014 5</c:v>
              </c:pt>
              <c:pt idx="24">
                <c:v>2014 6</c:v>
              </c:pt>
            </c:strLit>
          </c:cat>
          <c:val>
            <c:numLit>
              <c:formatCode>General</c:formatCode>
              <c:ptCount val="2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</c:numLit>
          </c:val>
        </c:ser>
        <c:ser>
          <c:idx val="1"/>
          <c:order val="1"/>
          <c:tx>
            <c:v>Requirements</c:v>
          </c:tx>
          <c:invertIfNegative val="0"/>
          <c:cat>
            <c:strLit>
              <c:ptCount val="25"/>
              <c:pt idx="0">
                <c:v>2012 6</c:v>
              </c:pt>
              <c:pt idx="1">
                <c:v>2012 7</c:v>
              </c:pt>
              <c:pt idx="2">
                <c:v>2012 8</c:v>
              </c:pt>
              <c:pt idx="3">
                <c:v>2012 9</c:v>
              </c:pt>
              <c:pt idx="4">
                <c:v>2012 10</c:v>
              </c:pt>
              <c:pt idx="5">
                <c:v>2012 11</c:v>
              </c:pt>
              <c:pt idx="6">
                <c:v>2012 12</c:v>
              </c:pt>
              <c:pt idx="7">
                <c:v>2013 1</c:v>
              </c:pt>
              <c:pt idx="8">
                <c:v>2013 2</c:v>
              </c:pt>
              <c:pt idx="9">
                <c:v>2013 3</c:v>
              </c:pt>
              <c:pt idx="10">
                <c:v>2013 4</c:v>
              </c:pt>
              <c:pt idx="11">
                <c:v>2013 5</c:v>
              </c:pt>
              <c:pt idx="12">
                <c:v>2013 6</c:v>
              </c:pt>
              <c:pt idx="13">
                <c:v>2013 7</c:v>
              </c:pt>
              <c:pt idx="14">
                <c:v>2013 8</c:v>
              </c:pt>
              <c:pt idx="15">
                <c:v>2013 9</c:v>
              </c:pt>
              <c:pt idx="16">
                <c:v>2013 10</c:v>
              </c:pt>
              <c:pt idx="17">
                <c:v>2013 11</c:v>
              </c:pt>
              <c:pt idx="18">
                <c:v>2013 12</c:v>
              </c:pt>
              <c:pt idx="19">
                <c:v>2014 1</c:v>
              </c:pt>
              <c:pt idx="20">
                <c:v>2014 2</c:v>
              </c:pt>
              <c:pt idx="21">
                <c:v>2014 3</c:v>
              </c:pt>
              <c:pt idx="22">
                <c:v>2014 4</c:v>
              </c:pt>
              <c:pt idx="23">
                <c:v>2014 5</c:v>
              </c:pt>
              <c:pt idx="24">
                <c:v>2014 6</c:v>
              </c:pt>
            </c:strLit>
          </c:cat>
          <c:val>
            <c:numLit>
              <c:formatCode>General</c:formatCode>
              <c:ptCount val="2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51102688"/>
        <c:axId val="951100728"/>
      </c:barChart>
      <c:catAx>
        <c:axId val="951102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ABABAB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511007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51100728"/>
        <c:scaling>
          <c:orientation val="minMax"/>
        </c:scaling>
        <c:delete val="0"/>
        <c:axPos val="l"/>
        <c:majorGridlines>
          <c:spPr>
            <a:ln w="3175">
              <a:solidFill>
                <a:srgbClr val="D3D3D3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ABABAB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51102688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5" footer="0.5"/>
    <c:pageSetup paperSize="9" orientation="landscape" verticalDpi="0"/>
  </c:printSettings>
  <c:extLst/>
</c:chartSpac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3" Type="http://schemas.openxmlformats.org/officeDocument/2006/relationships/image" Target="../media/image4.jpe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8" name="rg_hi" descr="http://t3.gstatic.com/images?q=tbn:ANd9GcQtQRh3WNbHXelD8uBGAaob0YpZAxhzS2M51ZxoGfQPiYX8pc6WXw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909739" y="17253"/>
          <a:ext cx="2553419" cy="1161643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11" name="Dialog1" hidden="1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77970" y="2001328"/>
          <a:ext cx="5866287" cy="2657081"/>
        </a:xfrm>
        <a:prstGeom prst="rect">
          <a:avLst/>
        </a:prstGeom>
      </xdr:spPr>
    </xdr:pic>
    <xdr:clientData/>
  </xdr:twoCellAnchor>
  <xdr:twoCellAnchor editAs="absolute">
    <xdr:from>
      <xdr:col>4</xdr:col>
      <xdr:colOff>34524</xdr:colOff>
      <xdr:row>1</xdr:row>
      <xdr:rowOff>103508</xdr:rowOff>
    </xdr:from>
    <xdr:to>
      <xdr:col>8</xdr:col>
      <xdr:colOff>672879</xdr:colOff>
      <xdr:row>4</xdr:row>
      <xdr:rowOff>25866</xdr:rowOff>
    </xdr:to>
    <xdr:sp macro="" textlink="SapExlReportName">
      <xdr:nvSpPr>
        <xdr:cNvPr id="6" name="Avrundet rektangel 5"/>
        <xdr:cNvSpPr/>
      </xdr:nvSpPr>
      <xdr:spPr>
        <a:xfrm>
          <a:off x="2613822" y="310542"/>
          <a:ext cx="3674853" cy="569339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Beholdnings Simulering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9</xdr:col>
      <xdr:colOff>629710</xdr:colOff>
      <xdr:row>12</xdr:row>
      <xdr:rowOff>146688</xdr:rowOff>
    </xdr:from>
    <xdr:to>
      <xdr:col>12</xdr:col>
      <xdr:colOff>250147</xdr:colOff>
      <xdr:row>20</xdr:row>
      <xdr:rowOff>41912</xdr:rowOff>
    </xdr:to>
    <xdr:pic>
      <xdr:nvPicPr>
        <xdr:cNvPr id="7" name="rg_hi" descr="http://t3.gstatic.com/images?q=tbn:ANd9GcRPfCwrdcK6Fv69l56iSLixO0g0ZmUqZbolC8jj5wXneiz7okam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04631" y="2717360"/>
          <a:ext cx="1897810" cy="1551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9" name="Dialog2" hidden="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86665" y="1173175"/>
          <a:ext cx="3545651" cy="3700935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10" name="Dialog3" hidden="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06174" y="1449237"/>
          <a:ext cx="3485263" cy="3295471"/>
        </a:xfrm>
        <a:prstGeom prst="rect">
          <a:avLst/>
        </a:prstGeom>
      </xdr:spPr>
    </xdr:pic>
    <xdr:clientData/>
  </xdr:twoCellAnchor>
  <xdr:twoCellAnchor editAs="oneCell">
    <xdr:from>
      <xdr:col>0</xdr:col>
      <xdr:colOff>291351</xdr:colOff>
      <xdr:row>21</xdr:row>
      <xdr:rowOff>201704</xdr:rowOff>
    </xdr:from>
    <xdr:to>
      <xdr:col>7</xdr:col>
      <xdr:colOff>443751</xdr:colOff>
      <xdr:row>31</xdr:row>
      <xdr:rowOff>190499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1351" y="4527175"/>
          <a:ext cx="4814047" cy="200585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134467</xdr:rowOff>
    </xdr:from>
    <xdr:to>
      <xdr:col>3</xdr:col>
      <xdr:colOff>488240</xdr:colOff>
      <xdr:row>6</xdr:row>
      <xdr:rowOff>1005</xdr:rowOff>
    </xdr:to>
    <xdr:pic>
      <xdr:nvPicPr>
        <xdr:cNvPr id="1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3765" y="134467"/>
          <a:ext cx="2027181" cy="10618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9</xdr:row>
      <xdr:rowOff>76200</xdr:rowOff>
    </xdr:from>
    <xdr:to>
      <xdr:col>9</xdr:col>
      <xdr:colOff>515471</xdr:colOff>
      <xdr:row>40</xdr:row>
      <xdr:rowOff>47625</xdr:rowOff>
    </xdr:to>
    <xdr:graphicFrame macro="">
      <xdr:nvGraphicFramePr>
        <xdr:cNvPr id="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365311</xdr:colOff>
      <xdr:row>7</xdr:row>
      <xdr:rowOff>142875</xdr:rowOff>
    </xdr:from>
    <xdr:to>
      <xdr:col>16384</xdr:col>
      <xdr:colOff>565336</xdr:colOff>
      <xdr:row>36</xdr:row>
      <xdr:rowOff>0</xdr:rowOff>
    </xdr:to>
    <xdr:graphicFrame macro="">
      <xdr:nvGraphicFramePr>
        <xdr:cNvPr id="3" name="CurrentStock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42520</xdr:colOff>
      <xdr:row>0</xdr:row>
      <xdr:rowOff>42520</xdr:rowOff>
    </xdr:from>
    <xdr:ext cx="4745273" cy="277097"/>
    <xdr:sp macro="" textlink="ReportCaption">
      <xdr:nvSpPr>
        <xdr:cNvPr id="4" name="Avrundet rektangel 1"/>
        <xdr:cNvSpPr/>
      </xdr:nvSpPr>
      <xdr:spPr>
        <a:xfrm>
          <a:off x="42520" y="42520"/>
          <a:ext cx="4745273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Stock Simulation  -  Stabburet Bayersk postei 8x6x22g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119063</xdr:colOff>
      <xdr:row>6</xdr:row>
      <xdr:rowOff>119063</xdr:rowOff>
    </xdr:from>
    <xdr:to>
      <xdr:col>11</xdr:col>
      <xdr:colOff>488984</xdr:colOff>
      <xdr:row>37</xdr:row>
      <xdr:rowOff>119063</xdr:rowOff>
    </xdr:to>
    <xdr:graphicFrame macro="">
      <xdr:nvGraphicFramePr>
        <xdr:cNvPr id="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276225</xdr:colOff>
      <xdr:row>7</xdr:row>
      <xdr:rowOff>47625</xdr:rowOff>
    </xdr:from>
    <xdr:to>
      <xdr:col>0</xdr:col>
      <xdr:colOff>384225</xdr:colOff>
      <xdr:row>7</xdr:row>
      <xdr:rowOff>155625</xdr:rowOff>
    </xdr:to>
    <xdr:sp macro="" textlink="">
      <xdr:nvSpPr>
        <xdr:cNvPr id="3" name="sInfoSafetyStock"/>
        <xdr:cNvSpPr/>
      </xdr:nvSpPr>
      <xdr:spPr>
        <a:xfrm>
          <a:off x="276225" y="1276350"/>
          <a:ext cx="108000" cy="10800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nb-NO" sz="900" b="1">
              <a:solidFill>
                <a:sysClr val="windowText" lastClr="000000"/>
              </a:solidFill>
            </a:rPr>
            <a:t>i</a:t>
          </a:r>
        </a:p>
      </xdr:txBody>
    </xdr:sp>
    <xdr:clientData/>
  </xdr:twoCellAnchor>
  <xdr:twoCellAnchor editAs="oneCell">
    <xdr:from>
      <xdr:col>0</xdr:col>
      <xdr:colOff>447675</xdr:colOff>
      <xdr:row>8</xdr:row>
      <xdr:rowOff>114300</xdr:rowOff>
    </xdr:from>
    <xdr:to>
      <xdr:col>3</xdr:col>
      <xdr:colOff>173456</xdr:colOff>
      <xdr:row>20</xdr:row>
      <xdr:rowOff>85725</xdr:rowOff>
    </xdr:to>
    <xdr:sp macro="" textlink="">
      <xdr:nvSpPr>
        <xdr:cNvPr id="4" name="sInfoSafetyStock_t" hidden="1"/>
        <xdr:cNvSpPr txBox="1"/>
      </xdr:nvSpPr>
      <xdr:spPr>
        <a:xfrm>
          <a:off x="447675" y="1504950"/>
          <a:ext cx="2135606" cy="1914525"/>
        </a:xfrm>
        <a:prstGeom prst="rect">
          <a:avLst/>
        </a:prstGeom>
        <a:solidFill>
          <a:srgbClr val="CCCCFF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nb-NO" sz="1050"/>
            <a:t>Use this view to investigate the daily variations of usage quantities.</a:t>
          </a:r>
        </a:p>
        <a:p>
          <a:endParaRPr lang="nb-NO" sz="1050" baseline="0"/>
        </a:p>
        <a:p>
          <a:r>
            <a:rPr lang="nb-NO" sz="1050" baseline="0"/>
            <a:t>Change the Rolling Safety Days parameter to consider your level of needed safety stock.</a:t>
          </a:r>
        </a:p>
        <a:p>
          <a:endParaRPr lang="nb-NO" sz="1050" baseline="0"/>
        </a:p>
        <a:p>
          <a:r>
            <a:rPr lang="nb-NO" sz="1050" baseline="0"/>
            <a:t>Attention! The usage figures also will include massive scrapping (f.i. when a product is withdrawn from the market)</a:t>
          </a:r>
        </a:p>
      </xdr:txBody>
    </xdr:sp>
    <xdr:clientData/>
  </xdr:twoCellAnchor>
  <xdr:oneCellAnchor>
    <xdr:from>
      <xdr:col>0</xdr:col>
      <xdr:colOff>44095</xdr:colOff>
      <xdr:row>0</xdr:row>
      <xdr:rowOff>44095</xdr:rowOff>
    </xdr:from>
    <xdr:ext cx="4745273" cy="277097"/>
    <xdr:sp macro="" textlink="ReportCaption">
      <xdr:nvSpPr>
        <xdr:cNvPr id="5" name="Avrundet rektangel 1"/>
        <xdr:cNvSpPr/>
      </xdr:nvSpPr>
      <xdr:spPr>
        <a:xfrm>
          <a:off x="44095" y="44095"/>
          <a:ext cx="4745273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Stock Simulation  -  Stabburet Bayersk postei 8x6x22g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416635</xdr:colOff>
      <xdr:row>21</xdr:row>
      <xdr:rowOff>88376</xdr:rowOff>
    </xdr:from>
    <xdr:to>
      <xdr:col>14</xdr:col>
      <xdr:colOff>589460</xdr:colOff>
      <xdr:row>38</xdr:row>
      <xdr:rowOff>118818</xdr:rowOff>
    </xdr:to>
    <xdr:graphicFrame macro="">
      <xdr:nvGraphicFramePr>
        <xdr:cNvPr id="2" name="Diagram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522513</xdr:colOff>
      <xdr:row>22</xdr:row>
      <xdr:rowOff>15228</xdr:rowOff>
    </xdr:from>
    <xdr:to>
      <xdr:col>10</xdr:col>
      <xdr:colOff>630513</xdr:colOff>
      <xdr:row>22</xdr:row>
      <xdr:rowOff>123228</xdr:rowOff>
    </xdr:to>
    <xdr:sp macro="[0]!ShowForecast1" textlink="">
      <xdr:nvSpPr>
        <xdr:cNvPr id="3" name="sInfoForecast1"/>
        <xdr:cNvSpPr/>
      </xdr:nvSpPr>
      <xdr:spPr>
        <a:xfrm>
          <a:off x="8694963" y="3672828"/>
          <a:ext cx="108000" cy="10800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nb-NO" sz="900" b="1">
              <a:solidFill>
                <a:sysClr val="windowText" lastClr="000000"/>
              </a:solidFill>
            </a:rPr>
            <a:t>i</a:t>
          </a:r>
        </a:p>
      </xdr:txBody>
    </xdr:sp>
    <xdr:clientData/>
  </xdr:twoCellAnchor>
  <xdr:twoCellAnchor editAs="oneCell">
    <xdr:from>
      <xdr:col>10</xdr:col>
      <xdr:colOff>416636</xdr:colOff>
      <xdr:row>4</xdr:row>
      <xdr:rowOff>183</xdr:rowOff>
    </xdr:from>
    <xdr:to>
      <xdr:col>14</xdr:col>
      <xdr:colOff>592208</xdr:colOff>
      <xdr:row>21</xdr:row>
      <xdr:rowOff>29255</xdr:rowOff>
    </xdr:to>
    <xdr:graphicFrame macro="">
      <xdr:nvGraphicFramePr>
        <xdr:cNvPr id="4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156602</xdr:colOff>
      <xdr:row>21</xdr:row>
      <xdr:rowOff>88376</xdr:rowOff>
    </xdr:from>
    <xdr:to>
      <xdr:col>10</xdr:col>
      <xdr:colOff>332889</xdr:colOff>
      <xdr:row>38</xdr:row>
      <xdr:rowOff>117448</xdr:rowOff>
    </xdr:to>
    <xdr:graphicFrame macro="">
      <xdr:nvGraphicFramePr>
        <xdr:cNvPr id="5" name="Diagra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156602</xdr:colOff>
      <xdr:row>4</xdr:row>
      <xdr:rowOff>182</xdr:rowOff>
    </xdr:from>
    <xdr:to>
      <xdr:col>10</xdr:col>
      <xdr:colOff>332889</xdr:colOff>
      <xdr:row>21</xdr:row>
      <xdr:rowOff>29254</xdr:rowOff>
    </xdr:to>
    <xdr:graphicFrame macro="">
      <xdr:nvGraphicFramePr>
        <xdr:cNvPr id="6" name="Diagra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13</xdr:col>
      <xdr:colOff>490179</xdr:colOff>
      <xdr:row>5</xdr:row>
      <xdr:rowOff>20053</xdr:rowOff>
    </xdr:from>
    <xdr:to>
      <xdr:col>14</xdr:col>
      <xdr:colOff>480154</xdr:colOff>
      <xdr:row>6</xdr:row>
      <xdr:rowOff>70184</xdr:rowOff>
    </xdr:to>
    <xdr:sp macro="[0]!LoopStockInLevels" textlink="">
      <xdr:nvSpPr>
        <xdr:cNvPr id="7" name="Rektangel 13" title="Loop all possible stock-in values"/>
        <xdr:cNvSpPr/>
      </xdr:nvSpPr>
      <xdr:spPr>
        <a:xfrm>
          <a:off x="10948629" y="924928"/>
          <a:ext cx="751975" cy="21205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b-NO" sz="1000">
              <a:solidFill>
                <a:sysClr val="windowText" lastClr="000000"/>
              </a:solidFill>
            </a:rPr>
            <a:t>Refresh</a:t>
          </a:r>
        </a:p>
      </xdr:txBody>
    </xdr:sp>
    <xdr:clientData/>
  </xdr:twoCellAnchor>
  <xdr:twoCellAnchor editAs="oneCell">
    <xdr:from>
      <xdr:col>3</xdr:col>
      <xdr:colOff>150396</xdr:colOff>
      <xdr:row>24</xdr:row>
      <xdr:rowOff>80195</xdr:rowOff>
    </xdr:from>
    <xdr:to>
      <xdr:col>3</xdr:col>
      <xdr:colOff>582396</xdr:colOff>
      <xdr:row>25</xdr:row>
      <xdr:rowOff>99774</xdr:rowOff>
    </xdr:to>
    <xdr:sp macro="[0]!CreateForecast" textlink="">
      <xdr:nvSpPr>
        <xdr:cNvPr id="8" name="Rektangel 15"/>
        <xdr:cNvSpPr/>
      </xdr:nvSpPr>
      <xdr:spPr>
        <a:xfrm>
          <a:off x="3036471" y="4061645"/>
          <a:ext cx="432000" cy="181504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nb-NO" sz="1000">
              <a:solidFill>
                <a:sysClr val="windowText" lastClr="000000"/>
              </a:solidFill>
            </a:rPr>
            <a:t>FC base</a:t>
          </a:r>
        </a:p>
      </xdr:txBody>
    </xdr:sp>
    <xdr:clientData/>
  </xdr:twoCellAnchor>
  <xdr:twoCellAnchor editAs="oneCell">
    <xdr:from>
      <xdr:col>10</xdr:col>
      <xdr:colOff>561482</xdr:colOff>
      <xdr:row>4</xdr:row>
      <xdr:rowOff>90223</xdr:rowOff>
    </xdr:from>
    <xdr:to>
      <xdr:col>10</xdr:col>
      <xdr:colOff>669482</xdr:colOff>
      <xdr:row>5</xdr:row>
      <xdr:rowOff>37802</xdr:rowOff>
    </xdr:to>
    <xdr:sp macro="[0]!ShowStockIn" textlink="">
      <xdr:nvSpPr>
        <xdr:cNvPr id="9" name="sInfoStockIn"/>
        <xdr:cNvSpPr/>
      </xdr:nvSpPr>
      <xdr:spPr>
        <a:xfrm>
          <a:off x="8733932" y="833173"/>
          <a:ext cx="108000" cy="109504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nb-NO" sz="900" b="1">
              <a:solidFill>
                <a:sysClr val="windowText" lastClr="000000"/>
              </a:solidFill>
            </a:rPr>
            <a:t>i</a:t>
          </a:r>
        </a:p>
      </xdr:txBody>
    </xdr:sp>
    <xdr:clientData/>
  </xdr:twoCellAnchor>
  <xdr:oneCellAnchor>
    <xdr:from>
      <xdr:col>11</xdr:col>
      <xdr:colOff>300788</xdr:colOff>
      <xdr:row>8</xdr:row>
      <xdr:rowOff>80208</xdr:rowOff>
    </xdr:from>
    <xdr:ext cx="1544053" cy="1253292"/>
    <xdr:sp macro="" textlink="">
      <xdr:nvSpPr>
        <xdr:cNvPr id="10" name="sInfoStockIn_t" hidden="1"/>
        <xdr:cNvSpPr txBox="1"/>
      </xdr:nvSpPr>
      <xdr:spPr>
        <a:xfrm>
          <a:off x="9235238" y="1470858"/>
          <a:ext cx="1544053" cy="1253292"/>
        </a:xfrm>
        <a:prstGeom prst="rect">
          <a:avLst/>
        </a:prstGeom>
        <a:solidFill>
          <a:srgbClr val="CCCCFF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nb-NO" sz="1050"/>
            <a:t>Shows actual service level for each stock in quantity in the simulation range.</a:t>
          </a:r>
        </a:p>
        <a:p>
          <a:endParaRPr lang="nb-NO" sz="1050"/>
        </a:p>
        <a:p>
          <a:r>
            <a:rPr lang="nb-NO" sz="1050"/>
            <a:t>Click the Refresh button to update the analysis</a:t>
          </a:r>
        </a:p>
      </xdr:txBody>
    </xdr:sp>
    <xdr:clientData/>
  </xdr:oneCellAnchor>
  <xdr:oneCellAnchor>
    <xdr:from>
      <xdr:col>10</xdr:col>
      <xdr:colOff>571502</xdr:colOff>
      <xdr:row>24</xdr:row>
      <xdr:rowOff>110288</xdr:rowOff>
    </xdr:from>
    <xdr:ext cx="2135606" cy="1754606"/>
    <xdr:sp macro="" textlink="">
      <xdr:nvSpPr>
        <xdr:cNvPr id="11" name="sInfoMRP_t" hidden="1"/>
        <xdr:cNvSpPr txBox="1"/>
      </xdr:nvSpPr>
      <xdr:spPr>
        <a:xfrm>
          <a:off x="8743952" y="4091738"/>
          <a:ext cx="2135606" cy="1754606"/>
        </a:xfrm>
        <a:prstGeom prst="rect">
          <a:avLst/>
        </a:prstGeom>
        <a:solidFill>
          <a:srgbClr val="CCCCFF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nb-NO" sz="1050"/>
            <a:t>The Refresh button will loop through the simulation ranges and</a:t>
          </a:r>
          <a:r>
            <a:rPr lang="nb-NO" sz="1050" baseline="0"/>
            <a:t> all combinations of Lead Time, Safety Time and Lot Size.</a:t>
          </a:r>
          <a:endParaRPr lang="nb-NO" sz="1050"/>
        </a:p>
        <a:p>
          <a:endParaRPr lang="nb-NO" sz="1050"/>
        </a:p>
        <a:p>
          <a:r>
            <a:rPr lang="nb-NO" sz="1050"/>
            <a:t>Go to the sheet 'Log_LLS' to see what combinations of Lead Time, Safety Time and Lot Size gives the lowest stock levels - with 100 % service level.</a:t>
          </a:r>
        </a:p>
      </xdr:txBody>
    </xdr:sp>
    <xdr:clientData/>
  </xdr:oneCellAnchor>
  <xdr:twoCellAnchor editAs="oneCell">
    <xdr:from>
      <xdr:col>6</xdr:col>
      <xdr:colOff>290772</xdr:colOff>
      <xdr:row>4</xdr:row>
      <xdr:rowOff>90223</xdr:rowOff>
    </xdr:from>
    <xdr:to>
      <xdr:col>6</xdr:col>
      <xdr:colOff>398772</xdr:colOff>
      <xdr:row>5</xdr:row>
      <xdr:rowOff>37802</xdr:rowOff>
    </xdr:to>
    <xdr:sp macro="[0]!ShowCurrentSim" textlink="">
      <xdr:nvSpPr>
        <xdr:cNvPr id="12" name="sInfoCurrentSim"/>
        <xdr:cNvSpPr/>
      </xdr:nvSpPr>
      <xdr:spPr>
        <a:xfrm>
          <a:off x="5415222" y="833173"/>
          <a:ext cx="108000" cy="109504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nb-NO" sz="900" b="1">
              <a:solidFill>
                <a:sysClr val="windowText" lastClr="000000"/>
              </a:solidFill>
            </a:rPr>
            <a:t>i</a:t>
          </a:r>
        </a:p>
      </xdr:txBody>
    </xdr:sp>
    <xdr:clientData/>
  </xdr:twoCellAnchor>
  <xdr:oneCellAnchor>
    <xdr:from>
      <xdr:col>6</xdr:col>
      <xdr:colOff>661735</xdr:colOff>
      <xdr:row>8</xdr:row>
      <xdr:rowOff>80207</xdr:rowOff>
    </xdr:from>
    <xdr:ext cx="1915028" cy="1443793"/>
    <xdr:sp macro="" textlink="">
      <xdr:nvSpPr>
        <xdr:cNvPr id="13" name="sInfoCurrentSim_t" hidden="1"/>
        <xdr:cNvSpPr txBox="1"/>
      </xdr:nvSpPr>
      <xdr:spPr>
        <a:xfrm>
          <a:off x="5786185" y="1470857"/>
          <a:ext cx="1915028" cy="1443793"/>
        </a:xfrm>
        <a:prstGeom prst="rect">
          <a:avLst/>
        </a:prstGeom>
        <a:solidFill>
          <a:srgbClr val="CCCCFF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nb-NO" sz="1050"/>
            <a:t>Shows actual stock level last 12 months</a:t>
          </a:r>
          <a:r>
            <a:rPr lang="nb-NO" sz="1050" baseline="0"/>
            <a:t> (blue line) .</a:t>
          </a:r>
        </a:p>
        <a:p>
          <a:endParaRPr lang="nb-NO" sz="1050" baseline="0"/>
        </a:p>
        <a:p>
          <a:r>
            <a:rPr lang="nb-NO" sz="1050" baseline="0"/>
            <a:t>Compare actual stock against simulated stock level (brown line) based on current input for Lead time, Safety time, Lot size and Stock in quantity.</a:t>
          </a:r>
          <a:endParaRPr lang="nb-NO" sz="1050"/>
        </a:p>
      </xdr:txBody>
    </xdr:sp>
    <xdr:clientData/>
  </xdr:oneCellAnchor>
  <xdr:twoCellAnchor editAs="oneCell">
    <xdr:from>
      <xdr:col>6</xdr:col>
      <xdr:colOff>280745</xdr:colOff>
      <xdr:row>22</xdr:row>
      <xdr:rowOff>20044</xdr:rowOff>
    </xdr:from>
    <xdr:to>
      <xdr:col>6</xdr:col>
      <xdr:colOff>388745</xdr:colOff>
      <xdr:row>22</xdr:row>
      <xdr:rowOff>128044</xdr:rowOff>
    </xdr:to>
    <xdr:sp macro="[0]!ShowActualFC" textlink="">
      <xdr:nvSpPr>
        <xdr:cNvPr id="14" name="sInfoActualFC"/>
        <xdr:cNvSpPr/>
      </xdr:nvSpPr>
      <xdr:spPr>
        <a:xfrm>
          <a:off x="5405195" y="3677644"/>
          <a:ext cx="108000" cy="108000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nb-NO" sz="900" b="1">
              <a:solidFill>
                <a:sysClr val="windowText" lastClr="000000"/>
              </a:solidFill>
            </a:rPr>
            <a:t>i</a:t>
          </a:r>
        </a:p>
      </xdr:txBody>
    </xdr:sp>
    <xdr:clientData/>
  </xdr:twoCellAnchor>
  <xdr:twoCellAnchor editAs="oneCell">
    <xdr:from>
      <xdr:col>6</xdr:col>
      <xdr:colOff>621634</xdr:colOff>
      <xdr:row>24</xdr:row>
      <xdr:rowOff>110288</xdr:rowOff>
    </xdr:from>
    <xdr:to>
      <xdr:col>9</xdr:col>
      <xdr:colOff>471240</xdr:colOff>
      <xdr:row>35</xdr:row>
      <xdr:rowOff>70184</xdr:rowOff>
    </xdr:to>
    <xdr:sp macro="" textlink="">
      <xdr:nvSpPr>
        <xdr:cNvPr id="15" name="sInfoActualFC_t" hidden="1"/>
        <xdr:cNvSpPr txBox="1"/>
      </xdr:nvSpPr>
      <xdr:spPr>
        <a:xfrm>
          <a:off x="5746084" y="4091738"/>
          <a:ext cx="2135606" cy="1741071"/>
        </a:xfrm>
        <a:prstGeom prst="rect">
          <a:avLst/>
        </a:prstGeom>
        <a:solidFill>
          <a:srgbClr val="CCCCFF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nb-NO" sz="1050"/>
            <a:t>Shows actual usage/sales</a:t>
          </a:r>
          <a:r>
            <a:rPr lang="nb-NO" sz="1050" baseline="0"/>
            <a:t>  pr month last 24 months.</a:t>
          </a:r>
        </a:p>
        <a:p>
          <a:endParaRPr lang="nb-NO" sz="1050" baseline="0"/>
        </a:p>
        <a:p>
          <a:r>
            <a:rPr lang="nb-NO" sz="1050" baseline="0"/>
            <a:t>Compare with the simulated forecast in the column Forecast LY to the left.</a:t>
          </a:r>
        </a:p>
        <a:p>
          <a:endParaRPr lang="nb-NO" sz="1050" baseline="0"/>
        </a:p>
        <a:p>
          <a:r>
            <a:rPr lang="nb-NO" sz="1050" baseline="0"/>
            <a:t>You should then observe the effects on the simulated stock in the chart above.</a:t>
          </a:r>
          <a:endParaRPr lang="nb-NO" sz="1050"/>
        </a:p>
      </xdr:txBody>
    </xdr:sp>
    <xdr:clientData/>
  </xdr:twoCellAnchor>
  <xdr:oneCellAnchor>
    <xdr:from>
      <xdr:col>11</xdr:col>
      <xdr:colOff>240631</xdr:colOff>
      <xdr:row>26</xdr:row>
      <xdr:rowOff>150394</xdr:rowOff>
    </xdr:from>
    <xdr:ext cx="1724527" cy="1493921"/>
    <xdr:sp macro="" textlink="">
      <xdr:nvSpPr>
        <xdr:cNvPr id="16" name="sInfoForecast1_t" hidden="1"/>
        <xdr:cNvSpPr txBox="1"/>
      </xdr:nvSpPr>
      <xdr:spPr>
        <a:xfrm>
          <a:off x="9175081" y="4455694"/>
          <a:ext cx="1724527" cy="1493921"/>
        </a:xfrm>
        <a:prstGeom prst="rect">
          <a:avLst/>
        </a:prstGeom>
        <a:solidFill>
          <a:srgbClr val="CCCCFF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nb-NO" sz="1050"/>
            <a:t>Check the Service</a:t>
          </a:r>
          <a:r>
            <a:rPr lang="nb-NO" sz="1050" baseline="0"/>
            <a:t> level as a result of the Forecast loops run.</a:t>
          </a:r>
          <a:endParaRPr lang="nb-NO" sz="1050"/>
        </a:p>
        <a:p>
          <a:endParaRPr lang="nb-NO" sz="1050"/>
        </a:p>
        <a:p>
          <a:r>
            <a:rPr lang="nb-NO" sz="1050"/>
            <a:t>Also use this analysis to investigate the</a:t>
          </a:r>
          <a:r>
            <a:rPr lang="nb-NO" sz="1050" baseline="0"/>
            <a:t> connection between Service Level and Forecast Accuracy.</a:t>
          </a:r>
          <a:endParaRPr lang="nb-NO" sz="1050"/>
        </a:p>
        <a:p>
          <a:endParaRPr lang="nb-NO" sz="1050"/>
        </a:p>
      </xdr:txBody>
    </xdr:sp>
    <xdr:clientData/>
  </xdr:oneCellAnchor>
  <xdr:twoCellAnchor editAs="oneCell">
    <xdr:from>
      <xdr:col>2</xdr:col>
      <xdr:colOff>200526</xdr:colOff>
      <xdr:row>24</xdr:row>
      <xdr:rowOff>80195</xdr:rowOff>
    </xdr:from>
    <xdr:to>
      <xdr:col>2</xdr:col>
      <xdr:colOff>632526</xdr:colOff>
      <xdr:row>25</xdr:row>
      <xdr:rowOff>99774</xdr:rowOff>
    </xdr:to>
    <xdr:sp macro="[0]!CreatePlainForecast" textlink="">
      <xdr:nvSpPr>
        <xdr:cNvPr id="17" name="Rektangel 30"/>
        <xdr:cNvSpPr/>
      </xdr:nvSpPr>
      <xdr:spPr>
        <a:xfrm>
          <a:off x="2267451" y="4061645"/>
          <a:ext cx="432000" cy="181504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nb-NO" sz="1000">
              <a:solidFill>
                <a:sysClr val="windowText" lastClr="000000"/>
              </a:solidFill>
            </a:rPr>
            <a:t>FC plain</a:t>
          </a:r>
        </a:p>
      </xdr:txBody>
    </xdr:sp>
    <xdr:clientData/>
  </xdr:twoCellAnchor>
  <xdr:twoCellAnchor editAs="oneCell">
    <xdr:from>
      <xdr:col>13</xdr:col>
      <xdr:colOff>490179</xdr:colOff>
      <xdr:row>23</xdr:row>
      <xdr:rowOff>148008</xdr:rowOff>
    </xdr:from>
    <xdr:to>
      <xdr:col>14</xdr:col>
      <xdr:colOff>480154</xdr:colOff>
      <xdr:row>25</xdr:row>
      <xdr:rowOff>34854</xdr:rowOff>
    </xdr:to>
    <xdr:sp macro="[0]!LoopForecasts" textlink="">
      <xdr:nvSpPr>
        <xdr:cNvPr id="18" name="Rektangel 31" title="Loop all possible stock-in values"/>
        <xdr:cNvSpPr/>
      </xdr:nvSpPr>
      <xdr:spPr>
        <a:xfrm>
          <a:off x="10948629" y="3967533"/>
          <a:ext cx="751975" cy="210696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b-NO" sz="1000">
              <a:solidFill>
                <a:sysClr val="windowText" lastClr="000000"/>
              </a:solidFill>
            </a:rPr>
            <a:t>Refresh</a:t>
          </a:r>
        </a:p>
      </xdr:txBody>
    </xdr:sp>
    <xdr:clientData/>
  </xdr:twoCellAnchor>
  <xdr:twoCellAnchor editAs="oneCell">
    <xdr:from>
      <xdr:col>4</xdr:col>
      <xdr:colOff>160422</xdr:colOff>
      <xdr:row>24</xdr:row>
      <xdr:rowOff>80195</xdr:rowOff>
    </xdr:from>
    <xdr:to>
      <xdr:col>4</xdr:col>
      <xdr:colOff>592422</xdr:colOff>
      <xdr:row>25</xdr:row>
      <xdr:rowOff>99774</xdr:rowOff>
    </xdr:to>
    <xdr:sp macro="[0]!CreateActualForecast" textlink="">
      <xdr:nvSpPr>
        <xdr:cNvPr id="19" name="Rektangel 18"/>
        <xdr:cNvSpPr/>
      </xdr:nvSpPr>
      <xdr:spPr>
        <a:xfrm>
          <a:off x="3789447" y="4061645"/>
          <a:ext cx="432000" cy="181504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nb-NO" sz="1000">
              <a:solidFill>
                <a:sysClr val="windowText" lastClr="000000"/>
              </a:solidFill>
            </a:rPr>
            <a:t>FC actu</a:t>
          </a:r>
        </a:p>
      </xdr:txBody>
    </xdr:sp>
    <xdr:clientData/>
  </xdr:twoCellAnchor>
  <xdr:oneCellAnchor>
    <xdr:from>
      <xdr:col>0</xdr:col>
      <xdr:colOff>46690</xdr:colOff>
      <xdr:row>0</xdr:row>
      <xdr:rowOff>46690</xdr:rowOff>
    </xdr:from>
    <xdr:ext cx="4745273" cy="277097"/>
    <xdr:sp macro="" textlink="ReportCaption">
      <xdr:nvSpPr>
        <xdr:cNvPr id="20" name="Avrundet rektangel 1"/>
        <xdr:cNvSpPr/>
      </xdr:nvSpPr>
      <xdr:spPr>
        <a:xfrm>
          <a:off x="46690" y="46690"/>
          <a:ext cx="4745273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Stock Simulation  -  Stabburet Bayersk postei 8x6x22g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380999</xdr:colOff>
      <xdr:row>18</xdr:row>
      <xdr:rowOff>34738</xdr:rowOff>
    </xdr:from>
    <xdr:to>
      <xdr:col>18</xdr:col>
      <xdr:colOff>380999</xdr:colOff>
      <xdr:row>35</xdr:row>
      <xdr:rowOff>110938</xdr:rowOff>
    </xdr:to>
    <xdr:graphicFrame macro="">
      <xdr:nvGraphicFramePr>
        <xdr:cNvPr id="2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65367</xdr:colOff>
      <xdr:row>3</xdr:row>
      <xdr:rowOff>0</xdr:rowOff>
    </xdr:from>
    <xdr:to>
      <xdr:col>4</xdr:col>
      <xdr:colOff>256826</xdr:colOff>
      <xdr:row>19</xdr:row>
      <xdr:rowOff>109600</xdr:rowOff>
    </xdr:to>
    <xdr:graphicFrame macro="">
      <xdr:nvGraphicFramePr>
        <xdr:cNvPr id="2" name="Diagram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314325</xdr:colOff>
      <xdr:row>3</xdr:row>
      <xdr:rowOff>0</xdr:rowOff>
    </xdr:from>
    <xdr:to>
      <xdr:col>8</xdr:col>
      <xdr:colOff>506325</xdr:colOff>
      <xdr:row>19</xdr:row>
      <xdr:rowOff>109200</xdr:rowOff>
    </xdr:to>
    <xdr:graphicFrame macro="">
      <xdr:nvGraphicFramePr>
        <xdr:cNvPr id="3" name="Diagra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8</xdr:col>
      <xdr:colOff>570941</xdr:colOff>
      <xdr:row>3</xdr:row>
      <xdr:rowOff>0</xdr:rowOff>
    </xdr:from>
    <xdr:to>
      <xdr:col>12</xdr:col>
      <xdr:colOff>762940</xdr:colOff>
      <xdr:row>19</xdr:row>
      <xdr:rowOff>109200</xdr:rowOff>
    </xdr:to>
    <xdr:graphicFrame macro="">
      <xdr:nvGraphicFramePr>
        <xdr:cNvPr id="4" name="Diagra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4</xdr:col>
      <xdr:colOff>314325</xdr:colOff>
      <xdr:row>20</xdr:row>
      <xdr:rowOff>0</xdr:rowOff>
    </xdr:from>
    <xdr:to>
      <xdr:col>8</xdr:col>
      <xdr:colOff>506325</xdr:colOff>
      <xdr:row>36</xdr:row>
      <xdr:rowOff>109200</xdr:rowOff>
    </xdr:to>
    <xdr:graphicFrame macro="">
      <xdr:nvGraphicFramePr>
        <xdr:cNvPr id="5" name="Diagra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66675</xdr:colOff>
      <xdr:row>20</xdr:row>
      <xdr:rowOff>0</xdr:rowOff>
    </xdr:from>
    <xdr:to>
      <xdr:col>4</xdr:col>
      <xdr:colOff>254534</xdr:colOff>
      <xdr:row>36</xdr:row>
      <xdr:rowOff>109600</xdr:rowOff>
    </xdr:to>
    <xdr:graphicFrame macro="">
      <xdr:nvGraphicFramePr>
        <xdr:cNvPr id="6" name="Diagra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8</xdr:col>
      <xdr:colOff>570941</xdr:colOff>
      <xdr:row>20</xdr:row>
      <xdr:rowOff>0</xdr:rowOff>
    </xdr:from>
    <xdr:to>
      <xdr:col>12</xdr:col>
      <xdr:colOff>762399</xdr:colOff>
      <xdr:row>36</xdr:row>
      <xdr:rowOff>109600</xdr:rowOff>
    </xdr:to>
    <xdr:graphicFrame macro="">
      <xdr:nvGraphicFramePr>
        <xdr:cNvPr id="7" name="Diagra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168089</xdr:colOff>
      <xdr:row>3</xdr:row>
      <xdr:rowOff>93382</xdr:rowOff>
    </xdr:from>
    <xdr:to>
      <xdr:col>0</xdr:col>
      <xdr:colOff>276089</xdr:colOff>
      <xdr:row>4</xdr:row>
      <xdr:rowOff>42632</xdr:rowOff>
    </xdr:to>
    <xdr:sp macro="[0]!ShowMRP" textlink="">
      <xdr:nvSpPr>
        <xdr:cNvPr id="8" name="sInfoMRP"/>
        <xdr:cNvSpPr/>
      </xdr:nvSpPr>
      <xdr:spPr>
        <a:xfrm>
          <a:off x="168089" y="674407"/>
          <a:ext cx="108000" cy="111175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nb-NO" sz="900" b="1">
              <a:solidFill>
                <a:sysClr val="windowText" lastClr="000000"/>
              </a:solidFill>
            </a:rPr>
            <a:t>i</a:t>
          </a:r>
        </a:p>
      </xdr:txBody>
    </xdr:sp>
    <xdr:clientData/>
  </xdr:twoCellAnchor>
  <xdr:twoCellAnchor editAs="oneCell">
    <xdr:from>
      <xdr:col>3</xdr:col>
      <xdr:colOff>84045</xdr:colOff>
      <xdr:row>5</xdr:row>
      <xdr:rowOff>74706</xdr:rowOff>
    </xdr:from>
    <xdr:to>
      <xdr:col>4</xdr:col>
      <xdr:colOff>70285</xdr:colOff>
      <xdr:row>6</xdr:row>
      <xdr:rowOff>126508</xdr:rowOff>
    </xdr:to>
    <xdr:sp macro="[0]!LoopAllLevels" textlink="">
      <xdr:nvSpPr>
        <xdr:cNvPr id="9" name="Rektangel 11"/>
        <xdr:cNvSpPr/>
      </xdr:nvSpPr>
      <xdr:spPr>
        <a:xfrm>
          <a:off x="2370045" y="979581"/>
          <a:ext cx="748240" cy="213727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b-NO" sz="1000">
              <a:solidFill>
                <a:sysClr val="windowText" lastClr="000000"/>
              </a:solidFill>
            </a:rPr>
            <a:t>Refresh</a:t>
          </a:r>
        </a:p>
      </xdr:txBody>
    </xdr:sp>
    <xdr:clientData/>
  </xdr:twoCellAnchor>
  <xdr:oneCellAnchor>
    <xdr:from>
      <xdr:col>0</xdr:col>
      <xdr:colOff>270809</xdr:colOff>
      <xdr:row>7</xdr:row>
      <xdr:rowOff>9338</xdr:rowOff>
    </xdr:from>
    <xdr:ext cx="2135606" cy="1754606"/>
    <xdr:sp macro="" textlink="">
      <xdr:nvSpPr>
        <xdr:cNvPr id="10" name="sInfoMRP_t" hidden="1"/>
        <xdr:cNvSpPr txBox="1"/>
      </xdr:nvSpPr>
      <xdr:spPr>
        <a:xfrm>
          <a:off x="270809" y="1238063"/>
          <a:ext cx="2135606" cy="1754606"/>
        </a:xfrm>
        <a:prstGeom prst="rect">
          <a:avLst/>
        </a:prstGeom>
        <a:solidFill>
          <a:srgbClr val="CCCCFF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nb-NO" sz="1050"/>
            <a:t>The Refresh button will loop through the simulation ranges and</a:t>
          </a:r>
          <a:r>
            <a:rPr lang="nb-NO" sz="1050" baseline="0"/>
            <a:t> all combinations of Lead Time, Safety Time and Lot Size.</a:t>
          </a:r>
          <a:endParaRPr lang="nb-NO" sz="1050"/>
        </a:p>
        <a:p>
          <a:endParaRPr lang="nb-NO" sz="1050"/>
        </a:p>
        <a:p>
          <a:r>
            <a:rPr lang="nb-NO" sz="1050"/>
            <a:t>Go to the sheet 'Log_LLS' to see what combinations of Lead Time, Safety Time and Lot Size gives the lowest stock levels - with 100 % service level.</a:t>
          </a:r>
        </a:p>
      </xdr:txBody>
    </xdr:sp>
    <xdr:clientData/>
  </xdr:oneCellAnchor>
  <xdr:oneCellAnchor>
    <xdr:from>
      <xdr:col>0</xdr:col>
      <xdr:colOff>42905</xdr:colOff>
      <xdr:row>0</xdr:row>
      <xdr:rowOff>42905</xdr:rowOff>
    </xdr:from>
    <xdr:ext cx="4745273" cy="277097"/>
    <xdr:sp macro="" textlink="ReportCaption">
      <xdr:nvSpPr>
        <xdr:cNvPr id="11" name="Avrundet rektangel 1"/>
        <xdr:cNvSpPr/>
      </xdr:nvSpPr>
      <xdr:spPr>
        <a:xfrm>
          <a:off x="42905" y="42905"/>
          <a:ext cx="4745273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Stock Simulation  -  Stabburet Bayersk postei 8x6x22g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123264</xdr:colOff>
      <xdr:row>8</xdr:row>
      <xdr:rowOff>44822</xdr:rowOff>
    </xdr:from>
    <xdr:to>
      <xdr:col>15</xdr:col>
      <xdr:colOff>403411</xdr:colOff>
      <xdr:row>28</xdr:row>
      <xdr:rowOff>67234</xdr:rowOff>
    </xdr:to>
    <xdr:graphicFrame macro="">
      <xdr:nvGraphicFramePr>
        <xdr:cNvPr id="2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280147</xdr:colOff>
      <xdr:row>25</xdr:row>
      <xdr:rowOff>44822</xdr:rowOff>
    </xdr:from>
    <xdr:to>
      <xdr:col>19</xdr:col>
      <xdr:colOff>179293</xdr:colOff>
      <xdr:row>47</xdr:row>
      <xdr:rowOff>-1</xdr:rowOff>
    </xdr:to>
    <xdr:graphicFrame macro="">
      <xdr:nvGraphicFramePr>
        <xdr:cNvPr id="2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190500</xdr:colOff>
      <xdr:row>4</xdr:row>
      <xdr:rowOff>56035</xdr:rowOff>
    </xdr:from>
    <xdr:to>
      <xdr:col>19</xdr:col>
      <xdr:colOff>22411</xdr:colOff>
      <xdr:row>24</xdr:row>
      <xdr:rowOff>145677</xdr:rowOff>
    </xdr:to>
    <xdr:graphicFrame macro="">
      <xdr:nvGraphicFramePr>
        <xdr:cNvPr id="3" name="Diagra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201705</xdr:colOff>
      <xdr:row>9</xdr:row>
      <xdr:rowOff>33619</xdr:rowOff>
    </xdr:from>
    <xdr:to>
      <xdr:col>5</xdr:col>
      <xdr:colOff>952500</xdr:colOff>
      <xdr:row>28</xdr:row>
      <xdr:rowOff>100854</xdr:rowOff>
    </xdr:to>
    <xdr:graphicFrame macro="">
      <xdr:nvGraphicFramePr>
        <xdr:cNvPr id="2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13</xdr:col>
      <xdr:colOff>280147</xdr:colOff>
      <xdr:row>6</xdr:row>
      <xdr:rowOff>89648</xdr:rowOff>
    </xdr:from>
    <xdr:to>
      <xdr:col>17</xdr:col>
      <xdr:colOff>471429</xdr:colOff>
      <xdr:row>23</xdr:row>
      <xdr:rowOff>122648</xdr:rowOff>
    </xdr:to>
    <xdr:graphicFrame macro="">
      <xdr:nvGraphicFramePr>
        <xdr:cNvPr id="3" name="Diagra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590550</xdr:colOff>
      <xdr:row>7</xdr:row>
      <xdr:rowOff>38100</xdr:rowOff>
    </xdr:from>
    <xdr:to>
      <xdr:col>17</xdr:col>
      <xdr:colOff>685798</xdr:colOff>
      <xdr:row>34</xdr:row>
      <xdr:rowOff>48313</xdr:rowOff>
    </xdr:to>
    <xdr:graphicFrame macro="">
      <xdr:nvGraphicFramePr>
        <xdr:cNvPr id="2" name="Chart 2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56030</xdr:colOff>
      <xdr:row>0</xdr:row>
      <xdr:rowOff>56030</xdr:rowOff>
    </xdr:from>
    <xdr:ext cx="4745273" cy="277097"/>
    <xdr:sp macro="" textlink="ReportCaption">
      <xdr:nvSpPr>
        <xdr:cNvPr id="3" name="Avrundet rektangel 1"/>
        <xdr:cNvSpPr/>
      </xdr:nvSpPr>
      <xdr:spPr>
        <a:xfrm>
          <a:off x="56030" y="56030"/>
          <a:ext cx="4745273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Stock Simulation  -  Stabburet Bayersk postei 8x6x22g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56030</xdr:colOff>
      <xdr:row>0</xdr:row>
      <xdr:rowOff>56030</xdr:rowOff>
    </xdr:from>
    <xdr:ext cx="4745273" cy="277097"/>
    <xdr:sp macro="" textlink="[0]!ReportCaption">
      <xdr:nvSpPr>
        <xdr:cNvPr id="2" name="Avrundet rektangel 1"/>
        <xdr:cNvSpPr/>
      </xdr:nvSpPr>
      <xdr:spPr>
        <a:xfrm>
          <a:off x="56030" y="56030"/>
          <a:ext cx="4745273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5E3116F2-2512-44C3-BD3E-4ED7753C40A3}" type="TxLink">
            <a:rPr lang="en-US" sz="1600" b="1" i="0" u="none" strike="noStrike">
              <a:solidFill>
                <a:srgbClr val="C00000"/>
              </a:solidFill>
              <a:latin typeface="Calibri"/>
              <a:cs typeface="Arial"/>
            </a:rPr>
            <a:pPr algn="l"/>
            <a:t>Stock Simulation  -  Stabburet Bayersk postei 8x6x22g</a:t>
          </a:fld>
          <a:endParaRPr lang="nb-NO" sz="2400" b="1">
            <a:solidFill>
              <a:srgbClr val="C00000"/>
            </a:solidFill>
          </a:endParaRP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56030</xdr:colOff>
      <xdr:row>0</xdr:row>
      <xdr:rowOff>56030</xdr:rowOff>
    </xdr:from>
    <xdr:ext cx="4745273" cy="277097"/>
    <xdr:sp macro="" textlink="[0]!ReportCaption">
      <xdr:nvSpPr>
        <xdr:cNvPr id="2" name="Avrundet rektangel 1"/>
        <xdr:cNvSpPr/>
      </xdr:nvSpPr>
      <xdr:spPr>
        <a:xfrm>
          <a:off x="56030" y="56030"/>
          <a:ext cx="4745273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5E3116F2-2512-44C3-BD3E-4ED7753C40A3}" type="TxLink">
            <a:rPr lang="en-US" sz="1600" b="1" i="0" u="none" strike="noStrike">
              <a:solidFill>
                <a:srgbClr val="C00000"/>
              </a:solidFill>
              <a:latin typeface="Calibri"/>
              <a:cs typeface="Arial"/>
            </a:rPr>
            <a:pPr algn="l"/>
            <a:t>Stock Simulation  -  Stabburet Bayersk postei 8x6x22g</a:t>
          </a:fld>
          <a:endParaRPr lang="nb-NO" sz="2400" b="1">
            <a:solidFill>
              <a:srgbClr val="C00000"/>
            </a:solidFill>
          </a:endParaRP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56030</xdr:colOff>
      <xdr:row>0</xdr:row>
      <xdr:rowOff>56030</xdr:rowOff>
    </xdr:from>
    <xdr:ext cx="4745273" cy="277097"/>
    <xdr:sp macro="" textlink="[0]!ReportCaption">
      <xdr:nvSpPr>
        <xdr:cNvPr id="2" name="Avrundet rektangel 1"/>
        <xdr:cNvSpPr/>
      </xdr:nvSpPr>
      <xdr:spPr>
        <a:xfrm>
          <a:off x="56030" y="56030"/>
          <a:ext cx="4745273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5E3116F2-2512-44C3-BD3E-4ED7753C40A3}" type="TxLink">
            <a:rPr lang="en-US" sz="1600" b="1" i="0" u="none" strike="noStrike">
              <a:solidFill>
                <a:srgbClr val="C00000"/>
              </a:solidFill>
              <a:latin typeface="Calibri"/>
              <a:cs typeface="Arial"/>
            </a:rPr>
            <a:pPr algn="l"/>
            <a:t>Stock Simulation  -  Stabburet Bayersk postei 8x6x22g</a:t>
          </a:fld>
          <a:endParaRPr lang="nb-NO" sz="2400" b="1">
            <a:solidFill>
              <a:srgbClr val="C00000"/>
            </a:solidFill>
          </a:endParaRP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56030</xdr:colOff>
      <xdr:row>0</xdr:row>
      <xdr:rowOff>56030</xdr:rowOff>
    </xdr:from>
    <xdr:ext cx="4745273" cy="277097"/>
    <xdr:sp macro="" textlink="ReportCaption">
      <xdr:nvSpPr>
        <xdr:cNvPr id="2" name="Avrundet rektangel 1"/>
        <xdr:cNvSpPr/>
      </xdr:nvSpPr>
      <xdr:spPr>
        <a:xfrm>
          <a:off x="56030" y="56030"/>
          <a:ext cx="4745273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47BEC689-1DA2-43D3-843A-F126E1ECEABC}" type="TxLink">
            <a:rPr lang="en-US" sz="1600" b="1" i="0" u="none" strike="noStrike">
              <a:solidFill>
                <a:srgbClr val="C00000"/>
              </a:solidFill>
              <a:latin typeface="Calibri"/>
              <a:cs typeface="Arial"/>
            </a:rPr>
            <a:pPr algn="l"/>
            <a:t>Stock Simulation  -  Stabburet Bayersk postei 8x6x22g</a:t>
          </a:fld>
          <a:endParaRPr lang="nb-NO" sz="3600" b="1">
            <a:solidFill>
              <a:srgbClr val="C00000"/>
            </a:solidFill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il Kumar Bottu" refreshedDate="41635.510348148149" createdVersion="4" refreshedVersion="4" minRefreshableVersion="3" recordCount="246">
  <cacheSource type="worksheet">
    <worksheetSource name="MD04_Data"/>
  </cacheSource>
  <cacheFields count="28">
    <cacheField name="PLAAB" numFmtId="0">
      <sharedItems containsSemiMixedTypes="0" containsString="0" containsNumber="1" containsInteger="1" minValue="2" maxValue="7"/>
    </cacheField>
    <cacheField name="SORT1" numFmtId="0">
      <sharedItems containsSemiMixedTypes="0" containsString="0" containsNumber="1" containsInteger="1" minValue="0" maxValue="2"/>
    </cacheField>
    <cacheField name="SORT2" numFmtId="0">
      <sharedItems containsSemiMixedTypes="0" containsString="0" containsNumber="1" containsInteger="1" minValue="1" maxValue="7"/>
    </cacheField>
    <cacheField name="DELKZ" numFmtId="0">
      <sharedItems/>
    </cacheField>
    <cacheField name="PLUMI" numFmtId="0">
      <sharedItems count="3">
        <s v="B"/>
        <s v="-"/>
        <s v="+"/>
      </sharedItems>
    </cacheField>
    <cacheField name="DAT00" numFmtId="14">
      <sharedItems containsSemiMixedTypes="0" containsNonDate="0" containsDate="1" containsString="0" minDate="2013-06-12T00:00:00" maxDate="2014-05-31T00:00:00" count="240">
        <d v="2013-06-12T00:00:00"/>
        <d v="2013-06-18T00:00:00"/>
        <d v="2013-06-19T00:00:00"/>
        <d v="2013-06-20T00:00:00"/>
        <d v="2013-06-21T00:00:00"/>
        <d v="2013-06-24T00:00:00"/>
        <d v="2013-06-25T00:00:00"/>
        <d v="2013-06-26T00:00:00"/>
        <d v="2013-06-27T00:00:00"/>
        <d v="2013-06-28T00:00:00"/>
        <d v="2013-07-01T00:00:00"/>
        <d v="2013-07-02T00:00:00"/>
        <d v="2013-07-03T00:00:00"/>
        <d v="2013-07-04T00:00:00"/>
        <d v="2013-07-05T00:00:00"/>
        <d v="2013-07-08T00:00:00"/>
        <d v="2013-07-09T00:00:00"/>
        <d v="2013-07-10T00:00:00"/>
        <d v="2013-07-11T00:00:00"/>
        <d v="2013-07-12T00:00:00"/>
        <d v="2013-07-15T00:00:00"/>
        <d v="2013-07-16T00:00:00"/>
        <d v="2013-07-17T00:00:00"/>
        <d v="2013-07-18T00:00:00"/>
        <d v="2013-07-19T00:00:00"/>
        <d v="2013-07-22T00:00:00"/>
        <d v="2013-07-23T00:00:00"/>
        <d v="2013-07-24T00:00:00"/>
        <d v="2013-07-25T00:00:00"/>
        <d v="2013-07-26T00:00:00"/>
        <d v="2013-07-29T00:00:00"/>
        <d v="2013-07-30T00:00:00"/>
        <d v="2013-07-31T00:00:00"/>
        <d v="2013-08-01T00:00:00"/>
        <d v="2013-08-02T00:00:00"/>
        <d v="2013-08-05T00:00:00"/>
        <d v="2013-08-06T00:00:00"/>
        <d v="2013-08-07T00:00:00"/>
        <d v="2013-08-08T00:00:00"/>
        <d v="2013-08-09T00:00:00"/>
        <d v="2013-08-12T00:00:00"/>
        <d v="2013-08-13T00:00:00"/>
        <d v="2013-08-14T00:00:00"/>
        <d v="2013-08-15T00:00:00"/>
        <d v="2013-08-16T00:00:00"/>
        <d v="2013-08-19T00:00:00"/>
        <d v="2013-08-20T00:00:00"/>
        <d v="2013-08-21T00:00:00"/>
        <d v="2013-08-22T00:00:00"/>
        <d v="2013-08-23T00:00:00"/>
        <d v="2013-08-26T00:00:00"/>
        <d v="2013-08-27T00:00:00"/>
        <d v="2013-08-28T00:00:00"/>
        <d v="2013-08-29T00:00:00"/>
        <d v="2013-08-30T00:00:00"/>
        <d v="2013-09-02T00:00:00"/>
        <d v="2013-09-03T00:00:00"/>
        <d v="2013-09-04T00:00:00"/>
        <d v="2013-09-05T00:00:00"/>
        <d v="2013-09-06T00:00:00"/>
        <d v="2013-09-09T00:00:00"/>
        <d v="2013-09-10T00:00:00"/>
        <d v="2013-09-11T00:00:00"/>
        <d v="2013-09-12T00:00:00"/>
        <d v="2013-09-13T00:00:00"/>
        <d v="2013-09-16T00:00:00"/>
        <d v="2013-09-17T00:00:00"/>
        <d v="2013-09-18T00:00:00"/>
        <d v="2013-09-19T00:00:00"/>
        <d v="2013-09-20T00:00:00"/>
        <d v="2013-09-23T00:00:00"/>
        <d v="2013-09-24T00:00:00"/>
        <d v="2013-09-25T00:00:00"/>
        <d v="2013-09-26T00:00:00"/>
        <d v="2013-09-27T00:00:00"/>
        <d v="2013-09-30T00:00:00"/>
        <d v="2013-10-01T00:00:00"/>
        <d v="2013-10-02T00:00:00"/>
        <d v="2013-10-03T00:00:00"/>
        <d v="2013-10-04T00:00:00"/>
        <d v="2013-10-07T00:00:00"/>
        <d v="2013-10-08T00:00:00"/>
        <d v="2013-10-09T00:00:00"/>
        <d v="2013-10-10T00:00:00"/>
        <d v="2013-10-11T00:00:00"/>
        <d v="2013-10-14T00:00:00"/>
        <d v="2013-10-15T00:00:00"/>
        <d v="2013-10-16T00:00:00"/>
        <d v="2013-10-17T00:00:00"/>
        <d v="2013-10-18T00:00:00"/>
        <d v="2013-10-21T00:00:00"/>
        <d v="2013-10-22T00:00:00"/>
        <d v="2013-10-23T00:00:00"/>
        <d v="2013-10-24T00:00:00"/>
        <d v="2013-10-25T00:00:00"/>
        <d v="2013-10-28T00:00:00"/>
        <d v="2013-10-29T00:00:00"/>
        <d v="2013-10-30T00:00:00"/>
        <d v="2013-10-31T00:00:00"/>
        <d v="2013-11-01T00:00:00"/>
        <d v="2013-11-04T00:00:00"/>
        <d v="2013-11-05T00:00:00"/>
        <d v="2013-11-06T00:00:00"/>
        <d v="2013-11-07T00:00:00"/>
        <d v="2013-11-08T00:00:00"/>
        <d v="2013-11-11T00:00:00"/>
        <d v="2013-11-12T00:00:00"/>
        <d v="2013-11-13T00:00:00"/>
        <d v="2013-11-14T00:00:00"/>
        <d v="2013-11-15T00:00:00"/>
        <d v="2013-11-18T00:00:00"/>
        <d v="2013-11-19T00:00:00"/>
        <d v="2013-11-20T00:00:00"/>
        <d v="2013-11-21T00:00:00"/>
        <d v="2013-11-22T00:00:00"/>
        <d v="2013-11-25T00:00:00"/>
        <d v="2013-11-26T00:00:00"/>
        <d v="2013-11-27T00:00:00"/>
        <d v="2013-11-28T00:00:00"/>
        <d v="2013-11-29T00:00:00"/>
        <d v="2013-12-02T00:00:00"/>
        <d v="2013-12-03T00:00:00"/>
        <d v="2013-12-04T00:00:00"/>
        <d v="2013-12-05T00:00:00"/>
        <d v="2013-12-06T00:00:00"/>
        <d v="2013-12-09T00:00:00"/>
        <d v="2013-12-10T00:00:00"/>
        <d v="2013-12-11T00:00:00"/>
        <d v="2013-12-12T00:00:00"/>
        <d v="2013-12-13T00:00:00"/>
        <d v="2013-12-16T00:00:00"/>
        <d v="2013-12-17T00:00:00"/>
        <d v="2013-12-18T00:00:00"/>
        <d v="2013-12-19T00:00:00"/>
        <d v="2013-12-20T00:00:00"/>
        <d v="2013-12-23T00:00:00"/>
        <d v="2013-12-27T00:00:00"/>
        <d v="2013-12-30T00:00:00"/>
        <d v="2014-01-02T00:00:00"/>
        <d v="2014-01-03T00:00:00"/>
        <d v="2014-01-06T00:00:00"/>
        <d v="2014-01-07T00:00:00"/>
        <d v="2014-01-08T00:00:00"/>
        <d v="2014-01-09T00:00:00"/>
        <d v="2014-01-10T00:00:00"/>
        <d v="2014-01-13T00:00:00"/>
        <d v="2014-01-14T00:00:00"/>
        <d v="2014-01-15T00:00:00"/>
        <d v="2014-01-16T00:00:00"/>
        <d v="2014-01-17T00:00:00"/>
        <d v="2014-01-20T00:00:00"/>
        <d v="2014-01-21T00:00:00"/>
        <d v="2014-01-22T00:00:00"/>
        <d v="2014-01-23T00:00:00"/>
        <d v="2014-01-24T00:00:00"/>
        <d v="2014-01-27T00:00:00"/>
        <d v="2014-01-28T00:00:00"/>
        <d v="2014-01-29T00:00:00"/>
        <d v="2014-01-30T00:00:00"/>
        <d v="2014-01-31T00:00:00"/>
        <d v="2014-02-03T00:00:00"/>
        <d v="2014-02-04T00:00:00"/>
        <d v="2014-02-05T00:00:00"/>
        <d v="2014-02-06T00:00:00"/>
        <d v="2014-02-07T00:00:00"/>
        <d v="2014-02-10T00:00:00"/>
        <d v="2014-02-11T00:00:00"/>
        <d v="2014-02-12T00:00:00"/>
        <d v="2014-02-13T00:00:00"/>
        <d v="2014-02-14T00:00:00"/>
        <d v="2014-02-17T00:00:00"/>
        <d v="2014-02-18T00:00:00"/>
        <d v="2014-02-19T00:00:00"/>
        <d v="2014-02-20T00:00:00"/>
        <d v="2014-02-21T00:00:00"/>
        <d v="2014-02-24T00:00:00"/>
        <d v="2014-02-25T00:00:00"/>
        <d v="2014-02-26T00:00:00"/>
        <d v="2014-02-27T00:00:00"/>
        <d v="2014-02-28T00:00:00"/>
        <d v="2014-03-03T00:00:00"/>
        <d v="2014-03-04T00:00:00"/>
        <d v="2014-03-05T00:00:00"/>
        <d v="2014-03-06T00:00:00"/>
        <d v="2014-03-07T00:00:00"/>
        <d v="2014-03-10T00:00:00"/>
        <d v="2014-03-11T00:00:00"/>
        <d v="2014-03-12T00:00:00"/>
        <d v="2014-03-13T00:00:00"/>
        <d v="2014-03-14T00:00:00"/>
        <d v="2014-03-17T00:00:00"/>
        <d v="2014-03-18T00:00:00"/>
        <d v="2014-03-19T00:00:00"/>
        <d v="2014-03-20T00:00:00"/>
        <d v="2014-03-21T00:00:00"/>
        <d v="2014-03-24T00:00:00"/>
        <d v="2014-03-25T00:00:00"/>
        <d v="2014-03-26T00:00:00"/>
        <d v="2014-03-27T00:00:00"/>
        <d v="2014-03-28T00:00:00"/>
        <d v="2014-03-31T00:00:00"/>
        <d v="2014-04-01T00:00:00"/>
        <d v="2014-04-02T00:00:00"/>
        <d v="2014-04-03T00:00:00"/>
        <d v="2014-04-04T00:00:00"/>
        <d v="2014-04-07T00:00:00"/>
        <d v="2014-04-08T00:00:00"/>
        <d v="2014-04-09T00:00:00"/>
        <d v="2014-04-10T00:00:00"/>
        <d v="2014-04-11T00:00:00"/>
        <d v="2014-04-14T00:00:00"/>
        <d v="2014-04-15T00:00:00"/>
        <d v="2014-04-16T00:00:00"/>
        <d v="2014-04-22T00:00:00"/>
        <d v="2014-04-23T00:00:00"/>
        <d v="2014-04-24T00:00:00"/>
        <d v="2014-04-25T00:00:00"/>
        <d v="2014-04-28T00:00:00"/>
        <d v="2014-04-29T00:00:00"/>
        <d v="2014-04-30T00:00:00"/>
        <d v="2014-05-02T00:00:00"/>
        <d v="2014-05-05T00:00:00"/>
        <d v="2014-05-06T00:00:00"/>
        <d v="2014-05-07T00:00:00"/>
        <d v="2014-05-08T00:00:00"/>
        <d v="2014-05-09T00:00:00"/>
        <d v="2014-05-12T00:00:00"/>
        <d v="2014-05-13T00:00:00"/>
        <d v="2014-05-14T00:00:00"/>
        <d v="2014-05-15T00:00:00"/>
        <d v="2014-05-16T00:00:00"/>
        <d v="2014-05-19T00:00:00"/>
        <d v="2014-05-20T00:00:00"/>
        <d v="2014-05-21T00:00:00"/>
        <d v="2014-05-22T00:00:00"/>
        <d v="2014-05-23T00:00:00"/>
        <d v="2014-05-26T00:00:00"/>
        <d v="2014-05-27T00:00:00"/>
        <d v="2014-05-28T00:00:00"/>
        <d v="2014-05-30T00:00:00"/>
      </sharedItems>
    </cacheField>
    <cacheField name="DAT01" numFmtId="0">
      <sharedItems containsSemiMixedTypes="0" containsNonDate="0" containsDate="1" containsString="0" minDate="1899-12-30T00:00:00" maxDate="2014-05-31T00:00:00"/>
    </cacheField>
    <cacheField name="DELB0" numFmtId="0">
      <sharedItems count="6">
        <s v="Stock"/>
        <s v="Delvry"/>
        <s v="PrcOrd"/>
        <s v="IndReq"/>
        <s v="PldOrd"/>
        <s v="SLocSt"/>
      </sharedItems>
    </cacheField>
    <cacheField name="EXTRA" numFmtId="0">
      <sharedItems containsBlank="1" count="9">
        <m/>
        <s v="0080692738/000540/0000"/>
        <s v="000100470971/YPI1/Re"/>
        <s v="VSF"/>
        <s v="0100252280/STCK**"/>
        <s v="0101509279/STCK"/>
        <s v="0101378970/STCK"/>
        <s v="0101378971/STCK"/>
        <s v="SLEA StLoc: not plnd"/>
      </sharedItems>
    </cacheField>
    <cacheField name="AUSSL" numFmtId="0">
      <sharedItems containsBlank="1"/>
    </cacheField>
    <cacheField name="AUSKT" numFmtId="0">
      <sharedItems containsString="0" containsBlank="1" containsNumber="1" containsInteger="1" minValue="15" maxValue="15"/>
    </cacheField>
    <cacheField name="MNG01" numFmtId="49">
      <sharedItems/>
    </cacheField>
    <cacheField name="DAT02" numFmtId="0">
      <sharedItems containsSemiMixedTypes="0" containsNonDate="0" containsDate="1" containsString="0" minDate="1899-12-30T00:00:00" maxDate="2014-03-29T00:00:00"/>
    </cacheField>
    <cacheField name="WRK01" numFmtId="0">
      <sharedItems containsNonDate="0" containsString="0" containsBlank="1"/>
    </cacheField>
    <cacheField name="WRK02" numFmtId="0">
      <sharedItems containsNonDate="0" containsString="0" containsBlank="1"/>
    </cacheField>
    <cacheField name="SLOC2" numFmtId="0">
      <sharedItems containsNonDate="0" containsString="0" containsBlank="1"/>
    </cacheField>
    <cacheField name="LGORT" numFmtId="0">
      <sharedItems containsBlank="1"/>
    </cacheField>
    <cacheField name="LIFNR" numFmtId="0">
      <sharedItems containsNonDate="0" containsString="0" containsBlank="1"/>
    </cacheField>
    <cacheField name="KUNNR" numFmtId="0">
      <sharedItems containsString="0" containsBlank="1" containsNumber="1" containsInteger="1" minValue="10856" maxValue="10856"/>
    </cacheField>
    <cacheField name="MD4KD" numFmtId="0">
      <sharedItems containsBlank="1"/>
    </cacheField>
    <cacheField name="MD4LI" numFmtId="0">
      <sharedItems containsNonDate="0" containsString="0" containsBlank="1"/>
    </cacheField>
    <cacheField name="Customer" numFmtId="0">
      <sharedItems count="2">
        <s v=""/>
        <s v="10856 Asko Sentrallager AS"/>
      </sharedItems>
    </cacheField>
    <cacheField name="Vendor" numFmtId="0">
      <sharedItems count="1">
        <s v=""/>
      </sharedItems>
    </cacheField>
    <cacheField name="Date" numFmtId="14">
      <sharedItems containsSemiMixedTypes="0" containsNonDate="0" containsDate="1" containsString="0" minDate="2013-12-27T00:00:00" maxDate="2014-05-31T00:00:00" count="104">
        <d v="2013-12-27T00:00:00"/>
        <d v="2013-12-30T00:00:00"/>
        <d v="2014-01-02T00:00:00"/>
        <d v="2014-01-03T00:00:00"/>
        <d v="2014-01-06T00:00:00"/>
        <d v="2014-01-07T00:00:00"/>
        <d v="2014-01-08T00:00:00"/>
        <d v="2014-01-09T00:00:00"/>
        <d v="2014-01-10T00:00:00"/>
        <d v="2014-01-13T00:00:00"/>
        <d v="2014-01-14T00:00:00"/>
        <d v="2014-01-15T00:00:00"/>
        <d v="2014-01-16T00:00:00"/>
        <d v="2014-01-17T00:00:00"/>
        <d v="2014-01-20T00:00:00"/>
        <d v="2014-01-21T00:00:00"/>
        <d v="2014-01-22T00:00:00"/>
        <d v="2014-01-23T00:00:00"/>
        <d v="2014-01-24T00:00:00"/>
        <d v="2014-01-27T00:00:00"/>
        <d v="2014-01-28T00:00:00"/>
        <d v="2014-01-29T00:00:00"/>
        <d v="2014-01-30T00:00:00"/>
        <d v="2014-01-31T00:00:00"/>
        <d v="2014-02-03T00:00:00"/>
        <d v="2014-02-04T00:00:00"/>
        <d v="2014-02-05T00:00:00"/>
        <d v="2014-02-06T00:00:00"/>
        <d v="2014-02-07T00:00:00"/>
        <d v="2014-02-10T00:00:00"/>
        <d v="2014-02-11T00:00:00"/>
        <d v="2014-02-12T00:00:00"/>
        <d v="2014-02-13T00:00:00"/>
        <d v="2014-02-14T00:00:00"/>
        <d v="2014-02-17T00:00:00"/>
        <d v="2014-02-18T00:00:00"/>
        <d v="2014-02-19T00:00:00"/>
        <d v="2014-02-20T00:00:00"/>
        <d v="2014-02-21T00:00:00"/>
        <d v="2014-02-24T00:00:00"/>
        <d v="2014-02-25T00:00:00"/>
        <d v="2014-02-26T00:00:00"/>
        <d v="2014-02-27T00:00:00"/>
        <d v="2014-02-28T00:00:00"/>
        <d v="2014-03-03T00:00:00"/>
        <d v="2014-03-04T00:00:00"/>
        <d v="2014-03-05T00:00:00"/>
        <d v="2014-03-06T00:00:00"/>
        <d v="2014-03-07T00:00:00"/>
        <d v="2014-03-10T00:00:00"/>
        <d v="2014-03-11T00:00:00"/>
        <d v="2014-03-12T00:00:00"/>
        <d v="2014-03-13T00:00:00"/>
        <d v="2014-03-14T00:00:00"/>
        <d v="2014-03-17T00:00:00"/>
        <d v="2014-03-18T00:00:00"/>
        <d v="2014-03-19T00:00:00"/>
        <d v="2014-03-20T00:00:00"/>
        <d v="2014-03-21T00:00:00"/>
        <d v="2014-03-24T00:00:00"/>
        <d v="2014-03-25T00:00:00"/>
        <d v="2014-03-26T00:00:00"/>
        <d v="2014-03-27T00:00:00"/>
        <d v="2014-03-28T00:00:00"/>
        <d v="2014-03-31T00:00:00"/>
        <d v="2014-04-01T00:00:00"/>
        <d v="2014-04-02T00:00:00"/>
        <d v="2014-04-03T00:00:00"/>
        <d v="2014-04-04T00:00:00"/>
        <d v="2014-04-07T00:00:00"/>
        <d v="2014-04-08T00:00:00"/>
        <d v="2014-04-09T00:00:00"/>
        <d v="2014-04-10T00:00:00"/>
        <d v="2014-04-11T00:00:00"/>
        <d v="2014-04-14T00:00:00"/>
        <d v="2014-04-15T00:00:00"/>
        <d v="2014-04-16T00:00:00"/>
        <d v="2014-04-22T00:00:00"/>
        <d v="2014-04-23T00:00:00"/>
        <d v="2014-04-24T00:00:00"/>
        <d v="2014-04-25T00:00:00"/>
        <d v="2014-04-28T00:00:00"/>
        <d v="2014-04-29T00:00:00"/>
        <d v="2014-04-30T00:00:00"/>
        <d v="2014-05-02T00:00:00"/>
        <d v="2014-05-05T00:00:00"/>
        <d v="2014-05-06T00:00:00"/>
        <d v="2014-05-07T00:00:00"/>
        <d v="2014-05-08T00:00:00"/>
        <d v="2014-05-09T00:00:00"/>
        <d v="2014-05-12T00:00:00"/>
        <d v="2014-05-13T00:00:00"/>
        <d v="2014-05-14T00:00:00"/>
        <d v="2014-05-15T00:00:00"/>
        <d v="2014-05-16T00:00:00"/>
        <d v="2014-05-19T00:00:00"/>
        <d v="2014-05-20T00:00:00"/>
        <d v="2014-05-21T00:00:00"/>
        <d v="2014-05-22T00:00:00"/>
        <d v="2014-05-23T00:00:00"/>
        <d v="2014-05-26T00:00:00"/>
        <d v="2014-05-27T00:00:00"/>
        <d v="2014-05-28T00:00:00"/>
        <d v="2014-05-30T00:00:00"/>
      </sharedItems>
    </cacheField>
    <cacheField name="Week" numFmtId="0">
      <sharedItems containsSemiMixedTypes="0" containsString="0" containsNumber="1" containsInteger="1" minValue="1" maxValue="53" count="52"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</sharedItems>
    </cacheField>
    <cacheField name="Month" numFmtId="0">
      <sharedItems containsSemiMixedTypes="0" containsString="0" containsNumber="1" containsInteger="1" minValue="1" maxValue="12" count="12">
        <n v="6"/>
        <n v="7"/>
        <n v="8"/>
        <n v="9"/>
        <n v="10"/>
        <n v="11"/>
        <n v="12"/>
        <n v="1"/>
        <n v="2"/>
        <n v="3"/>
        <n v="4"/>
        <n v="5"/>
      </sharedItems>
    </cacheField>
    <cacheField name="Year" numFmtId="0">
      <sharedItems containsSemiMixedTypes="0" containsString="0" containsNumber="1" containsInteger="1" minValue="2013" maxValue="2014"/>
    </cacheField>
    <cacheField name="NetQty" numFmtId="165">
      <sharedItems containsSemiMixedTypes="0" containsString="0" containsNumber="1" containsInteger="1" minValue="-1150" maxValue="169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nil Kumar Bottu" refreshedDate="41635.511839699073" createdVersion="4" refreshedVersion="4" minRefreshableVersion="3" recordCount="498">
  <cacheSource type="worksheet">
    <worksheetSource name="dataperiod"/>
  </cacheSource>
  <cacheFields count="10">
    <cacheField name="Dates" numFmtId="14">
      <sharedItems containsSemiMixedTypes="0" containsNonDate="0" containsDate="1" containsString="0" minDate="2012-06-12T00:00:00" maxDate="2014-06-11T00:00:00" count="497">
        <d v="2014-06-10T00:00:00"/>
        <d v="2014-06-06T00:00:00"/>
        <d v="2014-06-05T00:00:00"/>
        <d v="2014-06-04T00:00:00"/>
        <d v="2014-06-03T00:00:00"/>
        <d v="2014-06-02T00:00:00"/>
        <d v="2014-05-30T00:00:00"/>
        <d v="2014-05-28T00:00:00"/>
        <d v="2014-05-27T00:00:00"/>
        <d v="2014-05-26T00:00:00"/>
        <d v="2014-05-23T00:00:00"/>
        <d v="2014-05-22T00:00:00"/>
        <d v="2014-05-21T00:00:00"/>
        <d v="2014-05-20T00:00:00"/>
        <d v="2014-05-19T00:00:00"/>
        <d v="2014-05-16T00:00:00"/>
        <d v="2014-05-15T00:00:00"/>
        <d v="2014-05-14T00:00:00"/>
        <d v="2014-05-13T00:00:00"/>
        <d v="2014-05-12T00:00:00"/>
        <d v="2014-05-09T00:00:00"/>
        <d v="2014-05-08T00:00:00"/>
        <d v="2014-05-07T00:00:00"/>
        <d v="2014-05-06T00:00:00"/>
        <d v="2014-05-05T00:00:00"/>
        <d v="2014-05-02T00:00:00"/>
        <d v="2014-04-30T00:00:00"/>
        <d v="2014-04-29T00:00:00"/>
        <d v="2014-04-28T00:00:00"/>
        <d v="2014-04-25T00:00:00"/>
        <d v="2014-04-24T00:00:00"/>
        <d v="2014-04-23T00:00:00"/>
        <d v="2014-04-22T00:00:00"/>
        <d v="2014-04-16T00:00:00"/>
        <d v="2014-04-15T00:00:00"/>
        <d v="2014-04-14T00:00:00"/>
        <d v="2014-04-11T00:00:00"/>
        <d v="2014-04-10T00:00:00"/>
        <d v="2014-04-09T00:00:00"/>
        <d v="2014-04-08T00:00:00"/>
        <d v="2014-04-07T00:00:00"/>
        <d v="2014-04-04T00:00:00"/>
        <d v="2014-04-03T00:00:00"/>
        <d v="2014-04-02T00:00:00"/>
        <d v="2014-04-01T00:00:00"/>
        <d v="2014-03-31T00:00:00"/>
        <d v="2014-03-28T00:00:00"/>
        <d v="2014-03-27T00:00:00"/>
        <d v="2014-03-26T00:00:00"/>
        <d v="2014-03-25T00:00:00"/>
        <d v="2014-03-24T00:00:00"/>
        <d v="2014-03-21T00:00:00"/>
        <d v="2014-03-20T00:00:00"/>
        <d v="2014-03-19T00:00:00"/>
        <d v="2014-03-18T00:00:00"/>
        <d v="2014-03-17T00:00:00"/>
        <d v="2014-03-14T00:00:00"/>
        <d v="2014-03-13T00:00:00"/>
        <d v="2014-03-12T00:00:00"/>
        <d v="2014-03-11T00:00:00"/>
        <d v="2014-03-10T00:00:00"/>
        <d v="2014-03-07T00:00:00"/>
        <d v="2014-03-06T00:00:00"/>
        <d v="2014-03-05T00:00:00"/>
        <d v="2014-03-04T00:00:00"/>
        <d v="2014-03-03T00:00:00"/>
        <d v="2014-02-28T00:00:00"/>
        <d v="2014-02-27T00:00:00"/>
        <d v="2014-02-26T00:00:00"/>
        <d v="2014-02-25T00:00:00"/>
        <d v="2014-02-24T00:00:00"/>
        <d v="2014-02-21T00:00:00"/>
        <d v="2014-02-20T00:00:00"/>
        <d v="2014-02-19T00:00:00"/>
        <d v="2014-02-18T00:00:00"/>
        <d v="2014-02-17T00:00:00"/>
        <d v="2014-02-14T00:00:00"/>
        <d v="2014-02-13T00:00:00"/>
        <d v="2014-02-12T00:00:00"/>
        <d v="2014-02-11T00:00:00"/>
        <d v="2014-02-10T00:00:00"/>
        <d v="2014-02-07T00:00:00"/>
        <d v="2014-02-06T00:00:00"/>
        <d v="2014-02-05T00:00:00"/>
        <d v="2014-02-04T00:00:00"/>
        <d v="2014-02-03T00:00:00"/>
        <d v="2014-01-31T00:00:00"/>
        <d v="2014-01-30T00:00:00"/>
        <d v="2014-01-29T00:00:00"/>
        <d v="2014-01-28T00:00:00"/>
        <d v="2014-01-27T00:00:00"/>
        <d v="2014-01-24T00:00:00"/>
        <d v="2014-01-23T00:00:00"/>
        <d v="2014-01-22T00:00:00"/>
        <d v="2014-01-21T00:00:00"/>
        <d v="2014-01-20T00:00:00"/>
        <d v="2014-01-17T00:00:00"/>
        <d v="2014-01-16T00:00:00"/>
        <d v="2014-01-15T00:00:00"/>
        <d v="2014-01-14T00:00:00"/>
        <d v="2014-01-13T00:00:00"/>
        <d v="2014-01-10T00:00:00"/>
        <d v="2014-01-09T00:00:00"/>
        <d v="2014-01-08T00:00:00"/>
        <d v="2014-01-07T00:00:00"/>
        <d v="2014-01-06T00:00:00"/>
        <d v="2014-01-03T00:00:00"/>
        <d v="2014-01-02T00:00:00"/>
        <d v="2013-12-30T00:00:00"/>
        <d v="2013-12-27T00:00:00"/>
        <d v="2013-12-23T00:00:00"/>
        <d v="2013-12-20T00:00:00"/>
        <d v="2013-12-19T00:00:00"/>
        <d v="2013-12-18T00:00:00"/>
        <d v="2013-12-17T00:00:00"/>
        <d v="2013-12-16T00:00:00"/>
        <d v="2013-12-13T00:00:00"/>
        <d v="2013-12-12T00:00:00"/>
        <d v="2013-12-11T00:00:00"/>
        <d v="2013-12-10T00:00:00"/>
        <d v="2013-12-09T00:00:00"/>
        <d v="2013-12-06T00:00:00"/>
        <d v="2013-12-05T00:00:00"/>
        <d v="2013-12-04T00:00:00"/>
        <d v="2013-12-03T00:00:00"/>
        <d v="2013-12-02T00:00:00"/>
        <d v="2013-11-29T00:00:00"/>
        <d v="2013-11-28T00:00:00"/>
        <d v="2013-11-27T00:00:00"/>
        <d v="2013-11-26T00:00:00"/>
        <d v="2013-11-25T00:00:00"/>
        <d v="2013-11-22T00:00:00"/>
        <d v="2013-11-21T00:00:00"/>
        <d v="2013-11-20T00:00:00"/>
        <d v="2013-11-19T00:00:00"/>
        <d v="2013-11-18T00:00:00"/>
        <d v="2013-11-15T00:00:00"/>
        <d v="2013-11-14T00:00:00"/>
        <d v="2013-11-13T00:00:00"/>
        <d v="2013-11-12T00:00:00"/>
        <d v="2013-11-11T00:00:00"/>
        <d v="2013-11-08T00:00:00"/>
        <d v="2013-11-07T00:00:00"/>
        <d v="2013-11-06T00:00:00"/>
        <d v="2013-11-05T00:00:00"/>
        <d v="2013-11-04T00:00:00"/>
        <d v="2013-11-01T00:00:00"/>
        <d v="2013-10-31T00:00:00"/>
        <d v="2013-10-30T00:00:00"/>
        <d v="2013-10-29T00:00:00"/>
        <d v="2013-10-28T00:00:00"/>
        <d v="2013-10-25T00:00:00"/>
        <d v="2013-10-24T00:00:00"/>
        <d v="2013-10-23T00:00:00"/>
        <d v="2013-10-22T00:00:00"/>
        <d v="2013-10-21T00:00:00"/>
        <d v="2013-10-18T00:00:00"/>
        <d v="2013-10-17T00:00:00"/>
        <d v="2013-10-16T00:00:00"/>
        <d v="2013-10-15T00:00:00"/>
        <d v="2013-10-14T00:00:00"/>
        <d v="2013-10-11T00:00:00"/>
        <d v="2013-10-10T00:00:00"/>
        <d v="2013-10-09T00:00:00"/>
        <d v="2013-10-08T00:00:00"/>
        <d v="2013-10-07T00:00:00"/>
        <d v="2013-10-04T00:00:00"/>
        <d v="2013-10-03T00:00:00"/>
        <d v="2013-10-02T00:00:00"/>
        <d v="2013-10-01T00:00:00"/>
        <d v="2013-09-30T00:00:00"/>
        <d v="2013-09-27T00:00:00"/>
        <d v="2013-09-26T00:00:00"/>
        <d v="2013-09-25T00:00:00"/>
        <d v="2013-09-24T00:00:00"/>
        <d v="2013-09-23T00:00:00"/>
        <d v="2013-09-20T00:00:00"/>
        <d v="2013-09-19T00:00:00"/>
        <d v="2013-09-18T00:00:00"/>
        <d v="2013-09-17T00:00:00"/>
        <d v="2013-09-16T00:00:00"/>
        <d v="2013-09-13T00:00:00"/>
        <d v="2013-09-12T00:00:00"/>
        <d v="2013-09-11T00:00:00"/>
        <d v="2013-09-10T00:00:00"/>
        <d v="2013-09-09T00:00:00"/>
        <d v="2013-09-06T00:00:00"/>
        <d v="2013-09-05T00:00:00"/>
        <d v="2013-09-04T00:00:00"/>
        <d v="2013-09-03T00:00:00"/>
        <d v="2013-09-02T00:00:00"/>
        <d v="2013-08-30T00:00:00"/>
        <d v="2013-08-29T00:00:00"/>
        <d v="2013-08-28T00:00:00"/>
        <d v="2013-08-27T00:00:00"/>
        <d v="2013-08-26T00:00:00"/>
        <d v="2013-08-23T00:00:00"/>
        <d v="2013-08-22T00:00:00"/>
        <d v="2013-08-21T00:00:00"/>
        <d v="2013-08-20T00:00:00"/>
        <d v="2013-08-19T00:00:00"/>
        <d v="2013-08-16T00:00:00"/>
        <d v="2013-08-15T00:00:00"/>
        <d v="2013-08-14T00:00:00"/>
        <d v="2013-08-13T00:00:00"/>
        <d v="2013-08-12T00:00:00"/>
        <d v="2013-08-09T00:00:00"/>
        <d v="2013-08-08T00:00:00"/>
        <d v="2013-08-07T00:00:00"/>
        <d v="2013-08-06T00:00:00"/>
        <d v="2013-08-05T00:00:00"/>
        <d v="2013-08-02T00:00:00"/>
        <d v="2013-08-01T00:00:00"/>
        <d v="2013-07-31T00:00:00"/>
        <d v="2013-07-30T00:00:00"/>
        <d v="2013-07-29T00:00:00"/>
        <d v="2013-07-26T00:00:00"/>
        <d v="2013-07-25T00:00:00"/>
        <d v="2013-07-24T00:00:00"/>
        <d v="2013-07-23T00:00:00"/>
        <d v="2013-07-22T00:00:00"/>
        <d v="2013-07-19T00:00:00"/>
        <d v="2013-07-18T00:00:00"/>
        <d v="2013-07-17T00:00:00"/>
        <d v="2013-07-16T00:00:00"/>
        <d v="2013-07-15T00:00:00"/>
        <d v="2013-07-12T00:00:00"/>
        <d v="2013-07-11T00:00:00"/>
        <d v="2013-07-10T00:00:00"/>
        <d v="2013-07-09T00:00:00"/>
        <d v="2013-07-08T00:00:00"/>
        <d v="2013-07-05T00:00:00"/>
        <d v="2013-07-04T00:00:00"/>
        <d v="2013-07-03T00:00:00"/>
        <d v="2013-07-02T00:00:00"/>
        <d v="2013-07-01T00:00:00"/>
        <d v="2013-06-28T00:00:00"/>
        <d v="2013-06-27T00:00:00"/>
        <d v="2013-06-26T00:00:00"/>
        <d v="2013-06-25T00:00:00"/>
        <d v="2013-06-24T00:00:00"/>
        <d v="2013-06-21T00:00:00"/>
        <d v="2013-06-20T00:00:00"/>
        <d v="2013-06-19T00:00:00"/>
        <d v="2013-06-18T00:00:00"/>
        <d v="2013-06-17T00:00:00"/>
        <d v="2013-06-14T00:00:00"/>
        <d v="2013-06-13T00:00:00"/>
        <d v="2013-06-11T00:00:00"/>
        <d v="2013-06-10T00:00:00"/>
        <d v="2013-06-07T00:00:00"/>
        <d v="2013-06-06T00:00:00"/>
        <d v="2013-06-05T00:00:00"/>
        <d v="2013-06-04T00:00:00"/>
        <d v="2013-06-03T00:00:00"/>
        <d v="2013-05-31T00:00:00"/>
        <d v="2013-05-30T00:00:00"/>
        <d v="2013-05-29T00:00:00"/>
        <d v="2013-05-28T00:00:00"/>
        <d v="2013-05-27T00:00:00"/>
        <d v="2013-05-24T00:00:00"/>
        <d v="2013-05-23T00:00:00"/>
        <d v="2013-05-22T00:00:00"/>
        <d v="2013-05-21T00:00:00"/>
        <d v="2013-05-16T00:00:00"/>
        <d v="2013-05-15T00:00:00"/>
        <d v="2013-05-14T00:00:00"/>
        <d v="2013-05-13T00:00:00"/>
        <d v="2013-05-10T00:00:00"/>
        <d v="2013-05-08T00:00:00"/>
        <d v="2013-05-07T00:00:00"/>
        <d v="2013-05-06T00:00:00"/>
        <d v="2013-05-03T00:00:00"/>
        <d v="2013-05-02T00:00:00"/>
        <d v="2013-04-30T00:00:00"/>
        <d v="2013-04-29T00:00:00"/>
        <d v="2013-04-26T00:00:00"/>
        <d v="2013-04-25T00:00:00"/>
        <d v="2013-04-24T00:00:00"/>
        <d v="2013-04-23T00:00:00"/>
        <d v="2013-04-22T00:00:00"/>
        <d v="2013-04-19T00:00:00"/>
        <d v="2013-04-18T00:00:00"/>
        <d v="2013-04-17T00:00:00"/>
        <d v="2013-04-16T00:00:00"/>
        <d v="2013-04-15T00:00:00"/>
        <d v="2013-04-12T00:00:00"/>
        <d v="2013-04-11T00:00:00"/>
        <d v="2013-04-10T00:00:00"/>
        <d v="2013-04-09T00:00:00"/>
        <d v="2013-04-08T00:00:00"/>
        <d v="2013-04-05T00:00:00"/>
        <d v="2013-04-04T00:00:00"/>
        <d v="2013-04-03T00:00:00"/>
        <d v="2013-04-02T00:00:00"/>
        <d v="2013-03-27T00:00:00"/>
        <d v="2013-03-26T00:00:00"/>
        <d v="2013-03-25T00:00:00"/>
        <d v="2013-03-22T00:00:00"/>
        <d v="2013-03-21T00:00:00"/>
        <d v="2013-03-20T00:00:00"/>
        <d v="2013-03-19T00:00:00"/>
        <d v="2013-03-18T00:00:00"/>
        <d v="2013-03-15T00:00:00"/>
        <d v="2013-03-14T00:00:00"/>
        <d v="2013-03-13T00:00:00"/>
        <d v="2013-03-12T00:00:00"/>
        <d v="2013-03-11T00:00:00"/>
        <d v="2013-03-08T00:00:00"/>
        <d v="2013-03-07T00:00:00"/>
        <d v="2013-03-06T00:00:00"/>
        <d v="2013-03-05T00:00:00"/>
        <d v="2013-03-04T00:00:00"/>
        <d v="2013-03-01T00:00:00"/>
        <d v="2013-02-28T00:00:00"/>
        <d v="2013-02-27T00:00:00"/>
        <d v="2013-02-26T00:00:00"/>
        <d v="2013-02-25T00:00:00"/>
        <d v="2013-02-22T00:00:00"/>
        <d v="2013-02-21T00:00:00"/>
        <d v="2013-02-20T00:00:00"/>
        <d v="2013-02-19T00:00:00"/>
        <d v="2013-02-18T00:00:00"/>
        <d v="2013-02-15T00:00:00"/>
        <d v="2013-02-14T00:00:00"/>
        <d v="2013-02-13T00:00:00"/>
        <d v="2013-02-12T00:00:00"/>
        <d v="2013-02-11T00:00:00"/>
        <d v="2013-02-08T00:00:00"/>
        <d v="2013-02-07T00:00:00"/>
        <d v="2013-02-06T00:00:00"/>
        <d v="2013-02-05T00:00:00"/>
        <d v="2013-02-04T00:00:00"/>
        <d v="2013-02-01T00:00:00"/>
        <d v="2013-01-31T00:00:00"/>
        <d v="2013-01-30T00:00:00"/>
        <d v="2013-01-29T00:00:00"/>
        <d v="2013-01-28T00:00:00"/>
        <d v="2013-01-25T00:00:00"/>
        <d v="2013-01-24T00:00:00"/>
        <d v="2013-01-23T00:00:00"/>
        <d v="2013-01-22T00:00:00"/>
        <d v="2013-01-21T00:00:00"/>
        <d v="2013-01-18T00:00:00"/>
        <d v="2013-01-17T00:00:00"/>
        <d v="2013-01-16T00:00:00"/>
        <d v="2013-01-15T00:00:00"/>
        <d v="2013-01-14T00:00:00"/>
        <d v="2013-01-11T00:00:00"/>
        <d v="2013-01-10T00:00:00"/>
        <d v="2013-01-09T00:00:00"/>
        <d v="2013-01-08T00:00:00"/>
        <d v="2013-01-07T00:00:00"/>
        <d v="2013-01-04T00:00:00"/>
        <d v="2013-01-03T00:00:00"/>
        <d v="2013-01-02T00:00:00"/>
        <d v="2012-12-28T00:00:00"/>
        <d v="2012-12-27T00:00:00"/>
        <d v="2012-12-21T00:00:00"/>
        <d v="2012-12-20T00:00:00"/>
        <d v="2012-12-19T00:00:00"/>
        <d v="2012-12-18T00:00:00"/>
        <d v="2012-12-17T00:00:00"/>
        <d v="2012-12-14T00:00:00"/>
        <d v="2012-12-13T00:00:00"/>
        <d v="2012-12-12T00:00:00"/>
        <d v="2012-12-11T00:00:00"/>
        <d v="2012-12-10T00:00:00"/>
        <d v="2012-12-07T00:00:00"/>
        <d v="2012-12-06T00:00:00"/>
        <d v="2012-12-05T00:00:00"/>
        <d v="2012-12-04T00:00:00"/>
        <d v="2012-12-03T00:00:00"/>
        <d v="2012-11-30T00:00:00"/>
        <d v="2012-11-29T00:00:00"/>
        <d v="2012-11-28T00:00:00"/>
        <d v="2012-11-27T00:00:00"/>
        <d v="2012-11-26T00:00:00"/>
        <d v="2012-11-23T00:00:00"/>
        <d v="2012-11-22T00:00:00"/>
        <d v="2012-11-21T00:00:00"/>
        <d v="2012-11-20T00:00:00"/>
        <d v="2012-11-19T00:00:00"/>
        <d v="2012-11-16T00:00:00"/>
        <d v="2012-11-15T00:00:00"/>
        <d v="2012-11-14T00:00:00"/>
        <d v="2012-11-13T00:00:00"/>
        <d v="2012-11-12T00:00:00"/>
        <d v="2012-11-09T00:00:00"/>
        <d v="2012-11-08T00:00:00"/>
        <d v="2012-11-07T00:00:00"/>
        <d v="2012-11-06T00:00:00"/>
        <d v="2012-11-05T00:00:00"/>
        <d v="2012-11-02T00:00:00"/>
        <d v="2012-11-01T00:00:00"/>
        <d v="2012-10-31T00:00:00"/>
        <d v="2012-10-30T00:00:00"/>
        <d v="2012-10-29T00:00:00"/>
        <d v="2012-10-26T00:00:00"/>
        <d v="2012-10-25T00:00:00"/>
        <d v="2012-10-24T00:00:00"/>
        <d v="2012-10-23T00:00:00"/>
        <d v="2012-10-22T00:00:00"/>
        <d v="2012-10-19T00:00:00"/>
        <d v="2012-10-18T00:00:00"/>
        <d v="2012-10-17T00:00:00"/>
        <d v="2012-10-16T00:00:00"/>
        <d v="2012-10-15T00:00:00"/>
        <d v="2012-10-12T00:00:00"/>
        <d v="2012-10-11T00:00:00"/>
        <d v="2012-10-10T00:00:00"/>
        <d v="2012-10-09T00:00:00"/>
        <d v="2012-10-08T00:00:00"/>
        <d v="2012-10-05T00:00:00"/>
        <d v="2012-10-04T00:00:00"/>
        <d v="2012-10-03T00:00:00"/>
        <d v="2012-10-02T00:00:00"/>
        <d v="2012-10-01T00:00:00"/>
        <d v="2012-09-28T00:00:00"/>
        <d v="2012-09-27T00:00:00"/>
        <d v="2012-09-26T00:00:00"/>
        <d v="2012-09-25T00:00:00"/>
        <d v="2012-09-24T00:00:00"/>
        <d v="2012-09-21T00:00:00"/>
        <d v="2012-09-20T00:00:00"/>
        <d v="2012-09-19T00:00:00"/>
        <d v="2012-09-18T00:00:00"/>
        <d v="2012-09-17T00:00:00"/>
        <d v="2012-09-14T00:00:00"/>
        <d v="2012-09-13T00:00:00"/>
        <d v="2012-09-12T00:00:00"/>
        <d v="2012-09-11T00:00:00"/>
        <d v="2012-09-10T00:00:00"/>
        <d v="2012-09-07T00:00:00"/>
        <d v="2012-09-06T00:00:00"/>
        <d v="2012-09-05T00:00:00"/>
        <d v="2012-09-04T00:00:00"/>
        <d v="2012-09-03T00:00:00"/>
        <d v="2012-08-31T00:00:00"/>
        <d v="2012-08-30T00:00:00"/>
        <d v="2012-08-29T00:00:00"/>
        <d v="2012-08-28T00:00:00"/>
        <d v="2012-08-27T00:00:00"/>
        <d v="2012-08-24T00:00:00"/>
        <d v="2012-08-23T00:00:00"/>
        <d v="2012-08-22T00:00:00"/>
        <d v="2012-08-21T00:00:00"/>
        <d v="2012-08-20T00:00:00"/>
        <d v="2012-08-17T00:00:00"/>
        <d v="2012-08-16T00:00:00"/>
        <d v="2012-08-15T00:00:00"/>
        <d v="2012-08-14T00:00:00"/>
        <d v="2012-08-13T00:00:00"/>
        <d v="2012-08-10T00:00:00"/>
        <d v="2012-08-09T00:00:00"/>
        <d v="2012-08-08T00:00:00"/>
        <d v="2012-08-07T00:00:00"/>
        <d v="2012-08-06T00:00:00"/>
        <d v="2012-08-03T00:00:00"/>
        <d v="2012-08-02T00:00:00"/>
        <d v="2012-08-01T00:00:00"/>
        <d v="2012-07-31T00:00:00"/>
        <d v="2012-07-30T00:00:00"/>
        <d v="2012-07-27T00:00:00"/>
        <d v="2012-07-26T00:00:00"/>
        <d v="2012-07-25T00:00:00"/>
        <d v="2012-07-24T00:00:00"/>
        <d v="2012-07-23T00:00:00"/>
        <d v="2012-07-20T00:00:00"/>
        <d v="2012-07-19T00:00:00"/>
        <d v="2012-07-18T00:00:00"/>
        <d v="2012-07-17T00:00:00"/>
        <d v="2012-07-16T00:00:00"/>
        <d v="2012-07-13T00:00:00"/>
        <d v="2012-07-12T00:00:00"/>
        <d v="2012-07-11T00:00:00"/>
        <d v="2012-07-10T00:00:00"/>
        <d v="2012-07-09T00:00:00"/>
        <d v="2012-07-06T00:00:00"/>
        <d v="2012-07-05T00:00:00"/>
        <d v="2012-07-04T00:00:00"/>
        <d v="2012-07-03T00:00:00"/>
        <d v="2012-07-02T00:00:00"/>
        <d v="2012-06-29T00:00:00"/>
        <d v="2012-06-28T00:00:00"/>
        <d v="2012-06-27T00:00:00"/>
        <d v="2012-06-26T00:00:00"/>
        <d v="2012-06-25T00:00:00"/>
        <d v="2012-06-22T00:00:00"/>
        <d v="2012-06-21T00:00:00"/>
        <d v="2012-06-20T00:00:00"/>
        <d v="2012-06-19T00:00:00"/>
        <d v="2012-06-18T00:00:00"/>
        <d v="2012-06-15T00:00:00"/>
        <d v="2012-06-14T00:00:00"/>
        <d v="2012-06-13T00:00:00"/>
        <d v="2012-06-12T00:00:00"/>
      </sharedItems>
    </cacheField>
    <cacheField name="Stock in BUm" numFmtId="0">
      <sharedItems containsNonDate="0" containsString="0" containsBlank="1"/>
    </cacheField>
    <cacheField name="Usage" numFmtId="0">
      <sharedItems containsNonDate="0" containsString="0" containsBlank="1"/>
    </cacheField>
    <cacheField name="Coverage Work Days" numFmtId="0">
      <sharedItems containsNonDate="0" containsString="0" containsBlank="1"/>
    </cacheField>
    <cacheField name="196038" numFmtId="0">
      <sharedItems containsNonDate="0" containsString="0" containsBlank="1"/>
    </cacheField>
    <cacheField name="Avg. Coverage" numFmtId="38">
      <sharedItems containsSemiMixedTypes="0" containsString="0" containsNumber="1" containsInteger="1" minValue="0" maxValue="0"/>
    </cacheField>
    <cacheField name="Type" numFmtId="0">
      <sharedItems count="2">
        <s v="Requirements"/>
        <s v="History"/>
      </sharedItems>
    </cacheField>
    <cacheField name="Year" numFmtId="0">
      <sharedItems containsSemiMixedTypes="0" containsString="0" containsNumber="1" containsInteger="1" minValue="2012" maxValue="2014" count="3">
        <n v="2014"/>
        <n v="2013"/>
        <n v="2012"/>
      </sharedItems>
    </cacheField>
    <cacheField name="Month" numFmtId="0">
      <sharedItems containsSemiMixedTypes="0" containsString="0" containsNumber="1" containsInteger="1" minValue="1" maxValue="12" count="12">
        <n v="6"/>
        <n v="5"/>
        <n v="4"/>
        <n v="3"/>
        <n v="2"/>
        <n v="1"/>
        <n v="12"/>
        <n v="11"/>
        <n v="10"/>
        <n v="9"/>
        <n v="8"/>
        <n v="7"/>
      </sharedItems>
    </cacheField>
    <cacheField name="Week" numFmtId="0">
      <sharedItems containsSemiMixedTypes="0" containsString="0" containsNumber="1" containsInteger="1" minValue="1" maxValue="53" count="53"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nil Kumar Bottu" refreshedDate="42440.36529050926" createdVersion="4" refreshedVersion="5" minRefreshableVersion="3" recordCount="2">
  <cacheSource type="worksheet">
    <worksheetSource name="xDatabase"/>
  </cacheSource>
  <cacheFields count="45">
    <cacheField name="Cns" numFmtId="0">
      <sharedItems containsNonDate="0" containsString="0" containsBlank="1"/>
    </cacheField>
    <cacheField name="Order" numFmtId="0">
      <sharedItems containsSemiMixedTypes="0" containsString="0" containsNumber="1" containsInteger="1" minValue="1206296" maxValue="1206296" count="1">
        <n v="1206296"/>
      </sharedItems>
    </cacheField>
    <cacheField name="Time" numFmtId="21">
      <sharedItems containsSemiMixedTypes="0" containsNonDate="0" containsDate="1" containsString="0" minDate="1899-12-30T01:31:01" maxDate="1899-12-30T10:33:34" count="3">
        <d v="1899-12-30T01:31:01"/>
        <d v="1899-12-30T07:39:40" u="1"/>
        <d v="1899-12-30T10:33:34" u="1"/>
      </sharedItems>
    </cacheField>
    <cacheField name="D/C" numFmtId="0">
      <sharedItems count="2">
        <s v="H"/>
        <s v="S"/>
      </sharedItems>
    </cacheField>
    <cacheField name="Delivery" numFmtId="0">
      <sharedItems containsNonDate="0" containsString="0" containsBlank="1"/>
    </cacheField>
    <cacheField name="PO" numFmtId="0">
      <sharedItems containsNonDate="0" containsString="0" containsBlank="1" count="1">
        <m/>
      </sharedItems>
    </cacheField>
    <cacheField name="MatYr" numFmtId="0">
      <sharedItems containsSemiMixedTypes="0" containsString="0" containsNumber="1" containsInteger="1" minValue="2014" maxValue="2014"/>
    </cacheField>
    <cacheField name="Lang" numFmtId="0">
      <sharedItems/>
    </cacheField>
    <cacheField name="MaterialName" numFmtId="0">
      <sharedItems/>
    </cacheField>
    <cacheField name="Materialtype Description" numFmtId="0">
      <sharedItems/>
    </cacheField>
    <cacheField name="Mat. Doc." numFmtId="0">
      <sharedItems containsSemiMixedTypes="0" containsString="0" containsNumber="1" containsInteger="1" minValue="4902095668" maxValue="4903717032" count="3">
        <n v="4902095668"/>
        <n v="4903705757" u="1"/>
        <n v="4903717032" u="1"/>
      </sharedItems>
    </cacheField>
    <cacheField name="Mvt" numFmtId="0">
      <sharedItems containsSemiMixedTypes="0" containsString="0" containsNumber="1" containsInteger="1" minValue="321" maxValue="321"/>
    </cacheField>
    <cacheField name="Material2" numFmtId="0">
      <sharedItems/>
    </cacheField>
    <cacheField name="Pstng Date" numFmtId="0">
      <sharedItems containsDate="1" containsMixedTypes="1" minDate="2013-06-03T00:00:00" maxDate="2013-06-12T00:00:00" count="3">
        <s v="09.06.2014"/>
        <d v="2013-06-03T00:00:00" u="1"/>
        <d v="2013-06-11T00:00:00" u="1"/>
      </sharedItems>
    </cacheField>
    <cacheField name="R/S Plnt" numFmtId="0">
      <sharedItems/>
    </cacheField>
    <cacheField name="Plant Description" numFmtId="0">
      <sharedItems/>
    </cacheField>
    <cacheField name="Entry Dte" numFmtId="14">
      <sharedItems containsDate="1" containsMixedTypes="1" minDate="2013-06-03T00:00:00" maxDate="2013-06-12T00:00:00" count="3">
        <s v="09.06.2014"/>
        <d v="2013-06-03T00:00:00" u="1"/>
        <d v="2013-06-11T00:00:00" u="1"/>
      </sharedItems>
    </cacheField>
    <cacheField name="Beh.kat." numFmtId="0">
      <sharedItems/>
    </cacheField>
    <cacheField name="Sloc" numFmtId="14">
      <sharedItems count="2">
        <s v="Ferdigvare tørr"/>
        <s v="SLHA" u="1"/>
      </sharedItems>
    </cacheField>
    <cacheField name="User Name" numFmtId="21">
      <sharedItems count="2">
        <s v="BATCH"/>
        <s v="ISKULSTA" u="1"/>
      </sharedItems>
    </cacheField>
    <cacheField name="Whr" numFmtId="0">
      <sharedItems/>
    </cacheField>
    <cacheField name="Batch" numFmtId="0">
      <sharedItems containsSemiMixedTypes="0" containsString="0" containsNumber="1" containsInteger="1" minValue="1206296" maxValue="1534122" count="2">
        <n v="1206296"/>
        <n v="1534122" u="1"/>
      </sharedItems>
    </cacheField>
    <cacheField name="Mty" numFmtId="0">
      <sharedItems/>
    </cacheField>
    <cacheField name="S" numFmtId="0">
      <sharedItems/>
    </cacheField>
    <cacheField name="StR" numFmtId="0">
      <sharedItems containsSemiMixedTypes="0" containsString="0" containsNumber="1" containsInteger="1" minValue="2" maxValue="3" count="2">
        <n v="2"/>
        <n v="3"/>
      </sharedItems>
    </cacheField>
    <cacheField name="Rec" numFmtId="0">
      <sharedItems/>
    </cacheField>
    <cacheField name="S2" numFmtId="0">
      <sharedItems/>
    </cacheField>
    <cacheField name="Movement Type Text" numFmtId="0">
      <sharedItems count="2">
        <s v="LO kval.Til fri disp"/>
        <s v="VL vareutlevering" u="1"/>
      </sharedItems>
    </cacheField>
    <cacheField name="Tfr" numFmtId="0">
      <sharedItems/>
    </cacheField>
    <cacheField name="W" numFmtId="0">
      <sharedItems/>
    </cacheField>
    <cacheField name="LangCode" numFmtId="0">
      <sharedItems/>
    </cacheField>
    <cacheField name="Material" numFmtId="0">
      <sharedItems containsSemiMixedTypes="0" containsString="0" containsNumber="1" containsInteger="1" minValue="1029" maxValue="1029"/>
    </cacheField>
    <cacheField name="Mtyp" numFmtId="0">
      <sharedItems/>
    </cacheField>
    <cacheField name="Plnt" numFmtId="14">
      <sharedItems/>
    </cacheField>
    <cacheField name="Quantity" numFmtId="38">
      <sharedItems containsSemiMixedTypes="0" containsString="0" containsNumber="1" containsInteger="1" minValue="306" maxValue="306"/>
    </cacheField>
    <cacheField name="Total valuated stock before th" numFmtId="38">
      <sharedItems containsSemiMixedTypes="0" containsString="0" containsNumber="1" containsInteger="1" minValue="1902" maxValue="1902"/>
    </cacheField>
    <cacheField name="Value of total valuated stock" numFmtId="38">
      <sharedItems containsSemiMixedTypes="0" containsString="0" containsNumber="1" minValue="145548.48000000001" maxValue="145548.48000000001"/>
    </cacheField>
    <cacheField name="UsageTest" numFmtId="38">
      <sharedItems containsSemiMixedTypes="0" containsString="0" containsNumber="1" containsInteger="1" minValue="0" maxValue="1" count="2">
        <n v="1"/>
        <n v="0"/>
      </sharedItems>
    </cacheField>
    <cacheField name="Test2" numFmtId="38">
      <sharedItems containsSemiMixedTypes="0" containsString="0" containsNumber="1" containsInteger="1" minValue="1" maxValue="1"/>
    </cacheField>
    <cacheField name="StockIn" numFmtId="38">
      <sharedItems containsSemiMixedTypes="0" containsString="0" containsNumber="1" containsInteger="1" minValue="1902" maxValue="1902"/>
    </cacheField>
    <cacheField name="StockOut" numFmtId="38">
      <sharedItems containsSemiMixedTypes="0" containsString="0" containsNumber="1" containsInteger="1" minValue="1596" maxValue="1902"/>
    </cacheField>
    <cacheField name="NetQty" numFmtId="38">
      <sharedItems containsSemiMixedTypes="0" containsString="0" containsNumber="1" containsInteger="1" minValue="-306" maxValue="306"/>
    </cacheField>
    <cacheField name="NewDate" numFmtId="14">
      <sharedItems containsSemiMixedTypes="0" containsNonDate="0" containsDate="1" containsString="0" minDate="2013-06-03T00:00:00" maxDate="2014-06-10T00:00:00" count="3">
        <d v="2014-06-09T00:00:00"/>
        <d v="2013-06-03T00:00:00" u="1"/>
        <d v="2013-06-11T00:00:00" u="1"/>
      </sharedItems>
    </cacheField>
    <cacheField name="StockOut1" numFmtId="0" formula="#NAME?+#NAME?" databaseField="0"/>
    <cacheField name="Stock Price" numFmtId="0" formula="'Value of total valuated stock'/'Total valuated stock before th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6">
  <r>
    <n v="2"/>
    <n v="0"/>
    <n v="1"/>
    <s v="WB"/>
    <x v="0"/>
    <x v="0"/>
    <d v="1899-12-30T00:00:00"/>
    <x v="0"/>
    <x v="0"/>
    <m/>
    <m/>
    <s v="5530,000"/>
    <d v="1899-12-30T00:00:00"/>
    <m/>
    <m/>
    <m/>
    <m/>
    <m/>
    <m/>
    <m/>
    <m/>
    <x v="0"/>
    <x v="0"/>
    <x v="0"/>
    <x v="0"/>
    <x v="0"/>
    <n v="2013"/>
    <n v="5530"/>
  </r>
  <r>
    <n v="2"/>
    <n v="2"/>
    <n v="3"/>
    <s v="VJ"/>
    <x v="1"/>
    <x v="0"/>
    <d v="2013-06-12T00:00:00"/>
    <x v="1"/>
    <x v="1"/>
    <m/>
    <m/>
    <s v="-1150,000"/>
    <d v="1899-12-30T00:00:00"/>
    <m/>
    <m/>
    <m/>
    <s v="SLHA"/>
    <m/>
    <n v="10856"/>
    <s v="Asko Sentrallager AS"/>
    <m/>
    <x v="1"/>
    <x v="0"/>
    <x v="0"/>
    <x v="0"/>
    <x v="0"/>
    <n v="2013"/>
    <n v="-1150"/>
  </r>
  <r>
    <n v="2"/>
    <n v="1"/>
    <n v="3"/>
    <s v="BR"/>
    <x v="2"/>
    <x v="1"/>
    <d v="2013-06-18T00:00:00"/>
    <x v="2"/>
    <x v="2"/>
    <s v="U2"/>
    <n v="15"/>
    <s v="10676,000"/>
    <d v="1899-12-30T00:00:00"/>
    <m/>
    <m/>
    <m/>
    <s v="SLHA"/>
    <m/>
    <m/>
    <m/>
    <m/>
    <x v="0"/>
    <x v="0"/>
    <x v="0"/>
    <x v="1"/>
    <x v="0"/>
    <n v="2013"/>
    <n v="10676"/>
  </r>
  <r>
    <n v="2"/>
    <n v="2"/>
    <n v="5"/>
    <s v="PP"/>
    <x v="1"/>
    <x v="2"/>
    <d v="2013-06-19T00:00:00"/>
    <x v="3"/>
    <x v="3"/>
    <m/>
    <m/>
    <s v="-184,000"/>
    <d v="1899-12-30T00:00:00"/>
    <m/>
    <m/>
    <m/>
    <m/>
    <m/>
    <m/>
    <m/>
    <m/>
    <x v="0"/>
    <x v="0"/>
    <x v="0"/>
    <x v="1"/>
    <x v="0"/>
    <n v="2013"/>
    <n v="-184"/>
  </r>
  <r>
    <n v="2"/>
    <n v="2"/>
    <n v="5"/>
    <s v="PP"/>
    <x v="1"/>
    <x v="3"/>
    <d v="2013-06-20T00:00:00"/>
    <x v="3"/>
    <x v="3"/>
    <m/>
    <m/>
    <s v="-184,000"/>
    <d v="1899-12-30T00:00:00"/>
    <m/>
    <m/>
    <m/>
    <m/>
    <m/>
    <m/>
    <m/>
    <m/>
    <x v="0"/>
    <x v="0"/>
    <x v="0"/>
    <x v="1"/>
    <x v="0"/>
    <n v="2013"/>
    <n v="-184"/>
  </r>
  <r>
    <n v="2"/>
    <n v="2"/>
    <n v="5"/>
    <s v="PP"/>
    <x v="1"/>
    <x v="4"/>
    <d v="2013-06-21T00:00:00"/>
    <x v="3"/>
    <x v="3"/>
    <m/>
    <m/>
    <s v="-184,000"/>
    <d v="1899-12-30T00:00:00"/>
    <m/>
    <m/>
    <m/>
    <m/>
    <m/>
    <m/>
    <m/>
    <m/>
    <x v="0"/>
    <x v="0"/>
    <x v="0"/>
    <x v="1"/>
    <x v="0"/>
    <n v="2013"/>
    <n v="-184"/>
  </r>
  <r>
    <n v="2"/>
    <n v="2"/>
    <n v="5"/>
    <s v="PP"/>
    <x v="1"/>
    <x v="5"/>
    <d v="2013-06-24T00:00:00"/>
    <x v="3"/>
    <x v="3"/>
    <m/>
    <m/>
    <s v="-184,000"/>
    <d v="1899-12-30T00:00:00"/>
    <m/>
    <m/>
    <m/>
    <m/>
    <m/>
    <m/>
    <m/>
    <m/>
    <x v="0"/>
    <x v="0"/>
    <x v="0"/>
    <x v="2"/>
    <x v="0"/>
    <n v="2013"/>
    <n v="-184"/>
  </r>
  <r>
    <n v="2"/>
    <n v="2"/>
    <n v="5"/>
    <s v="PP"/>
    <x v="1"/>
    <x v="6"/>
    <d v="2013-06-25T00:00:00"/>
    <x v="3"/>
    <x v="3"/>
    <m/>
    <m/>
    <s v="-184,000"/>
    <d v="1899-12-30T00:00:00"/>
    <m/>
    <m/>
    <m/>
    <m/>
    <m/>
    <m/>
    <m/>
    <m/>
    <x v="0"/>
    <x v="0"/>
    <x v="0"/>
    <x v="2"/>
    <x v="0"/>
    <n v="2013"/>
    <n v="-184"/>
  </r>
  <r>
    <n v="2"/>
    <n v="2"/>
    <n v="5"/>
    <s v="PP"/>
    <x v="1"/>
    <x v="7"/>
    <d v="2013-06-26T00:00:00"/>
    <x v="3"/>
    <x v="3"/>
    <m/>
    <m/>
    <s v="-184,000"/>
    <d v="1899-12-30T00:00:00"/>
    <m/>
    <m/>
    <m/>
    <m/>
    <m/>
    <m/>
    <m/>
    <m/>
    <x v="0"/>
    <x v="0"/>
    <x v="0"/>
    <x v="2"/>
    <x v="0"/>
    <n v="2013"/>
    <n v="-184"/>
  </r>
  <r>
    <n v="2"/>
    <n v="2"/>
    <n v="5"/>
    <s v="PP"/>
    <x v="1"/>
    <x v="8"/>
    <d v="2013-06-27T00:00:00"/>
    <x v="3"/>
    <x v="3"/>
    <m/>
    <m/>
    <s v="-184,000"/>
    <d v="1899-12-30T00:00:00"/>
    <m/>
    <m/>
    <m/>
    <m/>
    <m/>
    <m/>
    <m/>
    <m/>
    <x v="0"/>
    <x v="0"/>
    <x v="0"/>
    <x v="2"/>
    <x v="0"/>
    <n v="2013"/>
    <n v="-184"/>
  </r>
  <r>
    <n v="2"/>
    <n v="2"/>
    <n v="5"/>
    <s v="PP"/>
    <x v="1"/>
    <x v="9"/>
    <d v="2013-06-28T00:00:00"/>
    <x v="3"/>
    <x v="3"/>
    <m/>
    <m/>
    <s v="-184,000"/>
    <d v="1899-12-30T00:00:00"/>
    <m/>
    <m/>
    <m/>
    <m/>
    <m/>
    <m/>
    <m/>
    <m/>
    <x v="0"/>
    <x v="0"/>
    <x v="0"/>
    <x v="2"/>
    <x v="0"/>
    <n v="2013"/>
    <n v="-184"/>
  </r>
  <r>
    <n v="2"/>
    <n v="2"/>
    <n v="5"/>
    <s v="PP"/>
    <x v="1"/>
    <x v="10"/>
    <d v="2013-07-01T00:00:00"/>
    <x v="3"/>
    <x v="3"/>
    <m/>
    <m/>
    <s v="-188,000"/>
    <d v="1899-12-30T00:00:00"/>
    <m/>
    <m/>
    <m/>
    <m/>
    <m/>
    <m/>
    <m/>
    <m/>
    <x v="0"/>
    <x v="0"/>
    <x v="0"/>
    <x v="3"/>
    <x v="1"/>
    <n v="2013"/>
    <n v="-188"/>
  </r>
  <r>
    <n v="2"/>
    <n v="2"/>
    <n v="5"/>
    <s v="PP"/>
    <x v="1"/>
    <x v="11"/>
    <d v="2013-07-02T00:00:00"/>
    <x v="3"/>
    <x v="3"/>
    <m/>
    <m/>
    <s v="-188,000"/>
    <d v="1899-12-30T00:00:00"/>
    <m/>
    <m/>
    <m/>
    <m/>
    <m/>
    <m/>
    <m/>
    <m/>
    <x v="0"/>
    <x v="0"/>
    <x v="0"/>
    <x v="3"/>
    <x v="1"/>
    <n v="2013"/>
    <n v="-188"/>
  </r>
  <r>
    <n v="2"/>
    <n v="2"/>
    <n v="5"/>
    <s v="PP"/>
    <x v="1"/>
    <x v="12"/>
    <d v="2013-07-03T00:00:00"/>
    <x v="3"/>
    <x v="3"/>
    <m/>
    <m/>
    <s v="-188,000"/>
    <d v="1899-12-30T00:00:00"/>
    <m/>
    <m/>
    <m/>
    <m/>
    <m/>
    <m/>
    <m/>
    <m/>
    <x v="0"/>
    <x v="0"/>
    <x v="0"/>
    <x v="3"/>
    <x v="1"/>
    <n v="2013"/>
    <n v="-188"/>
  </r>
  <r>
    <n v="2"/>
    <n v="2"/>
    <n v="5"/>
    <s v="PP"/>
    <x v="1"/>
    <x v="13"/>
    <d v="2013-07-04T00:00:00"/>
    <x v="3"/>
    <x v="3"/>
    <m/>
    <m/>
    <s v="-188,000"/>
    <d v="1899-12-30T00:00:00"/>
    <m/>
    <m/>
    <m/>
    <m/>
    <m/>
    <m/>
    <m/>
    <m/>
    <x v="0"/>
    <x v="0"/>
    <x v="0"/>
    <x v="3"/>
    <x v="1"/>
    <n v="2013"/>
    <n v="-188"/>
  </r>
  <r>
    <n v="2"/>
    <n v="2"/>
    <n v="5"/>
    <s v="PP"/>
    <x v="1"/>
    <x v="14"/>
    <d v="2013-07-05T00:00:00"/>
    <x v="3"/>
    <x v="3"/>
    <m/>
    <m/>
    <s v="-188,000"/>
    <d v="1899-12-30T00:00:00"/>
    <m/>
    <m/>
    <m/>
    <m/>
    <m/>
    <m/>
    <m/>
    <m/>
    <x v="0"/>
    <x v="0"/>
    <x v="0"/>
    <x v="3"/>
    <x v="1"/>
    <n v="2013"/>
    <n v="-188"/>
  </r>
  <r>
    <n v="2"/>
    <n v="2"/>
    <n v="5"/>
    <s v="PP"/>
    <x v="1"/>
    <x v="15"/>
    <d v="2013-07-08T00:00:00"/>
    <x v="3"/>
    <x v="3"/>
    <m/>
    <m/>
    <s v="-190,000"/>
    <d v="1899-12-30T00:00:00"/>
    <m/>
    <m/>
    <m/>
    <m/>
    <m/>
    <m/>
    <m/>
    <m/>
    <x v="0"/>
    <x v="0"/>
    <x v="0"/>
    <x v="4"/>
    <x v="1"/>
    <n v="2013"/>
    <n v="-190"/>
  </r>
  <r>
    <n v="2"/>
    <n v="2"/>
    <n v="5"/>
    <s v="PP"/>
    <x v="1"/>
    <x v="16"/>
    <d v="2013-07-09T00:00:00"/>
    <x v="3"/>
    <x v="3"/>
    <m/>
    <m/>
    <s v="-190,000"/>
    <d v="1899-12-30T00:00:00"/>
    <m/>
    <m/>
    <m/>
    <m/>
    <m/>
    <m/>
    <m/>
    <m/>
    <x v="0"/>
    <x v="0"/>
    <x v="0"/>
    <x v="4"/>
    <x v="1"/>
    <n v="2013"/>
    <n v="-190"/>
  </r>
  <r>
    <n v="2"/>
    <n v="2"/>
    <n v="5"/>
    <s v="PP"/>
    <x v="1"/>
    <x v="17"/>
    <d v="2013-07-10T00:00:00"/>
    <x v="3"/>
    <x v="3"/>
    <m/>
    <m/>
    <s v="-190,000"/>
    <d v="1899-12-30T00:00:00"/>
    <m/>
    <m/>
    <m/>
    <m/>
    <m/>
    <m/>
    <m/>
    <m/>
    <x v="0"/>
    <x v="0"/>
    <x v="0"/>
    <x v="4"/>
    <x v="1"/>
    <n v="2013"/>
    <n v="-190"/>
  </r>
  <r>
    <n v="2"/>
    <n v="2"/>
    <n v="5"/>
    <s v="PP"/>
    <x v="1"/>
    <x v="18"/>
    <d v="2013-07-11T00:00:00"/>
    <x v="3"/>
    <x v="3"/>
    <m/>
    <m/>
    <s v="-190,000"/>
    <d v="1899-12-30T00:00:00"/>
    <m/>
    <m/>
    <m/>
    <m/>
    <m/>
    <m/>
    <m/>
    <m/>
    <x v="0"/>
    <x v="0"/>
    <x v="0"/>
    <x v="4"/>
    <x v="1"/>
    <n v="2013"/>
    <n v="-190"/>
  </r>
  <r>
    <n v="2"/>
    <n v="2"/>
    <n v="5"/>
    <s v="PP"/>
    <x v="1"/>
    <x v="19"/>
    <d v="2013-07-12T00:00:00"/>
    <x v="3"/>
    <x v="3"/>
    <m/>
    <m/>
    <s v="-190,000"/>
    <d v="1899-12-30T00:00:00"/>
    <m/>
    <m/>
    <m/>
    <m/>
    <m/>
    <m/>
    <m/>
    <m/>
    <x v="0"/>
    <x v="0"/>
    <x v="0"/>
    <x v="4"/>
    <x v="1"/>
    <n v="2013"/>
    <n v="-190"/>
  </r>
  <r>
    <n v="2"/>
    <n v="2"/>
    <n v="5"/>
    <s v="PP"/>
    <x v="1"/>
    <x v="20"/>
    <d v="2013-07-15T00:00:00"/>
    <x v="3"/>
    <x v="3"/>
    <m/>
    <m/>
    <s v="-188,000"/>
    <d v="1899-12-30T00:00:00"/>
    <m/>
    <m/>
    <m/>
    <m/>
    <m/>
    <m/>
    <m/>
    <m/>
    <x v="0"/>
    <x v="0"/>
    <x v="0"/>
    <x v="5"/>
    <x v="1"/>
    <n v="2013"/>
    <n v="-188"/>
  </r>
  <r>
    <n v="2"/>
    <n v="2"/>
    <n v="5"/>
    <s v="PP"/>
    <x v="1"/>
    <x v="21"/>
    <d v="2013-07-16T00:00:00"/>
    <x v="3"/>
    <x v="3"/>
    <m/>
    <m/>
    <s v="-188,000"/>
    <d v="1899-12-30T00:00:00"/>
    <m/>
    <m/>
    <m/>
    <m/>
    <m/>
    <m/>
    <m/>
    <m/>
    <x v="0"/>
    <x v="0"/>
    <x v="0"/>
    <x v="5"/>
    <x v="1"/>
    <n v="2013"/>
    <n v="-188"/>
  </r>
  <r>
    <n v="2"/>
    <n v="2"/>
    <n v="5"/>
    <s v="PP"/>
    <x v="1"/>
    <x v="22"/>
    <d v="2013-07-17T00:00:00"/>
    <x v="3"/>
    <x v="3"/>
    <m/>
    <m/>
    <s v="-188,000"/>
    <d v="1899-12-30T00:00:00"/>
    <m/>
    <m/>
    <m/>
    <m/>
    <m/>
    <m/>
    <m/>
    <m/>
    <x v="0"/>
    <x v="0"/>
    <x v="0"/>
    <x v="5"/>
    <x v="1"/>
    <n v="2013"/>
    <n v="-188"/>
  </r>
  <r>
    <n v="2"/>
    <n v="2"/>
    <n v="5"/>
    <s v="PP"/>
    <x v="1"/>
    <x v="23"/>
    <d v="2013-07-18T00:00:00"/>
    <x v="3"/>
    <x v="3"/>
    <m/>
    <m/>
    <s v="-188,000"/>
    <d v="1899-12-30T00:00:00"/>
    <m/>
    <m/>
    <m/>
    <m/>
    <m/>
    <m/>
    <m/>
    <m/>
    <x v="0"/>
    <x v="0"/>
    <x v="0"/>
    <x v="5"/>
    <x v="1"/>
    <n v="2013"/>
    <n v="-188"/>
  </r>
  <r>
    <n v="2"/>
    <n v="2"/>
    <n v="5"/>
    <s v="PP"/>
    <x v="1"/>
    <x v="24"/>
    <d v="2013-07-19T00:00:00"/>
    <x v="3"/>
    <x v="3"/>
    <m/>
    <m/>
    <s v="-188,000"/>
    <d v="1899-12-30T00:00:00"/>
    <m/>
    <m/>
    <m/>
    <m/>
    <m/>
    <m/>
    <m/>
    <m/>
    <x v="0"/>
    <x v="0"/>
    <x v="0"/>
    <x v="5"/>
    <x v="1"/>
    <n v="2013"/>
    <n v="-188"/>
  </r>
  <r>
    <n v="2"/>
    <n v="2"/>
    <n v="5"/>
    <s v="PP"/>
    <x v="1"/>
    <x v="25"/>
    <d v="2013-07-22T00:00:00"/>
    <x v="3"/>
    <x v="3"/>
    <m/>
    <m/>
    <s v="-190,000"/>
    <d v="1899-12-30T00:00:00"/>
    <m/>
    <m/>
    <m/>
    <m/>
    <m/>
    <m/>
    <m/>
    <m/>
    <x v="0"/>
    <x v="0"/>
    <x v="0"/>
    <x v="6"/>
    <x v="1"/>
    <n v="2013"/>
    <n v="-190"/>
  </r>
  <r>
    <n v="2"/>
    <n v="2"/>
    <n v="5"/>
    <s v="PP"/>
    <x v="1"/>
    <x v="26"/>
    <d v="2013-07-23T00:00:00"/>
    <x v="3"/>
    <x v="3"/>
    <m/>
    <m/>
    <s v="-190,000"/>
    <d v="1899-12-30T00:00:00"/>
    <m/>
    <m/>
    <m/>
    <m/>
    <m/>
    <m/>
    <m/>
    <m/>
    <x v="0"/>
    <x v="0"/>
    <x v="0"/>
    <x v="6"/>
    <x v="1"/>
    <n v="2013"/>
    <n v="-190"/>
  </r>
  <r>
    <n v="2"/>
    <n v="2"/>
    <n v="5"/>
    <s v="PP"/>
    <x v="1"/>
    <x v="27"/>
    <d v="2013-07-24T00:00:00"/>
    <x v="3"/>
    <x v="3"/>
    <m/>
    <m/>
    <s v="-190,000"/>
    <d v="1899-12-30T00:00:00"/>
    <m/>
    <m/>
    <m/>
    <m/>
    <m/>
    <m/>
    <m/>
    <m/>
    <x v="0"/>
    <x v="0"/>
    <x v="0"/>
    <x v="6"/>
    <x v="1"/>
    <n v="2013"/>
    <n v="-190"/>
  </r>
  <r>
    <n v="2"/>
    <n v="2"/>
    <n v="5"/>
    <s v="PP"/>
    <x v="1"/>
    <x v="28"/>
    <d v="2013-07-25T00:00:00"/>
    <x v="3"/>
    <x v="3"/>
    <m/>
    <m/>
    <s v="-190,000"/>
    <d v="1899-12-30T00:00:00"/>
    <m/>
    <m/>
    <m/>
    <m/>
    <m/>
    <m/>
    <m/>
    <m/>
    <x v="0"/>
    <x v="0"/>
    <x v="0"/>
    <x v="6"/>
    <x v="1"/>
    <n v="2013"/>
    <n v="-190"/>
  </r>
  <r>
    <n v="2"/>
    <n v="2"/>
    <n v="5"/>
    <s v="PP"/>
    <x v="1"/>
    <x v="29"/>
    <d v="2013-07-26T00:00:00"/>
    <x v="3"/>
    <x v="3"/>
    <m/>
    <m/>
    <s v="-190,000"/>
    <d v="1899-12-30T00:00:00"/>
    <m/>
    <m/>
    <m/>
    <m/>
    <m/>
    <m/>
    <m/>
    <m/>
    <x v="0"/>
    <x v="0"/>
    <x v="0"/>
    <x v="6"/>
    <x v="1"/>
    <n v="2013"/>
    <n v="-190"/>
  </r>
  <r>
    <n v="2"/>
    <n v="2"/>
    <n v="5"/>
    <s v="PP"/>
    <x v="1"/>
    <x v="30"/>
    <d v="2013-07-29T00:00:00"/>
    <x v="3"/>
    <x v="3"/>
    <m/>
    <m/>
    <s v="-202,000"/>
    <d v="1899-12-30T00:00:00"/>
    <m/>
    <m/>
    <m/>
    <m/>
    <m/>
    <m/>
    <m/>
    <m/>
    <x v="0"/>
    <x v="0"/>
    <x v="0"/>
    <x v="7"/>
    <x v="1"/>
    <n v="2013"/>
    <n v="-202"/>
  </r>
  <r>
    <n v="2"/>
    <n v="2"/>
    <n v="5"/>
    <s v="PP"/>
    <x v="1"/>
    <x v="31"/>
    <d v="2013-07-30T00:00:00"/>
    <x v="3"/>
    <x v="3"/>
    <m/>
    <m/>
    <s v="-202,000"/>
    <d v="1899-12-30T00:00:00"/>
    <m/>
    <m/>
    <m/>
    <m/>
    <m/>
    <m/>
    <m/>
    <m/>
    <x v="0"/>
    <x v="0"/>
    <x v="0"/>
    <x v="7"/>
    <x v="1"/>
    <n v="2013"/>
    <n v="-202"/>
  </r>
  <r>
    <n v="2"/>
    <n v="2"/>
    <n v="5"/>
    <s v="PP"/>
    <x v="1"/>
    <x v="32"/>
    <d v="2013-07-31T00:00:00"/>
    <x v="3"/>
    <x v="3"/>
    <m/>
    <m/>
    <s v="-202,000"/>
    <d v="1899-12-30T00:00:00"/>
    <m/>
    <m/>
    <m/>
    <m/>
    <m/>
    <m/>
    <m/>
    <m/>
    <x v="0"/>
    <x v="0"/>
    <x v="0"/>
    <x v="7"/>
    <x v="1"/>
    <n v="2013"/>
    <n v="-202"/>
  </r>
  <r>
    <n v="2"/>
    <n v="2"/>
    <n v="5"/>
    <s v="PP"/>
    <x v="1"/>
    <x v="33"/>
    <d v="2013-08-01T00:00:00"/>
    <x v="3"/>
    <x v="3"/>
    <m/>
    <m/>
    <s v="-202,000"/>
    <d v="1899-12-30T00:00:00"/>
    <m/>
    <m/>
    <m/>
    <m/>
    <m/>
    <m/>
    <m/>
    <m/>
    <x v="0"/>
    <x v="0"/>
    <x v="0"/>
    <x v="7"/>
    <x v="2"/>
    <n v="2013"/>
    <n v="-202"/>
  </r>
  <r>
    <n v="2"/>
    <n v="2"/>
    <n v="5"/>
    <s v="PP"/>
    <x v="1"/>
    <x v="34"/>
    <d v="2013-08-02T00:00:00"/>
    <x v="3"/>
    <x v="3"/>
    <m/>
    <m/>
    <s v="-202,000"/>
    <d v="1899-12-30T00:00:00"/>
    <m/>
    <m/>
    <m/>
    <m/>
    <m/>
    <m/>
    <m/>
    <m/>
    <x v="0"/>
    <x v="0"/>
    <x v="0"/>
    <x v="7"/>
    <x v="2"/>
    <n v="2013"/>
    <n v="-202"/>
  </r>
  <r>
    <n v="2"/>
    <n v="2"/>
    <n v="5"/>
    <s v="PP"/>
    <x v="1"/>
    <x v="35"/>
    <d v="2013-08-05T00:00:00"/>
    <x v="3"/>
    <x v="3"/>
    <m/>
    <m/>
    <s v="-216,000"/>
    <d v="1899-12-30T00:00:00"/>
    <m/>
    <m/>
    <m/>
    <m/>
    <m/>
    <m/>
    <m/>
    <m/>
    <x v="0"/>
    <x v="0"/>
    <x v="0"/>
    <x v="8"/>
    <x v="2"/>
    <n v="2013"/>
    <n v="-216"/>
  </r>
  <r>
    <n v="2"/>
    <n v="2"/>
    <n v="5"/>
    <s v="PP"/>
    <x v="1"/>
    <x v="36"/>
    <d v="2013-08-06T00:00:00"/>
    <x v="3"/>
    <x v="3"/>
    <m/>
    <m/>
    <s v="-216,000"/>
    <d v="1899-12-30T00:00:00"/>
    <m/>
    <m/>
    <m/>
    <m/>
    <m/>
    <m/>
    <m/>
    <m/>
    <x v="0"/>
    <x v="0"/>
    <x v="0"/>
    <x v="8"/>
    <x v="2"/>
    <n v="2013"/>
    <n v="-216"/>
  </r>
  <r>
    <n v="2"/>
    <n v="2"/>
    <n v="5"/>
    <s v="PP"/>
    <x v="1"/>
    <x v="37"/>
    <d v="2013-08-07T00:00:00"/>
    <x v="3"/>
    <x v="3"/>
    <m/>
    <m/>
    <s v="-216,000"/>
    <d v="1899-12-30T00:00:00"/>
    <m/>
    <m/>
    <m/>
    <m/>
    <m/>
    <m/>
    <m/>
    <m/>
    <x v="0"/>
    <x v="0"/>
    <x v="0"/>
    <x v="8"/>
    <x v="2"/>
    <n v="2013"/>
    <n v="-216"/>
  </r>
  <r>
    <n v="2"/>
    <n v="2"/>
    <n v="5"/>
    <s v="PP"/>
    <x v="1"/>
    <x v="38"/>
    <d v="2013-08-08T00:00:00"/>
    <x v="3"/>
    <x v="3"/>
    <m/>
    <m/>
    <s v="-216,000"/>
    <d v="1899-12-30T00:00:00"/>
    <m/>
    <m/>
    <m/>
    <m/>
    <m/>
    <m/>
    <m/>
    <m/>
    <x v="0"/>
    <x v="0"/>
    <x v="0"/>
    <x v="8"/>
    <x v="2"/>
    <n v="2013"/>
    <n v="-216"/>
  </r>
  <r>
    <n v="2"/>
    <n v="2"/>
    <n v="5"/>
    <s v="PP"/>
    <x v="1"/>
    <x v="39"/>
    <d v="2013-08-09T00:00:00"/>
    <x v="3"/>
    <x v="3"/>
    <m/>
    <m/>
    <s v="-216,000"/>
    <d v="1899-12-30T00:00:00"/>
    <m/>
    <m/>
    <m/>
    <m/>
    <m/>
    <m/>
    <m/>
    <m/>
    <x v="0"/>
    <x v="0"/>
    <x v="0"/>
    <x v="8"/>
    <x v="2"/>
    <n v="2013"/>
    <n v="-216"/>
  </r>
  <r>
    <n v="2"/>
    <n v="2"/>
    <n v="5"/>
    <s v="PP"/>
    <x v="1"/>
    <x v="40"/>
    <d v="2013-08-12T00:00:00"/>
    <x v="3"/>
    <x v="3"/>
    <m/>
    <m/>
    <s v="-216,000"/>
    <d v="1899-12-30T00:00:00"/>
    <m/>
    <m/>
    <m/>
    <m/>
    <m/>
    <m/>
    <m/>
    <m/>
    <x v="0"/>
    <x v="0"/>
    <x v="0"/>
    <x v="9"/>
    <x v="2"/>
    <n v="2013"/>
    <n v="-216"/>
  </r>
  <r>
    <n v="2"/>
    <n v="2"/>
    <n v="5"/>
    <s v="PP"/>
    <x v="1"/>
    <x v="41"/>
    <d v="2013-08-13T00:00:00"/>
    <x v="3"/>
    <x v="3"/>
    <m/>
    <m/>
    <s v="-216,000"/>
    <d v="1899-12-30T00:00:00"/>
    <m/>
    <m/>
    <m/>
    <m/>
    <m/>
    <m/>
    <m/>
    <m/>
    <x v="0"/>
    <x v="0"/>
    <x v="0"/>
    <x v="9"/>
    <x v="2"/>
    <n v="2013"/>
    <n v="-216"/>
  </r>
  <r>
    <n v="2"/>
    <n v="2"/>
    <n v="5"/>
    <s v="PP"/>
    <x v="1"/>
    <x v="42"/>
    <d v="2013-08-14T00:00:00"/>
    <x v="3"/>
    <x v="3"/>
    <m/>
    <m/>
    <s v="-216,000"/>
    <d v="1899-12-30T00:00:00"/>
    <m/>
    <m/>
    <m/>
    <m/>
    <m/>
    <m/>
    <m/>
    <m/>
    <x v="0"/>
    <x v="0"/>
    <x v="0"/>
    <x v="9"/>
    <x v="2"/>
    <n v="2013"/>
    <n v="-216"/>
  </r>
  <r>
    <n v="2"/>
    <n v="2"/>
    <n v="5"/>
    <s v="PP"/>
    <x v="1"/>
    <x v="43"/>
    <d v="2013-08-15T00:00:00"/>
    <x v="3"/>
    <x v="3"/>
    <m/>
    <m/>
    <s v="-216,000"/>
    <d v="1899-12-30T00:00:00"/>
    <m/>
    <m/>
    <m/>
    <m/>
    <m/>
    <m/>
    <m/>
    <m/>
    <x v="0"/>
    <x v="0"/>
    <x v="0"/>
    <x v="9"/>
    <x v="2"/>
    <n v="2013"/>
    <n v="-216"/>
  </r>
  <r>
    <n v="2"/>
    <n v="2"/>
    <n v="5"/>
    <s v="PP"/>
    <x v="1"/>
    <x v="44"/>
    <d v="2013-08-16T00:00:00"/>
    <x v="3"/>
    <x v="3"/>
    <m/>
    <m/>
    <s v="-216,000"/>
    <d v="1899-12-30T00:00:00"/>
    <m/>
    <m/>
    <m/>
    <m/>
    <m/>
    <m/>
    <m/>
    <m/>
    <x v="0"/>
    <x v="0"/>
    <x v="0"/>
    <x v="9"/>
    <x v="2"/>
    <n v="2013"/>
    <n v="-216"/>
  </r>
  <r>
    <n v="2"/>
    <n v="2"/>
    <n v="5"/>
    <s v="PP"/>
    <x v="1"/>
    <x v="45"/>
    <d v="2013-08-19T00:00:00"/>
    <x v="3"/>
    <x v="3"/>
    <m/>
    <m/>
    <s v="-214,000"/>
    <d v="1899-12-30T00:00:00"/>
    <m/>
    <m/>
    <m/>
    <m/>
    <m/>
    <m/>
    <m/>
    <m/>
    <x v="0"/>
    <x v="0"/>
    <x v="0"/>
    <x v="10"/>
    <x v="2"/>
    <n v="2013"/>
    <n v="-214"/>
  </r>
  <r>
    <n v="2"/>
    <n v="2"/>
    <n v="5"/>
    <s v="PP"/>
    <x v="1"/>
    <x v="46"/>
    <d v="2013-08-20T00:00:00"/>
    <x v="3"/>
    <x v="3"/>
    <m/>
    <m/>
    <s v="-214,000"/>
    <d v="1899-12-30T00:00:00"/>
    <m/>
    <m/>
    <m/>
    <m/>
    <m/>
    <m/>
    <m/>
    <m/>
    <x v="0"/>
    <x v="0"/>
    <x v="0"/>
    <x v="10"/>
    <x v="2"/>
    <n v="2013"/>
    <n v="-214"/>
  </r>
  <r>
    <n v="2"/>
    <n v="2"/>
    <n v="5"/>
    <s v="PP"/>
    <x v="1"/>
    <x v="47"/>
    <d v="2013-08-21T00:00:00"/>
    <x v="3"/>
    <x v="3"/>
    <m/>
    <m/>
    <s v="-214,000"/>
    <d v="1899-12-30T00:00:00"/>
    <m/>
    <m/>
    <m/>
    <m/>
    <m/>
    <m/>
    <m/>
    <m/>
    <x v="0"/>
    <x v="0"/>
    <x v="0"/>
    <x v="10"/>
    <x v="2"/>
    <n v="2013"/>
    <n v="-214"/>
  </r>
  <r>
    <n v="2"/>
    <n v="2"/>
    <n v="5"/>
    <s v="PP"/>
    <x v="1"/>
    <x v="48"/>
    <d v="2013-08-22T00:00:00"/>
    <x v="3"/>
    <x v="3"/>
    <m/>
    <m/>
    <s v="-214,000"/>
    <d v="1899-12-30T00:00:00"/>
    <m/>
    <m/>
    <m/>
    <m/>
    <m/>
    <m/>
    <m/>
    <m/>
    <x v="0"/>
    <x v="0"/>
    <x v="0"/>
    <x v="10"/>
    <x v="2"/>
    <n v="2013"/>
    <n v="-214"/>
  </r>
  <r>
    <n v="2"/>
    <n v="2"/>
    <n v="5"/>
    <s v="PP"/>
    <x v="1"/>
    <x v="49"/>
    <d v="2013-08-23T00:00:00"/>
    <x v="3"/>
    <x v="3"/>
    <m/>
    <m/>
    <s v="-214,000"/>
    <d v="1899-12-30T00:00:00"/>
    <m/>
    <m/>
    <m/>
    <m/>
    <m/>
    <m/>
    <m/>
    <m/>
    <x v="0"/>
    <x v="0"/>
    <x v="0"/>
    <x v="10"/>
    <x v="2"/>
    <n v="2013"/>
    <n v="-214"/>
  </r>
  <r>
    <n v="2"/>
    <n v="2"/>
    <n v="5"/>
    <s v="PP"/>
    <x v="1"/>
    <x v="50"/>
    <d v="2013-08-26T00:00:00"/>
    <x v="3"/>
    <x v="3"/>
    <m/>
    <m/>
    <s v="-360,000"/>
    <d v="1899-12-30T00:00:00"/>
    <m/>
    <m/>
    <m/>
    <m/>
    <m/>
    <m/>
    <m/>
    <m/>
    <x v="0"/>
    <x v="0"/>
    <x v="0"/>
    <x v="11"/>
    <x v="2"/>
    <n v="2013"/>
    <n v="-360"/>
  </r>
  <r>
    <n v="2"/>
    <n v="2"/>
    <n v="5"/>
    <s v="PP"/>
    <x v="1"/>
    <x v="51"/>
    <d v="2013-08-27T00:00:00"/>
    <x v="3"/>
    <x v="3"/>
    <m/>
    <m/>
    <s v="-360,000"/>
    <d v="1899-12-30T00:00:00"/>
    <m/>
    <m/>
    <m/>
    <m/>
    <m/>
    <m/>
    <m/>
    <m/>
    <x v="0"/>
    <x v="0"/>
    <x v="0"/>
    <x v="11"/>
    <x v="2"/>
    <n v="2013"/>
    <n v="-360"/>
  </r>
  <r>
    <n v="2"/>
    <n v="2"/>
    <n v="5"/>
    <s v="PP"/>
    <x v="1"/>
    <x v="52"/>
    <d v="2013-08-28T00:00:00"/>
    <x v="3"/>
    <x v="3"/>
    <m/>
    <m/>
    <s v="-360,000"/>
    <d v="1899-12-30T00:00:00"/>
    <m/>
    <m/>
    <m/>
    <m/>
    <m/>
    <m/>
    <m/>
    <m/>
    <x v="0"/>
    <x v="0"/>
    <x v="0"/>
    <x v="11"/>
    <x v="2"/>
    <n v="2013"/>
    <n v="-360"/>
  </r>
  <r>
    <n v="2"/>
    <n v="2"/>
    <n v="5"/>
    <s v="PP"/>
    <x v="1"/>
    <x v="53"/>
    <d v="2013-08-29T00:00:00"/>
    <x v="3"/>
    <x v="3"/>
    <m/>
    <m/>
    <s v="-360,000"/>
    <d v="1899-12-30T00:00:00"/>
    <m/>
    <m/>
    <m/>
    <m/>
    <m/>
    <m/>
    <m/>
    <m/>
    <x v="0"/>
    <x v="0"/>
    <x v="0"/>
    <x v="11"/>
    <x v="2"/>
    <n v="2013"/>
    <n v="-360"/>
  </r>
  <r>
    <n v="2"/>
    <n v="2"/>
    <n v="5"/>
    <s v="PP"/>
    <x v="1"/>
    <x v="54"/>
    <d v="2013-08-30T00:00:00"/>
    <x v="3"/>
    <x v="3"/>
    <m/>
    <m/>
    <s v="-360,000"/>
    <d v="1899-12-30T00:00:00"/>
    <m/>
    <m/>
    <m/>
    <m/>
    <m/>
    <m/>
    <m/>
    <m/>
    <x v="0"/>
    <x v="0"/>
    <x v="0"/>
    <x v="11"/>
    <x v="2"/>
    <n v="2013"/>
    <n v="-360"/>
  </r>
  <r>
    <n v="2"/>
    <n v="1"/>
    <n v="7"/>
    <s v="PA"/>
    <x v="2"/>
    <x v="55"/>
    <d v="2013-09-02T00:00:00"/>
    <x v="4"/>
    <x v="4"/>
    <s v="U2"/>
    <n v="15"/>
    <s v="16944,000"/>
    <d v="2013-08-27T00:00:00"/>
    <m/>
    <m/>
    <m/>
    <s v="SLHA"/>
    <m/>
    <m/>
    <m/>
    <m/>
    <x v="0"/>
    <x v="0"/>
    <x v="0"/>
    <x v="12"/>
    <x v="3"/>
    <n v="2013"/>
    <n v="16944"/>
  </r>
  <r>
    <n v="2"/>
    <n v="2"/>
    <n v="5"/>
    <s v="PP"/>
    <x v="1"/>
    <x v="55"/>
    <d v="2013-09-02T00:00:00"/>
    <x v="3"/>
    <x v="3"/>
    <m/>
    <m/>
    <s v="-418,000"/>
    <d v="1899-12-30T00:00:00"/>
    <m/>
    <m/>
    <m/>
    <m/>
    <m/>
    <m/>
    <m/>
    <m/>
    <x v="0"/>
    <x v="0"/>
    <x v="0"/>
    <x v="12"/>
    <x v="3"/>
    <n v="2013"/>
    <n v="-418"/>
  </r>
  <r>
    <n v="2"/>
    <n v="2"/>
    <n v="5"/>
    <s v="PP"/>
    <x v="1"/>
    <x v="56"/>
    <d v="2013-09-03T00:00:00"/>
    <x v="3"/>
    <x v="3"/>
    <m/>
    <m/>
    <s v="-418,000"/>
    <d v="1899-12-30T00:00:00"/>
    <m/>
    <m/>
    <m/>
    <m/>
    <m/>
    <m/>
    <m/>
    <m/>
    <x v="0"/>
    <x v="0"/>
    <x v="0"/>
    <x v="12"/>
    <x v="3"/>
    <n v="2013"/>
    <n v="-418"/>
  </r>
  <r>
    <n v="2"/>
    <n v="2"/>
    <n v="5"/>
    <s v="PP"/>
    <x v="1"/>
    <x v="57"/>
    <d v="2013-09-04T00:00:00"/>
    <x v="3"/>
    <x v="3"/>
    <m/>
    <m/>
    <s v="-418,000"/>
    <d v="1899-12-30T00:00:00"/>
    <m/>
    <m/>
    <m/>
    <m/>
    <m/>
    <m/>
    <m/>
    <m/>
    <x v="0"/>
    <x v="0"/>
    <x v="0"/>
    <x v="12"/>
    <x v="3"/>
    <n v="2013"/>
    <n v="-418"/>
  </r>
  <r>
    <n v="2"/>
    <n v="2"/>
    <n v="5"/>
    <s v="PP"/>
    <x v="1"/>
    <x v="58"/>
    <d v="2013-09-05T00:00:00"/>
    <x v="3"/>
    <x v="3"/>
    <m/>
    <m/>
    <s v="-418,000"/>
    <d v="1899-12-30T00:00:00"/>
    <m/>
    <m/>
    <m/>
    <m/>
    <m/>
    <m/>
    <m/>
    <m/>
    <x v="0"/>
    <x v="0"/>
    <x v="0"/>
    <x v="12"/>
    <x v="3"/>
    <n v="2013"/>
    <n v="-418"/>
  </r>
  <r>
    <n v="2"/>
    <n v="2"/>
    <n v="5"/>
    <s v="PP"/>
    <x v="1"/>
    <x v="59"/>
    <d v="2013-09-06T00:00:00"/>
    <x v="3"/>
    <x v="3"/>
    <m/>
    <m/>
    <s v="-418,000"/>
    <d v="1899-12-30T00:00:00"/>
    <m/>
    <m/>
    <m/>
    <m/>
    <m/>
    <m/>
    <m/>
    <m/>
    <x v="0"/>
    <x v="0"/>
    <x v="0"/>
    <x v="12"/>
    <x v="3"/>
    <n v="2013"/>
    <n v="-418"/>
  </r>
  <r>
    <n v="2"/>
    <n v="2"/>
    <n v="5"/>
    <s v="PP"/>
    <x v="1"/>
    <x v="60"/>
    <d v="2013-09-09T00:00:00"/>
    <x v="3"/>
    <x v="3"/>
    <m/>
    <m/>
    <s v="-416,000"/>
    <d v="1899-12-30T00:00:00"/>
    <m/>
    <m/>
    <m/>
    <m/>
    <m/>
    <m/>
    <m/>
    <m/>
    <x v="0"/>
    <x v="0"/>
    <x v="0"/>
    <x v="13"/>
    <x v="3"/>
    <n v="2013"/>
    <n v="-416"/>
  </r>
  <r>
    <n v="2"/>
    <n v="2"/>
    <n v="5"/>
    <s v="PP"/>
    <x v="1"/>
    <x v="61"/>
    <d v="2013-09-10T00:00:00"/>
    <x v="3"/>
    <x v="3"/>
    <m/>
    <m/>
    <s v="-416,000"/>
    <d v="1899-12-30T00:00:00"/>
    <m/>
    <m/>
    <m/>
    <m/>
    <m/>
    <m/>
    <m/>
    <m/>
    <x v="0"/>
    <x v="0"/>
    <x v="0"/>
    <x v="13"/>
    <x v="3"/>
    <n v="2013"/>
    <n v="-416"/>
  </r>
  <r>
    <n v="2"/>
    <n v="2"/>
    <n v="5"/>
    <s v="PP"/>
    <x v="1"/>
    <x v="62"/>
    <d v="2013-09-11T00:00:00"/>
    <x v="3"/>
    <x v="3"/>
    <m/>
    <m/>
    <s v="-416,000"/>
    <d v="1899-12-30T00:00:00"/>
    <m/>
    <m/>
    <m/>
    <m/>
    <m/>
    <m/>
    <m/>
    <m/>
    <x v="0"/>
    <x v="0"/>
    <x v="0"/>
    <x v="13"/>
    <x v="3"/>
    <n v="2013"/>
    <n v="-416"/>
  </r>
  <r>
    <n v="2"/>
    <n v="2"/>
    <n v="5"/>
    <s v="PP"/>
    <x v="1"/>
    <x v="63"/>
    <d v="2013-09-12T00:00:00"/>
    <x v="3"/>
    <x v="3"/>
    <m/>
    <m/>
    <s v="-416,000"/>
    <d v="1899-12-30T00:00:00"/>
    <m/>
    <m/>
    <m/>
    <m/>
    <m/>
    <m/>
    <m/>
    <m/>
    <x v="0"/>
    <x v="0"/>
    <x v="0"/>
    <x v="13"/>
    <x v="3"/>
    <n v="2013"/>
    <n v="-416"/>
  </r>
  <r>
    <n v="2"/>
    <n v="2"/>
    <n v="5"/>
    <s v="PP"/>
    <x v="1"/>
    <x v="64"/>
    <d v="2013-09-13T00:00:00"/>
    <x v="3"/>
    <x v="3"/>
    <m/>
    <m/>
    <s v="-416,000"/>
    <d v="1899-12-30T00:00:00"/>
    <m/>
    <m/>
    <m/>
    <m/>
    <m/>
    <m/>
    <m/>
    <m/>
    <x v="0"/>
    <x v="0"/>
    <x v="0"/>
    <x v="13"/>
    <x v="3"/>
    <n v="2013"/>
    <n v="-416"/>
  </r>
  <r>
    <n v="2"/>
    <n v="2"/>
    <n v="5"/>
    <s v="PP"/>
    <x v="1"/>
    <x v="65"/>
    <d v="2013-09-16T00:00:00"/>
    <x v="3"/>
    <x v="3"/>
    <m/>
    <m/>
    <s v="-414,000"/>
    <d v="1899-12-30T00:00:00"/>
    <m/>
    <m/>
    <m/>
    <m/>
    <m/>
    <m/>
    <m/>
    <m/>
    <x v="0"/>
    <x v="0"/>
    <x v="0"/>
    <x v="14"/>
    <x v="3"/>
    <n v="2013"/>
    <n v="-414"/>
  </r>
  <r>
    <n v="2"/>
    <n v="2"/>
    <n v="5"/>
    <s v="PP"/>
    <x v="1"/>
    <x v="66"/>
    <d v="2013-09-17T00:00:00"/>
    <x v="3"/>
    <x v="3"/>
    <m/>
    <m/>
    <s v="-414,000"/>
    <d v="1899-12-30T00:00:00"/>
    <m/>
    <m/>
    <m/>
    <m/>
    <m/>
    <m/>
    <m/>
    <m/>
    <x v="0"/>
    <x v="0"/>
    <x v="0"/>
    <x v="14"/>
    <x v="3"/>
    <n v="2013"/>
    <n v="-414"/>
  </r>
  <r>
    <n v="2"/>
    <n v="2"/>
    <n v="5"/>
    <s v="PP"/>
    <x v="1"/>
    <x v="67"/>
    <d v="2013-09-18T00:00:00"/>
    <x v="3"/>
    <x v="3"/>
    <m/>
    <m/>
    <s v="-414,000"/>
    <d v="1899-12-30T00:00:00"/>
    <m/>
    <m/>
    <m/>
    <m/>
    <m/>
    <m/>
    <m/>
    <m/>
    <x v="0"/>
    <x v="0"/>
    <x v="0"/>
    <x v="14"/>
    <x v="3"/>
    <n v="2013"/>
    <n v="-414"/>
  </r>
  <r>
    <n v="2"/>
    <n v="2"/>
    <n v="5"/>
    <s v="PP"/>
    <x v="1"/>
    <x v="68"/>
    <d v="2013-09-19T00:00:00"/>
    <x v="3"/>
    <x v="3"/>
    <m/>
    <m/>
    <s v="-414,000"/>
    <d v="1899-12-30T00:00:00"/>
    <m/>
    <m/>
    <m/>
    <m/>
    <m/>
    <m/>
    <m/>
    <m/>
    <x v="0"/>
    <x v="0"/>
    <x v="0"/>
    <x v="14"/>
    <x v="3"/>
    <n v="2013"/>
    <n v="-414"/>
  </r>
  <r>
    <n v="2"/>
    <n v="2"/>
    <n v="5"/>
    <s v="PP"/>
    <x v="1"/>
    <x v="69"/>
    <d v="2013-09-20T00:00:00"/>
    <x v="3"/>
    <x v="3"/>
    <m/>
    <m/>
    <s v="-414,000"/>
    <d v="1899-12-30T00:00:00"/>
    <m/>
    <m/>
    <m/>
    <m/>
    <m/>
    <m/>
    <m/>
    <m/>
    <x v="0"/>
    <x v="0"/>
    <x v="0"/>
    <x v="14"/>
    <x v="3"/>
    <n v="2013"/>
    <n v="-414"/>
  </r>
  <r>
    <n v="2"/>
    <n v="2"/>
    <n v="5"/>
    <s v="PP"/>
    <x v="1"/>
    <x v="70"/>
    <d v="2013-09-23T00:00:00"/>
    <x v="3"/>
    <x v="3"/>
    <m/>
    <m/>
    <s v="-416,000"/>
    <d v="1899-12-30T00:00:00"/>
    <m/>
    <m/>
    <m/>
    <m/>
    <m/>
    <m/>
    <m/>
    <m/>
    <x v="0"/>
    <x v="0"/>
    <x v="0"/>
    <x v="15"/>
    <x v="3"/>
    <n v="2013"/>
    <n v="-416"/>
  </r>
  <r>
    <n v="2"/>
    <n v="2"/>
    <n v="5"/>
    <s v="PP"/>
    <x v="1"/>
    <x v="71"/>
    <d v="2013-09-24T00:00:00"/>
    <x v="3"/>
    <x v="3"/>
    <m/>
    <m/>
    <s v="-416,000"/>
    <d v="1899-12-30T00:00:00"/>
    <m/>
    <m/>
    <m/>
    <m/>
    <m/>
    <m/>
    <m/>
    <m/>
    <x v="0"/>
    <x v="0"/>
    <x v="0"/>
    <x v="15"/>
    <x v="3"/>
    <n v="2013"/>
    <n v="-416"/>
  </r>
  <r>
    <n v="2"/>
    <n v="2"/>
    <n v="5"/>
    <s v="PP"/>
    <x v="1"/>
    <x v="72"/>
    <d v="2013-09-25T00:00:00"/>
    <x v="3"/>
    <x v="3"/>
    <m/>
    <m/>
    <s v="-416,000"/>
    <d v="1899-12-30T00:00:00"/>
    <m/>
    <m/>
    <m/>
    <m/>
    <m/>
    <m/>
    <m/>
    <m/>
    <x v="0"/>
    <x v="0"/>
    <x v="0"/>
    <x v="15"/>
    <x v="3"/>
    <n v="2013"/>
    <n v="-416"/>
  </r>
  <r>
    <n v="2"/>
    <n v="2"/>
    <n v="5"/>
    <s v="PP"/>
    <x v="1"/>
    <x v="73"/>
    <d v="2013-09-26T00:00:00"/>
    <x v="3"/>
    <x v="3"/>
    <m/>
    <m/>
    <s v="-416,000"/>
    <d v="1899-12-30T00:00:00"/>
    <m/>
    <m/>
    <m/>
    <m/>
    <m/>
    <m/>
    <m/>
    <m/>
    <x v="0"/>
    <x v="0"/>
    <x v="0"/>
    <x v="15"/>
    <x v="3"/>
    <n v="2013"/>
    <n v="-416"/>
  </r>
  <r>
    <n v="2"/>
    <n v="2"/>
    <n v="5"/>
    <s v="PP"/>
    <x v="1"/>
    <x v="74"/>
    <d v="2013-09-27T00:00:00"/>
    <x v="3"/>
    <x v="3"/>
    <m/>
    <m/>
    <s v="-416,000"/>
    <d v="1899-12-30T00:00:00"/>
    <m/>
    <m/>
    <m/>
    <m/>
    <m/>
    <m/>
    <m/>
    <m/>
    <x v="0"/>
    <x v="0"/>
    <x v="0"/>
    <x v="15"/>
    <x v="3"/>
    <n v="2013"/>
    <n v="-416"/>
  </r>
  <r>
    <n v="2"/>
    <n v="2"/>
    <n v="5"/>
    <s v="PP"/>
    <x v="1"/>
    <x v="75"/>
    <d v="2013-09-30T00:00:00"/>
    <x v="3"/>
    <x v="3"/>
    <m/>
    <m/>
    <s v="-416,000"/>
    <d v="1899-12-30T00:00:00"/>
    <m/>
    <m/>
    <m/>
    <m/>
    <m/>
    <m/>
    <m/>
    <m/>
    <x v="0"/>
    <x v="0"/>
    <x v="0"/>
    <x v="16"/>
    <x v="3"/>
    <n v="2013"/>
    <n v="-416"/>
  </r>
  <r>
    <n v="2"/>
    <n v="2"/>
    <n v="5"/>
    <s v="PP"/>
    <x v="1"/>
    <x v="76"/>
    <d v="2013-10-01T00:00:00"/>
    <x v="3"/>
    <x v="3"/>
    <m/>
    <m/>
    <s v="-416,000"/>
    <d v="1899-12-30T00:00:00"/>
    <m/>
    <m/>
    <m/>
    <m/>
    <m/>
    <m/>
    <m/>
    <m/>
    <x v="0"/>
    <x v="0"/>
    <x v="0"/>
    <x v="16"/>
    <x v="4"/>
    <n v="2013"/>
    <n v="-416"/>
  </r>
  <r>
    <n v="2"/>
    <n v="2"/>
    <n v="5"/>
    <s v="PP"/>
    <x v="1"/>
    <x v="77"/>
    <d v="2013-10-02T00:00:00"/>
    <x v="3"/>
    <x v="3"/>
    <m/>
    <m/>
    <s v="-416,000"/>
    <d v="1899-12-30T00:00:00"/>
    <m/>
    <m/>
    <m/>
    <m/>
    <m/>
    <m/>
    <m/>
    <m/>
    <x v="0"/>
    <x v="0"/>
    <x v="0"/>
    <x v="16"/>
    <x v="4"/>
    <n v="2013"/>
    <n v="-416"/>
  </r>
  <r>
    <n v="2"/>
    <n v="2"/>
    <n v="5"/>
    <s v="PP"/>
    <x v="1"/>
    <x v="78"/>
    <d v="2013-10-03T00:00:00"/>
    <x v="3"/>
    <x v="3"/>
    <m/>
    <m/>
    <s v="-416,000"/>
    <d v="1899-12-30T00:00:00"/>
    <m/>
    <m/>
    <m/>
    <m/>
    <m/>
    <m/>
    <m/>
    <m/>
    <x v="0"/>
    <x v="0"/>
    <x v="0"/>
    <x v="16"/>
    <x v="4"/>
    <n v="2013"/>
    <n v="-416"/>
  </r>
  <r>
    <n v="2"/>
    <n v="2"/>
    <n v="5"/>
    <s v="PP"/>
    <x v="1"/>
    <x v="79"/>
    <d v="2013-10-04T00:00:00"/>
    <x v="3"/>
    <x v="3"/>
    <m/>
    <m/>
    <s v="-416,000"/>
    <d v="1899-12-30T00:00:00"/>
    <m/>
    <m/>
    <m/>
    <m/>
    <m/>
    <m/>
    <m/>
    <m/>
    <x v="0"/>
    <x v="0"/>
    <x v="0"/>
    <x v="16"/>
    <x v="4"/>
    <n v="2013"/>
    <n v="-416"/>
  </r>
  <r>
    <n v="2"/>
    <n v="2"/>
    <n v="5"/>
    <s v="PP"/>
    <x v="1"/>
    <x v="80"/>
    <d v="2013-10-07T00:00:00"/>
    <x v="3"/>
    <x v="3"/>
    <m/>
    <m/>
    <s v="-384,000"/>
    <d v="1899-12-30T00:00:00"/>
    <m/>
    <m/>
    <m/>
    <m/>
    <m/>
    <m/>
    <m/>
    <m/>
    <x v="0"/>
    <x v="0"/>
    <x v="0"/>
    <x v="17"/>
    <x v="4"/>
    <n v="2013"/>
    <n v="-384"/>
  </r>
  <r>
    <n v="2"/>
    <n v="2"/>
    <n v="5"/>
    <s v="PP"/>
    <x v="1"/>
    <x v="81"/>
    <d v="2013-10-08T00:00:00"/>
    <x v="3"/>
    <x v="3"/>
    <m/>
    <m/>
    <s v="-384,000"/>
    <d v="1899-12-30T00:00:00"/>
    <m/>
    <m/>
    <m/>
    <m/>
    <m/>
    <m/>
    <m/>
    <m/>
    <x v="0"/>
    <x v="0"/>
    <x v="0"/>
    <x v="17"/>
    <x v="4"/>
    <n v="2013"/>
    <n v="-384"/>
  </r>
  <r>
    <n v="2"/>
    <n v="2"/>
    <n v="5"/>
    <s v="PP"/>
    <x v="1"/>
    <x v="82"/>
    <d v="2013-10-09T00:00:00"/>
    <x v="3"/>
    <x v="3"/>
    <m/>
    <m/>
    <s v="-384,000"/>
    <d v="1899-12-30T00:00:00"/>
    <m/>
    <m/>
    <m/>
    <m/>
    <m/>
    <m/>
    <m/>
    <m/>
    <x v="0"/>
    <x v="0"/>
    <x v="0"/>
    <x v="17"/>
    <x v="4"/>
    <n v="2013"/>
    <n v="-384"/>
  </r>
  <r>
    <n v="2"/>
    <n v="2"/>
    <n v="5"/>
    <s v="PP"/>
    <x v="1"/>
    <x v="83"/>
    <d v="2013-10-10T00:00:00"/>
    <x v="3"/>
    <x v="3"/>
    <m/>
    <m/>
    <s v="-384,000"/>
    <d v="1899-12-30T00:00:00"/>
    <m/>
    <m/>
    <m/>
    <m/>
    <m/>
    <m/>
    <m/>
    <m/>
    <x v="0"/>
    <x v="0"/>
    <x v="0"/>
    <x v="17"/>
    <x v="4"/>
    <n v="2013"/>
    <n v="-384"/>
  </r>
  <r>
    <n v="2"/>
    <n v="2"/>
    <n v="5"/>
    <s v="PP"/>
    <x v="1"/>
    <x v="84"/>
    <d v="2013-10-11T00:00:00"/>
    <x v="3"/>
    <x v="3"/>
    <m/>
    <m/>
    <s v="-384,000"/>
    <d v="1899-12-30T00:00:00"/>
    <m/>
    <m/>
    <m/>
    <m/>
    <m/>
    <m/>
    <m/>
    <m/>
    <x v="0"/>
    <x v="0"/>
    <x v="0"/>
    <x v="17"/>
    <x v="4"/>
    <n v="2013"/>
    <n v="-384"/>
  </r>
  <r>
    <n v="2"/>
    <n v="2"/>
    <n v="5"/>
    <s v="PP"/>
    <x v="1"/>
    <x v="85"/>
    <d v="2013-10-14T00:00:00"/>
    <x v="3"/>
    <x v="3"/>
    <m/>
    <m/>
    <s v="-392,000"/>
    <d v="1899-12-30T00:00:00"/>
    <m/>
    <m/>
    <m/>
    <m/>
    <m/>
    <m/>
    <m/>
    <m/>
    <x v="0"/>
    <x v="0"/>
    <x v="0"/>
    <x v="18"/>
    <x v="4"/>
    <n v="2013"/>
    <n v="-392"/>
  </r>
  <r>
    <n v="2"/>
    <n v="2"/>
    <n v="5"/>
    <s v="PP"/>
    <x v="1"/>
    <x v="86"/>
    <d v="2013-10-15T00:00:00"/>
    <x v="3"/>
    <x v="3"/>
    <m/>
    <m/>
    <s v="-392,000"/>
    <d v="1899-12-30T00:00:00"/>
    <m/>
    <m/>
    <m/>
    <m/>
    <m/>
    <m/>
    <m/>
    <m/>
    <x v="0"/>
    <x v="0"/>
    <x v="0"/>
    <x v="18"/>
    <x v="4"/>
    <n v="2013"/>
    <n v="-392"/>
  </r>
  <r>
    <n v="2"/>
    <n v="2"/>
    <n v="5"/>
    <s v="PP"/>
    <x v="1"/>
    <x v="87"/>
    <d v="2013-10-16T00:00:00"/>
    <x v="3"/>
    <x v="3"/>
    <m/>
    <m/>
    <s v="-392,000"/>
    <d v="1899-12-30T00:00:00"/>
    <m/>
    <m/>
    <m/>
    <m/>
    <m/>
    <m/>
    <m/>
    <m/>
    <x v="0"/>
    <x v="0"/>
    <x v="0"/>
    <x v="18"/>
    <x v="4"/>
    <n v="2013"/>
    <n v="-392"/>
  </r>
  <r>
    <n v="2"/>
    <n v="2"/>
    <n v="5"/>
    <s v="PP"/>
    <x v="1"/>
    <x v="88"/>
    <d v="2013-10-17T00:00:00"/>
    <x v="3"/>
    <x v="3"/>
    <m/>
    <m/>
    <s v="-392,000"/>
    <d v="1899-12-30T00:00:00"/>
    <m/>
    <m/>
    <m/>
    <m/>
    <m/>
    <m/>
    <m/>
    <m/>
    <x v="0"/>
    <x v="0"/>
    <x v="0"/>
    <x v="18"/>
    <x v="4"/>
    <n v="2013"/>
    <n v="-392"/>
  </r>
  <r>
    <n v="2"/>
    <n v="2"/>
    <n v="5"/>
    <s v="PP"/>
    <x v="1"/>
    <x v="89"/>
    <d v="2013-10-18T00:00:00"/>
    <x v="3"/>
    <x v="3"/>
    <m/>
    <m/>
    <s v="-392,000"/>
    <d v="1899-12-30T00:00:00"/>
    <m/>
    <m/>
    <m/>
    <m/>
    <m/>
    <m/>
    <m/>
    <m/>
    <x v="0"/>
    <x v="0"/>
    <x v="0"/>
    <x v="18"/>
    <x v="4"/>
    <n v="2013"/>
    <n v="-392"/>
  </r>
  <r>
    <n v="2"/>
    <n v="2"/>
    <n v="5"/>
    <s v="PP"/>
    <x v="1"/>
    <x v="90"/>
    <d v="2013-10-21T00:00:00"/>
    <x v="3"/>
    <x v="3"/>
    <m/>
    <m/>
    <s v="-396,000"/>
    <d v="1899-12-30T00:00:00"/>
    <m/>
    <m/>
    <m/>
    <m/>
    <m/>
    <m/>
    <m/>
    <m/>
    <x v="0"/>
    <x v="0"/>
    <x v="0"/>
    <x v="19"/>
    <x v="4"/>
    <n v="2013"/>
    <n v="-396"/>
  </r>
  <r>
    <n v="2"/>
    <n v="2"/>
    <n v="5"/>
    <s v="PP"/>
    <x v="1"/>
    <x v="91"/>
    <d v="2013-10-22T00:00:00"/>
    <x v="3"/>
    <x v="3"/>
    <m/>
    <m/>
    <s v="-396,000"/>
    <d v="1899-12-30T00:00:00"/>
    <m/>
    <m/>
    <m/>
    <m/>
    <m/>
    <m/>
    <m/>
    <m/>
    <x v="0"/>
    <x v="0"/>
    <x v="0"/>
    <x v="19"/>
    <x v="4"/>
    <n v="2013"/>
    <n v="-396"/>
  </r>
  <r>
    <n v="2"/>
    <n v="2"/>
    <n v="5"/>
    <s v="PP"/>
    <x v="1"/>
    <x v="92"/>
    <d v="2013-10-23T00:00:00"/>
    <x v="3"/>
    <x v="3"/>
    <m/>
    <m/>
    <s v="-396,000"/>
    <d v="1899-12-30T00:00:00"/>
    <m/>
    <m/>
    <m/>
    <m/>
    <m/>
    <m/>
    <m/>
    <m/>
    <x v="0"/>
    <x v="0"/>
    <x v="0"/>
    <x v="19"/>
    <x v="4"/>
    <n v="2013"/>
    <n v="-396"/>
  </r>
  <r>
    <n v="2"/>
    <n v="2"/>
    <n v="5"/>
    <s v="PP"/>
    <x v="1"/>
    <x v="93"/>
    <d v="2013-10-24T00:00:00"/>
    <x v="3"/>
    <x v="3"/>
    <m/>
    <m/>
    <s v="-396,000"/>
    <d v="1899-12-30T00:00:00"/>
    <m/>
    <m/>
    <m/>
    <m/>
    <m/>
    <m/>
    <m/>
    <m/>
    <x v="0"/>
    <x v="0"/>
    <x v="0"/>
    <x v="19"/>
    <x v="4"/>
    <n v="2013"/>
    <n v="-396"/>
  </r>
  <r>
    <n v="2"/>
    <n v="2"/>
    <n v="5"/>
    <s v="PP"/>
    <x v="1"/>
    <x v="94"/>
    <d v="2013-10-25T00:00:00"/>
    <x v="3"/>
    <x v="3"/>
    <m/>
    <m/>
    <s v="-396,000"/>
    <d v="1899-12-30T00:00:00"/>
    <m/>
    <m/>
    <m/>
    <m/>
    <m/>
    <m/>
    <m/>
    <m/>
    <x v="0"/>
    <x v="0"/>
    <x v="0"/>
    <x v="19"/>
    <x v="4"/>
    <n v="2013"/>
    <n v="-396"/>
  </r>
  <r>
    <n v="2"/>
    <n v="2"/>
    <n v="5"/>
    <s v="PP"/>
    <x v="1"/>
    <x v="95"/>
    <d v="2013-10-28T00:00:00"/>
    <x v="3"/>
    <x v="3"/>
    <m/>
    <m/>
    <s v="-354,000"/>
    <d v="1899-12-30T00:00:00"/>
    <m/>
    <m/>
    <m/>
    <m/>
    <m/>
    <m/>
    <m/>
    <m/>
    <x v="0"/>
    <x v="0"/>
    <x v="0"/>
    <x v="20"/>
    <x v="4"/>
    <n v="2013"/>
    <n v="-354"/>
  </r>
  <r>
    <n v="2"/>
    <n v="2"/>
    <n v="5"/>
    <s v="PP"/>
    <x v="1"/>
    <x v="96"/>
    <d v="2013-10-29T00:00:00"/>
    <x v="3"/>
    <x v="3"/>
    <m/>
    <m/>
    <s v="-354,000"/>
    <d v="1899-12-30T00:00:00"/>
    <m/>
    <m/>
    <m/>
    <m/>
    <m/>
    <m/>
    <m/>
    <m/>
    <x v="0"/>
    <x v="0"/>
    <x v="0"/>
    <x v="20"/>
    <x v="4"/>
    <n v="2013"/>
    <n v="-354"/>
  </r>
  <r>
    <n v="2"/>
    <n v="2"/>
    <n v="5"/>
    <s v="PP"/>
    <x v="1"/>
    <x v="97"/>
    <d v="2013-10-30T00:00:00"/>
    <x v="3"/>
    <x v="3"/>
    <m/>
    <m/>
    <s v="-354,000"/>
    <d v="1899-12-30T00:00:00"/>
    <m/>
    <m/>
    <m/>
    <m/>
    <m/>
    <m/>
    <m/>
    <m/>
    <x v="0"/>
    <x v="0"/>
    <x v="0"/>
    <x v="20"/>
    <x v="4"/>
    <n v="2013"/>
    <n v="-354"/>
  </r>
  <r>
    <n v="2"/>
    <n v="2"/>
    <n v="5"/>
    <s v="PP"/>
    <x v="1"/>
    <x v="98"/>
    <d v="2013-10-31T00:00:00"/>
    <x v="3"/>
    <x v="3"/>
    <m/>
    <m/>
    <s v="-354,000"/>
    <d v="1899-12-30T00:00:00"/>
    <m/>
    <m/>
    <m/>
    <m/>
    <m/>
    <m/>
    <m/>
    <m/>
    <x v="0"/>
    <x v="0"/>
    <x v="0"/>
    <x v="20"/>
    <x v="4"/>
    <n v="2013"/>
    <n v="-354"/>
  </r>
  <r>
    <n v="2"/>
    <n v="2"/>
    <n v="5"/>
    <s v="PP"/>
    <x v="1"/>
    <x v="99"/>
    <d v="2013-11-01T00:00:00"/>
    <x v="3"/>
    <x v="3"/>
    <m/>
    <m/>
    <s v="-354,000"/>
    <d v="1899-12-30T00:00:00"/>
    <m/>
    <m/>
    <m/>
    <m/>
    <m/>
    <m/>
    <m/>
    <m/>
    <x v="0"/>
    <x v="0"/>
    <x v="0"/>
    <x v="20"/>
    <x v="5"/>
    <n v="2013"/>
    <n v="-354"/>
  </r>
  <r>
    <n v="2"/>
    <n v="2"/>
    <n v="5"/>
    <s v="PP"/>
    <x v="1"/>
    <x v="100"/>
    <d v="2013-11-04T00:00:00"/>
    <x v="3"/>
    <x v="3"/>
    <m/>
    <m/>
    <s v="-206,000"/>
    <d v="1899-12-30T00:00:00"/>
    <m/>
    <m/>
    <m/>
    <m/>
    <m/>
    <m/>
    <m/>
    <m/>
    <x v="0"/>
    <x v="0"/>
    <x v="0"/>
    <x v="21"/>
    <x v="5"/>
    <n v="2013"/>
    <n v="-206"/>
  </r>
  <r>
    <n v="2"/>
    <n v="2"/>
    <n v="5"/>
    <s v="PP"/>
    <x v="1"/>
    <x v="101"/>
    <d v="2013-11-05T00:00:00"/>
    <x v="3"/>
    <x v="3"/>
    <m/>
    <m/>
    <s v="-206,000"/>
    <d v="1899-12-30T00:00:00"/>
    <m/>
    <m/>
    <m/>
    <m/>
    <m/>
    <m/>
    <m/>
    <m/>
    <x v="0"/>
    <x v="0"/>
    <x v="0"/>
    <x v="21"/>
    <x v="5"/>
    <n v="2013"/>
    <n v="-206"/>
  </r>
  <r>
    <n v="2"/>
    <n v="2"/>
    <n v="5"/>
    <s v="PP"/>
    <x v="1"/>
    <x v="102"/>
    <d v="2013-11-06T00:00:00"/>
    <x v="3"/>
    <x v="3"/>
    <m/>
    <m/>
    <s v="-206,000"/>
    <d v="1899-12-30T00:00:00"/>
    <m/>
    <m/>
    <m/>
    <m/>
    <m/>
    <m/>
    <m/>
    <m/>
    <x v="0"/>
    <x v="0"/>
    <x v="0"/>
    <x v="21"/>
    <x v="5"/>
    <n v="2013"/>
    <n v="-206"/>
  </r>
  <r>
    <n v="2"/>
    <n v="2"/>
    <n v="5"/>
    <s v="PP"/>
    <x v="1"/>
    <x v="103"/>
    <d v="2013-11-07T00:00:00"/>
    <x v="3"/>
    <x v="3"/>
    <m/>
    <m/>
    <s v="-206,000"/>
    <d v="1899-12-30T00:00:00"/>
    <m/>
    <m/>
    <m/>
    <m/>
    <m/>
    <m/>
    <m/>
    <m/>
    <x v="0"/>
    <x v="0"/>
    <x v="0"/>
    <x v="21"/>
    <x v="5"/>
    <n v="2013"/>
    <n v="-206"/>
  </r>
  <r>
    <n v="2"/>
    <n v="2"/>
    <n v="5"/>
    <s v="PP"/>
    <x v="1"/>
    <x v="104"/>
    <d v="2013-11-08T00:00:00"/>
    <x v="3"/>
    <x v="3"/>
    <m/>
    <m/>
    <s v="-206,000"/>
    <d v="1899-12-30T00:00:00"/>
    <m/>
    <m/>
    <m/>
    <m/>
    <m/>
    <m/>
    <m/>
    <m/>
    <x v="0"/>
    <x v="0"/>
    <x v="0"/>
    <x v="21"/>
    <x v="5"/>
    <n v="2013"/>
    <n v="-206"/>
  </r>
  <r>
    <n v="2"/>
    <n v="2"/>
    <n v="5"/>
    <s v="PP"/>
    <x v="1"/>
    <x v="105"/>
    <d v="2013-11-11T00:00:00"/>
    <x v="3"/>
    <x v="3"/>
    <m/>
    <m/>
    <s v="-208,000"/>
    <d v="1899-12-30T00:00:00"/>
    <m/>
    <m/>
    <m/>
    <m/>
    <m/>
    <m/>
    <m/>
    <m/>
    <x v="0"/>
    <x v="0"/>
    <x v="0"/>
    <x v="22"/>
    <x v="5"/>
    <n v="2013"/>
    <n v="-208"/>
  </r>
  <r>
    <n v="2"/>
    <n v="2"/>
    <n v="5"/>
    <s v="PP"/>
    <x v="1"/>
    <x v="106"/>
    <d v="2013-11-12T00:00:00"/>
    <x v="3"/>
    <x v="3"/>
    <m/>
    <m/>
    <s v="-208,000"/>
    <d v="1899-12-30T00:00:00"/>
    <m/>
    <m/>
    <m/>
    <m/>
    <m/>
    <m/>
    <m/>
    <m/>
    <x v="0"/>
    <x v="0"/>
    <x v="0"/>
    <x v="22"/>
    <x v="5"/>
    <n v="2013"/>
    <n v="-208"/>
  </r>
  <r>
    <n v="2"/>
    <n v="2"/>
    <n v="5"/>
    <s v="PP"/>
    <x v="1"/>
    <x v="107"/>
    <d v="2013-11-13T00:00:00"/>
    <x v="3"/>
    <x v="3"/>
    <m/>
    <m/>
    <s v="-208,000"/>
    <d v="1899-12-30T00:00:00"/>
    <m/>
    <m/>
    <m/>
    <m/>
    <m/>
    <m/>
    <m/>
    <m/>
    <x v="0"/>
    <x v="0"/>
    <x v="0"/>
    <x v="22"/>
    <x v="5"/>
    <n v="2013"/>
    <n v="-208"/>
  </r>
  <r>
    <n v="2"/>
    <n v="2"/>
    <n v="5"/>
    <s v="PP"/>
    <x v="1"/>
    <x v="108"/>
    <d v="2013-11-14T00:00:00"/>
    <x v="3"/>
    <x v="3"/>
    <m/>
    <m/>
    <s v="-208,000"/>
    <d v="1899-12-30T00:00:00"/>
    <m/>
    <m/>
    <m/>
    <m/>
    <m/>
    <m/>
    <m/>
    <m/>
    <x v="0"/>
    <x v="0"/>
    <x v="0"/>
    <x v="22"/>
    <x v="5"/>
    <n v="2013"/>
    <n v="-208"/>
  </r>
  <r>
    <n v="2"/>
    <n v="1"/>
    <n v="7"/>
    <s v="PA"/>
    <x v="2"/>
    <x v="109"/>
    <d v="2013-11-15T00:00:00"/>
    <x v="4"/>
    <x v="5"/>
    <m/>
    <m/>
    <s v="11469,000"/>
    <d v="2013-11-15T00:00:00"/>
    <m/>
    <m/>
    <m/>
    <s v="SLHA"/>
    <m/>
    <m/>
    <m/>
    <m/>
    <x v="0"/>
    <x v="0"/>
    <x v="0"/>
    <x v="22"/>
    <x v="5"/>
    <n v="2013"/>
    <n v="11469"/>
  </r>
  <r>
    <n v="2"/>
    <n v="2"/>
    <n v="5"/>
    <s v="PP"/>
    <x v="1"/>
    <x v="109"/>
    <d v="2013-11-15T00:00:00"/>
    <x v="3"/>
    <x v="3"/>
    <m/>
    <m/>
    <s v="-208,000"/>
    <d v="1899-12-30T00:00:00"/>
    <m/>
    <m/>
    <m/>
    <m/>
    <m/>
    <m/>
    <m/>
    <m/>
    <x v="0"/>
    <x v="0"/>
    <x v="0"/>
    <x v="22"/>
    <x v="5"/>
    <n v="2013"/>
    <n v="-208"/>
  </r>
  <r>
    <n v="2"/>
    <n v="2"/>
    <n v="5"/>
    <s v="PP"/>
    <x v="1"/>
    <x v="110"/>
    <d v="2013-11-18T00:00:00"/>
    <x v="3"/>
    <x v="3"/>
    <m/>
    <m/>
    <s v="-204,000"/>
    <d v="1899-12-30T00:00:00"/>
    <m/>
    <m/>
    <m/>
    <m/>
    <m/>
    <m/>
    <m/>
    <m/>
    <x v="0"/>
    <x v="0"/>
    <x v="0"/>
    <x v="23"/>
    <x v="5"/>
    <n v="2013"/>
    <n v="-204"/>
  </r>
  <r>
    <n v="2"/>
    <n v="2"/>
    <n v="5"/>
    <s v="PP"/>
    <x v="1"/>
    <x v="111"/>
    <d v="2013-11-19T00:00:00"/>
    <x v="3"/>
    <x v="3"/>
    <m/>
    <m/>
    <s v="-204,000"/>
    <d v="1899-12-30T00:00:00"/>
    <m/>
    <m/>
    <m/>
    <m/>
    <m/>
    <m/>
    <m/>
    <m/>
    <x v="0"/>
    <x v="0"/>
    <x v="0"/>
    <x v="23"/>
    <x v="5"/>
    <n v="2013"/>
    <n v="-204"/>
  </r>
  <r>
    <n v="2"/>
    <n v="2"/>
    <n v="5"/>
    <s v="PP"/>
    <x v="1"/>
    <x v="112"/>
    <d v="2013-11-20T00:00:00"/>
    <x v="3"/>
    <x v="3"/>
    <m/>
    <m/>
    <s v="-204,000"/>
    <d v="1899-12-30T00:00:00"/>
    <m/>
    <m/>
    <m/>
    <m/>
    <m/>
    <m/>
    <m/>
    <m/>
    <x v="0"/>
    <x v="0"/>
    <x v="0"/>
    <x v="23"/>
    <x v="5"/>
    <n v="2013"/>
    <n v="-204"/>
  </r>
  <r>
    <n v="2"/>
    <n v="2"/>
    <n v="5"/>
    <s v="PP"/>
    <x v="1"/>
    <x v="113"/>
    <d v="2013-11-21T00:00:00"/>
    <x v="3"/>
    <x v="3"/>
    <m/>
    <m/>
    <s v="-204,000"/>
    <d v="1899-12-30T00:00:00"/>
    <m/>
    <m/>
    <m/>
    <m/>
    <m/>
    <m/>
    <m/>
    <m/>
    <x v="0"/>
    <x v="0"/>
    <x v="0"/>
    <x v="23"/>
    <x v="5"/>
    <n v="2013"/>
    <n v="-204"/>
  </r>
  <r>
    <n v="2"/>
    <n v="2"/>
    <n v="5"/>
    <s v="PP"/>
    <x v="1"/>
    <x v="114"/>
    <d v="2013-11-22T00:00:00"/>
    <x v="3"/>
    <x v="3"/>
    <m/>
    <m/>
    <s v="-204,000"/>
    <d v="1899-12-30T00:00:00"/>
    <m/>
    <m/>
    <m/>
    <m/>
    <m/>
    <m/>
    <m/>
    <m/>
    <x v="0"/>
    <x v="0"/>
    <x v="0"/>
    <x v="23"/>
    <x v="5"/>
    <n v="2013"/>
    <n v="-204"/>
  </r>
  <r>
    <n v="2"/>
    <n v="2"/>
    <n v="5"/>
    <s v="PP"/>
    <x v="1"/>
    <x v="115"/>
    <d v="2013-11-25T00:00:00"/>
    <x v="3"/>
    <x v="3"/>
    <m/>
    <m/>
    <s v="-292,000"/>
    <d v="1899-12-30T00:00:00"/>
    <m/>
    <m/>
    <m/>
    <m/>
    <m/>
    <m/>
    <m/>
    <m/>
    <x v="0"/>
    <x v="0"/>
    <x v="0"/>
    <x v="24"/>
    <x v="5"/>
    <n v="2013"/>
    <n v="-292"/>
  </r>
  <r>
    <n v="2"/>
    <n v="2"/>
    <n v="5"/>
    <s v="PP"/>
    <x v="1"/>
    <x v="116"/>
    <d v="2013-11-26T00:00:00"/>
    <x v="3"/>
    <x v="3"/>
    <m/>
    <m/>
    <s v="-292,000"/>
    <d v="1899-12-30T00:00:00"/>
    <m/>
    <m/>
    <m/>
    <m/>
    <m/>
    <m/>
    <m/>
    <m/>
    <x v="0"/>
    <x v="0"/>
    <x v="0"/>
    <x v="24"/>
    <x v="5"/>
    <n v="2013"/>
    <n v="-292"/>
  </r>
  <r>
    <n v="2"/>
    <n v="2"/>
    <n v="5"/>
    <s v="PP"/>
    <x v="1"/>
    <x v="117"/>
    <d v="2013-11-27T00:00:00"/>
    <x v="3"/>
    <x v="3"/>
    <m/>
    <m/>
    <s v="-292,000"/>
    <d v="1899-12-30T00:00:00"/>
    <m/>
    <m/>
    <m/>
    <m/>
    <m/>
    <m/>
    <m/>
    <m/>
    <x v="0"/>
    <x v="0"/>
    <x v="0"/>
    <x v="24"/>
    <x v="5"/>
    <n v="2013"/>
    <n v="-292"/>
  </r>
  <r>
    <n v="2"/>
    <n v="2"/>
    <n v="5"/>
    <s v="PP"/>
    <x v="1"/>
    <x v="118"/>
    <d v="2013-11-28T00:00:00"/>
    <x v="3"/>
    <x v="3"/>
    <m/>
    <m/>
    <s v="-292,000"/>
    <d v="1899-12-30T00:00:00"/>
    <m/>
    <m/>
    <m/>
    <m/>
    <m/>
    <m/>
    <m/>
    <m/>
    <x v="0"/>
    <x v="0"/>
    <x v="0"/>
    <x v="24"/>
    <x v="5"/>
    <n v="2013"/>
    <n v="-292"/>
  </r>
  <r>
    <n v="2"/>
    <n v="2"/>
    <n v="5"/>
    <s v="PP"/>
    <x v="1"/>
    <x v="119"/>
    <d v="2013-11-29T00:00:00"/>
    <x v="3"/>
    <x v="3"/>
    <m/>
    <m/>
    <s v="-292,000"/>
    <d v="1899-12-30T00:00:00"/>
    <m/>
    <m/>
    <m/>
    <m/>
    <m/>
    <m/>
    <m/>
    <m/>
    <x v="0"/>
    <x v="0"/>
    <x v="0"/>
    <x v="24"/>
    <x v="5"/>
    <n v="2013"/>
    <n v="-292"/>
  </r>
  <r>
    <n v="2"/>
    <n v="2"/>
    <n v="5"/>
    <s v="PP"/>
    <x v="1"/>
    <x v="120"/>
    <d v="2013-12-02T00:00:00"/>
    <x v="3"/>
    <x v="3"/>
    <m/>
    <m/>
    <s v="-294,000"/>
    <d v="1899-12-30T00:00:00"/>
    <m/>
    <m/>
    <m/>
    <m/>
    <m/>
    <m/>
    <m/>
    <m/>
    <x v="0"/>
    <x v="0"/>
    <x v="0"/>
    <x v="25"/>
    <x v="6"/>
    <n v="2013"/>
    <n v="-294"/>
  </r>
  <r>
    <n v="2"/>
    <n v="2"/>
    <n v="5"/>
    <s v="PP"/>
    <x v="1"/>
    <x v="121"/>
    <d v="2013-12-03T00:00:00"/>
    <x v="3"/>
    <x v="3"/>
    <m/>
    <m/>
    <s v="-294,000"/>
    <d v="1899-12-30T00:00:00"/>
    <m/>
    <m/>
    <m/>
    <m/>
    <m/>
    <m/>
    <m/>
    <m/>
    <x v="0"/>
    <x v="0"/>
    <x v="0"/>
    <x v="25"/>
    <x v="6"/>
    <n v="2013"/>
    <n v="-294"/>
  </r>
  <r>
    <n v="2"/>
    <n v="2"/>
    <n v="5"/>
    <s v="PP"/>
    <x v="1"/>
    <x v="122"/>
    <d v="2013-12-04T00:00:00"/>
    <x v="3"/>
    <x v="3"/>
    <m/>
    <m/>
    <s v="-294,000"/>
    <d v="1899-12-30T00:00:00"/>
    <m/>
    <m/>
    <m/>
    <m/>
    <m/>
    <m/>
    <m/>
    <m/>
    <x v="0"/>
    <x v="0"/>
    <x v="0"/>
    <x v="25"/>
    <x v="6"/>
    <n v="2013"/>
    <n v="-294"/>
  </r>
  <r>
    <n v="2"/>
    <n v="2"/>
    <n v="5"/>
    <s v="PP"/>
    <x v="1"/>
    <x v="123"/>
    <d v="2013-12-05T00:00:00"/>
    <x v="3"/>
    <x v="3"/>
    <m/>
    <m/>
    <s v="-294,000"/>
    <d v="1899-12-30T00:00:00"/>
    <m/>
    <m/>
    <m/>
    <m/>
    <m/>
    <m/>
    <m/>
    <m/>
    <x v="0"/>
    <x v="0"/>
    <x v="0"/>
    <x v="25"/>
    <x v="6"/>
    <n v="2013"/>
    <n v="-294"/>
  </r>
  <r>
    <n v="2"/>
    <n v="2"/>
    <n v="5"/>
    <s v="PP"/>
    <x v="1"/>
    <x v="124"/>
    <d v="2013-12-06T00:00:00"/>
    <x v="3"/>
    <x v="3"/>
    <m/>
    <m/>
    <s v="-294,000"/>
    <d v="1899-12-30T00:00:00"/>
    <m/>
    <m/>
    <m/>
    <m/>
    <m/>
    <m/>
    <m/>
    <m/>
    <x v="0"/>
    <x v="0"/>
    <x v="0"/>
    <x v="25"/>
    <x v="6"/>
    <n v="2013"/>
    <n v="-294"/>
  </r>
  <r>
    <n v="2"/>
    <n v="2"/>
    <n v="5"/>
    <s v="PP"/>
    <x v="1"/>
    <x v="125"/>
    <d v="2013-12-09T00:00:00"/>
    <x v="3"/>
    <x v="3"/>
    <m/>
    <m/>
    <s v="-294,000"/>
    <d v="1899-12-30T00:00:00"/>
    <m/>
    <m/>
    <m/>
    <m/>
    <m/>
    <m/>
    <m/>
    <m/>
    <x v="0"/>
    <x v="0"/>
    <x v="0"/>
    <x v="26"/>
    <x v="6"/>
    <n v="2013"/>
    <n v="-294"/>
  </r>
  <r>
    <n v="2"/>
    <n v="2"/>
    <n v="5"/>
    <s v="PP"/>
    <x v="1"/>
    <x v="126"/>
    <d v="2013-12-10T00:00:00"/>
    <x v="3"/>
    <x v="3"/>
    <m/>
    <m/>
    <s v="-294,000"/>
    <d v="1899-12-30T00:00:00"/>
    <m/>
    <m/>
    <m/>
    <m/>
    <m/>
    <m/>
    <m/>
    <m/>
    <x v="0"/>
    <x v="0"/>
    <x v="0"/>
    <x v="26"/>
    <x v="6"/>
    <n v="2013"/>
    <n v="-294"/>
  </r>
  <r>
    <n v="2"/>
    <n v="2"/>
    <n v="5"/>
    <s v="PP"/>
    <x v="1"/>
    <x v="127"/>
    <d v="2013-12-11T00:00:00"/>
    <x v="3"/>
    <x v="3"/>
    <m/>
    <m/>
    <s v="-294,000"/>
    <d v="1899-12-30T00:00:00"/>
    <m/>
    <m/>
    <m/>
    <m/>
    <m/>
    <m/>
    <m/>
    <m/>
    <x v="0"/>
    <x v="0"/>
    <x v="0"/>
    <x v="26"/>
    <x v="6"/>
    <n v="2013"/>
    <n v="-294"/>
  </r>
  <r>
    <n v="2"/>
    <n v="2"/>
    <n v="5"/>
    <s v="PP"/>
    <x v="1"/>
    <x v="128"/>
    <d v="2013-12-12T00:00:00"/>
    <x v="3"/>
    <x v="3"/>
    <m/>
    <m/>
    <s v="-294,000"/>
    <d v="1899-12-30T00:00:00"/>
    <m/>
    <m/>
    <m/>
    <m/>
    <m/>
    <m/>
    <m/>
    <m/>
    <x v="0"/>
    <x v="0"/>
    <x v="0"/>
    <x v="26"/>
    <x v="6"/>
    <n v="2013"/>
    <n v="-294"/>
  </r>
  <r>
    <n v="2"/>
    <n v="2"/>
    <n v="5"/>
    <s v="PP"/>
    <x v="1"/>
    <x v="129"/>
    <d v="2013-12-13T00:00:00"/>
    <x v="3"/>
    <x v="3"/>
    <m/>
    <m/>
    <s v="-294,000"/>
    <d v="1899-12-30T00:00:00"/>
    <m/>
    <m/>
    <m/>
    <m/>
    <m/>
    <m/>
    <m/>
    <m/>
    <x v="0"/>
    <x v="0"/>
    <x v="0"/>
    <x v="26"/>
    <x v="6"/>
    <n v="2013"/>
    <n v="-294"/>
  </r>
  <r>
    <n v="2"/>
    <n v="2"/>
    <n v="5"/>
    <s v="PP"/>
    <x v="1"/>
    <x v="130"/>
    <d v="2013-12-16T00:00:00"/>
    <x v="3"/>
    <x v="3"/>
    <m/>
    <m/>
    <s v="-294,000"/>
    <d v="1899-12-30T00:00:00"/>
    <m/>
    <m/>
    <m/>
    <m/>
    <m/>
    <m/>
    <m/>
    <m/>
    <x v="0"/>
    <x v="0"/>
    <x v="0"/>
    <x v="27"/>
    <x v="6"/>
    <n v="2013"/>
    <n v="-294"/>
  </r>
  <r>
    <n v="2"/>
    <n v="2"/>
    <n v="5"/>
    <s v="PP"/>
    <x v="1"/>
    <x v="131"/>
    <d v="2013-12-17T00:00:00"/>
    <x v="3"/>
    <x v="3"/>
    <m/>
    <m/>
    <s v="-294,000"/>
    <d v="1899-12-30T00:00:00"/>
    <m/>
    <m/>
    <m/>
    <m/>
    <m/>
    <m/>
    <m/>
    <m/>
    <x v="0"/>
    <x v="0"/>
    <x v="0"/>
    <x v="27"/>
    <x v="6"/>
    <n v="2013"/>
    <n v="-294"/>
  </r>
  <r>
    <n v="2"/>
    <n v="2"/>
    <n v="5"/>
    <s v="PP"/>
    <x v="1"/>
    <x v="132"/>
    <d v="2013-12-18T00:00:00"/>
    <x v="3"/>
    <x v="3"/>
    <m/>
    <m/>
    <s v="-294,000"/>
    <d v="1899-12-30T00:00:00"/>
    <m/>
    <m/>
    <m/>
    <m/>
    <m/>
    <m/>
    <m/>
    <m/>
    <x v="0"/>
    <x v="0"/>
    <x v="0"/>
    <x v="27"/>
    <x v="6"/>
    <n v="2013"/>
    <n v="-294"/>
  </r>
  <r>
    <n v="2"/>
    <n v="2"/>
    <n v="5"/>
    <s v="PP"/>
    <x v="1"/>
    <x v="133"/>
    <d v="2013-12-19T00:00:00"/>
    <x v="3"/>
    <x v="3"/>
    <m/>
    <m/>
    <s v="-294,000"/>
    <d v="1899-12-30T00:00:00"/>
    <m/>
    <m/>
    <m/>
    <m/>
    <m/>
    <m/>
    <m/>
    <m/>
    <x v="0"/>
    <x v="0"/>
    <x v="0"/>
    <x v="27"/>
    <x v="6"/>
    <n v="2013"/>
    <n v="-294"/>
  </r>
  <r>
    <n v="2"/>
    <n v="2"/>
    <n v="5"/>
    <s v="PP"/>
    <x v="1"/>
    <x v="134"/>
    <d v="2013-12-20T00:00:00"/>
    <x v="3"/>
    <x v="3"/>
    <m/>
    <m/>
    <s v="-294,000"/>
    <d v="1899-12-30T00:00:00"/>
    <m/>
    <m/>
    <m/>
    <m/>
    <m/>
    <m/>
    <m/>
    <m/>
    <x v="0"/>
    <x v="0"/>
    <x v="0"/>
    <x v="27"/>
    <x v="6"/>
    <n v="2013"/>
    <n v="-294"/>
  </r>
  <r>
    <n v="2"/>
    <n v="2"/>
    <n v="5"/>
    <s v="PP"/>
    <x v="1"/>
    <x v="135"/>
    <d v="2013-12-23T00:00:00"/>
    <x v="3"/>
    <x v="3"/>
    <m/>
    <m/>
    <s v="-445,000"/>
    <d v="1899-12-30T00:00:00"/>
    <m/>
    <m/>
    <m/>
    <m/>
    <m/>
    <m/>
    <m/>
    <m/>
    <x v="0"/>
    <x v="0"/>
    <x v="0"/>
    <x v="28"/>
    <x v="6"/>
    <n v="2013"/>
    <n v="-445"/>
  </r>
  <r>
    <n v="2"/>
    <n v="2"/>
    <n v="5"/>
    <s v="PP"/>
    <x v="1"/>
    <x v="136"/>
    <d v="2013-12-27T00:00:00"/>
    <x v="3"/>
    <x v="3"/>
    <m/>
    <m/>
    <s v="-445,000"/>
    <d v="1899-12-30T00:00:00"/>
    <m/>
    <m/>
    <m/>
    <m/>
    <m/>
    <m/>
    <m/>
    <m/>
    <x v="0"/>
    <x v="0"/>
    <x v="0"/>
    <x v="28"/>
    <x v="6"/>
    <n v="2013"/>
    <n v="-445"/>
  </r>
  <r>
    <n v="2"/>
    <n v="2"/>
    <n v="5"/>
    <s v="PP"/>
    <x v="1"/>
    <x v="137"/>
    <d v="2013-12-30T00:00:00"/>
    <x v="3"/>
    <x v="3"/>
    <m/>
    <m/>
    <s v="-220,000"/>
    <d v="1899-12-30T00:00:00"/>
    <m/>
    <m/>
    <m/>
    <m/>
    <m/>
    <m/>
    <m/>
    <m/>
    <x v="0"/>
    <x v="0"/>
    <x v="1"/>
    <x v="29"/>
    <x v="6"/>
    <n v="2013"/>
    <n v="-220"/>
  </r>
  <r>
    <n v="2"/>
    <n v="2"/>
    <n v="5"/>
    <s v="PP"/>
    <x v="1"/>
    <x v="138"/>
    <d v="2014-01-02T00:00:00"/>
    <x v="3"/>
    <x v="3"/>
    <m/>
    <m/>
    <s v="-220,000"/>
    <d v="1899-12-30T00:00:00"/>
    <m/>
    <m/>
    <m/>
    <m/>
    <m/>
    <m/>
    <m/>
    <m/>
    <x v="0"/>
    <x v="0"/>
    <x v="2"/>
    <x v="30"/>
    <x v="7"/>
    <n v="2014"/>
    <n v="-220"/>
  </r>
  <r>
    <n v="2"/>
    <n v="2"/>
    <n v="5"/>
    <s v="PP"/>
    <x v="1"/>
    <x v="139"/>
    <d v="2014-01-03T00:00:00"/>
    <x v="3"/>
    <x v="3"/>
    <m/>
    <m/>
    <s v="-220,000"/>
    <d v="1899-12-30T00:00:00"/>
    <m/>
    <m/>
    <m/>
    <m/>
    <m/>
    <m/>
    <m/>
    <m/>
    <x v="0"/>
    <x v="0"/>
    <x v="3"/>
    <x v="30"/>
    <x v="7"/>
    <n v="2014"/>
    <n v="-220"/>
  </r>
  <r>
    <n v="2"/>
    <n v="2"/>
    <n v="5"/>
    <s v="PP"/>
    <x v="1"/>
    <x v="140"/>
    <d v="2014-01-06T00:00:00"/>
    <x v="3"/>
    <x v="3"/>
    <m/>
    <m/>
    <s v="-192,000"/>
    <d v="1899-12-30T00:00:00"/>
    <m/>
    <m/>
    <m/>
    <m/>
    <m/>
    <m/>
    <m/>
    <m/>
    <x v="0"/>
    <x v="0"/>
    <x v="4"/>
    <x v="31"/>
    <x v="7"/>
    <n v="2014"/>
    <n v="-192"/>
  </r>
  <r>
    <n v="2"/>
    <n v="2"/>
    <n v="5"/>
    <s v="PP"/>
    <x v="1"/>
    <x v="141"/>
    <d v="2014-01-07T00:00:00"/>
    <x v="3"/>
    <x v="3"/>
    <m/>
    <m/>
    <s v="-192,000"/>
    <d v="1899-12-30T00:00:00"/>
    <m/>
    <m/>
    <m/>
    <m/>
    <m/>
    <m/>
    <m/>
    <m/>
    <x v="0"/>
    <x v="0"/>
    <x v="5"/>
    <x v="31"/>
    <x v="7"/>
    <n v="2014"/>
    <n v="-192"/>
  </r>
  <r>
    <n v="2"/>
    <n v="2"/>
    <n v="5"/>
    <s v="PP"/>
    <x v="1"/>
    <x v="142"/>
    <d v="2014-01-08T00:00:00"/>
    <x v="3"/>
    <x v="3"/>
    <m/>
    <m/>
    <s v="-192,000"/>
    <d v="1899-12-30T00:00:00"/>
    <m/>
    <m/>
    <m/>
    <m/>
    <m/>
    <m/>
    <m/>
    <m/>
    <x v="0"/>
    <x v="0"/>
    <x v="6"/>
    <x v="31"/>
    <x v="7"/>
    <n v="2014"/>
    <n v="-192"/>
  </r>
  <r>
    <n v="2"/>
    <n v="2"/>
    <n v="5"/>
    <s v="PP"/>
    <x v="1"/>
    <x v="143"/>
    <d v="2014-01-09T00:00:00"/>
    <x v="3"/>
    <x v="3"/>
    <m/>
    <m/>
    <s v="-192,000"/>
    <d v="1899-12-30T00:00:00"/>
    <m/>
    <m/>
    <m/>
    <m/>
    <m/>
    <m/>
    <m/>
    <m/>
    <x v="0"/>
    <x v="0"/>
    <x v="7"/>
    <x v="31"/>
    <x v="7"/>
    <n v="2014"/>
    <n v="-192"/>
  </r>
  <r>
    <n v="2"/>
    <n v="2"/>
    <n v="5"/>
    <s v="PP"/>
    <x v="1"/>
    <x v="144"/>
    <d v="2014-01-10T00:00:00"/>
    <x v="3"/>
    <x v="3"/>
    <m/>
    <m/>
    <s v="-192,000"/>
    <d v="1899-12-30T00:00:00"/>
    <m/>
    <m/>
    <m/>
    <m/>
    <m/>
    <m/>
    <m/>
    <m/>
    <x v="0"/>
    <x v="0"/>
    <x v="8"/>
    <x v="31"/>
    <x v="7"/>
    <n v="2014"/>
    <n v="-192"/>
  </r>
  <r>
    <n v="2"/>
    <n v="2"/>
    <n v="5"/>
    <s v="PP"/>
    <x v="1"/>
    <x v="145"/>
    <d v="2014-01-13T00:00:00"/>
    <x v="3"/>
    <x v="3"/>
    <m/>
    <m/>
    <s v="-192,000"/>
    <d v="1899-12-30T00:00:00"/>
    <m/>
    <m/>
    <m/>
    <m/>
    <m/>
    <m/>
    <m/>
    <m/>
    <x v="0"/>
    <x v="0"/>
    <x v="9"/>
    <x v="32"/>
    <x v="7"/>
    <n v="2014"/>
    <n v="-192"/>
  </r>
  <r>
    <n v="2"/>
    <n v="2"/>
    <n v="5"/>
    <s v="PP"/>
    <x v="1"/>
    <x v="146"/>
    <d v="2014-01-14T00:00:00"/>
    <x v="3"/>
    <x v="3"/>
    <m/>
    <m/>
    <s v="-192,000"/>
    <d v="1899-12-30T00:00:00"/>
    <m/>
    <m/>
    <m/>
    <m/>
    <m/>
    <m/>
    <m/>
    <m/>
    <x v="0"/>
    <x v="0"/>
    <x v="10"/>
    <x v="32"/>
    <x v="7"/>
    <n v="2014"/>
    <n v="-192"/>
  </r>
  <r>
    <n v="2"/>
    <n v="2"/>
    <n v="5"/>
    <s v="PP"/>
    <x v="1"/>
    <x v="147"/>
    <d v="2014-01-15T00:00:00"/>
    <x v="3"/>
    <x v="3"/>
    <m/>
    <m/>
    <s v="-192,000"/>
    <d v="1899-12-30T00:00:00"/>
    <m/>
    <m/>
    <m/>
    <m/>
    <m/>
    <m/>
    <m/>
    <m/>
    <x v="0"/>
    <x v="0"/>
    <x v="11"/>
    <x v="32"/>
    <x v="7"/>
    <n v="2014"/>
    <n v="-192"/>
  </r>
  <r>
    <n v="2"/>
    <n v="2"/>
    <n v="5"/>
    <s v="PP"/>
    <x v="1"/>
    <x v="148"/>
    <d v="2014-01-16T00:00:00"/>
    <x v="3"/>
    <x v="3"/>
    <m/>
    <m/>
    <s v="-192,000"/>
    <d v="1899-12-30T00:00:00"/>
    <m/>
    <m/>
    <m/>
    <m/>
    <m/>
    <m/>
    <m/>
    <m/>
    <x v="0"/>
    <x v="0"/>
    <x v="12"/>
    <x v="32"/>
    <x v="7"/>
    <n v="2014"/>
    <n v="-192"/>
  </r>
  <r>
    <n v="2"/>
    <n v="2"/>
    <n v="5"/>
    <s v="PP"/>
    <x v="1"/>
    <x v="149"/>
    <d v="2014-01-17T00:00:00"/>
    <x v="3"/>
    <x v="3"/>
    <m/>
    <m/>
    <s v="-192,000"/>
    <d v="1899-12-30T00:00:00"/>
    <m/>
    <m/>
    <m/>
    <m/>
    <m/>
    <m/>
    <m/>
    <m/>
    <x v="0"/>
    <x v="0"/>
    <x v="13"/>
    <x v="32"/>
    <x v="7"/>
    <n v="2014"/>
    <n v="-192"/>
  </r>
  <r>
    <n v="2"/>
    <n v="2"/>
    <n v="5"/>
    <s v="PP"/>
    <x v="1"/>
    <x v="150"/>
    <d v="2014-01-20T00:00:00"/>
    <x v="3"/>
    <x v="3"/>
    <m/>
    <m/>
    <s v="-194,000"/>
    <d v="1899-12-30T00:00:00"/>
    <m/>
    <m/>
    <m/>
    <m/>
    <m/>
    <m/>
    <m/>
    <m/>
    <x v="0"/>
    <x v="0"/>
    <x v="14"/>
    <x v="33"/>
    <x v="7"/>
    <n v="2014"/>
    <n v="-194"/>
  </r>
  <r>
    <n v="2"/>
    <n v="2"/>
    <n v="5"/>
    <s v="PP"/>
    <x v="1"/>
    <x v="151"/>
    <d v="2014-01-21T00:00:00"/>
    <x v="3"/>
    <x v="3"/>
    <m/>
    <m/>
    <s v="-194,000"/>
    <d v="1899-12-30T00:00:00"/>
    <m/>
    <m/>
    <m/>
    <m/>
    <m/>
    <m/>
    <m/>
    <m/>
    <x v="0"/>
    <x v="0"/>
    <x v="15"/>
    <x v="33"/>
    <x v="7"/>
    <n v="2014"/>
    <n v="-194"/>
  </r>
  <r>
    <n v="2"/>
    <n v="2"/>
    <n v="5"/>
    <s v="PP"/>
    <x v="1"/>
    <x v="152"/>
    <d v="2014-01-22T00:00:00"/>
    <x v="3"/>
    <x v="3"/>
    <m/>
    <m/>
    <s v="-194,000"/>
    <d v="1899-12-30T00:00:00"/>
    <m/>
    <m/>
    <m/>
    <m/>
    <m/>
    <m/>
    <m/>
    <m/>
    <x v="0"/>
    <x v="0"/>
    <x v="16"/>
    <x v="33"/>
    <x v="7"/>
    <n v="2014"/>
    <n v="-194"/>
  </r>
  <r>
    <n v="2"/>
    <n v="2"/>
    <n v="5"/>
    <s v="PP"/>
    <x v="1"/>
    <x v="153"/>
    <d v="2014-01-23T00:00:00"/>
    <x v="3"/>
    <x v="3"/>
    <m/>
    <m/>
    <s v="-194,000"/>
    <d v="1899-12-30T00:00:00"/>
    <m/>
    <m/>
    <m/>
    <m/>
    <m/>
    <m/>
    <m/>
    <m/>
    <x v="0"/>
    <x v="0"/>
    <x v="17"/>
    <x v="33"/>
    <x v="7"/>
    <n v="2014"/>
    <n v="-194"/>
  </r>
  <r>
    <n v="2"/>
    <n v="1"/>
    <n v="7"/>
    <s v="PA"/>
    <x v="2"/>
    <x v="154"/>
    <d v="2014-01-24T00:00:00"/>
    <x v="4"/>
    <x v="6"/>
    <m/>
    <m/>
    <s v="15819,000"/>
    <d v="2014-01-24T00:00:00"/>
    <m/>
    <m/>
    <m/>
    <s v="SLHA"/>
    <m/>
    <m/>
    <m/>
    <m/>
    <x v="0"/>
    <x v="0"/>
    <x v="18"/>
    <x v="33"/>
    <x v="7"/>
    <n v="2014"/>
    <n v="15819"/>
  </r>
  <r>
    <n v="2"/>
    <n v="2"/>
    <n v="5"/>
    <s v="PP"/>
    <x v="1"/>
    <x v="154"/>
    <d v="2014-01-24T00:00:00"/>
    <x v="3"/>
    <x v="3"/>
    <m/>
    <m/>
    <s v="-194,000"/>
    <d v="1899-12-30T00:00:00"/>
    <m/>
    <m/>
    <m/>
    <m/>
    <m/>
    <m/>
    <m/>
    <m/>
    <x v="0"/>
    <x v="0"/>
    <x v="18"/>
    <x v="33"/>
    <x v="7"/>
    <n v="2014"/>
    <n v="-194"/>
  </r>
  <r>
    <n v="2"/>
    <n v="2"/>
    <n v="5"/>
    <s v="PP"/>
    <x v="1"/>
    <x v="155"/>
    <d v="2014-01-27T00:00:00"/>
    <x v="3"/>
    <x v="3"/>
    <m/>
    <m/>
    <s v="-190,000"/>
    <d v="1899-12-30T00:00:00"/>
    <m/>
    <m/>
    <m/>
    <m/>
    <m/>
    <m/>
    <m/>
    <m/>
    <x v="0"/>
    <x v="0"/>
    <x v="19"/>
    <x v="34"/>
    <x v="7"/>
    <n v="2014"/>
    <n v="-190"/>
  </r>
  <r>
    <n v="2"/>
    <n v="2"/>
    <n v="5"/>
    <s v="PP"/>
    <x v="1"/>
    <x v="156"/>
    <d v="2014-01-28T00:00:00"/>
    <x v="3"/>
    <x v="3"/>
    <m/>
    <m/>
    <s v="-190,000"/>
    <d v="1899-12-30T00:00:00"/>
    <m/>
    <m/>
    <m/>
    <m/>
    <m/>
    <m/>
    <m/>
    <m/>
    <x v="0"/>
    <x v="0"/>
    <x v="20"/>
    <x v="34"/>
    <x v="7"/>
    <n v="2014"/>
    <n v="-190"/>
  </r>
  <r>
    <n v="2"/>
    <n v="2"/>
    <n v="5"/>
    <s v="PP"/>
    <x v="1"/>
    <x v="157"/>
    <d v="2014-01-29T00:00:00"/>
    <x v="3"/>
    <x v="3"/>
    <m/>
    <m/>
    <s v="-190,000"/>
    <d v="1899-12-30T00:00:00"/>
    <m/>
    <m/>
    <m/>
    <m/>
    <m/>
    <m/>
    <m/>
    <m/>
    <x v="0"/>
    <x v="0"/>
    <x v="21"/>
    <x v="34"/>
    <x v="7"/>
    <n v="2014"/>
    <n v="-190"/>
  </r>
  <r>
    <n v="2"/>
    <n v="2"/>
    <n v="5"/>
    <s v="PP"/>
    <x v="1"/>
    <x v="158"/>
    <d v="2014-01-30T00:00:00"/>
    <x v="3"/>
    <x v="3"/>
    <m/>
    <m/>
    <s v="-190,000"/>
    <d v="1899-12-30T00:00:00"/>
    <m/>
    <m/>
    <m/>
    <m/>
    <m/>
    <m/>
    <m/>
    <m/>
    <x v="0"/>
    <x v="0"/>
    <x v="22"/>
    <x v="34"/>
    <x v="7"/>
    <n v="2014"/>
    <n v="-190"/>
  </r>
  <r>
    <n v="2"/>
    <n v="2"/>
    <n v="5"/>
    <s v="PP"/>
    <x v="1"/>
    <x v="159"/>
    <d v="2014-01-31T00:00:00"/>
    <x v="3"/>
    <x v="3"/>
    <m/>
    <m/>
    <s v="-190,000"/>
    <d v="1899-12-30T00:00:00"/>
    <m/>
    <m/>
    <m/>
    <m/>
    <m/>
    <m/>
    <m/>
    <m/>
    <x v="0"/>
    <x v="0"/>
    <x v="23"/>
    <x v="34"/>
    <x v="7"/>
    <n v="2014"/>
    <n v="-190"/>
  </r>
  <r>
    <n v="2"/>
    <n v="2"/>
    <n v="5"/>
    <s v="PP"/>
    <x v="1"/>
    <x v="160"/>
    <d v="2014-02-03T00:00:00"/>
    <x v="3"/>
    <x v="3"/>
    <m/>
    <m/>
    <s v="-586,000"/>
    <d v="1899-12-30T00:00:00"/>
    <m/>
    <m/>
    <m/>
    <m/>
    <m/>
    <m/>
    <m/>
    <m/>
    <x v="0"/>
    <x v="0"/>
    <x v="24"/>
    <x v="35"/>
    <x v="8"/>
    <n v="2014"/>
    <n v="-586"/>
  </r>
  <r>
    <n v="2"/>
    <n v="2"/>
    <n v="5"/>
    <s v="PP"/>
    <x v="1"/>
    <x v="161"/>
    <d v="2014-02-04T00:00:00"/>
    <x v="3"/>
    <x v="3"/>
    <m/>
    <m/>
    <s v="-586,000"/>
    <d v="1899-12-30T00:00:00"/>
    <m/>
    <m/>
    <m/>
    <m/>
    <m/>
    <m/>
    <m/>
    <m/>
    <x v="0"/>
    <x v="0"/>
    <x v="25"/>
    <x v="35"/>
    <x v="8"/>
    <n v="2014"/>
    <n v="-586"/>
  </r>
  <r>
    <n v="2"/>
    <n v="2"/>
    <n v="5"/>
    <s v="PP"/>
    <x v="1"/>
    <x v="162"/>
    <d v="2014-02-05T00:00:00"/>
    <x v="3"/>
    <x v="3"/>
    <m/>
    <m/>
    <s v="-586,000"/>
    <d v="1899-12-30T00:00:00"/>
    <m/>
    <m/>
    <m/>
    <m/>
    <m/>
    <m/>
    <m/>
    <m/>
    <x v="0"/>
    <x v="0"/>
    <x v="26"/>
    <x v="35"/>
    <x v="8"/>
    <n v="2014"/>
    <n v="-586"/>
  </r>
  <r>
    <n v="2"/>
    <n v="2"/>
    <n v="5"/>
    <s v="PP"/>
    <x v="1"/>
    <x v="163"/>
    <d v="2014-02-06T00:00:00"/>
    <x v="3"/>
    <x v="3"/>
    <m/>
    <m/>
    <s v="-586,000"/>
    <d v="1899-12-30T00:00:00"/>
    <m/>
    <m/>
    <m/>
    <m/>
    <m/>
    <m/>
    <m/>
    <m/>
    <x v="0"/>
    <x v="0"/>
    <x v="27"/>
    <x v="35"/>
    <x v="8"/>
    <n v="2014"/>
    <n v="-586"/>
  </r>
  <r>
    <n v="2"/>
    <n v="2"/>
    <n v="5"/>
    <s v="PP"/>
    <x v="1"/>
    <x v="164"/>
    <d v="2014-02-07T00:00:00"/>
    <x v="3"/>
    <x v="3"/>
    <m/>
    <m/>
    <s v="-586,000"/>
    <d v="1899-12-30T00:00:00"/>
    <m/>
    <m/>
    <m/>
    <m/>
    <m/>
    <m/>
    <m/>
    <m/>
    <x v="0"/>
    <x v="0"/>
    <x v="28"/>
    <x v="35"/>
    <x v="8"/>
    <n v="2014"/>
    <n v="-586"/>
  </r>
  <r>
    <n v="2"/>
    <n v="2"/>
    <n v="5"/>
    <s v="PP"/>
    <x v="1"/>
    <x v="165"/>
    <d v="2014-02-10T00:00:00"/>
    <x v="3"/>
    <x v="3"/>
    <m/>
    <m/>
    <s v="-584,000"/>
    <d v="1899-12-30T00:00:00"/>
    <m/>
    <m/>
    <m/>
    <m/>
    <m/>
    <m/>
    <m/>
    <m/>
    <x v="0"/>
    <x v="0"/>
    <x v="29"/>
    <x v="36"/>
    <x v="8"/>
    <n v="2014"/>
    <n v="-584"/>
  </r>
  <r>
    <n v="2"/>
    <n v="2"/>
    <n v="5"/>
    <s v="PP"/>
    <x v="1"/>
    <x v="166"/>
    <d v="2014-02-11T00:00:00"/>
    <x v="3"/>
    <x v="3"/>
    <m/>
    <m/>
    <s v="-584,000"/>
    <d v="1899-12-30T00:00:00"/>
    <m/>
    <m/>
    <m/>
    <m/>
    <m/>
    <m/>
    <m/>
    <m/>
    <x v="0"/>
    <x v="0"/>
    <x v="30"/>
    <x v="36"/>
    <x v="8"/>
    <n v="2014"/>
    <n v="-584"/>
  </r>
  <r>
    <n v="2"/>
    <n v="2"/>
    <n v="5"/>
    <s v="PP"/>
    <x v="1"/>
    <x v="167"/>
    <d v="2014-02-12T00:00:00"/>
    <x v="3"/>
    <x v="3"/>
    <m/>
    <m/>
    <s v="-584,000"/>
    <d v="1899-12-30T00:00:00"/>
    <m/>
    <m/>
    <m/>
    <m/>
    <m/>
    <m/>
    <m/>
    <m/>
    <x v="0"/>
    <x v="0"/>
    <x v="31"/>
    <x v="36"/>
    <x v="8"/>
    <n v="2014"/>
    <n v="-584"/>
  </r>
  <r>
    <n v="2"/>
    <n v="2"/>
    <n v="5"/>
    <s v="PP"/>
    <x v="1"/>
    <x v="168"/>
    <d v="2014-02-13T00:00:00"/>
    <x v="3"/>
    <x v="3"/>
    <m/>
    <m/>
    <s v="-584,000"/>
    <d v="1899-12-30T00:00:00"/>
    <m/>
    <m/>
    <m/>
    <m/>
    <m/>
    <m/>
    <m/>
    <m/>
    <x v="0"/>
    <x v="0"/>
    <x v="32"/>
    <x v="36"/>
    <x v="8"/>
    <n v="2014"/>
    <n v="-584"/>
  </r>
  <r>
    <n v="2"/>
    <n v="2"/>
    <n v="5"/>
    <s v="PP"/>
    <x v="1"/>
    <x v="169"/>
    <d v="2014-02-14T00:00:00"/>
    <x v="3"/>
    <x v="3"/>
    <m/>
    <m/>
    <s v="-584,000"/>
    <d v="1899-12-30T00:00:00"/>
    <m/>
    <m/>
    <m/>
    <m/>
    <m/>
    <m/>
    <m/>
    <m/>
    <x v="0"/>
    <x v="0"/>
    <x v="33"/>
    <x v="36"/>
    <x v="8"/>
    <n v="2014"/>
    <n v="-584"/>
  </r>
  <r>
    <n v="2"/>
    <n v="2"/>
    <n v="5"/>
    <s v="PP"/>
    <x v="1"/>
    <x v="170"/>
    <d v="2014-02-17T00:00:00"/>
    <x v="3"/>
    <x v="3"/>
    <m/>
    <m/>
    <s v="-586,000"/>
    <d v="1899-12-30T00:00:00"/>
    <m/>
    <m/>
    <m/>
    <m/>
    <m/>
    <m/>
    <m/>
    <m/>
    <x v="0"/>
    <x v="0"/>
    <x v="34"/>
    <x v="37"/>
    <x v="8"/>
    <n v="2014"/>
    <n v="-586"/>
  </r>
  <r>
    <n v="2"/>
    <n v="2"/>
    <n v="5"/>
    <s v="PP"/>
    <x v="1"/>
    <x v="171"/>
    <d v="2014-02-18T00:00:00"/>
    <x v="3"/>
    <x v="3"/>
    <m/>
    <m/>
    <s v="-586,000"/>
    <d v="1899-12-30T00:00:00"/>
    <m/>
    <m/>
    <m/>
    <m/>
    <m/>
    <m/>
    <m/>
    <m/>
    <x v="0"/>
    <x v="0"/>
    <x v="35"/>
    <x v="37"/>
    <x v="8"/>
    <n v="2014"/>
    <n v="-586"/>
  </r>
  <r>
    <n v="2"/>
    <n v="2"/>
    <n v="5"/>
    <s v="PP"/>
    <x v="1"/>
    <x v="172"/>
    <d v="2014-02-19T00:00:00"/>
    <x v="3"/>
    <x v="3"/>
    <m/>
    <m/>
    <s v="-586,000"/>
    <d v="1899-12-30T00:00:00"/>
    <m/>
    <m/>
    <m/>
    <m/>
    <m/>
    <m/>
    <m/>
    <m/>
    <x v="0"/>
    <x v="0"/>
    <x v="36"/>
    <x v="37"/>
    <x v="8"/>
    <n v="2014"/>
    <n v="-586"/>
  </r>
  <r>
    <n v="2"/>
    <n v="2"/>
    <n v="5"/>
    <s v="PP"/>
    <x v="1"/>
    <x v="173"/>
    <d v="2014-02-20T00:00:00"/>
    <x v="3"/>
    <x v="3"/>
    <m/>
    <m/>
    <s v="-586,000"/>
    <d v="1899-12-30T00:00:00"/>
    <m/>
    <m/>
    <m/>
    <m/>
    <m/>
    <m/>
    <m/>
    <m/>
    <x v="0"/>
    <x v="0"/>
    <x v="37"/>
    <x v="37"/>
    <x v="8"/>
    <n v="2014"/>
    <n v="-586"/>
  </r>
  <r>
    <n v="2"/>
    <n v="2"/>
    <n v="5"/>
    <s v="PP"/>
    <x v="1"/>
    <x v="174"/>
    <d v="2014-02-21T00:00:00"/>
    <x v="3"/>
    <x v="3"/>
    <m/>
    <m/>
    <s v="-586,000"/>
    <d v="1899-12-30T00:00:00"/>
    <m/>
    <m/>
    <m/>
    <m/>
    <m/>
    <m/>
    <m/>
    <m/>
    <x v="0"/>
    <x v="0"/>
    <x v="38"/>
    <x v="37"/>
    <x v="8"/>
    <n v="2014"/>
    <n v="-586"/>
  </r>
  <r>
    <n v="2"/>
    <n v="2"/>
    <n v="5"/>
    <s v="PP"/>
    <x v="1"/>
    <x v="175"/>
    <d v="2014-02-24T00:00:00"/>
    <x v="3"/>
    <x v="3"/>
    <m/>
    <m/>
    <s v="-584,000"/>
    <d v="1899-12-30T00:00:00"/>
    <m/>
    <m/>
    <m/>
    <m/>
    <m/>
    <m/>
    <m/>
    <m/>
    <x v="0"/>
    <x v="0"/>
    <x v="39"/>
    <x v="38"/>
    <x v="8"/>
    <n v="2014"/>
    <n v="-584"/>
  </r>
  <r>
    <n v="2"/>
    <n v="2"/>
    <n v="5"/>
    <s v="PP"/>
    <x v="1"/>
    <x v="176"/>
    <d v="2014-02-25T00:00:00"/>
    <x v="3"/>
    <x v="3"/>
    <m/>
    <m/>
    <s v="-584,000"/>
    <d v="1899-12-30T00:00:00"/>
    <m/>
    <m/>
    <m/>
    <m/>
    <m/>
    <m/>
    <m/>
    <m/>
    <x v="0"/>
    <x v="0"/>
    <x v="40"/>
    <x v="38"/>
    <x v="8"/>
    <n v="2014"/>
    <n v="-584"/>
  </r>
  <r>
    <n v="2"/>
    <n v="2"/>
    <n v="5"/>
    <s v="PP"/>
    <x v="1"/>
    <x v="177"/>
    <d v="2014-02-26T00:00:00"/>
    <x v="3"/>
    <x v="3"/>
    <m/>
    <m/>
    <s v="-584,000"/>
    <d v="1899-12-30T00:00:00"/>
    <m/>
    <m/>
    <m/>
    <m/>
    <m/>
    <m/>
    <m/>
    <m/>
    <x v="0"/>
    <x v="0"/>
    <x v="41"/>
    <x v="38"/>
    <x v="8"/>
    <n v="2014"/>
    <n v="-584"/>
  </r>
  <r>
    <n v="2"/>
    <n v="2"/>
    <n v="5"/>
    <s v="PP"/>
    <x v="1"/>
    <x v="178"/>
    <d v="2014-02-27T00:00:00"/>
    <x v="3"/>
    <x v="3"/>
    <m/>
    <m/>
    <s v="-584,000"/>
    <d v="1899-12-30T00:00:00"/>
    <m/>
    <m/>
    <m/>
    <m/>
    <m/>
    <m/>
    <m/>
    <m/>
    <x v="0"/>
    <x v="0"/>
    <x v="42"/>
    <x v="38"/>
    <x v="8"/>
    <n v="2014"/>
    <n v="-584"/>
  </r>
  <r>
    <n v="2"/>
    <n v="2"/>
    <n v="5"/>
    <s v="PP"/>
    <x v="1"/>
    <x v="179"/>
    <d v="2014-02-28T00:00:00"/>
    <x v="3"/>
    <x v="3"/>
    <m/>
    <m/>
    <s v="-584,000"/>
    <d v="1899-12-30T00:00:00"/>
    <m/>
    <m/>
    <m/>
    <m/>
    <m/>
    <m/>
    <m/>
    <m/>
    <x v="0"/>
    <x v="0"/>
    <x v="43"/>
    <x v="38"/>
    <x v="8"/>
    <n v="2014"/>
    <n v="-584"/>
  </r>
  <r>
    <n v="2"/>
    <n v="2"/>
    <n v="5"/>
    <s v="PP"/>
    <x v="1"/>
    <x v="180"/>
    <d v="2014-03-03T00:00:00"/>
    <x v="3"/>
    <x v="3"/>
    <m/>
    <m/>
    <s v="-180,000"/>
    <d v="1899-12-30T00:00:00"/>
    <m/>
    <m/>
    <m/>
    <m/>
    <m/>
    <m/>
    <m/>
    <m/>
    <x v="0"/>
    <x v="0"/>
    <x v="44"/>
    <x v="39"/>
    <x v="9"/>
    <n v="2014"/>
    <n v="-180"/>
  </r>
  <r>
    <n v="2"/>
    <n v="2"/>
    <n v="5"/>
    <s v="PP"/>
    <x v="1"/>
    <x v="181"/>
    <d v="2014-03-04T00:00:00"/>
    <x v="3"/>
    <x v="3"/>
    <m/>
    <m/>
    <s v="-180,000"/>
    <d v="1899-12-30T00:00:00"/>
    <m/>
    <m/>
    <m/>
    <m/>
    <m/>
    <m/>
    <m/>
    <m/>
    <x v="0"/>
    <x v="0"/>
    <x v="45"/>
    <x v="39"/>
    <x v="9"/>
    <n v="2014"/>
    <n v="-180"/>
  </r>
  <r>
    <n v="2"/>
    <n v="2"/>
    <n v="5"/>
    <s v="PP"/>
    <x v="1"/>
    <x v="182"/>
    <d v="2014-03-05T00:00:00"/>
    <x v="3"/>
    <x v="3"/>
    <m/>
    <m/>
    <s v="-180,000"/>
    <d v="1899-12-30T00:00:00"/>
    <m/>
    <m/>
    <m/>
    <m/>
    <m/>
    <m/>
    <m/>
    <m/>
    <x v="0"/>
    <x v="0"/>
    <x v="46"/>
    <x v="39"/>
    <x v="9"/>
    <n v="2014"/>
    <n v="-180"/>
  </r>
  <r>
    <n v="2"/>
    <n v="2"/>
    <n v="5"/>
    <s v="PP"/>
    <x v="1"/>
    <x v="183"/>
    <d v="2014-03-06T00:00:00"/>
    <x v="3"/>
    <x v="3"/>
    <m/>
    <m/>
    <s v="-180,000"/>
    <d v="1899-12-30T00:00:00"/>
    <m/>
    <m/>
    <m/>
    <m/>
    <m/>
    <m/>
    <m/>
    <m/>
    <x v="0"/>
    <x v="0"/>
    <x v="47"/>
    <x v="39"/>
    <x v="9"/>
    <n v="2014"/>
    <n v="-180"/>
  </r>
  <r>
    <n v="2"/>
    <n v="2"/>
    <n v="5"/>
    <s v="PP"/>
    <x v="1"/>
    <x v="184"/>
    <d v="2014-03-07T00:00:00"/>
    <x v="3"/>
    <x v="3"/>
    <m/>
    <m/>
    <s v="-180,000"/>
    <d v="1899-12-30T00:00:00"/>
    <m/>
    <m/>
    <m/>
    <m/>
    <m/>
    <m/>
    <m/>
    <m/>
    <x v="0"/>
    <x v="0"/>
    <x v="48"/>
    <x v="39"/>
    <x v="9"/>
    <n v="2014"/>
    <n v="-180"/>
  </r>
  <r>
    <n v="2"/>
    <n v="2"/>
    <n v="5"/>
    <s v="PP"/>
    <x v="1"/>
    <x v="185"/>
    <d v="2014-03-10T00:00:00"/>
    <x v="3"/>
    <x v="3"/>
    <m/>
    <m/>
    <s v="-182,000"/>
    <d v="1899-12-30T00:00:00"/>
    <m/>
    <m/>
    <m/>
    <m/>
    <m/>
    <m/>
    <m/>
    <m/>
    <x v="0"/>
    <x v="0"/>
    <x v="49"/>
    <x v="40"/>
    <x v="9"/>
    <n v="2014"/>
    <n v="-182"/>
  </r>
  <r>
    <n v="2"/>
    <n v="2"/>
    <n v="5"/>
    <s v="PP"/>
    <x v="1"/>
    <x v="186"/>
    <d v="2014-03-11T00:00:00"/>
    <x v="3"/>
    <x v="3"/>
    <m/>
    <m/>
    <s v="-182,000"/>
    <d v="1899-12-30T00:00:00"/>
    <m/>
    <m/>
    <m/>
    <m/>
    <m/>
    <m/>
    <m/>
    <m/>
    <x v="0"/>
    <x v="0"/>
    <x v="50"/>
    <x v="40"/>
    <x v="9"/>
    <n v="2014"/>
    <n v="-182"/>
  </r>
  <r>
    <n v="2"/>
    <n v="2"/>
    <n v="5"/>
    <s v="PP"/>
    <x v="1"/>
    <x v="187"/>
    <d v="2014-03-12T00:00:00"/>
    <x v="3"/>
    <x v="3"/>
    <m/>
    <m/>
    <s v="-182,000"/>
    <d v="1899-12-30T00:00:00"/>
    <m/>
    <m/>
    <m/>
    <m/>
    <m/>
    <m/>
    <m/>
    <m/>
    <x v="0"/>
    <x v="0"/>
    <x v="51"/>
    <x v="40"/>
    <x v="9"/>
    <n v="2014"/>
    <n v="-182"/>
  </r>
  <r>
    <n v="2"/>
    <n v="2"/>
    <n v="5"/>
    <s v="PP"/>
    <x v="1"/>
    <x v="188"/>
    <d v="2014-03-13T00:00:00"/>
    <x v="3"/>
    <x v="3"/>
    <m/>
    <m/>
    <s v="-182,000"/>
    <d v="1899-12-30T00:00:00"/>
    <m/>
    <m/>
    <m/>
    <m/>
    <m/>
    <m/>
    <m/>
    <m/>
    <x v="0"/>
    <x v="0"/>
    <x v="52"/>
    <x v="40"/>
    <x v="9"/>
    <n v="2014"/>
    <n v="-182"/>
  </r>
  <r>
    <n v="2"/>
    <n v="2"/>
    <n v="5"/>
    <s v="PP"/>
    <x v="1"/>
    <x v="189"/>
    <d v="2014-03-14T00:00:00"/>
    <x v="3"/>
    <x v="3"/>
    <m/>
    <m/>
    <s v="-182,000"/>
    <d v="1899-12-30T00:00:00"/>
    <m/>
    <m/>
    <m/>
    <m/>
    <m/>
    <m/>
    <m/>
    <m/>
    <x v="0"/>
    <x v="0"/>
    <x v="53"/>
    <x v="40"/>
    <x v="9"/>
    <n v="2014"/>
    <n v="-182"/>
  </r>
  <r>
    <n v="2"/>
    <n v="2"/>
    <n v="5"/>
    <s v="PP"/>
    <x v="1"/>
    <x v="190"/>
    <d v="2014-03-17T00:00:00"/>
    <x v="3"/>
    <x v="3"/>
    <m/>
    <m/>
    <s v="-172,000"/>
    <d v="1899-12-30T00:00:00"/>
    <m/>
    <m/>
    <m/>
    <m/>
    <m/>
    <m/>
    <m/>
    <m/>
    <x v="0"/>
    <x v="0"/>
    <x v="54"/>
    <x v="41"/>
    <x v="9"/>
    <n v="2014"/>
    <n v="-172"/>
  </r>
  <r>
    <n v="2"/>
    <n v="2"/>
    <n v="5"/>
    <s v="PP"/>
    <x v="1"/>
    <x v="191"/>
    <d v="2014-03-18T00:00:00"/>
    <x v="3"/>
    <x v="3"/>
    <m/>
    <m/>
    <s v="-172,000"/>
    <d v="1899-12-30T00:00:00"/>
    <m/>
    <m/>
    <m/>
    <m/>
    <m/>
    <m/>
    <m/>
    <m/>
    <x v="0"/>
    <x v="0"/>
    <x v="55"/>
    <x v="41"/>
    <x v="9"/>
    <n v="2014"/>
    <n v="-172"/>
  </r>
  <r>
    <n v="2"/>
    <n v="2"/>
    <n v="5"/>
    <s v="PP"/>
    <x v="1"/>
    <x v="192"/>
    <d v="2014-03-19T00:00:00"/>
    <x v="3"/>
    <x v="3"/>
    <m/>
    <m/>
    <s v="-172,000"/>
    <d v="1899-12-30T00:00:00"/>
    <m/>
    <m/>
    <m/>
    <m/>
    <m/>
    <m/>
    <m/>
    <m/>
    <x v="0"/>
    <x v="0"/>
    <x v="56"/>
    <x v="41"/>
    <x v="9"/>
    <n v="2014"/>
    <n v="-172"/>
  </r>
  <r>
    <n v="2"/>
    <n v="2"/>
    <n v="5"/>
    <s v="PP"/>
    <x v="1"/>
    <x v="193"/>
    <d v="2014-03-20T00:00:00"/>
    <x v="3"/>
    <x v="3"/>
    <m/>
    <m/>
    <s v="-172,000"/>
    <d v="1899-12-30T00:00:00"/>
    <m/>
    <m/>
    <m/>
    <m/>
    <m/>
    <m/>
    <m/>
    <m/>
    <x v="0"/>
    <x v="0"/>
    <x v="57"/>
    <x v="41"/>
    <x v="9"/>
    <n v="2014"/>
    <n v="-172"/>
  </r>
  <r>
    <n v="2"/>
    <n v="2"/>
    <n v="5"/>
    <s v="PP"/>
    <x v="1"/>
    <x v="194"/>
    <d v="2014-03-21T00:00:00"/>
    <x v="3"/>
    <x v="3"/>
    <m/>
    <m/>
    <s v="-172,000"/>
    <d v="1899-12-30T00:00:00"/>
    <m/>
    <m/>
    <m/>
    <m/>
    <m/>
    <m/>
    <m/>
    <m/>
    <x v="0"/>
    <x v="0"/>
    <x v="58"/>
    <x v="41"/>
    <x v="9"/>
    <n v="2014"/>
    <n v="-172"/>
  </r>
  <r>
    <n v="2"/>
    <n v="2"/>
    <n v="5"/>
    <s v="PP"/>
    <x v="1"/>
    <x v="195"/>
    <d v="2014-03-24T00:00:00"/>
    <x v="3"/>
    <x v="3"/>
    <m/>
    <m/>
    <s v="-182,000"/>
    <d v="1899-12-30T00:00:00"/>
    <m/>
    <m/>
    <m/>
    <m/>
    <m/>
    <m/>
    <m/>
    <m/>
    <x v="0"/>
    <x v="0"/>
    <x v="59"/>
    <x v="42"/>
    <x v="9"/>
    <n v="2014"/>
    <n v="-182"/>
  </r>
  <r>
    <n v="2"/>
    <n v="2"/>
    <n v="5"/>
    <s v="PP"/>
    <x v="1"/>
    <x v="196"/>
    <d v="2014-03-25T00:00:00"/>
    <x v="3"/>
    <x v="3"/>
    <m/>
    <m/>
    <s v="-182,000"/>
    <d v="1899-12-30T00:00:00"/>
    <m/>
    <m/>
    <m/>
    <m/>
    <m/>
    <m/>
    <m/>
    <m/>
    <x v="0"/>
    <x v="0"/>
    <x v="60"/>
    <x v="42"/>
    <x v="9"/>
    <n v="2014"/>
    <n v="-182"/>
  </r>
  <r>
    <n v="2"/>
    <n v="2"/>
    <n v="5"/>
    <s v="PP"/>
    <x v="1"/>
    <x v="197"/>
    <d v="2014-03-26T00:00:00"/>
    <x v="3"/>
    <x v="3"/>
    <m/>
    <m/>
    <s v="-182,000"/>
    <d v="1899-12-30T00:00:00"/>
    <m/>
    <m/>
    <m/>
    <m/>
    <m/>
    <m/>
    <m/>
    <m/>
    <x v="0"/>
    <x v="0"/>
    <x v="61"/>
    <x v="42"/>
    <x v="9"/>
    <n v="2014"/>
    <n v="-182"/>
  </r>
  <r>
    <n v="2"/>
    <n v="2"/>
    <n v="5"/>
    <s v="PP"/>
    <x v="1"/>
    <x v="198"/>
    <d v="2014-03-27T00:00:00"/>
    <x v="3"/>
    <x v="3"/>
    <m/>
    <m/>
    <s v="-182,000"/>
    <d v="1899-12-30T00:00:00"/>
    <m/>
    <m/>
    <m/>
    <m/>
    <m/>
    <m/>
    <m/>
    <m/>
    <x v="0"/>
    <x v="0"/>
    <x v="62"/>
    <x v="42"/>
    <x v="9"/>
    <n v="2014"/>
    <n v="-182"/>
  </r>
  <r>
    <n v="2"/>
    <n v="1"/>
    <n v="7"/>
    <s v="PA"/>
    <x v="2"/>
    <x v="199"/>
    <d v="2014-03-28T00:00:00"/>
    <x v="4"/>
    <x v="7"/>
    <m/>
    <m/>
    <s v="6538,000"/>
    <d v="2014-03-28T00:00:00"/>
    <m/>
    <m/>
    <m/>
    <s v="SLHA"/>
    <m/>
    <m/>
    <m/>
    <m/>
    <x v="0"/>
    <x v="0"/>
    <x v="63"/>
    <x v="42"/>
    <x v="9"/>
    <n v="2014"/>
    <n v="6538"/>
  </r>
  <r>
    <n v="2"/>
    <n v="2"/>
    <n v="5"/>
    <s v="PP"/>
    <x v="1"/>
    <x v="199"/>
    <d v="2014-03-28T00:00:00"/>
    <x v="3"/>
    <x v="3"/>
    <m/>
    <m/>
    <s v="-182,000"/>
    <d v="1899-12-30T00:00:00"/>
    <m/>
    <m/>
    <m/>
    <m/>
    <m/>
    <m/>
    <m/>
    <m/>
    <x v="0"/>
    <x v="0"/>
    <x v="63"/>
    <x v="42"/>
    <x v="9"/>
    <n v="2014"/>
    <n v="-182"/>
  </r>
  <r>
    <n v="2"/>
    <n v="2"/>
    <n v="5"/>
    <s v="PP"/>
    <x v="1"/>
    <x v="200"/>
    <d v="2014-03-31T00:00:00"/>
    <x v="3"/>
    <x v="3"/>
    <m/>
    <m/>
    <s v="-198,000"/>
    <d v="1899-12-30T00:00:00"/>
    <m/>
    <m/>
    <m/>
    <m/>
    <m/>
    <m/>
    <m/>
    <m/>
    <x v="0"/>
    <x v="0"/>
    <x v="64"/>
    <x v="43"/>
    <x v="9"/>
    <n v="2014"/>
    <n v="-198"/>
  </r>
  <r>
    <n v="2"/>
    <n v="2"/>
    <n v="5"/>
    <s v="PP"/>
    <x v="1"/>
    <x v="201"/>
    <d v="2014-04-01T00:00:00"/>
    <x v="3"/>
    <x v="3"/>
    <m/>
    <m/>
    <s v="-198,000"/>
    <d v="1899-12-30T00:00:00"/>
    <m/>
    <m/>
    <m/>
    <m/>
    <m/>
    <m/>
    <m/>
    <m/>
    <x v="0"/>
    <x v="0"/>
    <x v="65"/>
    <x v="43"/>
    <x v="10"/>
    <n v="2014"/>
    <n v="-198"/>
  </r>
  <r>
    <n v="2"/>
    <n v="2"/>
    <n v="5"/>
    <s v="PP"/>
    <x v="1"/>
    <x v="202"/>
    <d v="2014-04-02T00:00:00"/>
    <x v="3"/>
    <x v="3"/>
    <m/>
    <m/>
    <s v="-198,000"/>
    <d v="1899-12-30T00:00:00"/>
    <m/>
    <m/>
    <m/>
    <m/>
    <m/>
    <m/>
    <m/>
    <m/>
    <x v="0"/>
    <x v="0"/>
    <x v="66"/>
    <x v="43"/>
    <x v="10"/>
    <n v="2014"/>
    <n v="-198"/>
  </r>
  <r>
    <n v="2"/>
    <n v="2"/>
    <n v="5"/>
    <s v="PP"/>
    <x v="1"/>
    <x v="203"/>
    <d v="2014-04-03T00:00:00"/>
    <x v="3"/>
    <x v="3"/>
    <m/>
    <m/>
    <s v="-198,000"/>
    <d v="1899-12-30T00:00:00"/>
    <m/>
    <m/>
    <m/>
    <m/>
    <m/>
    <m/>
    <m/>
    <m/>
    <x v="0"/>
    <x v="0"/>
    <x v="67"/>
    <x v="43"/>
    <x v="10"/>
    <n v="2014"/>
    <n v="-198"/>
  </r>
  <r>
    <n v="2"/>
    <n v="2"/>
    <n v="5"/>
    <s v="PP"/>
    <x v="1"/>
    <x v="204"/>
    <d v="2014-04-04T00:00:00"/>
    <x v="3"/>
    <x v="3"/>
    <m/>
    <m/>
    <s v="-198,000"/>
    <d v="1899-12-30T00:00:00"/>
    <m/>
    <m/>
    <m/>
    <m/>
    <m/>
    <m/>
    <m/>
    <m/>
    <x v="0"/>
    <x v="0"/>
    <x v="68"/>
    <x v="43"/>
    <x v="10"/>
    <n v="2014"/>
    <n v="-198"/>
  </r>
  <r>
    <n v="2"/>
    <n v="2"/>
    <n v="5"/>
    <s v="PP"/>
    <x v="1"/>
    <x v="205"/>
    <d v="2014-04-07T00:00:00"/>
    <x v="3"/>
    <x v="3"/>
    <m/>
    <m/>
    <s v="-204,000"/>
    <d v="1899-12-30T00:00:00"/>
    <m/>
    <m/>
    <m/>
    <m/>
    <m/>
    <m/>
    <m/>
    <m/>
    <x v="0"/>
    <x v="0"/>
    <x v="69"/>
    <x v="44"/>
    <x v="10"/>
    <n v="2014"/>
    <n v="-204"/>
  </r>
  <r>
    <n v="2"/>
    <n v="2"/>
    <n v="5"/>
    <s v="PP"/>
    <x v="1"/>
    <x v="206"/>
    <d v="2014-04-08T00:00:00"/>
    <x v="3"/>
    <x v="3"/>
    <m/>
    <m/>
    <s v="-204,000"/>
    <d v="1899-12-30T00:00:00"/>
    <m/>
    <m/>
    <m/>
    <m/>
    <m/>
    <m/>
    <m/>
    <m/>
    <x v="0"/>
    <x v="0"/>
    <x v="70"/>
    <x v="44"/>
    <x v="10"/>
    <n v="2014"/>
    <n v="-204"/>
  </r>
  <r>
    <n v="2"/>
    <n v="2"/>
    <n v="5"/>
    <s v="PP"/>
    <x v="1"/>
    <x v="207"/>
    <d v="2014-04-09T00:00:00"/>
    <x v="3"/>
    <x v="3"/>
    <m/>
    <m/>
    <s v="-204,000"/>
    <d v="1899-12-30T00:00:00"/>
    <m/>
    <m/>
    <m/>
    <m/>
    <m/>
    <m/>
    <m/>
    <m/>
    <x v="0"/>
    <x v="0"/>
    <x v="71"/>
    <x v="44"/>
    <x v="10"/>
    <n v="2014"/>
    <n v="-204"/>
  </r>
  <r>
    <n v="2"/>
    <n v="2"/>
    <n v="5"/>
    <s v="PP"/>
    <x v="1"/>
    <x v="208"/>
    <d v="2014-04-10T00:00:00"/>
    <x v="3"/>
    <x v="3"/>
    <m/>
    <m/>
    <s v="-204,000"/>
    <d v="1899-12-30T00:00:00"/>
    <m/>
    <m/>
    <m/>
    <m/>
    <m/>
    <m/>
    <m/>
    <m/>
    <x v="0"/>
    <x v="0"/>
    <x v="72"/>
    <x v="44"/>
    <x v="10"/>
    <n v="2014"/>
    <n v="-204"/>
  </r>
  <r>
    <n v="2"/>
    <n v="2"/>
    <n v="5"/>
    <s v="PP"/>
    <x v="1"/>
    <x v="209"/>
    <d v="2014-04-11T00:00:00"/>
    <x v="3"/>
    <x v="3"/>
    <m/>
    <m/>
    <s v="-204,000"/>
    <d v="1899-12-30T00:00:00"/>
    <m/>
    <m/>
    <m/>
    <m/>
    <m/>
    <m/>
    <m/>
    <m/>
    <x v="0"/>
    <x v="0"/>
    <x v="73"/>
    <x v="44"/>
    <x v="10"/>
    <n v="2014"/>
    <n v="-204"/>
  </r>
  <r>
    <n v="2"/>
    <n v="2"/>
    <n v="5"/>
    <s v="PP"/>
    <x v="1"/>
    <x v="210"/>
    <d v="2014-04-14T00:00:00"/>
    <x v="3"/>
    <x v="3"/>
    <m/>
    <m/>
    <s v="-270,000"/>
    <d v="1899-12-30T00:00:00"/>
    <m/>
    <m/>
    <m/>
    <m/>
    <m/>
    <m/>
    <m/>
    <m/>
    <x v="0"/>
    <x v="0"/>
    <x v="74"/>
    <x v="45"/>
    <x v="10"/>
    <n v="2014"/>
    <n v="-270"/>
  </r>
  <r>
    <n v="2"/>
    <n v="2"/>
    <n v="5"/>
    <s v="PP"/>
    <x v="1"/>
    <x v="211"/>
    <d v="2014-04-15T00:00:00"/>
    <x v="3"/>
    <x v="3"/>
    <m/>
    <m/>
    <s v="-270,000"/>
    <d v="1899-12-30T00:00:00"/>
    <m/>
    <m/>
    <m/>
    <m/>
    <m/>
    <m/>
    <m/>
    <m/>
    <x v="0"/>
    <x v="0"/>
    <x v="75"/>
    <x v="45"/>
    <x v="10"/>
    <n v="2014"/>
    <n v="-270"/>
  </r>
  <r>
    <n v="2"/>
    <n v="2"/>
    <n v="5"/>
    <s v="PP"/>
    <x v="1"/>
    <x v="212"/>
    <d v="2014-04-16T00:00:00"/>
    <x v="3"/>
    <x v="3"/>
    <m/>
    <m/>
    <s v="-270,000"/>
    <d v="1899-12-30T00:00:00"/>
    <m/>
    <m/>
    <m/>
    <m/>
    <m/>
    <m/>
    <m/>
    <m/>
    <x v="0"/>
    <x v="0"/>
    <x v="76"/>
    <x v="45"/>
    <x v="10"/>
    <n v="2014"/>
    <n v="-270"/>
  </r>
  <r>
    <n v="2"/>
    <n v="2"/>
    <n v="5"/>
    <s v="PP"/>
    <x v="1"/>
    <x v="213"/>
    <d v="2014-04-22T00:00:00"/>
    <x v="3"/>
    <x v="3"/>
    <m/>
    <m/>
    <s v="-203,000"/>
    <d v="1899-12-30T00:00:00"/>
    <m/>
    <m/>
    <m/>
    <m/>
    <m/>
    <m/>
    <m/>
    <m/>
    <x v="0"/>
    <x v="0"/>
    <x v="77"/>
    <x v="46"/>
    <x v="10"/>
    <n v="2014"/>
    <n v="-203"/>
  </r>
  <r>
    <n v="2"/>
    <n v="2"/>
    <n v="5"/>
    <s v="PP"/>
    <x v="1"/>
    <x v="214"/>
    <d v="2014-04-23T00:00:00"/>
    <x v="3"/>
    <x v="3"/>
    <m/>
    <m/>
    <s v="-202,000"/>
    <d v="1899-12-30T00:00:00"/>
    <m/>
    <m/>
    <m/>
    <m/>
    <m/>
    <m/>
    <m/>
    <m/>
    <x v="0"/>
    <x v="0"/>
    <x v="78"/>
    <x v="46"/>
    <x v="10"/>
    <n v="2014"/>
    <n v="-202"/>
  </r>
  <r>
    <n v="2"/>
    <n v="2"/>
    <n v="5"/>
    <s v="PP"/>
    <x v="1"/>
    <x v="215"/>
    <d v="2014-04-24T00:00:00"/>
    <x v="3"/>
    <x v="3"/>
    <m/>
    <m/>
    <s v="-203,000"/>
    <d v="1899-12-30T00:00:00"/>
    <m/>
    <m/>
    <m/>
    <m/>
    <m/>
    <m/>
    <m/>
    <m/>
    <x v="0"/>
    <x v="0"/>
    <x v="79"/>
    <x v="46"/>
    <x v="10"/>
    <n v="2014"/>
    <n v="-203"/>
  </r>
  <r>
    <n v="2"/>
    <n v="2"/>
    <n v="5"/>
    <s v="PP"/>
    <x v="1"/>
    <x v="216"/>
    <d v="2014-04-25T00:00:00"/>
    <x v="3"/>
    <x v="3"/>
    <m/>
    <m/>
    <s v="-202,000"/>
    <d v="1899-12-30T00:00:00"/>
    <m/>
    <m/>
    <m/>
    <m/>
    <m/>
    <m/>
    <m/>
    <m/>
    <x v="0"/>
    <x v="0"/>
    <x v="80"/>
    <x v="46"/>
    <x v="10"/>
    <n v="2014"/>
    <n v="-202"/>
  </r>
  <r>
    <n v="2"/>
    <n v="2"/>
    <n v="5"/>
    <s v="PP"/>
    <x v="1"/>
    <x v="217"/>
    <d v="2014-04-28T00:00:00"/>
    <x v="3"/>
    <x v="3"/>
    <m/>
    <m/>
    <s v="-323,000"/>
    <d v="1899-12-30T00:00:00"/>
    <m/>
    <m/>
    <m/>
    <m/>
    <m/>
    <m/>
    <m/>
    <m/>
    <x v="0"/>
    <x v="0"/>
    <x v="81"/>
    <x v="47"/>
    <x v="10"/>
    <n v="2014"/>
    <n v="-323"/>
  </r>
  <r>
    <n v="2"/>
    <n v="2"/>
    <n v="5"/>
    <s v="PP"/>
    <x v="1"/>
    <x v="218"/>
    <d v="2014-04-29T00:00:00"/>
    <x v="3"/>
    <x v="3"/>
    <m/>
    <m/>
    <s v="-322,000"/>
    <d v="1899-12-30T00:00:00"/>
    <m/>
    <m/>
    <m/>
    <m/>
    <m/>
    <m/>
    <m/>
    <m/>
    <x v="0"/>
    <x v="0"/>
    <x v="82"/>
    <x v="47"/>
    <x v="10"/>
    <n v="2014"/>
    <n v="-322"/>
  </r>
  <r>
    <n v="2"/>
    <n v="2"/>
    <n v="5"/>
    <s v="PP"/>
    <x v="1"/>
    <x v="219"/>
    <d v="2014-04-30T00:00:00"/>
    <x v="3"/>
    <x v="3"/>
    <m/>
    <m/>
    <s v="-323,000"/>
    <d v="1899-12-30T00:00:00"/>
    <m/>
    <m/>
    <m/>
    <m/>
    <m/>
    <m/>
    <m/>
    <m/>
    <x v="0"/>
    <x v="0"/>
    <x v="83"/>
    <x v="47"/>
    <x v="10"/>
    <n v="2014"/>
    <n v="-323"/>
  </r>
  <r>
    <n v="2"/>
    <n v="2"/>
    <n v="5"/>
    <s v="PP"/>
    <x v="1"/>
    <x v="220"/>
    <d v="2014-05-02T00:00:00"/>
    <x v="3"/>
    <x v="3"/>
    <m/>
    <m/>
    <s v="-322,000"/>
    <d v="1899-12-30T00:00:00"/>
    <m/>
    <m/>
    <m/>
    <m/>
    <m/>
    <m/>
    <m/>
    <m/>
    <x v="0"/>
    <x v="0"/>
    <x v="84"/>
    <x v="47"/>
    <x v="11"/>
    <n v="2014"/>
    <n v="-322"/>
  </r>
  <r>
    <n v="2"/>
    <n v="2"/>
    <n v="5"/>
    <s v="PP"/>
    <x v="1"/>
    <x v="221"/>
    <d v="2014-05-05T00:00:00"/>
    <x v="3"/>
    <x v="3"/>
    <m/>
    <m/>
    <s v="-94,000"/>
    <d v="1899-12-30T00:00:00"/>
    <m/>
    <m/>
    <m/>
    <m/>
    <m/>
    <m/>
    <m/>
    <m/>
    <x v="0"/>
    <x v="0"/>
    <x v="85"/>
    <x v="48"/>
    <x v="11"/>
    <n v="2014"/>
    <n v="-94"/>
  </r>
  <r>
    <n v="2"/>
    <n v="2"/>
    <n v="5"/>
    <s v="PP"/>
    <x v="1"/>
    <x v="222"/>
    <d v="2014-05-06T00:00:00"/>
    <x v="3"/>
    <x v="3"/>
    <m/>
    <m/>
    <s v="-94,000"/>
    <d v="1899-12-30T00:00:00"/>
    <m/>
    <m/>
    <m/>
    <m/>
    <m/>
    <m/>
    <m/>
    <m/>
    <x v="0"/>
    <x v="0"/>
    <x v="86"/>
    <x v="48"/>
    <x v="11"/>
    <n v="2014"/>
    <n v="-94"/>
  </r>
  <r>
    <n v="2"/>
    <n v="2"/>
    <n v="5"/>
    <s v="PP"/>
    <x v="1"/>
    <x v="223"/>
    <d v="2014-05-07T00:00:00"/>
    <x v="3"/>
    <x v="3"/>
    <m/>
    <m/>
    <s v="-94,000"/>
    <d v="1899-12-30T00:00:00"/>
    <m/>
    <m/>
    <m/>
    <m/>
    <m/>
    <m/>
    <m/>
    <m/>
    <x v="0"/>
    <x v="0"/>
    <x v="87"/>
    <x v="48"/>
    <x v="11"/>
    <n v="2014"/>
    <n v="-94"/>
  </r>
  <r>
    <n v="2"/>
    <n v="2"/>
    <n v="5"/>
    <s v="PP"/>
    <x v="1"/>
    <x v="224"/>
    <d v="2014-05-08T00:00:00"/>
    <x v="3"/>
    <x v="3"/>
    <m/>
    <m/>
    <s v="-94,000"/>
    <d v="1899-12-30T00:00:00"/>
    <m/>
    <m/>
    <m/>
    <m/>
    <m/>
    <m/>
    <m/>
    <m/>
    <x v="0"/>
    <x v="0"/>
    <x v="88"/>
    <x v="48"/>
    <x v="11"/>
    <n v="2014"/>
    <n v="-94"/>
  </r>
  <r>
    <n v="2"/>
    <n v="2"/>
    <n v="5"/>
    <s v="PP"/>
    <x v="1"/>
    <x v="225"/>
    <d v="2014-05-09T00:00:00"/>
    <x v="3"/>
    <x v="3"/>
    <m/>
    <m/>
    <s v="-94,000"/>
    <d v="1899-12-30T00:00:00"/>
    <m/>
    <m/>
    <m/>
    <m/>
    <m/>
    <m/>
    <m/>
    <m/>
    <x v="0"/>
    <x v="0"/>
    <x v="89"/>
    <x v="48"/>
    <x v="11"/>
    <n v="2014"/>
    <n v="-94"/>
  </r>
  <r>
    <n v="2"/>
    <n v="2"/>
    <n v="5"/>
    <s v="PP"/>
    <x v="1"/>
    <x v="226"/>
    <d v="2014-05-12T00:00:00"/>
    <x v="3"/>
    <x v="3"/>
    <m/>
    <m/>
    <s v="-92,000"/>
    <d v="1899-12-30T00:00:00"/>
    <m/>
    <m/>
    <m/>
    <m/>
    <m/>
    <m/>
    <m/>
    <m/>
    <x v="0"/>
    <x v="0"/>
    <x v="90"/>
    <x v="49"/>
    <x v="11"/>
    <n v="2014"/>
    <n v="-92"/>
  </r>
  <r>
    <n v="2"/>
    <n v="2"/>
    <n v="5"/>
    <s v="PP"/>
    <x v="1"/>
    <x v="227"/>
    <d v="2014-05-13T00:00:00"/>
    <x v="3"/>
    <x v="3"/>
    <m/>
    <m/>
    <s v="-92,000"/>
    <d v="1899-12-30T00:00:00"/>
    <m/>
    <m/>
    <m/>
    <m/>
    <m/>
    <m/>
    <m/>
    <m/>
    <x v="0"/>
    <x v="0"/>
    <x v="91"/>
    <x v="49"/>
    <x v="11"/>
    <n v="2014"/>
    <n v="-92"/>
  </r>
  <r>
    <n v="2"/>
    <n v="2"/>
    <n v="5"/>
    <s v="PP"/>
    <x v="1"/>
    <x v="228"/>
    <d v="2014-05-14T00:00:00"/>
    <x v="3"/>
    <x v="3"/>
    <m/>
    <m/>
    <s v="-92,000"/>
    <d v="1899-12-30T00:00:00"/>
    <m/>
    <m/>
    <m/>
    <m/>
    <m/>
    <m/>
    <m/>
    <m/>
    <x v="0"/>
    <x v="0"/>
    <x v="92"/>
    <x v="49"/>
    <x v="11"/>
    <n v="2014"/>
    <n v="-92"/>
  </r>
  <r>
    <n v="2"/>
    <n v="2"/>
    <n v="5"/>
    <s v="PP"/>
    <x v="1"/>
    <x v="229"/>
    <d v="2014-05-15T00:00:00"/>
    <x v="3"/>
    <x v="3"/>
    <m/>
    <m/>
    <s v="-92,000"/>
    <d v="1899-12-30T00:00:00"/>
    <m/>
    <m/>
    <m/>
    <m/>
    <m/>
    <m/>
    <m/>
    <m/>
    <x v="0"/>
    <x v="0"/>
    <x v="93"/>
    <x v="49"/>
    <x v="11"/>
    <n v="2014"/>
    <n v="-92"/>
  </r>
  <r>
    <n v="2"/>
    <n v="2"/>
    <n v="5"/>
    <s v="PP"/>
    <x v="1"/>
    <x v="230"/>
    <d v="2014-05-16T00:00:00"/>
    <x v="3"/>
    <x v="3"/>
    <m/>
    <m/>
    <s v="-92,000"/>
    <d v="1899-12-30T00:00:00"/>
    <m/>
    <m/>
    <m/>
    <m/>
    <m/>
    <m/>
    <m/>
    <m/>
    <x v="0"/>
    <x v="0"/>
    <x v="94"/>
    <x v="49"/>
    <x v="11"/>
    <n v="2014"/>
    <n v="-92"/>
  </r>
  <r>
    <n v="2"/>
    <n v="2"/>
    <n v="5"/>
    <s v="PP"/>
    <x v="1"/>
    <x v="231"/>
    <d v="2014-05-19T00:00:00"/>
    <x v="3"/>
    <x v="3"/>
    <m/>
    <m/>
    <s v="-92,000"/>
    <d v="1899-12-30T00:00:00"/>
    <m/>
    <m/>
    <m/>
    <m/>
    <m/>
    <m/>
    <m/>
    <m/>
    <x v="0"/>
    <x v="0"/>
    <x v="95"/>
    <x v="50"/>
    <x v="11"/>
    <n v="2014"/>
    <n v="-92"/>
  </r>
  <r>
    <n v="2"/>
    <n v="2"/>
    <n v="5"/>
    <s v="PP"/>
    <x v="1"/>
    <x v="232"/>
    <d v="2014-05-20T00:00:00"/>
    <x v="3"/>
    <x v="3"/>
    <m/>
    <m/>
    <s v="-92,000"/>
    <d v="1899-12-30T00:00:00"/>
    <m/>
    <m/>
    <m/>
    <m/>
    <m/>
    <m/>
    <m/>
    <m/>
    <x v="0"/>
    <x v="0"/>
    <x v="96"/>
    <x v="50"/>
    <x v="11"/>
    <n v="2014"/>
    <n v="-92"/>
  </r>
  <r>
    <n v="2"/>
    <n v="2"/>
    <n v="5"/>
    <s v="PP"/>
    <x v="1"/>
    <x v="233"/>
    <d v="2014-05-21T00:00:00"/>
    <x v="3"/>
    <x v="3"/>
    <m/>
    <m/>
    <s v="-92,000"/>
    <d v="1899-12-30T00:00:00"/>
    <m/>
    <m/>
    <m/>
    <m/>
    <m/>
    <m/>
    <m/>
    <m/>
    <x v="0"/>
    <x v="0"/>
    <x v="97"/>
    <x v="50"/>
    <x v="11"/>
    <n v="2014"/>
    <n v="-92"/>
  </r>
  <r>
    <n v="2"/>
    <n v="2"/>
    <n v="5"/>
    <s v="PP"/>
    <x v="1"/>
    <x v="234"/>
    <d v="2014-05-22T00:00:00"/>
    <x v="3"/>
    <x v="3"/>
    <m/>
    <m/>
    <s v="-92,000"/>
    <d v="1899-12-30T00:00:00"/>
    <m/>
    <m/>
    <m/>
    <m/>
    <m/>
    <m/>
    <m/>
    <m/>
    <x v="0"/>
    <x v="0"/>
    <x v="98"/>
    <x v="50"/>
    <x v="11"/>
    <n v="2014"/>
    <n v="-92"/>
  </r>
  <r>
    <n v="2"/>
    <n v="2"/>
    <n v="5"/>
    <s v="PP"/>
    <x v="1"/>
    <x v="235"/>
    <d v="2014-05-23T00:00:00"/>
    <x v="3"/>
    <x v="3"/>
    <m/>
    <m/>
    <s v="-92,000"/>
    <d v="1899-12-30T00:00:00"/>
    <m/>
    <m/>
    <m/>
    <m/>
    <m/>
    <m/>
    <m/>
    <m/>
    <x v="0"/>
    <x v="0"/>
    <x v="99"/>
    <x v="50"/>
    <x v="11"/>
    <n v="2014"/>
    <n v="-92"/>
  </r>
  <r>
    <n v="2"/>
    <n v="2"/>
    <n v="5"/>
    <s v="PP"/>
    <x v="1"/>
    <x v="236"/>
    <d v="2014-05-26T00:00:00"/>
    <x v="3"/>
    <x v="3"/>
    <m/>
    <m/>
    <s v="-115,000"/>
    <d v="1899-12-30T00:00:00"/>
    <m/>
    <m/>
    <m/>
    <m/>
    <m/>
    <m/>
    <m/>
    <m/>
    <x v="0"/>
    <x v="0"/>
    <x v="100"/>
    <x v="51"/>
    <x v="11"/>
    <n v="2014"/>
    <n v="-115"/>
  </r>
  <r>
    <n v="2"/>
    <n v="2"/>
    <n v="5"/>
    <s v="PP"/>
    <x v="1"/>
    <x v="237"/>
    <d v="2014-05-27T00:00:00"/>
    <x v="3"/>
    <x v="3"/>
    <m/>
    <m/>
    <s v="-115,000"/>
    <d v="1899-12-30T00:00:00"/>
    <m/>
    <m/>
    <m/>
    <m/>
    <m/>
    <m/>
    <m/>
    <m/>
    <x v="0"/>
    <x v="0"/>
    <x v="101"/>
    <x v="51"/>
    <x v="11"/>
    <n v="2014"/>
    <n v="-115"/>
  </r>
  <r>
    <n v="2"/>
    <n v="2"/>
    <n v="5"/>
    <s v="PP"/>
    <x v="1"/>
    <x v="238"/>
    <d v="2014-05-28T00:00:00"/>
    <x v="3"/>
    <x v="3"/>
    <m/>
    <m/>
    <s v="-115,000"/>
    <d v="1899-12-30T00:00:00"/>
    <m/>
    <m/>
    <m/>
    <m/>
    <m/>
    <m/>
    <m/>
    <m/>
    <x v="0"/>
    <x v="0"/>
    <x v="102"/>
    <x v="51"/>
    <x v="11"/>
    <n v="2014"/>
    <n v="-115"/>
  </r>
  <r>
    <n v="2"/>
    <n v="2"/>
    <n v="5"/>
    <s v="PP"/>
    <x v="1"/>
    <x v="239"/>
    <d v="2014-05-30T00:00:00"/>
    <x v="3"/>
    <x v="3"/>
    <m/>
    <m/>
    <s v="-115,000"/>
    <d v="1899-12-30T00:00:00"/>
    <m/>
    <m/>
    <m/>
    <m/>
    <m/>
    <m/>
    <m/>
    <m/>
    <x v="0"/>
    <x v="0"/>
    <x v="103"/>
    <x v="51"/>
    <x v="11"/>
    <n v="2014"/>
    <n v="-115"/>
  </r>
  <r>
    <n v="7"/>
    <n v="0"/>
    <n v="1"/>
    <s v="LB"/>
    <x v="0"/>
    <x v="0"/>
    <d v="1899-12-30T00:00:00"/>
    <x v="5"/>
    <x v="8"/>
    <m/>
    <m/>
    <s v="0,000"/>
    <d v="1899-12-30T00:00:00"/>
    <m/>
    <m/>
    <m/>
    <s v="SLEA"/>
    <m/>
    <m/>
    <m/>
    <m/>
    <x v="0"/>
    <x v="0"/>
    <x v="0"/>
    <x v="0"/>
    <x v="0"/>
    <n v="201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98">
  <r>
    <x v="0"/>
    <m/>
    <m/>
    <m/>
    <m/>
    <n v="0"/>
    <x v="0"/>
    <x v="0"/>
    <x v="0"/>
    <x v="0"/>
  </r>
  <r>
    <x v="1"/>
    <m/>
    <m/>
    <m/>
    <m/>
    <n v="0"/>
    <x v="0"/>
    <x v="0"/>
    <x v="0"/>
    <x v="1"/>
  </r>
  <r>
    <x v="2"/>
    <m/>
    <m/>
    <m/>
    <m/>
    <n v="0"/>
    <x v="0"/>
    <x v="0"/>
    <x v="0"/>
    <x v="1"/>
  </r>
  <r>
    <x v="3"/>
    <m/>
    <m/>
    <m/>
    <m/>
    <n v="0"/>
    <x v="0"/>
    <x v="0"/>
    <x v="0"/>
    <x v="1"/>
  </r>
  <r>
    <x v="4"/>
    <m/>
    <m/>
    <m/>
    <m/>
    <n v="0"/>
    <x v="0"/>
    <x v="0"/>
    <x v="0"/>
    <x v="1"/>
  </r>
  <r>
    <x v="5"/>
    <m/>
    <m/>
    <m/>
    <m/>
    <n v="0"/>
    <x v="0"/>
    <x v="0"/>
    <x v="0"/>
    <x v="1"/>
  </r>
  <r>
    <x v="6"/>
    <m/>
    <m/>
    <m/>
    <m/>
    <n v="0"/>
    <x v="0"/>
    <x v="0"/>
    <x v="1"/>
    <x v="2"/>
  </r>
  <r>
    <x v="7"/>
    <m/>
    <m/>
    <m/>
    <m/>
    <n v="0"/>
    <x v="0"/>
    <x v="0"/>
    <x v="1"/>
    <x v="2"/>
  </r>
  <r>
    <x v="8"/>
    <m/>
    <m/>
    <m/>
    <m/>
    <n v="0"/>
    <x v="0"/>
    <x v="0"/>
    <x v="1"/>
    <x v="2"/>
  </r>
  <r>
    <x v="9"/>
    <m/>
    <m/>
    <m/>
    <m/>
    <n v="0"/>
    <x v="0"/>
    <x v="0"/>
    <x v="1"/>
    <x v="2"/>
  </r>
  <r>
    <x v="10"/>
    <m/>
    <m/>
    <m/>
    <m/>
    <n v="0"/>
    <x v="0"/>
    <x v="0"/>
    <x v="1"/>
    <x v="3"/>
  </r>
  <r>
    <x v="11"/>
    <m/>
    <m/>
    <m/>
    <m/>
    <n v="0"/>
    <x v="0"/>
    <x v="0"/>
    <x v="1"/>
    <x v="3"/>
  </r>
  <r>
    <x v="12"/>
    <m/>
    <m/>
    <m/>
    <m/>
    <n v="0"/>
    <x v="0"/>
    <x v="0"/>
    <x v="1"/>
    <x v="3"/>
  </r>
  <r>
    <x v="13"/>
    <m/>
    <m/>
    <m/>
    <m/>
    <n v="0"/>
    <x v="0"/>
    <x v="0"/>
    <x v="1"/>
    <x v="3"/>
  </r>
  <r>
    <x v="14"/>
    <m/>
    <m/>
    <m/>
    <m/>
    <n v="0"/>
    <x v="0"/>
    <x v="0"/>
    <x v="1"/>
    <x v="3"/>
  </r>
  <r>
    <x v="15"/>
    <m/>
    <m/>
    <m/>
    <m/>
    <n v="0"/>
    <x v="0"/>
    <x v="0"/>
    <x v="1"/>
    <x v="4"/>
  </r>
  <r>
    <x v="16"/>
    <m/>
    <m/>
    <m/>
    <m/>
    <n v="0"/>
    <x v="0"/>
    <x v="0"/>
    <x v="1"/>
    <x v="4"/>
  </r>
  <r>
    <x v="17"/>
    <m/>
    <m/>
    <m/>
    <m/>
    <n v="0"/>
    <x v="0"/>
    <x v="0"/>
    <x v="1"/>
    <x v="4"/>
  </r>
  <r>
    <x v="18"/>
    <m/>
    <m/>
    <m/>
    <m/>
    <n v="0"/>
    <x v="0"/>
    <x v="0"/>
    <x v="1"/>
    <x v="4"/>
  </r>
  <r>
    <x v="19"/>
    <m/>
    <m/>
    <m/>
    <m/>
    <n v="0"/>
    <x v="0"/>
    <x v="0"/>
    <x v="1"/>
    <x v="4"/>
  </r>
  <r>
    <x v="20"/>
    <m/>
    <m/>
    <m/>
    <m/>
    <n v="0"/>
    <x v="0"/>
    <x v="0"/>
    <x v="1"/>
    <x v="5"/>
  </r>
  <r>
    <x v="21"/>
    <m/>
    <m/>
    <m/>
    <m/>
    <n v="0"/>
    <x v="0"/>
    <x v="0"/>
    <x v="1"/>
    <x v="5"/>
  </r>
  <r>
    <x v="22"/>
    <m/>
    <m/>
    <m/>
    <m/>
    <n v="0"/>
    <x v="0"/>
    <x v="0"/>
    <x v="1"/>
    <x v="5"/>
  </r>
  <r>
    <x v="23"/>
    <m/>
    <m/>
    <m/>
    <m/>
    <n v="0"/>
    <x v="0"/>
    <x v="0"/>
    <x v="1"/>
    <x v="5"/>
  </r>
  <r>
    <x v="24"/>
    <m/>
    <m/>
    <m/>
    <m/>
    <n v="0"/>
    <x v="0"/>
    <x v="0"/>
    <x v="1"/>
    <x v="5"/>
  </r>
  <r>
    <x v="25"/>
    <m/>
    <m/>
    <m/>
    <m/>
    <n v="0"/>
    <x v="0"/>
    <x v="0"/>
    <x v="1"/>
    <x v="6"/>
  </r>
  <r>
    <x v="26"/>
    <m/>
    <m/>
    <m/>
    <m/>
    <n v="0"/>
    <x v="0"/>
    <x v="0"/>
    <x v="2"/>
    <x v="6"/>
  </r>
  <r>
    <x v="27"/>
    <m/>
    <m/>
    <m/>
    <m/>
    <n v="0"/>
    <x v="0"/>
    <x v="0"/>
    <x v="2"/>
    <x v="6"/>
  </r>
  <r>
    <x v="28"/>
    <m/>
    <m/>
    <m/>
    <m/>
    <n v="0"/>
    <x v="0"/>
    <x v="0"/>
    <x v="2"/>
    <x v="6"/>
  </r>
  <r>
    <x v="29"/>
    <m/>
    <m/>
    <m/>
    <m/>
    <n v="0"/>
    <x v="0"/>
    <x v="0"/>
    <x v="2"/>
    <x v="7"/>
  </r>
  <r>
    <x v="30"/>
    <m/>
    <m/>
    <m/>
    <m/>
    <n v="0"/>
    <x v="0"/>
    <x v="0"/>
    <x v="2"/>
    <x v="7"/>
  </r>
  <r>
    <x v="31"/>
    <m/>
    <m/>
    <m/>
    <m/>
    <n v="0"/>
    <x v="0"/>
    <x v="0"/>
    <x v="2"/>
    <x v="7"/>
  </r>
  <r>
    <x v="32"/>
    <m/>
    <m/>
    <m/>
    <m/>
    <n v="0"/>
    <x v="0"/>
    <x v="0"/>
    <x v="2"/>
    <x v="7"/>
  </r>
  <r>
    <x v="33"/>
    <m/>
    <m/>
    <m/>
    <m/>
    <n v="0"/>
    <x v="0"/>
    <x v="0"/>
    <x v="2"/>
    <x v="8"/>
  </r>
  <r>
    <x v="34"/>
    <m/>
    <m/>
    <m/>
    <m/>
    <n v="0"/>
    <x v="0"/>
    <x v="0"/>
    <x v="2"/>
    <x v="8"/>
  </r>
  <r>
    <x v="35"/>
    <m/>
    <m/>
    <m/>
    <m/>
    <n v="0"/>
    <x v="0"/>
    <x v="0"/>
    <x v="2"/>
    <x v="8"/>
  </r>
  <r>
    <x v="36"/>
    <m/>
    <m/>
    <m/>
    <m/>
    <n v="0"/>
    <x v="0"/>
    <x v="0"/>
    <x v="2"/>
    <x v="9"/>
  </r>
  <r>
    <x v="37"/>
    <m/>
    <m/>
    <m/>
    <m/>
    <n v="0"/>
    <x v="0"/>
    <x v="0"/>
    <x v="2"/>
    <x v="9"/>
  </r>
  <r>
    <x v="38"/>
    <m/>
    <m/>
    <m/>
    <m/>
    <n v="0"/>
    <x v="0"/>
    <x v="0"/>
    <x v="2"/>
    <x v="9"/>
  </r>
  <r>
    <x v="39"/>
    <m/>
    <m/>
    <m/>
    <m/>
    <n v="0"/>
    <x v="0"/>
    <x v="0"/>
    <x v="2"/>
    <x v="9"/>
  </r>
  <r>
    <x v="40"/>
    <m/>
    <m/>
    <m/>
    <m/>
    <n v="0"/>
    <x v="0"/>
    <x v="0"/>
    <x v="2"/>
    <x v="9"/>
  </r>
  <r>
    <x v="41"/>
    <m/>
    <m/>
    <m/>
    <m/>
    <n v="0"/>
    <x v="0"/>
    <x v="0"/>
    <x v="2"/>
    <x v="10"/>
  </r>
  <r>
    <x v="42"/>
    <m/>
    <m/>
    <m/>
    <m/>
    <n v="0"/>
    <x v="0"/>
    <x v="0"/>
    <x v="2"/>
    <x v="10"/>
  </r>
  <r>
    <x v="43"/>
    <m/>
    <m/>
    <m/>
    <m/>
    <n v="0"/>
    <x v="0"/>
    <x v="0"/>
    <x v="2"/>
    <x v="10"/>
  </r>
  <r>
    <x v="44"/>
    <m/>
    <m/>
    <m/>
    <m/>
    <n v="0"/>
    <x v="0"/>
    <x v="0"/>
    <x v="2"/>
    <x v="10"/>
  </r>
  <r>
    <x v="45"/>
    <m/>
    <m/>
    <m/>
    <m/>
    <n v="0"/>
    <x v="0"/>
    <x v="0"/>
    <x v="3"/>
    <x v="10"/>
  </r>
  <r>
    <x v="46"/>
    <m/>
    <m/>
    <m/>
    <m/>
    <n v="0"/>
    <x v="0"/>
    <x v="0"/>
    <x v="3"/>
    <x v="11"/>
  </r>
  <r>
    <x v="47"/>
    <m/>
    <m/>
    <m/>
    <m/>
    <n v="0"/>
    <x v="0"/>
    <x v="0"/>
    <x v="3"/>
    <x v="11"/>
  </r>
  <r>
    <x v="48"/>
    <m/>
    <m/>
    <m/>
    <m/>
    <n v="0"/>
    <x v="0"/>
    <x v="0"/>
    <x v="3"/>
    <x v="11"/>
  </r>
  <r>
    <x v="49"/>
    <m/>
    <m/>
    <m/>
    <m/>
    <n v="0"/>
    <x v="0"/>
    <x v="0"/>
    <x v="3"/>
    <x v="11"/>
  </r>
  <r>
    <x v="50"/>
    <m/>
    <m/>
    <m/>
    <m/>
    <n v="0"/>
    <x v="0"/>
    <x v="0"/>
    <x v="3"/>
    <x v="11"/>
  </r>
  <r>
    <x v="51"/>
    <m/>
    <m/>
    <m/>
    <m/>
    <n v="0"/>
    <x v="0"/>
    <x v="0"/>
    <x v="3"/>
    <x v="12"/>
  </r>
  <r>
    <x v="52"/>
    <m/>
    <m/>
    <m/>
    <m/>
    <n v="0"/>
    <x v="0"/>
    <x v="0"/>
    <x v="3"/>
    <x v="12"/>
  </r>
  <r>
    <x v="53"/>
    <m/>
    <m/>
    <m/>
    <m/>
    <n v="0"/>
    <x v="0"/>
    <x v="0"/>
    <x v="3"/>
    <x v="12"/>
  </r>
  <r>
    <x v="54"/>
    <m/>
    <m/>
    <m/>
    <m/>
    <n v="0"/>
    <x v="0"/>
    <x v="0"/>
    <x v="3"/>
    <x v="12"/>
  </r>
  <r>
    <x v="55"/>
    <m/>
    <m/>
    <m/>
    <m/>
    <n v="0"/>
    <x v="0"/>
    <x v="0"/>
    <x v="3"/>
    <x v="12"/>
  </r>
  <r>
    <x v="56"/>
    <m/>
    <m/>
    <m/>
    <m/>
    <n v="0"/>
    <x v="0"/>
    <x v="0"/>
    <x v="3"/>
    <x v="13"/>
  </r>
  <r>
    <x v="57"/>
    <m/>
    <m/>
    <m/>
    <m/>
    <n v="0"/>
    <x v="0"/>
    <x v="0"/>
    <x v="3"/>
    <x v="13"/>
  </r>
  <r>
    <x v="58"/>
    <m/>
    <m/>
    <m/>
    <m/>
    <n v="0"/>
    <x v="0"/>
    <x v="0"/>
    <x v="3"/>
    <x v="13"/>
  </r>
  <r>
    <x v="59"/>
    <m/>
    <m/>
    <m/>
    <m/>
    <n v="0"/>
    <x v="0"/>
    <x v="0"/>
    <x v="3"/>
    <x v="13"/>
  </r>
  <r>
    <x v="60"/>
    <m/>
    <m/>
    <m/>
    <m/>
    <n v="0"/>
    <x v="0"/>
    <x v="0"/>
    <x v="3"/>
    <x v="13"/>
  </r>
  <r>
    <x v="61"/>
    <m/>
    <m/>
    <m/>
    <m/>
    <n v="0"/>
    <x v="0"/>
    <x v="0"/>
    <x v="3"/>
    <x v="14"/>
  </r>
  <r>
    <x v="62"/>
    <m/>
    <m/>
    <m/>
    <m/>
    <n v="0"/>
    <x v="0"/>
    <x v="0"/>
    <x v="3"/>
    <x v="14"/>
  </r>
  <r>
    <x v="63"/>
    <m/>
    <m/>
    <m/>
    <m/>
    <n v="0"/>
    <x v="0"/>
    <x v="0"/>
    <x v="3"/>
    <x v="14"/>
  </r>
  <r>
    <x v="64"/>
    <m/>
    <m/>
    <m/>
    <m/>
    <n v="0"/>
    <x v="0"/>
    <x v="0"/>
    <x v="3"/>
    <x v="14"/>
  </r>
  <r>
    <x v="65"/>
    <m/>
    <m/>
    <m/>
    <m/>
    <n v="0"/>
    <x v="0"/>
    <x v="0"/>
    <x v="3"/>
    <x v="14"/>
  </r>
  <r>
    <x v="66"/>
    <m/>
    <m/>
    <m/>
    <m/>
    <n v="0"/>
    <x v="0"/>
    <x v="0"/>
    <x v="4"/>
    <x v="15"/>
  </r>
  <r>
    <x v="67"/>
    <m/>
    <m/>
    <m/>
    <m/>
    <n v="0"/>
    <x v="0"/>
    <x v="0"/>
    <x v="4"/>
    <x v="15"/>
  </r>
  <r>
    <x v="68"/>
    <m/>
    <m/>
    <m/>
    <m/>
    <n v="0"/>
    <x v="0"/>
    <x v="0"/>
    <x v="4"/>
    <x v="15"/>
  </r>
  <r>
    <x v="69"/>
    <m/>
    <m/>
    <m/>
    <m/>
    <n v="0"/>
    <x v="0"/>
    <x v="0"/>
    <x v="4"/>
    <x v="15"/>
  </r>
  <r>
    <x v="70"/>
    <m/>
    <m/>
    <m/>
    <m/>
    <n v="0"/>
    <x v="0"/>
    <x v="0"/>
    <x v="4"/>
    <x v="15"/>
  </r>
  <r>
    <x v="71"/>
    <m/>
    <m/>
    <m/>
    <m/>
    <n v="0"/>
    <x v="0"/>
    <x v="0"/>
    <x v="4"/>
    <x v="16"/>
  </r>
  <r>
    <x v="72"/>
    <m/>
    <m/>
    <m/>
    <m/>
    <n v="0"/>
    <x v="0"/>
    <x v="0"/>
    <x v="4"/>
    <x v="16"/>
  </r>
  <r>
    <x v="73"/>
    <m/>
    <m/>
    <m/>
    <m/>
    <n v="0"/>
    <x v="0"/>
    <x v="0"/>
    <x v="4"/>
    <x v="16"/>
  </r>
  <r>
    <x v="74"/>
    <m/>
    <m/>
    <m/>
    <m/>
    <n v="0"/>
    <x v="0"/>
    <x v="0"/>
    <x v="4"/>
    <x v="16"/>
  </r>
  <r>
    <x v="75"/>
    <m/>
    <m/>
    <m/>
    <m/>
    <n v="0"/>
    <x v="0"/>
    <x v="0"/>
    <x v="4"/>
    <x v="16"/>
  </r>
  <r>
    <x v="76"/>
    <m/>
    <m/>
    <m/>
    <m/>
    <n v="0"/>
    <x v="0"/>
    <x v="0"/>
    <x v="4"/>
    <x v="17"/>
  </r>
  <r>
    <x v="77"/>
    <m/>
    <m/>
    <m/>
    <m/>
    <n v="0"/>
    <x v="0"/>
    <x v="0"/>
    <x v="4"/>
    <x v="17"/>
  </r>
  <r>
    <x v="78"/>
    <m/>
    <m/>
    <m/>
    <m/>
    <n v="0"/>
    <x v="0"/>
    <x v="0"/>
    <x v="4"/>
    <x v="17"/>
  </r>
  <r>
    <x v="79"/>
    <m/>
    <m/>
    <m/>
    <m/>
    <n v="0"/>
    <x v="0"/>
    <x v="0"/>
    <x v="4"/>
    <x v="17"/>
  </r>
  <r>
    <x v="80"/>
    <m/>
    <m/>
    <m/>
    <m/>
    <n v="0"/>
    <x v="0"/>
    <x v="0"/>
    <x v="4"/>
    <x v="17"/>
  </r>
  <r>
    <x v="81"/>
    <m/>
    <m/>
    <m/>
    <m/>
    <n v="0"/>
    <x v="0"/>
    <x v="0"/>
    <x v="4"/>
    <x v="18"/>
  </r>
  <r>
    <x v="82"/>
    <m/>
    <m/>
    <m/>
    <m/>
    <n v="0"/>
    <x v="0"/>
    <x v="0"/>
    <x v="4"/>
    <x v="18"/>
  </r>
  <r>
    <x v="83"/>
    <m/>
    <m/>
    <m/>
    <m/>
    <n v="0"/>
    <x v="0"/>
    <x v="0"/>
    <x v="4"/>
    <x v="18"/>
  </r>
  <r>
    <x v="84"/>
    <m/>
    <m/>
    <m/>
    <m/>
    <n v="0"/>
    <x v="0"/>
    <x v="0"/>
    <x v="4"/>
    <x v="18"/>
  </r>
  <r>
    <x v="85"/>
    <m/>
    <m/>
    <m/>
    <m/>
    <n v="0"/>
    <x v="0"/>
    <x v="0"/>
    <x v="4"/>
    <x v="18"/>
  </r>
  <r>
    <x v="86"/>
    <m/>
    <m/>
    <m/>
    <m/>
    <n v="0"/>
    <x v="0"/>
    <x v="0"/>
    <x v="5"/>
    <x v="19"/>
  </r>
  <r>
    <x v="87"/>
    <m/>
    <m/>
    <m/>
    <m/>
    <n v="0"/>
    <x v="0"/>
    <x v="0"/>
    <x v="5"/>
    <x v="19"/>
  </r>
  <r>
    <x v="88"/>
    <m/>
    <m/>
    <m/>
    <m/>
    <n v="0"/>
    <x v="0"/>
    <x v="0"/>
    <x v="5"/>
    <x v="19"/>
  </r>
  <r>
    <x v="89"/>
    <m/>
    <m/>
    <m/>
    <m/>
    <n v="0"/>
    <x v="0"/>
    <x v="0"/>
    <x v="5"/>
    <x v="19"/>
  </r>
  <r>
    <x v="90"/>
    <m/>
    <m/>
    <m/>
    <m/>
    <n v="0"/>
    <x v="0"/>
    <x v="0"/>
    <x v="5"/>
    <x v="19"/>
  </r>
  <r>
    <x v="91"/>
    <m/>
    <m/>
    <m/>
    <m/>
    <n v="0"/>
    <x v="0"/>
    <x v="0"/>
    <x v="5"/>
    <x v="20"/>
  </r>
  <r>
    <x v="92"/>
    <m/>
    <m/>
    <m/>
    <m/>
    <n v="0"/>
    <x v="0"/>
    <x v="0"/>
    <x v="5"/>
    <x v="20"/>
  </r>
  <r>
    <x v="93"/>
    <m/>
    <m/>
    <m/>
    <m/>
    <n v="0"/>
    <x v="0"/>
    <x v="0"/>
    <x v="5"/>
    <x v="20"/>
  </r>
  <r>
    <x v="94"/>
    <m/>
    <m/>
    <m/>
    <m/>
    <n v="0"/>
    <x v="0"/>
    <x v="0"/>
    <x v="5"/>
    <x v="20"/>
  </r>
  <r>
    <x v="95"/>
    <m/>
    <m/>
    <m/>
    <m/>
    <n v="0"/>
    <x v="0"/>
    <x v="0"/>
    <x v="5"/>
    <x v="20"/>
  </r>
  <r>
    <x v="96"/>
    <m/>
    <m/>
    <m/>
    <m/>
    <n v="0"/>
    <x v="0"/>
    <x v="0"/>
    <x v="5"/>
    <x v="21"/>
  </r>
  <r>
    <x v="97"/>
    <m/>
    <m/>
    <m/>
    <m/>
    <n v="0"/>
    <x v="0"/>
    <x v="0"/>
    <x v="5"/>
    <x v="21"/>
  </r>
  <r>
    <x v="98"/>
    <m/>
    <m/>
    <m/>
    <m/>
    <n v="0"/>
    <x v="0"/>
    <x v="0"/>
    <x v="5"/>
    <x v="21"/>
  </r>
  <r>
    <x v="99"/>
    <m/>
    <m/>
    <m/>
    <m/>
    <n v="0"/>
    <x v="0"/>
    <x v="0"/>
    <x v="5"/>
    <x v="21"/>
  </r>
  <r>
    <x v="100"/>
    <m/>
    <m/>
    <m/>
    <m/>
    <n v="0"/>
    <x v="0"/>
    <x v="0"/>
    <x v="5"/>
    <x v="21"/>
  </r>
  <r>
    <x v="101"/>
    <m/>
    <m/>
    <m/>
    <m/>
    <n v="0"/>
    <x v="0"/>
    <x v="0"/>
    <x v="5"/>
    <x v="22"/>
  </r>
  <r>
    <x v="102"/>
    <m/>
    <m/>
    <m/>
    <m/>
    <n v="0"/>
    <x v="0"/>
    <x v="0"/>
    <x v="5"/>
    <x v="22"/>
  </r>
  <r>
    <x v="103"/>
    <m/>
    <m/>
    <m/>
    <m/>
    <n v="0"/>
    <x v="0"/>
    <x v="0"/>
    <x v="5"/>
    <x v="22"/>
  </r>
  <r>
    <x v="104"/>
    <m/>
    <m/>
    <m/>
    <m/>
    <n v="0"/>
    <x v="0"/>
    <x v="0"/>
    <x v="5"/>
    <x v="22"/>
  </r>
  <r>
    <x v="105"/>
    <m/>
    <m/>
    <m/>
    <m/>
    <n v="0"/>
    <x v="0"/>
    <x v="0"/>
    <x v="5"/>
    <x v="22"/>
  </r>
  <r>
    <x v="106"/>
    <m/>
    <m/>
    <m/>
    <m/>
    <n v="0"/>
    <x v="0"/>
    <x v="0"/>
    <x v="5"/>
    <x v="23"/>
  </r>
  <r>
    <x v="107"/>
    <m/>
    <m/>
    <m/>
    <m/>
    <n v="0"/>
    <x v="0"/>
    <x v="0"/>
    <x v="5"/>
    <x v="23"/>
  </r>
  <r>
    <x v="108"/>
    <m/>
    <m/>
    <m/>
    <m/>
    <n v="0"/>
    <x v="0"/>
    <x v="1"/>
    <x v="6"/>
    <x v="24"/>
  </r>
  <r>
    <x v="109"/>
    <m/>
    <m/>
    <m/>
    <m/>
    <n v="0"/>
    <x v="1"/>
    <x v="1"/>
    <x v="6"/>
    <x v="25"/>
  </r>
  <r>
    <x v="110"/>
    <m/>
    <m/>
    <m/>
    <m/>
    <n v="0"/>
    <x v="1"/>
    <x v="1"/>
    <x v="6"/>
    <x v="25"/>
  </r>
  <r>
    <x v="111"/>
    <m/>
    <m/>
    <m/>
    <m/>
    <n v="0"/>
    <x v="1"/>
    <x v="1"/>
    <x v="6"/>
    <x v="26"/>
  </r>
  <r>
    <x v="112"/>
    <m/>
    <m/>
    <m/>
    <m/>
    <n v="0"/>
    <x v="1"/>
    <x v="1"/>
    <x v="6"/>
    <x v="26"/>
  </r>
  <r>
    <x v="113"/>
    <m/>
    <m/>
    <m/>
    <m/>
    <n v="0"/>
    <x v="1"/>
    <x v="1"/>
    <x v="6"/>
    <x v="26"/>
  </r>
  <r>
    <x v="114"/>
    <m/>
    <m/>
    <m/>
    <m/>
    <n v="0"/>
    <x v="1"/>
    <x v="1"/>
    <x v="6"/>
    <x v="26"/>
  </r>
  <r>
    <x v="115"/>
    <m/>
    <m/>
    <m/>
    <m/>
    <n v="0"/>
    <x v="1"/>
    <x v="1"/>
    <x v="6"/>
    <x v="26"/>
  </r>
  <r>
    <x v="116"/>
    <m/>
    <m/>
    <m/>
    <m/>
    <n v="0"/>
    <x v="1"/>
    <x v="1"/>
    <x v="6"/>
    <x v="27"/>
  </r>
  <r>
    <x v="117"/>
    <m/>
    <m/>
    <m/>
    <m/>
    <n v="0"/>
    <x v="1"/>
    <x v="1"/>
    <x v="6"/>
    <x v="27"/>
  </r>
  <r>
    <x v="118"/>
    <m/>
    <m/>
    <m/>
    <m/>
    <n v="0"/>
    <x v="1"/>
    <x v="1"/>
    <x v="6"/>
    <x v="27"/>
  </r>
  <r>
    <x v="119"/>
    <m/>
    <m/>
    <m/>
    <m/>
    <n v="0"/>
    <x v="1"/>
    <x v="1"/>
    <x v="6"/>
    <x v="27"/>
  </r>
  <r>
    <x v="120"/>
    <m/>
    <m/>
    <m/>
    <m/>
    <n v="0"/>
    <x v="1"/>
    <x v="1"/>
    <x v="6"/>
    <x v="27"/>
  </r>
  <r>
    <x v="121"/>
    <m/>
    <m/>
    <m/>
    <m/>
    <n v="0"/>
    <x v="1"/>
    <x v="1"/>
    <x v="6"/>
    <x v="28"/>
  </r>
  <r>
    <x v="122"/>
    <m/>
    <m/>
    <m/>
    <m/>
    <n v="0"/>
    <x v="1"/>
    <x v="1"/>
    <x v="6"/>
    <x v="28"/>
  </r>
  <r>
    <x v="123"/>
    <m/>
    <m/>
    <m/>
    <m/>
    <n v="0"/>
    <x v="1"/>
    <x v="1"/>
    <x v="6"/>
    <x v="28"/>
  </r>
  <r>
    <x v="124"/>
    <m/>
    <m/>
    <m/>
    <m/>
    <n v="0"/>
    <x v="1"/>
    <x v="1"/>
    <x v="6"/>
    <x v="28"/>
  </r>
  <r>
    <x v="125"/>
    <m/>
    <m/>
    <m/>
    <m/>
    <n v="0"/>
    <x v="1"/>
    <x v="1"/>
    <x v="6"/>
    <x v="28"/>
  </r>
  <r>
    <x v="126"/>
    <m/>
    <m/>
    <m/>
    <m/>
    <n v="0"/>
    <x v="1"/>
    <x v="1"/>
    <x v="7"/>
    <x v="29"/>
  </r>
  <r>
    <x v="127"/>
    <m/>
    <m/>
    <m/>
    <m/>
    <n v="0"/>
    <x v="1"/>
    <x v="1"/>
    <x v="7"/>
    <x v="29"/>
  </r>
  <r>
    <x v="128"/>
    <m/>
    <m/>
    <m/>
    <m/>
    <n v="0"/>
    <x v="1"/>
    <x v="1"/>
    <x v="7"/>
    <x v="29"/>
  </r>
  <r>
    <x v="129"/>
    <m/>
    <m/>
    <m/>
    <m/>
    <n v="0"/>
    <x v="1"/>
    <x v="1"/>
    <x v="7"/>
    <x v="29"/>
  </r>
  <r>
    <x v="130"/>
    <m/>
    <m/>
    <m/>
    <m/>
    <n v="0"/>
    <x v="1"/>
    <x v="1"/>
    <x v="7"/>
    <x v="29"/>
  </r>
  <r>
    <x v="131"/>
    <m/>
    <m/>
    <m/>
    <m/>
    <n v="0"/>
    <x v="1"/>
    <x v="1"/>
    <x v="7"/>
    <x v="30"/>
  </r>
  <r>
    <x v="132"/>
    <m/>
    <m/>
    <m/>
    <m/>
    <n v="0"/>
    <x v="1"/>
    <x v="1"/>
    <x v="7"/>
    <x v="30"/>
  </r>
  <r>
    <x v="133"/>
    <m/>
    <m/>
    <m/>
    <m/>
    <n v="0"/>
    <x v="1"/>
    <x v="1"/>
    <x v="7"/>
    <x v="30"/>
  </r>
  <r>
    <x v="134"/>
    <m/>
    <m/>
    <m/>
    <m/>
    <n v="0"/>
    <x v="1"/>
    <x v="1"/>
    <x v="7"/>
    <x v="30"/>
  </r>
  <r>
    <x v="135"/>
    <m/>
    <m/>
    <m/>
    <m/>
    <n v="0"/>
    <x v="1"/>
    <x v="1"/>
    <x v="7"/>
    <x v="30"/>
  </r>
  <r>
    <x v="136"/>
    <m/>
    <m/>
    <m/>
    <m/>
    <n v="0"/>
    <x v="1"/>
    <x v="1"/>
    <x v="7"/>
    <x v="31"/>
  </r>
  <r>
    <x v="137"/>
    <m/>
    <m/>
    <m/>
    <m/>
    <n v="0"/>
    <x v="1"/>
    <x v="1"/>
    <x v="7"/>
    <x v="31"/>
  </r>
  <r>
    <x v="138"/>
    <m/>
    <m/>
    <m/>
    <m/>
    <n v="0"/>
    <x v="1"/>
    <x v="1"/>
    <x v="7"/>
    <x v="31"/>
  </r>
  <r>
    <x v="139"/>
    <m/>
    <m/>
    <m/>
    <m/>
    <n v="0"/>
    <x v="1"/>
    <x v="1"/>
    <x v="7"/>
    <x v="31"/>
  </r>
  <r>
    <x v="140"/>
    <m/>
    <m/>
    <m/>
    <m/>
    <n v="0"/>
    <x v="1"/>
    <x v="1"/>
    <x v="7"/>
    <x v="31"/>
  </r>
  <r>
    <x v="141"/>
    <m/>
    <m/>
    <m/>
    <m/>
    <n v="0"/>
    <x v="1"/>
    <x v="1"/>
    <x v="7"/>
    <x v="32"/>
  </r>
  <r>
    <x v="142"/>
    <m/>
    <m/>
    <m/>
    <m/>
    <n v="0"/>
    <x v="1"/>
    <x v="1"/>
    <x v="7"/>
    <x v="32"/>
  </r>
  <r>
    <x v="143"/>
    <m/>
    <m/>
    <m/>
    <m/>
    <n v="0"/>
    <x v="1"/>
    <x v="1"/>
    <x v="7"/>
    <x v="32"/>
  </r>
  <r>
    <x v="144"/>
    <m/>
    <m/>
    <m/>
    <m/>
    <n v="0"/>
    <x v="1"/>
    <x v="1"/>
    <x v="7"/>
    <x v="32"/>
  </r>
  <r>
    <x v="145"/>
    <m/>
    <m/>
    <m/>
    <m/>
    <n v="0"/>
    <x v="1"/>
    <x v="1"/>
    <x v="7"/>
    <x v="32"/>
  </r>
  <r>
    <x v="146"/>
    <m/>
    <m/>
    <m/>
    <m/>
    <n v="0"/>
    <x v="1"/>
    <x v="1"/>
    <x v="7"/>
    <x v="33"/>
  </r>
  <r>
    <x v="147"/>
    <m/>
    <m/>
    <m/>
    <m/>
    <n v="0"/>
    <x v="1"/>
    <x v="1"/>
    <x v="8"/>
    <x v="33"/>
  </r>
  <r>
    <x v="148"/>
    <m/>
    <m/>
    <m/>
    <m/>
    <n v="0"/>
    <x v="1"/>
    <x v="1"/>
    <x v="8"/>
    <x v="33"/>
  </r>
  <r>
    <x v="149"/>
    <m/>
    <m/>
    <m/>
    <m/>
    <n v="0"/>
    <x v="1"/>
    <x v="1"/>
    <x v="8"/>
    <x v="33"/>
  </r>
  <r>
    <x v="150"/>
    <m/>
    <m/>
    <m/>
    <m/>
    <n v="0"/>
    <x v="1"/>
    <x v="1"/>
    <x v="8"/>
    <x v="33"/>
  </r>
  <r>
    <x v="151"/>
    <m/>
    <m/>
    <m/>
    <m/>
    <n v="0"/>
    <x v="1"/>
    <x v="1"/>
    <x v="8"/>
    <x v="34"/>
  </r>
  <r>
    <x v="152"/>
    <m/>
    <m/>
    <m/>
    <m/>
    <n v="0"/>
    <x v="1"/>
    <x v="1"/>
    <x v="8"/>
    <x v="34"/>
  </r>
  <r>
    <x v="153"/>
    <m/>
    <m/>
    <m/>
    <m/>
    <n v="0"/>
    <x v="1"/>
    <x v="1"/>
    <x v="8"/>
    <x v="34"/>
  </r>
  <r>
    <x v="154"/>
    <m/>
    <m/>
    <m/>
    <m/>
    <n v="0"/>
    <x v="1"/>
    <x v="1"/>
    <x v="8"/>
    <x v="34"/>
  </r>
  <r>
    <x v="155"/>
    <m/>
    <m/>
    <m/>
    <m/>
    <n v="0"/>
    <x v="1"/>
    <x v="1"/>
    <x v="8"/>
    <x v="34"/>
  </r>
  <r>
    <x v="156"/>
    <m/>
    <m/>
    <m/>
    <m/>
    <n v="0"/>
    <x v="1"/>
    <x v="1"/>
    <x v="8"/>
    <x v="35"/>
  </r>
  <r>
    <x v="157"/>
    <m/>
    <m/>
    <m/>
    <m/>
    <n v="0"/>
    <x v="1"/>
    <x v="1"/>
    <x v="8"/>
    <x v="35"/>
  </r>
  <r>
    <x v="158"/>
    <m/>
    <m/>
    <m/>
    <m/>
    <n v="0"/>
    <x v="1"/>
    <x v="1"/>
    <x v="8"/>
    <x v="35"/>
  </r>
  <r>
    <x v="159"/>
    <m/>
    <m/>
    <m/>
    <m/>
    <n v="0"/>
    <x v="1"/>
    <x v="1"/>
    <x v="8"/>
    <x v="35"/>
  </r>
  <r>
    <x v="160"/>
    <m/>
    <m/>
    <m/>
    <m/>
    <n v="0"/>
    <x v="1"/>
    <x v="1"/>
    <x v="8"/>
    <x v="35"/>
  </r>
  <r>
    <x v="161"/>
    <m/>
    <m/>
    <m/>
    <m/>
    <n v="0"/>
    <x v="1"/>
    <x v="1"/>
    <x v="8"/>
    <x v="36"/>
  </r>
  <r>
    <x v="162"/>
    <m/>
    <m/>
    <m/>
    <m/>
    <n v="0"/>
    <x v="1"/>
    <x v="1"/>
    <x v="8"/>
    <x v="36"/>
  </r>
  <r>
    <x v="163"/>
    <m/>
    <m/>
    <m/>
    <m/>
    <n v="0"/>
    <x v="1"/>
    <x v="1"/>
    <x v="8"/>
    <x v="36"/>
  </r>
  <r>
    <x v="164"/>
    <m/>
    <m/>
    <m/>
    <m/>
    <n v="0"/>
    <x v="1"/>
    <x v="1"/>
    <x v="8"/>
    <x v="36"/>
  </r>
  <r>
    <x v="165"/>
    <m/>
    <m/>
    <m/>
    <m/>
    <n v="0"/>
    <x v="1"/>
    <x v="1"/>
    <x v="8"/>
    <x v="36"/>
  </r>
  <r>
    <x v="166"/>
    <m/>
    <m/>
    <m/>
    <m/>
    <n v="0"/>
    <x v="1"/>
    <x v="1"/>
    <x v="8"/>
    <x v="37"/>
  </r>
  <r>
    <x v="167"/>
    <m/>
    <m/>
    <m/>
    <m/>
    <n v="0"/>
    <x v="1"/>
    <x v="1"/>
    <x v="8"/>
    <x v="37"/>
  </r>
  <r>
    <x v="168"/>
    <m/>
    <m/>
    <m/>
    <m/>
    <n v="0"/>
    <x v="1"/>
    <x v="1"/>
    <x v="8"/>
    <x v="37"/>
  </r>
  <r>
    <x v="169"/>
    <m/>
    <m/>
    <m/>
    <m/>
    <n v="0"/>
    <x v="1"/>
    <x v="1"/>
    <x v="8"/>
    <x v="37"/>
  </r>
  <r>
    <x v="170"/>
    <m/>
    <m/>
    <m/>
    <m/>
    <n v="0"/>
    <x v="1"/>
    <x v="1"/>
    <x v="9"/>
    <x v="37"/>
  </r>
  <r>
    <x v="171"/>
    <m/>
    <m/>
    <m/>
    <m/>
    <n v="0"/>
    <x v="1"/>
    <x v="1"/>
    <x v="9"/>
    <x v="38"/>
  </r>
  <r>
    <x v="172"/>
    <m/>
    <m/>
    <m/>
    <m/>
    <n v="0"/>
    <x v="1"/>
    <x v="1"/>
    <x v="9"/>
    <x v="38"/>
  </r>
  <r>
    <x v="173"/>
    <m/>
    <m/>
    <m/>
    <m/>
    <n v="0"/>
    <x v="1"/>
    <x v="1"/>
    <x v="9"/>
    <x v="38"/>
  </r>
  <r>
    <x v="174"/>
    <m/>
    <m/>
    <m/>
    <m/>
    <n v="0"/>
    <x v="1"/>
    <x v="1"/>
    <x v="9"/>
    <x v="38"/>
  </r>
  <r>
    <x v="175"/>
    <m/>
    <m/>
    <m/>
    <m/>
    <n v="0"/>
    <x v="1"/>
    <x v="1"/>
    <x v="9"/>
    <x v="38"/>
  </r>
  <r>
    <x v="176"/>
    <m/>
    <m/>
    <m/>
    <m/>
    <n v="0"/>
    <x v="1"/>
    <x v="1"/>
    <x v="9"/>
    <x v="39"/>
  </r>
  <r>
    <x v="177"/>
    <m/>
    <m/>
    <m/>
    <m/>
    <n v="0"/>
    <x v="1"/>
    <x v="1"/>
    <x v="9"/>
    <x v="39"/>
  </r>
  <r>
    <x v="178"/>
    <m/>
    <m/>
    <m/>
    <m/>
    <n v="0"/>
    <x v="1"/>
    <x v="1"/>
    <x v="9"/>
    <x v="39"/>
  </r>
  <r>
    <x v="179"/>
    <m/>
    <m/>
    <m/>
    <m/>
    <n v="0"/>
    <x v="1"/>
    <x v="1"/>
    <x v="9"/>
    <x v="39"/>
  </r>
  <r>
    <x v="180"/>
    <m/>
    <m/>
    <m/>
    <m/>
    <n v="0"/>
    <x v="1"/>
    <x v="1"/>
    <x v="9"/>
    <x v="39"/>
  </r>
  <r>
    <x v="181"/>
    <m/>
    <m/>
    <m/>
    <m/>
    <n v="0"/>
    <x v="1"/>
    <x v="1"/>
    <x v="9"/>
    <x v="40"/>
  </r>
  <r>
    <x v="182"/>
    <m/>
    <m/>
    <m/>
    <m/>
    <n v="0"/>
    <x v="1"/>
    <x v="1"/>
    <x v="9"/>
    <x v="40"/>
  </r>
  <r>
    <x v="183"/>
    <m/>
    <m/>
    <m/>
    <m/>
    <n v="0"/>
    <x v="1"/>
    <x v="1"/>
    <x v="9"/>
    <x v="40"/>
  </r>
  <r>
    <x v="184"/>
    <m/>
    <m/>
    <m/>
    <m/>
    <n v="0"/>
    <x v="1"/>
    <x v="1"/>
    <x v="9"/>
    <x v="40"/>
  </r>
  <r>
    <x v="185"/>
    <m/>
    <m/>
    <m/>
    <m/>
    <n v="0"/>
    <x v="1"/>
    <x v="1"/>
    <x v="9"/>
    <x v="40"/>
  </r>
  <r>
    <x v="186"/>
    <m/>
    <m/>
    <m/>
    <m/>
    <n v="0"/>
    <x v="1"/>
    <x v="1"/>
    <x v="9"/>
    <x v="41"/>
  </r>
  <r>
    <x v="187"/>
    <m/>
    <m/>
    <m/>
    <m/>
    <n v="0"/>
    <x v="1"/>
    <x v="1"/>
    <x v="9"/>
    <x v="41"/>
  </r>
  <r>
    <x v="188"/>
    <m/>
    <m/>
    <m/>
    <m/>
    <n v="0"/>
    <x v="1"/>
    <x v="1"/>
    <x v="9"/>
    <x v="41"/>
  </r>
  <r>
    <x v="189"/>
    <m/>
    <m/>
    <m/>
    <m/>
    <n v="0"/>
    <x v="1"/>
    <x v="1"/>
    <x v="9"/>
    <x v="41"/>
  </r>
  <r>
    <x v="190"/>
    <m/>
    <m/>
    <m/>
    <m/>
    <n v="0"/>
    <x v="1"/>
    <x v="1"/>
    <x v="9"/>
    <x v="41"/>
  </r>
  <r>
    <x v="191"/>
    <m/>
    <m/>
    <m/>
    <m/>
    <n v="0"/>
    <x v="1"/>
    <x v="1"/>
    <x v="10"/>
    <x v="42"/>
  </r>
  <r>
    <x v="192"/>
    <m/>
    <m/>
    <m/>
    <m/>
    <n v="0"/>
    <x v="1"/>
    <x v="1"/>
    <x v="10"/>
    <x v="42"/>
  </r>
  <r>
    <x v="193"/>
    <m/>
    <m/>
    <m/>
    <m/>
    <n v="0"/>
    <x v="1"/>
    <x v="1"/>
    <x v="10"/>
    <x v="42"/>
  </r>
  <r>
    <x v="194"/>
    <m/>
    <m/>
    <m/>
    <m/>
    <n v="0"/>
    <x v="1"/>
    <x v="1"/>
    <x v="10"/>
    <x v="42"/>
  </r>
  <r>
    <x v="195"/>
    <m/>
    <m/>
    <m/>
    <m/>
    <n v="0"/>
    <x v="1"/>
    <x v="1"/>
    <x v="10"/>
    <x v="42"/>
  </r>
  <r>
    <x v="196"/>
    <m/>
    <m/>
    <m/>
    <m/>
    <n v="0"/>
    <x v="1"/>
    <x v="1"/>
    <x v="10"/>
    <x v="43"/>
  </r>
  <r>
    <x v="197"/>
    <m/>
    <m/>
    <m/>
    <m/>
    <n v="0"/>
    <x v="1"/>
    <x v="1"/>
    <x v="10"/>
    <x v="43"/>
  </r>
  <r>
    <x v="198"/>
    <m/>
    <m/>
    <m/>
    <m/>
    <n v="0"/>
    <x v="1"/>
    <x v="1"/>
    <x v="10"/>
    <x v="43"/>
  </r>
  <r>
    <x v="199"/>
    <m/>
    <m/>
    <m/>
    <m/>
    <n v="0"/>
    <x v="1"/>
    <x v="1"/>
    <x v="10"/>
    <x v="43"/>
  </r>
  <r>
    <x v="200"/>
    <m/>
    <m/>
    <m/>
    <m/>
    <n v="0"/>
    <x v="1"/>
    <x v="1"/>
    <x v="10"/>
    <x v="43"/>
  </r>
  <r>
    <x v="201"/>
    <m/>
    <m/>
    <m/>
    <m/>
    <n v="0"/>
    <x v="1"/>
    <x v="1"/>
    <x v="10"/>
    <x v="44"/>
  </r>
  <r>
    <x v="202"/>
    <m/>
    <m/>
    <m/>
    <m/>
    <n v="0"/>
    <x v="1"/>
    <x v="1"/>
    <x v="10"/>
    <x v="44"/>
  </r>
  <r>
    <x v="203"/>
    <m/>
    <m/>
    <m/>
    <m/>
    <n v="0"/>
    <x v="1"/>
    <x v="1"/>
    <x v="10"/>
    <x v="44"/>
  </r>
  <r>
    <x v="204"/>
    <m/>
    <m/>
    <m/>
    <m/>
    <n v="0"/>
    <x v="1"/>
    <x v="1"/>
    <x v="10"/>
    <x v="44"/>
  </r>
  <r>
    <x v="205"/>
    <m/>
    <m/>
    <m/>
    <m/>
    <n v="0"/>
    <x v="1"/>
    <x v="1"/>
    <x v="10"/>
    <x v="44"/>
  </r>
  <r>
    <x v="206"/>
    <m/>
    <m/>
    <m/>
    <m/>
    <n v="0"/>
    <x v="1"/>
    <x v="1"/>
    <x v="10"/>
    <x v="45"/>
  </r>
  <r>
    <x v="207"/>
    <m/>
    <m/>
    <m/>
    <m/>
    <n v="0"/>
    <x v="1"/>
    <x v="1"/>
    <x v="10"/>
    <x v="45"/>
  </r>
  <r>
    <x v="208"/>
    <m/>
    <m/>
    <m/>
    <m/>
    <n v="0"/>
    <x v="1"/>
    <x v="1"/>
    <x v="10"/>
    <x v="45"/>
  </r>
  <r>
    <x v="209"/>
    <m/>
    <m/>
    <m/>
    <m/>
    <n v="0"/>
    <x v="1"/>
    <x v="1"/>
    <x v="10"/>
    <x v="45"/>
  </r>
  <r>
    <x v="210"/>
    <m/>
    <m/>
    <m/>
    <m/>
    <n v="0"/>
    <x v="1"/>
    <x v="1"/>
    <x v="10"/>
    <x v="45"/>
  </r>
  <r>
    <x v="211"/>
    <m/>
    <m/>
    <m/>
    <m/>
    <n v="0"/>
    <x v="1"/>
    <x v="1"/>
    <x v="10"/>
    <x v="46"/>
  </r>
  <r>
    <x v="212"/>
    <m/>
    <m/>
    <m/>
    <m/>
    <n v="0"/>
    <x v="1"/>
    <x v="1"/>
    <x v="10"/>
    <x v="46"/>
  </r>
  <r>
    <x v="213"/>
    <m/>
    <m/>
    <m/>
    <m/>
    <n v="0"/>
    <x v="1"/>
    <x v="1"/>
    <x v="11"/>
    <x v="46"/>
  </r>
  <r>
    <x v="214"/>
    <m/>
    <m/>
    <m/>
    <m/>
    <n v="0"/>
    <x v="1"/>
    <x v="1"/>
    <x v="11"/>
    <x v="46"/>
  </r>
  <r>
    <x v="215"/>
    <m/>
    <m/>
    <m/>
    <m/>
    <n v="0"/>
    <x v="1"/>
    <x v="1"/>
    <x v="11"/>
    <x v="46"/>
  </r>
  <r>
    <x v="216"/>
    <m/>
    <m/>
    <m/>
    <m/>
    <n v="0"/>
    <x v="1"/>
    <x v="1"/>
    <x v="11"/>
    <x v="47"/>
  </r>
  <r>
    <x v="217"/>
    <m/>
    <m/>
    <m/>
    <m/>
    <n v="0"/>
    <x v="1"/>
    <x v="1"/>
    <x v="11"/>
    <x v="47"/>
  </r>
  <r>
    <x v="218"/>
    <m/>
    <m/>
    <m/>
    <m/>
    <n v="0"/>
    <x v="1"/>
    <x v="1"/>
    <x v="11"/>
    <x v="47"/>
  </r>
  <r>
    <x v="219"/>
    <m/>
    <m/>
    <m/>
    <m/>
    <n v="0"/>
    <x v="1"/>
    <x v="1"/>
    <x v="11"/>
    <x v="47"/>
  </r>
  <r>
    <x v="220"/>
    <m/>
    <m/>
    <m/>
    <m/>
    <n v="0"/>
    <x v="1"/>
    <x v="1"/>
    <x v="11"/>
    <x v="47"/>
  </r>
  <r>
    <x v="221"/>
    <m/>
    <m/>
    <m/>
    <m/>
    <n v="0"/>
    <x v="1"/>
    <x v="1"/>
    <x v="11"/>
    <x v="48"/>
  </r>
  <r>
    <x v="222"/>
    <m/>
    <m/>
    <m/>
    <m/>
    <n v="0"/>
    <x v="1"/>
    <x v="1"/>
    <x v="11"/>
    <x v="48"/>
  </r>
  <r>
    <x v="223"/>
    <m/>
    <m/>
    <m/>
    <m/>
    <n v="0"/>
    <x v="1"/>
    <x v="1"/>
    <x v="11"/>
    <x v="48"/>
  </r>
  <r>
    <x v="224"/>
    <m/>
    <m/>
    <m/>
    <m/>
    <n v="0"/>
    <x v="1"/>
    <x v="1"/>
    <x v="11"/>
    <x v="48"/>
  </r>
  <r>
    <x v="225"/>
    <m/>
    <m/>
    <m/>
    <m/>
    <n v="0"/>
    <x v="1"/>
    <x v="1"/>
    <x v="11"/>
    <x v="48"/>
  </r>
  <r>
    <x v="226"/>
    <m/>
    <m/>
    <m/>
    <m/>
    <n v="0"/>
    <x v="1"/>
    <x v="1"/>
    <x v="11"/>
    <x v="49"/>
  </r>
  <r>
    <x v="227"/>
    <m/>
    <m/>
    <m/>
    <m/>
    <n v="0"/>
    <x v="1"/>
    <x v="1"/>
    <x v="11"/>
    <x v="49"/>
  </r>
  <r>
    <x v="228"/>
    <m/>
    <m/>
    <m/>
    <m/>
    <n v="0"/>
    <x v="1"/>
    <x v="1"/>
    <x v="11"/>
    <x v="49"/>
  </r>
  <r>
    <x v="229"/>
    <m/>
    <m/>
    <m/>
    <m/>
    <n v="0"/>
    <x v="1"/>
    <x v="1"/>
    <x v="11"/>
    <x v="49"/>
  </r>
  <r>
    <x v="230"/>
    <m/>
    <m/>
    <m/>
    <m/>
    <n v="0"/>
    <x v="1"/>
    <x v="1"/>
    <x v="11"/>
    <x v="49"/>
  </r>
  <r>
    <x v="231"/>
    <m/>
    <m/>
    <m/>
    <m/>
    <n v="0"/>
    <x v="1"/>
    <x v="1"/>
    <x v="11"/>
    <x v="50"/>
  </r>
  <r>
    <x v="232"/>
    <m/>
    <m/>
    <m/>
    <m/>
    <n v="0"/>
    <x v="1"/>
    <x v="1"/>
    <x v="11"/>
    <x v="50"/>
  </r>
  <r>
    <x v="233"/>
    <m/>
    <m/>
    <m/>
    <m/>
    <n v="0"/>
    <x v="1"/>
    <x v="1"/>
    <x v="11"/>
    <x v="50"/>
  </r>
  <r>
    <x v="234"/>
    <m/>
    <m/>
    <m/>
    <m/>
    <n v="0"/>
    <x v="1"/>
    <x v="1"/>
    <x v="11"/>
    <x v="50"/>
  </r>
  <r>
    <x v="235"/>
    <m/>
    <m/>
    <m/>
    <m/>
    <n v="0"/>
    <x v="1"/>
    <x v="1"/>
    <x v="11"/>
    <x v="50"/>
  </r>
  <r>
    <x v="236"/>
    <m/>
    <m/>
    <m/>
    <m/>
    <n v="0"/>
    <x v="1"/>
    <x v="1"/>
    <x v="0"/>
    <x v="51"/>
  </r>
  <r>
    <x v="237"/>
    <m/>
    <m/>
    <m/>
    <m/>
    <n v="0"/>
    <x v="1"/>
    <x v="1"/>
    <x v="0"/>
    <x v="51"/>
  </r>
  <r>
    <x v="238"/>
    <m/>
    <m/>
    <m/>
    <m/>
    <n v="0"/>
    <x v="1"/>
    <x v="1"/>
    <x v="0"/>
    <x v="51"/>
  </r>
  <r>
    <x v="239"/>
    <m/>
    <m/>
    <m/>
    <m/>
    <n v="0"/>
    <x v="1"/>
    <x v="1"/>
    <x v="0"/>
    <x v="51"/>
  </r>
  <r>
    <x v="240"/>
    <m/>
    <m/>
    <m/>
    <m/>
    <n v="0"/>
    <x v="1"/>
    <x v="1"/>
    <x v="0"/>
    <x v="51"/>
  </r>
  <r>
    <x v="241"/>
    <m/>
    <m/>
    <m/>
    <m/>
    <n v="0"/>
    <x v="1"/>
    <x v="1"/>
    <x v="0"/>
    <x v="52"/>
  </r>
  <r>
    <x v="242"/>
    <m/>
    <m/>
    <m/>
    <m/>
    <n v="0"/>
    <x v="1"/>
    <x v="1"/>
    <x v="0"/>
    <x v="52"/>
  </r>
  <r>
    <x v="243"/>
    <m/>
    <m/>
    <m/>
    <m/>
    <n v="0"/>
    <x v="1"/>
    <x v="1"/>
    <x v="0"/>
    <x v="52"/>
  </r>
  <r>
    <x v="244"/>
    <m/>
    <m/>
    <m/>
    <m/>
    <n v="0"/>
    <x v="1"/>
    <x v="1"/>
    <x v="0"/>
    <x v="52"/>
  </r>
  <r>
    <x v="245"/>
    <m/>
    <m/>
    <m/>
    <m/>
    <n v="0"/>
    <x v="1"/>
    <x v="1"/>
    <x v="0"/>
    <x v="52"/>
  </r>
  <r>
    <x v="246"/>
    <m/>
    <m/>
    <m/>
    <m/>
    <n v="0"/>
    <x v="1"/>
    <x v="1"/>
    <x v="0"/>
    <x v="0"/>
  </r>
  <r>
    <x v="247"/>
    <m/>
    <m/>
    <m/>
    <m/>
    <n v="0"/>
    <x v="1"/>
    <x v="1"/>
    <x v="0"/>
    <x v="0"/>
  </r>
  <r>
    <x v="109"/>
    <m/>
    <m/>
    <m/>
    <m/>
    <n v="0"/>
    <x v="1"/>
    <x v="1"/>
    <x v="6"/>
    <x v="25"/>
  </r>
  <r>
    <x v="248"/>
    <m/>
    <m/>
    <m/>
    <m/>
    <n v="0"/>
    <x v="1"/>
    <x v="1"/>
    <x v="0"/>
    <x v="0"/>
  </r>
  <r>
    <x v="249"/>
    <m/>
    <m/>
    <m/>
    <m/>
    <n v="0"/>
    <x v="1"/>
    <x v="1"/>
    <x v="0"/>
    <x v="0"/>
  </r>
  <r>
    <x v="250"/>
    <m/>
    <m/>
    <m/>
    <m/>
    <n v="0"/>
    <x v="1"/>
    <x v="1"/>
    <x v="0"/>
    <x v="1"/>
  </r>
  <r>
    <x v="251"/>
    <m/>
    <m/>
    <m/>
    <m/>
    <n v="0"/>
    <x v="1"/>
    <x v="1"/>
    <x v="0"/>
    <x v="1"/>
  </r>
  <r>
    <x v="252"/>
    <m/>
    <m/>
    <m/>
    <m/>
    <n v="0"/>
    <x v="1"/>
    <x v="1"/>
    <x v="0"/>
    <x v="1"/>
  </r>
  <r>
    <x v="253"/>
    <m/>
    <m/>
    <m/>
    <m/>
    <n v="0"/>
    <x v="1"/>
    <x v="1"/>
    <x v="0"/>
    <x v="1"/>
  </r>
  <r>
    <x v="254"/>
    <m/>
    <m/>
    <m/>
    <m/>
    <n v="0"/>
    <x v="1"/>
    <x v="1"/>
    <x v="0"/>
    <x v="1"/>
  </r>
  <r>
    <x v="255"/>
    <m/>
    <m/>
    <m/>
    <m/>
    <n v="0"/>
    <x v="1"/>
    <x v="1"/>
    <x v="1"/>
    <x v="2"/>
  </r>
  <r>
    <x v="256"/>
    <m/>
    <m/>
    <m/>
    <m/>
    <n v="0"/>
    <x v="1"/>
    <x v="1"/>
    <x v="1"/>
    <x v="2"/>
  </r>
  <r>
    <x v="257"/>
    <m/>
    <m/>
    <m/>
    <m/>
    <n v="0"/>
    <x v="1"/>
    <x v="1"/>
    <x v="1"/>
    <x v="2"/>
  </r>
  <r>
    <x v="258"/>
    <m/>
    <m/>
    <m/>
    <m/>
    <n v="0"/>
    <x v="1"/>
    <x v="1"/>
    <x v="1"/>
    <x v="2"/>
  </r>
  <r>
    <x v="259"/>
    <m/>
    <m/>
    <m/>
    <m/>
    <n v="0"/>
    <x v="1"/>
    <x v="1"/>
    <x v="1"/>
    <x v="2"/>
  </r>
  <r>
    <x v="260"/>
    <m/>
    <m/>
    <m/>
    <m/>
    <n v="0"/>
    <x v="1"/>
    <x v="1"/>
    <x v="1"/>
    <x v="3"/>
  </r>
  <r>
    <x v="261"/>
    <m/>
    <m/>
    <m/>
    <m/>
    <n v="0"/>
    <x v="1"/>
    <x v="1"/>
    <x v="1"/>
    <x v="3"/>
  </r>
  <r>
    <x v="262"/>
    <m/>
    <m/>
    <m/>
    <m/>
    <n v="0"/>
    <x v="1"/>
    <x v="1"/>
    <x v="1"/>
    <x v="3"/>
  </r>
  <r>
    <x v="263"/>
    <m/>
    <m/>
    <m/>
    <m/>
    <n v="0"/>
    <x v="1"/>
    <x v="1"/>
    <x v="1"/>
    <x v="3"/>
  </r>
  <r>
    <x v="264"/>
    <m/>
    <m/>
    <m/>
    <m/>
    <n v="0"/>
    <x v="1"/>
    <x v="1"/>
    <x v="1"/>
    <x v="4"/>
  </r>
  <r>
    <x v="265"/>
    <m/>
    <m/>
    <m/>
    <m/>
    <n v="0"/>
    <x v="1"/>
    <x v="1"/>
    <x v="1"/>
    <x v="4"/>
  </r>
  <r>
    <x v="266"/>
    <m/>
    <m/>
    <m/>
    <m/>
    <n v="0"/>
    <x v="1"/>
    <x v="1"/>
    <x v="1"/>
    <x v="4"/>
  </r>
  <r>
    <x v="267"/>
    <m/>
    <m/>
    <m/>
    <m/>
    <n v="0"/>
    <x v="1"/>
    <x v="1"/>
    <x v="1"/>
    <x v="4"/>
  </r>
  <r>
    <x v="268"/>
    <m/>
    <m/>
    <m/>
    <m/>
    <n v="0"/>
    <x v="1"/>
    <x v="1"/>
    <x v="1"/>
    <x v="5"/>
  </r>
  <r>
    <x v="269"/>
    <m/>
    <m/>
    <m/>
    <m/>
    <n v="0"/>
    <x v="1"/>
    <x v="1"/>
    <x v="1"/>
    <x v="5"/>
  </r>
  <r>
    <x v="270"/>
    <m/>
    <m/>
    <m/>
    <m/>
    <n v="0"/>
    <x v="1"/>
    <x v="1"/>
    <x v="1"/>
    <x v="5"/>
  </r>
  <r>
    <x v="271"/>
    <m/>
    <m/>
    <m/>
    <m/>
    <n v="0"/>
    <x v="1"/>
    <x v="1"/>
    <x v="1"/>
    <x v="5"/>
  </r>
  <r>
    <x v="272"/>
    <m/>
    <m/>
    <m/>
    <m/>
    <n v="0"/>
    <x v="1"/>
    <x v="1"/>
    <x v="1"/>
    <x v="6"/>
  </r>
  <r>
    <x v="273"/>
    <m/>
    <m/>
    <m/>
    <m/>
    <n v="0"/>
    <x v="1"/>
    <x v="1"/>
    <x v="1"/>
    <x v="6"/>
  </r>
  <r>
    <x v="274"/>
    <m/>
    <m/>
    <m/>
    <m/>
    <n v="0"/>
    <x v="1"/>
    <x v="1"/>
    <x v="2"/>
    <x v="6"/>
  </r>
  <r>
    <x v="275"/>
    <m/>
    <m/>
    <m/>
    <m/>
    <n v="0"/>
    <x v="1"/>
    <x v="1"/>
    <x v="2"/>
    <x v="6"/>
  </r>
  <r>
    <x v="276"/>
    <m/>
    <m/>
    <m/>
    <m/>
    <n v="0"/>
    <x v="1"/>
    <x v="1"/>
    <x v="2"/>
    <x v="7"/>
  </r>
  <r>
    <x v="277"/>
    <m/>
    <m/>
    <m/>
    <m/>
    <n v="0"/>
    <x v="1"/>
    <x v="1"/>
    <x v="2"/>
    <x v="7"/>
  </r>
  <r>
    <x v="278"/>
    <m/>
    <m/>
    <m/>
    <m/>
    <n v="0"/>
    <x v="1"/>
    <x v="1"/>
    <x v="2"/>
    <x v="7"/>
  </r>
  <r>
    <x v="279"/>
    <m/>
    <m/>
    <m/>
    <m/>
    <n v="0"/>
    <x v="1"/>
    <x v="1"/>
    <x v="2"/>
    <x v="7"/>
  </r>
  <r>
    <x v="280"/>
    <m/>
    <m/>
    <m/>
    <m/>
    <n v="0"/>
    <x v="1"/>
    <x v="1"/>
    <x v="2"/>
    <x v="7"/>
  </r>
  <r>
    <x v="281"/>
    <m/>
    <m/>
    <m/>
    <m/>
    <n v="0"/>
    <x v="1"/>
    <x v="1"/>
    <x v="2"/>
    <x v="8"/>
  </r>
  <r>
    <x v="282"/>
    <m/>
    <m/>
    <m/>
    <m/>
    <n v="0"/>
    <x v="1"/>
    <x v="1"/>
    <x v="2"/>
    <x v="8"/>
  </r>
  <r>
    <x v="283"/>
    <m/>
    <m/>
    <m/>
    <m/>
    <n v="0"/>
    <x v="1"/>
    <x v="1"/>
    <x v="2"/>
    <x v="8"/>
  </r>
  <r>
    <x v="284"/>
    <m/>
    <m/>
    <m/>
    <m/>
    <n v="0"/>
    <x v="1"/>
    <x v="1"/>
    <x v="2"/>
    <x v="8"/>
  </r>
  <r>
    <x v="285"/>
    <m/>
    <m/>
    <m/>
    <m/>
    <n v="0"/>
    <x v="1"/>
    <x v="1"/>
    <x v="2"/>
    <x v="8"/>
  </r>
  <r>
    <x v="286"/>
    <m/>
    <m/>
    <m/>
    <m/>
    <n v="0"/>
    <x v="1"/>
    <x v="1"/>
    <x v="2"/>
    <x v="9"/>
  </r>
  <r>
    <x v="287"/>
    <m/>
    <m/>
    <m/>
    <m/>
    <n v="0"/>
    <x v="1"/>
    <x v="1"/>
    <x v="2"/>
    <x v="9"/>
  </r>
  <r>
    <x v="288"/>
    <m/>
    <m/>
    <m/>
    <m/>
    <n v="0"/>
    <x v="1"/>
    <x v="1"/>
    <x v="2"/>
    <x v="9"/>
  </r>
  <r>
    <x v="289"/>
    <m/>
    <m/>
    <m/>
    <m/>
    <n v="0"/>
    <x v="1"/>
    <x v="1"/>
    <x v="2"/>
    <x v="9"/>
  </r>
  <r>
    <x v="290"/>
    <m/>
    <m/>
    <m/>
    <m/>
    <n v="0"/>
    <x v="1"/>
    <x v="1"/>
    <x v="2"/>
    <x v="9"/>
  </r>
  <r>
    <x v="291"/>
    <m/>
    <m/>
    <m/>
    <m/>
    <n v="0"/>
    <x v="1"/>
    <x v="1"/>
    <x v="2"/>
    <x v="10"/>
  </r>
  <r>
    <x v="292"/>
    <m/>
    <m/>
    <m/>
    <m/>
    <n v="0"/>
    <x v="1"/>
    <x v="1"/>
    <x v="2"/>
    <x v="10"/>
  </r>
  <r>
    <x v="293"/>
    <m/>
    <m/>
    <m/>
    <m/>
    <n v="0"/>
    <x v="1"/>
    <x v="1"/>
    <x v="2"/>
    <x v="10"/>
  </r>
  <r>
    <x v="294"/>
    <m/>
    <m/>
    <m/>
    <m/>
    <n v="0"/>
    <x v="1"/>
    <x v="1"/>
    <x v="2"/>
    <x v="10"/>
  </r>
  <r>
    <x v="295"/>
    <m/>
    <m/>
    <m/>
    <m/>
    <n v="0"/>
    <x v="1"/>
    <x v="1"/>
    <x v="3"/>
    <x v="11"/>
  </r>
  <r>
    <x v="296"/>
    <m/>
    <m/>
    <m/>
    <m/>
    <n v="0"/>
    <x v="1"/>
    <x v="1"/>
    <x v="3"/>
    <x v="11"/>
  </r>
  <r>
    <x v="297"/>
    <m/>
    <m/>
    <m/>
    <m/>
    <n v="0"/>
    <x v="1"/>
    <x v="1"/>
    <x v="3"/>
    <x v="11"/>
  </r>
  <r>
    <x v="298"/>
    <m/>
    <m/>
    <m/>
    <m/>
    <n v="0"/>
    <x v="1"/>
    <x v="1"/>
    <x v="3"/>
    <x v="12"/>
  </r>
  <r>
    <x v="299"/>
    <m/>
    <m/>
    <m/>
    <m/>
    <n v="0"/>
    <x v="1"/>
    <x v="1"/>
    <x v="3"/>
    <x v="12"/>
  </r>
  <r>
    <x v="300"/>
    <m/>
    <m/>
    <m/>
    <m/>
    <n v="0"/>
    <x v="1"/>
    <x v="1"/>
    <x v="3"/>
    <x v="12"/>
  </r>
  <r>
    <x v="301"/>
    <m/>
    <m/>
    <m/>
    <m/>
    <n v="0"/>
    <x v="1"/>
    <x v="1"/>
    <x v="3"/>
    <x v="12"/>
  </r>
  <r>
    <x v="302"/>
    <m/>
    <m/>
    <m/>
    <m/>
    <n v="0"/>
    <x v="1"/>
    <x v="1"/>
    <x v="3"/>
    <x v="12"/>
  </r>
  <r>
    <x v="303"/>
    <m/>
    <m/>
    <m/>
    <m/>
    <n v="0"/>
    <x v="1"/>
    <x v="1"/>
    <x v="3"/>
    <x v="13"/>
  </r>
  <r>
    <x v="304"/>
    <m/>
    <m/>
    <m/>
    <m/>
    <n v="0"/>
    <x v="1"/>
    <x v="1"/>
    <x v="3"/>
    <x v="13"/>
  </r>
  <r>
    <x v="305"/>
    <m/>
    <m/>
    <m/>
    <m/>
    <n v="0"/>
    <x v="1"/>
    <x v="1"/>
    <x v="3"/>
    <x v="13"/>
  </r>
  <r>
    <x v="306"/>
    <m/>
    <m/>
    <m/>
    <m/>
    <n v="0"/>
    <x v="1"/>
    <x v="1"/>
    <x v="3"/>
    <x v="13"/>
  </r>
  <r>
    <x v="307"/>
    <m/>
    <m/>
    <m/>
    <m/>
    <n v="0"/>
    <x v="1"/>
    <x v="1"/>
    <x v="3"/>
    <x v="13"/>
  </r>
  <r>
    <x v="308"/>
    <m/>
    <m/>
    <m/>
    <m/>
    <n v="0"/>
    <x v="1"/>
    <x v="1"/>
    <x v="3"/>
    <x v="14"/>
  </r>
  <r>
    <x v="309"/>
    <m/>
    <m/>
    <m/>
    <m/>
    <n v="0"/>
    <x v="1"/>
    <x v="1"/>
    <x v="3"/>
    <x v="14"/>
  </r>
  <r>
    <x v="310"/>
    <m/>
    <m/>
    <m/>
    <m/>
    <n v="0"/>
    <x v="1"/>
    <x v="1"/>
    <x v="3"/>
    <x v="14"/>
  </r>
  <r>
    <x v="311"/>
    <m/>
    <m/>
    <m/>
    <m/>
    <n v="0"/>
    <x v="1"/>
    <x v="1"/>
    <x v="3"/>
    <x v="14"/>
  </r>
  <r>
    <x v="312"/>
    <m/>
    <m/>
    <m/>
    <m/>
    <n v="0"/>
    <x v="1"/>
    <x v="1"/>
    <x v="3"/>
    <x v="14"/>
  </r>
  <r>
    <x v="313"/>
    <m/>
    <m/>
    <m/>
    <m/>
    <n v="0"/>
    <x v="1"/>
    <x v="1"/>
    <x v="3"/>
    <x v="15"/>
  </r>
  <r>
    <x v="314"/>
    <m/>
    <m/>
    <m/>
    <m/>
    <n v="0"/>
    <x v="1"/>
    <x v="1"/>
    <x v="4"/>
    <x v="15"/>
  </r>
  <r>
    <x v="315"/>
    <m/>
    <m/>
    <m/>
    <m/>
    <n v="0"/>
    <x v="1"/>
    <x v="1"/>
    <x v="4"/>
    <x v="15"/>
  </r>
  <r>
    <x v="316"/>
    <m/>
    <m/>
    <m/>
    <m/>
    <n v="0"/>
    <x v="1"/>
    <x v="1"/>
    <x v="4"/>
    <x v="15"/>
  </r>
  <r>
    <x v="317"/>
    <m/>
    <m/>
    <m/>
    <m/>
    <n v="0"/>
    <x v="1"/>
    <x v="1"/>
    <x v="4"/>
    <x v="15"/>
  </r>
  <r>
    <x v="318"/>
    <m/>
    <m/>
    <m/>
    <m/>
    <n v="0"/>
    <x v="1"/>
    <x v="1"/>
    <x v="4"/>
    <x v="16"/>
  </r>
  <r>
    <x v="319"/>
    <m/>
    <m/>
    <m/>
    <m/>
    <n v="0"/>
    <x v="1"/>
    <x v="1"/>
    <x v="4"/>
    <x v="16"/>
  </r>
  <r>
    <x v="320"/>
    <m/>
    <m/>
    <m/>
    <m/>
    <n v="0"/>
    <x v="1"/>
    <x v="1"/>
    <x v="4"/>
    <x v="16"/>
  </r>
  <r>
    <x v="321"/>
    <m/>
    <m/>
    <m/>
    <m/>
    <n v="0"/>
    <x v="1"/>
    <x v="1"/>
    <x v="4"/>
    <x v="16"/>
  </r>
  <r>
    <x v="322"/>
    <m/>
    <m/>
    <m/>
    <m/>
    <n v="0"/>
    <x v="1"/>
    <x v="1"/>
    <x v="4"/>
    <x v="16"/>
  </r>
  <r>
    <x v="323"/>
    <m/>
    <m/>
    <m/>
    <m/>
    <n v="0"/>
    <x v="1"/>
    <x v="1"/>
    <x v="4"/>
    <x v="17"/>
  </r>
  <r>
    <x v="324"/>
    <m/>
    <m/>
    <m/>
    <m/>
    <n v="0"/>
    <x v="1"/>
    <x v="1"/>
    <x v="4"/>
    <x v="17"/>
  </r>
  <r>
    <x v="325"/>
    <m/>
    <m/>
    <m/>
    <m/>
    <n v="0"/>
    <x v="1"/>
    <x v="1"/>
    <x v="4"/>
    <x v="17"/>
  </r>
  <r>
    <x v="326"/>
    <m/>
    <m/>
    <m/>
    <m/>
    <n v="0"/>
    <x v="1"/>
    <x v="1"/>
    <x v="4"/>
    <x v="17"/>
  </r>
  <r>
    <x v="327"/>
    <m/>
    <m/>
    <m/>
    <m/>
    <n v="0"/>
    <x v="1"/>
    <x v="1"/>
    <x v="4"/>
    <x v="17"/>
  </r>
  <r>
    <x v="328"/>
    <m/>
    <m/>
    <m/>
    <m/>
    <n v="0"/>
    <x v="1"/>
    <x v="1"/>
    <x v="4"/>
    <x v="18"/>
  </r>
  <r>
    <x v="329"/>
    <m/>
    <m/>
    <m/>
    <m/>
    <n v="0"/>
    <x v="1"/>
    <x v="1"/>
    <x v="4"/>
    <x v="18"/>
  </r>
  <r>
    <x v="330"/>
    <m/>
    <m/>
    <m/>
    <m/>
    <n v="0"/>
    <x v="1"/>
    <x v="1"/>
    <x v="4"/>
    <x v="18"/>
  </r>
  <r>
    <x v="331"/>
    <m/>
    <m/>
    <m/>
    <m/>
    <n v="0"/>
    <x v="1"/>
    <x v="1"/>
    <x v="4"/>
    <x v="18"/>
  </r>
  <r>
    <x v="332"/>
    <m/>
    <m/>
    <m/>
    <m/>
    <n v="0"/>
    <x v="1"/>
    <x v="1"/>
    <x v="4"/>
    <x v="18"/>
  </r>
  <r>
    <x v="333"/>
    <m/>
    <m/>
    <m/>
    <m/>
    <n v="0"/>
    <x v="1"/>
    <x v="1"/>
    <x v="4"/>
    <x v="19"/>
  </r>
  <r>
    <x v="334"/>
    <m/>
    <m/>
    <m/>
    <m/>
    <n v="0"/>
    <x v="1"/>
    <x v="1"/>
    <x v="5"/>
    <x v="19"/>
  </r>
  <r>
    <x v="335"/>
    <m/>
    <m/>
    <m/>
    <m/>
    <n v="0"/>
    <x v="1"/>
    <x v="1"/>
    <x v="5"/>
    <x v="19"/>
  </r>
  <r>
    <x v="336"/>
    <m/>
    <m/>
    <m/>
    <m/>
    <n v="0"/>
    <x v="1"/>
    <x v="1"/>
    <x v="5"/>
    <x v="19"/>
  </r>
  <r>
    <x v="337"/>
    <m/>
    <m/>
    <m/>
    <m/>
    <n v="0"/>
    <x v="1"/>
    <x v="1"/>
    <x v="5"/>
    <x v="19"/>
  </r>
  <r>
    <x v="338"/>
    <m/>
    <m/>
    <m/>
    <m/>
    <n v="0"/>
    <x v="1"/>
    <x v="1"/>
    <x v="5"/>
    <x v="20"/>
  </r>
  <r>
    <x v="339"/>
    <m/>
    <m/>
    <m/>
    <m/>
    <n v="0"/>
    <x v="1"/>
    <x v="1"/>
    <x v="5"/>
    <x v="20"/>
  </r>
  <r>
    <x v="340"/>
    <m/>
    <m/>
    <m/>
    <m/>
    <n v="0"/>
    <x v="1"/>
    <x v="1"/>
    <x v="5"/>
    <x v="20"/>
  </r>
  <r>
    <x v="341"/>
    <m/>
    <m/>
    <m/>
    <m/>
    <n v="0"/>
    <x v="1"/>
    <x v="1"/>
    <x v="5"/>
    <x v="20"/>
  </r>
  <r>
    <x v="342"/>
    <m/>
    <m/>
    <m/>
    <m/>
    <n v="0"/>
    <x v="1"/>
    <x v="1"/>
    <x v="5"/>
    <x v="20"/>
  </r>
  <r>
    <x v="343"/>
    <m/>
    <m/>
    <m/>
    <m/>
    <n v="0"/>
    <x v="1"/>
    <x v="1"/>
    <x v="5"/>
    <x v="21"/>
  </r>
  <r>
    <x v="344"/>
    <m/>
    <m/>
    <m/>
    <m/>
    <n v="0"/>
    <x v="1"/>
    <x v="1"/>
    <x v="5"/>
    <x v="21"/>
  </r>
  <r>
    <x v="345"/>
    <m/>
    <m/>
    <m/>
    <m/>
    <n v="0"/>
    <x v="1"/>
    <x v="1"/>
    <x v="5"/>
    <x v="21"/>
  </r>
  <r>
    <x v="346"/>
    <m/>
    <m/>
    <m/>
    <m/>
    <n v="0"/>
    <x v="1"/>
    <x v="1"/>
    <x v="5"/>
    <x v="21"/>
  </r>
  <r>
    <x v="347"/>
    <m/>
    <m/>
    <m/>
    <m/>
    <n v="0"/>
    <x v="1"/>
    <x v="1"/>
    <x v="5"/>
    <x v="21"/>
  </r>
  <r>
    <x v="348"/>
    <m/>
    <m/>
    <m/>
    <m/>
    <n v="0"/>
    <x v="1"/>
    <x v="1"/>
    <x v="5"/>
    <x v="22"/>
  </r>
  <r>
    <x v="349"/>
    <m/>
    <m/>
    <m/>
    <m/>
    <n v="0"/>
    <x v="1"/>
    <x v="1"/>
    <x v="5"/>
    <x v="22"/>
  </r>
  <r>
    <x v="350"/>
    <m/>
    <m/>
    <m/>
    <m/>
    <n v="0"/>
    <x v="1"/>
    <x v="1"/>
    <x v="5"/>
    <x v="22"/>
  </r>
  <r>
    <x v="351"/>
    <m/>
    <m/>
    <m/>
    <m/>
    <n v="0"/>
    <x v="1"/>
    <x v="1"/>
    <x v="5"/>
    <x v="22"/>
  </r>
  <r>
    <x v="352"/>
    <m/>
    <m/>
    <m/>
    <m/>
    <n v="0"/>
    <x v="1"/>
    <x v="1"/>
    <x v="5"/>
    <x v="22"/>
  </r>
  <r>
    <x v="353"/>
    <m/>
    <m/>
    <m/>
    <m/>
    <n v="0"/>
    <x v="1"/>
    <x v="1"/>
    <x v="5"/>
    <x v="23"/>
  </r>
  <r>
    <x v="354"/>
    <m/>
    <m/>
    <m/>
    <m/>
    <n v="0"/>
    <x v="1"/>
    <x v="1"/>
    <x v="5"/>
    <x v="23"/>
  </r>
  <r>
    <x v="355"/>
    <m/>
    <m/>
    <m/>
    <m/>
    <n v="0"/>
    <x v="1"/>
    <x v="1"/>
    <x v="5"/>
    <x v="23"/>
  </r>
  <r>
    <x v="356"/>
    <m/>
    <m/>
    <m/>
    <m/>
    <n v="0"/>
    <x v="1"/>
    <x v="2"/>
    <x v="6"/>
    <x v="25"/>
  </r>
  <r>
    <x v="357"/>
    <m/>
    <m/>
    <m/>
    <m/>
    <n v="0"/>
    <x v="1"/>
    <x v="2"/>
    <x v="6"/>
    <x v="25"/>
  </r>
  <r>
    <x v="358"/>
    <m/>
    <m/>
    <m/>
    <m/>
    <n v="0"/>
    <x v="1"/>
    <x v="2"/>
    <x v="6"/>
    <x v="26"/>
  </r>
  <r>
    <x v="359"/>
    <m/>
    <m/>
    <m/>
    <m/>
    <n v="0"/>
    <x v="1"/>
    <x v="2"/>
    <x v="6"/>
    <x v="26"/>
  </r>
  <r>
    <x v="360"/>
    <m/>
    <m/>
    <m/>
    <m/>
    <n v="0"/>
    <x v="1"/>
    <x v="2"/>
    <x v="6"/>
    <x v="26"/>
  </r>
  <r>
    <x v="361"/>
    <m/>
    <m/>
    <m/>
    <m/>
    <n v="0"/>
    <x v="1"/>
    <x v="2"/>
    <x v="6"/>
    <x v="26"/>
  </r>
  <r>
    <x v="362"/>
    <m/>
    <m/>
    <m/>
    <m/>
    <n v="0"/>
    <x v="1"/>
    <x v="2"/>
    <x v="6"/>
    <x v="26"/>
  </r>
  <r>
    <x v="363"/>
    <m/>
    <m/>
    <m/>
    <m/>
    <n v="0"/>
    <x v="1"/>
    <x v="2"/>
    <x v="6"/>
    <x v="27"/>
  </r>
  <r>
    <x v="364"/>
    <m/>
    <m/>
    <m/>
    <m/>
    <n v="0"/>
    <x v="1"/>
    <x v="2"/>
    <x v="6"/>
    <x v="27"/>
  </r>
  <r>
    <x v="365"/>
    <m/>
    <m/>
    <m/>
    <m/>
    <n v="0"/>
    <x v="1"/>
    <x v="2"/>
    <x v="6"/>
    <x v="27"/>
  </r>
  <r>
    <x v="366"/>
    <m/>
    <m/>
    <m/>
    <m/>
    <n v="0"/>
    <x v="1"/>
    <x v="2"/>
    <x v="6"/>
    <x v="27"/>
  </r>
  <r>
    <x v="367"/>
    <m/>
    <m/>
    <m/>
    <m/>
    <n v="0"/>
    <x v="1"/>
    <x v="2"/>
    <x v="6"/>
    <x v="27"/>
  </r>
  <r>
    <x v="368"/>
    <m/>
    <m/>
    <m/>
    <m/>
    <n v="0"/>
    <x v="1"/>
    <x v="2"/>
    <x v="6"/>
    <x v="28"/>
  </r>
  <r>
    <x v="369"/>
    <m/>
    <m/>
    <m/>
    <m/>
    <n v="0"/>
    <x v="1"/>
    <x v="2"/>
    <x v="6"/>
    <x v="28"/>
  </r>
  <r>
    <x v="370"/>
    <m/>
    <m/>
    <m/>
    <m/>
    <n v="0"/>
    <x v="1"/>
    <x v="2"/>
    <x v="6"/>
    <x v="28"/>
  </r>
  <r>
    <x v="371"/>
    <m/>
    <m/>
    <m/>
    <m/>
    <n v="0"/>
    <x v="1"/>
    <x v="2"/>
    <x v="6"/>
    <x v="28"/>
  </r>
  <r>
    <x v="372"/>
    <m/>
    <m/>
    <m/>
    <m/>
    <n v="0"/>
    <x v="1"/>
    <x v="2"/>
    <x v="6"/>
    <x v="28"/>
  </r>
  <r>
    <x v="373"/>
    <m/>
    <m/>
    <m/>
    <m/>
    <n v="0"/>
    <x v="1"/>
    <x v="2"/>
    <x v="7"/>
    <x v="29"/>
  </r>
  <r>
    <x v="374"/>
    <m/>
    <m/>
    <m/>
    <m/>
    <n v="0"/>
    <x v="1"/>
    <x v="2"/>
    <x v="7"/>
    <x v="29"/>
  </r>
  <r>
    <x v="375"/>
    <m/>
    <m/>
    <m/>
    <m/>
    <n v="0"/>
    <x v="1"/>
    <x v="2"/>
    <x v="7"/>
    <x v="29"/>
  </r>
  <r>
    <x v="376"/>
    <m/>
    <m/>
    <m/>
    <m/>
    <n v="0"/>
    <x v="1"/>
    <x v="2"/>
    <x v="7"/>
    <x v="29"/>
  </r>
  <r>
    <x v="377"/>
    <m/>
    <m/>
    <m/>
    <m/>
    <n v="0"/>
    <x v="1"/>
    <x v="2"/>
    <x v="7"/>
    <x v="29"/>
  </r>
  <r>
    <x v="378"/>
    <m/>
    <m/>
    <m/>
    <m/>
    <n v="0"/>
    <x v="1"/>
    <x v="2"/>
    <x v="7"/>
    <x v="30"/>
  </r>
  <r>
    <x v="379"/>
    <m/>
    <m/>
    <m/>
    <m/>
    <n v="0"/>
    <x v="1"/>
    <x v="2"/>
    <x v="7"/>
    <x v="30"/>
  </r>
  <r>
    <x v="380"/>
    <m/>
    <m/>
    <m/>
    <m/>
    <n v="0"/>
    <x v="1"/>
    <x v="2"/>
    <x v="7"/>
    <x v="30"/>
  </r>
  <r>
    <x v="381"/>
    <m/>
    <m/>
    <m/>
    <m/>
    <n v="0"/>
    <x v="1"/>
    <x v="2"/>
    <x v="7"/>
    <x v="30"/>
  </r>
  <r>
    <x v="382"/>
    <m/>
    <m/>
    <m/>
    <m/>
    <n v="0"/>
    <x v="1"/>
    <x v="2"/>
    <x v="7"/>
    <x v="30"/>
  </r>
  <r>
    <x v="383"/>
    <m/>
    <m/>
    <m/>
    <m/>
    <n v="0"/>
    <x v="1"/>
    <x v="2"/>
    <x v="7"/>
    <x v="31"/>
  </r>
  <r>
    <x v="384"/>
    <m/>
    <m/>
    <m/>
    <m/>
    <n v="0"/>
    <x v="1"/>
    <x v="2"/>
    <x v="7"/>
    <x v="31"/>
  </r>
  <r>
    <x v="385"/>
    <m/>
    <m/>
    <m/>
    <m/>
    <n v="0"/>
    <x v="1"/>
    <x v="2"/>
    <x v="7"/>
    <x v="31"/>
  </r>
  <r>
    <x v="386"/>
    <m/>
    <m/>
    <m/>
    <m/>
    <n v="0"/>
    <x v="1"/>
    <x v="2"/>
    <x v="7"/>
    <x v="31"/>
  </r>
  <r>
    <x v="387"/>
    <m/>
    <m/>
    <m/>
    <m/>
    <n v="0"/>
    <x v="1"/>
    <x v="2"/>
    <x v="7"/>
    <x v="31"/>
  </r>
  <r>
    <x v="388"/>
    <m/>
    <m/>
    <m/>
    <m/>
    <n v="0"/>
    <x v="1"/>
    <x v="2"/>
    <x v="7"/>
    <x v="32"/>
  </r>
  <r>
    <x v="389"/>
    <m/>
    <m/>
    <m/>
    <m/>
    <n v="0"/>
    <x v="1"/>
    <x v="2"/>
    <x v="7"/>
    <x v="32"/>
  </r>
  <r>
    <x v="390"/>
    <m/>
    <m/>
    <m/>
    <m/>
    <n v="0"/>
    <x v="1"/>
    <x v="2"/>
    <x v="7"/>
    <x v="32"/>
  </r>
  <r>
    <x v="391"/>
    <m/>
    <m/>
    <m/>
    <m/>
    <n v="0"/>
    <x v="1"/>
    <x v="2"/>
    <x v="7"/>
    <x v="32"/>
  </r>
  <r>
    <x v="392"/>
    <m/>
    <m/>
    <m/>
    <m/>
    <n v="0"/>
    <x v="1"/>
    <x v="2"/>
    <x v="7"/>
    <x v="32"/>
  </r>
  <r>
    <x v="393"/>
    <m/>
    <m/>
    <m/>
    <m/>
    <n v="0"/>
    <x v="1"/>
    <x v="2"/>
    <x v="7"/>
    <x v="33"/>
  </r>
  <r>
    <x v="394"/>
    <m/>
    <m/>
    <m/>
    <m/>
    <n v="0"/>
    <x v="1"/>
    <x v="2"/>
    <x v="7"/>
    <x v="33"/>
  </r>
  <r>
    <x v="395"/>
    <m/>
    <m/>
    <m/>
    <m/>
    <n v="0"/>
    <x v="1"/>
    <x v="2"/>
    <x v="8"/>
    <x v="33"/>
  </r>
  <r>
    <x v="396"/>
    <m/>
    <m/>
    <m/>
    <m/>
    <n v="0"/>
    <x v="1"/>
    <x v="2"/>
    <x v="8"/>
    <x v="33"/>
  </r>
  <r>
    <x v="397"/>
    <m/>
    <m/>
    <m/>
    <m/>
    <n v="0"/>
    <x v="1"/>
    <x v="2"/>
    <x v="8"/>
    <x v="33"/>
  </r>
  <r>
    <x v="398"/>
    <m/>
    <m/>
    <m/>
    <m/>
    <n v="0"/>
    <x v="1"/>
    <x v="2"/>
    <x v="8"/>
    <x v="34"/>
  </r>
  <r>
    <x v="399"/>
    <m/>
    <m/>
    <m/>
    <m/>
    <n v="0"/>
    <x v="1"/>
    <x v="2"/>
    <x v="8"/>
    <x v="34"/>
  </r>
  <r>
    <x v="400"/>
    <m/>
    <m/>
    <m/>
    <m/>
    <n v="0"/>
    <x v="1"/>
    <x v="2"/>
    <x v="8"/>
    <x v="34"/>
  </r>
  <r>
    <x v="401"/>
    <m/>
    <m/>
    <m/>
    <m/>
    <n v="0"/>
    <x v="1"/>
    <x v="2"/>
    <x v="8"/>
    <x v="34"/>
  </r>
  <r>
    <x v="402"/>
    <m/>
    <m/>
    <m/>
    <m/>
    <n v="0"/>
    <x v="1"/>
    <x v="2"/>
    <x v="8"/>
    <x v="34"/>
  </r>
  <r>
    <x v="403"/>
    <m/>
    <m/>
    <m/>
    <m/>
    <n v="0"/>
    <x v="1"/>
    <x v="2"/>
    <x v="8"/>
    <x v="35"/>
  </r>
  <r>
    <x v="404"/>
    <m/>
    <m/>
    <m/>
    <m/>
    <n v="0"/>
    <x v="1"/>
    <x v="2"/>
    <x v="8"/>
    <x v="35"/>
  </r>
  <r>
    <x v="405"/>
    <m/>
    <m/>
    <m/>
    <m/>
    <n v="0"/>
    <x v="1"/>
    <x v="2"/>
    <x v="8"/>
    <x v="35"/>
  </r>
  <r>
    <x v="406"/>
    <m/>
    <m/>
    <m/>
    <m/>
    <n v="0"/>
    <x v="1"/>
    <x v="2"/>
    <x v="8"/>
    <x v="35"/>
  </r>
  <r>
    <x v="407"/>
    <m/>
    <m/>
    <m/>
    <m/>
    <n v="0"/>
    <x v="1"/>
    <x v="2"/>
    <x v="8"/>
    <x v="35"/>
  </r>
  <r>
    <x v="408"/>
    <m/>
    <m/>
    <m/>
    <m/>
    <n v="0"/>
    <x v="1"/>
    <x v="2"/>
    <x v="8"/>
    <x v="36"/>
  </r>
  <r>
    <x v="409"/>
    <m/>
    <m/>
    <m/>
    <m/>
    <n v="0"/>
    <x v="1"/>
    <x v="2"/>
    <x v="8"/>
    <x v="36"/>
  </r>
  <r>
    <x v="410"/>
    <m/>
    <m/>
    <m/>
    <m/>
    <n v="0"/>
    <x v="1"/>
    <x v="2"/>
    <x v="8"/>
    <x v="36"/>
  </r>
  <r>
    <x v="411"/>
    <m/>
    <m/>
    <m/>
    <m/>
    <n v="0"/>
    <x v="1"/>
    <x v="2"/>
    <x v="8"/>
    <x v="36"/>
  </r>
  <r>
    <x v="412"/>
    <m/>
    <m/>
    <m/>
    <m/>
    <n v="0"/>
    <x v="1"/>
    <x v="2"/>
    <x v="8"/>
    <x v="36"/>
  </r>
  <r>
    <x v="413"/>
    <m/>
    <m/>
    <m/>
    <m/>
    <n v="0"/>
    <x v="1"/>
    <x v="2"/>
    <x v="8"/>
    <x v="37"/>
  </r>
  <r>
    <x v="414"/>
    <m/>
    <m/>
    <m/>
    <m/>
    <n v="0"/>
    <x v="1"/>
    <x v="2"/>
    <x v="8"/>
    <x v="37"/>
  </r>
  <r>
    <x v="415"/>
    <m/>
    <m/>
    <m/>
    <m/>
    <n v="0"/>
    <x v="1"/>
    <x v="2"/>
    <x v="8"/>
    <x v="37"/>
  </r>
  <r>
    <x v="416"/>
    <m/>
    <m/>
    <m/>
    <m/>
    <n v="0"/>
    <x v="1"/>
    <x v="2"/>
    <x v="8"/>
    <x v="37"/>
  </r>
  <r>
    <x v="417"/>
    <m/>
    <m/>
    <m/>
    <m/>
    <n v="0"/>
    <x v="1"/>
    <x v="2"/>
    <x v="8"/>
    <x v="37"/>
  </r>
  <r>
    <x v="418"/>
    <m/>
    <m/>
    <m/>
    <m/>
    <n v="0"/>
    <x v="1"/>
    <x v="2"/>
    <x v="9"/>
    <x v="38"/>
  </r>
  <r>
    <x v="419"/>
    <m/>
    <m/>
    <m/>
    <m/>
    <n v="0"/>
    <x v="1"/>
    <x v="2"/>
    <x v="9"/>
    <x v="38"/>
  </r>
  <r>
    <x v="420"/>
    <m/>
    <m/>
    <m/>
    <m/>
    <n v="0"/>
    <x v="1"/>
    <x v="2"/>
    <x v="9"/>
    <x v="38"/>
  </r>
  <r>
    <x v="421"/>
    <m/>
    <m/>
    <m/>
    <m/>
    <n v="0"/>
    <x v="1"/>
    <x v="2"/>
    <x v="9"/>
    <x v="38"/>
  </r>
  <r>
    <x v="422"/>
    <m/>
    <m/>
    <m/>
    <m/>
    <n v="0"/>
    <x v="1"/>
    <x v="2"/>
    <x v="9"/>
    <x v="38"/>
  </r>
  <r>
    <x v="423"/>
    <m/>
    <m/>
    <m/>
    <m/>
    <n v="0"/>
    <x v="1"/>
    <x v="2"/>
    <x v="9"/>
    <x v="39"/>
  </r>
  <r>
    <x v="424"/>
    <m/>
    <m/>
    <m/>
    <m/>
    <n v="0"/>
    <x v="1"/>
    <x v="2"/>
    <x v="9"/>
    <x v="39"/>
  </r>
  <r>
    <x v="425"/>
    <m/>
    <m/>
    <m/>
    <m/>
    <n v="0"/>
    <x v="1"/>
    <x v="2"/>
    <x v="9"/>
    <x v="39"/>
  </r>
  <r>
    <x v="426"/>
    <m/>
    <m/>
    <m/>
    <m/>
    <n v="0"/>
    <x v="1"/>
    <x v="2"/>
    <x v="9"/>
    <x v="39"/>
  </r>
  <r>
    <x v="427"/>
    <m/>
    <m/>
    <m/>
    <m/>
    <n v="0"/>
    <x v="1"/>
    <x v="2"/>
    <x v="9"/>
    <x v="39"/>
  </r>
  <r>
    <x v="428"/>
    <m/>
    <m/>
    <m/>
    <m/>
    <n v="0"/>
    <x v="1"/>
    <x v="2"/>
    <x v="9"/>
    <x v="40"/>
  </r>
  <r>
    <x v="429"/>
    <m/>
    <m/>
    <m/>
    <m/>
    <n v="0"/>
    <x v="1"/>
    <x v="2"/>
    <x v="9"/>
    <x v="40"/>
  </r>
  <r>
    <x v="430"/>
    <m/>
    <m/>
    <m/>
    <m/>
    <n v="0"/>
    <x v="1"/>
    <x v="2"/>
    <x v="9"/>
    <x v="40"/>
  </r>
  <r>
    <x v="431"/>
    <m/>
    <m/>
    <m/>
    <m/>
    <n v="0"/>
    <x v="1"/>
    <x v="2"/>
    <x v="9"/>
    <x v="40"/>
  </r>
  <r>
    <x v="432"/>
    <m/>
    <m/>
    <m/>
    <m/>
    <n v="0"/>
    <x v="1"/>
    <x v="2"/>
    <x v="9"/>
    <x v="40"/>
  </r>
  <r>
    <x v="433"/>
    <m/>
    <m/>
    <m/>
    <m/>
    <n v="0"/>
    <x v="1"/>
    <x v="2"/>
    <x v="9"/>
    <x v="41"/>
  </r>
  <r>
    <x v="434"/>
    <m/>
    <m/>
    <m/>
    <m/>
    <n v="0"/>
    <x v="1"/>
    <x v="2"/>
    <x v="9"/>
    <x v="41"/>
  </r>
  <r>
    <x v="435"/>
    <m/>
    <m/>
    <m/>
    <m/>
    <n v="0"/>
    <x v="1"/>
    <x v="2"/>
    <x v="9"/>
    <x v="41"/>
  </r>
  <r>
    <x v="436"/>
    <m/>
    <m/>
    <m/>
    <m/>
    <n v="0"/>
    <x v="1"/>
    <x v="2"/>
    <x v="9"/>
    <x v="41"/>
  </r>
  <r>
    <x v="437"/>
    <m/>
    <m/>
    <m/>
    <m/>
    <n v="0"/>
    <x v="1"/>
    <x v="2"/>
    <x v="9"/>
    <x v="41"/>
  </r>
  <r>
    <x v="438"/>
    <m/>
    <m/>
    <m/>
    <m/>
    <n v="0"/>
    <x v="1"/>
    <x v="2"/>
    <x v="10"/>
    <x v="42"/>
  </r>
  <r>
    <x v="439"/>
    <m/>
    <m/>
    <m/>
    <m/>
    <n v="0"/>
    <x v="1"/>
    <x v="2"/>
    <x v="10"/>
    <x v="42"/>
  </r>
  <r>
    <x v="440"/>
    <m/>
    <m/>
    <m/>
    <m/>
    <n v="0"/>
    <x v="1"/>
    <x v="2"/>
    <x v="10"/>
    <x v="42"/>
  </r>
  <r>
    <x v="441"/>
    <m/>
    <m/>
    <m/>
    <m/>
    <n v="0"/>
    <x v="1"/>
    <x v="2"/>
    <x v="10"/>
    <x v="42"/>
  </r>
  <r>
    <x v="442"/>
    <m/>
    <m/>
    <m/>
    <m/>
    <n v="0"/>
    <x v="1"/>
    <x v="2"/>
    <x v="10"/>
    <x v="42"/>
  </r>
  <r>
    <x v="443"/>
    <m/>
    <m/>
    <m/>
    <m/>
    <n v="0"/>
    <x v="1"/>
    <x v="2"/>
    <x v="10"/>
    <x v="43"/>
  </r>
  <r>
    <x v="444"/>
    <m/>
    <m/>
    <m/>
    <m/>
    <n v="0"/>
    <x v="1"/>
    <x v="2"/>
    <x v="10"/>
    <x v="43"/>
  </r>
  <r>
    <x v="445"/>
    <m/>
    <m/>
    <m/>
    <m/>
    <n v="0"/>
    <x v="1"/>
    <x v="2"/>
    <x v="10"/>
    <x v="43"/>
  </r>
  <r>
    <x v="446"/>
    <m/>
    <m/>
    <m/>
    <m/>
    <n v="0"/>
    <x v="1"/>
    <x v="2"/>
    <x v="10"/>
    <x v="43"/>
  </r>
  <r>
    <x v="447"/>
    <m/>
    <m/>
    <m/>
    <m/>
    <n v="0"/>
    <x v="1"/>
    <x v="2"/>
    <x v="10"/>
    <x v="43"/>
  </r>
  <r>
    <x v="448"/>
    <m/>
    <m/>
    <m/>
    <m/>
    <n v="0"/>
    <x v="1"/>
    <x v="2"/>
    <x v="10"/>
    <x v="44"/>
  </r>
  <r>
    <x v="449"/>
    <m/>
    <m/>
    <m/>
    <m/>
    <n v="0"/>
    <x v="1"/>
    <x v="2"/>
    <x v="10"/>
    <x v="44"/>
  </r>
  <r>
    <x v="450"/>
    <m/>
    <m/>
    <m/>
    <m/>
    <n v="0"/>
    <x v="1"/>
    <x v="2"/>
    <x v="10"/>
    <x v="44"/>
  </r>
  <r>
    <x v="451"/>
    <m/>
    <m/>
    <m/>
    <m/>
    <n v="0"/>
    <x v="1"/>
    <x v="2"/>
    <x v="10"/>
    <x v="44"/>
  </r>
  <r>
    <x v="452"/>
    <m/>
    <m/>
    <m/>
    <m/>
    <n v="0"/>
    <x v="1"/>
    <x v="2"/>
    <x v="10"/>
    <x v="44"/>
  </r>
  <r>
    <x v="453"/>
    <m/>
    <m/>
    <m/>
    <m/>
    <n v="0"/>
    <x v="1"/>
    <x v="2"/>
    <x v="10"/>
    <x v="45"/>
  </r>
  <r>
    <x v="454"/>
    <m/>
    <m/>
    <m/>
    <m/>
    <n v="0"/>
    <x v="1"/>
    <x v="2"/>
    <x v="10"/>
    <x v="45"/>
  </r>
  <r>
    <x v="455"/>
    <m/>
    <m/>
    <m/>
    <m/>
    <n v="0"/>
    <x v="1"/>
    <x v="2"/>
    <x v="10"/>
    <x v="45"/>
  </r>
  <r>
    <x v="456"/>
    <m/>
    <m/>
    <m/>
    <m/>
    <n v="0"/>
    <x v="1"/>
    <x v="2"/>
    <x v="10"/>
    <x v="45"/>
  </r>
  <r>
    <x v="457"/>
    <m/>
    <m/>
    <m/>
    <m/>
    <n v="0"/>
    <x v="1"/>
    <x v="2"/>
    <x v="10"/>
    <x v="45"/>
  </r>
  <r>
    <x v="458"/>
    <m/>
    <m/>
    <m/>
    <m/>
    <n v="0"/>
    <x v="1"/>
    <x v="2"/>
    <x v="10"/>
    <x v="46"/>
  </r>
  <r>
    <x v="459"/>
    <m/>
    <m/>
    <m/>
    <m/>
    <n v="0"/>
    <x v="1"/>
    <x v="2"/>
    <x v="10"/>
    <x v="46"/>
  </r>
  <r>
    <x v="460"/>
    <m/>
    <m/>
    <m/>
    <m/>
    <n v="0"/>
    <x v="1"/>
    <x v="2"/>
    <x v="10"/>
    <x v="46"/>
  </r>
  <r>
    <x v="461"/>
    <m/>
    <m/>
    <m/>
    <m/>
    <n v="0"/>
    <x v="1"/>
    <x v="2"/>
    <x v="11"/>
    <x v="46"/>
  </r>
  <r>
    <x v="462"/>
    <m/>
    <m/>
    <m/>
    <m/>
    <n v="0"/>
    <x v="1"/>
    <x v="2"/>
    <x v="11"/>
    <x v="46"/>
  </r>
  <r>
    <x v="463"/>
    <m/>
    <m/>
    <m/>
    <m/>
    <n v="0"/>
    <x v="1"/>
    <x v="2"/>
    <x v="11"/>
    <x v="47"/>
  </r>
  <r>
    <x v="464"/>
    <m/>
    <m/>
    <m/>
    <m/>
    <n v="0"/>
    <x v="1"/>
    <x v="2"/>
    <x v="11"/>
    <x v="47"/>
  </r>
  <r>
    <x v="465"/>
    <m/>
    <m/>
    <m/>
    <m/>
    <n v="0"/>
    <x v="1"/>
    <x v="2"/>
    <x v="11"/>
    <x v="47"/>
  </r>
  <r>
    <x v="466"/>
    <m/>
    <m/>
    <m/>
    <m/>
    <n v="0"/>
    <x v="1"/>
    <x v="2"/>
    <x v="11"/>
    <x v="47"/>
  </r>
  <r>
    <x v="467"/>
    <m/>
    <m/>
    <m/>
    <m/>
    <n v="0"/>
    <x v="1"/>
    <x v="2"/>
    <x v="11"/>
    <x v="47"/>
  </r>
  <r>
    <x v="468"/>
    <m/>
    <m/>
    <m/>
    <m/>
    <n v="0"/>
    <x v="1"/>
    <x v="2"/>
    <x v="11"/>
    <x v="48"/>
  </r>
  <r>
    <x v="469"/>
    <m/>
    <m/>
    <m/>
    <m/>
    <n v="0"/>
    <x v="1"/>
    <x v="2"/>
    <x v="11"/>
    <x v="48"/>
  </r>
  <r>
    <x v="470"/>
    <m/>
    <m/>
    <m/>
    <m/>
    <n v="0"/>
    <x v="1"/>
    <x v="2"/>
    <x v="11"/>
    <x v="48"/>
  </r>
  <r>
    <x v="471"/>
    <m/>
    <m/>
    <m/>
    <m/>
    <n v="0"/>
    <x v="1"/>
    <x v="2"/>
    <x v="11"/>
    <x v="48"/>
  </r>
  <r>
    <x v="472"/>
    <m/>
    <m/>
    <m/>
    <m/>
    <n v="0"/>
    <x v="1"/>
    <x v="2"/>
    <x v="11"/>
    <x v="48"/>
  </r>
  <r>
    <x v="473"/>
    <m/>
    <m/>
    <m/>
    <m/>
    <n v="0"/>
    <x v="1"/>
    <x v="2"/>
    <x v="11"/>
    <x v="49"/>
  </r>
  <r>
    <x v="474"/>
    <m/>
    <m/>
    <m/>
    <m/>
    <n v="0"/>
    <x v="1"/>
    <x v="2"/>
    <x v="11"/>
    <x v="49"/>
  </r>
  <r>
    <x v="475"/>
    <m/>
    <m/>
    <m/>
    <m/>
    <n v="0"/>
    <x v="1"/>
    <x v="2"/>
    <x v="11"/>
    <x v="49"/>
  </r>
  <r>
    <x v="476"/>
    <m/>
    <m/>
    <m/>
    <m/>
    <n v="0"/>
    <x v="1"/>
    <x v="2"/>
    <x v="11"/>
    <x v="49"/>
  </r>
  <r>
    <x v="477"/>
    <m/>
    <m/>
    <m/>
    <m/>
    <n v="0"/>
    <x v="1"/>
    <x v="2"/>
    <x v="11"/>
    <x v="49"/>
  </r>
  <r>
    <x v="478"/>
    <m/>
    <m/>
    <m/>
    <m/>
    <n v="0"/>
    <x v="1"/>
    <x v="2"/>
    <x v="11"/>
    <x v="50"/>
  </r>
  <r>
    <x v="479"/>
    <m/>
    <m/>
    <m/>
    <m/>
    <n v="0"/>
    <x v="1"/>
    <x v="2"/>
    <x v="11"/>
    <x v="50"/>
  </r>
  <r>
    <x v="480"/>
    <m/>
    <m/>
    <m/>
    <m/>
    <n v="0"/>
    <x v="1"/>
    <x v="2"/>
    <x v="11"/>
    <x v="50"/>
  </r>
  <r>
    <x v="481"/>
    <m/>
    <m/>
    <m/>
    <m/>
    <n v="0"/>
    <x v="1"/>
    <x v="2"/>
    <x v="11"/>
    <x v="50"/>
  </r>
  <r>
    <x v="482"/>
    <m/>
    <m/>
    <m/>
    <m/>
    <n v="0"/>
    <x v="1"/>
    <x v="2"/>
    <x v="11"/>
    <x v="50"/>
  </r>
  <r>
    <x v="483"/>
    <m/>
    <m/>
    <m/>
    <m/>
    <n v="0"/>
    <x v="1"/>
    <x v="2"/>
    <x v="0"/>
    <x v="51"/>
  </r>
  <r>
    <x v="484"/>
    <m/>
    <m/>
    <m/>
    <m/>
    <n v="0"/>
    <x v="1"/>
    <x v="2"/>
    <x v="0"/>
    <x v="51"/>
  </r>
  <r>
    <x v="485"/>
    <m/>
    <m/>
    <m/>
    <m/>
    <n v="0"/>
    <x v="1"/>
    <x v="2"/>
    <x v="0"/>
    <x v="51"/>
  </r>
  <r>
    <x v="486"/>
    <m/>
    <m/>
    <m/>
    <m/>
    <n v="0"/>
    <x v="1"/>
    <x v="2"/>
    <x v="0"/>
    <x v="51"/>
  </r>
  <r>
    <x v="487"/>
    <m/>
    <m/>
    <m/>
    <m/>
    <n v="0"/>
    <x v="1"/>
    <x v="2"/>
    <x v="0"/>
    <x v="51"/>
  </r>
  <r>
    <x v="488"/>
    <m/>
    <m/>
    <m/>
    <m/>
    <n v="0"/>
    <x v="1"/>
    <x v="2"/>
    <x v="0"/>
    <x v="52"/>
  </r>
  <r>
    <x v="489"/>
    <m/>
    <m/>
    <m/>
    <m/>
    <n v="0"/>
    <x v="1"/>
    <x v="2"/>
    <x v="0"/>
    <x v="52"/>
  </r>
  <r>
    <x v="490"/>
    <m/>
    <m/>
    <m/>
    <m/>
    <n v="0"/>
    <x v="1"/>
    <x v="2"/>
    <x v="0"/>
    <x v="52"/>
  </r>
  <r>
    <x v="491"/>
    <m/>
    <m/>
    <m/>
    <m/>
    <n v="0"/>
    <x v="1"/>
    <x v="2"/>
    <x v="0"/>
    <x v="52"/>
  </r>
  <r>
    <x v="492"/>
    <m/>
    <m/>
    <m/>
    <m/>
    <n v="0"/>
    <x v="1"/>
    <x v="2"/>
    <x v="0"/>
    <x v="52"/>
  </r>
  <r>
    <x v="493"/>
    <m/>
    <m/>
    <m/>
    <m/>
    <n v="0"/>
    <x v="1"/>
    <x v="2"/>
    <x v="0"/>
    <x v="0"/>
  </r>
  <r>
    <x v="494"/>
    <m/>
    <m/>
    <m/>
    <m/>
    <n v="0"/>
    <x v="1"/>
    <x v="2"/>
    <x v="0"/>
    <x v="0"/>
  </r>
  <r>
    <x v="495"/>
    <m/>
    <m/>
    <m/>
    <m/>
    <n v="0"/>
    <x v="1"/>
    <x v="2"/>
    <x v="0"/>
    <x v="0"/>
  </r>
  <r>
    <x v="496"/>
    <m/>
    <m/>
    <m/>
    <m/>
    <n v="0"/>
    <x v="1"/>
    <x v="2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">
  <r>
    <m/>
    <x v="0"/>
    <x v="0"/>
    <x v="0"/>
    <m/>
    <x v="0"/>
    <n v="2014"/>
    <s v="Norsk"/>
    <s v="Stabburet Bayersk postei 8x6x22g"/>
    <s v="Ferdigvare OFN Pricat"/>
    <x v="0"/>
    <n v="321"/>
    <s v="Ikke tilordnet"/>
    <x v="0"/>
    <s v="FR00"/>
    <s v="Råbekken"/>
    <x v="0"/>
    <s v="Q"/>
    <x v="0"/>
    <x v="0"/>
    <s v="Ikke tilordnet"/>
    <x v="0"/>
    <s v="Ikke tilordnet/201"/>
    <s v="Ikke tilordnet"/>
    <x v="0"/>
    <s v="Ikke tilordnet"/>
    <s v="F"/>
    <x v="0"/>
    <s v="Ikke tilordnet"/>
    <s v="X"/>
    <s v="NO"/>
    <n v="1029"/>
    <s v="ZFER"/>
    <s v="FR00"/>
    <n v="306"/>
    <n v="1902"/>
    <n v="145548.48000000001"/>
    <x v="0"/>
    <n v="1"/>
    <n v="1902"/>
    <n v="1596"/>
    <n v="-306"/>
    <x v="0"/>
  </r>
  <r>
    <m/>
    <x v="0"/>
    <x v="0"/>
    <x v="1"/>
    <m/>
    <x v="0"/>
    <n v="2014"/>
    <s v="Norsk"/>
    <s v="Stabburet Bayersk postei 8x6x22g"/>
    <s v="Ferdigvare OFN Pricat"/>
    <x v="0"/>
    <n v="321"/>
    <s v="Ikke tilordnet"/>
    <x v="0"/>
    <s v="FR00"/>
    <s v="Råbekken"/>
    <x v="0"/>
    <s v="Ikke tilordnet"/>
    <x v="0"/>
    <x v="0"/>
    <s v="Ikke tilordnet"/>
    <x v="0"/>
    <s v="Ikke tilordnet"/>
    <s v="Ikke tilordnet"/>
    <x v="1"/>
    <s v="Ikke tilordnet"/>
    <s v="F"/>
    <x v="0"/>
    <s v="Ikke tilordnet"/>
    <s v="Ikke tilordnet"/>
    <s v="NO"/>
    <n v="1029"/>
    <s v="ZFER"/>
    <s v="FR00"/>
    <n v="306"/>
    <n v="1902"/>
    <n v="145548.48000000001"/>
    <x v="1"/>
    <n v="1"/>
    <n v="1902"/>
    <n v="1902"/>
    <n v="306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l1" cacheId="75" dataOnRows="1" applyNumberFormats="0" applyBorderFormats="0" applyFontFormats="0" applyPatternFormats="0" applyAlignmentFormats="0" applyWidthHeightFormats="1" dataCaption="Data" updatedVersion="4" minRefreshableVersion="3" asteriskTotals="1" showMemberPropertyTips="0" useAutoFormatting="1" rowGrandTotals="0" itemPrintTitles="1" createdVersion="3" indent="0" compact="0" compactData="0" gridDropZones="1">
  <location ref="A5:B110" firstHeaderRow="2" firstDataRow="2" firstDataCol="1" rowPageCount="1" colPageCount="1"/>
  <pivotFields count="28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4">
        <item x="1"/>
        <item h="1" x="2"/>
        <item h="1" x="0"/>
        <item t="default"/>
      </items>
    </pivotField>
    <pivotField compact="0" numFmtId="1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numFmtId="14" outline="0" subtotalTop="0" showAll="0" includeNewItemsInFilter="1" sortType="ascending" rankBy="0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numFmtId="165" outline="0" subtotalTop="0" showAll="0" includeNewItemsInFilter="1"/>
  </pivotFields>
  <rowFields count="1">
    <field x="23"/>
  </rowFields>
  <rowItems count="1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</rowItems>
  <colItems count="1">
    <i/>
  </colItems>
  <pageFields count="1">
    <pageField fld="4" item="0" hier="0"/>
  </pageFields>
  <dataFields count="1">
    <dataField name="Sum av NetQty" fld="27" baseField="0" baseItem="0"/>
  </dataFields>
  <formats count="1">
    <format dxfId="60">
      <pivotArea outline="0" fieldPosition="0"/>
    </format>
  </format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ell1" cacheId="109" autoFormatId="4109" applyNumberFormats="1" applyBorderFormats="1" applyFontFormats="1" applyPatternFormats="1" applyAlignmentFormats="1" applyWidthHeightFormats="1" dataCaption="Data" updatedVersion="5" minRefreshableVersion="3" showMemberPropertyTips="0" useAutoFormatting="1" itemPrintTitles="1" createdVersion="3" indent="0" compact="0" compactData="0" gridDropZones="1">
  <location ref="A8:B10" firstHeaderRow="1" firstDataRow="1" firstDataCol="1" rowPageCount="3" colPageCount="1"/>
  <pivotFields count="45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sertBlankRow="1" includeNewItemsInFilter="1" sortType="ascending" rankBy="0"/>
    <pivotField compact="0" outline="0" showAll="0" defaultSubtotal="0"/>
    <pivotField compact="0" outline="0" showAll="0" defaultSubtotal="0"/>
    <pivotField compact="0" numFmtId="38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numFmtId="14" outline="0" subtotalTop="0" showAll="0" includeNewItemsInFilter="1"/>
    <pivotField compact="0" numFmtId="38" outline="0" subtotalTop="0" showAll="0" includeNewItemsInFilter="1"/>
    <pivotField compact="0" outline="0" subtotalTop="0" showAll="0" includeNewItemsInFilter="1"/>
    <pivotField axis="axisPage" compact="0" numFmtId="38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axis="axisPage" compact="0" numFmtId="38" outline="0" subtotalTop="0" showAll="0" includeNewItemsInFilter="1">
      <items count="3">
        <item x="0"/>
        <item x="1"/>
        <item t="default"/>
      </items>
    </pivotField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dataField="1" compact="0" outline="0" subtotalTop="0" showAll="0" includeNewItemsInFilter="1"/>
    <pivotField axis="axisRow" compact="0" numFmtId="14" outline="0" showAll="0" sortType="ascending" defaultSubtotal="0">
      <items count="3">
        <item m="1" x="1"/>
        <item m="1" x="2"/>
        <item x="0"/>
      </items>
    </pivotField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1">
    <field x="42"/>
  </rowFields>
  <rowItems count="2">
    <i>
      <x v="2"/>
    </i>
    <i t="grand">
      <x/>
    </i>
  </rowItems>
  <colItems count="1">
    <i/>
  </colItems>
  <pageFields count="3">
    <pageField fld="37" item="0" hier="0"/>
    <pageField fld="3" hier="0"/>
    <pageField fld="24" item="0" hier="0"/>
  </pageFields>
  <dataFields count="1">
    <dataField name="Sum av NetQty" fld="41" baseField="0" baseItem="0" numFmtId="38"/>
  </dataField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ell1" cacheId="109" autoFormatId="4109" applyNumberFormats="1" applyBorderFormats="1" applyFontFormats="1" applyPatternFormats="1" applyAlignmentFormats="1" applyWidthHeightFormats="1" dataCaption="Data" updatedVersion="5" minRefreshableVersion="3" asteriskTotals="1" showMemberPropertyTips="0" useAutoFormatting="1" rowGrandTotals="0" itemPrintTitles="1" createdVersion="3" indent="0" compact="0" compactData="0" gridDropZones="1">
  <location ref="A10:C11" firstHeaderRow="0" firstDataRow="1" firstDataCol="1" rowPageCount="3" colPageCount="1"/>
  <pivotFields count="45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 sortType="ascending" rankBy="0"/>
    <pivotField compact="0" outline="0" showAll="0" defaultSubtotal="0"/>
    <pivotField compact="0" outline="0" showAll="0" defaultSubtotal="0"/>
    <pivotField axis="axisPage" compact="0" numFmtId="14" outline="0" subtotalTop="0" showAll="0" includeNewItemsInFilter="1" sortType="descending" rankBy="0">
      <items count="4">
        <item m="1" x="2"/>
        <item m="1" x="1"/>
        <item x="0"/>
        <item t="default"/>
      </items>
    </pivotField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numFmtId="14" outline="0" subtotalTop="0" showAll="0" includeNewItemsInFilter="1"/>
    <pivotField compact="0" numFmtId="38" outline="0" subtotalTop="0" showAll="0" includeNewItemsInFilter="1"/>
    <pivotField compact="0" outline="0" subtotalTop="0" showAll="0" includeNewItemsInFilter="1"/>
    <pivotField axis="axisPage" compact="0" numFmtId="38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dataField="1" compact="0" numFmtId="38" outline="0" subtotalTop="0" showAll="0" includeNewItemsInFilter="1"/>
    <pivotField compact="0" numFmtId="38" outline="0" subtotalTop="0" showAll="0" includeNewItemsInFilter="1"/>
    <pivotField dataField="1" compact="0" outline="0" subtotalTop="0" showAll="0" includeNewItemsInFilter="1"/>
    <pivotField axis="axisRow" compact="0" numFmtId="14" outline="0" showAll="0" sortType="ascending" defaultSubtotal="0">
      <items count="3">
        <item m="1" x="1"/>
        <item m="1" x="2"/>
        <item x="0"/>
      </items>
    </pivotField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1">
    <field x="42"/>
  </rowFields>
  <rowItems count="1">
    <i>
      <x v="2"/>
    </i>
  </rowItems>
  <colFields count="1">
    <field x="-2"/>
  </colFields>
  <colItems count="2">
    <i>
      <x/>
    </i>
    <i i="1">
      <x v="1"/>
    </i>
  </colItems>
  <pageFields count="3">
    <pageField fld="3" hier="0"/>
    <pageField fld="16" hier="0"/>
    <pageField fld="24" hier="0"/>
  </pageFields>
  <dataFields count="2">
    <dataField name="Sum av StockIn" fld="39" baseField="0" baseItem="0"/>
    <dataField name="Sum av NetQty" fld="41" baseField="0" baseItem="0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6" count="0"/>
        </references>
      </pivotArea>
    </format>
  </formats>
  <pivotTableStyleInfo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ell1" cacheId="76" dataPosition="0" autoFormatId="4109" applyNumberFormats="1" applyBorderFormats="1" applyFontFormats="1" applyPatternFormats="1" applyAlignmentFormats="1" applyWidthHeightFormats="1" dataCaption="Data" showError="1" updatedVersion="4" minRefreshableVersion="3" asteriskTotals="1" showMemberPropertyTips="0" useAutoFormatting="1" itemPrintTitles="1" createdVersion="3" indent="0" compact="0" compactData="0" gridDropZones="1">
  <location ref="A9:E42" firstHeaderRow="1" firstDataRow="2" firstDataCol="2" rowPageCount="2" colPageCount="1"/>
  <pivotFields count="10">
    <pivotField axis="axisPage" compact="0" numFmtId="14" outline="0" subtotalTop="0" showAll="0" includeNewItemsInFilter="1">
      <items count="498"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308"/>
        <item x="307"/>
        <item x="306"/>
        <item x="305"/>
        <item x="304"/>
        <item x="301"/>
        <item x="302"/>
        <item x="303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t="default"/>
      </items>
    </pivotField>
    <pivotField compact="0" outline="0" subtotalTop="0" showAll="0" includeNewItemsInFilter="1"/>
    <pivotField dataField="1" compact="0" numFmtId="38" outline="0" subtotalTop="0" showAll="0" includeNewItemsInFilter="1"/>
    <pivotField compact="0" outline="0" subtotalTop="0" showAll="0" includeNewItemsInFilter="1"/>
    <pivotField compact="0" outline="0" showAll="0" defaultSubtotal="0"/>
    <pivotField name="Not in use" compact="0" outline="0" subtotalTop="0" showAll="0" includeNewItemsInFilter="1"/>
    <pivotField axis="axisCol" compact="0" outline="0" subtotalTop="0" showAll="0" includeNewItemsInFilter="1">
      <items count="3">
        <item x="1"/>
        <item x="0"/>
        <item t="default"/>
      </items>
    </pivotField>
    <pivotField axis="axisRow" compact="0" outline="0" subtotalTop="0" showAll="0" insertBlankRow="1" includeNewItemsInFilter="1" sortType="ascending">
      <items count="4">
        <item x="2"/>
        <item x="1"/>
        <item x="0"/>
        <item t="default"/>
      </items>
    </pivotField>
    <pivotField axis="axisRow" compact="0" outline="0" subtotalTop="0" showAll="0" includeNewItemsInFilter="1">
      <items count="13">
        <item x="5"/>
        <item x="4"/>
        <item x="3"/>
        <item x="2"/>
        <item x="1"/>
        <item x="0"/>
        <item x="11"/>
        <item x="10"/>
        <item x="9"/>
        <item x="8"/>
        <item x="7"/>
        <item x="6"/>
        <item t="default"/>
      </items>
    </pivotField>
    <pivotField axis="axisPage" compact="0" outline="0" subtotalTop="0" showAll="0" includeNewItemsInFilter="1">
      <items count="54"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t="default"/>
      </items>
    </pivotField>
  </pivotFields>
  <rowFields count="2">
    <field x="7"/>
    <field x="8"/>
  </rowFields>
  <rowItems count="32">
    <i>
      <x/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/>
    </i>
    <i t="blank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 t="blank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t="default">
      <x v="2"/>
    </i>
    <i t="blank">
      <x v="2"/>
    </i>
    <i t="grand">
      <x/>
    </i>
  </rowItems>
  <colFields count="1">
    <field x="6"/>
  </colFields>
  <colItems count="3">
    <i>
      <x/>
    </i>
    <i>
      <x v="1"/>
    </i>
    <i t="grand">
      <x/>
    </i>
  </colItems>
  <pageFields count="2">
    <pageField fld="0" hier="0"/>
    <pageField fld="9" hier="0"/>
  </pageFields>
  <dataFields count="1">
    <dataField name="Sum av Usage" fld="2" baseField="0" baseItem="0" numFmtId="38"/>
  </dataFields>
  <chartFormats count="2"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ell1" cacheId="109" autoFormatId="4109" applyNumberFormats="1" applyBorderFormats="1" applyFontFormats="1" applyPatternFormats="1" applyAlignmentFormats="1" applyWidthHeightFormats="1" dataCaption="Data" updatedVersion="5" minRefreshableVersion="3" showMemberPropertyTips="0" useAutoFormatting="1" itemPrintTitles="1" createdVersion="3" indent="0" compact="0" compactData="0" gridDropZones="1">
  <location ref="A12:C15" firstHeaderRow="1" firstDataRow="2" firstDataCol="1" rowPageCount="6" colPageCount="1"/>
  <pivotFields count="45">
    <pivotField compact="0" outline="0" subtotalTop="0" showAll="0" includeNewItemsInFilter="1"/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axis="axisPage" compact="0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ubtotalTop="0" showAll="0" includeNewItemsInFilter="1" defaultSubtotal="0">
      <items count="3">
        <item m="1" x="1"/>
        <item m="1" x="2"/>
        <item x="0"/>
      </items>
    </pivotField>
    <pivotField compact="0" outline="0" subtotalTop="0" showAll="0" includeNewItemsInFilter="1"/>
    <pivotField compact="0" outline="0" showAll="0" defaultSubtotal="0"/>
    <pivotField axis="axisPage" compact="0" outline="0" subtotalTop="0" showAll="0" insertBlankRow="1" includeNewItemsInFilter="1" sortType="ascending" rankBy="0" defaultSubtotal="0">
      <items count="3">
        <item x="0"/>
        <item m="1" x="1"/>
        <item m="1" x="2"/>
      </items>
    </pivotField>
    <pivotField compact="0" outline="0" showAll="0" defaultSubtotal="0"/>
    <pivotField compact="0" outline="0" showAll="0" defaultSubtotal="0"/>
    <pivotField compact="0" numFmtId="38" outline="0" subtotalTop="0" showAll="0" includeNewItemsInFilter="1"/>
    <pivotField compact="0" outline="0" showAll="0" defaultSubtotal="0"/>
    <pivotField axis="axisCol" compact="0" outline="0" subtotalTop="0" showAll="0" includeNewItemsInFilter="1">
      <items count="3">
        <item m="1" x="1"/>
        <item x="0"/>
        <item t="default"/>
      </items>
    </pivotField>
    <pivotField compact="0" outline="0" subtotalTop="0" showAll="0" includeNewItemsInFilter="1"/>
    <pivotField compact="0" outline="0" showAll="0" defaultSubtotal="0"/>
    <pivotField compact="0" numFmtId="14" outline="0" subtotalTop="0" showAll="0" includeNewItemsInFilter="1"/>
    <pivotField compact="0" numFmtId="38" outline="0" subtotalTop="0" showAll="0" includeNewItemsInFilter="1"/>
    <pivotField compact="0" outline="0" subtotalTop="0" showAll="0" includeNewItemsInFilter="1"/>
    <pivotField axis="axisPage" compact="0" numFmtId="38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">
        <item m="1" x="1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dataField="1" compact="0" outline="0" subtotalTop="0" showAll="0" includeNewItemsInFilter="1"/>
    <pivotField compact="0" numFmtId="14" outline="0" showAll="0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1">
    <field x="27"/>
  </rowFields>
  <rowItems count="2">
    <i>
      <x v="1"/>
    </i>
    <i t="grand">
      <x/>
    </i>
  </rowItems>
  <colFields count="1">
    <field x="18"/>
  </colFields>
  <colItems count="2">
    <i>
      <x v="1"/>
    </i>
    <i t="grand">
      <x/>
    </i>
  </colItems>
  <pageFields count="6">
    <pageField fld="5" hier="0"/>
    <pageField fld="24" hier="0"/>
    <pageField fld="1" hier="0"/>
    <pageField fld="13" hier="0"/>
    <pageField fld="3" hier="0"/>
    <pageField fld="10" hier="0"/>
  </pageFields>
  <dataFields count="1">
    <dataField name="Sum av NetQty" fld="41" baseField="0" baseItem="0" numFmtId="38"/>
  </dataFields>
  <pivotTableStyleInfo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ell1" cacheId="109" dataPosition="0" autoFormatId="4109" applyNumberFormats="1" applyBorderFormats="1" applyFontFormats="1" applyPatternFormats="1" applyAlignmentFormats="1" applyWidthHeightFormats="1" dataCaption="Data" showError="1" updatedVersion="5" minRefreshableVersion="3" showMemberPropertyTips="0" useAutoFormatting="1" rowGrandTotals="0" colGrandTotals="0" itemPrintTitles="1" createdVersion="3" indent="0" compact="0" compactData="0" gridDropZones="1">
  <location ref="A13:G16" firstHeaderRow="1" firstDataRow="2" firstDataCol="6" rowPageCount="4" colPageCount="1"/>
  <pivotFields count="45">
    <pivotField compact="0" outline="0" subtotalTop="0" showAll="0" includeNewItemsInFilter="1"/>
    <pivotField axis="axisRow" compact="0" outline="0" subtotalTop="0" showAll="0" insertBlankRow="1" includeNewItemsInFilter="1" defaultSubtotal="0">
      <items count="1">
        <item x="0"/>
      </items>
    </pivotField>
    <pivotField axis="axisRow" compact="0" outline="0" subtotalTop="0" showAll="0" includeNewItemsInFilter="1" defaultSubtotal="0">
      <items count="3">
        <item m="1" x="2"/>
        <item m="1" x="1"/>
        <item x="0"/>
      </items>
    </pivotField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ubtotalTop="0" showAll="0" includeNewItemsInFilter="1" defaultSubtotal="0">
      <items count="3">
        <item m="1" x="1"/>
        <item m="1" x="2"/>
        <item x="0"/>
      </items>
    </pivotField>
    <pivotField compact="0" outline="0" subtotalTop="0" showAll="0" includeNewItemsInFilter="1"/>
    <pivotField compact="0" outline="0" showAll="0" defaultSubtotal="0"/>
    <pivotField axis="axisPage" compact="0" outline="0" subtotalTop="0" showAll="0" insertBlankRow="1" includeNewItemsInFilter="1" defaultSubtotal="0">
      <items count="3"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Page" compact="0" numFmtId="14" outline="0" subtotalTop="0" showAll="0" includeNewItemsInFilter="1">
      <items count="4">
        <item m="1" x="1"/>
        <item m="1" x="2"/>
        <item x="0"/>
        <item t="default"/>
      </items>
    </pivotField>
    <pivotField compact="0" outline="0" showAll="0" defaultSubtotal="0"/>
    <pivotField axis="axisCol" compact="0" outline="0" subtotalTop="0" showAll="0" includeNewItemsInFilter="1">
      <items count="3">
        <item m="1" x="1"/>
        <item x="0"/>
        <item t="default"/>
      </items>
    </pivotField>
    <pivotField axis="axisPage" compact="0" outline="0" subtotalTop="0" showAll="0" includeNewItemsInFilter="1">
      <items count="3">
        <item m="1" x="1"/>
        <item x="0"/>
        <item t="default"/>
      </items>
    </pivotField>
    <pivotField compact="0" outline="0" showAll="0" defaultSubtotal="0"/>
    <pivotField axis="axisRow" compact="0" outline="0" subtotalTop="0" showAll="0" includeNewItemsInFilter="1" defaultSubtotal="0">
      <items count="2">
        <item m="1" x="1"/>
        <item x="0"/>
      </items>
    </pivotField>
    <pivotField compact="0" numFmtId="38" outline="0" subtotalTop="0" showAll="0" includeNewItemsInFilter="1"/>
    <pivotField compact="0" outline="0" subtotalTop="0" showAll="0" includeNewItemsInFilter="1"/>
    <pivotField axis="axisPage" compact="0" numFmtId="38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defaultSubtotal="0">
      <items count="2">
        <item m="1" x="1"/>
        <item x="0"/>
      </items>
    </pivotField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dataField="1" compact="0" outline="0" subtotalTop="0" showAll="0" includeNewItemsInFilter="1"/>
    <pivotField compact="0" numFmtId="14" outline="0" showAll="0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6">
    <field x="1"/>
    <field x="5"/>
    <field x="10"/>
    <field x="27"/>
    <field x="21"/>
    <field x="2"/>
  </rowFields>
  <rowItems count="2">
    <i>
      <x/>
      <x/>
      <x v="2"/>
      <x v="1"/>
      <x v="1"/>
      <x v="2"/>
    </i>
    <i t="blank">
      <x/>
    </i>
  </rowItems>
  <colFields count="1">
    <field x="18"/>
  </colFields>
  <colItems count="1">
    <i>
      <x v="1"/>
    </i>
  </colItems>
  <pageFields count="4">
    <pageField fld="13" item="2" hier="0"/>
    <pageField fld="16" hier="0"/>
    <pageField fld="19" hier="0"/>
    <pageField fld="24" hier="0"/>
  </pageFields>
  <dataFields count="1">
    <dataField name="Sum av NetQty" fld="41" baseField="0" baseItem="0" numFmtId="38"/>
  </dataFields>
  <pivotTableStyleInfo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ell1" cacheId="109" autoFormatId="4109" applyNumberFormats="1" applyBorderFormats="1" applyFontFormats="1" applyPatternFormats="1" applyAlignmentFormats="1" applyWidthHeightFormats="1" dataCaption="Data" showError="1" updatedVersion="5" minRefreshableVersion="3" asteriskTotals="1" showMemberPropertyTips="0" useAutoFormatting="1" itemPrintTitles="1" createdVersion="3" indent="0" compact="0" compactData="0" gridDropZones="1">
  <location ref="A12:G17" firstHeaderRow="1" firstDataRow="4" firstDataCol="1" rowPageCount="5" colPageCount="1"/>
  <pivotFields count="45">
    <pivotField compact="0" outline="0" subtotalTop="0" showAll="0" includeNewItemsInFilter="1"/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/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ubtotalTop="0" showAll="0" includeNewItemsInFilter="1" defaultSubtotal="0">
      <items count="3">
        <item m="1" x="1"/>
        <item m="1" x="2"/>
        <item x="0"/>
      </items>
    </pivotField>
    <pivotField compact="0" outline="0" subtotalTop="0" showAll="0" includeNewItemsInFilter="1"/>
    <pivotField compact="0" outline="0" showAll="0" defaultSubtotal="0"/>
    <pivotField axis="axisRow" compact="0" outline="0" subtotalTop="0" showAll="0" insertBlankRow="1" includeNewItemsInFilter="1" sortType="descending" rankBy="0" defaultSubtotal="0">
      <items count="3">
        <item m="1" x="2"/>
        <item m="1" x="1"/>
        <item x="0"/>
      </items>
    </pivotField>
    <pivotField compact="0" outline="0" showAll="0" defaultSubtotal="0"/>
    <pivotField compact="0" outline="0" showAll="0" defaultSubtotal="0"/>
    <pivotField compact="0" numFmtId="38" outline="0" subtotalTop="0" showAll="0" includeNewItemsInFilter="1"/>
    <pivotField compact="0" outline="0" showAll="0" defaultSubtotal="0"/>
    <pivotField axis="axisCol" compact="0" outline="0" subtotalTop="0" showAll="0" includeNewItemsInFilter="1">
      <items count="3">
        <item m="1" x="1"/>
        <item x="0"/>
        <item t="default"/>
      </items>
    </pivotField>
    <pivotField compact="0" outline="0" subtotalTop="0" showAll="0" includeNewItemsInFilter="1"/>
    <pivotField compact="0" outline="0" showAll="0" defaultSubtotal="0"/>
    <pivotField compact="0" numFmtId="14" outline="0" subtotalTop="0" showAll="0" includeNewItemsInFilter="1"/>
    <pivotField compact="0" numFmtId="38" outline="0" subtotalTop="0" showAll="0" includeNewItemsInFilter="1"/>
    <pivotField compact="0" outline="0" subtotalTop="0" showAll="0" includeNewItemsInFilter="1"/>
    <pivotField axis="axisPage" compact="0" numFmtId="38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3">
        <item m="1" x="1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dataField="1" compact="0" outline="0" subtotalTop="0" showAll="0" includeNewItemsInFilter="1"/>
    <pivotField compact="0" numFmtId="14" outline="0" showAll="0" defaultSubtotal="0"/>
    <pivotField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</pivotFields>
  <rowFields count="1">
    <field x="13"/>
  </rowFields>
  <rowItems count="2">
    <i>
      <x v="2"/>
    </i>
    <i t="grand">
      <x/>
    </i>
  </rowItems>
  <colFields count="3">
    <field x="3"/>
    <field x="18"/>
    <field x="-2"/>
  </colFields>
  <colItems count="6">
    <i>
      <x/>
      <x v="1"/>
      <x/>
    </i>
    <i r="2" i="1">
      <x v="1"/>
    </i>
    <i>
      <x v="1"/>
      <x v="1"/>
      <x/>
    </i>
    <i r="2" i="1">
      <x v="1"/>
    </i>
    <i t="grand">
      <x/>
    </i>
    <i t="grand" i="1">
      <x/>
    </i>
  </colItems>
  <pageFields count="5">
    <pageField fld="27" hier="0"/>
    <pageField fld="5" hier="0"/>
    <pageField fld="24" hier="0"/>
    <pageField fld="1" hier="0"/>
    <pageField fld="10" hier="0"/>
  </pageFields>
  <dataFields count="2">
    <dataField name="Sum av NetQty" fld="41" baseField="0" baseItem="0" numFmtId="38"/>
    <dataField name="Sum av Stock Price" fld="44" baseField="0" baseItem="0" numFmtId="40"/>
  </dataFields>
  <pivotTableStyleInfo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ell1" cacheId="75" dataOnRows="1" applyNumberFormats="0" applyBorderFormats="0" applyFontFormats="0" applyPatternFormats="0" applyAlignmentFormats="0" applyWidthHeightFormats="1" dataCaption="Data" updatedVersion="4" minRefreshableVersion="3" asteriskTotals="1" showMemberPropertyTips="0" useAutoFormatting="1" rowGrandTotals="0" colGrandTotals="0" itemPrintTitles="1" createdVersion="3" indent="0" compact="0" compactData="0" gridDropZones="1">
  <location ref="A11:H258" firstHeaderRow="1" firstDataRow="2" firstDataCol="5" rowPageCount="2" colPageCount="1"/>
  <pivotFields count="28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4">
        <item x="1"/>
        <item x="2"/>
        <item x="0"/>
        <item t="default"/>
      </items>
    </pivotField>
    <pivotField axis="axisRow" compact="0" numFmtId="14" outline="0" subtotalTop="0" showAll="0" includeNewItemsInFilter="1" sortType="ascending" rankBy="0" defaultSubtotal="0">
      <items count="2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</items>
    </pivotField>
    <pivotField compact="0" outline="0" subtotalTop="0" showAll="0" includeNewItemsInFilter="1"/>
    <pivotField axis="axisRow" compact="0" outline="0" subtotalTop="0" showAll="0" includeNewItemsInFilter="1" defaultSubtotal="0">
      <items count="6">
        <item x="0"/>
        <item x="5"/>
        <item x="1"/>
        <item x="3"/>
        <item x="2"/>
        <item x="4"/>
      </items>
    </pivotField>
    <pivotField axis="axisRow" compact="0" outline="0" subtotalTop="0" showAll="0" includeNewItemsInFilter="1" defaultSubtotal="0">
      <items count="9">
        <item x="0"/>
        <item x="3"/>
        <item x="8"/>
        <item x="1"/>
        <item x="2"/>
        <item x="4"/>
        <item x="5"/>
        <item x="6"/>
        <item x="7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defaultSubtotal="0">
      <items count="2">
        <item x="0"/>
        <item x="1"/>
      </items>
    </pivotField>
    <pivotField axis="axisRow" compact="0" outline="0" subtotalTop="0" showAll="0" includeNewItemsInFilter="1" defaultSubtotal="0">
      <items count="1">
        <item x="0"/>
      </items>
    </pivotField>
    <pivotField compact="0" numFmtId="14" outline="0" subtotalTop="0" showAll="0" includeNewItemsInFilter="1"/>
    <pivotField axis="axisPage" compact="0" outline="0" subtotalTop="0" showAll="0" includeNewItemsInFilter="1">
      <items count="53"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Page" compact="0" outline="0" subtotalTop="0" showAll="0" includeNewItemsInFilter="1">
      <items count="13">
        <item x="7"/>
        <item x="8"/>
        <item x="9"/>
        <item x="10"/>
        <item x="11"/>
        <item x="0"/>
        <item x="1"/>
        <item x="2"/>
        <item x="3"/>
        <item x="4"/>
        <item x="5"/>
        <item x="6"/>
        <item t="default"/>
      </items>
    </pivotField>
    <pivotField compact="0" outline="0" subtotalTop="0" showAll="0" includeNewItemsInFilter="1"/>
    <pivotField dataField="1" compact="0" numFmtId="165" outline="0" subtotalTop="0" showAll="0" includeNewItemsInFilter="1"/>
  </pivotFields>
  <rowFields count="5">
    <field x="5"/>
    <field x="7"/>
    <field x="8"/>
    <field x="22"/>
    <field x="21"/>
  </rowFields>
  <rowItems count="246">
    <i>
      <x/>
      <x/>
      <x/>
      <x/>
      <x/>
    </i>
    <i r="1">
      <x v="1"/>
      <x v="2"/>
      <x/>
      <x/>
    </i>
    <i r="1">
      <x v="2"/>
      <x v="3"/>
      <x/>
      <x v="1"/>
    </i>
    <i>
      <x v="1"/>
      <x v="4"/>
      <x v="4"/>
      <x/>
      <x/>
    </i>
    <i>
      <x v="2"/>
      <x v="3"/>
      <x v="1"/>
      <x/>
      <x/>
    </i>
    <i>
      <x v="3"/>
      <x v="3"/>
      <x v="1"/>
      <x/>
      <x/>
    </i>
    <i>
      <x v="4"/>
      <x v="3"/>
      <x v="1"/>
      <x/>
      <x/>
    </i>
    <i>
      <x v="5"/>
      <x v="3"/>
      <x v="1"/>
      <x/>
      <x/>
    </i>
    <i>
      <x v="6"/>
      <x v="3"/>
      <x v="1"/>
      <x/>
      <x/>
    </i>
    <i>
      <x v="7"/>
      <x v="3"/>
      <x v="1"/>
      <x/>
      <x/>
    </i>
    <i>
      <x v="8"/>
      <x v="3"/>
      <x v="1"/>
      <x/>
      <x/>
    </i>
    <i>
      <x v="9"/>
      <x v="3"/>
      <x v="1"/>
      <x/>
      <x/>
    </i>
    <i>
      <x v="10"/>
      <x v="3"/>
      <x v="1"/>
      <x/>
      <x/>
    </i>
    <i>
      <x v="11"/>
      <x v="3"/>
      <x v="1"/>
      <x/>
      <x/>
    </i>
    <i>
      <x v="12"/>
      <x v="3"/>
      <x v="1"/>
      <x/>
      <x/>
    </i>
    <i>
      <x v="13"/>
      <x v="3"/>
      <x v="1"/>
      <x/>
      <x/>
    </i>
    <i>
      <x v="14"/>
      <x v="3"/>
      <x v="1"/>
      <x/>
      <x/>
    </i>
    <i>
      <x v="15"/>
      <x v="3"/>
      <x v="1"/>
      <x/>
      <x/>
    </i>
    <i>
      <x v="16"/>
      <x v="3"/>
      <x v="1"/>
      <x/>
      <x/>
    </i>
    <i>
      <x v="17"/>
      <x v="3"/>
      <x v="1"/>
      <x/>
      <x/>
    </i>
    <i>
      <x v="18"/>
      <x v="3"/>
      <x v="1"/>
      <x/>
      <x/>
    </i>
    <i>
      <x v="19"/>
      <x v="3"/>
      <x v="1"/>
      <x/>
      <x/>
    </i>
    <i>
      <x v="20"/>
      <x v="3"/>
      <x v="1"/>
      <x/>
      <x/>
    </i>
    <i>
      <x v="21"/>
      <x v="3"/>
      <x v="1"/>
      <x/>
      <x/>
    </i>
    <i>
      <x v="22"/>
      <x v="3"/>
      <x v="1"/>
      <x/>
      <x/>
    </i>
    <i>
      <x v="23"/>
      <x v="3"/>
      <x v="1"/>
      <x/>
      <x/>
    </i>
    <i>
      <x v="24"/>
      <x v="3"/>
      <x v="1"/>
      <x/>
      <x/>
    </i>
    <i>
      <x v="25"/>
      <x v="3"/>
      <x v="1"/>
      <x/>
      <x/>
    </i>
    <i>
      <x v="26"/>
      <x v="3"/>
      <x v="1"/>
      <x/>
      <x/>
    </i>
    <i>
      <x v="27"/>
      <x v="3"/>
      <x v="1"/>
      <x/>
      <x/>
    </i>
    <i>
      <x v="28"/>
      <x v="3"/>
      <x v="1"/>
      <x/>
      <x/>
    </i>
    <i>
      <x v="29"/>
      <x v="3"/>
      <x v="1"/>
      <x/>
      <x/>
    </i>
    <i>
      <x v="30"/>
      <x v="3"/>
      <x v="1"/>
      <x/>
      <x/>
    </i>
    <i>
      <x v="31"/>
      <x v="3"/>
      <x v="1"/>
      <x/>
      <x/>
    </i>
    <i>
      <x v="32"/>
      <x v="3"/>
      <x v="1"/>
      <x/>
      <x/>
    </i>
    <i>
      <x v="33"/>
      <x v="3"/>
      <x v="1"/>
      <x/>
      <x/>
    </i>
    <i>
      <x v="34"/>
      <x v="3"/>
      <x v="1"/>
      <x/>
      <x/>
    </i>
    <i>
      <x v="35"/>
      <x v="3"/>
      <x v="1"/>
      <x/>
      <x/>
    </i>
    <i>
      <x v="36"/>
      <x v="3"/>
      <x v="1"/>
      <x/>
      <x/>
    </i>
    <i>
      <x v="37"/>
      <x v="3"/>
      <x v="1"/>
      <x/>
      <x/>
    </i>
    <i>
      <x v="38"/>
      <x v="3"/>
      <x v="1"/>
      <x/>
      <x/>
    </i>
    <i>
      <x v="39"/>
      <x v="3"/>
      <x v="1"/>
      <x/>
      <x/>
    </i>
    <i>
      <x v="40"/>
      <x v="3"/>
      <x v="1"/>
      <x/>
      <x/>
    </i>
    <i>
      <x v="41"/>
      <x v="3"/>
      <x v="1"/>
      <x/>
      <x/>
    </i>
    <i>
      <x v="42"/>
      <x v="3"/>
      <x v="1"/>
      <x/>
      <x/>
    </i>
    <i>
      <x v="43"/>
      <x v="3"/>
      <x v="1"/>
      <x/>
      <x/>
    </i>
    <i>
      <x v="44"/>
      <x v="3"/>
      <x v="1"/>
      <x/>
      <x/>
    </i>
    <i>
      <x v="45"/>
      <x v="3"/>
      <x v="1"/>
      <x/>
      <x/>
    </i>
    <i>
      <x v="46"/>
      <x v="3"/>
      <x v="1"/>
      <x/>
      <x/>
    </i>
    <i>
      <x v="47"/>
      <x v="3"/>
      <x v="1"/>
      <x/>
      <x/>
    </i>
    <i>
      <x v="48"/>
      <x v="3"/>
      <x v="1"/>
      <x/>
      <x/>
    </i>
    <i>
      <x v="49"/>
      <x v="3"/>
      <x v="1"/>
      <x/>
      <x/>
    </i>
    <i>
      <x v="50"/>
      <x v="3"/>
      <x v="1"/>
      <x/>
      <x/>
    </i>
    <i>
      <x v="51"/>
      <x v="3"/>
      <x v="1"/>
      <x/>
      <x/>
    </i>
    <i>
      <x v="52"/>
      <x v="3"/>
      <x v="1"/>
      <x/>
      <x/>
    </i>
    <i>
      <x v="53"/>
      <x v="3"/>
      <x v="1"/>
      <x/>
      <x/>
    </i>
    <i>
      <x v="54"/>
      <x v="3"/>
      <x v="1"/>
      <x/>
      <x/>
    </i>
    <i>
      <x v="55"/>
      <x v="3"/>
      <x v="1"/>
      <x/>
      <x/>
    </i>
    <i r="1">
      <x v="5"/>
      <x v="5"/>
      <x/>
      <x/>
    </i>
    <i>
      <x v="56"/>
      <x v="3"/>
      <x v="1"/>
      <x/>
      <x/>
    </i>
    <i>
      <x v="57"/>
      <x v="3"/>
      <x v="1"/>
      <x/>
      <x/>
    </i>
    <i>
      <x v="58"/>
      <x v="3"/>
      <x v="1"/>
      <x/>
      <x/>
    </i>
    <i>
      <x v="59"/>
      <x v="3"/>
      <x v="1"/>
      <x/>
      <x/>
    </i>
    <i>
      <x v="60"/>
      <x v="3"/>
      <x v="1"/>
      <x/>
      <x/>
    </i>
    <i>
      <x v="61"/>
      <x v="3"/>
      <x v="1"/>
      <x/>
      <x/>
    </i>
    <i>
      <x v="62"/>
      <x v="3"/>
      <x v="1"/>
      <x/>
      <x/>
    </i>
    <i>
      <x v="63"/>
      <x v="3"/>
      <x v="1"/>
      <x/>
      <x/>
    </i>
    <i>
      <x v="64"/>
      <x v="3"/>
      <x v="1"/>
      <x/>
      <x/>
    </i>
    <i>
      <x v="65"/>
      <x v="3"/>
      <x v="1"/>
      <x/>
      <x/>
    </i>
    <i>
      <x v="66"/>
      <x v="3"/>
      <x v="1"/>
      <x/>
      <x/>
    </i>
    <i>
      <x v="67"/>
      <x v="3"/>
      <x v="1"/>
      <x/>
      <x/>
    </i>
    <i>
      <x v="68"/>
      <x v="3"/>
      <x v="1"/>
      <x/>
      <x/>
    </i>
    <i>
      <x v="69"/>
      <x v="3"/>
      <x v="1"/>
      <x/>
      <x/>
    </i>
    <i>
      <x v="70"/>
      <x v="3"/>
      <x v="1"/>
      <x/>
      <x/>
    </i>
    <i>
      <x v="71"/>
      <x v="3"/>
      <x v="1"/>
      <x/>
      <x/>
    </i>
    <i>
      <x v="72"/>
      <x v="3"/>
      <x v="1"/>
      <x/>
      <x/>
    </i>
    <i>
      <x v="73"/>
      <x v="3"/>
      <x v="1"/>
      <x/>
      <x/>
    </i>
    <i>
      <x v="74"/>
      <x v="3"/>
      <x v="1"/>
      <x/>
      <x/>
    </i>
    <i>
      <x v="75"/>
      <x v="3"/>
      <x v="1"/>
      <x/>
      <x/>
    </i>
    <i>
      <x v="76"/>
      <x v="3"/>
      <x v="1"/>
      <x/>
      <x/>
    </i>
    <i>
      <x v="77"/>
      <x v="3"/>
      <x v="1"/>
      <x/>
      <x/>
    </i>
    <i>
      <x v="78"/>
      <x v="3"/>
      <x v="1"/>
      <x/>
      <x/>
    </i>
    <i>
      <x v="79"/>
      <x v="3"/>
      <x v="1"/>
      <x/>
      <x/>
    </i>
    <i>
      <x v="80"/>
      <x v="3"/>
      <x v="1"/>
      <x/>
      <x/>
    </i>
    <i>
      <x v="81"/>
      <x v="3"/>
      <x v="1"/>
      <x/>
      <x/>
    </i>
    <i>
      <x v="82"/>
      <x v="3"/>
      <x v="1"/>
      <x/>
      <x/>
    </i>
    <i>
      <x v="83"/>
      <x v="3"/>
      <x v="1"/>
      <x/>
      <x/>
    </i>
    <i>
      <x v="84"/>
      <x v="3"/>
      <x v="1"/>
      <x/>
      <x/>
    </i>
    <i>
      <x v="85"/>
      <x v="3"/>
      <x v="1"/>
      <x/>
      <x/>
    </i>
    <i>
      <x v="86"/>
      <x v="3"/>
      <x v="1"/>
      <x/>
      <x/>
    </i>
    <i>
      <x v="87"/>
      <x v="3"/>
      <x v="1"/>
      <x/>
      <x/>
    </i>
    <i>
      <x v="88"/>
      <x v="3"/>
      <x v="1"/>
      <x/>
      <x/>
    </i>
    <i>
      <x v="89"/>
      <x v="3"/>
      <x v="1"/>
      <x/>
      <x/>
    </i>
    <i>
      <x v="90"/>
      <x v="3"/>
      <x v="1"/>
      <x/>
      <x/>
    </i>
    <i>
      <x v="91"/>
      <x v="3"/>
      <x v="1"/>
      <x/>
      <x/>
    </i>
    <i>
      <x v="92"/>
      <x v="3"/>
      <x v="1"/>
      <x/>
      <x/>
    </i>
    <i>
      <x v="93"/>
      <x v="3"/>
      <x v="1"/>
      <x/>
      <x/>
    </i>
    <i>
      <x v="94"/>
      <x v="3"/>
      <x v="1"/>
      <x/>
      <x/>
    </i>
    <i>
      <x v="95"/>
      <x v="3"/>
      <x v="1"/>
      <x/>
      <x/>
    </i>
    <i>
      <x v="96"/>
      <x v="3"/>
      <x v="1"/>
      <x/>
      <x/>
    </i>
    <i>
      <x v="97"/>
      <x v="3"/>
      <x v="1"/>
      <x/>
      <x/>
    </i>
    <i>
      <x v="98"/>
      <x v="3"/>
      <x v="1"/>
      <x/>
      <x/>
    </i>
    <i>
      <x v="99"/>
      <x v="3"/>
      <x v="1"/>
      <x/>
      <x/>
    </i>
    <i>
      <x v="100"/>
      <x v="3"/>
      <x v="1"/>
      <x/>
      <x/>
    </i>
    <i>
      <x v="101"/>
      <x v="3"/>
      <x v="1"/>
      <x/>
      <x/>
    </i>
    <i>
      <x v="102"/>
      <x v="3"/>
      <x v="1"/>
      <x/>
      <x/>
    </i>
    <i>
      <x v="103"/>
      <x v="3"/>
      <x v="1"/>
      <x/>
      <x/>
    </i>
    <i>
      <x v="104"/>
      <x v="3"/>
      <x v="1"/>
      <x/>
      <x/>
    </i>
    <i>
      <x v="105"/>
      <x v="3"/>
      <x v="1"/>
      <x/>
      <x/>
    </i>
    <i>
      <x v="106"/>
      <x v="3"/>
      <x v="1"/>
      <x/>
      <x/>
    </i>
    <i>
      <x v="107"/>
      <x v="3"/>
      <x v="1"/>
      <x/>
      <x/>
    </i>
    <i>
      <x v="108"/>
      <x v="3"/>
      <x v="1"/>
      <x/>
      <x/>
    </i>
    <i>
      <x v="109"/>
      <x v="3"/>
      <x v="1"/>
      <x/>
      <x/>
    </i>
    <i r="1">
      <x v="5"/>
      <x v="6"/>
      <x/>
      <x/>
    </i>
    <i>
      <x v="110"/>
      <x v="3"/>
      <x v="1"/>
      <x/>
      <x/>
    </i>
    <i>
      <x v="111"/>
      <x v="3"/>
      <x v="1"/>
      <x/>
      <x/>
    </i>
    <i>
      <x v="112"/>
      <x v="3"/>
      <x v="1"/>
      <x/>
      <x/>
    </i>
    <i>
      <x v="113"/>
      <x v="3"/>
      <x v="1"/>
      <x/>
      <x/>
    </i>
    <i>
      <x v="114"/>
      <x v="3"/>
      <x v="1"/>
      <x/>
      <x/>
    </i>
    <i>
      <x v="115"/>
      <x v="3"/>
      <x v="1"/>
      <x/>
      <x/>
    </i>
    <i>
      <x v="116"/>
      <x v="3"/>
      <x v="1"/>
      <x/>
      <x/>
    </i>
    <i>
      <x v="117"/>
      <x v="3"/>
      <x v="1"/>
      <x/>
      <x/>
    </i>
    <i>
      <x v="118"/>
      <x v="3"/>
      <x v="1"/>
      <x/>
      <x/>
    </i>
    <i>
      <x v="119"/>
      <x v="3"/>
      <x v="1"/>
      <x/>
      <x/>
    </i>
    <i>
      <x v="120"/>
      <x v="3"/>
      <x v="1"/>
      <x/>
      <x/>
    </i>
    <i>
      <x v="121"/>
      <x v="3"/>
      <x v="1"/>
      <x/>
      <x/>
    </i>
    <i>
      <x v="122"/>
      <x v="3"/>
      <x v="1"/>
      <x/>
      <x/>
    </i>
    <i>
      <x v="123"/>
      <x v="3"/>
      <x v="1"/>
      <x/>
      <x/>
    </i>
    <i>
      <x v="124"/>
      <x v="3"/>
      <x v="1"/>
      <x/>
      <x/>
    </i>
    <i>
      <x v="125"/>
      <x v="3"/>
      <x v="1"/>
      <x/>
      <x/>
    </i>
    <i>
      <x v="126"/>
      <x v="3"/>
      <x v="1"/>
      <x/>
      <x/>
    </i>
    <i>
      <x v="127"/>
      <x v="3"/>
      <x v="1"/>
      <x/>
      <x/>
    </i>
    <i>
      <x v="128"/>
      <x v="3"/>
      <x v="1"/>
      <x/>
      <x/>
    </i>
    <i>
      <x v="129"/>
      <x v="3"/>
      <x v="1"/>
      <x/>
      <x/>
    </i>
    <i>
      <x v="130"/>
      <x v="3"/>
      <x v="1"/>
      <x/>
      <x/>
    </i>
    <i>
      <x v="131"/>
      <x v="3"/>
      <x v="1"/>
      <x/>
      <x/>
    </i>
    <i>
      <x v="132"/>
      <x v="3"/>
      <x v="1"/>
      <x/>
      <x/>
    </i>
    <i>
      <x v="133"/>
      <x v="3"/>
      <x v="1"/>
      <x/>
      <x/>
    </i>
    <i>
      <x v="134"/>
      <x v="3"/>
      <x v="1"/>
      <x/>
      <x/>
    </i>
    <i>
      <x v="135"/>
      <x v="3"/>
      <x v="1"/>
      <x/>
      <x/>
    </i>
    <i>
      <x v="136"/>
      <x v="3"/>
      <x v="1"/>
      <x/>
      <x/>
    </i>
    <i>
      <x v="137"/>
      <x v="3"/>
      <x v="1"/>
      <x/>
      <x/>
    </i>
    <i>
      <x v="138"/>
      <x v="3"/>
      <x v="1"/>
      <x/>
      <x/>
    </i>
    <i>
      <x v="139"/>
      <x v="3"/>
      <x v="1"/>
      <x/>
      <x/>
    </i>
    <i>
      <x v="140"/>
      <x v="3"/>
      <x v="1"/>
      <x/>
      <x/>
    </i>
    <i>
      <x v="141"/>
      <x v="3"/>
      <x v="1"/>
      <x/>
      <x/>
    </i>
    <i>
      <x v="142"/>
      <x v="3"/>
      <x v="1"/>
      <x/>
      <x/>
    </i>
    <i>
      <x v="143"/>
      <x v="3"/>
      <x v="1"/>
      <x/>
      <x/>
    </i>
    <i>
      <x v="144"/>
      <x v="3"/>
      <x v="1"/>
      <x/>
      <x/>
    </i>
    <i>
      <x v="145"/>
      <x v="3"/>
      <x v="1"/>
      <x/>
      <x/>
    </i>
    <i>
      <x v="146"/>
      <x v="3"/>
      <x v="1"/>
      <x/>
      <x/>
    </i>
    <i>
      <x v="147"/>
      <x v="3"/>
      <x v="1"/>
      <x/>
      <x/>
    </i>
    <i>
      <x v="148"/>
      <x v="3"/>
      <x v="1"/>
      <x/>
      <x/>
    </i>
    <i>
      <x v="149"/>
      <x v="3"/>
      <x v="1"/>
      <x/>
      <x/>
    </i>
    <i>
      <x v="150"/>
      <x v="3"/>
      <x v="1"/>
      <x/>
      <x/>
    </i>
    <i>
      <x v="151"/>
      <x v="3"/>
      <x v="1"/>
      <x/>
      <x/>
    </i>
    <i>
      <x v="152"/>
      <x v="3"/>
      <x v="1"/>
      <x/>
      <x/>
    </i>
    <i>
      <x v="153"/>
      <x v="3"/>
      <x v="1"/>
      <x/>
      <x/>
    </i>
    <i>
      <x v="154"/>
      <x v="3"/>
      <x v="1"/>
      <x/>
      <x/>
    </i>
    <i r="1">
      <x v="5"/>
      <x v="7"/>
      <x/>
      <x/>
    </i>
    <i>
      <x v="155"/>
      <x v="3"/>
      <x v="1"/>
      <x/>
      <x/>
    </i>
    <i>
      <x v="156"/>
      <x v="3"/>
      <x v="1"/>
      <x/>
      <x/>
    </i>
    <i>
      <x v="157"/>
      <x v="3"/>
      <x v="1"/>
      <x/>
      <x/>
    </i>
    <i>
      <x v="158"/>
      <x v="3"/>
      <x v="1"/>
      <x/>
      <x/>
    </i>
    <i>
      <x v="159"/>
      <x v="3"/>
      <x v="1"/>
      <x/>
      <x/>
    </i>
    <i>
      <x v="160"/>
      <x v="3"/>
      <x v="1"/>
      <x/>
      <x/>
    </i>
    <i>
      <x v="161"/>
      <x v="3"/>
      <x v="1"/>
      <x/>
      <x/>
    </i>
    <i>
      <x v="162"/>
      <x v="3"/>
      <x v="1"/>
      <x/>
      <x/>
    </i>
    <i>
      <x v="163"/>
      <x v="3"/>
      <x v="1"/>
      <x/>
      <x/>
    </i>
    <i>
      <x v="164"/>
      <x v="3"/>
      <x v="1"/>
      <x/>
      <x/>
    </i>
    <i>
      <x v="165"/>
      <x v="3"/>
      <x v="1"/>
      <x/>
      <x/>
    </i>
    <i>
      <x v="166"/>
      <x v="3"/>
      <x v="1"/>
      <x/>
      <x/>
    </i>
    <i>
      <x v="167"/>
      <x v="3"/>
      <x v="1"/>
      <x/>
      <x/>
    </i>
    <i>
      <x v="168"/>
      <x v="3"/>
      <x v="1"/>
      <x/>
      <x/>
    </i>
    <i>
      <x v="169"/>
      <x v="3"/>
      <x v="1"/>
      <x/>
      <x/>
    </i>
    <i>
      <x v="170"/>
      <x v="3"/>
      <x v="1"/>
      <x/>
      <x/>
    </i>
    <i>
      <x v="171"/>
      <x v="3"/>
      <x v="1"/>
      <x/>
      <x/>
    </i>
    <i>
      <x v="172"/>
      <x v="3"/>
      <x v="1"/>
      <x/>
      <x/>
    </i>
    <i>
      <x v="173"/>
      <x v="3"/>
      <x v="1"/>
      <x/>
      <x/>
    </i>
    <i>
      <x v="174"/>
      <x v="3"/>
      <x v="1"/>
      <x/>
      <x/>
    </i>
    <i>
      <x v="175"/>
      <x v="3"/>
      <x v="1"/>
      <x/>
      <x/>
    </i>
    <i>
      <x v="176"/>
      <x v="3"/>
      <x v="1"/>
      <x/>
      <x/>
    </i>
    <i>
      <x v="177"/>
      <x v="3"/>
      <x v="1"/>
      <x/>
      <x/>
    </i>
    <i>
      <x v="178"/>
      <x v="3"/>
      <x v="1"/>
      <x/>
      <x/>
    </i>
    <i>
      <x v="179"/>
      <x v="3"/>
      <x v="1"/>
      <x/>
      <x/>
    </i>
    <i>
      <x v="180"/>
      <x v="3"/>
      <x v="1"/>
      <x/>
      <x/>
    </i>
    <i>
      <x v="181"/>
      <x v="3"/>
      <x v="1"/>
      <x/>
      <x/>
    </i>
    <i>
      <x v="182"/>
      <x v="3"/>
      <x v="1"/>
      <x/>
      <x/>
    </i>
    <i>
      <x v="183"/>
      <x v="3"/>
      <x v="1"/>
      <x/>
      <x/>
    </i>
    <i>
      <x v="184"/>
      <x v="3"/>
      <x v="1"/>
      <x/>
      <x/>
    </i>
    <i>
      <x v="185"/>
      <x v="3"/>
      <x v="1"/>
      <x/>
      <x/>
    </i>
    <i>
      <x v="186"/>
      <x v="3"/>
      <x v="1"/>
      <x/>
      <x/>
    </i>
    <i>
      <x v="187"/>
      <x v="3"/>
      <x v="1"/>
      <x/>
      <x/>
    </i>
    <i>
      <x v="188"/>
      <x v="3"/>
      <x v="1"/>
      <x/>
      <x/>
    </i>
    <i>
      <x v="189"/>
      <x v="3"/>
      <x v="1"/>
      <x/>
      <x/>
    </i>
    <i>
      <x v="190"/>
      <x v="3"/>
      <x v="1"/>
      <x/>
      <x/>
    </i>
    <i>
      <x v="191"/>
      <x v="3"/>
      <x v="1"/>
      <x/>
      <x/>
    </i>
    <i>
      <x v="192"/>
      <x v="3"/>
      <x v="1"/>
      <x/>
      <x/>
    </i>
    <i>
      <x v="193"/>
      <x v="3"/>
      <x v="1"/>
      <x/>
      <x/>
    </i>
    <i>
      <x v="194"/>
      <x v="3"/>
      <x v="1"/>
      <x/>
      <x/>
    </i>
    <i>
      <x v="195"/>
      <x v="3"/>
      <x v="1"/>
      <x/>
      <x/>
    </i>
    <i>
      <x v="196"/>
      <x v="3"/>
      <x v="1"/>
      <x/>
      <x/>
    </i>
    <i>
      <x v="197"/>
      <x v="3"/>
      <x v="1"/>
      <x/>
      <x/>
    </i>
    <i>
      <x v="198"/>
      <x v="3"/>
      <x v="1"/>
      <x/>
      <x/>
    </i>
    <i>
      <x v="199"/>
      <x v="3"/>
      <x v="1"/>
      <x/>
      <x/>
    </i>
    <i r="1">
      <x v="5"/>
      <x v="8"/>
      <x/>
      <x/>
    </i>
    <i>
      <x v="200"/>
      <x v="3"/>
      <x v="1"/>
      <x/>
      <x/>
    </i>
    <i>
      <x v="201"/>
      <x v="3"/>
      <x v="1"/>
      <x/>
      <x/>
    </i>
    <i>
      <x v="202"/>
      <x v="3"/>
      <x v="1"/>
      <x/>
      <x/>
    </i>
    <i>
      <x v="203"/>
      <x v="3"/>
      <x v="1"/>
      <x/>
      <x/>
    </i>
    <i>
      <x v="204"/>
      <x v="3"/>
      <x v="1"/>
      <x/>
      <x/>
    </i>
    <i>
      <x v="205"/>
      <x v="3"/>
      <x v="1"/>
      <x/>
      <x/>
    </i>
    <i>
      <x v="206"/>
      <x v="3"/>
      <x v="1"/>
      <x/>
      <x/>
    </i>
    <i>
      <x v="207"/>
      <x v="3"/>
      <x v="1"/>
      <x/>
      <x/>
    </i>
    <i>
      <x v="208"/>
      <x v="3"/>
      <x v="1"/>
      <x/>
      <x/>
    </i>
    <i>
      <x v="209"/>
      <x v="3"/>
      <x v="1"/>
      <x/>
      <x/>
    </i>
    <i>
      <x v="210"/>
      <x v="3"/>
      <x v="1"/>
      <x/>
      <x/>
    </i>
    <i>
      <x v="211"/>
      <x v="3"/>
      <x v="1"/>
      <x/>
      <x/>
    </i>
    <i>
      <x v="212"/>
      <x v="3"/>
      <x v="1"/>
      <x/>
      <x/>
    </i>
    <i>
      <x v="213"/>
      <x v="3"/>
      <x v="1"/>
      <x/>
      <x/>
    </i>
    <i>
      <x v="214"/>
      <x v="3"/>
      <x v="1"/>
      <x/>
      <x/>
    </i>
    <i>
      <x v="215"/>
      <x v="3"/>
      <x v="1"/>
      <x/>
      <x/>
    </i>
    <i>
      <x v="216"/>
      <x v="3"/>
      <x v="1"/>
      <x/>
      <x/>
    </i>
    <i>
      <x v="217"/>
      <x v="3"/>
      <x v="1"/>
      <x/>
      <x/>
    </i>
    <i>
      <x v="218"/>
      <x v="3"/>
      <x v="1"/>
      <x/>
      <x/>
    </i>
    <i>
      <x v="219"/>
      <x v="3"/>
      <x v="1"/>
      <x/>
      <x/>
    </i>
    <i>
      <x v="220"/>
      <x v="3"/>
      <x v="1"/>
      <x/>
      <x/>
    </i>
    <i>
      <x v="221"/>
      <x v="3"/>
      <x v="1"/>
      <x/>
      <x/>
    </i>
    <i>
      <x v="222"/>
      <x v="3"/>
      <x v="1"/>
      <x/>
      <x/>
    </i>
    <i>
      <x v="223"/>
      <x v="3"/>
      <x v="1"/>
      <x/>
      <x/>
    </i>
    <i>
      <x v="224"/>
      <x v="3"/>
      <x v="1"/>
      <x/>
      <x/>
    </i>
    <i>
      <x v="225"/>
      <x v="3"/>
      <x v="1"/>
      <x/>
      <x/>
    </i>
    <i>
      <x v="226"/>
      <x v="3"/>
      <x v="1"/>
      <x/>
      <x/>
    </i>
    <i>
      <x v="227"/>
      <x v="3"/>
      <x v="1"/>
      <x/>
      <x/>
    </i>
    <i>
      <x v="228"/>
      <x v="3"/>
      <x v="1"/>
      <x/>
      <x/>
    </i>
    <i>
      <x v="229"/>
      <x v="3"/>
      <x v="1"/>
      <x/>
      <x/>
    </i>
    <i>
      <x v="230"/>
      <x v="3"/>
      <x v="1"/>
      <x/>
      <x/>
    </i>
    <i>
      <x v="231"/>
      <x v="3"/>
      <x v="1"/>
      <x/>
      <x/>
    </i>
    <i>
      <x v="232"/>
      <x v="3"/>
      <x v="1"/>
      <x/>
      <x/>
    </i>
    <i>
      <x v="233"/>
      <x v="3"/>
      <x v="1"/>
      <x/>
      <x/>
    </i>
    <i>
      <x v="234"/>
      <x v="3"/>
      <x v="1"/>
      <x/>
      <x/>
    </i>
    <i>
      <x v="235"/>
      <x v="3"/>
      <x v="1"/>
      <x/>
      <x/>
    </i>
    <i>
      <x v="236"/>
      <x v="3"/>
      <x v="1"/>
      <x/>
      <x/>
    </i>
    <i>
      <x v="237"/>
      <x v="3"/>
      <x v="1"/>
      <x/>
      <x/>
    </i>
    <i>
      <x v="238"/>
      <x v="3"/>
      <x v="1"/>
      <x/>
      <x/>
    </i>
    <i>
      <x v="239"/>
      <x v="3"/>
      <x v="1"/>
      <x/>
      <x/>
    </i>
  </rowItems>
  <colFields count="1">
    <field x="4"/>
  </colFields>
  <colItems count="3">
    <i>
      <x/>
    </i>
    <i>
      <x v="1"/>
    </i>
    <i>
      <x v="2"/>
    </i>
  </colItems>
  <pageFields count="2">
    <pageField fld="25" hier="0"/>
    <pageField fld="24" hier="0"/>
  </pageFields>
  <dataFields count="1">
    <dataField name="Sum av NetQty" fld="27" baseField="0" baseItem="0" numFmtId="38"/>
  </dataField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5" name="MatData" displayName="MatData" ref="A1:AH2" totalsRowShown="0" headerRowDxfId="87" headerRowCellStyle="Normal 5" dataCellStyle="Normal 5">
  <autoFilter ref="A1:AH2"/>
  <tableColumns count="34">
    <tableColumn id="1" name="Material" dataCellStyle="Normal 5"/>
    <tableColumn id="2" name="Plant" dataCellStyle="Normal 5"/>
    <tableColumn id="3" name="P-S matl status" dataCellStyle="Normal 5"/>
    <tableColumn id="4" name="Valid from" dataCellStyle="Normal 5"/>
    <tableColumn id="5" name="ABC Indicator" dataCellStyle="Normal 5"/>
    <tableColumn id="6" name="Critical Part" dataCellStyle="Normal 5"/>
    <tableColumn id="7" name="Purch. Group" dataCellStyle="Normal 5"/>
    <tableColumn id="8" name="Unit of issue" dataCellStyle="Normal 5"/>
    <tableColumn id="9" name="MRP profile" dataCellStyle="Normal 5"/>
    <tableColumn id="10" name="MRP Type" dataCellStyle="Normal 5"/>
    <tableColumn id="11" name="MRP Controller" dataCellStyle="Normal 5"/>
    <tableColumn id="12" name="Controller name" dataCellStyle="Normal 5"/>
    <tableColumn id="13" name="Pl. Deliv. Time" dataCellStyle="Normal 5"/>
    <tableColumn id="14" name="GR Proc. Time" dataCellStyle="Normal 5"/>
    <tableColumn id="15" name="Period Ind." dataCellStyle="Normal 5"/>
    <tableColumn id="16" name="Lot size" dataCellStyle="Normal 5"/>
    <tableColumn id="17" name="Procurement" dataCellStyle="Normal 5"/>
    <tableColumn id="18" name="SpecProcurement" dataCellStyle="Normal 5"/>
    <tableColumn id="19" name="Reorder Point" dataCellStyle="Normal 5"/>
    <tableColumn id="20" name="Safety Stock" dataDxfId="86" dataCellStyle="Normal 5"/>
    <tableColumn id="21" name="Min. Lot Size" dataDxfId="85" dataCellStyle="Normal 5"/>
    <tableColumn id="22" name="Max. Lot Size" dataDxfId="84" dataCellStyle="Normal 5"/>
    <tableColumn id="23" name="Fixed lot size" dataCellStyle="Normal 5"/>
    <tableColumn id="24" name="Rounding value" dataDxfId="83" dataCellStyle="Normal 5"/>
    <tableColumn id="25" name="Safety time ind" dataCellStyle="Normal 5"/>
    <tableColumn id="26" name="Safety time" dataCellStyle="Normal 5"/>
    <tableColumn id="27" name="Current period" dataCellStyle="Normal 5"/>
    <tableColumn id="28" name="Year cur.period" dataCellStyle="Normal 5"/>
    <tableColumn id="29" name="Min SafetyStock" dataCellStyle="Normal 5"/>
    <tableColumn id="30" name="Base Unit" dataCellStyle="Normal 5"/>
    <tableColumn id="31" name="Material Group" dataCellStyle="Normal 5"/>
    <tableColumn id="33" name="Tot. shelf life" dataDxfId="82" dataCellStyle="Normal 5"/>
    <tableColumn id="34" name="Rem. Shelf Life" dataCellStyle="Normal 5"/>
    <tableColumn id="35" name="Description" dataCellStyle="Normal 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6" name="tStockData" displayName="tStockData" ref="A4:O5" totalsRowShown="0" headerRowDxfId="81" headerRowCellStyle="Normal 5" dataCellStyle="Normal 5">
  <autoFilter ref="A4:O5"/>
  <tableColumns count="15">
    <tableColumn id="1" name="Material" dataCellStyle="Normal 5"/>
    <tableColumn id="2" name="Plant" dataCellStyle="Normal 5"/>
    <tableColumn id="3" name="Unrestricted" dataDxfId="80" dataCellStyle="Normal 5"/>
    <tableColumn id="4" name="Stock in tfr" dataDxfId="79" dataCellStyle="Normal 5"/>
    <tableColumn id="5" name="In Qual. Insp." dataDxfId="78" dataCellStyle="Normal 5"/>
    <tableColumn id="6" name="Restricted-Use" dataDxfId="77" dataCellStyle="Normal 5"/>
    <tableColumn id="7" name="Blocked" dataDxfId="76" dataCellStyle="Normal 5"/>
    <tableColumn id="8" name="Returns" dataDxfId="75" dataCellStyle="Normal 5"/>
    <tableColumn id="9" name="Unrestr.-use" dataDxfId="74" dataCellStyle="Normal 5"/>
    <tableColumn id="10" name="In transfer" dataDxfId="73" dataCellStyle="Normal 5"/>
    <tableColumn id="11" name="In qual. insp.2" dataDxfId="72" dataCellStyle="Normal 5"/>
    <tableColumn id="12" name="Restr.-use PP" dataDxfId="71" dataCellStyle="Normal 5"/>
    <tableColumn id="13" name="Blocked3" dataDxfId="70" dataCellStyle="Normal 5"/>
    <tableColumn id="14" name="Returns4" dataDxfId="69" dataCellStyle="Normal 5"/>
    <tableColumn id="15" name="Stock in Trans." dataDxfId="68" dataCellStyle="Normal 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MD04Data" displayName="MD04Data" ref="A1:AB247" totalsRowShown="0" headerRowDxfId="67" headerRowCellStyle="Normal 5" dataCellStyle="Normal 5">
  <autoFilter ref="A1:AB247"/>
  <tableColumns count="28">
    <tableColumn id="1" name="PLAAB" dataCellStyle="Normal 5"/>
    <tableColumn id="2" name="SORT1" dataCellStyle="Normal 5"/>
    <tableColumn id="3" name="SORT2" dataCellStyle="Normal 5"/>
    <tableColumn id="4" name="DELKZ" dataCellStyle="Normal 5"/>
    <tableColumn id="5" name="PLUMI" dataCellStyle="Normal 5"/>
    <tableColumn id="6" name="DAT00" dataDxfId="66" dataCellStyle="Normal 5"/>
    <tableColumn id="7" name="DAT01" dataDxfId="65" dataCellStyle="Normal 5"/>
    <tableColumn id="8" name="DELB0" dataCellStyle="Normal 5"/>
    <tableColumn id="9" name="EXTRA" dataCellStyle="Normal 5"/>
    <tableColumn id="10" name="AUSSL" dataCellStyle="Normal 5"/>
    <tableColumn id="11" name="AUSKT" dataCellStyle="Normal 5"/>
    <tableColumn id="12" name="MNG01" dataDxfId="64" dataCellStyle="Normal 5"/>
    <tableColumn id="13" name="DAT02" dataDxfId="63" dataCellStyle="Normal 5"/>
    <tableColumn id="14" name="WRK01" dataCellStyle="Normal 5"/>
    <tableColumn id="15" name="WRK02" dataCellStyle="Normal 5"/>
    <tableColumn id="16" name="SLOC2" dataCellStyle="Normal 5"/>
    <tableColumn id="17" name="LGORT" dataCellStyle="Normal 5"/>
    <tableColumn id="18" name="LIFNR" dataCellStyle="Normal 5"/>
    <tableColumn id="19" name="KUNNR" dataCellStyle="Normal 5"/>
    <tableColumn id="20" name="MD4KD" dataCellStyle="Normal 5"/>
    <tableColumn id="21" name="MD4LI" dataCellStyle="Normal 5"/>
    <tableColumn id="22" name="Customer" dataCellStyle="Normal 5">
      <calculatedColumnFormula>IF(S2&lt;&gt;"",TEXT(S2,"0000")&amp;" "&amp;T2,"")</calculatedColumnFormula>
    </tableColumn>
    <tableColumn id="23" name="Vendor" dataCellStyle="Normal 5">
      <calculatedColumnFormula>IF(R2&lt;&gt;"",TEXT(R2,"0000")&amp;" "&amp;U2,"")</calculatedColumnFormula>
    </tableColumn>
    <tableColumn id="24" name="Date" dataDxfId="62" dataCellStyle="Normal 5">
      <calculatedColumnFormula>IF(F2&lt;TODAY(),TODAY(),F2)</calculatedColumnFormula>
    </tableColumn>
    <tableColumn id="25" name="Week" dataCellStyle="Normal 5">
      <calculatedColumnFormula>IF(WEEKDAY(DATE(YEAR(F2),1,1),2)&gt;4,WEEKNUM(F2,2)-1,WEEKNUM(F2,2))</calculatedColumnFormula>
    </tableColumn>
    <tableColumn id="26" name="Month" dataCellStyle="Normal 5">
      <calculatedColumnFormula>MONTH(F2)</calculatedColumnFormula>
    </tableColumn>
    <tableColumn id="27" name="Year" dataCellStyle="Normal 5">
      <calculatedColumnFormula>YEAR(F2)</calculatedColumnFormula>
    </tableColumn>
    <tableColumn id="28" name="NetQty" dataDxfId="61" dataCellStyle="Normal 5">
      <calculatedColumnFormula>VALUE(L2)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SapExlData" displayName="SapExlData" ref="A1:AQ3" totalsRowShown="0" headerRowDxfId="59" dataDxfId="58" headerRowCellStyle="Normal_Stock_History_M1" dataCellStyle="Normal_Stock_History_M1">
  <autoFilter ref="A1:AQ3"/>
  <tableColumns count="43">
    <tableColumn id="1" name="Cns" dataDxfId="57" dataCellStyle="Normal_Stock_History_M1"/>
    <tableColumn id="2" name="Order" dataDxfId="56" dataCellStyle="Normal_Stock_History_M1"/>
    <tableColumn id="3" name="Time" dataDxfId="55" dataCellStyle="Normal_Stock_History_M1"/>
    <tableColumn id="4" name="D/C" dataDxfId="54" dataCellStyle="Normal_Stock_History_M1"/>
    <tableColumn id="5" name="Delivery" dataDxfId="53" dataCellStyle="Normal_Stock_History_M1"/>
    <tableColumn id="43" name="PO" dataDxfId="52" dataCellStyle="Normal_Stock_History_M1"/>
    <tableColumn id="6" name="MatYr" dataDxfId="51" dataCellStyle="Normal_Stock_History_M1"/>
    <tableColumn id="7" name="Lang" dataDxfId="50" dataCellStyle="Normal_Stock_History_M1"/>
    <tableColumn id="8" name="MaterialName" dataDxfId="49" dataCellStyle="Normal_Stock_History_M1"/>
    <tableColumn id="9" name="Materialtype Description" dataDxfId="48" dataCellStyle="Normal_Stock_History_M1"/>
    <tableColumn id="10" name="Mat. Doc." dataDxfId="47" dataCellStyle="Normal_Stock_History_M1"/>
    <tableColumn id="11" name="Mvt" dataDxfId="46" dataCellStyle="Normal_Stock_History_M1"/>
    <tableColumn id="12" name="Material2" dataDxfId="45" dataCellStyle="Normal_Stock_History_M1"/>
    <tableColumn id="13" name="Pstng Date" dataDxfId="44" dataCellStyle="Normal_Stock_History_M1"/>
    <tableColumn id="14" name="R/S Plnt" dataDxfId="43" dataCellStyle="Normal_Stock_History_M1"/>
    <tableColumn id="15" name="Plant Description" dataDxfId="42" dataCellStyle="Normal_Stock_History_M1"/>
    <tableColumn id="16" name="Entry Dte" dataDxfId="41" dataCellStyle="Normal_Stock_History_M1"/>
    <tableColumn id="17" name="Beh.kat." dataDxfId="40" dataCellStyle="Normal_Stock_History_M1"/>
    <tableColumn id="18" name="Sloc" dataDxfId="39" dataCellStyle="Normal_Stock_History_M1"/>
    <tableColumn id="19" name="User Name" dataDxfId="38" dataCellStyle="Normal_Stock_History_M1"/>
    <tableColumn id="20" name="Whr" dataDxfId="37" dataCellStyle="Normal_Stock_History_M1"/>
    <tableColumn id="21" name="Batch" dataDxfId="36" dataCellStyle="Normal_Stock_History_M1"/>
    <tableColumn id="22" name="Mty" dataDxfId="35" dataCellStyle="Normal_Stock_History_M1"/>
    <tableColumn id="23" name="S" dataDxfId="34" dataCellStyle="Normal_Stock_History_M1"/>
    <tableColumn id="24" name="StR" dataDxfId="33" dataCellStyle="Normal_Stock_History_M1"/>
    <tableColumn id="25" name="Rec" dataDxfId="32" dataCellStyle="Normal_Stock_History_M1"/>
    <tableColumn id="26" name="S2" dataDxfId="31" dataCellStyle="Normal_Stock_History_M1"/>
    <tableColumn id="27" name="Movement Type Text" dataDxfId="30" dataCellStyle="Normal_Stock_History_M1"/>
    <tableColumn id="28" name="Tfr" dataDxfId="29" dataCellStyle="Normal_Stock_History_M1"/>
    <tableColumn id="29" name="W" dataDxfId="28" dataCellStyle="Normal_Stock_History_M1"/>
    <tableColumn id="30" name="LangCode" dataDxfId="27" dataCellStyle="Normal_Stock_History_M1"/>
    <tableColumn id="31" name="Material" dataDxfId="26" dataCellStyle="Normal_Stock_History_M1"/>
    <tableColumn id="32" name="Mtyp" dataDxfId="25" dataCellStyle="Normal_Stock_History_M1"/>
    <tableColumn id="33" name="Plnt" dataDxfId="24" dataCellStyle="Normal_Stock_History_M1"/>
    <tableColumn id="40" name="Quantity" dataDxfId="23" dataCellStyle="Normal_Stock_History_M1"/>
    <tableColumn id="41" name="Total valuated stock before th" dataDxfId="22" dataCellStyle="Normal_Stock_History_M1"/>
    <tableColumn id="42" name="Value of total valuated stock" dataDxfId="21" dataCellStyle="Normal_Stock_History_M1"/>
    <tableColumn id="34" name="UsageTest" dataDxfId="20" dataCellStyle="Normal_Stock_History_M1">
      <calculatedColumnFormula>IF(OR(RIGHT(W2,3)="201",RIGHT(W2,3)="601",RIGHT(W2,3)="301",RIGHT(W2,3)="202",RIGHT(W2,3)="262",RIGHT(W2,3)="261",L2=601,L2="Y96"),1,0)</calculatedColumnFormula>
    </tableColumn>
    <tableColumn id="35" name="Test2" dataDxfId="19" dataCellStyle="Normal_Stock_History_M1">
      <calculatedColumnFormula>IF(N2&lt;&gt;OFFSET(N2,1,0),1,IF(OFFSET(Y2,1,0)=3,OFFSET(AN2,1,-1),0))</calculatedColumnFormula>
    </tableColumn>
    <tableColumn id="36" name="StockIn" dataDxfId="18" dataCellStyle="Normal_Stock_History_M1">
      <calculatedColumnFormula>AJ2*AM2</calculatedColumnFormula>
    </tableColumn>
    <tableColumn id="37" name="StockOut" dataDxfId="17" dataCellStyle="Normal_Stock_History_M1">
      <calculatedColumnFormula>AJ2+IF(Y2=2,AP2,0)</calculatedColumnFormula>
    </tableColumn>
    <tableColumn id="38" name="NetQty" dataDxfId="16" dataCellStyle="Normal_Stock_History_M1">
      <calculatedColumnFormula>IF(D2="H",-AI2,AI2)</calculatedColumnFormula>
    </tableColumn>
    <tableColumn id="39" name="NewDate" dataDxfId="15" dataCellStyle="Normal_Stock_History_M1">
      <calculatedColumnFormula>DATEVALUE(N2)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StockSimHist" displayName="StockSimHist" ref="A1:X3" totalsRowShown="0" headerRowDxfId="14">
  <autoFilter ref="A1:X3"/>
  <tableColumns count="24">
    <tableColumn id="1" name="CoCd" dataDxfId="13"/>
    <tableColumn id="2" name="0CO_AREA"/>
    <tableColumn id="3" name="Språktkst" dataDxfId="12"/>
    <tableColumn id="4" name="Materialtekst"/>
    <tableColumn id="5" name="Matl Group"/>
    <tableColumn id="6" name="Mtyptekst"/>
    <tableColumn id="7" name="Fabrikktekst"/>
    <tableColumn id="8" name="Prc"/>
    <tableColumn id="9" name="Profit Ctr"/>
    <tableColumn id="10" name="Sloc"/>
    <tableColumn id="11" name="ValCl"/>
    <tableColumn id="12" name="Month"/>
    <tableColumn id="13" name="Språk"/>
    <tableColumn id="14" name="Material"/>
    <tableColumn id="15" name="Mtyp"/>
    <tableColumn id="16" name="Plnt"/>
    <tableColumn id="17" name="PlanPrice 1"/>
    <tableColumn id="18" name="MovAvgPrice"/>
    <tableColumn id="19" name="Net Weight"/>
    <tableColumn id="20" name="Standard price"/>
    <tableColumn id="21" name="Total usage value"/>
    <tableColumn id="22" name="Total Stock"/>
    <tableColumn id="23" name="Total usage quantity"/>
    <tableColumn id="24" name="Total 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3" name="Descriptions" displayName="Descriptions" ref="A1:B82" totalsRowShown="0" headerRowDxfId="11">
  <autoFilter ref="A1:B82"/>
  <tableColumns count="2">
    <tableColumn id="1" name="FieldName"/>
    <tableColumn id="2" name="Descr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PvtTableDef" displayName="PvtTableDef" ref="A1:AG2" tableType="xml" insertRow="1" totalsRowShown="0" connectionId="1">
  <autoFilter ref="A1:AG2"/>
  <tableColumns count="33">
    <tableColumn id="1" uniqueName="UserID" name="UserID" dataDxfId="10">
      <xmlColumnPr mapId="1" xpath="/XtraSerializer/@UserID" xmlDataType="integer"/>
    </tableColumn>
    <tableColumn id="2" uniqueName="ReportID" name="ReportID">
      <xmlColumnPr mapId="1" xpath="/XtraSerializer/@ReportID" xmlDataType="integer"/>
    </tableColumn>
    <tableColumn id="3" uniqueName="VariantID" name="VariantID" dataDxfId="9">
      <xmlColumnPr mapId="1" xpath="/XtraSerializer/@VariantID" xmlDataType="integer"/>
    </tableColumn>
    <tableColumn id="4" uniqueName="SheetName" name="SheetName" dataDxfId="8">
      <xmlColumnPr mapId="1" xpath="/XtraSerializer/property/@SheetName" xmlDataType="string"/>
    </tableColumn>
    <tableColumn id="5" uniqueName="TableName" name="TableName" dataDxfId="7">
      <xmlColumnPr mapId="1" xpath="/XtraSerializer/property/@TableName" xmlDataType="string"/>
    </tableColumn>
    <tableColumn id="6" uniqueName="Seq" name="Seq" dataDxfId="6">
      <xmlColumnPr mapId="1" xpath="/XtraSerializer/property/property/@Seq" xmlDataType="integer"/>
    </tableColumn>
    <tableColumn id="7" uniqueName="PivotElement" name="PivotElement">
      <xmlColumnPr mapId="1" xpath="/XtraSerializer/property/property/@PivotElement" xmlDataType="string"/>
    </tableColumn>
    <tableColumn id="8" uniqueName="SourceName" name="SourceName">
      <xmlColumnPr mapId="1" xpath="/XtraSerializer/property/property/@SourceName" xmlDataType="string"/>
    </tableColumn>
    <tableColumn id="9" uniqueName="ColumnGrand" name="ColumnGrand" dataDxfId="5">
      <xmlColumnPr mapId="1" xpath="/XtraSerializer/property/property/@ColumnGrand" xmlDataType="integer"/>
    </tableColumn>
    <tableColumn id="10" uniqueName="RowGrand" name="RowGrand">
      <xmlColumnPr mapId="1" xpath="/XtraSerializer/property/property/@RowGrand" xmlDataType="integer"/>
    </tableColumn>
    <tableColumn id="11" uniqueName="DisplayErrorString" name="DisplayErrorString">
      <xmlColumnPr mapId="1" xpath="/XtraSerializer/property/property/@DisplayErrorString" xmlDataType="integer"/>
    </tableColumn>
    <tableColumn id="12" uniqueName="TableStart" name="TableStart">
      <xmlColumnPr mapId="1" xpath="/XtraSerializer/property/property/@TableStart" xmlDataType="string"/>
    </tableColumn>
    <tableColumn id="13" uniqueName="FieldList" name="FieldList" dataDxfId="4">
      <xmlColumnPr mapId="1" xpath="/XtraSerializer/property/property/@FieldList" xmlDataType="integer"/>
    </tableColumn>
    <tableColumn id="14" uniqueName="MissingItems" name="MissingItems" dataDxfId="3">
      <xmlColumnPr mapId="1" xpath="/XtraSerializer/property/property/@MissingItems" xmlDataType="string"/>
    </tableColumn>
    <tableColumn id="15" uniqueName="SaveData" name="SaveData">
      <xmlColumnPr mapId="1" xpath="/XtraSerializer/property/property/@SaveData" xmlDataType="string"/>
    </tableColumn>
    <tableColumn id="16" uniqueName="ShowDrillIndicators" name="ShowDrillIndicators">
      <xmlColumnPr mapId="1" xpath="/XtraSerializer/property/property/@ShowDrillIndicators" xmlDataType="string"/>
    </tableColumn>
    <tableColumn id="17" uniqueName="Caption" name="Caption">
      <xmlColumnPr mapId="1" xpath="/XtraSerializer/property/property/@Caption" xmlDataType="string"/>
    </tableColumn>
    <tableColumn id="18" uniqueName="Name" name="Name">
      <xmlColumnPr mapId="1" xpath="/XtraSerializer/property/property/@Name" xmlDataType="string"/>
    </tableColumn>
    <tableColumn id="19" uniqueName="NumberFormat" name="NumberFormat">
      <xmlColumnPr mapId="1" xpath="/XtraSerializer/property/property/@NumberFormat" xmlDataType="string"/>
    </tableColumn>
    <tableColumn id="20" uniqueName="Orientation" name="Orientation">
      <xmlColumnPr mapId="1" xpath="/XtraSerializer/property/property/@Orientation" xmlDataType="integer"/>
    </tableColumn>
    <tableColumn id="21" uniqueName="Formula" name="Formula">
      <xmlColumnPr mapId="1" xpath="/XtraSerializer/property/property/@Formula" xmlDataType="string"/>
    </tableColumn>
    <tableColumn id="22" uniqueName="CurrentPage" name="CurrentPage">
      <xmlColumnPr mapId="1" xpath="/XtraSerializer/property/property/@CurrentPage" xmlDataType="string"/>
    </tableColumn>
    <tableColumn id="23" uniqueName="CpSourceName" name="CpSourceName">
      <xmlColumnPr mapId="1" xpath="/XtraSerializer/property/property/@CpSourceName" xmlDataType="string"/>
    </tableColumn>
    <tableColumn id="24" uniqueName="PivotItems" name="PivotItems">
      <xmlColumnPr mapId="1" xpath="/XtraSerializer/property/property/@PivotItems" xmlDataType="string"/>
    </tableColumn>
    <tableColumn id="25" uniqueName="Visible" name="Visible">
      <xmlColumnPr mapId="1" xpath="/XtraSerializer/property/property/@Visible" xmlDataType="integer"/>
    </tableColumn>
    <tableColumn id="26" uniqueName="AutoSortOrder" name="AutoSortOrder">
      <xmlColumnPr mapId="1" xpath="/XtraSerializer/property/property/@AutoSortOrder" xmlDataType="integer"/>
    </tableColumn>
    <tableColumn id="27" uniqueName="AutoSortField" name="AutoSortField">
      <xmlColumnPr mapId="1" xpath="/XtraSerializer/property/property/@AutoSortField" xmlDataType="string"/>
    </tableColumn>
    <tableColumn id="28" uniqueName="SubTotals" name="SubTotals">
      <xmlColumnPr mapId="1" xpath="/XtraSerializer/property/property/@SubTotals" xmlDataType="integer"/>
    </tableColumn>
    <tableColumn id="29" uniqueName="Function" name="Function">
      <xmlColumnPr mapId="1" xpath="/XtraSerializer/property/property/@Function" xmlDataType="integer"/>
    </tableColumn>
    <tableColumn id="30" uniqueName="Calculation" name="Calculation">
      <xmlColumnPr mapId="1" xpath="/XtraSerializer/property/property/@Calculation" xmlDataType="integer"/>
    </tableColumn>
    <tableColumn id="31" uniqueName="BaseField" name="BaseField">
      <xmlColumnPr mapId="1" xpath="/XtraSerializer/property/property/@BaseField" xmlDataType="string"/>
    </tableColumn>
    <tableColumn id="32" uniqueName="BaseItem" name="BaseItem">
      <xmlColumnPr mapId="1" xpath="/XtraSerializer/property/property/@BaseItem" xmlDataType="string"/>
    </tableColumn>
    <tableColumn id="33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OrderStatusCodes" displayName="tOrderStatusCodes" ref="A1:C5" totalsRowShown="0">
  <autoFilter ref="A1:C5"/>
  <tableColumns count="3">
    <tableColumn id="1" name="DS1"/>
    <tableColumn id="2" name="Text"/>
    <tableColumn id="3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Sectors" displayName="tSectors" ref="E1:F6" totalsRowShown="0">
  <autoFilter ref="E1:F6"/>
  <tableColumns count="2">
    <tableColumn id="1" name="Profit Center"/>
    <tableColumn id="2" name="Sector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MaterialPrice" displayName="tMaterialPrice" ref="E4:G7" totalsRowShown="0">
  <autoFilter ref="E4:G7"/>
  <tableColumns count="3">
    <tableColumn id="1" name="Material Price" dataDxfId="2"/>
    <tableColumn id="2" name="Value"/>
    <tableColumn id="3" name="Descrip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CustomerLevel" displayName="tCustomerLevel" ref="I4:K8" totalsRowShown="0">
  <autoFilter ref="I4:K8"/>
  <tableColumns count="3">
    <tableColumn id="1" name="Level"/>
    <tableColumn id="3" name="Column"/>
    <tableColumn id="2" name="Description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tProductHierarchyLevel" displayName="tProductHierarchyLevel" ref="M4:O8" totalsRowShown="0">
  <autoFilter ref="M4:O8"/>
  <tableColumns count="3">
    <tableColumn id="1" name="Level"/>
    <tableColumn id="2" name="Characters"/>
    <tableColumn id="3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2">
    <tabColor indexed="29"/>
  </sheetPr>
  <dimension ref="A1:AO2"/>
  <sheetViews>
    <sheetView showGridLines="0" zoomScale="85" workbookViewId="0"/>
  </sheetViews>
  <sheetFormatPr defaultColWidth="11.453125" defaultRowHeight="12.5" x14ac:dyDescent="0.25"/>
  <cols>
    <col min="1" max="1" width="9.453125" style="19" customWidth="1"/>
    <col min="2" max="2" width="7.1796875" style="19" customWidth="1"/>
    <col min="3" max="3" width="15.7265625" style="19" customWidth="1"/>
    <col min="4" max="4" width="11.36328125" style="19" customWidth="1"/>
    <col min="5" max="5" width="14.54296875" style="19" customWidth="1"/>
    <col min="6" max="6" width="12.81640625" style="19" customWidth="1"/>
    <col min="7" max="7" width="14.36328125" style="19" customWidth="1"/>
    <col min="8" max="8" width="13.36328125" style="19" customWidth="1"/>
    <col min="9" max="9" width="12.54296875" style="19" customWidth="1"/>
    <col min="10" max="10" width="11.36328125" style="19" customWidth="1"/>
    <col min="11" max="11" width="15.7265625" style="19" customWidth="1"/>
    <col min="12" max="12" width="16.36328125" style="19" customWidth="1"/>
    <col min="13" max="13" width="14.6328125" style="19" customWidth="1"/>
    <col min="14" max="14" width="15.08984375" style="19" customWidth="1"/>
    <col min="15" max="15" width="12" style="19" customWidth="1"/>
    <col min="16" max="16" width="9.54296875" style="19" customWidth="1"/>
    <col min="17" max="17" width="13.81640625" style="19" customWidth="1"/>
    <col min="18" max="18" width="18" style="19" customWidth="1"/>
    <col min="19" max="19" width="14.6328125" style="19" customWidth="1"/>
    <col min="20" max="20" width="13.453125" style="19" customWidth="1"/>
    <col min="21" max="21" width="13.7265625" style="19" customWidth="1"/>
    <col min="22" max="22" width="14.08984375" style="19" customWidth="1"/>
    <col min="23" max="23" width="13.90625" style="19" customWidth="1"/>
    <col min="24" max="24" width="15.90625" style="19" customWidth="1"/>
    <col min="25" max="25" width="15.26953125" style="19" customWidth="1"/>
    <col min="26" max="26" width="12.1796875" style="19" customWidth="1"/>
    <col min="27" max="27" width="15.26953125" style="19" customWidth="1"/>
    <col min="28" max="28" width="15.81640625" style="19" customWidth="1"/>
    <col min="29" max="29" width="16.36328125" style="19" customWidth="1"/>
    <col min="30" max="30" width="11" style="19" customWidth="1"/>
    <col min="31" max="31" width="15.26953125" style="19" customWidth="1"/>
    <col min="32" max="32" width="13.54296875" style="19" customWidth="1"/>
    <col min="33" max="33" width="15.36328125" style="19" customWidth="1"/>
    <col min="34" max="34" width="17" style="19" bestFit="1" customWidth="1"/>
    <col min="35" max="35" width="12.54296875" style="19" bestFit="1" customWidth="1"/>
    <col min="36" max="36" width="14" style="19" bestFit="1" customWidth="1"/>
    <col min="37" max="37" width="12.453125" style="19" bestFit="1" customWidth="1"/>
    <col min="38" max="38" width="13.54296875" style="19" bestFit="1" customWidth="1"/>
    <col min="39" max="16384" width="11.453125" style="19"/>
  </cols>
  <sheetData>
    <row r="1" spans="1:41" x14ac:dyDescent="0.25">
      <c r="A1" s="202" t="s">
        <v>3</v>
      </c>
      <c r="B1" s="202" t="s">
        <v>27</v>
      </c>
      <c r="C1" s="202" t="s">
        <v>113</v>
      </c>
      <c r="D1" s="202" t="s">
        <v>24</v>
      </c>
      <c r="E1" s="202" t="s">
        <v>114</v>
      </c>
      <c r="F1" s="202" t="s">
        <v>115</v>
      </c>
      <c r="G1" s="202" t="s">
        <v>116</v>
      </c>
      <c r="H1" s="202" t="s">
        <v>117</v>
      </c>
      <c r="I1" s="202" t="s">
        <v>118</v>
      </c>
      <c r="J1" s="202" t="s">
        <v>119</v>
      </c>
      <c r="K1" s="202" t="s">
        <v>120</v>
      </c>
      <c r="L1" s="202" t="s">
        <v>121</v>
      </c>
      <c r="M1" s="202" t="s">
        <v>122</v>
      </c>
      <c r="N1" s="202" t="s">
        <v>123</v>
      </c>
      <c r="O1" s="202" t="s">
        <v>124</v>
      </c>
      <c r="P1" s="202" t="s">
        <v>125</v>
      </c>
      <c r="Q1" s="202" t="s">
        <v>126</v>
      </c>
      <c r="R1" s="202" t="s">
        <v>127</v>
      </c>
      <c r="S1" s="202" t="s">
        <v>128</v>
      </c>
      <c r="T1" s="202" t="s">
        <v>129</v>
      </c>
      <c r="U1" s="202" t="s">
        <v>130</v>
      </c>
      <c r="V1" s="202" t="s">
        <v>131</v>
      </c>
      <c r="W1" s="202" t="s">
        <v>132</v>
      </c>
      <c r="X1" s="202" t="s">
        <v>133</v>
      </c>
      <c r="Y1" s="202" t="s">
        <v>134</v>
      </c>
      <c r="Z1" s="202" t="s">
        <v>135</v>
      </c>
      <c r="AA1" s="202" t="s">
        <v>136</v>
      </c>
      <c r="AB1" s="202" t="s">
        <v>137</v>
      </c>
      <c r="AC1" s="202" t="s">
        <v>138</v>
      </c>
      <c r="AD1" s="202" t="s">
        <v>139</v>
      </c>
      <c r="AE1" s="202" t="s">
        <v>140</v>
      </c>
      <c r="AF1" s="202" t="s">
        <v>141</v>
      </c>
      <c r="AG1" s="202" t="s">
        <v>142</v>
      </c>
      <c r="AH1" s="202" t="s">
        <v>12</v>
      </c>
      <c r="AI1" s="19" t="s">
        <v>143</v>
      </c>
      <c r="AJ1" s="19" t="s">
        <v>144</v>
      </c>
      <c r="AK1" s="19" t="s">
        <v>145</v>
      </c>
      <c r="AL1" s="19" t="s">
        <v>146</v>
      </c>
      <c r="AN1" s="19" t="s">
        <v>147</v>
      </c>
      <c r="AO1" s="20" t="str">
        <f ca="1">IF(OFFSET(A1,1,0)=OFFSET(A1,1,0),TEXT(OFFSET(A1,1,0),"000000")&amp;" "&amp;OFFSET(AH1,1,0),"")</f>
        <v>003104 Swedish Pea soup</v>
      </c>
    </row>
    <row r="2" spans="1:41" x14ac:dyDescent="0.25">
      <c r="A2" s="19">
        <v>3104</v>
      </c>
      <c r="B2" s="19" t="s">
        <v>111</v>
      </c>
      <c r="D2" s="19" t="s">
        <v>148</v>
      </c>
      <c r="E2" s="19" t="s">
        <v>35</v>
      </c>
      <c r="H2" s="19" t="s">
        <v>149</v>
      </c>
      <c r="I2" s="19" t="s">
        <v>150</v>
      </c>
      <c r="J2" s="19" t="s">
        <v>151</v>
      </c>
      <c r="K2" s="19">
        <v>600</v>
      </c>
      <c r="L2" s="19" t="s">
        <v>152</v>
      </c>
      <c r="M2" s="19">
        <v>0</v>
      </c>
      <c r="N2" s="19">
        <v>0</v>
      </c>
      <c r="O2" s="19" t="s">
        <v>153</v>
      </c>
      <c r="P2" s="19">
        <v>45</v>
      </c>
      <c r="Q2" s="19" t="s">
        <v>154</v>
      </c>
      <c r="S2" s="19">
        <v>0</v>
      </c>
      <c r="T2" s="21">
        <v>0</v>
      </c>
      <c r="U2" s="21">
        <v>0</v>
      </c>
      <c r="V2" s="21">
        <v>0</v>
      </c>
      <c r="W2" s="19">
        <v>0</v>
      </c>
      <c r="X2" s="21">
        <v>0</v>
      </c>
      <c r="Z2" s="19">
        <v>0</v>
      </c>
      <c r="AA2" s="19">
        <v>10</v>
      </c>
      <c r="AB2" s="19">
        <v>2006</v>
      </c>
      <c r="AC2" s="19">
        <v>0</v>
      </c>
      <c r="AD2" s="19" t="s">
        <v>155</v>
      </c>
      <c r="AE2" s="19" t="s">
        <v>156</v>
      </c>
      <c r="AF2" s="22">
        <v>720</v>
      </c>
      <c r="AG2" s="19">
        <v>1</v>
      </c>
      <c r="AH2" s="19" t="s">
        <v>157</v>
      </c>
    </row>
  </sheetData>
  <pageMargins left="0.78740157499999996" right="0.78740157499999996" top="0.984251969" bottom="0.984251969" header="0.5" footer="0.5"/>
  <pageSetup orientation="portrait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4">
    <tabColor indexed="29"/>
  </sheetPr>
  <dimension ref="A1:O7"/>
  <sheetViews>
    <sheetView showGridLines="0" zoomScale="85" workbookViewId="0"/>
  </sheetViews>
  <sheetFormatPr defaultColWidth="11.453125" defaultRowHeight="12.5" x14ac:dyDescent="0.25"/>
  <cols>
    <col min="1" max="1" width="9.453125" style="19" customWidth="1"/>
    <col min="2" max="2" width="7.1796875" style="19" customWidth="1"/>
    <col min="3" max="3" width="13.36328125" style="19" customWidth="1"/>
    <col min="4" max="4" width="12.1796875" style="19" customWidth="1"/>
    <col min="5" max="5" width="13.90625" style="19" customWidth="1"/>
    <col min="6" max="6" width="15.36328125" style="19" customWidth="1"/>
    <col min="7" max="8" width="9.6328125" style="19" customWidth="1"/>
    <col min="9" max="9" width="13.453125" style="19" customWidth="1"/>
    <col min="10" max="10" width="11.54296875" style="19" customWidth="1"/>
    <col min="11" max="12" width="14.54296875" style="19" customWidth="1"/>
    <col min="13" max="14" width="10.54296875" style="19" customWidth="1"/>
    <col min="15" max="15" width="15.6328125" style="19" customWidth="1"/>
    <col min="16" max="16384" width="11.453125" style="19"/>
  </cols>
  <sheetData>
    <row r="1" spans="1:15" x14ac:dyDescent="0.25">
      <c r="C1" s="19" t="s">
        <v>158</v>
      </c>
      <c r="D1" s="19" t="s">
        <v>159</v>
      </c>
      <c r="E1" s="19" t="s">
        <v>160</v>
      </c>
      <c r="F1" s="19" t="s">
        <v>161</v>
      </c>
      <c r="G1" s="19" t="s">
        <v>162</v>
      </c>
      <c r="H1" s="19" t="s">
        <v>163</v>
      </c>
    </row>
    <row r="2" spans="1:15" x14ac:dyDescent="0.25">
      <c r="B2" s="19" t="str">
        <f>tStockData[Plant]</f>
        <v>NOAR</v>
      </c>
      <c r="C2" s="242">
        <f>VALUE(tStockData[Unrestricted])</f>
        <v>5530</v>
      </c>
      <c r="D2" s="22">
        <f>VALUE(tStockData[Stock in tfr])</f>
        <v>0</v>
      </c>
      <c r="E2" s="22">
        <f>VALUE(tStockData[In Qual. Insp.])</f>
        <v>0</v>
      </c>
      <c r="F2" s="207">
        <f>VALUE(tStockData[Restricted-Use])</f>
        <v>0</v>
      </c>
      <c r="G2" s="207">
        <f>VALUE(tStockData[Blocked])</f>
        <v>0</v>
      </c>
      <c r="H2" s="19">
        <f>SUM(ChartRange)</f>
        <v>5530</v>
      </c>
    </row>
    <row r="4" spans="1:15" x14ac:dyDescent="0.25">
      <c r="A4" s="202" t="s">
        <v>3</v>
      </c>
      <c r="B4" s="202" t="s">
        <v>27</v>
      </c>
      <c r="C4" s="202" t="s">
        <v>158</v>
      </c>
      <c r="D4" s="202" t="s">
        <v>159</v>
      </c>
      <c r="E4" s="202" t="s">
        <v>160</v>
      </c>
      <c r="F4" s="202" t="s">
        <v>161</v>
      </c>
      <c r="G4" s="202" t="s">
        <v>162</v>
      </c>
      <c r="H4" s="202" t="s">
        <v>164</v>
      </c>
      <c r="I4" s="202" t="s">
        <v>165</v>
      </c>
      <c r="J4" s="202" t="s">
        <v>166</v>
      </c>
      <c r="K4" s="202" t="s">
        <v>579</v>
      </c>
      <c r="L4" s="202" t="s">
        <v>167</v>
      </c>
      <c r="M4" s="202" t="s">
        <v>580</v>
      </c>
      <c r="N4" s="202" t="s">
        <v>581</v>
      </c>
      <c r="O4" s="202" t="s">
        <v>168</v>
      </c>
    </row>
    <row r="5" spans="1:15" x14ac:dyDescent="0.25">
      <c r="A5" s="19">
        <v>3104</v>
      </c>
      <c r="B5" s="19" t="s">
        <v>111</v>
      </c>
      <c r="C5" s="242">
        <v>5530</v>
      </c>
      <c r="D5" s="22">
        <v>0</v>
      </c>
      <c r="E5" s="22">
        <v>0</v>
      </c>
      <c r="F5" s="22">
        <v>0</v>
      </c>
      <c r="G5" s="22">
        <v>0</v>
      </c>
      <c r="H5" s="23">
        <v>0</v>
      </c>
      <c r="I5" s="23">
        <v>0</v>
      </c>
      <c r="J5" s="23">
        <v>0</v>
      </c>
      <c r="K5" s="23">
        <v>0</v>
      </c>
      <c r="L5" s="23">
        <v>0</v>
      </c>
      <c r="M5" s="23">
        <v>0</v>
      </c>
      <c r="N5" s="23">
        <v>0</v>
      </c>
      <c r="O5" s="23">
        <v>0</v>
      </c>
    </row>
    <row r="6" spans="1:15" x14ac:dyDescent="0.25">
      <c r="C6" s="22"/>
      <c r="D6" s="22"/>
      <c r="E6" s="22"/>
      <c r="F6" s="22"/>
      <c r="G6" s="22"/>
      <c r="O6" s="23"/>
    </row>
    <row r="7" spans="1:15" x14ac:dyDescent="0.25">
      <c r="C7" s="22"/>
      <c r="D7" s="22"/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</row>
  </sheetData>
  <pageMargins left="0.78740157499999996" right="0.78740157499999996" top="0.984251969" bottom="0.984251969" header="0.5" footer="0.5"/>
  <pageSetup orientation="portrait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>
    <tabColor indexed="29"/>
  </sheetPr>
  <dimension ref="A1:AB2246"/>
  <sheetViews>
    <sheetView showGridLines="0" zoomScale="85" workbookViewId="0">
      <pane xSplit="12" ySplit="1" topLeftCell="M41" activePane="bottomRight" state="frozen"/>
      <selection pane="topRight"/>
      <selection pane="bottomLeft"/>
      <selection pane="bottomRight" activeCell="M2" sqref="M2"/>
    </sheetView>
  </sheetViews>
  <sheetFormatPr defaultColWidth="11.453125" defaultRowHeight="12.5" x14ac:dyDescent="0.25"/>
  <cols>
    <col min="1" max="1" width="9.453125" style="19" customWidth="1"/>
    <col min="2" max="3" width="9.1796875" style="19" customWidth="1"/>
    <col min="4" max="5" width="8.81640625" style="19" customWidth="1"/>
    <col min="6" max="6" width="10.453125" style="19" customWidth="1"/>
    <col min="7" max="7" width="11.54296875" style="19" bestFit="1" customWidth="1"/>
    <col min="8" max="8" width="8.7265625" style="19" customWidth="1"/>
    <col min="9" max="9" width="23.453125" style="19" bestFit="1" customWidth="1"/>
    <col min="10" max="11" width="9.26953125" style="19" customWidth="1"/>
    <col min="12" max="12" width="9.453125" style="19" customWidth="1"/>
    <col min="13" max="13" width="11.54296875" style="19" bestFit="1" customWidth="1"/>
    <col min="14" max="16" width="9.26953125" style="19" customWidth="1"/>
    <col min="17" max="17" width="9.453125" style="19" customWidth="1"/>
    <col min="18" max="18" width="8.26953125" style="19" customWidth="1"/>
    <col min="19" max="19" width="9.1796875" style="19" customWidth="1"/>
    <col min="20" max="21" width="10.7265625" style="19" customWidth="1"/>
    <col min="22" max="22" width="12.54296875" style="19" customWidth="1"/>
    <col min="23" max="23" width="11.453125" style="19" customWidth="1"/>
    <col min="24" max="24" width="10.26953125" style="19" bestFit="1" customWidth="1"/>
    <col min="25" max="25" width="8.453125" style="19" bestFit="1" customWidth="1"/>
    <col min="26" max="26" width="9.1796875" style="19" customWidth="1"/>
    <col min="27" max="27" width="7.453125" style="19" customWidth="1"/>
    <col min="28" max="28" width="11.26953125" style="19" bestFit="1" customWidth="1"/>
    <col min="29" max="16384" width="11.453125" style="19"/>
  </cols>
  <sheetData>
    <row r="1" spans="1:28" s="202" customFormat="1" ht="13" x14ac:dyDescent="0.3">
      <c r="A1" s="201" t="s">
        <v>169</v>
      </c>
      <c r="B1" s="201" t="s">
        <v>170</v>
      </c>
      <c r="C1" s="201" t="s">
        <v>171</v>
      </c>
      <c r="D1" s="201" t="s">
        <v>172</v>
      </c>
      <c r="E1" s="201" t="s">
        <v>173</v>
      </c>
      <c r="F1" s="201" t="s">
        <v>174</v>
      </c>
      <c r="G1" s="201" t="s">
        <v>175</v>
      </c>
      <c r="H1" s="201" t="s">
        <v>176</v>
      </c>
      <c r="I1" s="201" t="s">
        <v>177</v>
      </c>
      <c r="J1" s="201" t="s">
        <v>178</v>
      </c>
      <c r="K1" s="201" t="s">
        <v>179</v>
      </c>
      <c r="L1" s="201" t="s">
        <v>180</v>
      </c>
      <c r="M1" s="201" t="s">
        <v>181</v>
      </c>
      <c r="N1" s="201" t="s">
        <v>182</v>
      </c>
      <c r="O1" s="201" t="s">
        <v>183</v>
      </c>
      <c r="P1" s="201" t="s">
        <v>184</v>
      </c>
      <c r="Q1" s="201" t="s">
        <v>185</v>
      </c>
      <c r="R1" s="201" t="s">
        <v>186</v>
      </c>
      <c r="S1" s="201" t="s">
        <v>187</v>
      </c>
      <c r="T1" s="201" t="s">
        <v>188</v>
      </c>
      <c r="U1" s="201" t="s">
        <v>189</v>
      </c>
      <c r="V1" s="203" t="s">
        <v>47</v>
      </c>
      <c r="W1" s="203" t="s">
        <v>190</v>
      </c>
      <c r="X1" s="203" t="s">
        <v>191</v>
      </c>
      <c r="Y1" s="203" t="s">
        <v>192</v>
      </c>
      <c r="Z1" s="203" t="s">
        <v>193</v>
      </c>
      <c r="AA1" s="203" t="s">
        <v>194</v>
      </c>
      <c r="AB1" s="203" t="s">
        <v>195</v>
      </c>
    </row>
    <row r="2" spans="1:28" x14ac:dyDescent="0.25">
      <c r="A2" s="19">
        <v>2</v>
      </c>
      <c r="B2" s="19">
        <v>0</v>
      </c>
      <c r="C2" s="19">
        <v>1</v>
      </c>
      <c r="D2" s="19" t="s">
        <v>196</v>
      </c>
      <c r="E2" s="19" t="s">
        <v>41</v>
      </c>
      <c r="F2" s="24">
        <v>41437</v>
      </c>
      <c r="G2" s="25">
        <v>0</v>
      </c>
      <c r="H2" s="19" t="s">
        <v>197</v>
      </c>
      <c r="L2" s="26" t="s">
        <v>198</v>
      </c>
      <c r="M2" s="25">
        <v>0</v>
      </c>
      <c r="V2" s="19" t="str">
        <f>IF(S2&lt;&gt;"",TEXT(S2,"0000")&amp;" "&amp;T2,"")</f>
        <v/>
      </c>
      <c r="W2" s="19" t="str">
        <f>IF(R2&lt;&gt;"",TEXT(R2,"0000")&amp;" "&amp;U2,"")</f>
        <v/>
      </c>
      <c r="X2" s="24">
        <f ca="1">IF(F2&lt;TODAY(),TODAY(),F2)</f>
        <v>42440</v>
      </c>
      <c r="Y2" s="19">
        <f>IF(WEEKDAY(DATE(YEAR(F2),1,1),2)&gt;4,WEEKNUM(F2,2)-1,WEEKNUM(F2,2))</f>
        <v>24</v>
      </c>
      <c r="Z2" s="19">
        <f>MONTH(F2)</f>
        <v>6</v>
      </c>
      <c r="AA2" s="19">
        <f>YEAR(F2)</f>
        <v>2013</v>
      </c>
      <c r="AB2" s="27">
        <f>VALUE(L2)</f>
        <v>5530</v>
      </c>
    </row>
    <row r="3" spans="1:28" x14ac:dyDescent="0.25">
      <c r="A3" s="19">
        <v>2</v>
      </c>
      <c r="B3" s="19">
        <v>2</v>
      </c>
      <c r="C3" s="19">
        <v>3</v>
      </c>
      <c r="D3" s="19" t="s">
        <v>199</v>
      </c>
      <c r="E3" s="19" t="s">
        <v>200</v>
      </c>
      <c r="F3" s="24">
        <v>41437</v>
      </c>
      <c r="G3" s="24">
        <v>41437</v>
      </c>
      <c r="H3" s="19" t="s">
        <v>201</v>
      </c>
      <c r="I3" s="19" t="s">
        <v>202</v>
      </c>
      <c r="L3" s="26" t="s">
        <v>203</v>
      </c>
      <c r="M3" s="25">
        <v>0</v>
      </c>
      <c r="Q3" s="19" t="s">
        <v>112</v>
      </c>
      <c r="S3" s="19">
        <v>10856</v>
      </c>
      <c r="T3" s="19" t="s">
        <v>76</v>
      </c>
      <c r="V3" s="19" t="str">
        <f t="shared" ref="V3:V66" si="0">IF(S3&lt;&gt;"",TEXT(S3,"0000")&amp;" "&amp;T3,"")</f>
        <v>10856 Asko Sentrallager AS</v>
      </c>
      <c r="W3" s="19" t="str">
        <f t="shared" ref="W3:W66" si="1">IF(R3&lt;&gt;"",TEXT(R3,"0000")&amp;" "&amp;U3,"")</f>
        <v/>
      </c>
      <c r="X3" s="24">
        <f t="shared" ref="X3:X66" ca="1" si="2">IF(F3&lt;TODAY(),TODAY(),F3)</f>
        <v>42440</v>
      </c>
      <c r="Y3" s="19">
        <f t="shared" ref="Y3:Y66" si="3">IF(WEEKDAY(DATE(YEAR(F3),1,1),2)&gt;4,WEEKNUM(F3,2)-1,WEEKNUM(F3,2))</f>
        <v>24</v>
      </c>
      <c r="Z3" s="19">
        <f t="shared" ref="Z3:Z66" si="4">MONTH(F3)</f>
        <v>6</v>
      </c>
      <c r="AA3" s="19">
        <f t="shared" ref="AA3:AA66" si="5">YEAR(F3)</f>
        <v>2013</v>
      </c>
      <c r="AB3" s="27">
        <f t="shared" ref="AB3:AB66" si="6">VALUE(L3)</f>
        <v>-1150</v>
      </c>
    </row>
    <row r="4" spans="1:28" x14ac:dyDescent="0.25">
      <c r="A4" s="19">
        <v>2</v>
      </c>
      <c r="B4" s="19">
        <v>1</v>
      </c>
      <c r="C4" s="19">
        <v>3</v>
      </c>
      <c r="D4" s="19" t="s">
        <v>75</v>
      </c>
      <c r="E4" s="19" t="s">
        <v>204</v>
      </c>
      <c r="F4" s="24">
        <v>41443</v>
      </c>
      <c r="G4" s="24">
        <v>41443</v>
      </c>
      <c r="H4" s="19" t="s">
        <v>205</v>
      </c>
      <c r="I4" s="19" t="s">
        <v>206</v>
      </c>
      <c r="J4" s="19" t="s">
        <v>207</v>
      </c>
      <c r="K4" s="19">
        <v>15</v>
      </c>
      <c r="L4" s="26" t="s">
        <v>208</v>
      </c>
      <c r="M4" s="25">
        <v>0</v>
      </c>
      <c r="Q4" s="19" t="s">
        <v>112</v>
      </c>
      <c r="V4" s="19" t="str">
        <f t="shared" si="0"/>
        <v/>
      </c>
      <c r="W4" s="19" t="str">
        <f t="shared" si="1"/>
        <v/>
      </c>
      <c r="X4" s="24">
        <f t="shared" ca="1" si="2"/>
        <v>42440</v>
      </c>
      <c r="Y4" s="19">
        <f t="shared" si="3"/>
        <v>25</v>
      </c>
      <c r="Z4" s="19">
        <f t="shared" si="4"/>
        <v>6</v>
      </c>
      <c r="AA4" s="19">
        <f t="shared" si="5"/>
        <v>2013</v>
      </c>
      <c r="AB4" s="27">
        <f t="shared" si="6"/>
        <v>10676</v>
      </c>
    </row>
    <row r="5" spans="1:28" x14ac:dyDescent="0.25">
      <c r="A5" s="19">
        <v>2</v>
      </c>
      <c r="B5" s="19">
        <v>2</v>
      </c>
      <c r="C5" s="19">
        <v>5</v>
      </c>
      <c r="D5" s="19" t="s">
        <v>209</v>
      </c>
      <c r="E5" s="19" t="s">
        <v>200</v>
      </c>
      <c r="F5" s="24">
        <v>41444</v>
      </c>
      <c r="G5" s="24">
        <v>41444</v>
      </c>
      <c r="H5" s="19" t="s">
        <v>210</v>
      </c>
      <c r="I5" s="19" t="s">
        <v>211</v>
      </c>
      <c r="L5" s="26" t="s">
        <v>212</v>
      </c>
      <c r="M5" s="25">
        <v>0</v>
      </c>
      <c r="V5" s="19" t="str">
        <f t="shared" si="0"/>
        <v/>
      </c>
      <c r="W5" s="19" t="str">
        <f t="shared" si="1"/>
        <v/>
      </c>
      <c r="X5" s="24">
        <f t="shared" ca="1" si="2"/>
        <v>42440</v>
      </c>
      <c r="Y5" s="19">
        <f t="shared" si="3"/>
        <v>25</v>
      </c>
      <c r="Z5" s="19">
        <f t="shared" si="4"/>
        <v>6</v>
      </c>
      <c r="AA5" s="19">
        <f t="shared" si="5"/>
        <v>2013</v>
      </c>
      <c r="AB5" s="27">
        <f t="shared" si="6"/>
        <v>-184</v>
      </c>
    </row>
    <row r="6" spans="1:28" x14ac:dyDescent="0.25">
      <c r="A6" s="19">
        <v>2</v>
      </c>
      <c r="B6" s="19">
        <v>2</v>
      </c>
      <c r="C6" s="19">
        <v>5</v>
      </c>
      <c r="D6" s="19" t="s">
        <v>209</v>
      </c>
      <c r="E6" s="19" t="s">
        <v>200</v>
      </c>
      <c r="F6" s="24">
        <v>41445</v>
      </c>
      <c r="G6" s="24">
        <v>41445</v>
      </c>
      <c r="H6" s="19" t="s">
        <v>210</v>
      </c>
      <c r="I6" s="19" t="s">
        <v>211</v>
      </c>
      <c r="L6" s="26" t="s">
        <v>212</v>
      </c>
      <c r="M6" s="25">
        <v>0</v>
      </c>
      <c r="V6" s="19" t="str">
        <f t="shared" si="0"/>
        <v/>
      </c>
      <c r="W6" s="19" t="str">
        <f t="shared" si="1"/>
        <v/>
      </c>
      <c r="X6" s="24">
        <f t="shared" ca="1" si="2"/>
        <v>42440</v>
      </c>
      <c r="Y6" s="19">
        <f t="shared" si="3"/>
        <v>25</v>
      </c>
      <c r="Z6" s="19">
        <f t="shared" si="4"/>
        <v>6</v>
      </c>
      <c r="AA6" s="19">
        <f t="shared" si="5"/>
        <v>2013</v>
      </c>
      <c r="AB6" s="27">
        <f t="shared" si="6"/>
        <v>-184</v>
      </c>
    </row>
    <row r="7" spans="1:28" x14ac:dyDescent="0.25">
      <c r="A7" s="19">
        <v>2</v>
      </c>
      <c r="B7" s="19">
        <v>2</v>
      </c>
      <c r="C7" s="19">
        <v>5</v>
      </c>
      <c r="D7" s="19" t="s">
        <v>209</v>
      </c>
      <c r="E7" s="19" t="s">
        <v>200</v>
      </c>
      <c r="F7" s="24">
        <v>41446</v>
      </c>
      <c r="G7" s="24">
        <v>41446</v>
      </c>
      <c r="H7" s="19" t="s">
        <v>210</v>
      </c>
      <c r="I7" s="19" t="s">
        <v>211</v>
      </c>
      <c r="L7" s="26" t="s">
        <v>212</v>
      </c>
      <c r="M7" s="25">
        <v>0</v>
      </c>
      <c r="V7" s="19" t="str">
        <f t="shared" si="0"/>
        <v/>
      </c>
      <c r="W7" s="19" t="str">
        <f t="shared" si="1"/>
        <v/>
      </c>
      <c r="X7" s="24">
        <f t="shared" ca="1" si="2"/>
        <v>42440</v>
      </c>
      <c r="Y7" s="19">
        <f t="shared" si="3"/>
        <v>25</v>
      </c>
      <c r="Z7" s="19">
        <f t="shared" si="4"/>
        <v>6</v>
      </c>
      <c r="AA7" s="19">
        <f t="shared" si="5"/>
        <v>2013</v>
      </c>
      <c r="AB7" s="27">
        <f t="shared" si="6"/>
        <v>-184</v>
      </c>
    </row>
    <row r="8" spans="1:28" x14ac:dyDescent="0.25">
      <c r="A8" s="19">
        <v>2</v>
      </c>
      <c r="B8" s="19">
        <v>2</v>
      </c>
      <c r="C8" s="19">
        <v>5</v>
      </c>
      <c r="D8" s="19" t="s">
        <v>209</v>
      </c>
      <c r="E8" s="19" t="s">
        <v>200</v>
      </c>
      <c r="F8" s="24">
        <v>41449</v>
      </c>
      <c r="G8" s="24">
        <v>41449</v>
      </c>
      <c r="H8" s="19" t="s">
        <v>210</v>
      </c>
      <c r="I8" s="19" t="s">
        <v>211</v>
      </c>
      <c r="L8" s="26" t="s">
        <v>212</v>
      </c>
      <c r="M8" s="25">
        <v>0</v>
      </c>
      <c r="V8" s="19" t="str">
        <f t="shared" si="0"/>
        <v/>
      </c>
      <c r="W8" s="19" t="str">
        <f t="shared" si="1"/>
        <v/>
      </c>
      <c r="X8" s="24">
        <f t="shared" ca="1" si="2"/>
        <v>42440</v>
      </c>
      <c r="Y8" s="19">
        <f t="shared" si="3"/>
        <v>26</v>
      </c>
      <c r="Z8" s="19">
        <f t="shared" si="4"/>
        <v>6</v>
      </c>
      <c r="AA8" s="19">
        <f t="shared" si="5"/>
        <v>2013</v>
      </c>
      <c r="AB8" s="27">
        <f t="shared" si="6"/>
        <v>-184</v>
      </c>
    </row>
    <row r="9" spans="1:28" x14ac:dyDescent="0.25">
      <c r="A9" s="19">
        <v>2</v>
      </c>
      <c r="B9" s="19">
        <v>2</v>
      </c>
      <c r="C9" s="19">
        <v>5</v>
      </c>
      <c r="D9" s="19" t="s">
        <v>209</v>
      </c>
      <c r="E9" s="19" t="s">
        <v>200</v>
      </c>
      <c r="F9" s="24">
        <v>41450</v>
      </c>
      <c r="G9" s="24">
        <v>41450</v>
      </c>
      <c r="H9" s="19" t="s">
        <v>210</v>
      </c>
      <c r="I9" s="19" t="s">
        <v>211</v>
      </c>
      <c r="L9" s="26" t="s">
        <v>212</v>
      </c>
      <c r="M9" s="25">
        <v>0</v>
      </c>
      <c r="V9" s="19" t="str">
        <f t="shared" si="0"/>
        <v/>
      </c>
      <c r="W9" s="19" t="str">
        <f t="shared" si="1"/>
        <v/>
      </c>
      <c r="X9" s="24">
        <f t="shared" ca="1" si="2"/>
        <v>42440</v>
      </c>
      <c r="Y9" s="19">
        <f t="shared" si="3"/>
        <v>26</v>
      </c>
      <c r="Z9" s="19">
        <f t="shared" si="4"/>
        <v>6</v>
      </c>
      <c r="AA9" s="19">
        <f t="shared" si="5"/>
        <v>2013</v>
      </c>
      <c r="AB9" s="27">
        <f t="shared" si="6"/>
        <v>-184</v>
      </c>
    </row>
    <row r="10" spans="1:28" x14ac:dyDescent="0.25">
      <c r="A10" s="19">
        <v>2</v>
      </c>
      <c r="B10" s="19">
        <v>2</v>
      </c>
      <c r="C10" s="19">
        <v>5</v>
      </c>
      <c r="D10" s="19" t="s">
        <v>209</v>
      </c>
      <c r="E10" s="19" t="s">
        <v>200</v>
      </c>
      <c r="F10" s="24">
        <v>41451</v>
      </c>
      <c r="G10" s="24">
        <v>41451</v>
      </c>
      <c r="H10" s="19" t="s">
        <v>210</v>
      </c>
      <c r="I10" s="19" t="s">
        <v>211</v>
      </c>
      <c r="L10" s="26" t="s">
        <v>212</v>
      </c>
      <c r="M10" s="25">
        <v>0</v>
      </c>
      <c r="V10" s="19" t="str">
        <f t="shared" si="0"/>
        <v/>
      </c>
      <c r="W10" s="19" t="str">
        <f t="shared" si="1"/>
        <v/>
      </c>
      <c r="X10" s="24">
        <f t="shared" ca="1" si="2"/>
        <v>42440</v>
      </c>
      <c r="Y10" s="19">
        <f t="shared" si="3"/>
        <v>26</v>
      </c>
      <c r="Z10" s="19">
        <f t="shared" si="4"/>
        <v>6</v>
      </c>
      <c r="AA10" s="19">
        <f t="shared" si="5"/>
        <v>2013</v>
      </c>
      <c r="AB10" s="27">
        <f t="shared" si="6"/>
        <v>-184</v>
      </c>
    </row>
    <row r="11" spans="1:28" x14ac:dyDescent="0.25">
      <c r="A11" s="19">
        <v>2</v>
      </c>
      <c r="B11" s="19">
        <v>2</v>
      </c>
      <c r="C11" s="19">
        <v>5</v>
      </c>
      <c r="D11" s="19" t="s">
        <v>209</v>
      </c>
      <c r="E11" s="19" t="s">
        <v>200</v>
      </c>
      <c r="F11" s="24">
        <v>41452</v>
      </c>
      <c r="G11" s="24">
        <v>41452</v>
      </c>
      <c r="H11" s="19" t="s">
        <v>210</v>
      </c>
      <c r="I11" s="19" t="s">
        <v>211</v>
      </c>
      <c r="L11" s="26" t="s">
        <v>212</v>
      </c>
      <c r="M11" s="25">
        <v>0</v>
      </c>
      <c r="V11" s="19" t="str">
        <f t="shared" si="0"/>
        <v/>
      </c>
      <c r="W11" s="19" t="str">
        <f t="shared" si="1"/>
        <v/>
      </c>
      <c r="X11" s="24">
        <f t="shared" ca="1" si="2"/>
        <v>42440</v>
      </c>
      <c r="Y11" s="19">
        <f t="shared" si="3"/>
        <v>26</v>
      </c>
      <c r="Z11" s="19">
        <f t="shared" si="4"/>
        <v>6</v>
      </c>
      <c r="AA11" s="19">
        <f t="shared" si="5"/>
        <v>2013</v>
      </c>
      <c r="AB11" s="27">
        <f t="shared" si="6"/>
        <v>-184</v>
      </c>
    </row>
    <row r="12" spans="1:28" x14ac:dyDescent="0.25">
      <c r="A12" s="19">
        <v>2</v>
      </c>
      <c r="B12" s="19">
        <v>2</v>
      </c>
      <c r="C12" s="19">
        <v>5</v>
      </c>
      <c r="D12" s="19" t="s">
        <v>209</v>
      </c>
      <c r="E12" s="19" t="s">
        <v>200</v>
      </c>
      <c r="F12" s="24">
        <v>41453</v>
      </c>
      <c r="G12" s="24">
        <v>41453</v>
      </c>
      <c r="H12" s="19" t="s">
        <v>210</v>
      </c>
      <c r="I12" s="19" t="s">
        <v>211</v>
      </c>
      <c r="L12" s="26" t="s">
        <v>212</v>
      </c>
      <c r="M12" s="25">
        <v>0</v>
      </c>
      <c r="V12" s="19" t="str">
        <f t="shared" si="0"/>
        <v/>
      </c>
      <c r="W12" s="19" t="str">
        <f t="shared" si="1"/>
        <v/>
      </c>
      <c r="X12" s="24">
        <f t="shared" ca="1" si="2"/>
        <v>42440</v>
      </c>
      <c r="Y12" s="19">
        <f t="shared" si="3"/>
        <v>26</v>
      </c>
      <c r="Z12" s="19">
        <f t="shared" si="4"/>
        <v>6</v>
      </c>
      <c r="AA12" s="19">
        <f t="shared" si="5"/>
        <v>2013</v>
      </c>
      <c r="AB12" s="27">
        <f t="shared" si="6"/>
        <v>-184</v>
      </c>
    </row>
    <row r="13" spans="1:28" x14ac:dyDescent="0.25">
      <c r="A13" s="19">
        <v>2</v>
      </c>
      <c r="B13" s="19">
        <v>2</v>
      </c>
      <c r="C13" s="19">
        <v>5</v>
      </c>
      <c r="D13" s="19" t="s">
        <v>209</v>
      </c>
      <c r="E13" s="19" t="s">
        <v>200</v>
      </c>
      <c r="F13" s="24">
        <v>41456</v>
      </c>
      <c r="G13" s="24">
        <v>41456</v>
      </c>
      <c r="H13" s="19" t="s">
        <v>210</v>
      </c>
      <c r="I13" s="19" t="s">
        <v>211</v>
      </c>
      <c r="L13" s="26" t="s">
        <v>213</v>
      </c>
      <c r="M13" s="25">
        <v>0</v>
      </c>
      <c r="V13" s="19" t="str">
        <f t="shared" si="0"/>
        <v/>
      </c>
      <c r="W13" s="19" t="str">
        <f t="shared" si="1"/>
        <v/>
      </c>
      <c r="X13" s="24">
        <f t="shared" ca="1" si="2"/>
        <v>42440</v>
      </c>
      <c r="Y13" s="19">
        <f t="shared" si="3"/>
        <v>27</v>
      </c>
      <c r="Z13" s="19">
        <f t="shared" si="4"/>
        <v>7</v>
      </c>
      <c r="AA13" s="19">
        <f t="shared" si="5"/>
        <v>2013</v>
      </c>
      <c r="AB13" s="27">
        <f t="shared" si="6"/>
        <v>-188</v>
      </c>
    </row>
    <row r="14" spans="1:28" x14ac:dyDescent="0.25">
      <c r="A14" s="19">
        <v>2</v>
      </c>
      <c r="B14" s="19">
        <v>2</v>
      </c>
      <c r="C14" s="19">
        <v>5</v>
      </c>
      <c r="D14" s="19" t="s">
        <v>209</v>
      </c>
      <c r="E14" s="19" t="s">
        <v>200</v>
      </c>
      <c r="F14" s="24">
        <v>41457</v>
      </c>
      <c r="G14" s="24">
        <v>41457</v>
      </c>
      <c r="H14" s="19" t="s">
        <v>210</v>
      </c>
      <c r="I14" s="19" t="s">
        <v>211</v>
      </c>
      <c r="L14" s="26" t="s">
        <v>213</v>
      </c>
      <c r="M14" s="25">
        <v>0</v>
      </c>
      <c r="V14" s="19" t="str">
        <f t="shared" si="0"/>
        <v/>
      </c>
      <c r="W14" s="19" t="str">
        <f t="shared" si="1"/>
        <v/>
      </c>
      <c r="X14" s="24">
        <f t="shared" ca="1" si="2"/>
        <v>42440</v>
      </c>
      <c r="Y14" s="19">
        <f t="shared" si="3"/>
        <v>27</v>
      </c>
      <c r="Z14" s="19">
        <f t="shared" si="4"/>
        <v>7</v>
      </c>
      <c r="AA14" s="19">
        <f t="shared" si="5"/>
        <v>2013</v>
      </c>
      <c r="AB14" s="27">
        <f t="shared" si="6"/>
        <v>-188</v>
      </c>
    </row>
    <row r="15" spans="1:28" x14ac:dyDescent="0.25">
      <c r="A15" s="19">
        <v>2</v>
      </c>
      <c r="B15" s="19">
        <v>2</v>
      </c>
      <c r="C15" s="19">
        <v>5</v>
      </c>
      <c r="D15" s="19" t="s">
        <v>209</v>
      </c>
      <c r="E15" s="19" t="s">
        <v>200</v>
      </c>
      <c r="F15" s="24">
        <v>41458</v>
      </c>
      <c r="G15" s="24">
        <v>41458</v>
      </c>
      <c r="H15" s="19" t="s">
        <v>210</v>
      </c>
      <c r="I15" s="19" t="s">
        <v>211</v>
      </c>
      <c r="L15" s="26" t="s">
        <v>213</v>
      </c>
      <c r="M15" s="25">
        <v>0</v>
      </c>
      <c r="V15" s="19" t="str">
        <f t="shared" si="0"/>
        <v/>
      </c>
      <c r="W15" s="19" t="str">
        <f t="shared" si="1"/>
        <v/>
      </c>
      <c r="X15" s="24">
        <f t="shared" ca="1" si="2"/>
        <v>42440</v>
      </c>
      <c r="Y15" s="19">
        <f t="shared" si="3"/>
        <v>27</v>
      </c>
      <c r="Z15" s="19">
        <f t="shared" si="4"/>
        <v>7</v>
      </c>
      <c r="AA15" s="19">
        <f t="shared" si="5"/>
        <v>2013</v>
      </c>
      <c r="AB15" s="27">
        <f t="shared" si="6"/>
        <v>-188</v>
      </c>
    </row>
    <row r="16" spans="1:28" x14ac:dyDescent="0.25">
      <c r="A16" s="19">
        <v>2</v>
      </c>
      <c r="B16" s="19">
        <v>2</v>
      </c>
      <c r="C16" s="19">
        <v>5</v>
      </c>
      <c r="D16" s="19" t="s">
        <v>209</v>
      </c>
      <c r="E16" s="19" t="s">
        <v>200</v>
      </c>
      <c r="F16" s="24">
        <v>41459</v>
      </c>
      <c r="G16" s="24">
        <v>41459</v>
      </c>
      <c r="H16" s="19" t="s">
        <v>210</v>
      </c>
      <c r="I16" s="19" t="s">
        <v>211</v>
      </c>
      <c r="L16" s="26" t="s">
        <v>213</v>
      </c>
      <c r="M16" s="25">
        <v>0</v>
      </c>
      <c r="V16" s="19" t="str">
        <f t="shared" si="0"/>
        <v/>
      </c>
      <c r="W16" s="19" t="str">
        <f t="shared" si="1"/>
        <v/>
      </c>
      <c r="X16" s="24">
        <f t="shared" ca="1" si="2"/>
        <v>42440</v>
      </c>
      <c r="Y16" s="19">
        <f t="shared" si="3"/>
        <v>27</v>
      </c>
      <c r="Z16" s="19">
        <f t="shared" si="4"/>
        <v>7</v>
      </c>
      <c r="AA16" s="19">
        <f t="shared" si="5"/>
        <v>2013</v>
      </c>
      <c r="AB16" s="27">
        <f t="shared" si="6"/>
        <v>-188</v>
      </c>
    </row>
    <row r="17" spans="1:28" x14ac:dyDescent="0.25">
      <c r="A17" s="19">
        <v>2</v>
      </c>
      <c r="B17" s="19">
        <v>2</v>
      </c>
      <c r="C17" s="19">
        <v>5</v>
      </c>
      <c r="D17" s="19" t="s">
        <v>209</v>
      </c>
      <c r="E17" s="19" t="s">
        <v>200</v>
      </c>
      <c r="F17" s="24">
        <v>41460</v>
      </c>
      <c r="G17" s="24">
        <v>41460</v>
      </c>
      <c r="H17" s="19" t="s">
        <v>210</v>
      </c>
      <c r="I17" s="19" t="s">
        <v>211</v>
      </c>
      <c r="L17" s="26" t="s">
        <v>213</v>
      </c>
      <c r="M17" s="25">
        <v>0</v>
      </c>
      <c r="V17" s="19" t="str">
        <f t="shared" si="0"/>
        <v/>
      </c>
      <c r="W17" s="19" t="str">
        <f t="shared" si="1"/>
        <v/>
      </c>
      <c r="X17" s="24">
        <f t="shared" ca="1" si="2"/>
        <v>42440</v>
      </c>
      <c r="Y17" s="19">
        <f t="shared" si="3"/>
        <v>27</v>
      </c>
      <c r="Z17" s="19">
        <f t="shared" si="4"/>
        <v>7</v>
      </c>
      <c r="AA17" s="19">
        <f t="shared" si="5"/>
        <v>2013</v>
      </c>
      <c r="AB17" s="27">
        <f t="shared" si="6"/>
        <v>-188</v>
      </c>
    </row>
    <row r="18" spans="1:28" x14ac:dyDescent="0.25">
      <c r="A18" s="19">
        <v>2</v>
      </c>
      <c r="B18" s="19">
        <v>2</v>
      </c>
      <c r="C18" s="19">
        <v>5</v>
      </c>
      <c r="D18" s="19" t="s">
        <v>209</v>
      </c>
      <c r="E18" s="19" t="s">
        <v>200</v>
      </c>
      <c r="F18" s="24">
        <v>41463</v>
      </c>
      <c r="G18" s="24">
        <v>41463</v>
      </c>
      <c r="H18" s="19" t="s">
        <v>210</v>
      </c>
      <c r="I18" s="19" t="s">
        <v>211</v>
      </c>
      <c r="L18" s="26" t="s">
        <v>214</v>
      </c>
      <c r="M18" s="25">
        <v>0</v>
      </c>
      <c r="V18" s="19" t="str">
        <f t="shared" si="0"/>
        <v/>
      </c>
      <c r="W18" s="19" t="str">
        <f t="shared" si="1"/>
        <v/>
      </c>
      <c r="X18" s="24">
        <f t="shared" ca="1" si="2"/>
        <v>42440</v>
      </c>
      <c r="Y18" s="19">
        <f t="shared" si="3"/>
        <v>28</v>
      </c>
      <c r="Z18" s="19">
        <f t="shared" si="4"/>
        <v>7</v>
      </c>
      <c r="AA18" s="19">
        <f t="shared" si="5"/>
        <v>2013</v>
      </c>
      <c r="AB18" s="27">
        <f t="shared" si="6"/>
        <v>-190</v>
      </c>
    </row>
    <row r="19" spans="1:28" x14ac:dyDescent="0.25">
      <c r="A19" s="19">
        <v>2</v>
      </c>
      <c r="B19" s="19">
        <v>2</v>
      </c>
      <c r="C19" s="19">
        <v>5</v>
      </c>
      <c r="D19" s="19" t="s">
        <v>209</v>
      </c>
      <c r="E19" s="19" t="s">
        <v>200</v>
      </c>
      <c r="F19" s="24">
        <v>41464</v>
      </c>
      <c r="G19" s="24">
        <v>41464</v>
      </c>
      <c r="H19" s="19" t="s">
        <v>210</v>
      </c>
      <c r="I19" s="19" t="s">
        <v>211</v>
      </c>
      <c r="L19" s="26" t="s">
        <v>214</v>
      </c>
      <c r="M19" s="25">
        <v>0</v>
      </c>
      <c r="V19" s="19" t="str">
        <f t="shared" si="0"/>
        <v/>
      </c>
      <c r="W19" s="19" t="str">
        <f t="shared" si="1"/>
        <v/>
      </c>
      <c r="X19" s="24">
        <f t="shared" ca="1" si="2"/>
        <v>42440</v>
      </c>
      <c r="Y19" s="19">
        <f t="shared" si="3"/>
        <v>28</v>
      </c>
      <c r="Z19" s="19">
        <f t="shared" si="4"/>
        <v>7</v>
      </c>
      <c r="AA19" s="19">
        <f t="shared" si="5"/>
        <v>2013</v>
      </c>
      <c r="AB19" s="27">
        <f t="shared" si="6"/>
        <v>-190</v>
      </c>
    </row>
    <row r="20" spans="1:28" x14ac:dyDescent="0.25">
      <c r="A20" s="19">
        <v>2</v>
      </c>
      <c r="B20" s="19">
        <v>2</v>
      </c>
      <c r="C20" s="19">
        <v>5</v>
      </c>
      <c r="D20" s="19" t="s">
        <v>209</v>
      </c>
      <c r="E20" s="19" t="s">
        <v>200</v>
      </c>
      <c r="F20" s="24">
        <v>41465</v>
      </c>
      <c r="G20" s="24">
        <v>41465</v>
      </c>
      <c r="H20" s="19" t="s">
        <v>210</v>
      </c>
      <c r="I20" s="19" t="s">
        <v>211</v>
      </c>
      <c r="L20" s="26" t="s">
        <v>214</v>
      </c>
      <c r="M20" s="25">
        <v>0</v>
      </c>
      <c r="V20" s="19" t="str">
        <f t="shared" si="0"/>
        <v/>
      </c>
      <c r="W20" s="19" t="str">
        <f t="shared" si="1"/>
        <v/>
      </c>
      <c r="X20" s="24">
        <f t="shared" ca="1" si="2"/>
        <v>42440</v>
      </c>
      <c r="Y20" s="19">
        <f t="shared" si="3"/>
        <v>28</v>
      </c>
      <c r="Z20" s="19">
        <f t="shared" si="4"/>
        <v>7</v>
      </c>
      <c r="AA20" s="19">
        <f t="shared" si="5"/>
        <v>2013</v>
      </c>
      <c r="AB20" s="27">
        <f t="shared" si="6"/>
        <v>-190</v>
      </c>
    </row>
    <row r="21" spans="1:28" x14ac:dyDescent="0.25">
      <c r="A21" s="19">
        <v>2</v>
      </c>
      <c r="B21" s="19">
        <v>2</v>
      </c>
      <c r="C21" s="19">
        <v>5</v>
      </c>
      <c r="D21" s="19" t="s">
        <v>209</v>
      </c>
      <c r="E21" s="19" t="s">
        <v>200</v>
      </c>
      <c r="F21" s="24">
        <v>41466</v>
      </c>
      <c r="G21" s="24">
        <v>41466</v>
      </c>
      <c r="H21" s="19" t="s">
        <v>210</v>
      </c>
      <c r="I21" s="19" t="s">
        <v>211</v>
      </c>
      <c r="L21" s="26" t="s">
        <v>214</v>
      </c>
      <c r="M21" s="25">
        <v>0</v>
      </c>
      <c r="V21" s="19" t="str">
        <f t="shared" si="0"/>
        <v/>
      </c>
      <c r="W21" s="19" t="str">
        <f t="shared" si="1"/>
        <v/>
      </c>
      <c r="X21" s="24">
        <f t="shared" ca="1" si="2"/>
        <v>42440</v>
      </c>
      <c r="Y21" s="19">
        <f t="shared" si="3"/>
        <v>28</v>
      </c>
      <c r="Z21" s="19">
        <f t="shared" si="4"/>
        <v>7</v>
      </c>
      <c r="AA21" s="19">
        <f t="shared" si="5"/>
        <v>2013</v>
      </c>
      <c r="AB21" s="27">
        <f t="shared" si="6"/>
        <v>-190</v>
      </c>
    </row>
    <row r="22" spans="1:28" x14ac:dyDescent="0.25">
      <c r="A22" s="19">
        <v>2</v>
      </c>
      <c r="B22" s="19">
        <v>2</v>
      </c>
      <c r="C22" s="19">
        <v>5</v>
      </c>
      <c r="D22" s="19" t="s">
        <v>209</v>
      </c>
      <c r="E22" s="19" t="s">
        <v>200</v>
      </c>
      <c r="F22" s="24">
        <v>41467</v>
      </c>
      <c r="G22" s="24">
        <v>41467</v>
      </c>
      <c r="H22" s="19" t="s">
        <v>210</v>
      </c>
      <c r="I22" s="19" t="s">
        <v>211</v>
      </c>
      <c r="L22" s="26" t="s">
        <v>214</v>
      </c>
      <c r="M22" s="25">
        <v>0</v>
      </c>
      <c r="V22" s="19" t="str">
        <f t="shared" si="0"/>
        <v/>
      </c>
      <c r="W22" s="19" t="str">
        <f t="shared" si="1"/>
        <v/>
      </c>
      <c r="X22" s="24">
        <f t="shared" ca="1" si="2"/>
        <v>42440</v>
      </c>
      <c r="Y22" s="19">
        <f t="shared" si="3"/>
        <v>28</v>
      </c>
      <c r="Z22" s="19">
        <f t="shared" si="4"/>
        <v>7</v>
      </c>
      <c r="AA22" s="19">
        <f t="shared" si="5"/>
        <v>2013</v>
      </c>
      <c r="AB22" s="27">
        <f t="shared" si="6"/>
        <v>-190</v>
      </c>
    </row>
    <row r="23" spans="1:28" x14ac:dyDescent="0.25">
      <c r="A23" s="19">
        <v>2</v>
      </c>
      <c r="B23" s="19">
        <v>2</v>
      </c>
      <c r="C23" s="19">
        <v>5</v>
      </c>
      <c r="D23" s="19" t="s">
        <v>209</v>
      </c>
      <c r="E23" s="19" t="s">
        <v>200</v>
      </c>
      <c r="F23" s="24">
        <v>41470</v>
      </c>
      <c r="G23" s="24">
        <v>41470</v>
      </c>
      <c r="H23" s="19" t="s">
        <v>210</v>
      </c>
      <c r="I23" s="19" t="s">
        <v>211</v>
      </c>
      <c r="L23" s="26" t="s">
        <v>213</v>
      </c>
      <c r="M23" s="25">
        <v>0</v>
      </c>
      <c r="V23" s="19" t="str">
        <f t="shared" si="0"/>
        <v/>
      </c>
      <c r="W23" s="19" t="str">
        <f t="shared" si="1"/>
        <v/>
      </c>
      <c r="X23" s="24">
        <f t="shared" ca="1" si="2"/>
        <v>42440</v>
      </c>
      <c r="Y23" s="19">
        <f t="shared" si="3"/>
        <v>29</v>
      </c>
      <c r="Z23" s="19">
        <f t="shared" si="4"/>
        <v>7</v>
      </c>
      <c r="AA23" s="19">
        <f t="shared" si="5"/>
        <v>2013</v>
      </c>
      <c r="AB23" s="27">
        <f t="shared" si="6"/>
        <v>-188</v>
      </c>
    </row>
    <row r="24" spans="1:28" x14ac:dyDescent="0.25">
      <c r="A24" s="19">
        <v>2</v>
      </c>
      <c r="B24" s="19">
        <v>2</v>
      </c>
      <c r="C24" s="19">
        <v>5</v>
      </c>
      <c r="D24" s="19" t="s">
        <v>209</v>
      </c>
      <c r="E24" s="19" t="s">
        <v>200</v>
      </c>
      <c r="F24" s="24">
        <v>41471</v>
      </c>
      <c r="G24" s="24">
        <v>41471</v>
      </c>
      <c r="H24" s="19" t="s">
        <v>210</v>
      </c>
      <c r="I24" s="19" t="s">
        <v>211</v>
      </c>
      <c r="L24" s="26" t="s">
        <v>213</v>
      </c>
      <c r="M24" s="25">
        <v>0</v>
      </c>
      <c r="V24" s="19" t="str">
        <f t="shared" si="0"/>
        <v/>
      </c>
      <c r="W24" s="19" t="str">
        <f t="shared" si="1"/>
        <v/>
      </c>
      <c r="X24" s="24">
        <f t="shared" ca="1" si="2"/>
        <v>42440</v>
      </c>
      <c r="Y24" s="19">
        <f t="shared" si="3"/>
        <v>29</v>
      </c>
      <c r="Z24" s="19">
        <f t="shared" si="4"/>
        <v>7</v>
      </c>
      <c r="AA24" s="19">
        <f t="shared" si="5"/>
        <v>2013</v>
      </c>
      <c r="AB24" s="27">
        <f t="shared" si="6"/>
        <v>-188</v>
      </c>
    </row>
    <row r="25" spans="1:28" x14ac:dyDescent="0.25">
      <c r="A25" s="19">
        <v>2</v>
      </c>
      <c r="B25" s="19">
        <v>2</v>
      </c>
      <c r="C25" s="19">
        <v>5</v>
      </c>
      <c r="D25" s="19" t="s">
        <v>209</v>
      </c>
      <c r="E25" s="19" t="s">
        <v>200</v>
      </c>
      <c r="F25" s="24">
        <v>41472</v>
      </c>
      <c r="G25" s="24">
        <v>41472</v>
      </c>
      <c r="H25" s="19" t="s">
        <v>210</v>
      </c>
      <c r="I25" s="19" t="s">
        <v>211</v>
      </c>
      <c r="L25" s="26" t="s">
        <v>213</v>
      </c>
      <c r="M25" s="25">
        <v>0</v>
      </c>
      <c r="V25" s="19" t="str">
        <f t="shared" si="0"/>
        <v/>
      </c>
      <c r="W25" s="19" t="str">
        <f t="shared" si="1"/>
        <v/>
      </c>
      <c r="X25" s="24">
        <f t="shared" ca="1" si="2"/>
        <v>42440</v>
      </c>
      <c r="Y25" s="19">
        <f t="shared" si="3"/>
        <v>29</v>
      </c>
      <c r="Z25" s="19">
        <f t="shared" si="4"/>
        <v>7</v>
      </c>
      <c r="AA25" s="19">
        <f t="shared" si="5"/>
        <v>2013</v>
      </c>
      <c r="AB25" s="27">
        <f t="shared" si="6"/>
        <v>-188</v>
      </c>
    </row>
    <row r="26" spans="1:28" x14ac:dyDescent="0.25">
      <c r="A26" s="19">
        <v>2</v>
      </c>
      <c r="B26" s="19">
        <v>2</v>
      </c>
      <c r="C26" s="19">
        <v>5</v>
      </c>
      <c r="D26" s="19" t="s">
        <v>209</v>
      </c>
      <c r="E26" s="19" t="s">
        <v>200</v>
      </c>
      <c r="F26" s="24">
        <v>41473</v>
      </c>
      <c r="G26" s="24">
        <v>41473</v>
      </c>
      <c r="H26" s="19" t="s">
        <v>210</v>
      </c>
      <c r="I26" s="19" t="s">
        <v>211</v>
      </c>
      <c r="L26" s="26" t="s">
        <v>213</v>
      </c>
      <c r="M26" s="25">
        <v>0</v>
      </c>
      <c r="V26" s="19" t="str">
        <f t="shared" si="0"/>
        <v/>
      </c>
      <c r="W26" s="19" t="str">
        <f t="shared" si="1"/>
        <v/>
      </c>
      <c r="X26" s="24">
        <f t="shared" ca="1" si="2"/>
        <v>42440</v>
      </c>
      <c r="Y26" s="19">
        <f t="shared" si="3"/>
        <v>29</v>
      </c>
      <c r="Z26" s="19">
        <f t="shared" si="4"/>
        <v>7</v>
      </c>
      <c r="AA26" s="19">
        <f t="shared" si="5"/>
        <v>2013</v>
      </c>
      <c r="AB26" s="27">
        <f t="shared" si="6"/>
        <v>-188</v>
      </c>
    </row>
    <row r="27" spans="1:28" x14ac:dyDescent="0.25">
      <c r="A27" s="19">
        <v>2</v>
      </c>
      <c r="B27" s="19">
        <v>2</v>
      </c>
      <c r="C27" s="19">
        <v>5</v>
      </c>
      <c r="D27" s="19" t="s">
        <v>209</v>
      </c>
      <c r="E27" s="19" t="s">
        <v>200</v>
      </c>
      <c r="F27" s="24">
        <v>41474</v>
      </c>
      <c r="G27" s="24">
        <v>41474</v>
      </c>
      <c r="H27" s="19" t="s">
        <v>210</v>
      </c>
      <c r="I27" s="19" t="s">
        <v>211</v>
      </c>
      <c r="L27" s="26" t="s">
        <v>213</v>
      </c>
      <c r="M27" s="25">
        <v>0</v>
      </c>
      <c r="V27" s="19" t="str">
        <f t="shared" si="0"/>
        <v/>
      </c>
      <c r="W27" s="19" t="str">
        <f t="shared" si="1"/>
        <v/>
      </c>
      <c r="X27" s="24">
        <f t="shared" ca="1" si="2"/>
        <v>42440</v>
      </c>
      <c r="Y27" s="19">
        <f t="shared" si="3"/>
        <v>29</v>
      </c>
      <c r="Z27" s="19">
        <f t="shared" si="4"/>
        <v>7</v>
      </c>
      <c r="AA27" s="19">
        <f t="shared" si="5"/>
        <v>2013</v>
      </c>
      <c r="AB27" s="27">
        <f t="shared" si="6"/>
        <v>-188</v>
      </c>
    </row>
    <row r="28" spans="1:28" x14ac:dyDescent="0.25">
      <c r="A28" s="19">
        <v>2</v>
      </c>
      <c r="B28" s="19">
        <v>2</v>
      </c>
      <c r="C28" s="19">
        <v>5</v>
      </c>
      <c r="D28" s="19" t="s">
        <v>209</v>
      </c>
      <c r="E28" s="19" t="s">
        <v>200</v>
      </c>
      <c r="F28" s="24">
        <v>41477</v>
      </c>
      <c r="G28" s="24">
        <v>41477</v>
      </c>
      <c r="H28" s="19" t="s">
        <v>210</v>
      </c>
      <c r="I28" s="19" t="s">
        <v>211</v>
      </c>
      <c r="L28" s="26" t="s">
        <v>214</v>
      </c>
      <c r="M28" s="25">
        <v>0</v>
      </c>
      <c r="V28" s="19" t="str">
        <f t="shared" si="0"/>
        <v/>
      </c>
      <c r="W28" s="19" t="str">
        <f t="shared" si="1"/>
        <v/>
      </c>
      <c r="X28" s="24">
        <f t="shared" ca="1" si="2"/>
        <v>42440</v>
      </c>
      <c r="Y28" s="19">
        <f t="shared" si="3"/>
        <v>30</v>
      </c>
      <c r="Z28" s="19">
        <f t="shared" si="4"/>
        <v>7</v>
      </c>
      <c r="AA28" s="19">
        <f t="shared" si="5"/>
        <v>2013</v>
      </c>
      <c r="AB28" s="27">
        <f t="shared" si="6"/>
        <v>-190</v>
      </c>
    </row>
    <row r="29" spans="1:28" x14ac:dyDescent="0.25">
      <c r="A29" s="19">
        <v>2</v>
      </c>
      <c r="B29" s="19">
        <v>2</v>
      </c>
      <c r="C29" s="19">
        <v>5</v>
      </c>
      <c r="D29" s="19" t="s">
        <v>209</v>
      </c>
      <c r="E29" s="19" t="s">
        <v>200</v>
      </c>
      <c r="F29" s="24">
        <v>41478</v>
      </c>
      <c r="G29" s="24">
        <v>41478</v>
      </c>
      <c r="H29" s="19" t="s">
        <v>210</v>
      </c>
      <c r="I29" s="19" t="s">
        <v>211</v>
      </c>
      <c r="L29" s="26" t="s">
        <v>214</v>
      </c>
      <c r="M29" s="25">
        <v>0</v>
      </c>
      <c r="V29" s="19" t="str">
        <f t="shared" si="0"/>
        <v/>
      </c>
      <c r="W29" s="19" t="str">
        <f t="shared" si="1"/>
        <v/>
      </c>
      <c r="X29" s="24">
        <f t="shared" ca="1" si="2"/>
        <v>42440</v>
      </c>
      <c r="Y29" s="19">
        <f t="shared" si="3"/>
        <v>30</v>
      </c>
      <c r="Z29" s="19">
        <f t="shared" si="4"/>
        <v>7</v>
      </c>
      <c r="AA29" s="19">
        <f t="shared" si="5"/>
        <v>2013</v>
      </c>
      <c r="AB29" s="27">
        <f t="shared" si="6"/>
        <v>-190</v>
      </c>
    </row>
    <row r="30" spans="1:28" x14ac:dyDescent="0.25">
      <c r="A30" s="19">
        <v>2</v>
      </c>
      <c r="B30" s="19">
        <v>2</v>
      </c>
      <c r="C30" s="19">
        <v>5</v>
      </c>
      <c r="D30" s="19" t="s">
        <v>209</v>
      </c>
      <c r="E30" s="19" t="s">
        <v>200</v>
      </c>
      <c r="F30" s="24">
        <v>41479</v>
      </c>
      <c r="G30" s="24">
        <v>41479</v>
      </c>
      <c r="H30" s="19" t="s">
        <v>210</v>
      </c>
      <c r="I30" s="19" t="s">
        <v>211</v>
      </c>
      <c r="L30" s="26" t="s">
        <v>214</v>
      </c>
      <c r="M30" s="25">
        <v>0</v>
      </c>
      <c r="V30" s="19" t="str">
        <f t="shared" si="0"/>
        <v/>
      </c>
      <c r="W30" s="19" t="str">
        <f t="shared" si="1"/>
        <v/>
      </c>
      <c r="X30" s="24">
        <f t="shared" ca="1" si="2"/>
        <v>42440</v>
      </c>
      <c r="Y30" s="19">
        <f t="shared" si="3"/>
        <v>30</v>
      </c>
      <c r="Z30" s="19">
        <f t="shared" si="4"/>
        <v>7</v>
      </c>
      <c r="AA30" s="19">
        <f t="shared" si="5"/>
        <v>2013</v>
      </c>
      <c r="AB30" s="27">
        <f t="shared" si="6"/>
        <v>-190</v>
      </c>
    </row>
    <row r="31" spans="1:28" x14ac:dyDescent="0.25">
      <c r="A31" s="19">
        <v>2</v>
      </c>
      <c r="B31" s="19">
        <v>2</v>
      </c>
      <c r="C31" s="19">
        <v>5</v>
      </c>
      <c r="D31" s="19" t="s">
        <v>209</v>
      </c>
      <c r="E31" s="19" t="s">
        <v>200</v>
      </c>
      <c r="F31" s="24">
        <v>41480</v>
      </c>
      <c r="G31" s="24">
        <v>41480</v>
      </c>
      <c r="H31" s="19" t="s">
        <v>210</v>
      </c>
      <c r="I31" s="19" t="s">
        <v>211</v>
      </c>
      <c r="L31" s="26" t="s">
        <v>214</v>
      </c>
      <c r="M31" s="25">
        <v>0</v>
      </c>
      <c r="V31" s="19" t="str">
        <f t="shared" si="0"/>
        <v/>
      </c>
      <c r="W31" s="19" t="str">
        <f t="shared" si="1"/>
        <v/>
      </c>
      <c r="X31" s="24">
        <f t="shared" ca="1" si="2"/>
        <v>42440</v>
      </c>
      <c r="Y31" s="19">
        <f t="shared" si="3"/>
        <v>30</v>
      </c>
      <c r="Z31" s="19">
        <f t="shared" si="4"/>
        <v>7</v>
      </c>
      <c r="AA31" s="19">
        <f t="shared" si="5"/>
        <v>2013</v>
      </c>
      <c r="AB31" s="27">
        <f t="shared" si="6"/>
        <v>-190</v>
      </c>
    </row>
    <row r="32" spans="1:28" x14ac:dyDescent="0.25">
      <c r="A32" s="19">
        <v>2</v>
      </c>
      <c r="B32" s="19">
        <v>2</v>
      </c>
      <c r="C32" s="19">
        <v>5</v>
      </c>
      <c r="D32" s="19" t="s">
        <v>209</v>
      </c>
      <c r="E32" s="19" t="s">
        <v>200</v>
      </c>
      <c r="F32" s="24">
        <v>41481</v>
      </c>
      <c r="G32" s="24">
        <v>41481</v>
      </c>
      <c r="H32" s="19" t="s">
        <v>210</v>
      </c>
      <c r="I32" s="19" t="s">
        <v>211</v>
      </c>
      <c r="L32" s="26" t="s">
        <v>214</v>
      </c>
      <c r="M32" s="25">
        <v>0</v>
      </c>
      <c r="V32" s="19" t="str">
        <f t="shared" si="0"/>
        <v/>
      </c>
      <c r="W32" s="19" t="str">
        <f t="shared" si="1"/>
        <v/>
      </c>
      <c r="X32" s="24">
        <f t="shared" ca="1" si="2"/>
        <v>42440</v>
      </c>
      <c r="Y32" s="19">
        <f t="shared" si="3"/>
        <v>30</v>
      </c>
      <c r="Z32" s="19">
        <f t="shared" si="4"/>
        <v>7</v>
      </c>
      <c r="AA32" s="19">
        <f t="shared" si="5"/>
        <v>2013</v>
      </c>
      <c r="AB32" s="27">
        <f t="shared" si="6"/>
        <v>-190</v>
      </c>
    </row>
    <row r="33" spans="1:28" x14ac:dyDescent="0.25">
      <c r="A33" s="19">
        <v>2</v>
      </c>
      <c r="B33" s="19">
        <v>2</v>
      </c>
      <c r="C33" s="19">
        <v>5</v>
      </c>
      <c r="D33" s="19" t="s">
        <v>209</v>
      </c>
      <c r="E33" s="19" t="s">
        <v>200</v>
      </c>
      <c r="F33" s="24">
        <v>41484</v>
      </c>
      <c r="G33" s="24">
        <v>41484</v>
      </c>
      <c r="H33" s="19" t="s">
        <v>210</v>
      </c>
      <c r="I33" s="19" t="s">
        <v>211</v>
      </c>
      <c r="L33" s="26" t="s">
        <v>215</v>
      </c>
      <c r="M33" s="25">
        <v>0</v>
      </c>
      <c r="V33" s="19" t="str">
        <f t="shared" si="0"/>
        <v/>
      </c>
      <c r="W33" s="19" t="str">
        <f t="shared" si="1"/>
        <v/>
      </c>
      <c r="X33" s="24">
        <f t="shared" ca="1" si="2"/>
        <v>42440</v>
      </c>
      <c r="Y33" s="19">
        <f t="shared" si="3"/>
        <v>31</v>
      </c>
      <c r="Z33" s="19">
        <f t="shared" si="4"/>
        <v>7</v>
      </c>
      <c r="AA33" s="19">
        <f t="shared" si="5"/>
        <v>2013</v>
      </c>
      <c r="AB33" s="27">
        <f t="shared" si="6"/>
        <v>-202</v>
      </c>
    </row>
    <row r="34" spans="1:28" x14ac:dyDescent="0.25">
      <c r="A34" s="19">
        <v>2</v>
      </c>
      <c r="B34" s="19">
        <v>2</v>
      </c>
      <c r="C34" s="19">
        <v>5</v>
      </c>
      <c r="D34" s="19" t="s">
        <v>209</v>
      </c>
      <c r="E34" s="19" t="s">
        <v>200</v>
      </c>
      <c r="F34" s="24">
        <v>41485</v>
      </c>
      <c r="G34" s="24">
        <v>41485</v>
      </c>
      <c r="H34" s="19" t="s">
        <v>210</v>
      </c>
      <c r="I34" s="19" t="s">
        <v>211</v>
      </c>
      <c r="L34" s="26" t="s">
        <v>215</v>
      </c>
      <c r="M34" s="25">
        <v>0</v>
      </c>
      <c r="V34" s="19" t="str">
        <f t="shared" si="0"/>
        <v/>
      </c>
      <c r="W34" s="19" t="str">
        <f t="shared" si="1"/>
        <v/>
      </c>
      <c r="X34" s="24">
        <f t="shared" ca="1" si="2"/>
        <v>42440</v>
      </c>
      <c r="Y34" s="19">
        <f t="shared" si="3"/>
        <v>31</v>
      </c>
      <c r="Z34" s="19">
        <f t="shared" si="4"/>
        <v>7</v>
      </c>
      <c r="AA34" s="19">
        <f t="shared" si="5"/>
        <v>2013</v>
      </c>
      <c r="AB34" s="27">
        <f t="shared" si="6"/>
        <v>-202</v>
      </c>
    </row>
    <row r="35" spans="1:28" x14ac:dyDescent="0.25">
      <c r="A35" s="19">
        <v>2</v>
      </c>
      <c r="B35" s="19">
        <v>2</v>
      </c>
      <c r="C35" s="19">
        <v>5</v>
      </c>
      <c r="D35" s="19" t="s">
        <v>209</v>
      </c>
      <c r="E35" s="19" t="s">
        <v>200</v>
      </c>
      <c r="F35" s="24">
        <v>41486</v>
      </c>
      <c r="G35" s="24">
        <v>41486</v>
      </c>
      <c r="H35" s="19" t="s">
        <v>210</v>
      </c>
      <c r="I35" s="19" t="s">
        <v>211</v>
      </c>
      <c r="L35" s="26" t="s">
        <v>215</v>
      </c>
      <c r="M35" s="25">
        <v>0</v>
      </c>
      <c r="V35" s="19" t="str">
        <f t="shared" si="0"/>
        <v/>
      </c>
      <c r="W35" s="19" t="str">
        <f t="shared" si="1"/>
        <v/>
      </c>
      <c r="X35" s="24">
        <f t="shared" ca="1" si="2"/>
        <v>42440</v>
      </c>
      <c r="Y35" s="19">
        <f t="shared" si="3"/>
        <v>31</v>
      </c>
      <c r="Z35" s="19">
        <f t="shared" si="4"/>
        <v>7</v>
      </c>
      <c r="AA35" s="19">
        <f t="shared" si="5"/>
        <v>2013</v>
      </c>
      <c r="AB35" s="27">
        <f t="shared" si="6"/>
        <v>-202</v>
      </c>
    </row>
    <row r="36" spans="1:28" x14ac:dyDescent="0.25">
      <c r="A36" s="19">
        <v>2</v>
      </c>
      <c r="B36" s="19">
        <v>2</v>
      </c>
      <c r="C36" s="19">
        <v>5</v>
      </c>
      <c r="D36" s="19" t="s">
        <v>209</v>
      </c>
      <c r="E36" s="19" t="s">
        <v>200</v>
      </c>
      <c r="F36" s="24">
        <v>41487</v>
      </c>
      <c r="G36" s="24">
        <v>41487</v>
      </c>
      <c r="H36" s="19" t="s">
        <v>210</v>
      </c>
      <c r="I36" s="19" t="s">
        <v>211</v>
      </c>
      <c r="L36" s="26" t="s">
        <v>215</v>
      </c>
      <c r="M36" s="25">
        <v>0</v>
      </c>
      <c r="V36" s="19" t="str">
        <f t="shared" si="0"/>
        <v/>
      </c>
      <c r="W36" s="19" t="str">
        <f t="shared" si="1"/>
        <v/>
      </c>
      <c r="X36" s="24">
        <f t="shared" ca="1" si="2"/>
        <v>42440</v>
      </c>
      <c r="Y36" s="19">
        <f t="shared" si="3"/>
        <v>31</v>
      </c>
      <c r="Z36" s="19">
        <f t="shared" si="4"/>
        <v>8</v>
      </c>
      <c r="AA36" s="19">
        <f t="shared" si="5"/>
        <v>2013</v>
      </c>
      <c r="AB36" s="27">
        <f t="shared" si="6"/>
        <v>-202</v>
      </c>
    </row>
    <row r="37" spans="1:28" x14ac:dyDescent="0.25">
      <c r="A37" s="19">
        <v>2</v>
      </c>
      <c r="B37" s="19">
        <v>2</v>
      </c>
      <c r="C37" s="19">
        <v>5</v>
      </c>
      <c r="D37" s="19" t="s">
        <v>209</v>
      </c>
      <c r="E37" s="19" t="s">
        <v>200</v>
      </c>
      <c r="F37" s="24">
        <v>41488</v>
      </c>
      <c r="G37" s="24">
        <v>41488</v>
      </c>
      <c r="H37" s="19" t="s">
        <v>210</v>
      </c>
      <c r="I37" s="19" t="s">
        <v>211</v>
      </c>
      <c r="L37" s="26" t="s">
        <v>215</v>
      </c>
      <c r="M37" s="25">
        <v>0</v>
      </c>
      <c r="V37" s="19" t="str">
        <f t="shared" si="0"/>
        <v/>
      </c>
      <c r="W37" s="19" t="str">
        <f t="shared" si="1"/>
        <v/>
      </c>
      <c r="X37" s="24">
        <f t="shared" ca="1" si="2"/>
        <v>42440</v>
      </c>
      <c r="Y37" s="19">
        <f t="shared" si="3"/>
        <v>31</v>
      </c>
      <c r="Z37" s="19">
        <f t="shared" si="4"/>
        <v>8</v>
      </c>
      <c r="AA37" s="19">
        <f t="shared" si="5"/>
        <v>2013</v>
      </c>
      <c r="AB37" s="27">
        <f t="shared" si="6"/>
        <v>-202</v>
      </c>
    </row>
    <row r="38" spans="1:28" x14ac:dyDescent="0.25">
      <c r="A38" s="19">
        <v>2</v>
      </c>
      <c r="B38" s="19">
        <v>2</v>
      </c>
      <c r="C38" s="19">
        <v>5</v>
      </c>
      <c r="D38" s="19" t="s">
        <v>209</v>
      </c>
      <c r="E38" s="19" t="s">
        <v>200</v>
      </c>
      <c r="F38" s="24">
        <v>41491</v>
      </c>
      <c r="G38" s="24">
        <v>41491</v>
      </c>
      <c r="H38" s="19" t="s">
        <v>210</v>
      </c>
      <c r="I38" s="19" t="s">
        <v>211</v>
      </c>
      <c r="L38" s="26" t="s">
        <v>216</v>
      </c>
      <c r="M38" s="25">
        <v>0</v>
      </c>
      <c r="V38" s="19" t="str">
        <f t="shared" si="0"/>
        <v/>
      </c>
      <c r="W38" s="19" t="str">
        <f t="shared" si="1"/>
        <v/>
      </c>
      <c r="X38" s="24">
        <f t="shared" ca="1" si="2"/>
        <v>42440</v>
      </c>
      <c r="Y38" s="19">
        <f t="shared" si="3"/>
        <v>32</v>
      </c>
      <c r="Z38" s="19">
        <f t="shared" si="4"/>
        <v>8</v>
      </c>
      <c r="AA38" s="19">
        <f t="shared" si="5"/>
        <v>2013</v>
      </c>
      <c r="AB38" s="27">
        <f t="shared" si="6"/>
        <v>-216</v>
      </c>
    </row>
    <row r="39" spans="1:28" x14ac:dyDescent="0.25">
      <c r="A39" s="19">
        <v>2</v>
      </c>
      <c r="B39" s="19">
        <v>2</v>
      </c>
      <c r="C39" s="19">
        <v>5</v>
      </c>
      <c r="D39" s="19" t="s">
        <v>209</v>
      </c>
      <c r="E39" s="19" t="s">
        <v>200</v>
      </c>
      <c r="F39" s="24">
        <v>41492</v>
      </c>
      <c r="G39" s="24">
        <v>41492</v>
      </c>
      <c r="H39" s="19" t="s">
        <v>210</v>
      </c>
      <c r="I39" s="19" t="s">
        <v>211</v>
      </c>
      <c r="L39" s="26" t="s">
        <v>216</v>
      </c>
      <c r="M39" s="25">
        <v>0</v>
      </c>
      <c r="V39" s="19" t="str">
        <f t="shared" si="0"/>
        <v/>
      </c>
      <c r="W39" s="19" t="str">
        <f t="shared" si="1"/>
        <v/>
      </c>
      <c r="X39" s="24">
        <f t="shared" ca="1" si="2"/>
        <v>42440</v>
      </c>
      <c r="Y39" s="19">
        <f t="shared" si="3"/>
        <v>32</v>
      </c>
      <c r="Z39" s="19">
        <f t="shared" si="4"/>
        <v>8</v>
      </c>
      <c r="AA39" s="19">
        <f t="shared" si="5"/>
        <v>2013</v>
      </c>
      <c r="AB39" s="27">
        <f t="shared" si="6"/>
        <v>-216</v>
      </c>
    </row>
    <row r="40" spans="1:28" x14ac:dyDescent="0.25">
      <c r="A40" s="19">
        <v>2</v>
      </c>
      <c r="B40" s="19">
        <v>2</v>
      </c>
      <c r="C40" s="19">
        <v>5</v>
      </c>
      <c r="D40" s="19" t="s">
        <v>209</v>
      </c>
      <c r="E40" s="19" t="s">
        <v>200</v>
      </c>
      <c r="F40" s="24">
        <v>41493</v>
      </c>
      <c r="G40" s="24">
        <v>41493</v>
      </c>
      <c r="H40" s="19" t="s">
        <v>210</v>
      </c>
      <c r="I40" s="19" t="s">
        <v>211</v>
      </c>
      <c r="L40" s="26" t="s">
        <v>216</v>
      </c>
      <c r="M40" s="25">
        <v>0</v>
      </c>
      <c r="V40" s="19" t="str">
        <f t="shared" si="0"/>
        <v/>
      </c>
      <c r="W40" s="19" t="str">
        <f t="shared" si="1"/>
        <v/>
      </c>
      <c r="X40" s="24">
        <f t="shared" ca="1" si="2"/>
        <v>42440</v>
      </c>
      <c r="Y40" s="19">
        <f t="shared" si="3"/>
        <v>32</v>
      </c>
      <c r="Z40" s="19">
        <f t="shared" si="4"/>
        <v>8</v>
      </c>
      <c r="AA40" s="19">
        <f t="shared" si="5"/>
        <v>2013</v>
      </c>
      <c r="AB40" s="27">
        <f t="shared" si="6"/>
        <v>-216</v>
      </c>
    </row>
    <row r="41" spans="1:28" x14ac:dyDescent="0.25">
      <c r="A41" s="19">
        <v>2</v>
      </c>
      <c r="B41" s="19">
        <v>2</v>
      </c>
      <c r="C41" s="19">
        <v>5</v>
      </c>
      <c r="D41" s="19" t="s">
        <v>209</v>
      </c>
      <c r="E41" s="19" t="s">
        <v>200</v>
      </c>
      <c r="F41" s="24">
        <v>41494</v>
      </c>
      <c r="G41" s="24">
        <v>41494</v>
      </c>
      <c r="H41" s="19" t="s">
        <v>210</v>
      </c>
      <c r="I41" s="19" t="s">
        <v>211</v>
      </c>
      <c r="L41" s="26" t="s">
        <v>216</v>
      </c>
      <c r="M41" s="25">
        <v>0</v>
      </c>
      <c r="V41" s="19" t="str">
        <f t="shared" si="0"/>
        <v/>
      </c>
      <c r="W41" s="19" t="str">
        <f t="shared" si="1"/>
        <v/>
      </c>
      <c r="X41" s="24">
        <f t="shared" ca="1" si="2"/>
        <v>42440</v>
      </c>
      <c r="Y41" s="19">
        <f t="shared" si="3"/>
        <v>32</v>
      </c>
      <c r="Z41" s="19">
        <f t="shared" si="4"/>
        <v>8</v>
      </c>
      <c r="AA41" s="19">
        <f t="shared" si="5"/>
        <v>2013</v>
      </c>
      <c r="AB41" s="27">
        <f t="shared" si="6"/>
        <v>-216</v>
      </c>
    </row>
    <row r="42" spans="1:28" x14ac:dyDescent="0.25">
      <c r="A42" s="19">
        <v>2</v>
      </c>
      <c r="B42" s="19">
        <v>2</v>
      </c>
      <c r="C42" s="19">
        <v>5</v>
      </c>
      <c r="D42" s="19" t="s">
        <v>209</v>
      </c>
      <c r="E42" s="19" t="s">
        <v>200</v>
      </c>
      <c r="F42" s="24">
        <v>41495</v>
      </c>
      <c r="G42" s="24">
        <v>41495</v>
      </c>
      <c r="H42" s="19" t="s">
        <v>210</v>
      </c>
      <c r="I42" s="19" t="s">
        <v>211</v>
      </c>
      <c r="L42" s="26" t="s">
        <v>216</v>
      </c>
      <c r="M42" s="25">
        <v>0</v>
      </c>
      <c r="V42" s="19" t="str">
        <f t="shared" si="0"/>
        <v/>
      </c>
      <c r="W42" s="19" t="str">
        <f t="shared" si="1"/>
        <v/>
      </c>
      <c r="X42" s="24">
        <f t="shared" ca="1" si="2"/>
        <v>42440</v>
      </c>
      <c r="Y42" s="19">
        <f t="shared" si="3"/>
        <v>32</v>
      </c>
      <c r="Z42" s="19">
        <f t="shared" si="4"/>
        <v>8</v>
      </c>
      <c r="AA42" s="19">
        <f t="shared" si="5"/>
        <v>2013</v>
      </c>
      <c r="AB42" s="27">
        <f t="shared" si="6"/>
        <v>-216</v>
      </c>
    </row>
    <row r="43" spans="1:28" x14ac:dyDescent="0.25">
      <c r="A43" s="19">
        <v>2</v>
      </c>
      <c r="B43" s="19">
        <v>2</v>
      </c>
      <c r="C43" s="19">
        <v>5</v>
      </c>
      <c r="D43" s="19" t="s">
        <v>209</v>
      </c>
      <c r="E43" s="19" t="s">
        <v>200</v>
      </c>
      <c r="F43" s="24">
        <v>41498</v>
      </c>
      <c r="G43" s="24">
        <v>41498</v>
      </c>
      <c r="H43" s="19" t="s">
        <v>210</v>
      </c>
      <c r="I43" s="19" t="s">
        <v>211</v>
      </c>
      <c r="L43" s="26" t="s">
        <v>216</v>
      </c>
      <c r="M43" s="25">
        <v>0</v>
      </c>
      <c r="V43" s="19" t="str">
        <f t="shared" si="0"/>
        <v/>
      </c>
      <c r="W43" s="19" t="str">
        <f t="shared" si="1"/>
        <v/>
      </c>
      <c r="X43" s="24">
        <f t="shared" ca="1" si="2"/>
        <v>42440</v>
      </c>
      <c r="Y43" s="19">
        <f t="shared" si="3"/>
        <v>33</v>
      </c>
      <c r="Z43" s="19">
        <f t="shared" si="4"/>
        <v>8</v>
      </c>
      <c r="AA43" s="19">
        <f t="shared" si="5"/>
        <v>2013</v>
      </c>
      <c r="AB43" s="27">
        <f t="shared" si="6"/>
        <v>-216</v>
      </c>
    </row>
    <row r="44" spans="1:28" x14ac:dyDescent="0.25">
      <c r="A44" s="19">
        <v>2</v>
      </c>
      <c r="B44" s="19">
        <v>2</v>
      </c>
      <c r="C44" s="19">
        <v>5</v>
      </c>
      <c r="D44" s="19" t="s">
        <v>209</v>
      </c>
      <c r="E44" s="19" t="s">
        <v>200</v>
      </c>
      <c r="F44" s="24">
        <v>41499</v>
      </c>
      <c r="G44" s="24">
        <v>41499</v>
      </c>
      <c r="H44" s="19" t="s">
        <v>210</v>
      </c>
      <c r="I44" s="19" t="s">
        <v>211</v>
      </c>
      <c r="L44" s="26" t="s">
        <v>216</v>
      </c>
      <c r="M44" s="25">
        <v>0</v>
      </c>
      <c r="V44" s="19" t="str">
        <f t="shared" si="0"/>
        <v/>
      </c>
      <c r="W44" s="19" t="str">
        <f t="shared" si="1"/>
        <v/>
      </c>
      <c r="X44" s="24">
        <f t="shared" ca="1" si="2"/>
        <v>42440</v>
      </c>
      <c r="Y44" s="19">
        <f t="shared" si="3"/>
        <v>33</v>
      </c>
      <c r="Z44" s="19">
        <f t="shared" si="4"/>
        <v>8</v>
      </c>
      <c r="AA44" s="19">
        <f t="shared" si="5"/>
        <v>2013</v>
      </c>
      <c r="AB44" s="27">
        <f t="shared" si="6"/>
        <v>-216</v>
      </c>
    </row>
    <row r="45" spans="1:28" x14ac:dyDescent="0.25">
      <c r="A45" s="19">
        <v>2</v>
      </c>
      <c r="B45" s="19">
        <v>2</v>
      </c>
      <c r="C45" s="19">
        <v>5</v>
      </c>
      <c r="D45" s="19" t="s">
        <v>209</v>
      </c>
      <c r="E45" s="19" t="s">
        <v>200</v>
      </c>
      <c r="F45" s="24">
        <v>41500</v>
      </c>
      <c r="G45" s="24">
        <v>41500</v>
      </c>
      <c r="H45" s="19" t="s">
        <v>210</v>
      </c>
      <c r="I45" s="19" t="s">
        <v>211</v>
      </c>
      <c r="L45" s="26" t="s">
        <v>216</v>
      </c>
      <c r="M45" s="25">
        <v>0</v>
      </c>
      <c r="V45" s="19" t="str">
        <f t="shared" si="0"/>
        <v/>
      </c>
      <c r="W45" s="19" t="str">
        <f t="shared" si="1"/>
        <v/>
      </c>
      <c r="X45" s="24">
        <f t="shared" ca="1" si="2"/>
        <v>42440</v>
      </c>
      <c r="Y45" s="19">
        <f t="shared" si="3"/>
        <v>33</v>
      </c>
      <c r="Z45" s="19">
        <f t="shared" si="4"/>
        <v>8</v>
      </c>
      <c r="AA45" s="19">
        <f t="shared" si="5"/>
        <v>2013</v>
      </c>
      <c r="AB45" s="27">
        <f t="shared" si="6"/>
        <v>-216</v>
      </c>
    </row>
    <row r="46" spans="1:28" x14ac:dyDescent="0.25">
      <c r="A46" s="19">
        <v>2</v>
      </c>
      <c r="B46" s="19">
        <v>2</v>
      </c>
      <c r="C46" s="19">
        <v>5</v>
      </c>
      <c r="D46" s="19" t="s">
        <v>209</v>
      </c>
      <c r="E46" s="19" t="s">
        <v>200</v>
      </c>
      <c r="F46" s="24">
        <v>41501</v>
      </c>
      <c r="G46" s="24">
        <v>41501</v>
      </c>
      <c r="H46" s="19" t="s">
        <v>210</v>
      </c>
      <c r="I46" s="19" t="s">
        <v>211</v>
      </c>
      <c r="L46" s="26" t="s">
        <v>216</v>
      </c>
      <c r="M46" s="25">
        <v>0</v>
      </c>
      <c r="V46" s="19" t="str">
        <f t="shared" si="0"/>
        <v/>
      </c>
      <c r="W46" s="19" t="str">
        <f t="shared" si="1"/>
        <v/>
      </c>
      <c r="X46" s="24">
        <f t="shared" ca="1" si="2"/>
        <v>42440</v>
      </c>
      <c r="Y46" s="19">
        <f t="shared" si="3"/>
        <v>33</v>
      </c>
      <c r="Z46" s="19">
        <f t="shared" si="4"/>
        <v>8</v>
      </c>
      <c r="AA46" s="19">
        <f t="shared" si="5"/>
        <v>2013</v>
      </c>
      <c r="AB46" s="27">
        <f t="shared" si="6"/>
        <v>-216</v>
      </c>
    </row>
    <row r="47" spans="1:28" x14ac:dyDescent="0.25">
      <c r="A47" s="19">
        <v>2</v>
      </c>
      <c r="B47" s="19">
        <v>2</v>
      </c>
      <c r="C47" s="19">
        <v>5</v>
      </c>
      <c r="D47" s="19" t="s">
        <v>209</v>
      </c>
      <c r="E47" s="19" t="s">
        <v>200</v>
      </c>
      <c r="F47" s="24">
        <v>41502</v>
      </c>
      <c r="G47" s="24">
        <v>41502</v>
      </c>
      <c r="H47" s="19" t="s">
        <v>210</v>
      </c>
      <c r="I47" s="19" t="s">
        <v>211</v>
      </c>
      <c r="L47" s="26" t="s">
        <v>216</v>
      </c>
      <c r="M47" s="25">
        <v>0</v>
      </c>
      <c r="V47" s="19" t="str">
        <f t="shared" si="0"/>
        <v/>
      </c>
      <c r="W47" s="19" t="str">
        <f t="shared" si="1"/>
        <v/>
      </c>
      <c r="X47" s="24">
        <f t="shared" ca="1" si="2"/>
        <v>42440</v>
      </c>
      <c r="Y47" s="19">
        <f t="shared" si="3"/>
        <v>33</v>
      </c>
      <c r="Z47" s="19">
        <f t="shared" si="4"/>
        <v>8</v>
      </c>
      <c r="AA47" s="19">
        <f t="shared" si="5"/>
        <v>2013</v>
      </c>
      <c r="AB47" s="27">
        <f t="shared" si="6"/>
        <v>-216</v>
      </c>
    </row>
    <row r="48" spans="1:28" x14ac:dyDescent="0.25">
      <c r="A48" s="19">
        <v>2</v>
      </c>
      <c r="B48" s="19">
        <v>2</v>
      </c>
      <c r="C48" s="19">
        <v>5</v>
      </c>
      <c r="D48" s="19" t="s">
        <v>209</v>
      </c>
      <c r="E48" s="19" t="s">
        <v>200</v>
      </c>
      <c r="F48" s="24">
        <v>41505</v>
      </c>
      <c r="G48" s="24">
        <v>41505</v>
      </c>
      <c r="H48" s="19" t="s">
        <v>210</v>
      </c>
      <c r="I48" s="19" t="s">
        <v>211</v>
      </c>
      <c r="L48" s="26" t="s">
        <v>217</v>
      </c>
      <c r="M48" s="25">
        <v>0</v>
      </c>
      <c r="V48" s="19" t="str">
        <f t="shared" si="0"/>
        <v/>
      </c>
      <c r="W48" s="19" t="str">
        <f t="shared" si="1"/>
        <v/>
      </c>
      <c r="X48" s="24">
        <f t="shared" ca="1" si="2"/>
        <v>42440</v>
      </c>
      <c r="Y48" s="19">
        <f t="shared" si="3"/>
        <v>34</v>
      </c>
      <c r="Z48" s="19">
        <f t="shared" si="4"/>
        <v>8</v>
      </c>
      <c r="AA48" s="19">
        <f t="shared" si="5"/>
        <v>2013</v>
      </c>
      <c r="AB48" s="27">
        <f t="shared" si="6"/>
        <v>-214</v>
      </c>
    </row>
    <row r="49" spans="1:28" x14ac:dyDescent="0.25">
      <c r="A49" s="19">
        <v>2</v>
      </c>
      <c r="B49" s="19">
        <v>2</v>
      </c>
      <c r="C49" s="19">
        <v>5</v>
      </c>
      <c r="D49" s="19" t="s">
        <v>209</v>
      </c>
      <c r="E49" s="19" t="s">
        <v>200</v>
      </c>
      <c r="F49" s="24">
        <v>41506</v>
      </c>
      <c r="G49" s="24">
        <v>41506</v>
      </c>
      <c r="H49" s="19" t="s">
        <v>210</v>
      </c>
      <c r="I49" s="19" t="s">
        <v>211</v>
      </c>
      <c r="L49" s="26" t="s">
        <v>217</v>
      </c>
      <c r="M49" s="25">
        <v>0</v>
      </c>
      <c r="V49" s="19" t="str">
        <f t="shared" si="0"/>
        <v/>
      </c>
      <c r="W49" s="19" t="str">
        <f t="shared" si="1"/>
        <v/>
      </c>
      <c r="X49" s="24">
        <f t="shared" ca="1" si="2"/>
        <v>42440</v>
      </c>
      <c r="Y49" s="19">
        <f t="shared" si="3"/>
        <v>34</v>
      </c>
      <c r="Z49" s="19">
        <f t="shared" si="4"/>
        <v>8</v>
      </c>
      <c r="AA49" s="19">
        <f t="shared" si="5"/>
        <v>2013</v>
      </c>
      <c r="AB49" s="27">
        <f t="shared" si="6"/>
        <v>-214</v>
      </c>
    </row>
    <row r="50" spans="1:28" x14ac:dyDescent="0.25">
      <c r="A50" s="19">
        <v>2</v>
      </c>
      <c r="B50" s="19">
        <v>2</v>
      </c>
      <c r="C50" s="19">
        <v>5</v>
      </c>
      <c r="D50" s="19" t="s">
        <v>209</v>
      </c>
      <c r="E50" s="19" t="s">
        <v>200</v>
      </c>
      <c r="F50" s="24">
        <v>41507</v>
      </c>
      <c r="G50" s="24">
        <v>41507</v>
      </c>
      <c r="H50" s="19" t="s">
        <v>210</v>
      </c>
      <c r="I50" s="19" t="s">
        <v>211</v>
      </c>
      <c r="L50" s="26" t="s">
        <v>217</v>
      </c>
      <c r="M50" s="25">
        <v>0</v>
      </c>
      <c r="V50" s="19" t="str">
        <f t="shared" si="0"/>
        <v/>
      </c>
      <c r="W50" s="19" t="str">
        <f t="shared" si="1"/>
        <v/>
      </c>
      <c r="X50" s="24">
        <f t="shared" ca="1" si="2"/>
        <v>42440</v>
      </c>
      <c r="Y50" s="19">
        <f t="shared" si="3"/>
        <v>34</v>
      </c>
      <c r="Z50" s="19">
        <f t="shared" si="4"/>
        <v>8</v>
      </c>
      <c r="AA50" s="19">
        <f t="shared" si="5"/>
        <v>2013</v>
      </c>
      <c r="AB50" s="27">
        <f t="shared" si="6"/>
        <v>-214</v>
      </c>
    </row>
    <row r="51" spans="1:28" x14ac:dyDescent="0.25">
      <c r="A51" s="19">
        <v>2</v>
      </c>
      <c r="B51" s="19">
        <v>2</v>
      </c>
      <c r="C51" s="19">
        <v>5</v>
      </c>
      <c r="D51" s="19" t="s">
        <v>209</v>
      </c>
      <c r="E51" s="19" t="s">
        <v>200</v>
      </c>
      <c r="F51" s="24">
        <v>41508</v>
      </c>
      <c r="G51" s="24">
        <v>41508</v>
      </c>
      <c r="H51" s="19" t="s">
        <v>210</v>
      </c>
      <c r="I51" s="19" t="s">
        <v>211</v>
      </c>
      <c r="L51" s="26" t="s">
        <v>217</v>
      </c>
      <c r="M51" s="25">
        <v>0</v>
      </c>
      <c r="V51" s="19" t="str">
        <f t="shared" si="0"/>
        <v/>
      </c>
      <c r="W51" s="19" t="str">
        <f t="shared" si="1"/>
        <v/>
      </c>
      <c r="X51" s="24">
        <f t="shared" ca="1" si="2"/>
        <v>42440</v>
      </c>
      <c r="Y51" s="19">
        <f t="shared" si="3"/>
        <v>34</v>
      </c>
      <c r="Z51" s="19">
        <f t="shared" si="4"/>
        <v>8</v>
      </c>
      <c r="AA51" s="19">
        <f t="shared" si="5"/>
        <v>2013</v>
      </c>
      <c r="AB51" s="27">
        <f t="shared" si="6"/>
        <v>-214</v>
      </c>
    </row>
    <row r="52" spans="1:28" x14ac:dyDescent="0.25">
      <c r="A52" s="19">
        <v>2</v>
      </c>
      <c r="B52" s="19">
        <v>2</v>
      </c>
      <c r="C52" s="19">
        <v>5</v>
      </c>
      <c r="D52" s="19" t="s">
        <v>209</v>
      </c>
      <c r="E52" s="19" t="s">
        <v>200</v>
      </c>
      <c r="F52" s="24">
        <v>41509</v>
      </c>
      <c r="G52" s="24">
        <v>41509</v>
      </c>
      <c r="H52" s="19" t="s">
        <v>210</v>
      </c>
      <c r="I52" s="19" t="s">
        <v>211</v>
      </c>
      <c r="L52" s="26" t="s">
        <v>217</v>
      </c>
      <c r="M52" s="25">
        <v>0</v>
      </c>
      <c r="V52" s="19" t="str">
        <f t="shared" si="0"/>
        <v/>
      </c>
      <c r="W52" s="19" t="str">
        <f t="shared" si="1"/>
        <v/>
      </c>
      <c r="X52" s="24">
        <f t="shared" ca="1" si="2"/>
        <v>42440</v>
      </c>
      <c r="Y52" s="19">
        <f t="shared" si="3"/>
        <v>34</v>
      </c>
      <c r="Z52" s="19">
        <f t="shared" si="4"/>
        <v>8</v>
      </c>
      <c r="AA52" s="19">
        <f t="shared" si="5"/>
        <v>2013</v>
      </c>
      <c r="AB52" s="27">
        <f t="shared" si="6"/>
        <v>-214</v>
      </c>
    </row>
    <row r="53" spans="1:28" x14ac:dyDescent="0.25">
      <c r="A53" s="19">
        <v>2</v>
      </c>
      <c r="B53" s="19">
        <v>2</v>
      </c>
      <c r="C53" s="19">
        <v>5</v>
      </c>
      <c r="D53" s="19" t="s">
        <v>209</v>
      </c>
      <c r="E53" s="19" t="s">
        <v>200</v>
      </c>
      <c r="F53" s="24">
        <v>41512</v>
      </c>
      <c r="G53" s="24">
        <v>41512</v>
      </c>
      <c r="H53" s="19" t="s">
        <v>210</v>
      </c>
      <c r="I53" s="19" t="s">
        <v>211</v>
      </c>
      <c r="L53" s="26" t="s">
        <v>218</v>
      </c>
      <c r="M53" s="25">
        <v>0</v>
      </c>
      <c r="V53" s="19" t="str">
        <f t="shared" si="0"/>
        <v/>
      </c>
      <c r="W53" s="19" t="str">
        <f t="shared" si="1"/>
        <v/>
      </c>
      <c r="X53" s="24">
        <f t="shared" ca="1" si="2"/>
        <v>42440</v>
      </c>
      <c r="Y53" s="19">
        <f t="shared" si="3"/>
        <v>35</v>
      </c>
      <c r="Z53" s="19">
        <f t="shared" si="4"/>
        <v>8</v>
      </c>
      <c r="AA53" s="19">
        <f t="shared" si="5"/>
        <v>2013</v>
      </c>
      <c r="AB53" s="27">
        <f t="shared" si="6"/>
        <v>-360</v>
      </c>
    </row>
    <row r="54" spans="1:28" x14ac:dyDescent="0.25">
      <c r="A54" s="19">
        <v>2</v>
      </c>
      <c r="B54" s="19">
        <v>2</v>
      </c>
      <c r="C54" s="19">
        <v>5</v>
      </c>
      <c r="D54" s="19" t="s">
        <v>209</v>
      </c>
      <c r="E54" s="19" t="s">
        <v>200</v>
      </c>
      <c r="F54" s="24">
        <v>41513</v>
      </c>
      <c r="G54" s="24">
        <v>41513</v>
      </c>
      <c r="H54" s="19" t="s">
        <v>210</v>
      </c>
      <c r="I54" s="19" t="s">
        <v>211</v>
      </c>
      <c r="L54" s="26" t="s">
        <v>218</v>
      </c>
      <c r="M54" s="25">
        <v>0</v>
      </c>
      <c r="V54" s="19" t="str">
        <f t="shared" si="0"/>
        <v/>
      </c>
      <c r="W54" s="19" t="str">
        <f t="shared" si="1"/>
        <v/>
      </c>
      <c r="X54" s="24">
        <f t="shared" ca="1" si="2"/>
        <v>42440</v>
      </c>
      <c r="Y54" s="19">
        <f t="shared" si="3"/>
        <v>35</v>
      </c>
      <c r="Z54" s="19">
        <f t="shared" si="4"/>
        <v>8</v>
      </c>
      <c r="AA54" s="19">
        <f t="shared" si="5"/>
        <v>2013</v>
      </c>
      <c r="AB54" s="27">
        <f t="shared" si="6"/>
        <v>-360</v>
      </c>
    </row>
    <row r="55" spans="1:28" x14ac:dyDescent="0.25">
      <c r="A55" s="19">
        <v>2</v>
      </c>
      <c r="B55" s="19">
        <v>2</v>
      </c>
      <c r="C55" s="19">
        <v>5</v>
      </c>
      <c r="D55" s="19" t="s">
        <v>209</v>
      </c>
      <c r="E55" s="19" t="s">
        <v>200</v>
      </c>
      <c r="F55" s="24">
        <v>41514</v>
      </c>
      <c r="G55" s="24">
        <v>41514</v>
      </c>
      <c r="H55" s="19" t="s">
        <v>210</v>
      </c>
      <c r="I55" s="19" t="s">
        <v>211</v>
      </c>
      <c r="L55" s="26" t="s">
        <v>218</v>
      </c>
      <c r="M55" s="25">
        <v>0</v>
      </c>
      <c r="V55" s="19" t="str">
        <f t="shared" si="0"/>
        <v/>
      </c>
      <c r="W55" s="19" t="str">
        <f t="shared" si="1"/>
        <v/>
      </c>
      <c r="X55" s="24">
        <f t="shared" ca="1" si="2"/>
        <v>42440</v>
      </c>
      <c r="Y55" s="19">
        <f t="shared" si="3"/>
        <v>35</v>
      </c>
      <c r="Z55" s="19">
        <f t="shared" si="4"/>
        <v>8</v>
      </c>
      <c r="AA55" s="19">
        <f t="shared" si="5"/>
        <v>2013</v>
      </c>
      <c r="AB55" s="27">
        <f t="shared" si="6"/>
        <v>-360</v>
      </c>
    </row>
    <row r="56" spans="1:28" x14ac:dyDescent="0.25">
      <c r="A56" s="19">
        <v>2</v>
      </c>
      <c r="B56" s="19">
        <v>2</v>
      </c>
      <c r="C56" s="19">
        <v>5</v>
      </c>
      <c r="D56" s="19" t="s">
        <v>209</v>
      </c>
      <c r="E56" s="19" t="s">
        <v>200</v>
      </c>
      <c r="F56" s="24">
        <v>41515</v>
      </c>
      <c r="G56" s="24">
        <v>41515</v>
      </c>
      <c r="H56" s="19" t="s">
        <v>210</v>
      </c>
      <c r="I56" s="19" t="s">
        <v>211</v>
      </c>
      <c r="L56" s="26" t="s">
        <v>218</v>
      </c>
      <c r="M56" s="25">
        <v>0</v>
      </c>
      <c r="V56" s="19" t="str">
        <f t="shared" si="0"/>
        <v/>
      </c>
      <c r="W56" s="19" t="str">
        <f t="shared" si="1"/>
        <v/>
      </c>
      <c r="X56" s="24">
        <f t="shared" ca="1" si="2"/>
        <v>42440</v>
      </c>
      <c r="Y56" s="19">
        <f t="shared" si="3"/>
        <v>35</v>
      </c>
      <c r="Z56" s="19">
        <f t="shared" si="4"/>
        <v>8</v>
      </c>
      <c r="AA56" s="19">
        <f t="shared" si="5"/>
        <v>2013</v>
      </c>
      <c r="AB56" s="27">
        <f t="shared" si="6"/>
        <v>-360</v>
      </c>
    </row>
    <row r="57" spans="1:28" x14ac:dyDescent="0.25">
      <c r="A57" s="19">
        <v>2</v>
      </c>
      <c r="B57" s="19">
        <v>2</v>
      </c>
      <c r="C57" s="19">
        <v>5</v>
      </c>
      <c r="D57" s="19" t="s">
        <v>209</v>
      </c>
      <c r="E57" s="19" t="s">
        <v>200</v>
      </c>
      <c r="F57" s="24">
        <v>41516</v>
      </c>
      <c r="G57" s="24">
        <v>41516</v>
      </c>
      <c r="H57" s="19" t="s">
        <v>210</v>
      </c>
      <c r="I57" s="19" t="s">
        <v>211</v>
      </c>
      <c r="L57" s="26" t="s">
        <v>218</v>
      </c>
      <c r="M57" s="25">
        <v>0</v>
      </c>
      <c r="V57" s="19" t="str">
        <f t="shared" si="0"/>
        <v/>
      </c>
      <c r="W57" s="19" t="str">
        <f t="shared" si="1"/>
        <v/>
      </c>
      <c r="X57" s="24">
        <f t="shared" ca="1" si="2"/>
        <v>42440</v>
      </c>
      <c r="Y57" s="19">
        <f t="shared" si="3"/>
        <v>35</v>
      </c>
      <c r="Z57" s="19">
        <f t="shared" si="4"/>
        <v>8</v>
      </c>
      <c r="AA57" s="19">
        <f t="shared" si="5"/>
        <v>2013</v>
      </c>
      <c r="AB57" s="27">
        <f t="shared" si="6"/>
        <v>-360</v>
      </c>
    </row>
    <row r="58" spans="1:28" x14ac:dyDescent="0.25">
      <c r="A58" s="19">
        <v>2</v>
      </c>
      <c r="B58" s="19">
        <v>1</v>
      </c>
      <c r="C58" s="19">
        <v>7</v>
      </c>
      <c r="D58" s="19" t="s">
        <v>219</v>
      </c>
      <c r="E58" s="19" t="s">
        <v>204</v>
      </c>
      <c r="F58" s="24">
        <v>41519</v>
      </c>
      <c r="G58" s="24">
        <v>41519</v>
      </c>
      <c r="H58" s="19" t="s">
        <v>220</v>
      </c>
      <c r="I58" s="19" t="s">
        <v>221</v>
      </c>
      <c r="J58" s="19" t="s">
        <v>207</v>
      </c>
      <c r="K58" s="19">
        <v>15</v>
      </c>
      <c r="L58" s="26" t="s">
        <v>222</v>
      </c>
      <c r="M58" s="24">
        <v>41513</v>
      </c>
      <c r="Q58" s="19" t="s">
        <v>112</v>
      </c>
      <c r="V58" s="19" t="str">
        <f t="shared" si="0"/>
        <v/>
      </c>
      <c r="W58" s="19" t="str">
        <f t="shared" si="1"/>
        <v/>
      </c>
      <c r="X58" s="24">
        <f t="shared" ca="1" si="2"/>
        <v>42440</v>
      </c>
      <c r="Y58" s="19">
        <f t="shared" si="3"/>
        <v>36</v>
      </c>
      <c r="Z58" s="19">
        <f t="shared" si="4"/>
        <v>9</v>
      </c>
      <c r="AA58" s="19">
        <f t="shared" si="5"/>
        <v>2013</v>
      </c>
      <c r="AB58" s="27">
        <f t="shared" si="6"/>
        <v>16944</v>
      </c>
    </row>
    <row r="59" spans="1:28" x14ac:dyDescent="0.25">
      <c r="A59" s="19">
        <v>2</v>
      </c>
      <c r="B59" s="19">
        <v>2</v>
      </c>
      <c r="C59" s="19">
        <v>5</v>
      </c>
      <c r="D59" s="19" t="s">
        <v>209</v>
      </c>
      <c r="E59" s="19" t="s">
        <v>200</v>
      </c>
      <c r="F59" s="24">
        <v>41519</v>
      </c>
      <c r="G59" s="24">
        <v>41519</v>
      </c>
      <c r="H59" s="19" t="s">
        <v>210</v>
      </c>
      <c r="I59" s="19" t="s">
        <v>211</v>
      </c>
      <c r="L59" s="26" t="s">
        <v>223</v>
      </c>
      <c r="M59" s="25">
        <v>0</v>
      </c>
      <c r="V59" s="19" t="str">
        <f t="shared" si="0"/>
        <v/>
      </c>
      <c r="W59" s="19" t="str">
        <f t="shared" si="1"/>
        <v/>
      </c>
      <c r="X59" s="24">
        <f t="shared" ca="1" si="2"/>
        <v>42440</v>
      </c>
      <c r="Y59" s="19">
        <f t="shared" si="3"/>
        <v>36</v>
      </c>
      <c r="Z59" s="19">
        <f t="shared" si="4"/>
        <v>9</v>
      </c>
      <c r="AA59" s="19">
        <f t="shared" si="5"/>
        <v>2013</v>
      </c>
      <c r="AB59" s="27">
        <f t="shared" si="6"/>
        <v>-418</v>
      </c>
    </row>
    <row r="60" spans="1:28" x14ac:dyDescent="0.25">
      <c r="A60" s="19">
        <v>2</v>
      </c>
      <c r="B60" s="19">
        <v>2</v>
      </c>
      <c r="C60" s="19">
        <v>5</v>
      </c>
      <c r="D60" s="19" t="s">
        <v>209</v>
      </c>
      <c r="E60" s="19" t="s">
        <v>200</v>
      </c>
      <c r="F60" s="24">
        <v>41520</v>
      </c>
      <c r="G60" s="24">
        <v>41520</v>
      </c>
      <c r="H60" s="19" t="s">
        <v>210</v>
      </c>
      <c r="I60" s="19" t="s">
        <v>211</v>
      </c>
      <c r="L60" s="26" t="s">
        <v>223</v>
      </c>
      <c r="M60" s="25">
        <v>0</v>
      </c>
      <c r="V60" s="19" t="str">
        <f t="shared" si="0"/>
        <v/>
      </c>
      <c r="W60" s="19" t="str">
        <f t="shared" si="1"/>
        <v/>
      </c>
      <c r="X60" s="24">
        <f t="shared" ca="1" si="2"/>
        <v>42440</v>
      </c>
      <c r="Y60" s="19">
        <f t="shared" si="3"/>
        <v>36</v>
      </c>
      <c r="Z60" s="19">
        <f t="shared" si="4"/>
        <v>9</v>
      </c>
      <c r="AA60" s="19">
        <f t="shared" si="5"/>
        <v>2013</v>
      </c>
      <c r="AB60" s="27">
        <f t="shared" si="6"/>
        <v>-418</v>
      </c>
    </row>
    <row r="61" spans="1:28" x14ac:dyDescent="0.25">
      <c r="A61" s="19">
        <v>2</v>
      </c>
      <c r="B61" s="19">
        <v>2</v>
      </c>
      <c r="C61" s="19">
        <v>5</v>
      </c>
      <c r="D61" s="19" t="s">
        <v>209</v>
      </c>
      <c r="E61" s="19" t="s">
        <v>200</v>
      </c>
      <c r="F61" s="24">
        <v>41521</v>
      </c>
      <c r="G61" s="24">
        <v>41521</v>
      </c>
      <c r="H61" s="19" t="s">
        <v>210</v>
      </c>
      <c r="I61" s="19" t="s">
        <v>211</v>
      </c>
      <c r="L61" s="26" t="s">
        <v>223</v>
      </c>
      <c r="M61" s="25">
        <v>0</v>
      </c>
      <c r="V61" s="19" t="str">
        <f t="shared" si="0"/>
        <v/>
      </c>
      <c r="W61" s="19" t="str">
        <f t="shared" si="1"/>
        <v/>
      </c>
      <c r="X61" s="24">
        <f t="shared" ca="1" si="2"/>
        <v>42440</v>
      </c>
      <c r="Y61" s="19">
        <f t="shared" si="3"/>
        <v>36</v>
      </c>
      <c r="Z61" s="19">
        <f t="shared" si="4"/>
        <v>9</v>
      </c>
      <c r="AA61" s="19">
        <f t="shared" si="5"/>
        <v>2013</v>
      </c>
      <c r="AB61" s="27">
        <f t="shared" si="6"/>
        <v>-418</v>
      </c>
    </row>
    <row r="62" spans="1:28" x14ac:dyDescent="0.25">
      <c r="A62" s="19">
        <v>2</v>
      </c>
      <c r="B62" s="19">
        <v>2</v>
      </c>
      <c r="C62" s="19">
        <v>5</v>
      </c>
      <c r="D62" s="19" t="s">
        <v>209</v>
      </c>
      <c r="E62" s="19" t="s">
        <v>200</v>
      </c>
      <c r="F62" s="24">
        <v>41522</v>
      </c>
      <c r="G62" s="24">
        <v>41522</v>
      </c>
      <c r="H62" s="19" t="s">
        <v>210</v>
      </c>
      <c r="I62" s="19" t="s">
        <v>211</v>
      </c>
      <c r="L62" s="26" t="s">
        <v>223</v>
      </c>
      <c r="M62" s="25">
        <v>0</v>
      </c>
      <c r="V62" s="19" t="str">
        <f t="shared" si="0"/>
        <v/>
      </c>
      <c r="W62" s="19" t="str">
        <f t="shared" si="1"/>
        <v/>
      </c>
      <c r="X62" s="24">
        <f t="shared" ca="1" si="2"/>
        <v>42440</v>
      </c>
      <c r="Y62" s="19">
        <f t="shared" si="3"/>
        <v>36</v>
      </c>
      <c r="Z62" s="19">
        <f t="shared" si="4"/>
        <v>9</v>
      </c>
      <c r="AA62" s="19">
        <f t="shared" si="5"/>
        <v>2013</v>
      </c>
      <c r="AB62" s="27">
        <f t="shared" si="6"/>
        <v>-418</v>
      </c>
    </row>
    <row r="63" spans="1:28" x14ac:dyDescent="0.25">
      <c r="A63" s="19">
        <v>2</v>
      </c>
      <c r="B63" s="19">
        <v>2</v>
      </c>
      <c r="C63" s="19">
        <v>5</v>
      </c>
      <c r="D63" s="19" t="s">
        <v>209</v>
      </c>
      <c r="E63" s="19" t="s">
        <v>200</v>
      </c>
      <c r="F63" s="24">
        <v>41523</v>
      </c>
      <c r="G63" s="24">
        <v>41523</v>
      </c>
      <c r="H63" s="19" t="s">
        <v>210</v>
      </c>
      <c r="I63" s="19" t="s">
        <v>211</v>
      </c>
      <c r="L63" s="26" t="s">
        <v>223</v>
      </c>
      <c r="M63" s="25">
        <v>0</v>
      </c>
      <c r="V63" s="19" t="str">
        <f t="shared" si="0"/>
        <v/>
      </c>
      <c r="W63" s="19" t="str">
        <f t="shared" si="1"/>
        <v/>
      </c>
      <c r="X63" s="24">
        <f t="shared" ca="1" si="2"/>
        <v>42440</v>
      </c>
      <c r="Y63" s="19">
        <f t="shared" si="3"/>
        <v>36</v>
      </c>
      <c r="Z63" s="19">
        <f t="shared" si="4"/>
        <v>9</v>
      </c>
      <c r="AA63" s="19">
        <f t="shared" si="5"/>
        <v>2013</v>
      </c>
      <c r="AB63" s="27">
        <f t="shared" si="6"/>
        <v>-418</v>
      </c>
    </row>
    <row r="64" spans="1:28" x14ac:dyDescent="0.25">
      <c r="A64" s="19">
        <v>2</v>
      </c>
      <c r="B64" s="19">
        <v>2</v>
      </c>
      <c r="C64" s="19">
        <v>5</v>
      </c>
      <c r="D64" s="19" t="s">
        <v>209</v>
      </c>
      <c r="E64" s="19" t="s">
        <v>200</v>
      </c>
      <c r="F64" s="24">
        <v>41526</v>
      </c>
      <c r="G64" s="24">
        <v>41526</v>
      </c>
      <c r="H64" s="19" t="s">
        <v>210</v>
      </c>
      <c r="I64" s="19" t="s">
        <v>211</v>
      </c>
      <c r="L64" s="26" t="s">
        <v>224</v>
      </c>
      <c r="M64" s="25">
        <v>0</v>
      </c>
      <c r="V64" s="19" t="str">
        <f t="shared" si="0"/>
        <v/>
      </c>
      <c r="W64" s="19" t="str">
        <f t="shared" si="1"/>
        <v/>
      </c>
      <c r="X64" s="24">
        <f t="shared" ca="1" si="2"/>
        <v>42440</v>
      </c>
      <c r="Y64" s="19">
        <f t="shared" si="3"/>
        <v>37</v>
      </c>
      <c r="Z64" s="19">
        <f t="shared" si="4"/>
        <v>9</v>
      </c>
      <c r="AA64" s="19">
        <f t="shared" si="5"/>
        <v>2013</v>
      </c>
      <c r="AB64" s="27">
        <f t="shared" si="6"/>
        <v>-416</v>
      </c>
    </row>
    <row r="65" spans="1:28" x14ac:dyDescent="0.25">
      <c r="A65" s="19">
        <v>2</v>
      </c>
      <c r="B65" s="19">
        <v>2</v>
      </c>
      <c r="C65" s="19">
        <v>5</v>
      </c>
      <c r="D65" s="19" t="s">
        <v>209</v>
      </c>
      <c r="E65" s="19" t="s">
        <v>200</v>
      </c>
      <c r="F65" s="24">
        <v>41527</v>
      </c>
      <c r="G65" s="24">
        <v>41527</v>
      </c>
      <c r="H65" s="19" t="s">
        <v>210</v>
      </c>
      <c r="I65" s="19" t="s">
        <v>211</v>
      </c>
      <c r="L65" s="26" t="s">
        <v>224</v>
      </c>
      <c r="M65" s="25">
        <v>0</v>
      </c>
      <c r="V65" s="19" t="str">
        <f t="shared" si="0"/>
        <v/>
      </c>
      <c r="W65" s="19" t="str">
        <f t="shared" si="1"/>
        <v/>
      </c>
      <c r="X65" s="24">
        <f t="shared" ca="1" si="2"/>
        <v>42440</v>
      </c>
      <c r="Y65" s="19">
        <f t="shared" si="3"/>
        <v>37</v>
      </c>
      <c r="Z65" s="19">
        <f t="shared" si="4"/>
        <v>9</v>
      </c>
      <c r="AA65" s="19">
        <f t="shared" si="5"/>
        <v>2013</v>
      </c>
      <c r="AB65" s="27">
        <f t="shared" si="6"/>
        <v>-416</v>
      </c>
    </row>
    <row r="66" spans="1:28" x14ac:dyDescent="0.25">
      <c r="A66" s="19">
        <v>2</v>
      </c>
      <c r="B66" s="19">
        <v>2</v>
      </c>
      <c r="C66" s="19">
        <v>5</v>
      </c>
      <c r="D66" s="19" t="s">
        <v>209</v>
      </c>
      <c r="E66" s="19" t="s">
        <v>200</v>
      </c>
      <c r="F66" s="24">
        <v>41528</v>
      </c>
      <c r="G66" s="24">
        <v>41528</v>
      </c>
      <c r="H66" s="19" t="s">
        <v>210</v>
      </c>
      <c r="I66" s="19" t="s">
        <v>211</v>
      </c>
      <c r="L66" s="26" t="s">
        <v>224</v>
      </c>
      <c r="M66" s="25">
        <v>0</v>
      </c>
      <c r="V66" s="19" t="str">
        <f t="shared" si="0"/>
        <v/>
      </c>
      <c r="W66" s="19" t="str">
        <f t="shared" si="1"/>
        <v/>
      </c>
      <c r="X66" s="24">
        <f t="shared" ca="1" si="2"/>
        <v>42440</v>
      </c>
      <c r="Y66" s="19">
        <f t="shared" si="3"/>
        <v>37</v>
      </c>
      <c r="Z66" s="19">
        <f t="shared" si="4"/>
        <v>9</v>
      </c>
      <c r="AA66" s="19">
        <f t="shared" si="5"/>
        <v>2013</v>
      </c>
      <c r="AB66" s="27">
        <f t="shared" si="6"/>
        <v>-416</v>
      </c>
    </row>
    <row r="67" spans="1:28" x14ac:dyDescent="0.25">
      <c r="A67" s="19">
        <v>2</v>
      </c>
      <c r="B67" s="19">
        <v>2</v>
      </c>
      <c r="C67" s="19">
        <v>5</v>
      </c>
      <c r="D67" s="19" t="s">
        <v>209</v>
      </c>
      <c r="E67" s="19" t="s">
        <v>200</v>
      </c>
      <c r="F67" s="24">
        <v>41529</v>
      </c>
      <c r="G67" s="24">
        <v>41529</v>
      </c>
      <c r="H67" s="19" t="s">
        <v>210</v>
      </c>
      <c r="I67" s="19" t="s">
        <v>211</v>
      </c>
      <c r="L67" s="26" t="s">
        <v>224</v>
      </c>
      <c r="M67" s="25">
        <v>0</v>
      </c>
      <c r="V67" s="19" t="str">
        <f t="shared" ref="V67:V130" si="7">IF(S67&lt;&gt;"",TEXT(S67,"0000")&amp;" "&amp;T67,"")</f>
        <v/>
      </c>
      <c r="W67" s="19" t="str">
        <f t="shared" ref="W67:W130" si="8">IF(R67&lt;&gt;"",TEXT(R67,"0000")&amp;" "&amp;U67,"")</f>
        <v/>
      </c>
      <c r="X67" s="24">
        <f t="shared" ref="X67:X130" ca="1" si="9">IF(F67&lt;TODAY(),TODAY(),F67)</f>
        <v>42440</v>
      </c>
      <c r="Y67" s="19">
        <f t="shared" ref="Y67:Y130" si="10">IF(WEEKDAY(DATE(YEAR(F67),1,1),2)&gt;4,WEEKNUM(F67,2)-1,WEEKNUM(F67,2))</f>
        <v>37</v>
      </c>
      <c r="Z67" s="19">
        <f t="shared" ref="Z67:Z130" si="11">MONTH(F67)</f>
        <v>9</v>
      </c>
      <c r="AA67" s="19">
        <f t="shared" ref="AA67:AA130" si="12">YEAR(F67)</f>
        <v>2013</v>
      </c>
      <c r="AB67" s="27">
        <f t="shared" ref="AB67:AB130" si="13">VALUE(L67)</f>
        <v>-416</v>
      </c>
    </row>
    <row r="68" spans="1:28" x14ac:dyDescent="0.25">
      <c r="A68" s="19">
        <v>2</v>
      </c>
      <c r="B68" s="19">
        <v>2</v>
      </c>
      <c r="C68" s="19">
        <v>5</v>
      </c>
      <c r="D68" s="19" t="s">
        <v>209</v>
      </c>
      <c r="E68" s="19" t="s">
        <v>200</v>
      </c>
      <c r="F68" s="24">
        <v>41530</v>
      </c>
      <c r="G68" s="24">
        <v>41530</v>
      </c>
      <c r="H68" s="19" t="s">
        <v>210</v>
      </c>
      <c r="I68" s="19" t="s">
        <v>211</v>
      </c>
      <c r="L68" s="26" t="s">
        <v>224</v>
      </c>
      <c r="M68" s="25">
        <v>0</v>
      </c>
      <c r="V68" s="19" t="str">
        <f t="shared" si="7"/>
        <v/>
      </c>
      <c r="W68" s="19" t="str">
        <f t="shared" si="8"/>
        <v/>
      </c>
      <c r="X68" s="24">
        <f t="shared" ca="1" si="9"/>
        <v>42440</v>
      </c>
      <c r="Y68" s="19">
        <f t="shared" si="10"/>
        <v>37</v>
      </c>
      <c r="Z68" s="19">
        <f t="shared" si="11"/>
        <v>9</v>
      </c>
      <c r="AA68" s="19">
        <f t="shared" si="12"/>
        <v>2013</v>
      </c>
      <c r="AB68" s="27">
        <f t="shared" si="13"/>
        <v>-416</v>
      </c>
    </row>
    <row r="69" spans="1:28" x14ac:dyDescent="0.25">
      <c r="A69" s="19">
        <v>2</v>
      </c>
      <c r="B69" s="19">
        <v>2</v>
      </c>
      <c r="C69" s="19">
        <v>5</v>
      </c>
      <c r="D69" s="19" t="s">
        <v>209</v>
      </c>
      <c r="E69" s="19" t="s">
        <v>200</v>
      </c>
      <c r="F69" s="24">
        <v>41533</v>
      </c>
      <c r="G69" s="24">
        <v>41533</v>
      </c>
      <c r="H69" s="19" t="s">
        <v>210</v>
      </c>
      <c r="I69" s="19" t="s">
        <v>211</v>
      </c>
      <c r="L69" s="26" t="s">
        <v>225</v>
      </c>
      <c r="M69" s="25">
        <v>0</v>
      </c>
      <c r="V69" s="19" t="str">
        <f t="shared" si="7"/>
        <v/>
      </c>
      <c r="W69" s="19" t="str">
        <f t="shared" si="8"/>
        <v/>
      </c>
      <c r="X69" s="24">
        <f t="shared" ca="1" si="9"/>
        <v>42440</v>
      </c>
      <c r="Y69" s="19">
        <f t="shared" si="10"/>
        <v>38</v>
      </c>
      <c r="Z69" s="19">
        <f t="shared" si="11"/>
        <v>9</v>
      </c>
      <c r="AA69" s="19">
        <f t="shared" si="12"/>
        <v>2013</v>
      </c>
      <c r="AB69" s="27">
        <f t="shared" si="13"/>
        <v>-414</v>
      </c>
    </row>
    <row r="70" spans="1:28" x14ac:dyDescent="0.25">
      <c r="A70" s="19">
        <v>2</v>
      </c>
      <c r="B70" s="19">
        <v>2</v>
      </c>
      <c r="C70" s="19">
        <v>5</v>
      </c>
      <c r="D70" s="19" t="s">
        <v>209</v>
      </c>
      <c r="E70" s="19" t="s">
        <v>200</v>
      </c>
      <c r="F70" s="24">
        <v>41534</v>
      </c>
      <c r="G70" s="24">
        <v>41534</v>
      </c>
      <c r="H70" s="19" t="s">
        <v>210</v>
      </c>
      <c r="I70" s="19" t="s">
        <v>211</v>
      </c>
      <c r="L70" s="26" t="s">
        <v>225</v>
      </c>
      <c r="M70" s="25">
        <v>0</v>
      </c>
      <c r="V70" s="19" t="str">
        <f t="shared" si="7"/>
        <v/>
      </c>
      <c r="W70" s="19" t="str">
        <f t="shared" si="8"/>
        <v/>
      </c>
      <c r="X70" s="24">
        <f t="shared" ca="1" si="9"/>
        <v>42440</v>
      </c>
      <c r="Y70" s="19">
        <f t="shared" si="10"/>
        <v>38</v>
      </c>
      <c r="Z70" s="19">
        <f t="shared" si="11"/>
        <v>9</v>
      </c>
      <c r="AA70" s="19">
        <f t="shared" si="12"/>
        <v>2013</v>
      </c>
      <c r="AB70" s="27">
        <f t="shared" si="13"/>
        <v>-414</v>
      </c>
    </row>
    <row r="71" spans="1:28" x14ac:dyDescent="0.25">
      <c r="A71" s="19">
        <v>2</v>
      </c>
      <c r="B71" s="19">
        <v>2</v>
      </c>
      <c r="C71" s="19">
        <v>5</v>
      </c>
      <c r="D71" s="19" t="s">
        <v>209</v>
      </c>
      <c r="E71" s="19" t="s">
        <v>200</v>
      </c>
      <c r="F71" s="24">
        <v>41535</v>
      </c>
      <c r="G71" s="24">
        <v>41535</v>
      </c>
      <c r="H71" s="19" t="s">
        <v>210</v>
      </c>
      <c r="I71" s="19" t="s">
        <v>211</v>
      </c>
      <c r="L71" s="26" t="s">
        <v>225</v>
      </c>
      <c r="M71" s="25">
        <v>0</v>
      </c>
      <c r="V71" s="19" t="str">
        <f t="shared" si="7"/>
        <v/>
      </c>
      <c r="W71" s="19" t="str">
        <f t="shared" si="8"/>
        <v/>
      </c>
      <c r="X71" s="24">
        <f t="shared" ca="1" si="9"/>
        <v>42440</v>
      </c>
      <c r="Y71" s="19">
        <f t="shared" si="10"/>
        <v>38</v>
      </c>
      <c r="Z71" s="19">
        <f t="shared" si="11"/>
        <v>9</v>
      </c>
      <c r="AA71" s="19">
        <f t="shared" si="12"/>
        <v>2013</v>
      </c>
      <c r="AB71" s="27">
        <f t="shared" si="13"/>
        <v>-414</v>
      </c>
    </row>
    <row r="72" spans="1:28" x14ac:dyDescent="0.25">
      <c r="A72" s="19">
        <v>2</v>
      </c>
      <c r="B72" s="19">
        <v>2</v>
      </c>
      <c r="C72" s="19">
        <v>5</v>
      </c>
      <c r="D72" s="19" t="s">
        <v>209</v>
      </c>
      <c r="E72" s="19" t="s">
        <v>200</v>
      </c>
      <c r="F72" s="24">
        <v>41536</v>
      </c>
      <c r="G72" s="24">
        <v>41536</v>
      </c>
      <c r="H72" s="19" t="s">
        <v>210</v>
      </c>
      <c r="I72" s="19" t="s">
        <v>211</v>
      </c>
      <c r="L72" s="26" t="s">
        <v>225</v>
      </c>
      <c r="M72" s="25">
        <v>0</v>
      </c>
      <c r="V72" s="19" t="str">
        <f t="shared" si="7"/>
        <v/>
      </c>
      <c r="W72" s="19" t="str">
        <f t="shared" si="8"/>
        <v/>
      </c>
      <c r="X72" s="24">
        <f t="shared" ca="1" si="9"/>
        <v>42440</v>
      </c>
      <c r="Y72" s="19">
        <f t="shared" si="10"/>
        <v>38</v>
      </c>
      <c r="Z72" s="19">
        <f t="shared" si="11"/>
        <v>9</v>
      </c>
      <c r="AA72" s="19">
        <f t="shared" si="12"/>
        <v>2013</v>
      </c>
      <c r="AB72" s="27">
        <f t="shared" si="13"/>
        <v>-414</v>
      </c>
    </row>
    <row r="73" spans="1:28" x14ac:dyDescent="0.25">
      <c r="A73" s="19">
        <v>2</v>
      </c>
      <c r="B73" s="19">
        <v>2</v>
      </c>
      <c r="C73" s="19">
        <v>5</v>
      </c>
      <c r="D73" s="19" t="s">
        <v>209</v>
      </c>
      <c r="E73" s="19" t="s">
        <v>200</v>
      </c>
      <c r="F73" s="24">
        <v>41537</v>
      </c>
      <c r="G73" s="24">
        <v>41537</v>
      </c>
      <c r="H73" s="19" t="s">
        <v>210</v>
      </c>
      <c r="I73" s="19" t="s">
        <v>211</v>
      </c>
      <c r="L73" s="26" t="s">
        <v>225</v>
      </c>
      <c r="M73" s="25">
        <v>0</v>
      </c>
      <c r="V73" s="19" t="str">
        <f t="shared" si="7"/>
        <v/>
      </c>
      <c r="W73" s="19" t="str">
        <f t="shared" si="8"/>
        <v/>
      </c>
      <c r="X73" s="24">
        <f t="shared" ca="1" si="9"/>
        <v>42440</v>
      </c>
      <c r="Y73" s="19">
        <f t="shared" si="10"/>
        <v>38</v>
      </c>
      <c r="Z73" s="19">
        <f t="shared" si="11"/>
        <v>9</v>
      </c>
      <c r="AA73" s="19">
        <f t="shared" si="12"/>
        <v>2013</v>
      </c>
      <c r="AB73" s="27">
        <f t="shared" si="13"/>
        <v>-414</v>
      </c>
    </row>
    <row r="74" spans="1:28" x14ac:dyDescent="0.25">
      <c r="A74" s="19">
        <v>2</v>
      </c>
      <c r="B74" s="19">
        <v>2</v>
      </c>
      <c r="C74" s="19">
        <v>5</v>
      </c>
      <c r="D74" s="19" t="s">
        <v>209</v>
      </c>
      <c r="E74" s="19" t="s">
        <v>200</v>
      </c>
      <c r="F74" s="24">
        <v>41540</v>
      </c>
      <c r="G74" s="24">
        <v>41540</v>
      </c>
      <c r="H74" s="19" t="s">
        <v>210</v>
      </c>
      <c r="I74" s="19" t="s">
        <v>211</v>
      </c>
      <c r="L74" s="26" t="s">
        <v>224</v>
      </c>
      <c r="M74" s="25">
        <v>0</v>
      </c>
      <c r="V74" s="19" t="str">
        <f t="shared" si="7"/>
        <v/>
      </c>
      <c r="W74" s="19" t="str">
        <f t="shared" si="8"/>
        <v/>
      </c>
      <c r="X74" s="24">
        <f t="shared" ca="1" si="9"/>
        <v>42440</v>
      </c>
      <c r="Y74" s="19">
        <f t="shared" si="10"/>
        <v>39</v>
      </c>
      <c r="Z74" s="19">
        <f t="shared" si="11"/>
        <v>9</v>
      </c>
      <c r="AA74" s="19">
        <f t="shared" si="12"/>
        <v>2013</v>
      </c>
      <c r="AB74" s="27">
        <f t="shared" si="13"/>
        <v>-416</v>
      </c>
    </row>
    <row r="75" spans="1:28" x14ac:dyDescent="0.25">
      <c r="A75" s="19">
        <v>2</v>
      </c>
      <c r="B75" s="19">
        <v>2</v>
      </c>
      <c r="C75" s="19">
        <v>5</v>
      </c>
      <c r="D75" s="19" t="s">
        <v>209</v>
      </c>
      <c r="E75" s="19" t="s">
        <v>200</v>
      </c>
      <c r="F75" s="24">
        <v>41541</v>
      </c>
      <c r="G75" s="24">
        <v>41541</v>
      </c>
      <c r="H75" s="19" t="s">
        <v>210</v>
      </c>
      <c r="I75" s="19" t="s">
        <v>211</v>
      </c>
      <c r="L75" s="26" t="s">
        <v>224</v>
      </c>
      <c r="M75" s="25">
        <v>0</v>
      </c>
      <c r="V75" s="19" t="str">
        <f t="shared" si="7"/>
        <v/>
      </c>
      <c r="W75" s="19" t="str">
        <f t="shared" si="8"/>
        <v/>
      </c>
      <c r="X75" s="24">
        <f t="shared" ca="1" si="9"/>
        <v>42440</v>
      </c>
      <c r="Y75" s="19">
        <f t="shared" si="10"/>
        <v>39</v>
      </c>
      <c r="Z75" s="19">
        <f t="shared" si="11"/>
        <v>9</v>
      </c>
      <c r="AA75" s="19">
        <f t="shared" si="12"/>
        <v>2013</v>
      </c>
      <c r="AB75" s="27">
        <f t="shared" si="13"/>
        <v>-416</v>
      </c>
    </row>
    <row r="76" spans="1:28" x14ac:dyDescent="0.25">
      <c r="A76" s="19">
        <v>2</v>
      </c>
      <c r="B76" s="19">
        <v>2</v>
      </c>
      <c r="C76" s="19">
        <v>5</v>
      </c>
      <c r="D76" s="19" t="s">
        <v>209</v>
      </c>
      <c r="E76" s="19" t="s">
        <v>200</v>
      </c>
      <c r="F76" s="24">
        <v>41542</v>
      </c>
      <c r="G76" s="24">
        <v>41542</v>
      </c>
      <c r="H76" s="19" t="s">
        <v>210</v>
      </c>
      <c r="I76" s="19" t="s">
        <v>211</v>
      </c>
      <c r="L76" s="26" t="s">
        <v>224</v>
      </c>
      <c r="M76" s="25">
        <v>0</v>
      </c>
      <c r="V76" s="19" t="str">
        <f t="shared" si="7"/>
        <v/>
      </c>
      <c r="W76" s="19" t="str">
        <f t="shared" si="8"/>
        <v/>
      </c>
      <c r="X76" s="24">
        <f t="shared" ca="1" si="9"/>
        <v>42440</v>
      </c>
      <c r="Y76" s="19">
        <f t="shared" si="10"/>
        <v>39</v>
      </c>
      <c r="Z76" s="19">
        <f t="shared" si="11"/>
        <v>9</v>
      </c>
      <c r="AA76" s="19">
        <f t="shared" si="12"/>
        <v>2013</v>
      </c>
      <c r="AB76" s="27">
        <f t="shared" si="13"/>
        <v>-416</v>
      </c>
    </row>
    <row r="77" spans="1:28" x14ac:dyDescent="0.25">
      <c r="A77" s="19">
        <v>2</v>
      </c>
      <c r="B77" s="19">
        <v>2</v>
      </c>
      <c r="C77" s="19">
        <v>5</v>
      </c>
      <c r="D77" s="19" t="s">
        <v>209</v>
      </c>
      <c r="E77" s="19" t="s">
        <v>200</v>
      </c>
      <c r="F77" s="24">
        <v>41543</v>
      </c>
      <c r="G77" s="24">
        <v>41543</v>
      </c>
      <c r="H77" s="19" t="s">
        <v>210</v>
      </c>
      <c r="I77" s="19" t="s">
        <v>211</v>
      </c>
      <c r="L77" s="26" t="s">
        <v>224</v>
      </c>
      <c r="M77" s="25">
        <v>0</v>
      </c>
      <c r="V77" s="19" t="str">
        <f t="shared" si="7"/>
        <v/>
      </c>
      <c r="W77" s="19" t="str">
        <f t="shared" si="8"/>
        <v/>
      </c>
      <c r="X77" s="24">
        <f t="shared" ca="1" si="9"/>
        <v>42440</v>
      </c>
      <c r="Y77" s="19">
        <f t="shared" si="10"/>
        <v>39</v>
      </c>
      <c r="Z77" s="19">
        <f t="shared" si="11"/>
        <v>9</v>
      </c>
      <c r="AA77" s="19">
        <f t="shared" si="12"/>
        <v>2013</v>
      </c>
      <c r="AB77" s="27">
        <f t="shared" si="13"/>
        <v>-416</v>
      </c>
    </row>
    <row r="78" spans="1:28" x14ac:dyDescent="0.25">
      <c r="A78" s="19">
        <v>2</v>
      </c>
      <c r="B78" s="19">
        <v>2</v>
      </c>
      <c r="C78" s="19">
        <v>5</v>
      </c>
      <c r="D78" s="19" t="s">
        <v>209</v>
      </c>
      <c r="E78" s="19" t="s">
        <v>200</v>
      </c>
      <c r="F78" s="24">
        <v>41544</v>
      </c>
      <c r="G78" s="24">
        <v>41544</v>
      </c>
      <c r="H78" s="19" t="s">
        <v>210</v>
      </c>
      <c r="I78" s="19" t="s">
        <v>211</v>
      </c>
      <c r="L78" s="26" t="s">
        <v>224</v>
      </c>
      <c r="M78" s="25">
        <v>0</v>
      </c>
      <c r="V78" s="19" t="str">
        <f t="shared" si="7"/>
        <v/>
      </c>
      <c r="W78" s="19" t="str">
        <f t="shared" si="8"/>
        <v/>
      </c>
      <c r="X78" s="24">
        <f t="shared" ca="1" si="9"/>
        <v>42440</v>
      </c>
      <c r="Y78" s="19">
        <f t="shared" si="10"/>
        <v>39</v>
      </c>
      <c r="Z78" s="19">
        <f t="shared" si="11"/>
        <v>9</v>
      </c>
      <c r="AA78" s="19">
        <f t="shared" si="12"/>
        <v>2013</v>
      </c>
      <c r="AB78" s="27">
        <f t="shared" si="13"/>
        <v>-416</v>
      </c>
    </row>
    <row r="79" spans="1:28" x14ac:dyDescent="0.25">
      <c r="A79" s="19">
        <v>2</v>
      </c>
      <c r="B79" s="19">
        <v>2</v>
      </c>
      <c r="C79" s="19">
        <v>5</v>
      </c>
      <c r="D79" s="19" t="s">
        <v>209</v>
      </c>
      <c r="E79" s="19" t="s">
        <v>200</v>
      </c>
      <c r="F79" s="24">
        <v>41547</v>
      </c>
      <c r="G79" s="24">
        <v>41547</v>
      </c>
      <c r="H79" s="19" t="s">
        <v>210</v>
      </c>
      <c r="I79" s="19" t="s">
        <v>211</v>
      </c>
      <c r="L79" s="26" t="s">
        <v>224</v>
      </c>
      <c r="M79" s="25">
        <v>0</v>
      </c>
      <c r="V79" s="19" t="str">
        <f t="shared" si="7"/>
        <v/>
      </c>
      <c r="W79" s="19" t="str">
        <f t="shared" si="8"/>
        <v/>
      </c>
      <c r="X79" s="24">
        <f t="shared" ca="1" si="9"/>
        <v>42440</v>
      </c>
      <c r="Y79" s="19">
        <f t="shared" si="10"/>
        <v>40</v>
      </c>
      <c r="Z79" s="19">
        <f t="shared" si="11"/>
        <v>9</v>
      </c>
      <c r="AA79" s="19">
        <f t="shared" si="12"/>
        <v>2013</v>
      </c>
      <c r="AB79" s="27">
        <f t="shared" si="13"/>
        <v>-416</v>
      </c>
    </row>
    <row r="80" spans="1:28" x14ac:dyDescent="0.25">
      <c r="A80" s="19">
        <v>2</v>
      </c>
      <c r="B80" s="19">
        <v>2</v>
      </c>
      <c r="C80" s="19">
        <v>5</v>
      </c>
      <c r="D80" s="19" t="s">
        <v>209</v>
      </c>
      <c r="E80" s="19" t="s">
        <v>200</v>
      </c>
      <c r="F80" s="24">
        <v>41548</v>
      </c>
      <c r="G80" s="24">
        <v>41548</v>
      </c>
      <c r="H80" s="19" t="s">
        <v>210</v>
      </c>
      <c r="I80" s="19" t="s">
        <v>211</v>
      </c>
      <c r="L80" s="26" t="s">
        <v>224</v>
      </c>
      <c r="M80" s="25">
        <v>0</v>
      </c>
      <c r="V80" s="19" t="str">
        <f t="shared" si="7"/>
        <v/>
      </c>
      <c r="W80" s="19" t="str">
        <f t="shared" si="8"/>
        <v/>
      </c>
      <c r="X80" s="24">
        <f t="shared" ca="1" si="9"/>
        <v>42440</v>
      </c>
      <c r="Y80" s="19">
        <f t="shared" si="10"/>
        <v>40</v>
      </c>
      <c r="Z80" s="19">
        <f t="shared" si="11"/>
        <v>10</v>
      </c>
      <c r="AA80" s="19">
        <f t="shared" si="12"/>
        <v>2013</v>
      </c>
      <c r="AB80" s="27">
        <f t="shared" si="13"/>
        <v>-416</v>
      </c>
    </row>
    <row r="81" spans="1:28" x14ac:dyDescent="0.25">
      <c r="A81" s="19">
        <v>2</v>
      </c>
      <c r="B81" s="19">
        <v>2</v>
      </c>
      <c r="C81" s="19">
        <v>5</v>
      </c>
      <c r="D81" s="19" t="s">
        <v>209</v>
      </c>
      <c r="E81" s="19" t="s">
        <v>200</v>
      </c>
      <c r="F81" s="24">
        <v>41549</v>
      </c>
      <c r="G81" s="24">
        <v>41549</v>
      </c>
      <c r="H81" s="19" t="s">
        <v>210</v>
      </c>
      <c r="I81" s="19" t="s">
        <v>211</v>
      </c>
      <c r="L81" s="26" t="s">
        <v>224</v>
      </c>
      <c r="M81" s="25">
        <v>0</v>
      </c>
      <c r="V81" s="19" t="str">
        <f t="shared" si="7"/>
        <v/>
      </c>
      <c r="W81" s="19" t="str">
        <f t="shared" si="8"/>
        <v/>
      </c>
      <c r="X81" s="24">
        <f t="shared" ca="1" si="9"/>
        <v>42440</v>
      </c>
      <c r="Y81" s="19">
        <f t="shared" si="10"/>
        <v>40</v>
      </c>
      <c r="Z81" s="19">
        <f t="shared" si="11"/>
        <v>10</v>
      </c>
      <c r="AA81" s="19">
        <f t="shared" si="12"/>
        <v>2013</v>
      </c>
      <c r="AB81" s="27">
        <f t="shared" si="13"/>
        <v>-416</v>
      </c>
    </row>
    <row r="82" spans="1:28" x14ac:dyDescent="0.25">
      <c r="A82" s="19">
        <v>2</v>
      </c>
      <c r="B82" s="19">
        <v>2</v>
      </c>
      <c r="C82" s="19">
        <v>5</v>
      </c>
      <c r="D82" s="19" t="s">
        <v>209</v>
      </c>
      <c r="E82" s="19" t="s">
        <v>200</v>
      </c>
      <c r="F82" s="24">
        <v>41550</v>
      </c>
      <c r="G82" s="24">
        <v>41550</v>
      </c>
      <c r="H82" s="19" t="s">
        <v>210</v>
      </c>
      <c r="I82" s="19" t="s">
        <v>211</v>
      </c>
      <c r="L82" s="26" t="s">
        <v>224</v>
      </c>
      <c r="M82" s="25">
        <v>0</v>
      </c>
      <c r="V82" s="19" t="str">
        <f t="shared" si="7"/>
        <v/>
      </c>
      <c r="W82" s="19" t="str">
        <f t="shared" si="8"/>
        <v/>
      </c>
      <c r="X82" s="24">
        <f t="shared" ca="1" si="9"/>
        <v>42440</v>
      </c>
      <c r="Y82" s="19">
        <f t="shared" si="10"/>
        <v>40</v>
      </c>
      <c r="Z82" s="19">
        <f t="shared" si="11"/>
        <v>10</v>
      </c>
      <c r="AA82" s="19">
        <f t="shared" si="12"/>
        <v>2013</v>
      </c>
      <c r="AB82" s="27">
        <f t="shared" si="13"/>
        <v>-416</v>
      </c>
    </row>
    <row r="83" spans="1:28" x14ac:dyDescent="0.25">
      <c r="A83" s="19">
        <v>2</v>
      </c>
      <c r="B83" s="19">
        <v>2</v>
      </c>
      <c r="C83" s="19">
        <v>5</v>
      </c>
      <c r="D83" s="19" t="s">
        <v>209</v>
      </c>
      <c r="E83" s="19" t="s">
        <v>200</v>
      </c>
      <c r="F83" s="24">
        <v>41551</v>
      </c>
      <c r="G83" s="24">
        <v>41551</v>
      </c>
      <c r="H83" s="19" t="s">
        <v>210</v>
      </c>
      <c r="I83" s="19" t="s">
        <v>211</v>
      </c>
      <c r="L83" s="26" t="s">
        <v>224</v>
      </c>
      <c r="M83" s="25">
        <v>0</v>
      </c>
      <c r="V83" s="19" t="str">
        <f t="shared" si="7"/>
        <v/>
      </c>
      <c r="W83" s="19" t="str">
        <f t="shared" si="8"/>
        <v/>
      </c>
      <c r="X83" s="24">
        <f t="shared" ca="1" si="9"/>
        <v>42440</v>
      </c>
      <c r="Y83" s="19">
        <f t="shared" si="10"/>
        <v>40</v>
      </c>
      <c r="Z83" s="19">
        <f t="shared" si="11"/>
        <v>10</v>
      </c>
      <c r="AA83" s="19">
        <f t="shared" si="12"/>
        <v>2013</v>
      </c>
      <c r="AB83" s="27">
        <f t="shared" si="13"/>
        <v>-416</v>
      </c>
    </row>
    <row r="84" spans="1:28" x14ac:dyDescent="0.25">
      <c r="A84" s="19">
        <v>2</v>
      </c>
      <c r="B84" s="19">
        <v>2</v>
      </c>
      <c r="C84" s="19">
        <v>5</v>
      </c>
      <c r="D84" s="19" t="s">
        <v>209</v>
      </c>
      <c r="E84" s="19" t="s">
        <v>200</v>
      </c>
      <c r="F84" s="24">
        <v>41554</v>
      </c>
      <c r="G84" s="24">
        <v>41554</v>
      </c>
      <c r="H84" s="19" t="s">
        <v>210</v>
      </c>
      <c r="I84" s="19" t="s">
        <v>211</v>
      </c>
      <c r="L84" s="26" t="s">
        <v>226</v>
      </c>
      <c r="M84" s="25">
        <v>0</v>
      </c>
      <c r="V84" s="19" t="str">
        <f t="shared" si="7"/>
        <v/>
      </c>
      <c r="W84" s="19" t="str">
        <f t="shared" si="8"/>
        <v/>
      </c>
      <c r="X84" s="24">
        <f t="shared" ca="1" si="9"/>
        <v>42440</v>
      </c>
      <c r="Y84" s="19">
        <f t="shared" si="10"/>
        <v>41</v>
      </c>
      <c r="Z84" s="19">
        <f t="shared" si="11"/>
        <v>10</v>
      </c>
      <c r="AA84" s="19">
        <f t="shared" si="12"/>
        <v>2013</v>
      </c>
      <c r="AB84" s="27">
        <f t="shared" si="13"/>
        <v>-384</v>
      </c>
    </row>
    <row r="85" spans="1:28" x14ac:dyDescent="0.25">
      <c r="A85" s="19">
        <v>2</v>
      </c>
      <c r="B85" s="19">
        <v>2</v>
      </c>
      <c r="C85" s="19">
        <v>5</v>
      </c>
      <c r="D85" s="19" t="s">
        <v>209</v>
      </c>
      <c r="E85" s="19" t="s">
        <v>200</v>
      </c>
      <c r="F85" s="24">
        <v>41555</v>
      </c>
      <c r="G85" s="24">
        <v>41555</v>
      </c>
      <c r="H85" s="19" t="s">
        <v>210</v>
      </c>
      <c r="I85" s="19" t="s">
        <v>211</v>
      </c>
      <c r="L85" s="26" t="s">
        <v>226</v>
      </c>
      <c r="M85" s="25">
        <v>0</v>
      </c>
      <c r="V85" s="19" t="str">
        <f t="shared" si="7"/>
        <v/>
      </c>
      <c r="W85" s="19" t="str">
        <f t="shared" si="8"/>
        <v/>
      </c>
      <c r="X85" s="24">
        <f t="shared" ca="1" si="9"/>
        <v>42440</v>
      </c>
      <c r="Y85" s="19">
        <f t="shared" si="10"/>
        <v>41</v>
      </c>
      <c r="Z85" s="19">
        <f t="shared" si="11"/>
        <v>10</v>
      </c>
      <c r="AA85" s="19">
        <f t="shared" si="12"/>
        <v>2013</v>
      </c>
      <c r="AB85" s="27">
        <f t="shared" si="13"/>
        <v>-384</v>
      </c>
    </row>
    <row r="86" spans="1:28" x14ac:dyDescent="0.25">
      <c r="A86" s="19">
        <v>2</v>
      </c>
      <c r="B86" s="19">
        <v>2</v>
      </c>
      <c r="C86" s="19">
        <v>5</v>
      </c>
      <c r="D86" s="19" t="s">
        <v>209</v>
      </c>
      <c r="E86" s="19" t="s">
        <v>200</v>
      </c>
      <c r="F86" s="24">
        <v>41556</v>
      </c>
      <c r="G86" s="24">
        <v>41556</v>
      </c>
      <c r="H86" s="19" t="s">
        <v>210</v>
      </c>
      <c r="I86" s="19" t="s">
        <v>211</v>
      </c>
      <c r="L86" s="26" t="s">
        <v>226</v>
      </c>
      <c r="M86" s="25">
        <v>0</v>
      </c>
      <c r="V86" s="19" t="str">
        <f t="shared" si="7"/>
        <v/>
      </c>
      <c r="W86" s="19" t="str">
        <f t="shared" si="8"/>
        <v/>
      </c>
      <c r="X86" s="24">
        <f t="shared" ca="1" si="9"/>
        <v>42440</v>
      </c>
      <c r="Y86" s="19">
        <f t="shared" si="10"/>
        <v>41</v>
      </c>
      <c r="Z86" s="19">
        <f t="shared" si="11"/>
        <v>10</v>
      </c>
      <c r="AA86" s="19">
        <f t="shared" si="12"/>
        <v>2013</v>
      </c>
      <c r="AB86" s="27">
        <f t="shared" si="13"/>
        <v>-384</v>
      </c>
    </row>
    <row r="87" spans="1:28" x14ac:dyDescent="0.25">
      <c r="A87" s="19">
        <v>2</v>
      </c>
      <c r="B87" s="19">
        <v>2</v>
      </c>
      <c r="C87" s="19">
        <v>5</v>
      </c>
      <c r="D87" s="19" t="s">
        <v>209</v>
      </c>
      <c r="E87" s="19" t="s">
        <v>200</v>
      </c>
      <c r="F87" s="24">
        <v>41557</v>
      </c>
      <c r="G87" s="24">
        <v>41557</v>
      </c>
      <c r="H87" s="19" t="s">
        <v>210</v>
      </c>
      <c r="I87" s="19" t="s">
        <v>211</v>
      </c>
      <c r="L87" s="26" t="s">
        <v>226</v>
      </c>
      <c r="M87" s="25">
        <v>0</v>
      </c>
      <c r="V87" s="19" t="str">
        <f t="shared" si="7"/>
        <v/>
      </c>
      <c r="W87" s="19" t="str">
        <f t="shared" si="8"/>
        <v/>
      </c>
      <c r="X87" s="24">
        <f t="shared" ca="1" si="9"/>
        <v>42440</v>
      </c>
      <c r="Y87" s="19">
        <f t="shared" si="10"/>
        <v>41</v>
      </c>
      <c r="Z87" s="19">
        <f t="shared" si="11"/>
        <v>10</v>
      </c>
      <c r="AA87" s="19">
        <f t="shared" si="12"/>
        <v>2013</v>
      </c>
      <c r="AB87" s="27">
        <f t="shared" si="13"/>
        <v>-384</v>
      </c>
    </row>
    <row r="88" spans="1:28" x14ac:dyDescent="0.25">
      <c r="A88" s="19">
        <v>2</v>
      </c>
      <c r="B88" s="19">
        <v>2</v>
      </c>
      <c r="C88" s="19">
        <v>5</v>
      </c>
      <c r="D88" s="19" t="s">
        <v>209</v>
      </c>
      <c r="E88" s="19" t="s">
        <v>200</v>
      </c>
      <c r="F88" s="24">
        <v>41558</v>
      </c>
      <c r="G88" s="24">
        <v>41558</v>
      </c>
      <c r="H88" s="19" t="s">
        <v>210</v>
      </c>
      <c r="I88" s="19" t="s">
        <v>211</v>
      </c>
      <c r="L88" s="26" t="s">
        <v>226</v>
      </c>
      <c r="M88" s="25">
        <v>0</v>
      </c>
      <c r="V88" s="19" t="str">
        <f t="shared" si="7"/>
        <v/>
      </c>
      <c r="W88" s="19" t="str">
        <f t="shared" si="8"/>
        <v/>
      </c>
      <c r="X88" s="24">
        <f t="shared" ca="1" si="9"/>
        <v>42440</v>
      </c>
      <c r="Y88" s="19">
        <f t="shared" si="10"/>
        <v>41</v>
      </c>
      <c r="Z88" s="19">
        <f t="shared" si="11"/>
        <v>10</v>
      </c>
      <c r="AA88" s="19">
        <f t="shared" si="12"/>
        <v>2013</v>
      </c>
      <c r="AB88" s="27">
        <f t="shared" si="13"/>
        <v>-384</v>
      </c>
    </row>
    <row r="89" spans="1:28" x14ac:dyDescent="0.25">
      <c r="A89" s="19">
        <v>2</v>
      </c>
      <c r="B89" s="19">
        <v>2</v>
      </c>
      <c r="C89" s="19">
        <v>5</v>
      </c>
      <c r="D89" s="19" t="s">
        <v>209</v>
      </c>
      <c r="E89" s="19" t="s">
        <v>200</v>
      </c>
      <c r="F89" s="24">
        <v>41561</v>
      </c>
      <c r="G89" s="24">
        <v>41561</v>
      </c>
      <c r="H89" s="19" t="s">
        <v>210</v>
      </c>
      <c r="I89" s="19" t="s">
        <v>211</v>
      </c>
      <c r="L89" s="26" t="s">
        <v>227</v>
      </c>
      <c r="M89" s="25">
        <v>0</v>
      </c>
      <c r="V89" s="19" t="str">
        <f t="shared" si="7"/>
        <v/>
      </c>
      <c r="W89" s="19" t="str">
        <f t="shared" si="8"/>
        <v/>
      </c>
      <c r="X89" s="24">
        <f t="shared" ca="1" si="9"/>
        <v>42440</v>
      </c>
      <c r="Y89" s="19">
        <f t="shared" si="10"/>
        <v>42</v>
      </c>
      <c r="Z89" s="19">
        <f t="shared" si="11"/>
        <v>10</v>
      </c>
      <c r="AA89" s="19">
        <f t="shared" si="12"/>
        <v>2013</v>
      </c>
      <c r="AB89" s="27">
        <f t="shared" si="13"/>
        <v>-392</v>
      </c>
    </row>
    <row r="90" spans="1:28" x14ac:dyDescent="0.25">
      <c r="A90" s="19">
        <v>2</v>
      </c>
      <c r="B90" s="19">
        <v>2</v>
      </c>
      <c r="C90" s="19">
        <v>5</v>
      </c>
      <c r="D90" s="19" t="s">
        <v>209</v>
      </c>
      <c r="E90" s="19" t="s">
        <v>200</v>
      </c>
      <c r="F90" s="24">
        <v>41562</v>
      </c>
      <c r="G90" s="24">
        <v>41562</v>
      </c>
      <c r="H90" s="19" t="s">
        <v>210</v>
      </c>
      <c r="I90" s="19" t="s">
        <v>211</v>
      </c>
      <c r="L90" s="26" t="s">
        <v>227</v>
      </c>
      <c r="M90" s="25">
        <v>0</v>
      </c>
      <c r="V90" s="19" t="str">
        <f t="shared" si="7"/>
        <v/>
      </c>
      <c r="W90" s="19" t="str">
        <f t="shared" si="8"/>
        <v/>
      </c>
      <c r="X90" s="24">
        <f t="shared" ca="1" si="9"/>
        <v>42440</v>
      </c>
      <c r="Y90" s="19">
        <f t="shared" si="10"/>
        <v>42</v>
      </c>
      <c r="Z90" s="19">
        <f t="shared" si="11"/>
        <v>10</v>
      </c>
      <c r="AA90" s="19">
        <f t="shared" si="12"/>
        <v>2013</v>
      </c>
      <c r="AB90" s="27">
        <f t="shared" si="13"/>
        <v>-392</v>
      </c>
    </row>
    <row r="91" spans="1:28" x14ac:dyDescent="0.25">
      <c r="A91" s="19">
        <v>2</v>
      </c>
      <c r="B91" s="19">
        <v>2</v>
      </c>
      <c r="C91" s="19">
        <v>5</v>
      </c>
      <c r="D91" s="19" t="s">
        <v>209</v>
      </c>
      <c r="E91" s="19" t="s">
        <v>200</v>
      </c>
      <c r="F91" s="24">
        <v>41563</v>
      </c>
      <c r="G91" s="24">
        <v>41563</v>
      </c>
      <c r="H91" s="19" t="s">
        <v>210</v>
      </c>
      <c r="I91" s="19" t="s">
        <v>211</v>
      </c>
      <c r="L91" s="26" t="s">
        <v>227</v>
      </c>
      <c r="M91" s="25">
        <v>0</v>
      </c>
      <c r="V91" s="19" t="str">
        <f t="shared" si="7"/>
        <v/>
      </c>
      <c r="W91" s="19" t="str">
        <f t="shared" si="8"/>
        <v/>
      </c>
      <c r="X91" s="24">
        <f t="shared" ca="1" si="9"/>
        <v>42440</v>
      </c>
      <c r="Y91" s="19">
        <f t="shared" si="10"/>
        <v>42</v>
      </c>
      <c r="Z91" s="19">
        <f t="shared" si="11"/>
        <v>10</v>
      </c>
      <c r="AA91" s="19">
        <f t="shared" si="12"/>
        <v>2013</v>
      </c>
      <c r="AB91" s="27">
        <f t="shared" si="13"/>
        <v>-392</v>
      </c>
    </row>
    <row r="92" spans="1:28" x14ac:dyDescent="0.25">
      <c r="A92" s="19">
        <v>2</v>
      </c>
      <c r="B92" s="19">
        <v>2</v>
      </c>
      <c r="C92" s="19">
        <v>5</v>
      </c>
      <c r="D92" s="19" t="s">
        <v>209</v>
      </c>
      <c r="E92" s="19" t="s">
        <v>200</v>
      </c>
      <c r="F92" s="24">
        <v>41564</v>
      </c>
      <c r="G92" s="24">
        <v>41564</v>
      </c>
      <c r="H92" s="19" t="s">
        <v>210</v>
      </c>
      <c r="I92" s="19" t="s">
        <v>211</v>
      </c>
      <c r="L92" s="26" t="s">
        <v>227</v>
      </c>
      <c r="M92" s="25">
        <v>0</v>
      </c>
      <c r="V92" s="19" t="str">
        <f t="shared" si="7"/>
        <v/>
      </c>
      <c r="W92" s="19" t="str">
        <f t="shared" si="8"/>
        <v/>
      </c>
      <c r="X92" s="24">
        <f t="shared" ca="1" si="9"/>
        <v>42440</v>
      </c>
      <c r="Y92" s="19">
        <f t="shared" si="10"/>
        <v>42</v>
      </c>
      <c r="Z92" s="19">
        <f t="shared" si="11"/>
        <v>10</v>
      </c>
      <c r="AA92" s="19">
        <f t="shared" si="12"/>
        <v>2013</v>
      </c>
      <c r="AB92" s="27">
        <f t="shared" si="13"/>
        <v>-392</v>
      </c>
    </row>
    <row r="93" spans="1:28" x14ac:dyDescent="0.25">
      <c r="A93" s="19">
        <v>2</v>
      </c>
      <c r="B93" s="19">
        <v>2</v>
      </c>
      <c r="C93" s="19">
        <v>5</v>
      </c>
      <c r="D93" s="19" t="s">
        <v>209</v>
      </c>
      <c r="E93" s="19" t="s">
        <v>200</v>
      </c>
      <c r="F93" s="24">
        <v>41565</v>
      </c>
      <c r="G93" s="24">
        <v>41565</v>
      </c>
      <c r="H93" s="19" t="s">
        <v>210</v>
      </c>
      <c r="I93" s="19" t="s">
        <v>211</v>
      </c>
      <c r="L93" s="26" t="s">
        <v>227</v>
      </c>
      <c r="M93" s="25">
        <v>0</v>
      </c>
      <c r="V93" s="19" t="str">
        <f t="shared" si="7"/>
        <v/>
      </c>
      <c r="W93" s="19" t="str">
        <f t="shared" si="8"/>
        <v/>
      </c>
      <c r="X93" s="24">
        <f t="shared" ca="1" si="9"/>
        <v>42440</v>
      </c>
      <c r="Y93" s="19">
        <f t="shared" si="10"/>
        <v>42</v>
      </c>
      <c r="Z93" s="19">
        <f t="shared" si="11"/>
        <v>10</v>
      </c>
      <c r="AA93" s="19">
        <f t="shared" si="12"/>
        <v>2013</v>
      </c>
      <c r="AB93" s="27">
        <f t="shared" si="13"/>
        <v>-392</v>
      </c>
    </row>
    <row r="94" spans="1:28" x14ac:dyDescent="0.25">
      <c r="A94" s="19">
        <v>2</v>
      </c>
      <c r="B94" s="19">
        <v>2</v>
      </c>
      <c r="C94" s="19">
        <v>5</v>
      </c>
      <c r="D94" s="19" t="s">
        <v>209</v>
      </c>
      <c r="E94" s="19" t="s">
        <v>200</v>
      </c>
      <c r="F94" s="24">
        <v>41568</v>
      </c>
      <c r="G94" s="24">
        <v>41568</v>
      </c>
      <c r="H94" s="19" t="s">
        <v>210</v>
      </c>
      <c r="I94" s="19" t="s">
        <v>211</v>
      </c>
      <c r="L94" s="26" t="s">
        <v>228</v>
      </c>
      <c r="M94" s="25">
        <v>0</v>
      </c>
      <c r="V94" s="19" t="str">
        <f t="shared" si="7"/>
        <v/>
      </c>
      <c r="W94" s="19" t="str">
        <f t="shared" si="8"/>
        <v/>
      </c>
      <c r="X94" s="24">
        <f t="shared" ca="1" si="9"/>
        <v>42440</v>
      </c>
      <c r="Y94" s="19">
        <f t="shared" si="10"/>
        <v>43</v>
      </c>
      <c r="Z94" s="19">
        <f t="shared" si="11"/>
        <v>10</v>
      </c>
      <c r="AA94" s="19">
        <f t="shared" si="12"/>
        <v>2013</v>
      </c>
      <c r="AB94" s="27">
        <f t="shared" si="13"/>
        <v>-396</v>
      </c>
    </row>
    <row r="95" spans="1:28" x14ac:dyDescent="0.25">
      <c r="A95" s="19">
        <v>2</v>
      </c>
      <c r="B95" s="19">
        <v>2</v>
      </c>
      <c r="C95" s="19">
        <v>5</v>
      </c>
      <c r="D95" s="19" t="s">
        <v>209</v>
      </c>
      <c r="E95" s="19" t="s">
        <v>200</v>
      </c>
      <c r="F95" s="24">
        <v>41569</v>
      </c>
      <c r="G95" s="24">
        <v>41569</v>
      </c>
      <c r="H95" s="19" t="s">
        <v>210</v>
      </c>
      <c r="I95" s="19" t="s">
        <v>211</v>
      </c>
      <c r="L95" s="26" t="s">
        <v>228</v>
      </c>
      <c r="M95" s="25">
        <v>0</v>
      </c>
      <c r="V95" s="19" t="str">
        <f t="shared" si="7"/>
        <v/>
      </c>
      <c r="W95" s="19" t="str">
        <f t="shared" si="8"/>
        <v/>
      </c>
      <c r="X95" s="24">
        <f t="shared" ca="1" si="9"/>
        <v>42440</v>
      </c>
      <c r="Y95" s="19">
        <f t="shared" si="10"/>
        <v>43</v>
      </c>
      <c r="Z95" s="19">
        <f t="shared" si="11"/>
        <v>10</v>
      </c>
      <c r="AA95" s="19">
        <f t="shared" si="12"/>
        <v>2013</v>
      </c>
      <c r="AB95" s="27">
        <f t="shared" si="13"/>
        <v>-396</v>
      </c>
    </row>
    <row r="96" spans="1:28" x14ac:dyDescent="0.25">
      <c r="A96" s="19">
        <v>2</v>
      </c>
      <c r="B96" s="19">
        <v>2</v>
      </c>
      <c r="C96" s="19">
        <v>5</v>
      </c>
      <c r="D96" s="19" t="s">
        <v>209</v>
      </c>
      <c r="E96" s="19" t="s">
        <v>200</v>
      </c>
      <c r="F96" s="24">
        <v>41570</v>
      </c>
      <c r="G96" s="24">
        <v>41570</v>
      </c>
      <c r="H96" s="19" t="s">
        <v>210</v>
      </c>
      <c r="I96" s="19" t="s">
        <v>211</v>
      </c>
      <c r="L96" s="26" t="s">
        <v>228</v>
      </c>
      <c r="M96" s="25">
        <v>0</v>
      </c>
      <c r="V96" s="19" t="str">
        <f t="shared" si="7"/>
        <v/>
      </c>
      <c r="W96" s="19" t="str">
        <f t="shared" si="8"/>
        <v/>
      </c>
      <c r="X96" s="24">
        <f t="shared" ca="1" si="9"/>
        <v>42440</v>
      </c>
      <c r="Y96" s="19">
        <f t="shared" si="10"/>
        <v>43</v>
      </c>
      <c r="Z96" s="19">
        <f t="shared" si="11"/>
        <v>10</v>
      </c>
      <c r="AA96" s="19">
        <f t="shared" si="12"/>
        <v>2013</v>
      </c>
      <c r="AB96" s="27">
        <f t="shared" si="13"/>
        <v>-396</v>
      </c>
    </row>
    <row r="97" spans="1:28" x14ac:dyDescent="0.25">
      <c r="A97" s="19">
        <v>2</v>
      </c>
      <c r="B97" s="19">
        <v>2</v>
      </c>
      <c r="C97" s="19">
        <v>5</v>
      </c>
      <c r="D97" s="19" t="s">
        <v>209</v>
      </c>
      <c r="E97" s="19" t="s">
        <v>200</v>
      </c>
      <c r="F97" s="24">
        <v>41571</v>
      </c>
      <c r="G97" s="24">
        <v>41571</v>
      </c>
      <c r="H97" s="19" t="s">
        <v>210</v>
      </c>
      <c r="I97" s="19" t="s">
        <v>211</v>
      </c>
      <c r="L97" s="26" t="s">
        <v>228</v>
      </c>
      <c r="M97" s="25">
        <v>0</v>
      </c>
      <c r="V97" s="19" t="str">
        <f t="shared" si="7"/>
        <v/>
      </c>
      <c r="W97" s="19" t="str">
        <f t="shared" si="8"/>
        <v/>
      </c>
      <c r="X97" s="24">
        <f t="shared" ca="1" si="9"/>
        <v>42440</v>
      </c>
      <c r="Y97" s="19">
        <f t="shared" si="10"/>
        <v>43</v>
      </c>
      <c r="Z97" s="19">
        <f t="shared" si="11"/>
        <v>10</v>
      </c>
      <c r="AA97" s="19">
        <f t="shared" si="12"/>
        <v>2013</v>
      </c>
      <c r="AB97" s="27">
        <f t="shared" si="13"/>
        <v>-396</v>
      </c>
    </row>
    <row r="98" spans="1:28" x14ac:dyDescent="0.25">
      <c r="A98" s="19">
        <v>2</v>
      </c>
      <c r="B98" s="19">
        <v>2</v>
      </c>
      <c r="C98" s="19">
        <v>5</v>
      </c>
      <c r="D98" s="19" t="s">
        <v>209</v>
      </c>
      <c r="E98" s="19" t="s">
        <v>200</v>
      </c>
      <c r="F98" s="24">
        <v>41572</v>
      </c>
      <c r="G98" s="24">
        <v>41572</v>
      </c>
      <c r="H98" s="19" t="s">
        <v>210</v>
      </c>
      <c r="I98" s="19" t="s">
        <v>211</v>
      </c>
      <c r="L98" s="26" t="s">
        <v>228</v>
      </c>
      <c r="M98" s="25">
        <v>0</v>
      </c>
      <c r="V98" s="19" t="str">
        <f t="shared" si="7"/>
        <v/>
      </c>
      <c r="W98" s="19" t="str">
        <f t="shared" si="8"/>
        <v/>
      </c>
      <c r="X98" s="24">
        <f t="shared" ca="1" si="9"/>
        <v>42440</v>
      </c>
      <c r="Y98" s="19">
        <f t="shared" si="10"/>
        <v>43</v>
      </c>
      <c r="Z98" s="19">
        <f t="shared" si="11"/>
        <v>10</v>
      </c>
      <c r="AA98" s="19">
        <f t="shared" si="12"/>
        <v>2013</v>
      </c>
      <c r="AB98" s="27">
        <f t="shared" si="13"/>
        <v>-396</v>
      </c>
    </row>
    <row r="99" spans="1:28" x14ac:dyDescent="0.25">
      <c r="A99" s="19">
        <v>2</v>
      </c>
      <c r="B99" s="19">
        <v>2</v>
      </c>
      <c r="C99" s="19">
        <v>5</v>
      </c>
      <c r="D99" s="19" t="s">
        <v>209</v>
      </c>
      <c r="E99" s="19" t="s">
        <v>200</v>
      </c>
      <c r="F99" s="24">
        <v>41575</v>
      </c>
      <c r="G99" s="24">
        <v>41575</v>
      </c>
      <c r="H99" s="19" t="s">
        <v>210</v>
      </c>
      <c r="I99" s="19" t="s">
        <v>211</v>
      </c>
      <c r="L99" s="26" t="s">
        <v>229</v>
      </c>
      <c r="M99" s="25">
        <v>0</v>
      </c>
      <c r="V99" s="19" t="str">
        <f t="shared" si="7"/>
        <v/>
      </c>
      <c r="W99" s="19" t="str">
        <f t="shared" si="8"/>
        <v/>
      </c>
      <c r="X99" s="24">
        <f t="shared" ca="1" si="9"/>
        <v>42440</v>
      </c>
      <c r="Y99" s="19">
        <f t="shared" si="10"/>
        <v>44</v>
      </c>
      <c r="Z99" s="19">
        <f t="shared" si="11"/>
        <v>10</v>
      </c>
      <c r="AA99" s="19">
        <f t="shared" si="12"/>
        <v>2013</v>
      </c>
      <c r="AB99" s="27">
        <f t="shared" si="13"/>
        <v>-354</v>
      </c>
    </row>
    <row r="100" spans="1:28" x14ac:dyDescent="0.25">
      <c r="A100" s="19">
        <v>2</v>
      </c>
      <c r="B100" s="19">
        <v>2</v>
      </c>
      <c r="C100" s="19">
        <v>5</v>
      </c>
      <c r="D100" s="19" t="s">
        <v>209</v>
      </c>
      <c r="E100" s="19" t="s">
        <v>200</v>
      </c>
      <c r="F100" s="24">
        <v>41576</v>
      </c>
      <c r="G100" s="24">
        <v>41576</v>
      </c>
      <c r="H100" s="19" t="s">
        <v>210</v>
      </c>
      <c r="I100" s="19" t="s">
        <v>211</v>
      </c>
      <c r="L100" s="26" t="s">
        <v>229</v>
      </c>
      <c r="M100" s="25">
        <v>0</v>
      </c>
      <c r="V100" s="19" t="str">
        <f t="shared" si="7"/>
        <v/>
      </c>
      <c r="W100" s="19" t="str">
        <f t="shared" si="8"/>
        <v/>
      </c>
      <c r="X100" s="24">
        <f t="shared" ca="1" si="9"/>
        <v>42440</v>
      </c>
      <c r="Y100" s="19">
        <f t="shared" si="10"/>
        <v>44</v>
      </c>
      <c r="Z100" s="19">
        <f t="shared" si="11"/>
        <v>10</v>
      </c>
      <c r="AA100" s="19">
        <f t="shared" si="12"/>
        <v>2013</v>
      </c>
      <c r="AB100" s="27">
        <f t="shared" si="13"/>
        <v>-354</v>
      </c>
    </row>
    <row r="101" spans="1:28" x14ac:dyDescent="0.25">
      <c r="A101" s="19">
        <v>2</v>
      </c>
      <c r="B101" s="19">
        <v>2</v>
      </c>
      <c r="C101" s="19">
        <v>5</v>
      </c>
      <c r="D101" s="19" t="s">
        <v>209</v>
      </c>
      <c r="E101" s="19" t="s">
        <v>200</v>
      </c>
      <c r="F101" s="24">
        <v>41577</v>
      </c>
      <c r="G101" s="24">
        <v>41577</v>
      </c>
      <c r="H101" s="19" t="s">
        <v>210</v>
      </c>
      <c r="I101" s="19" t="s">
        <v>211</v>
      </c>
      <c r="L101" s="26" t="s">
        <v>229</v>
      </c>
      <c r="M101" s="25">
        <v>0</v>
      </c>
      <c r="V101" s="19" t="str">
        <f t="shared" si="7"/>
        <v/>
      </c>
      <c r="W101" s="19" t="str">
        <f t="shared" si="8"/>
        <v/>
      </c>
      <c r="X101" s="24">
        <f t="shared" ca="1" si="9"/>
        <v>42440</v>
      </c>
      <c r="Y101" s="19">
        <f t="shared" si="10"/>
        <v>44</v>
      </c>
      <c r="Z101" s="19">
        <f t="shared" si="11"/>
        <v>10</v>
      </c>
      <c r="AA101" s="19">
        <f t="shared" si="12"/>
        <v>2013</v>
      </c>
      <c r="AB101" s="27">
        <f t="shared" si="13"/>
        <v>-354</v>
      </c>
    </row>
    <row r="102" spans="1:28" x14ac:dyDescent="0.25">
      <c r="A102" s="19">
        <v>2</v>
      </c>
      <c r="B102" s="19">
        <v>2</v>
      </c>
      <c r="C102" s="19">
        <v>5</v>
      </c>
      <c r="D102" s="19" t="s">
        <v>209</v>
      </c>
      <c r="E102" s="19" t="s">
        <v>200</v>
      </c>
      <c r="F102" s="24">
        <v>41578</v>
      </c>
      <c r="G102" s="24">
        <v>41578</v>
      </c>
      <c r="H102" s="19" t="s">
        <v>210</v>
      </c>
      <c r="I102" s="19" t="s">
        <v>211</v>
      </c>
      <c r="L102" s="26" t="s">
        <v>229</v>
      </c>
      <c r="M102" s="25">
        <v>0</v>
      </c>
      <c r="V102" s="19" t="str">
        <f t="shared" si="7"/>
        <v/>
      </c>
      <c r="W102" s="19" t="str">
        <f t="shared" si="8"/>
        <v/>
      </c>
      <c r="X102" s="24">
        <f t="shared" ca="1" si="9"/>
        <v>42440</v>
      </c>
      <c r="Y102" s="19">
        <f t="shared" si="10"/>
        <v>44</v>
      </c>
      <c r="Z102" s="19">
        <f t="shared" si="11"/>
        <v>10</v>
      </c>
      <c r="AA102" s="19">
        <f t="shared" si="12"/>
        <v>2013</v>
      </c>
      <c r="AB102" s="27">
        <f t="shared" si="13"/>
        <v>-354</v>
      </c>
    </row>
    <row r="103" spans="1:28" x14ac:dyDescent="0.25">
      <c r="A103" s="19">
        <v>2</v>
      </c>
      <c r="B103" s="19">
        <v>2</v>
      </c>
      <c r="C103" s="19">
        <v>5</v>
      </c>
      <c r="D103" s="19" t="s">
        <v>209</v>
      </c>
      <c r="E103" s="19" t="s">
        <v>200</v>
      </c>
      <c r="F103" s="24">
        <v>41579</v>
      </c>
      <c r="G103" s="24">
        <v>41579</v>
      </c>
      <c r="H103" s="19" t="s">
        <v>210</v>
      </c>
      <c r="I103" s="19" t="s">
        <v>211</v>
      </c>
      <c r="L103" s="26" t="s">
        <v>229</v>
      </c>
      <c r="M103" s="25">
        <v>0</v>
      </c>
      <c r="V103" s="19" t="str">
        <f t="shared" si="7"/>
        <v/>
      </c>
      <c r="W103" s="19" t="str">
        <f t="shared" si="8"/>
        <v/>
      </c>
      <c r="X103" s="24">
        <f t="shared" ca="1" si="9"/>
        <v>42440</v>
      </c>
      <c r="Y103" s="19">
        <f t="shared" si="10"/>
        <v>44</v>
      </c>
      <c r="Z103" s="19">
        <f t="shared" si="11"/>
        <v>11</v>
      </c>
      <c r="AA103" s="19">
        <f t="shared" si="12"/>
        <v>2013</v>
      </c>
      <c r="AB103" s="27">
        <f t="shared" si="13"/>
        <v>-354</v>
      </c>
    </row>
    <row r="104" spans="1:28" x14ac:dyDescent="0.25">
      <c r="A104" s="19">
        <v>2</v>
      </c>
      <c r="B104" s="19">
        <v>2</v>
      </c>
      <c r="C104" s="19">
        <v>5</v>
      </c>
      <c r="D104" s="19" t="s">
        <v>209</v>
      </c>
      <c r="E104" s="19" t="s">
        <v>200</v>
      </c>
      <c r="F104" s="24">
        <v>41582</v>
      </c>
      <c r="G104" s="24">
        <v>41582</v>
      </c>
      <c r="H104" s="19" t="s">
        <v>210</v>
      </c>
      <c r="I104" s="19" t="s">
        <v>211</v>
      </c>
      <c r="L104" s="26" t="s">
        <v>230</v>
      </c>
      <c r="M104" s="25">
        <v>0</v>
      </c>
      <c r="V104" s="19" t="str">
        <f t="shared" si="7"/>
        <v/>
      </c>
      <c r="W104" s="19" t="str">
        <f t="shared" si="8"/>
        <v/>
      </c>
      <c r="X104" s="24">
        <f t="shared" ca="1" si="9"/>
        <v>42440</v>
      </c>
      <c r="Y104" s="19">
        <f t="shared" si="10"/>
        <v>45</v>
      </c>
      <c r="Z104" s="19">
        <f t="shared" si="11"/>
        <v>11</v>
      </c>
      <c r="AA104" s="19">
        <f t="shared" si="12"/>
        <v>2013</v>
      </c>
      <c r="AB104" s="27">
        <f t="shared" si="13"/>
        <v>-206</v>
      </c>
    </row>
    <row r="105" spans="1:28" x14ac:dyDescent="0.25">
      <c r="A105" s="19">
        <v>2</v>
      </c>
      <c r="B105" s="19">
        <v>2</v>
      </c>
      <c r="C105" s="19">
        <v>5</v>
      </c>
      <c r="D105" s="19" t="s">
        <v>209</v>
      </c>
      <c r="E105" s="19" t="s">
        <v>200</v>
      </c>
      <c r="F105" s="24">
        <v>41583</v>
      </c>
      <c r="G105" s="24">
        <v>41583</v>
      </c>
      <c r="H105" s="19" t="s">
        <v>210</v>
      </c>
      <c r="I105" s="19" t="s">
        <v>211</v>
      </c>
      <c r="L105" s="26" t="s">
        <v>230</v>
      </c>
      <c r="M105" s="25">
        <v>0</v>
      </c>
      <c r="V105" s="19" t="str">
        <f t="shared" si="7"/>
        <v/>
      </c>
      <c r="W105" s="19" t="str">
        <f t="shared" si="8"/>
        <v/>
      </c>
      <c r="X105" s="24">
        <f t="shared" ca="1" si="9"/>
        <v>42440</v>
      </c>
      <c r="Y105" s="19">
        <f t="shared" si="10"/>
        <v>45</v>
      </c>
      <c r="Z105" s="19">
        <f t="shared" si="11"/>
        <v>11</v>
      </c>
      <c r="AA105" s="19">
        <f t="shared" si="12"/>
        <v>2013</v>
      </c>
      <c r="AB105" s="27">
        <f t="shared" si="13"/>
        <v>-206</v>
      </c>
    </row>
    <row r="106" spans="1:28" x14ac:dyDescent="0.25">
      <c r="A106" s="19">
        <v>2</v>
      </c>
      <c r="B106" s="19">
        <v>2</v>
      </c>
      <c r="C106" s="19">
        <v>5</v>
      </c>
      <c r="D106" s="19" t="s">
        <v>209</v>
      </c>
      <c r="E106" s="19" t="s">
        <v>200</v>
      </c>
      <c r="F106" s="24">
        <v>41584</v>
      </c>
      <c r="G106" s="24">
        <v>41584</v>
      </c>
      <c r="H106" s="19" t="s">
        <v>210</v>
      </c>
      <c r="I106" s="19" t="s">
        <v>211</v>
      </c>
      <c r="L106" s="26" t="s">
        <v>230</v>
      </c>
      <c r="M106" s="25">
        <v>0</v>
      </c>
      <c r="V106" s="19" t="str">
        <f t="shared" si="7"/>
        <v/>
      </c>
      <c r="W106" s="19" t="str">
        <f t="shared" si="8"/>
        <v/>
      </c>
      <c r="X106" s="24">
        <f t="shared" ca="1" si="9"/>
        <v>42440</v>
      </c>
      <c r="Y106" s="19">
        <f t="shared" si="10"/>
        <v>45</v>
      </c>
      <c r="Z106" s="19">
        <f t="shared" si="11"/>
        <v>11</v>
      </c>
      <c r="AA106" s="19">
        <f t="shared" si="12"/>
        <v>2013</v>
      </c>
      <c r="AB106" s="27">
        <f t="shared" si="13"/>
        <v>-206</v>
      </c>
    </row>
    <row r="107" spans="1:28" x14ac:dyDescent="0.25">
      <c r="A107" s="19">
        <v>2</v>
      </c>
      <c r="B107" s="19">
        <v>2</v>
      </c>
      <c r="C107" s="19">
        <v>5</v>
      </c>
      <c r="D107" s="19" t="s">
        <v>209</v>
      </c>
      <c r="E107" s="19" t="s">
        <v>200</v>
      </c>
      <c r="F107" s="24">
        <v>41585</v>
      </c>
      <c r="G107" s="24">
        <v>41585</v>
      </c>
      <c r="H107" s="19" t="s">
        <v>210</v>
      </c>
      <c r="I107" s="19" t="s">
        <v>211</v>
      </c>
      <c r="L107" s="26" t="s">
        <v>230</v>
      </c>
      <c r="M107" s="25">
        <v>0</v>
      </c>
      <c r="V107" s="19" t="str">
        <f t="shared" si="7"/>
        <v/>
      </c>
      <c r="W107" s="19" t="str">
        <f t="shared" si="8"/>
        <v/>
      </c>
      <c r="X107" s="24">
        <f t="shared" ca="1" si="9"/>
        <v>42440</v>
      </c>
      <c r="Y107" s="19">
        <f t="shared" si="10"/>
        <v>45</v>
      </c>
      <c r="Z107" s="19">
        <f t="shared" si="11"/>
        <v>11</v>
      </c>
      <c r="AA107" s="19">
        <f t="shared" si="12"/>
        <v>2013</v>
      </c>
      <c r="AB107" s="27">
        <f t="shared" si="13"/>
        <v>-206</v>
      </c>
    </row>
    <row r="108" spans="1:28" x14ac:dyDescent="0.25">
      <c r="A108" s="19">
        <v>2</v>
      </c>
      <c r="B108" s="19">
        <v>2</v>
      </c>
      <c r="C108" s="19">
        <v>5</v>
      </c>
      <c r="D108" s="19" t="s">
        <v>209</v>
      </c>
      <c r="E108" s="19" t="s">
        <v>200</v>
      </c>
      <c r="F108" s="24">
        <v>41586</v>
      </c>
      <c r="G108" s="24">
        <v>41586</v>
      </c>
      <c r="H108" s="19" t="s">
        <v>210</v>
      </c>
      <c r="I108" s="19" t="s">
        <v>211</v>
      </c>
      <c r="L108" s="26" t="s">
        <v>230</v>
      </c>
      <c r="M108" s="25">
        <v>0</v>
      </c>
      <c r="V108" s="19" t="str">
        <f t="shared" si="7"/>
        <v/>
      </c>
      <c r="W108" s="19" t="str">
        <f t="shared" si="8"/>
        <v/>
      </c>
      <c r="X108" s="24">
        <f t="shared" ca="1" si="9"/>
        <v>42440</v>
      </c>
      <c r="Y108" s="19">
        <f t="shared" si="10"/>
        <v>45</v>
      </c>
      <c r="Z108" s="19">
        <f t="shared" si="11"/>
        <v>11</v>
      </c>
      <c r="AA108" s="19">
        <f t="shared" si="12"/>
        <v>2013</v>
      </c>
      <c r="AB108" s="27">
        <f t="shared" si="13"/>
        <v>-206</v>
      </c>
    </row>
    <row r="109" spans="1:28" x14ac:dyDescent="0.25">
      <c r="A109" s="19">
        <v>2</v>
      </c>
      <c r="B109" s="19">
        <v>2</v>
      </c>
      <c r="C109" s="19">
        <v>5</v>
      </c>
      <c r="D109" s="19" t="s">
        <v>209</v>
      </c>
      <c r="E109" s="19" t="s">
        <v>200</v>
      </c>
      <c r="F109" s="24">
        <v>41589</v>
      </c>
      <c r="G109" s="24">
        <v>41589</v>
      </c>
      <c r="H109" s="19" t="s">
        <v>210</v>
      </c>
      <c r="I109" s="19" t="s">
        <v>211</v>
      </c>
      <c r="L109" s="26" t="s">
        <v>231</v>
      </c>
      <c r="M109" s="25">
        <v>0</v>
      </c>
      <c r="V109" s="19" t="str">
        <f t="shared" si="7"/>
        <v/>
      </c>
      <c r="W109" s="19" t="str">
        <f t="shared" si="8"/>
        <v/>
      </c>
      <c r="X109" s="24">
        <f t="shared" ca="1" si="9"/>
        <v>42440</v>
      </c>
      <c r="Y109" s="19">
        <f t="shared" si="10"/>
        <v>46</v>
      </c>
      <c r="Z109" s="19">
        <f t="shared" si="11"/>
        <v>11</v>
      </c>
      <c r="AA109" s="19">
        <f t="shared" si="12"/>
        <v>2013</v>
      </c>
      <c r="AB109" s="27">
        <f t="shared" si="13"/>
        <v>-208</v>
      </c>
    </row>
    <row r="110" spans="1:28" x14ac:dyDescent="0.25">
      <c r="A110" s="19">
        <v>2</v>
      </c>
      <c r="B110" s="19">
        <v>2</v>
      </c>
      <c r="C110" s="19">
        <v>5</v>
      </c>
      <c r="D110" s="19" t="s">
        <v>209</v>
      </c>
      <c r="E110" s="19" t="s">
        <v>200</v>
      </c>
      <c r="F110" s="24">
        <v>41590</v>
      </c>
      <c r="G110" s="24">
        <v>41590</v>
      </c>
      <c r="H110" s="19" t="s">
        <v>210</v>
      </c>
      <c r="I110" s="19" t="s">
        <v>211</v>
      </c>
      <c r="L110" s="26" t="s">
        <v>231</v>
      </c>
      <c r="M110" s="25">
        <v>0</v>
      </c>
      <c r="V110" s="19" t="str">
        <f t="shared" si="7"/>
        <v/>
      </c>
      <c r="W110" s="19" t="str">
        <f t="shared" si="8"/>
        <v/>
      </c>
      <c r="X110" s="24">
        <f t="shared" ca="1" si="9"/>
        <v>42440</v>
      </c>
      <c r="Y110" s="19">
        <f t="shared" si="10"/>
        <v>46</v>
      </c>
      <c r="Z110" s="19">
        <f t="shared" si="11"/>
        <v>11</v>
      </c>
      <c r="AA110" s="19">
        <f t="shared" si="12"/>
        <v>2013</v>
      </c>
      <c r="AB110" s="27">
        <f t="shared" si="13"/>
        <v>-208</v>
      </c>
    </row>
    <row r="111" spans="1:28" x14ac:dyDescent="0.25">
      <c r="A111" s="19">
        <v>2</v>
      </c>
      <c r="B111" s="19">
        <v>2</v>
      </c>
      <c r="C111" s="19">
        <v>5</v>
      </c>
      <c r="D111" s="19" t="s">
        <v>209</v>
      </c>
      <c r="E111" s="19" t="s">
        <v>200</v>
      </c>
      <c r="F111" s="24">
        <v>41591</v>
      </c>
      <c r="G111" s="24">
        <v>41591</v>
      </c>
      <c r="H111" s="19" t="s">
        <v>210</v>
      </c>
      <c r="I111" s="19" t="s">
        <v>211</v>
      </c>
      <c r="L111" s="26" t="s">
        <v>231</v>
      </c>
      <c r="M111" s="25">
        <v>0</v>
      </c>
      <c r="V111" s="19" t="str">
        <f t="shared" si="7"/>
        <v/>
      </c>
      <c r="W111" s="19" t="str">
        <f t="shared" si="8"/>
        <v/>
      </c>
      <c r="X111" s="24">
        <f t="shared" ca="1" si="9"/>
        <v>42440</v>
      </c>
      <c r="Y111" s="19">
        <f t="shared" si="10"/>
        <v>46</v>
      </c>
      <c r="Z111" s="19">
        <f t="shared" si="11"/>
        <v>11</v>
      </c>
      <c r="AA111" s="19">
        <f t="shared" si="12"/>
        <v>2013</v>
      </c>
      <c r="AB111" s="27">
        <f t="shared" si="13"/>
        <v>-208</v>
      </c>
    </row>
    <row r="112" spans="1:28" x14ac:dyDescent="0.25">
      <c r="A112" s="19">
        <v>2</v>
      </c>
      <c r="B112" s="19">
        <v>2</v>
      </c>
      <c r="C112" s="19">
        <v>5</v>
      </c>
      <c r="D112" s="19" t="s">
        <v>209</v>
      </c>
      <c r="E112" s="19" t="s">
        <v>200</v>
      </c>
      <c r="F112" s="24">
        <v>41592</v>
      </c>
      <c r="G112" s="24">
        <v>41592</v>
      </c>
      <c r="H112" s="19" t="s">
        <v>210</v>
      </c>
      <c r="I112" s="19" t="s">
        <v>211</v>
      </c>
      <c r="L112" s="26" t="s">
        <v>231</v>
      </c>
      <c r="M112" s="25">
        <v>0</v>
      </c>
      <c r="V112" s="19" t="str">
        <f t="shared" si="7"/>
        <v/>
      </c>
      <c r="W112" s="19" t="str">
        <f t="shared" si="8"/>
        <v/>
      </c>
      <c r="X112" s="24">
        <f t="shared" ca="1" si="9"/>
        <v>42440</v>
      </c>
      <c r="Y112" s="19">
        <f t="shared" si="10"/>
        <v>46</v>
      </c>
      <c r="Z112" s="19">
        <f t="shared" si="11"/>
        <v>11</v>
      </c>
      <c r="AA112" s="19">
        <f t="shared" si="12"/>
        <v>2013</v>
      </c>
      <c r="AB112" s="27">
        <f t="shared" si="13"/>
        <v>-208</v>
      </c>
    </row>
    <row r="113" spans="1:28" x14ac:dyDescent="0.25">
      <c r="A113" s="19">
        <v>2</v>
      </c>
      <c r="B113" s="19">
        <v>1</v>
      </c>
      <c r="C113" s="19">
        <v>7</v>
      </c>
      <c r="D113" s="19" t="s">
        <v>219</v>
      </c>
      <c r="E113" s="19" t="s">
        <v>204</v>
      </c>
      <c r="F113" s="24">
        <v>41593</v>
      </c>
      <c r="G113" s="24">
        <v>41593</v>
      </c>
      <c r="H113" s="19" t="s">
        <v>220</v>
      </c>
      <c r="I113" s="19" t="s">
        <v>232</v>
      </c>
      <c r="L113" s="26" t="s">
        <v>233</v>
      </c>
      <c r="M113" s="24">
        <v>41593</v>
      </c>
      <c r="Q113" s="19" t="s">
        <v>112</v>
      </c>
      <c r="V113" s="19" t="str">
        <f t="shared" si="7"/>
        <v/>
      </c>
      <c r="W113" s="19" t="str">
        <f t="shared" si="8"/>
        <v/>
      </c>
      <c r="X113" s="24">
        <f t="shared" ca="1" si="9"/>
        <v>42440</v>
      </c>
      <c r="Y113" s="19">
        <f t="shared" si="10"/>
        <v>46</v>
      </c>
      <c r="Z113" s="19">
        <f t="shared" si="11"/>
        <v>11</v>
      </c>
      <c r="AA113" s="19">
        <f t="shared" si="12"/>
        <v>2013</v>
      </c>
      <c r="AB113" s="27">
        <f t="shared" si="13"/>
        <v>11469</v>
      </c>
    </row>
    <row r="114" spans="1:28" x14ac:dyDescent="0.25">
      <c r="A114" s="19">
        <v>2</v>
      </c>
      <c r="B114" s="19">
        <v>2</v>
      </c>
      <c r="C114" s="19">
        <v>5</v>
      </c>
      <c r="D114" s="19" t="s">
        <v>209</v>
      </c>
      <c r="E114" s="19" t="s">
        <v>200</v>
      </c>
      <c r="F114" s="24">
        <v>41593</v>
      </c>
      <c r="G114" s="24">
        <v>41593</v>
      </c>
      <c r="H114" s="19" t="s">
        <v>210</v>
      </c>
      <c r="I114" s="19" t="s">
        <v>211</v>
      </c>
      <c r="L114" s="26" t="s">
        <v>231</v>
      </c>
      <c r="M114" s="25">
        <v>0</v>
      </c>
      <c r="V114" s="19" t="str">
        <f t="shared" si="7"/>
        <v/>
      </c>
      <c r="W114" s="19" t="str">
        <f t="shared" si="8"/>
        <v/>
      </c>
      <c r="X114" s="24">
        <f t="shared" ca="1" si="9"/>
        <v>42440</v>
      </c>
      <c r="Y114" s="19">
        <f t="shared" si="10"/>
        <v>46</v>
      </c>
      <c r="Z114" s="19">
        <f t="shared" si="11"/>
        <v>11</v>
      </c>
      <c r="AA114" s="19">
        <f t="shared" si="12"/>
        <v>2013</v>
      </c>
      <c r="AB114" s="27">
        <f t="shared" si="13"/>
        <v>-208</v>
      </c>
    </row>
    <row r="115" spans="1:28" x14ac:dyDescent="0.25">
      <c r="A115" s="19">
        <v>2</v>
      </c>
      <c r="B115" s="19">
        <v>2</v>
      </c>
      <c r="C115" s="19">
        <v>5</v>
      </c>
      <c r="D115" s="19" t="s">
        <v>209</v>
      </c>
      <c r="E115" s="19" t="s">
        <v>200</v>
      </c>
      <c r="F115" s="24">
        <v>41596</v>
      </c>
      <c r="G115" s="24">
        <v>41596</v>
      </c>
      <c r="H115" s="19" t="s">
        <v>210</v>
      </c>
      <c r="I115" s="19" t="s">
        <v>211</v>
      </c>
      <c r="L115" s="26" t="s">
        <v>234</v>
      </c>
      <c r="M115" s="25">
        <v>0</v>
      </c>
      <c r="V115" s="19" t="str">
        <f t="shared" si="7"/>
        <v/>
      </c>
      <c r="W115" s="19" t="str">
        <f t="shared" si="8"/>
        <v/>
      </c>
      <c r="X115" s="24">
        <f t="shared" ca="1" si="9"/>
        <v>42440</v>
      </c>
      <c r="Y115" s="19">
        <f t="shared" si="10"/>
        <v>47</v>
      </c>
      <c r="Z115" s="19">
        <f t="shared" si="11"/>
        <v>11</v>
      </c>
      <c r="AA115" s="19">
        <f t="shared" si="12"/>
        <v>2013</v>
      </c>
      <c r="AB115" s="27">
        <f t="shared" si="13"/>
        <v>-204</v>
      </c>
    </row>
    <row r="116" spans="1:28" x14ac:dyDescent="0.25">
      <c r="A116" s="19">
        <v>2</v>
      </c>
      <c r="B116" s="19">
        <v>2</v>
      </c>
      <c r="C116" s="19">
        <v>5</v>
      </c>
      <c r="D116" s="19" t="s">
        <v>209</v>
      </c>
      <c r="E116" s="19" t="s">
        <v>200</v>
      </c>
      <c r="F116" s="24">
        <v>41597</v>
      </c>
      <c r="G116" s="24">
        <v>41597</v>
      </c>
      <c r="H116" s="19" t="s">
        <v>210</v>
      </c>
      <c r="I116" s="19" t="s">
        <v>211</v>
      </c>
      <c r="L116" s="26" t="s">
        <v>234</v>
      </c>
      <c r="M116" s="25">
        <v>0</v>
      </c>
      <c r="V116" s="19" t="str">
        <f t="shared" si="7"/>
        <v/>
      </c>
      <c r="W116" s="19" t="str">
        <f t="shared" si="8"/>
        <v/>
      </c>
      <c r="X116" s="24">
        <f t="shared" ca="1" si="9"/>
        <v>42440</v>
      </c>
      <c r="Y116" s="19">
        <f t="shared" si="10"/>
        <v>47</v>
      </c>
      <c r="Z116" s="19">
        <f t="shared" si="11"/>
        <v>11</v>
      </c>
      <c r="AA116" s="19">
        <f t="shared" si="12"/>
        <v>2013</v>
      </c>
      <c r="AB116" s="27">
        <f t="shared" si="13"/>
        <v>-204</v>
      </c>
    </row>
    <row r="117" spans="1:28" x14ac:dyDescent="0.25">
      <c r="A117" s="19">
        <v>2</v>
      </c>
      <c r="B117" s="19">
        <v>2</v>
      </c>
      <c r="C117" s="19">
        <v>5</v>
      </c>
      <c r="D117" s="19" t="s">
        <v>209</v>
      </c>
      <c r="E117" s="19" t="s">
        <v>200</v>
      </c>
      <c r="F117" s="24">
        <v>41598</v>
      </c>
      <c r="G117" s="24">
        <v>41598</v>
      </c>
      <c r="H117" s="19" t="s">
        <v>210</v>
      </c>
      <c r="I117" s="19" t="s">
        <v>211</v>
      </c>
      <c r="L117" s="26" t="s">
        <v>234</v>
      </c>
      <c r="M117" s="25">
        <v>0</v>
      </c>
      <c r="V117" s="19" t="str">
        <f t="shared" si="7"/>
        <v/>
      </c>
      <c r="W117" s="19" t="str">
        <f t="shared" si="8"/>
        <v/>
      </c>
      <c r="X117" s="24">
        <f t="shared" ca="1" si="9"/>
        <v>42440</v>
      </c>
      <c r="Y117" s="19">
        <f t="shared" si="10"/>
        <v>47</v>
      </c>
      <c r="Z117" s="19">
        <f t="shared" si="11"/>
        <v>11</v>
      </c>
      <c r="AA117" s="19">
        <f t="shared" si="12"/>
        <v>2013</v>
      </c>
      <c r="AB117" s="27">
        <f t="shared" si="13"/>
        <v>-204</v>
      </c>
    </row>
    <row r="118" spans="1:28" x14ac:dyDescent="0.25">
      <c r="A118" s="19">
        <v>2</v>
      </c>
      <c r="B118" s="19">
        <v>2</v>
      </c>
      <c r="C118" s="19">
        <v>5</v>
      </c>
      <c r="D118" s="19" t="s">
        <v>209</v>
      </c>
      <c r="E118" s="19" t="s">
        <v>200</v>
      </c>
      <c r="F118" s="24">
        <v>41599</v>
      </c>
      <c r="G118" s="24">
        <v>41599</v>
      </c>
      <c r="H118" s="19" t="s">
        <v>210</v>
      </c>
      <c r="I118" s="19" t="s">
        <v>211</v>
      </c>
      <c r="L118" s="26" t="s">
        <v>234</v>
      </c>
      <c r="M118" s="25">
        <v>0</v>
      </c>
      <c r="V118" s="19" t="str">
        <f t="shared" si="7"/>
        <v/>
      </c>
      <c r="W118" s="19" t="str">
        <f t="shared" si="8"/>
        <v/>
      </c>
      <c r="X118" s="24">
        <f t="shared" ca="1" si="9"/>
        <v>42440</v>
      </c>
      <c r="Y118" s="19">
        <f t="shared" si="10"/>
        <v>47</v>
      </c>
      <c r="Z118" s="19">
        <f t="shared" si="11"/>
        <v>11</v>
      </c>
      <c r="AA118" s="19">
        <f t="shared" si="12"/>
        <v>2013</v>
      </c>
      <c r="AB118" s="27">
        <f t="shared" si="13"/>
        <v>-204</v>
      </c>
    </row>
    <row r="119" spans="1:28" x14ac:dyDescent="0.25">
      <c r="A119" s="19">
        <v>2</v>
      </c>
      <c r="B119" s="19">
        <v>2</v>
      </c>
      <c r="C119" s="19">
        <v>5</v>
      </c>
      <c r="D119" s="19" t="s">
        <v>209</v>
      </c>
      <c r="E119" s="19" t="s">
        <v>200</v>
      </c>
      <c r="F119" s="24">
        <v>41600</v>
      </c>
      <c r="G119" s="24">
        <v>41600</v>
      </c>
      <c r="H119" s="19" t="s">
        <v>210</v>
      </c>
      <c r="I119" s="19" t="s">
        <v>211</v>
      </c>
      <c r="L119" s="26" t="s">
        <v>234</v>
      </c>
      <c r="M119" s="25">
        <v>0</v>
      </c>
      <c r="V119" s="19" t="str">
        <f t="shared" si="7"/>
        <v/>
      </c>
      <c r="W119" s="19" t="str">
        <f t="shared" si="8"/>
        <v/>
      </c>
      <c r="X119" s="24">
        <f t="shared" ca="1" si="9"/>
        <v>42440</v>
      </c>
      <c r="Y119" s="19">
        <f t="shared" si="10"/>
        <v>47</v>
      </c>
      <c r="Z119" s="19">
        <f t="shared" si="11"/>
        <v>11</v>
      </c>
      <c r="AA119" s="19">
        <f t="shared" si="12"/>
        <v>2013</v>
      </c>
      <c r="AB119" s="27">
        <f t="shared" si="13"/>
        <v>-204</v>
      </c>
    </row>
    <row r="120" spans="1:28" x14ac:dyDescent="0.25">
      <c r="A120" s="19">
        <v>2</v>
      </c>
      <c r="B120" s="19">
        <v>2</v>
      </c>
      <c r="C120" s="19">
        <v>5</v>
      </c>
      <c r="D120" s="19" t="s">
        <v>209</v>
      </c>
      <c r="E120" s="19" t="s">
        <v>200</v>
      </c>
      <c r="F120" s="24">
        <v>41603</v>
      </c>
      <c r="G120" s="24">
        <v>41603</v>
      </c>
      <c r="H120" s="19" t="s">
        <v>210</v>
      </c>
      <c r="I120" s="19" t="s">
        <v>211</v>
      </c>
      <c r="L120" s="26" t="s">
        <v>235</v>
      </c>
      <c r="M120" s="25">
        <v>0</v>
      </c>
      <c r="V120" s="19" t="str">
        <f t="shared" si="7"/>
        <v/>
      </c>
      <c r="W120" s="19" t="str">
        <f t="shared" si="8"/>
        <v/>
      </c>
      <c r="X120" s="24">
        <f t="shared" ca="1" si="9"/>
        <v>42440</v>
      </c>
      <c r="Y120" s="19">
        <f t="shared" si="10"/>
        <v>48</v>
      </c>
      <c r="Z120" s="19">
        <f t="shared" si="11"/>
        <v>11</v>
      </c>
      <c r="AA120" s="19">
        <f t="shared" si="12"/>
        <v>2013</v>
      </c>
      <c r="AB120" s="27">
        <f t="shared" si="13"/>
        <v>-292</v>
      </c>
    </row>
    <row r="121" spans="1:28" x14ac:dyDescent="0.25">
      <c r="A121" s="19">
        <v>2</v>
      </c>
      <c r="B121" s="19">
        <v>2</v>
      </c>
      <c r="C121" s="19">
        <v>5</v>
      </c>
      <c r="D121" s="19" t="s">
        <v>209</v>
      </c>
      <c r="E121" s="19" t="s">
        <v>200</v>
      </c>
      <c r="F121" s="24">
        <v>41604</v>
      </c>
      <c r="G121" s="24">
        <v>41604</v>
      </c>
      <c r="H121" s="19" t="s">
        <v>210</v>
      </c>
      <c r="I121" s="19" t="s">
        <v>211</v>
      </c>
      <c r="L121" s="26" t="s">
        <v>235</v>
      </c>
      <c r="M121" s="25">
        <v>0</v>
      </c>
      <c r="V121" s="19" t="str">
        <f t="shared" si="7"/>
        <v/>
      </c>
      <c r="W121" s="19" t="str">
        <f t="shared" si="8"/>
        <v/>
      </c>
      <c r="X121" s="24">
        <f t="shared" ca="1" si="9"/>
        <v>42440</v>
      </c>
      <c r="Y121" s="19">
        <f t="shared" si="10"/>
        <v>48</v>
      </c>
      <c r="Z121" s="19">
        <f t="shared" si="11"/>
        <v>11</v>
      </c>
      <c r="AA121" s="19">
        <f t="shared" si="12"/>
        <v>2013</v>
      </c>
      <c r="AB121" s="27">
        <f t="shared" si="13"/>
        <v>-292</v>
      </c>
    </row>
    <row r="122" spans="1:28" x14ac:dyDescent="0.25">
      <c r="A122" s="19">
        <v>2</v>
      </c>
      <c r="B122" s="19">
        <v>2</v>
      </c>
      <c r="C122" s="19">
        <v>5</v>
      </c>
      <c r="D122" s="19" t="s">
        <v>209</v>
      </c>
      <c r="E122" s="19" t="s">
        <v>200</v>
      </c>
      <c r="F122" s="24">
        <v>41605</v>
      </c>
      <c r="G122" s="24">
        <v>41605</v>
      </c>
      <c r="H122" s="19" t="s">
        <v>210</v>
      </c>
      <c r="I122" s="19" t="s">
        <v>211</v>
      </c>
      <c r="L122" s="26" t="s">
        <v>235</v>
      </c>
      <c r="M122" s="25">
        <v>0</v>
      </c>
      <c r="V122" s="19" t="str">
        <f t="shared" si="7"/>
        <v/>
      </c>
      <c r="W122" s="19" t="str">
        <f t="shared" si="8"/>
        <v/>
      </c>
      <c r="X122" s="24">
        <f t="shared" ca="1" si="9"/>
        <v>42440</v>
      </c>
      <c r="Y122" s="19">
        <f t="shared" si="10"/>
        <v>48</v>
      </c>
      <c r="Z122" s="19">
        <f t="shared" si="11"/>
        <v>11</v>
      </c>
      <c r="AA122" s="19">
        <f t="shared" si="12"/>
        <v>2013</v>
      </c>
      <c r="AB122" s="27">
        <f t="shared" si="13"/>
        <v>-292</v>
      </c>
    </row>
    <row r="123" spans="1:28" x14ac:dyDescent="0.25">
      <c r="A123" s="19">
        <v>2</v>
      </c>
      <c r="B123" s="19">
        <v>2</v>
      </c>
      <c r="C123" s="19">
        <v>5</v>
      </c>
      <c r="D123" s="19" t="s">
        <v>209</v>
      </c>
      <c r="E123" s="19" t="s">
        <v>200</v>
      </c>
      <c r="F123" s="24">
        <v>41606</v>
      </c>
      <c r="G123" s="24">
        <v>41606</v>
      </c>
      <c r="H123" s="19" t="s">
        <v>210</v>
      </c>
      <c r="I123" s="19" t="s">
        <v>211</v>
      </c>
      <c r="L123" s="26" t="s">
        <v>235</v>
      </c>
      <c r="M123" s="25">
        <v>0</v>
      </c>
      <c r="V123" s="19" t="str">
        <f t="shared" si="7"/>
        <v/>
      </c>
      <c r="W123" s="19" t="str">
        <f t="shared" si="8"/>
        <v/>
      </c>
      <c r="X123" s="24">
        <f t="shared" ca="1" si="9"/>
        <v>42440</v>
      </c>
      <c r="Y123" s="19">
        <f t="shared" si="10"/>
        <v>48</v>
      </c>
      <c r="Z123" s="19">
        <f t="shared" si="11"/>
        <v>11</v>
      </c>
      <c r="AA123" s="19">
        <f t="shared" si="12"/>
        <v>2013</v>
      </c>
      <c r="AB123" s="27">
        <f t="shared" si="13"/>
        <v>-292</v>
      </c>
    </row>
    <row r="124" spans="1:28" x14ac:dyDescent="0.25">
      <c r="A124" s="19">
        <v>2</v>
      </c>
      <c r="B124" s="19">
        <v>2</v>
      </c>
      <c r="C124" s="19">
        <v>5</v>
      </c>
      <c r="D124" s="19" t="s">
        <v>209</v>
      </c>
      <c r="E124" s="19" t="s">
        <v>200</v>
      </c>
      <c r="F124" s="24">
        <v>41607</v>
      </c>
      <c r="G124" s="24">
        <v>41607</v>
      </c>
      <c r="H124" s="19" t="s">
        <v>210</v>
      </c>
      <c r="I124" s="19" t="s">
        <v>211</v>
      </c>
      <c r="L124" s="26" t="s">
        <v>235</v>
      </c>
      <c r="M124" s="25">
        <v>0</v>
      </c>
      <c r="V124" s="19" t="str">
        <f t="shared" si="7"/>
        <v/>
      </c>
      <c r="W124" s="19" t="str">
        <f t="shared" si="8"/>
        <v/>
      </c>
      <c r="X124" s="24">
        <f t="shared" ca="1" si="9"/>
        <v>42440</v>
      </c>
      <c r="Y124" s="19">
        <f t="shared" si="10"/>
        <v>48</v>
      </c>
      <c r="Z124" s="19">
        <f t="shared" si="11"/>
        <v>11</v>
      </c>
      <c r="AA124" s="19">
        <f t="shared" si="12"/>
        <v>2013</v>
      </c>
      <c r="AB124" s="27">
        <f t="shared" si="13"/>
        <v>-292</v>
      </c>
    </row>
    <row r="125" spans="1:28" x14ac:dyDescent="0.25">
      <c r="A125" s="19">
        <v>2</v>
      </c>
      <c r="B125" s="19">
        <v>2</v>
      </c>
      <c r="C125" s="19">
        <v>5</v>
      </c>
      <c r="D125" s="19" t="s">
        <v>209</v>
      </c>
      <c r="E125" s="19" t="s">
        <v>200</v>
      </c>
      <c r="F125" s="24">
        <v>41610</v>
      </c>
      <c r="G125" s="24">
        <v>41610</v>
      </c>
      <c r="H125" s="19" t="s">
        <v>210</v>
      </c>
      <c r="I125" s="19" t="s">
        <v>211</v>
      </c>
      <c r="L125" s="26" t="s">
        <v>236</v>
      </c>
      <c r="M125" s="25">
        <v>0</v>
      </c>
      <c r="V125" s="19" t="str">
        <f t="shared" si="7"/>
        <v/>
      </c>
      <c r="W125" s="19" t="str">
        <f t="shared" si="8"/>
        <v/>
      </c>
      <c r="X125" s="24">
        <f t="shared" ca="1" si="9"/>
        <v>42440</v>
      </c>
      <c r="Y125" s="19">
        <f t="shared" si="10"/>
        <v>49</v>
      </c>
      <c r="Z125" s="19">
        <f t="shared" si="11"/>
        <v>12</v>
      </c>
      <c r="AA125" s="19">
        <f t="shared" si="12"/>
        <v>2013</v>
      </c>
      <c r="AB125" s="27">
        <f t="shared" si="13"/>
        <v>-294</v>
      </c>
    </row>
    <row r="126" spans="1:28" x14ac:dyDescent="0.25">
      <c r="A126" s="19">
        <v>2</v>
      </c>
      <c r="B126" s="19">
        <v>2</v>
      </c>
      <c r="C126" s="19">
        <v>5</v>
      </c>
      <c r="D126" s="19" t="s">
        <v>209</v>
      </c>
      <c r="E126" s="19" t="s">
        <v>200</v>
      </c>
      <c r="F126" s="24">
        <v>41611</v>
      </c>
      <c r="G126" s="24">
        <v>41611</v>
      </c>
      <c r="H126" s="19" t="s">
        <v>210</v>
      </c>
      <c r="I126" s="19" t="s">
        <v>211</v>
      </c>
      <c r="L126" s="26" t="s">
        <v>236</v>
      </c>
      <c r="M126" s="25">
        <v>0</v>
      </c>
      <c r="V126" s="19" t="str">
        <f t="shared" si="7"/>
        <v/>
      </c>
      <c r="W126" s="19" t="str">
        <f t="shared" si="8"/>
        <v/>
      </c>
      <c r="X126" s="24">
        <f t="shared" ca="1" si="9"/>
        <v>42440</v>
      </c>
      <c r="Y126" s="19">
        <f t="shared" si="10"/>
        <v>49</v>
      </c>
      <c r="Z126" s="19">
        <f t="shared" si="11"/>
        <v>12</v>
      </c>
      <c r="AA126" s="19">
        <f t="shared" si="12"/>
        <v>2013</v>
      </c>
      <c r="AB126" s="27">
        <f t="shared" si="13"/>
        <v>-294</v>
      </c>
    </row>
    <row r="127" spans="1:28" x14ac:dyDescent="0.25">
      <c r="A127" s="19">
        <v>2</v>
      </c>
      <c r="B127" s="19">
        <v>2</v>
      </c>
      <c r="C127" s="19">
        <v>5</v>
      </c>
      <c r="D127" s="19" t="s">
        <v>209</v>
      </c>
      <c r="E127" s="19" t="s">
        <v>200</v>
      </c>
      <c r="F127" s="24">
        <v>41612</v>
      </c>
      <c r="G127" s="24">
        <v>41612</v>
      </c>
      <c r="H127" s="19" t="s">
        <v>210</v>
      </c>
      <c r="I127" s="19" t="s">
        <v>211</v>
      </c>
      <c r="L127" s="26" t="s">
        <v>236</v>
      </c>
      <c r="M127" s="25">
        <v>0</v>
      </c>
      <c r="V127" s="19" t="str">
        <f t="shared" si="7"/>
        <v/>
      </c>
      <c r="W127" s="19" t="str">
        <f t="shared" si="8"/>
        <v/>
      </c>
      <c r="X127" s="24">
        <f t="shared" ca="1" si="9"/>
        <v>42440</v>
      </c>
      <c r="Y127" s="19">
        <f t="shared" si="10"/>
        <v>49</v>
      </c>
      <c r="Z127" s="19">
        <f t="shared" si="11"/>
        <v>12</v>
      </c>
      <c r="AA127" s="19">
        <f t="shared" si="12"/>
        <v>2013</v>
      </c>
      <c r="AB127" s="27">
        <f t="shared" si="13"/>
        <v>-294</v>
      </c>
    </row>
    <row r="128" spans="1:28" x14ac:dyDescent="0.25">
      <c r="A128" s="19">
        <v>2</v>
      </c>
      <c r="B128" s="19">
        <v>2</v>
      </c>
      <c r="C128" s="19">
        <v>5</v>
      </c>
      <c r="D128" s="19" t="s">
        <v>209</v>
      </c>
      <c r="E128" s="19" t="s">
        <v>200</v>
      </c>
      <c r="F128" s="24">
        <v>41613</v>
      </c>
      <c r="G128" s="24">
        <v>41613</v>
      </c>
      <c r="H128" s="19" t="s">
        <v>210</v>
      </c>
      <c r="I128" s="19" t="s">
        <v>211</v>
      </c>
      <c r="L128" s="26" t="s">
        <v>236</v>
      </c>
      <c r="M128" s="25">
        <v>0</v>
      </c>
      <c r="V128" s="19" t="str">
        <f t="shared" si="7"/>
        <v/>
      </c>
      <c r="W128" s="19" t="str">
        <f t="shared" si="8"/>
        <v/>
      </c>
      <c r="X128" s="24">
        <f t="shared" ca="1" si="9"/>
        <v>42440</v>
      </c>
      <c r="Y128" s="19">
        <f t="shared" si="10"/>
        <v>49</v>
      </c>
      <c r="Z128" s="19">
        <f t="shared" si="11"/>
        <v>12</v>
      </c>
      <c r="AA128" s="19">
        <f t="shared" si="12"/>
        <v>2013</v>
      </c>
      <c r="AB128" s="27">
        <f t="shared" si="13"/>
        <v>-294</v>
      </c>
    </row>
    <row r="129" spans="1:28" x14ac:dyDescent="0.25">
      <c r="A129" s="19">
        <v>2</v>
      </c>
      <c r="B129" s="19">
        <v>2</v>
      </c>
      <c r="C129" s="19">
        <v>5</v>
      </c>
      <c r="D129" s="19" t="s">
        <v>209</v>
      </c>
      <c r="E129" s="19" t="s">
        <v>200</v>
      </c>
      <c r="F129" s="24">
        <v>41614</v>
      </c>
      <c r="G129" s="24">
        <v>41614</v>
      </c>
      <c r="H129" s="19" t="s">
        <v>210</v>
      </c>
      <c r="I129" s="19" t="s">
        <v>211</v>
      </c>
      <c r="L129" s="26" t="s">
        <v>236</v>
      </c>
      <c r="M129" s="25">
        <v>0</v>
      </c>
      <c r="V129" s="19" t="str">
        <f t="shared" si="7"/>
        <v/>
      </c>
      <c r="W129" s="19" t="str">
        <f t="shared" si="8"/>
        <v/>
      </c>
      <c r="X129" s="24">
        <f t="shared" ca="1" si="9"/>
        <v>42440</v>
      </c>
      <c r="Y129" s="19">
        <f t="shared" si="10"/>
        <v>49</v>
      </c>
      <c r="Z129" s="19">
        <f t="shared" si="11"/>
        <v>12</v>
      </c>
      <c r="AA129" s="19">
        <f t="shared" si="12"/>
        <v>2013</v>
      </c>
      <c r="AB129" s="27">
        <f t="shared" si="13"/>
        <v>-294</v>
      </c>
    </row>
    <row r="130" spans="1:28" x14ac:dyDescent="0.25">
      <c r="A130" s="19">
        <v>2</v>
      </c>
      <c r="B130" s="19">
        <v>2</v>
      </c>
      <c r="C130" s="19">
        <v>5</v>
      </c>
      <c r="D130" s="19" t="s">
        <v>209</v>
      </c>
      <c r="E130" s="19" t="s">
        <v>200</v>
      </c>
      <c r="F130" s="24">
        <v>41617</v>
      </c>
      <c r="G130" s="24">
        <v>41617</v>
      </c>
      <c r="H130" s="19" t="s">
        <v>210</v>
      </c>
      <c r="I130" s="19" t="s">
        <v>211</v>
      </c>
      <c r="L130" s="26" t="s">
        <v>236</v>
      </c>
      <c r="M130" s="25">
        <v>0</v>
      </c>
      <c r="V130" s="19" t="str">
        <f t="shared" si="7"/>
        <v/>
      </c>
      <c r="W130" s="19" t="str">
        <f t="shared" si="8"/>
        <v/>
      </c>
      <c r="X130" s="24">
        <f t="shared" ca="1" si="9"/>
        <v>42440</v>
      </c>
      <c r="Y130" s="19">
        <f t="shared" si="10"/>
        <v>50</v>
      </c>
      <c r="Z130" s="19">
        <f t="shared" si="11"/>
        <v>12</v>
      </c>
      <c r="AA130" s="19">
        <f t="shared" si="12"/>
        <v>2013</v>
      </c>
      <c r="AB130" s="27">
        <f t="shared" si="13"/>
        <v>-294</v>
      </c>
    </row>
    <row r="131" spans="1:28" x14ac:dyDescent="0.25">
      <c r="A131" s="19">
        <v>2</v>
      </c>
      <c r="B131" s="19">
        <v>2</v>
      </c>
      <c r="C131" s="19">
        <v>5</v>
      </c>
      <c r="D131" s="19" t="s">
        <v>209</v>
      </c>
      <c r="E131" s="19" t="s">
        <v>200</v>
      </c>
      <c r="F131" s="24">
        <v>41618</v>
      </c>
      <c r="G131" s="24">
        <v>41618</v>
      </c>
      <c r="H131" s="19" t="s">
        <v>210</v>
      </c>
      <c r="I131" s="19" t="s">
        <v>211</v>
      </c>
      <c r="L131" s="26" t="s">
        <v>236</v>
      </c>
      <c r="M131" s="25">
        <v>0</v>
      </c>
      <c r="V131" s="19" t="str">
        <f t="shared" ref="V131:V194" si="14">IF(S131&lt;&gt;"",TEXT(S131,"0000")&amp;" "&amp;T131,"")</f>
        <v/>
      </c>
      <c r="W131" s="19" t="str">
        <f t="shared" ref="W131:W194" si="15">IF(R131&lt;&gt;"",TEXT(R131,"0000")&amp;" "&amp;U131,"")</f>
        <v/>
      </c>
      <c r="X131" s="24">
        <f t="shared" ref="X131:X194" ca="1" si="16">IF(F131&lt;TODAY(),TODAY(),F131)</f>
        <v>42440</v>
      </c>
      <c r="Y131" s="19">
        <f t="shared" ref="Y131:Y194" si="17">IF(WEEKDAY(DATE(YEAR(F131),1,1),2)&gt;4,WEEKNUM(F131,2)-1,WEEKNUM(F131,2))</f>
        <v>50</v>
      </c>
      <c r="Z131" s="19">
        <f t="shared" ref="Z131:Z194" si="18">MONTH(F131)</f>
        <v>12</v>
      </c>
      <c r="AA131" s="19">
        <f t="shared" ref="AA131:AA194" si="19">YEAR(F131)</f>
        <v>2013</v>
      </c>
      <c r="AB131" s="27">
        <f t="shared" ref="AB131:AB194" si="20">VALUE(L131)</f>
        <v>-294</v>
      </c>
    </row>
    <row r="132" spans="1:28" x14ac:dyDescent="0.25">
      <c r="A132" s="19">
        <v>2</v>
      </c>
      <c r="B132" s="19">
        <v>2</v>
      </c>
      <c r="C132" s="19">
        <v>5</v>
      </c>
      <c r="D132" s="19" t="s">
        <v>209</v>
      </c>
      <c r="E132" s="19" t="s">
        <v>200</v>
      </c>
      <c r="F132" s="24">
        <v>41619</v>
      </c>
      <c r="G132" s="24">
        <v>41619</v>
      </c>
      <c r="H132" s="19" t="s">
        <v>210</v>
      </c>
      <c r="I132" s="19" t="s">
        <v>211</v>
      </c>
      <c r="L132" s="26" t="s">
        <v>236</v>
      </c>
      <c r="M132" s="25">
        <v>0</v>
      </c>
      <c r="V132" s="19" t="str">
        <f t="shared" si="14"/>
        <v/>
      </c>
      <c r="W132" s="19" t="str">
        <f t="shared" si="15"/>
        <v/>
      </c>
      <c r="X132" s="24">
        <f t="shared" ca="1" si="16"/>
        <v>42440</v>
      </c>
      <c r="Y132" s="19">
        <f t="shared" si="17"/>
        <v>50</v>
      </c>
      <c r="Z132" s="19">
        <f t="shared" si="18"/>
        <v>12</v>
      </c>
      <c r="AA132" s="19">
        <f t="shared" si="19"/>
        <v>2013</v>
      </c>
      <c r="AB132" s="27">
        <f t="shared" si="20"/>
        <v>-294</v>
      </c>
    </row>
    <row r="133" spans="1:28" x14ac:dyDescent="0.25">
      <c r="A133" s="19">
        <v>2</v>
      </c>
      <c r="B133" s="19">
        <v>2</v>
      </c>
      <c r="C133" s="19">
        <v>5</v>
      </c>
      <c r="D133" s="19" t="s">
        <v>209</v>
      </c>
      <c r="E133" s="19" t="s">
        <v>200</v>
      </c>
      <c r="F133" s="24">
        <v>41620</v>
      </c>
      <c r="G133" s="24">
        <v>41620</v>
      </c>
      <c r="H133" s="19" t="s">
        <v>210</v>
      </c>
      <c r="I133" s="19" t="s">
        <v>211</v>
      </c>
      <c r="L133" s="26" t="s">
        <v>236</v>
      </c>
      <c r="M133" s="25">
        <v>0</v>
      </c>
      <c r="V133" s="19" t="str">
        <f t="shared" si="14"/>
        <v/>
      </c>
      <c r="W133" s="19" t="str">
        <f t="shared" si="15"/>
        <v/>
      </c>
      <c r="X133" s="24">
        <f t="shared" ca="1" si="16"/>
        <v>42440</v>
      </c>
      <c r="Y133" s="19">
        <f t="shared" si="17"/>
        <v>50</v>
      </c>
      <c r="Z133" s="19">
        <f t="shared" si="18"/>
        <v>12</v>
      </c>
      <c r="AA133" s="19">
        <f t="shared" si="19"/>
        <v>2013</v>
      </c>
      <c r="AB133" s="27">
        <f t="shared" si="20"/>
        <v>-294</v>
      </c>
    </row>
    <row r="134" spans="1:28" x14ac:dyDescent="0.25">
      <c r="A134" s="19">
        <v>2</v>
      </c>
      <c r="B134" s="19">
        <v>2</v>
      </c>
      <c r="C134" s="19">
        <v>5</v>
      </c>
      <c r="D134" s="19" t="s">
        <v>209</v>
      </c>
      <c r="E134" s="19" t="s">
        <v>200</v>
      </c>
      <c r="F134" s="24">
        <v>41621</v>
      </c>
      <c r="G134" s="24">
        <v>41621</v>
      </c>
      <c r="H134" s="19" t="s">
        <v>210</v>
      </c>
      <c r="I134" s="19" t="s">
        <v>211</v>
      </c>
      <c r="L134" s="26" t="s">
        <v>236</v>
      </c>
      <c r="M134" s="25">
        <v>0</v>
      </c>
      <c r="V134" s="19" t="str">
        <f t="shared" si="14"/>
        <v/>
      </c>
      <c r="W134" s="19" t="str">
        <f t="shared" si="15"/>
        <v/>
      </c>
      <c r="X134" s="24">
        <f t="shared" ca="1" si="16"/>
        <v>42440</v>
      </c>
      <c r="Y134" s="19">
        <f t="shared" si="17"/>
        <v>50</v>
      </c>
      <c r="Z134" s="19">
        <f t="shared" si="18"/>
        <v>12</v>
      </c>
      <c r="AA134" s="19">
        <f t="shared" si="19"/>
        <v>2013</v>
      </c>
      <c r="AB134" s="27">
        <f t="shared" si="20"/>
        <v>-294</v>
      </c>
    </row>
    <row r="135" spans="1:28" x14ac:dyDescent="0.25">
      <c r="A135" s="19">
        <v>2</v>
      </c>
      <c r="B135" s="19">
        <v>2</v>
      </c>
      <c r="C135" s="19">
        <v>5</v>
      </c>
      <c r="D135" s="19" t="s">
        <v>209</v>
      </c>
      <c r="E135" s="19" t="s">
        <v>200</v>
      </c>
      <c r="F135" s="24">
        <v>41624</v>
      </c>
      <c r="G135" s="24">
        <v>41624</v>
      </c>
      <c r="H135" s="19" t="s">
        <v>210</v>
      </c>
      <c r="I135" s="19" t="s">
        <v>211</v>
      </c>
      <c r="L135" s="26" t="s">
        <v>236</v>
      </c>
      <c r="M135" s="25">
        <v>0</v>
      </c>
      <c r="V135" s="19" t="str">
        <f t="shared" si="14"/>
        <v/>
      </c>
      <c r="W135" s="19" t="str">
        <f t="shared" si="15"/>
        <v/>
      </c>
      <c r="X135" s="24">
        <f t="shared" ca="1" si="16"/>
        <v>42440</v>
      </c>
      <c r="Y135" s="19">
        <f t="shared" si="17"/>
        <v>51</v>
      </c>
      <c r="Z135" s="19">
        <f t="shared" si="18"/>
        <v>12</v>
      </c>
      <c r="AA135" s="19">
        <f t="shared" si="19"/>
        <v>2013</v>
      </c>
      <c r="AB135" s="27">
        <f t="shared" si="20"/>
        <v>-294</v>
      </c>
    </row>
    <row r="136" spans="1:28" x14ac:dyDescent="0.25">
      <c r="A136" s="19">
        <v>2</v>
      </c>
      <c r="B136" s="19">
        <v>2</v>
      </c>
      <c r="C136" s="19">
        <v>5</v>
      </c>
      <c r="D136" s="19" t="s">
        <v>209</v>
      </c>
      <c r="E136" s="19" t="s">
        <v>200</v>
      </c>
      <c r="F136" s="24">
        <v>41625</v>
      </c>
      <c r="G136" s="24">
        <v>41625</v>
      </c>
      <c r="H136" s="19" t="s">
        <v>210</v>
      </c>
      <c r="I136" s="19" t="s">
        <v>211</v>
      </c>
      <c r="L136" s="26" t="s">
        <v>236</v>
      </c>
      <c r="M136" s="25">
        <v>0</v>
      </c>
      <c r="V136" s="19" t="str">
        <f t="shared" si="14"/>
        <v/>
      </c>
      <c r="W136" s="19" t="str">
        <f t="shared" si="15"/>
        <v/>
      </c>
      <c r="X136" s="24">
        <f t="shared" ca="1" si="16"/>
        <v>42440</v>
      </c>
      <c r="Y136" s="19">
        <f t="shared" si="17"/>
        <v>51</v>
      </c>
      <c r="Z136" s="19">
        <f t="shared" si="18"/>
        <v>12</v>
      </c>
      <c r="AA136" s="19">
        <f t="shared" si="19"/>
        <v>2013</v>
      </c>
      <c r="AB136" s="27">
        <f t="shared" si="20"/>
        <v>-294</v>
      </c>
    </row>
    <row r="137" spans="1:28" x14ac:dyDescent="0.25">
      <c r="A137" s="19">
        <v>2</v>
      </c>
      <c r="B137" s="19">
        <v>2</v>
      </c>
      <c r="C137" s="19">
        <v>5</v>
      </c>
      <c r="D137" s="19" t="s">
        <v>209</v>
      </c>
      <c r="E137" s="19" t="s">
        <v>200</v>
      </c>
      <c r="F137" s="24">
        <v>41626</v>
      </c>
      <c r="G137" s="24">
        <v>41626</v>
      </c>
      <c r="H137" s="19" t="s">
        <v>210</v>
      </c>
      <c r="I137" s="19" t="s">
        <v>211</v>
      </c>
      <c r="L137" s="26" t="s">
        <v>236</v>
      </c>
      <c r="M137" s="25">
        <v>0</v>
      </c>
      <c r="V137" s="19" t="str">
        <f t="shared" si="14"/>
        <v/>
      </c>
      <c r="W137" s="19" t="str">
        <f t="shared" si="15"/>
        <v/>
      </c>
      <c r="X137" s="24">
        <f t="shared" ca="1" si="16"/>
        <v>42440</v>
      </c>
      <c r="Y137" s="19">
        <f t="shared" si="17"/>
        <v>51</v>
      </c>
      <c r="Z137" s="19">
        <f t="shared" si="18"/>
        <v>12</v>
      </c>
      <c r="AA137" s="19">
        <f t="shared" si="19"/>
        <v>2013</v>
      </c>
      <c r="AB137" s="27">
        <f t="shared" si="20"/>
        <v>-294</v>
      </c>
    </row>
    <row r="138" spans="1:28" x14ac:dyDescent="0.25">
      <c r="A138" s="19">
        <v>2</v>
      </c>
      <c r="B138" s="19">
        <v>2</v>
      </c>
      <c r="C138" s="19">
        <v>5</v>
      </c>
      <c r="D138" s="19" t="s">
        <v>209</v>
      </c>
      <c r="E138" s="19" t="s">
        <v>200</v>
      </c>
      <c r="F138" s="24">
        <v>41627</v>
      </c>
      <c r="G138" s="24">
        <v>41627</v>
      </c>
      <c r="H138" s="19" t="s">
        <v>210</v>
      </c>
      <c r="I138" s="19" t="s">
        <v>211</v>
      </c>
      <c r="L138" s="26" t="s">
        <v>236</v>
      </c>
      <c r="M138" s="25">
        <v>0</v>
      </c>
      <c r="V138" s="19" t="str">
        <f t="shared" si="14"/>
        <v/>
      </c>
      <c r="W138" s="19" t="str">
        <f t="shared" si="15"/>
        <v/>
      </c>
      <c r="X138" s="24">
        <f t="shared" ca="1" si="16"/>
        <v>42440</v>
      </c>
      <c r="Y138" s="19">
        <f t="shared" si="17"/>
        <v>51</v>
      </c>
      <c r="Z138" s="19">
        <f t="shared" si="18"/>
        <v>12</v>
      </c>
      <c r="AA138" s="19">
        <f t="shared" si="19"/>
        <v>2013</v>
      </c>
      <c r="AB138" s="27">
        <f t="shared" si="20"/>
        <v>-294</v>
      </c>
    </row>
    <row r="139" spans="1:28" x14ac:dyDescent="0.25">
      <c r="A139" s="19">
        <v>2</v>
      </c>
      <c r="B139" s="19">
        <v>2</v>
      </c>
      <c r="C139" s="19">
        <v>5</v>
      </c>
      <c r="D139" s="19" t="s">
        <v>209</v>
      </c>
      <c r="E139" s="19" t="s">
        <v>200</v>
      </c>
      <c r="F139" s="24">
        <v>41628</v>
      </c>
      <c r="G139" s="24">
        <v>41628</v>
      </c>
      <c r="H139" s="19" t="s">
        <v>210</v>
      </c>
      <c r="I139" s="19" t="s">
        <v>211</v>
      </c>
      <c r="L139" s="26" t="s">
        <v>236</v>
      </c>
      <c r="M139" s="25">
        <v>0</v>
      </c>
      <c r="V139" s="19" t="str">
        <f t="shared" si="14"/>
        <v/>
      </c>
      <c r="W139" s="19" t="str">
        <f t="shared" si="15"/>
        <v/>
      </c>
      <c r="X139" s="24">
        <f t="shared" ca="1" si="16"/>
        <v>42440</v>
      </c>
      <c r="Y139" s="19">
        <f t="shared" si="17"/>
        <v>51</v>
      </c>
      <c r="Z139" s="19">
        <f t="shared" si="18"/>
        <v>12</v>
      </c>
      <c r="AA139" s="19">
        <f t="shared" si="19"/>
        <v>2013</v>
      </c>
      <c r="AB139" s="27">
        <f t="shared" si="20"/>
        <v>-294</v>
      </c>
    </row>
    <row r="140" spans="1:28" x14ac:dyDescent="0.25">
      <c r="A140" s="19">
        <v>2</v>
      </c>
      <c r="B140" s="19">
        <v>2</v>
      </c>
      <c r="C140" s="19">
        <v>5</v>
      </c>
      <c r="D140" s="19" t="s">
        <v>209</v>
      </c>
      <c r="E140" s="19" t="s">
        <v>200</v>
      </c>
      <c r="F140" s="24">
        <v>41631</v>
      </c>
      <c r="G140" s="24">
        <v>41631</v>
      </c>
      <c r="H140" s="19" t="s">
        <v>210</v>
      </c>
      <c r="I140" s="19" t="s">
        <v>211</v>
      </c>
      <c r="L140" s="26" t="s">
        <v>237</v>
      </c>
      <c r="M140" s="25">
        <v>0</v>
      </c>
      <c r="V140" s="19" t="str">
        <f t="shared" si="14"/>
        <v/>
      </c>
      <c r="W140" s="19" t="str">
        <f t="shared" si="15"/>
        <v/>
      </c>
      <c r="X140" s="24">
        <f t="shared" ca="1" si="16"/>
        <v>42440</v>
      </c>
      <c r="Y140" s="19">
        <f t="shared" si="17"/>
        <v>52</v>
      </c>
      <c r="Z140" s="19">
        <f t="shared" si="18"/>
        <v>12</v>
      </c>
      <c r="AA140" s="19">
        <f t="shared" si="19"/>
        <v>2013</v>
      </c>
      <c r="AB140" s="27">
        <f t="shared" si="20"/>
        <v>-445</v>
      </c>
    </row>
    <row r="141" spans="1:28" x14ac:dyDescent="0.25">
      <c r="A141" s="19">
        <v>2</v>
      </c>
      <c r="B141" s="19">
        <v>2</v>
      </c>
      <c r="C141" s="19">
        <v>5</v>
      </c>
      <c r="D141" s="19" t="s">
        <v>209</v>
      </c>
      <c r="E141" s="19" t="s">
        <v>200</v>
      </c>
      <c r="F141" s="24">
        <v>41635</v>
      </c>
      <c r="G141" s="24">
        <v>41635</v>
      </c>
      <c r="H141" s="19" t="s">
        <v>210</v>
      </c>
      <c r="I141" s="19" t="s">
        <v>211</v>
      </c>
      <c r="L141" s="26" t="s">
        <v>237</v>
      </c>
      <c r="M141" s="25">
        <v>0</v>
      </c>
      <c r="V141" s="19" t="str">
        <f t="shared" si="14"/>
        <v/>
      </c>
      <c r="W141" s="19" t="str">
        <f t="shared" si="15"/>
        <v/>
      </c>
      <c r="X141" s="24">
        <f t="shared" ca="1" si="16"/>
        <v>42440</v>
      </c>
      <c r="Y141" s="19">
        <f t="shared" si="17"/>
        <v>52</v>
      </c>
      <c r="Z141" s="19">
        <f t="shared" si="18"/>
        <v>12</v>
      </c>
      <c r="AA141" s="19">
        <f t="shared" si="19"/>
        <v>2013</v>
      </c>
      <c r="AB141" s="27">
        <f t="shared" si="20"/>
        <v>-445</v>
      </c>
    </row>
    <row r="142" spans="1:28" x14ac:dyDescent="0.25">
      <c r="A142" s="19">
        <v>2</v>
      </c>
      <c r="B142" s="19">
        <v>2</v>
      </c>
      <c r="C142" s="19">
        <v>5</v>
      </c>
      <c r="D142" s="19" t="s">
        <v>209</v>
      </c>
      <c r="E142" s="19" t="s">
        <v>200</v>
      </c>
      <c r="F142" s="24">
        <v>41638</v>
      </c>
      <c r="G142" s="24">
        <v>41638</v>
      </c>
      <c r="H142" s="19" t="s">
        <v>210</v>
      </c>
      <c r="I142" s="19" t="s">
        <v>211</v>
      </c>
      <c r="L142" s="26" t="s">
        <v>238</v>
      </c>
      <c r="M142" s="25">
        <v>0</v>
      </c>
      <c r="V142" s="19" t="str">
        <f t="shared" si="14"/>
        <v/>
      </c>
      <c r="W142" s="19" t="str">
        <f t="shared" si="15"/>
        <v/>
      </c>
      <c r="X142" s="24">
        <f t="shared" ca="1" si="16"/>
        <v>42440</v>
      </c>
      <c r="Y142" s="19">
        <f t="shared" si="17"/>
        <v>53</v>
      </c>
      <c r="Z142" s="19">
        <f t="shared" si="18"/>
        <v>12</v>
      </c>
      <c r="AA142" s="19">
        <f t="shared" si="19"/>
        <v>2013</v>
      </c>
      <c r="AB142" s="27">
        <f t="shared" si="20"/>
        <v>-220</v>
      </c>
    </row>
    <row r="143" spans="1:28" x14ac:dyDescent="0.25">
      <c r="A143" s="19">
        <v>2</v>
      </c>
      <c r="B143" s="19">
        <v>2</v>
      </c>
      <c r="C143" s="19">
        <v>5</v>
      </c>
      <c r="D143" s="19" t="s">
        <v>209</v>
      </c>
      <c r="E143" s="19" t="s">
        <v>200</v>
      </c>
      <c r="F143" s="24">
        <v>41641</v>
      </c>
      <c r="G143" s="24">
        <v>41641</v>
      </c>
      <c r="H143" s="19" t="s">
        <v>210</v>
      </c>
      <c r="I143" s="19" t="s">
        <v>211</v>
      </c>
      <c r="L143" s="26" t="s">
        <v>238</v>
      </c>
      <c r="M143" s="25">
        <v>0</v>
      </c>
      <c r="V143" s="19" t="str">
        <f t="shared" si="14"/>
        <v/>
      </c>
      <c r="W143" s="19" t="str">
        <f t="shared" si="15"/>
        <v/>
      </c>
      <c r="X143" s="24">
        <f t="shared" ca="1" si="16"/>
        <v>42440</v>
      </c>
      <c r="Y143" s="19">
        <f t="shared" si="17"/>
        <v>1</v>
      </c>
      <c r="Z143" s="19">
        <f t="shared" si="18"/>
        <v>1</v>
      </c>
      <c r="AA143" s="19">
        <f t="shared" si="19"/>
        <v>2014</v>
      </c>
      <c r="AB143" s="27">
        <f t="shared" si="20"/>
        <v>-220</v>
      </c>
    </row>
    <row r="144" spans="1:28" x14ac:dyDescent="0.25">
      <c r="A144" s="19">
        <v>2</v>
      </c>
      <c r="B144" s="19">
        <v>2</v>
      </c>
      <c r="C144" s="19">
        <v>5</v>
      </c>
      <c r="D144" s="19" t="s">
        <v>209</v>
      </c>
      <c r="E144" s="19" t="s">
        <v>200</v>
      </c>
      <c r="F144" s="24">
        <v>41642</v>
      </c>
      <c r="G144" s="24">
        <v>41642</v>
      </c>
      <c r="H144" s="19" t="s">
        <v>210</v>
      </c>
      <c r="I144" s="19" t="s">
        <v>211</v>
      </c>
      <c r="L144" s="26" t="s">
        <v>238</v>
      </c>
      <c r="M144" s="25">
        <v>0</v>
      </c>
      <c r="V144" s="19" t="str">
        <f t="shared" si="14"/>
        <v/>
      </c>
      <c r="W144" s="19" t="str">
        <f t="shared" si="15"/>
        <v/>
      </c>
      <c r="X144" s="24">
        <f t="shared" ca="1" si="16"/>
        <v>42440</v>
      </c>
      <c r="Y144" s="19">
        <f t="shared" si="17"/>
        <v>1</v>
      </c>
      <c r="Z144" s="19">
        <f t="shared" si="18"/>
        <v>1</v>
      </c>
      <c r="AA144" s="19">
        <f t="shared" si="19"/>
        <v>2014</v>
      </c>
      <c r="AB144" s="27">
        <f t="shared" si="20"/>
        <v>-220</v>
      </c>
    </row>
    <row r="145" spans="1:28" x14ac:dyDescent="0.25">
      <c r="A145" s="19">
        <v>2</v>
      </c>
      <c r="B145" s="19">
        <v>2</v>
      </c>
      <c r="C145" s="19">
        <v>5</v>
      </c>
      <c r="D145" s="19" t="s">
        <v>209</v>
      </c>
      <c r="E145" s="19" t="s">
        <v>200</v>
      </c>
      <c r="F145" s="24">
        <v>41645</v>
      </c>
      <c r="G145" s="24">
        <v>41645</v>
      </c>
      <c r="H145" s="19" t="s">
        <v>210</v>
      </c>
      <c r="I145" s="19" t="s">
        <v>211</v>
      </c>
      <c r="L145" s="26" t="s">
        <v>239</v>
      </c>
      <c r="M145" s="25">
        <v>0</v>
      </c>
      <c r="V145" s="19" t="str">
        <f t="shared" si="14"/>
        <v/>
      </c>
      <c r="W145" s="19" t="str">
        <f t="shared" si="15"/>
        <v/>
      </c>
      <c r="X145" s="24">
        <f t="shared" ca="1" si="16"/>
        <v>42440</v>
      </c>
      <c r="Y145" s="19">
        <f t="shared" si="17"/>
        <v>2</v>
      </c>
      <c r="Z145" s="19">
        <f t="shared" si="18"/>
        <v>1</v>
      </c>
      <c r="AA145" s="19">
        <f t="shared" si="19"/>
        <v>2014</v>
      </c>
      <c r="AB145" s="27">
        <f t="shared" si="20"/>
        <v>-192</v>
      </c>
    </row>
    <row r="146" spans="1:28" x14ac:dyDescent="0.25">
      <c r="A146" s="19">
        <v>2</v>
      </c>
      <c r="B146" s="19">
        <v>2</v>
      </c>
      <c r="C146" s="19">
        <v>5</v>
      </c>
      <c r="D146" s="19" t="s">
        <v>209</v>
      </c>
      <c r="E146" s="19" t="s">
        <v>200</v>
      </c>
      <c r="F146" s="24">
        <v>41646</v>
      </c>
      <c r="G146" s="24">
        <v>41646</v>
      </c>
      <c r="H146" s="19" t="s">
        <v>210</v>
      </c>
      <c r="I146" s="19" t="s">
        <v>211</v>
      </c>
      <c r="L146" s="26" t="s">
        <v>239</v>
      </c>
      <c r="M146" s="25">
        <v>0</v>
      </c>
      <c r="V146" s="19" t="str">
        <f t="shared" si="14"/>
        <v/>
      </c>
      <c r="W146" s="19" t="str">
        <f t="shared" si="15"/>
        <v/>
      </c>
      <c r="X146" s="24">
        <f t="shared" ca="1" si="16"/>
        <v>42440</v>
      </c>
      <c r="Y146" s="19">
        <f t="shared" si="17"/>
        <v>2</v>
      </c>
      <c r="Z146" s="19">
        <f t="shared" si="18"/>
        <v>1</v>
      </c>
      <c r="AA146" s="19">
        <f t="shared" si="19"/>
        <v>2014</v>
      </c>
      <c r="AB146" s="27">
        <f t="shared" si="20"/>
        <v>-192</v>
      </c>
    </row>
    <row r="147" spans="1:28" x14ac:dyDescent="0.25">
      <c r="A147" s="19">
        <v>2</v>
      </c>
      <c r="B147" s="19">
        <v>2</v>
      </c>
      <c r="C147" s="19">
        <v>5</v>
      </c>
      <c r="D147" s="19" t="s">
        <v>209</v>
      </c>
      <c r="E147" s="19" t="s">
        <v>200</v>
      </c>
      <c r="F147" s="24">
        <v>41647</v>
      </c>
      <c r="G147" s="24">
        <v>41647</v>
      </c>
      <c r="H147" s="19" t="s">
        <v>210</v>
      </c>
      <c r="I147" s="19" t="s">
        <v>211</v>
      </c>
      <c r="L147" s="26" t="s">
        <v>239</v>
      </c>
      <c r="M147" s="25">
        <v>0</v>
      </c>
      <c r="V147" s="19" t="str">
        <f t="shared" si="14"/>
        <v/>
      </c>
      <c r="W147" s="19" t="str">
        <f t="shared" si="15"/>
        <v/>
      </c>
      <c r="X147" s="24">
        <f t="shared" ca="1" si="16"/>
        <v>42440</v>
      </c>
      <c r="Y147" s="19">
        <f t="shared" si="17"/>
        <v>2</v>
      </c>
      <c r="Z147" s="19">
        <f t="shared" si="18"/>
        <v>1</v>
      </c>
      <c r="AA147" s="19">
        <f t="shared" si="19"/>
        <v>2014</v>
      </c>
      <c r="AB147" s="27">
        <f t="shared" si="20"/>
        <v>-192</v>
      </c>
    </row>
    <row r="148" spans="1:28" x14ac:dyDescent="0.25">
      <c r="A148" s="19">
        <v>2</v>
      </c>
      <c r="B148" s="19">
        <v>2</v>
      </c>
      <c r="C148" s="19">
        <v>5</v>
      </c>
      <c r="D148" s="19" t="s">
        <v>209</v>
      </c>
      <c r="E148" s="19" t="s">
        <v>200</v>
      </c>
      <c r="F148" s="24">
        <v>41648</v>
      </c>
      <c r="G148" s="24">
        <v>41648</v>
      </c>
      <c r="H148" s="19" t="s">
        <v>210</v>
      </c>
      <c r="I148" s="19" t="s">
        <v>211</v>
      </c>
      <c r="L148" s="26" t="s">
        <v>239</v>
      </c>
      <c r="M148" s="25">
        <v>0</v>
      </c>
      <c r="V148" s="19" t="str">
        <f t="shared" si="14"/>
        <v/>
      </c>
      <c r="W148" s="19" t="str">
        <f t="shared" si="15"/>
        <v/>
      </c>
      <c r="X148" s="24">
        <f t="shared" ca="1" si="16"/>
        <v>42440</v>
      </c>
      <c r="Y148" s="19">
        <f t="shared" si="17"/>
        <v>2</v>
      </c>
      <c r="Z148" s="19">
        <f t="shared" si="18"/>
        <v>1</v>
      </c>
      <c r="AA148" s="19">
        <f t="shared" si="19"/>
        <v>2014</v>
      </c>
      <c r="AB148" s="27">
        <f t="shared" si="20"/>
        <v>-192</v>
      </c>
    </row>
    <row r="149" spans="1:28" x14ac:dyDescent="0.25">
      <c r="A149" s="19">
        <v>2</v>
      </c>
      <c r="B149" s="19">
        <v>2</v>
      </c>
      <c r="C149" s="19">
        <v>5</v>
      </c>
      <c r="D149" s="19" t="s">
        <v>209</v>
      </c>
      <c r="E149" s="19" t="s">
        <v>200</v>
      </c>
      <c r="F149" s="24">
        <v>41649</v>
      </c>
      <c r="G149" s="24">
        <v>41649</v>
      </c>
      <c r="H149" s="19" t="s">
        <v>210</v>
      </c>
      <c r="I149" s="19" t="s">
        <v>211</v>
      </c>
      <c r="L149" s="26" t="s">
        <v>239</v>
      </c>
      <c r="M149" s="25">
        <v>0</v>
      </c>
      <c r="V149" s="19" t="str">
        <f t="shared" si="14"/>
        <v/>
      </c>
      <c r="W149" s="19" t="str">
        <f t="shared" si="15"/>
        <v/>
      </c>
      <c r="X149" s="24">
        <f t="shared" ca="1" si="16"/>
        <v>42440</v>
      </c>
      <c r="Y149" s="19">
        <f t="shared" si="17"/>
        <v>2</v>
      </c>
      <c r="Z149" s="19">
        <f t="shared" si="18"/>
        <v>1</v>
      </c>
      <c r="AA149" s="19">
        <f t="shared" si="19"/>
        <v>2014</v>
      </c>
      <c r="AB149" s="27">
        <f t="shared" si="20"/>
        <v>-192</v>
      </c>
    </row>
    <row r="150" spans="1:28" x14ac:dyDescent="0.25">
      <c r="A150" s="19">
        <v>2</v>
      </c>
      <c r="B150" s="19">
        <v>2</v>
      </c>
      <c r="C150" s="19">
        <v>5</v>
      </c>
      <c r="D150" s="19" t="s">
        <v>209</v>
      </c>
      <c r="E150" s="19" t="s">
        <v>200</v>
      </c>
      <c r="F150" s="24">
        <v>41652</v>
      </c>
      <c r="G150" s="24">
        <v>41652</v>
      </c>
      <c r="H150" s="19" t="s">
        <v>210</v>
      </c>
      <c r="I150" s="19" t="s">
        <v>211</v>
      </c>
      <c r="L150" s="26" t="s">
        <v>239</v>
      </c>
      <c r="M150" s="25">
        <v>0</v>
      </c>
      <c r="V150" s="19" t="str">
        <f t="shared" si="14"/>
        <v/>
      </c>
      <c r="W150" s="19" t="str">
        <f t="shared" si="15"/>
        <v/>
      </c>
      <c r="X150" s="24">
        <f t="shared" ca="1" si="16"/>
        <v>42440</v>
      </c>
      <c r="Y150" s="19">
        <f t="shared" si="17"/>
        <v>3</v>
      </c>
      <c r="Z150" s="19">
        <f t="shared" si="18"/>
        <v>1</v>
      </c>
      <c r="AA150" s="19">
        <f t="shared" si="19"/>
        <v>2014</v>
      </c>
      <c r="AB150" s="27">
        <f t="shared" si="20"/>
        <v>-192</v>
      </c>
    </row>
    <row r="151" spans="1:28" x14ac:dyDescent="0.25">
      <c r="A151" s="19">
        <v>2</v>
      </c>
      <c r="B151" s="19">
        <v>2</v>
      </c>
      <c r="C151" s="19">
        <v>5</v>
      </c>
      <c r="D151" s="19" t="s">
        <v>209</v>
      </c>
      <c r="E151" s="19" t="s">
        <v>200</v>
      </c>
      <c r="F151" s="24">
        <v>41653</v>
      </c>
      <c r="G151" s="24">
        <v>41653</v>
      </c>
      <c r="H151" s="19" t="s">
        <v>210</v>
      </c>
      <c r="I151" s="19" t="s">
        <v>211</v>
      </c>
      <c r="L151" s="26" t="s">
        <v>239</v>
      </c>
      <c r="M151" s="25">
        <v>0</v>
      </c>
      <c r="V151" s="19" t="str">
        <f t="shared" si="14"/>
        <v/>
      </c>
      <c r="W151" s="19" t="str">
        <f t="shared" si="15"/>
        <v/>
      </c>
      <c r="X151" s="24">
        <f t="shared" ca="1" si="16"/>
        <v>42440</v>
      </c>
      <c r="Y151" s="19">
        <f t="shared" si="17"/>
        <v>3</v>
      </c>
      <c r="Z151" s="19">
        <f t="shared" si="18"/>
        <v>1</v>
      </c>
      <c r="AA151" s="19">
        <f t="shared" si="19"/>
        <v>2014</v>
      </c>
      <c r="AB151" s="27">
        <f t="shared" si="20"/>
        <v>-192</v>
      </c>
    </row>
    <row r="152" spans="1:28" x14ac:dyDescent="0.25">
      <c r="A152" s="19">
        <v>2</v>
      </c>
      <c r="B152" s="19">
        <v>2</v>
      </c>
      <c r="C152" s="19">
        <v>5</v>
      </c>
      <c r="D152" s="19" t="s">
        <v>209</v>
      </c>
      <c r="E152" s="19" t="s">
        <v>200</v>
      </c>
      <c r="F152" s="24">
        <v>41654</v>
      </c>
      <c r="G152" s="24">
        <v>41654</v>
      </c>
      <c r="H152" s="19" t="s">
        <v>210</v>
      </c>
      <c r="I152" s="19" t="s">
        <v>211</v>
      </c>
      <c r="L152" s="26" t="s">
        <v>239</v>
      </c>
      <c r="M152" s="25">
        <v>0</v>
      </c>
      <c r="V152" s="19" t="str">
        <f t="shared" si="14"/>
        <v/>
      </c>
      <c r="W152" s="19" t="str">
        <f t="shared" si="15"/>
        <v/>
      </c>
      <c r="X152" s="24">
        <f t="shared" ca="1" si="16"/>
        <v>42440</v>
      </c>
      <c r="Y152" s="19">
        <f t="shared" si="17"/>
        <v>3</v>
      </c>
      <c r="Z152" s="19">
        <f t="shared" si="18"/>
        <v>1</v>
      </c>
      <c r="AA152" s="19">
        <f t="shared" si="19"/>
        <v>2014</v>
      </c>
      <c r="AB152" s="27">
        <f t="shared" si="20"/>
        <v>-192</v>
      </c>
    </row>
    <row r="153" spans="1:28" x14ac:dyDescent="0.25">
      <c r="A153" s="19">
        <v>2</v>
      </c>
      <c r="B153" s="19">
        <v>2</v>
      </c>
      <c r="C153" s="19">
        <v>5</v>
      </c>
      <c r="D153" s="19" t="s">
        <v>209</v>
      </c>
      <c r="E153" s="19" t="s">
        <v>200</v>
      </c>
      <c r="F153" s="24">
        <v>41655</v>
      </c>
      <c r="G153" s="24">
        <v>41655</v>
      </c>
      <c r="H153" s="19" t="s">
        <v>210</v>
      </c>
      <c r="I153" s="19" t="s">
        <v>211</v>
      </c>
      <c r="L153" s="26" t="s">
        <v>239</v>
      </c>
      <c r="M153" s="25">
        <v>0</v>
      </c>
      <c r="V153" s="19" t="str">
        <f t="shared" si="14"/>
        <v/>
      </c>
      <c r="W153" s="19" t="str">
        <f t="shared" si="15"/>
        <v/>
      </c>
      <c r="X153" s="24">
        <f t="shared" ca="1" si="16"/>
        <v>42440</v>
      </c>
      <c r="Y153" s="19">
        <f t="shared" si="17"/>
        <v>3</v>
      </c>
      <c r="Z153" s="19">
        <f t="shared" si="18"/>
        <v>1</v>
      </c>
      <c r="AA153" s="19">
        <f t="shared" si="19"/>
        <v>2014</v>
      </c>
      <c r="AB153" s="27">
        <f t="shared" si="20"/>
        <v>-192</v>
      </c>
    </row>
    <row r="154" spans="1:28" x14ac:dyDescent="0.25">
      <c r="A154" s="19">
        <v>2</v>
      </c>
      <c r="B154" s="19">
        <v>2</v>
      </c>
      <c r="C154" s="19">
        <v>5</v>
      </c>
      <c r="D154" s="19" t="s">
        <v>209</v>
      </c>
      <c r="E154" s="19" t="s">
        <v>200</v>
      </c>
      <c r="F154" s="24">
        <v>41656</v>
      </c>
      <c r="G154" s="24">
        <v>41656</v>
      </c>
      <c r="H154" s="19" t="s">
        <v>210</v>
      </c>
      <c r="I154" s="19" t="s">
        <v>211</v>
      </c>
      <c r="L154" s="26" t="s">
        <v>239</v>
      </c>
      <c r="M154" s="25">
        <v>0</v>
      </c>
      <c r="V154" s="19" t="str">
        <f t="shared" si="14"/>
        <v/>
      </c>
      <c r="W154" s="19" t="str">
        <f t="shared" si="15"/>
        <v/>
      </c>
      <c r="X154" s="24">
        <f t="shared" ca="1" si="16"/>
        <v>42440</v>
      </c>
      <c r="Y154" s="19">
        <f t="shared" si="17"/>
        <v>3</v>
      </c>
      <c r="Z154" s="19">
        <f t="shared" si="18"/>
        <v>1</v>
      </c>
      <c r="AA154" s="19">
        <f t="shared" si="19"/>
        <v>2014</v>
      </c>
      <c r="AB154" s="27">
        <f t="shared" si="20"/>
        <v>-192</v>
      </c>
    </row>
    <row r="155" spans="1:28" x14ac:dyDescent="0.25">
      <c r="A155" s="19">
        <v>2</v>
      </c>
      <c r="B155" s="19">
        <v>2</v>
      </c>
      <c r="C155" s="19">
        <v>5</v>
      </c>
      <c r="D155" s="19" t="s">
        <v>209</v>
      </c>
      <c r="E155" s="19" t="s">
        <v>200</v>
      </c>
      <c r="F155" s="24">
        <v>41659</v>
      </c>
      <c r="G155" s="24">
        <v>41659</v>
      </c>
      <c r="H155" s="19" t="s">
        <v>210</v>
      </c>
      <c r="I155" s="19" t="s">
        <v>211</v>
      </c>
      <c r="L155" s="26" t="s">
        <v>240</v>
      </c>
      <c r="M155" s="25">
        <v>0</v>
      </c>
      <c r="V155" s="19" t="str">
        <f t="shared" si="14"/>
        <v/>
      </c>
      <c r="W155" s="19" t="str">
        <f t="shared" si="15"/>
        <v/>
      </c>
      <c r="X155" s="24">
        <f t="shared" ca="1" si="16"/>
        <v>42440</v>
      </c>
      <c r="Y155" s="19">
        <f t="shared" si="17"/>
        <v>4</v>
      </c>
      <c r="Z155" s="19">
        <f t="shared" si="18"/>
        <v>1</v>
      </c>
      <c r="AA155" s="19">
        <f t="shared" si="19"/>
        <v>2014</v>
      </c>
      <c r="AB155" s="27">
        <f t="shared" si="20"/>
        <v>-194</v>
      </c>
    </row>
    <row r="156" spans="1:28" x14ac:dyDescent="0.25">
      <c r="A156" s="19">
        <v>2</v>
      </c>
      <c r="B156" s="19">
        <v>2</v>
      </c>
      <c r="C156" s="19">
        <v>5</v>
      </c>
      <c r="D156" s="19" t="s">
        <v>209</v>
      </c>
      <c r="E156" s="19" t="s">
        <v>200</v>
      </c>
      <c r="F156" s="24">
        <v>41660</v>
      </c>
      <c r="G156" s="24">
        <v>41660</v>
      </c>
      <c r="H156" s="19" t="s">
        <v>210</v>
      </c>
      <c r="I156" s="19" t="s">
        <v>211</v>
      </c>
      <c r="L156" s="26" t="s">
        <v>240</v>
      </c>
      <c r="M156" s="25">
        <v>0</v>
      </c>
      <c r="V156" s="19" t="str">
        <f t="shared" si="14"/>
        <v/>
      </c>
      <c r="W156" s="19" t="str">
        <f t="shared" si="15"/>
        <v/>
      </c>
      <c r="X156" s="24">
        <f t="shared" ca="1" si="16"/>
        <v>42440</v>
      </c>
      <c r="Y156" s="19">
        <f t="shared" si="17"/>
        <v>4</v>
      </c>
      <c r="Z156" s="19">
        <f t="shared" si="18"/>
        <v>1</v>
      </c>
      <c r="AA156" s="19">
        <f t="shared" si="19"/>
        <v>2014</v>
      </c>
      <c r="AB156" s="27">
        <f t="shared" si="20"/>
        <v>-194</v>
      </c>
    </row>
    <row r="157" spans="1:28" x14ac:dyDescent="0.25">
      <c r="A157" s="19">
        <v>2</v>
      </c>
      <c r="B157" s="19">
        <v>2</v>
      </c>
      <c r="C157" s="19">
        <v>5</v>
      </c>
      <c r="D157" s="19" t="s">
        <v>209</v>
      </c>
      <c r="E157" s="19" t="s">
        <v>200</v>
      </c>
      <c r="F157" s="24">
        <v>41661</v>
      </c>
      <c r="G157" s="24">
        <v>41661</v>
      </c>
      <c r="H157" s="19" t="s">
        <v>210</v>
      </c>
      <c r="I157" s="19" t="s">
        <v>211</v>
      </c>
      <c r="L157" s="26" t="s">
        <v>240</v>
      </c>
      <c r="M157" s="25">
        <v>0</v>
      </c>
      <c r="V157" s="19" t="str">
        <f t="shared" si="14"/>
        <v/>
      </c>
      <c r="W157" s="19" t="str">
        <f t="shared" si="15"/>
        <v/>
      </c>
      <c r="X157" s="24">
        <f t="shared" ca="1" si="16"/>
        <v>42440</v>
      </c>
      <c r="Y157" s="19">
        <f t="shared" si="17"/>
        <v>4</v>
      </c>
      <c r="Z157" s="19">
        <f t="shared" si="18"/>
        <v>1</v>
      </c>
      <c r="AA157" s="19">
        <f t="shared" si="19"/>
        <v>2014</v>
      </c>
      <c r="AB157" s="27">
        <f t="shared" si="20"/>
        <v>-194</v>
      </c>
    </row>
    <row r="158" spans="1:28" x14ac:dyDescent="0.25">
      <c r="A158" s="19">
        <v>2</v>
      </c>
      <c r="B158" s="19">
        <v>2</v>
      </c>
      <c r="C158" s="19">
        <v>5</v>
      </c>
      <c r="D158" s="19" t="s">
        <v>209</v>
      </c>
      <c r="E158" s="19" t="s">
        <v>200</v>
      </c>
      <c r="F158" s="24">
        <v>41662</v>
      </c>
      <c r="G158" s="24">
        <v>41662</v>
      </c>
      <c r="H158" s="19" t="s">
        <v>210</v>
      </c>
      <c r="I158" s="19" t="s">
        <v>211</v>
      </c>
      <c r="L158" s="26" t="s">
        <v>240</v>
      </c>
      <c r="M158" s="25">
        <v>0</v>
      </c>
      <c r="V158" s="19" t="str">
        <f t="shared" si="14"/>
        <v/>
      </c>
      <c r="W158" s="19" t="str">
        <f t="shared" si="15"/>
        <v/>
      </c>
      <c r="X158" s="24">
        <f t="shared" ca="1" si="16"/>
        <v>42440</v>
      </c>
      <c r="Y158" s="19">
        <f t="shared" si="17"/>
        <v>4</v>
      </c>
      <c r="Z158" s="19">
        <f t="shared" si="18"/>
        <v>1</v>
      </c>
      <c r="AA158" s="19">
        <f t="shared" si="19"/>
        <v>2014</v>
      </c>
      <c r="AB158" s="27">
        <f t="shared" si="20"/>
        <v>-194</v>
      </c>
    </row>
    <row r="159" spans="1:28" x14ac:dyDescent="0.25">
      <c r="A159" s="19">
        <v>2</v>
      </c>
      <c r="B159" s="19">
        <v>1</v>
      </c>
      <c r="C159" s="19">
        <v>7</v>
      </c>
      <c r="D159" s="19" t="s">
        <v>219</v>
      </c>
      <c r="E159" s="19" t="s">
        <v>204</v>
      </c>
      <c r="F159" s="24">
        <v>41663</v>
      </c>
      <c r="G159" s="24">
        <v>41663</v>
      </c>
      <c r="H159" s="19" t="s">
        <v>220</v>
      </c>
      <c r="I159" s="19" t="s">
        <v>241</v>
      </c>
      <c r="L159" s="26" t="s">
        <v>242</v>
      </c>
      <c r="M159" s="24">
        <v>41663</v>
      </c>
      <c r="Q159" s="19" t="s">
        <v>112</v>
      </c>
      <c r="V159" s="19" t="str">
        <f t="shared" si="14"/>
        <v/>
      </c>
      <c r="W159" s="19" t="str">
        <f t="shared" si="15"/>
        <v/>
      </c>
      <c r="X159" s="24">
        <f t="shared" ca="1" si="16"/>
        <v>42440</v>
      </c>
      <c r="Y159" s="19">
        <f t="shared" si="17"/>
        <v>4</v>
      </c>
      <c r="Z159" s="19">
        <f t="shared" si="18"/>
        <v>1</v>
      </c>
      <c r="AA159" s="19">
        <f t="shared" si="19"/>
        <v>2014</v>
      </c>
      <c r="AB159" s="27">
        <f t="shared" si="20"/>
        <v>15819</v>
      </c>
    </row>
    <row r="160" spans="1:28" x14ac:dyDescent="0.25">
      <c r="A160" s="19">
        <v>2</v>
      </c>
      <c r="B160" s="19">
        <v>2</v>
      </c>
      <c r="C160" s="19">
        <v>5</v>
      </c>
      <c r="D160" s="19" t="s">
        <v>209</v>
      </c>
      <c r="E160" s="19" t="s">
        <v>200</v>
      </c>
      <c r="F160" s="24">
        <v>41663</v>
      </c>
      <c r="G160" s="24">
        <v>41663</v>
      </c>
      <c r="H160" s="19" t="s">
        <v>210</v>
      </c>
      <c r="I160" s="19" t="s">
        <v>211</v>
      </c>
      <c r="L160" s="26" t="s">
        <v>240</v>
      </c>
      <c r="M160" s="25">
        <v>0</v>
      </c>
      <c r="V160" s="19" t="str">
        <f t="shared" si="14"/>
        <v/>
      </c>
      <c r="W160" s="19" t="str">
        <f t="shared" si="15"/>
        <v/>
      </c>
      <c r="X160" s="24">
        <f t="shared" ca="1" si="16"/>
        <v>42440</v>
      </c>
      <c r="Y160" s="19">
        <f t="shared" si="17"/>
        <v>4</v>
      </c>
      <c r="Z160" s="19">
        <f t="shared" si="18"/>
        <v>1</v>
      </c>
      <c r="AA160" s="19">
        <f t="shared" si="19"/>
        <v>2014</v>
      </c>
      <c r="AB160" s="27">
        <f t="shared" si="20"/>
        <v>-194</v>
      </c>
    </row>
    <row r="161" spans="1:28" x14ac:dyDescent="0.25">
      <c r="A161" s="19">
        <v>2</v>
      </c>
      <c r="B161" s="19">
        <v>2</v>
      </c>
      <c r="C161" s="19">
        <v>5</v>
      </c>
      <c r="D161" s="19" t="s">
        <v>209</v>
      </c>
      <c r="E161" s="19" t="s">
        <v>200</v>
      </c>
      <c r="F161" s="24">
        <v>41666</v>
      </c>
      <c r="G161" s="24">
        <v>41666</v>
      </c>
      <c r="H161" s="19" t="s">
        <v>210</v>
      </c>
      <c r="I161" s="19" t="s">
        <v>211</v>
      </c>
      <c r="L161" s="26" t="s">
        <v>214</v>
      </c>
      <c r="M161" s="25">
        <v>0</v>
      </c>
      <c r="V161" s="19" t="str">
        <f t="shared" si="14"/>
        <v/>
      </c>
      <c r="W161" s="19" t="str">
        <f t="shared" si="15"/>
        <v/>
      </c>
      <c r="X161" s="24">
        <f t="shared" ca="1" si="16"/>
        <v>42440</v>
      </c>
      <c r="Y161" s="19">
        <f t="shared" si="17"/>
        <v>5</v>
      </c>
      <c r="Z161" s="19">
        <f t="shared" si="18"/>
        <v>1</v>
      </c>
      <c r="AA161" s="19">
        <f t="shared" si="19"/>
        <v>2014</v>
      </c>
      <c r="AB161" s="27">
        <f t="shared" si="20"/>
        <v>-190</v>
      </c>
    </row>
    <row r="162" spans="1:28" x14ac:dyDescent="0.25">
      <c r="A162" s="19">
        <v>2</v>
      </c>
      <c r="B162" s="19">
        <v>2</v>
      </c>
      <c r="C162" s="19">
        <v>5</v>
      </c>
      <c r="D162" s="19" t="s">
        <v>209</v>
      </c>
      <c r="E162" s="19" t="s">
        <v>200</v>
      </c>
      <c r="F162" s="24">
        <v>41667</v>
      </c>
      <c r="G162" s="24">
        <v>41667</v>
      </c>
      <c r="H162" s="19" t="s">
        <v>210</v>
      </c>
      <c r="I162" s="19" t="s">
        <v>211</v>
      </c>
      <c r="L162" s="26" t="s">
        <v>214</v>
      </c>
      <c r="M162" s="25">
        <v>0</v>
      </c>
      <c r="V162" s="19" t="str">
        <f t="shared" si="14"/>
        <v/>
      </c>
      <c r="W162" s="19" t="str">
        <f t="shared" si="15"/>
        <v/>
      </c>
      <c r="X162" s="24">
        <f t="shared" ca="1" si="16"/>
        <v>42440</v>
      </c>
      <c r="Y162" s="19">
        <f t="shared" si="17"/>
        <v>5</v>
      </c>
      <c r="Z162" s="19">
        <f t="shared" si="18"/>
        <v>1</v>
      </c>
      <c r="AA162" s="19">
        <f t="shared" si="19"/>
        <v>2014</v>
      </c>
      <c r="AB162" s="27">
        <f t="shared" si="20"/>
        <v>-190</v>
      </c>
    </row>
    <row r="163" spans="1:28" x14ac:dyDescent="0.25">
      <c r="A163" s="19">
        <v>2</v>
      </c>
      <c r="B163" s="19">
        <v>2</v>
      </c>
      <c r="C163" s="19">
        <v>5</v>
      </c>
      <c r="D163" s="19" t="s">
        <v>209</v>
      </c>
      <c r="E163" s="19" t="s">
        <v>200</v>
      </c>
      <c r="F163" s="24">
        <v>41668</v>
      </c>
      <c r="G163" s="24">
        <v>41668</v>
      </c>
      <c r="H163" s="19" t="s">
        <v>210</v>
      </c>
      <c r="I163" s="19" t="s">
        <v>211</v>
      </c>
      <c r="L163" s="26" t="s">
        <v>214</v>
      </c>
      <c r="M163" s="25">
        <v>0</v>
      </c>
      <c r="V163" s="19" t="str">
        <f t="shared" si="14"/>
        <v/>
      </c>
      <c r="W163" s="19" t="str">
        <f t="shared" si="15"/>
        <v/>
      </c>
      <c r="X163" s="24">
        <f t="shared" ca="1" si="16"/>
        <v>42440</v>
      </c>
      <c r="Y163" s="19">
        <f t="shared" si="17"/>
        <v>5</v>
      </c>
      <c r="Z163" s="19">
        <f t="shared" si="18"/>
        <v>1</v>
      </c>
      <c r="AA163" s="19">
        <f t="shared" si="19"/>
        <v>2014</v>
      </c>
      <c r="AB163" s="27">
        <f t="shared" si="20"/>
        <v>-190</v>
      </c>
    </row>
    <row r="164" spans="1:28" x14ac:dyDescent="0.25">
      <c r="A164" s="19">
        <v>2</v>
      </c>
      <c r="B164" s="19">
        <v>2</v>
      </c>
      <c r="C164" s="19">
        <v>5</v>
      </c>
      <c r="D164" s="19" t="s">
        <v>209</v>
      </c>
      <c r="E164" s="19" t="s">
        <v>200</v>
      </c>
      <c r="F164" s="24">
        <v>41669</v>
      </c>
      <c r="G164" s="24">
        <v>41669</v>
      </c>
      <c r="H164" s="19" t="s">
        <v>210</v>
      </c>
      <c r="I164" s="19" t="s">
        <v>211</v>
      </c>
      <c r="L164" s="26" t="s">
        <v>214</v>
      </c>
      <c r="M164" s="25">
        <v>0</v>
      </c>
      <c r="V164" s="19" t="str">
        <f t="shared" si="14"/>
        <v/>
      </c>
      <c r="W164" s="19" t="str">
        <f t="shared" si="15"/>
        <v/>
      </c>
      <c r="X164" s="24">
        <f t="shared" ca="1" si="16"/>
        <v>42440</v>
      </c>
      <c r="Y164" s="19">
        <f t="shared" si="17"/>
        <v>5</v>
      </c>
      <c r="Z164" s="19">
        <f t="shared" si="18"/>
        <v>1</v>
      </c>
      <c r="AA164" s="19">
        <f t="shared" si="19"/>
        <v>2014</v>
      </c>
      <c r="AB164" s="27">
        <f t="shared" si="20"/>
        <v>-190</v>
      </c>
    </row>
    <row r="165" spans="1:28" x14ac:dyDescent="0.25">
      <c r="A165" s="19">
        <v>2</v>
      </c>
      <c r="B165" s="19">
        <v>2</v>
      </c>
      <c r="C165" s="19">
        <v>5</v>
      </c>
      <c r="D165" s="19" t="s">
        <v>209</v>
      </c>
      <c r="E165" s="19" t="s">
        <v>200</v>
      </c>
      <c r="F165" s="24">
        <v>41670</v>
      </c>
      <c r="G165" s="24">
        <v>41670</v>
      </c>
      <c r="H165" s="19" t="s">
        <v>210</v>
      </c>
      <c r="I165" s="19" t="s">
        <v>211</v>
      </c>
      <c r="L165" s="26" t="s">
        <v>214</v>
      </c>
      <c r="M165" s="25">
        <v>0</v>
      </c>
      <c r="V165" s="19" t="str">
        <f t="shared" si="14"/>
        <v/>
      </c>
      <c r="W165" s="19" t="str">
        <f t="shared" si="15"/>
        <v/>
      </c>
      <c r="X165" s="24">
        <f t="shared" ca="1" si="16"/>
        <v>42440</v>
      </c>
      <c r="Y165" s="19">
        <f t="shared" si="17"/>
        <v>5</v>
      </c>
      <c r="Z165" s="19">
        <f t="shared" si="18"/>
        <v>1</v>
      </c>
      <c r="AA165" s="19">
        <f t="shared" si="19"/>
        <v>2014</v>
      </c>
      <c r="AB165" s="27">
        <f t="shared" si="20"/>
        <v>-190</v>
      </c>
    </row>
    <row r="166" spans="1:28" x14ac:dyDescent="0.25">
      <c r="A166" s="19">
        <v>2</v>
      </c>
      <c r="B166" s="19">
        <v>2</v>
      </c>
      <c r="C166" s="19">
        <v>5</v>
      </c>
      <c r="D166" s="19" t="s">
        <v>209</v>
      </c>
      <c r="E166" s="19" t="s">
        <v>200</v>
      </c>
      <c r="F166" s="24">
        <v>41673</v>
      </c>
      <c r="G166" s="24">
        <v>41673</v>
      </c>
      <c r="H166" s="19" t="s">
        <v>210</v>
      </c>
      <c r="I166" s="19" t="s">
        <v>211</v>
      </c>
      <c r="L166" s="26" t="s">
        <v>243</v>
      </c>
      <c r="M166" s="25">
        <v>0</v>
      </c>
      <c r="V166" s="19" t="str">
        <f t="shared" si="14"/>
        <v/>
      </c>
      <c r="W166" s="19" t="str">
        <f t="shared" si="15"/>
        <v/>
      </c>
      <c r="X166" s="24">
        <f t="shared" ca="1" si="16"/>
        <v>42440</v>
      </c>
      <c r="Y166" s="19">
        <f t="shared" si="17"/>
        <v>6</v>
      </c>
      <c r="Z166" s="19">
        <f t="shared" si="18"/>
        <v>2</v>
      </c>
      <c r="AA166" s="19">
        <f t="shared" si="19"/>
        <v>2014</v>
      </c>
      <c r="AB166" s="27">
        <f t="shared" si="20"/>
        <v>-586</v>
      </c>
    </row>
    <row r="167" spans="1:28" x14ac:dyDescent="0.25">
      <c r="A167" s="19">
        <v>2</v>
      </c>
      <c r="B167" s="19">
        <v>2</v>
      </c>
      <c r="C167" s="19">
        <v>5</v>
      </c>
      <c r="D167" s="19" t="s">
        <v>209</v>
      </c>
      <c r="E167" s="19" t="s">
        <v>200</v>
      </c>
      <c r="F167" s="24">
        <v>41674</v>
      </c>
      <c r="G167" s="24">
        <v>41674</v>
      </c>
      <c r="H167" s="19" t="s">
        <v>210</v>
      </c>
      <c r="I167" s="19" t="s">
        <v>211</v>
      </c>
      <c r="L167" s="26" t="s">
        <v>243</v>
      </c>
      <c r="M167" s="25">
        <v>0</v>
      </c>
      <c r="V167" s="19" t="str">
        <f t="shared" si="14"/>
        <v/>
      </c>
      <c r="W167" s="19" t="str">
        <f t="shared" si="15"/>
        <v/>
      </c>
      <c r="X167" s="24">
        <f t="shared" ca="1" si="16"/>
        <v>42440</v>
      </c>
      <c r="Y167" s="19">
        <f t="shared" si="17"/>
        <v>6</v>
      </c>
      <c r="Z167" s="19">
        <f t="shared" si="18"/>
        <v>2</v>
      </c>
      <c r="AA167" s="19">
        <f t="shared" si="19"/>
        <v>2014</v>
      </c>
      <c r="AB167" s="27">
        <f t="shared" si="20"/>
        <v>-586</v>
      </c>
    </row>
    <row r="168" spans="1:28" x14ac:dyDescent="0.25">
      <c r="A168" s="19">
        <v>2</v>
      </c>
      <c r="B168" s="19">
        <v>2</v>
      </c>
      <c r="C168" s="19">
        <v>5</v>
      </c>
      <c r="D168" s="19" t="s">
        <v>209</v>
      </c>
      <c r="E168" s="19" t="s">
        <v>200</v>
      </c>
      <c r="F168" s="24">
        <v>41675</v>
      </c>
      <c r="G168" s="24">
        <v>41675</v>
      </c>
      <c r="H168" s="19" t="s">
        <v>210</v>
      </c>
      <c r="I168" s="19" t="s">
        <v>211</v>
      </c>
      <c r="L168" s="26" t="s">
        <v>243</v>
      </c>
      <c r="M168" s="25">
        <v>0</v>
      </c>
      <c r="V168" s="19" t="str">
        <f t="shared" si="14"/>
        <v/>
      </c>
      <c r="W168" s="19" t="str">
        <f t="shared" si="15"/>
        <v/>
      </c>
      <c r="X168" s="24">
        <f t="shared" ca="1" si="16"/>
        <v>42440</v>
      </c>
      <c r="Y168" s="19">
        <f t="shared" si="17"/>
        <v>6</v>
      </c>
      <c r="Z168" s="19">
        <f t="shared" si="18"/>
        <v>2</v>
      </c>
      <c r="AA168" s="19">
        <f t="shared" si="19"/>
        <v>2014</v>
      </c>
      <c r="AB168" s="27">
        <f t="shared" si="20"/>
        <v>-586</v>
      </c>
    </row>
    <row r="169" spans="1:28" x14ac:dyDescent="0.25">
      <c r="A169" s="19">
        <v>2</v>
      </c>
      <c r="B169" s="19">
        <v>2</v>
      </c>
      <c r="C169" s="19">
        <v>5</v>
      </c>
      <c r="D169" s="19" t="s">
        <v>209</v>
      </c>
      <c r="E169" s="19" t="s">
        <v>200</v>
      </c>
      <c r="F169" s="24">
        <v>41676</v>
      </c>
      <c r="G169" s="24">
        <v>41676</v>
      </c>
      <c r="H169" s="19" t="s">
        <v>210</v>
      </c>
      <c r="I169" s="19" t="s">
        <v>211</v>
      </c>
      <c r="L169" s="26" t="s">
        <v>243</v>
      </c>
      <c r="M169" s="25">
        <v>0</v>
      </c>
      <c r="V169" s="19" t="str">
        <f t="shared" si="14"/>
        <v/>
      </c>
      <c r="W169" s="19" t="str">
        <f t="shared" si="15"/>
        <v/>
      </c>
      <c r="X169" s="24">
        <f t="shared" ca="1" si="16"/>
        <v>42440</v>
      </c>
      <c r="Y169" s="19">
        <f t="shared" si="17"/>
        <v>6</v>
      </c>
      <c r="Z169" s="19">
        <f t="shared" si="18"/>
        <v>2</v>
      </c>
      <c r="AA169" s="19">
        <f t="shared" si="19"/>
        <v>2014</v>
      </c>
      <c r="AB169" s="27">
        <f t="shared" si="20"/>
        <v>-586</v>
      </c>
    </row>
    <row r="170" spans="1:28" x14ac:dyDescent="0.25">
      <c r="A170" s="19">
        <v>2</v>
      </c>
      <c r="B170" s="19">
        <v>2</v>
      </c>
      <c r="C170" s="19">
        <v>5</v>
      </c>
      <c r="D170" s="19" t="s">
        <v>209</v>
      </c>
      <c r="E170" s="19" t="s">
        <v>200</v>
      </c>
      <c r="F170" s="24">
        <v>41677</v>
      </c>
      <c r="G170" s="24">
        <v>41677</v>
      </c>
      <c r="H170" s="19" t="s">
        <v>210</v>
      </c>
      <c r="I170" s="19" t="s">
        <v>211</v>
      </c>
      <c r="L170" s="26" t="s">
        <v>243</v>
      </c>
      <c r="M170" s="25">
        <v>0</v>
      </c>
      <c r="V170" s="19" t="str">
        <f t="shared" si="14"/>
        <v/>
      </c>
      <c r="W170" s="19" t="str">
        <f t="shared" si="15"/>
        <v/>
      </c>
      <c r="X170" s="24">
        <f t="shared" ca="1" si="16"/>
        <v>42440</v>
      </c>
      <c r="Y170" s="19">
        <f t="shared" si="17"/>
        <v>6</v>
      </c>
      <c r="Z170" s="19">
        <f t="shared" si="18"/>
        <v>2</v>
      </c>
      <c r="AA170" s="19">
        <f t="shared" si="19"/>
        <v>2014</v>
      </c>
      <c r="AB170" s="27">
        <f t="shared" si="20"/>
        <v>-586</v>
      </c>
    </row>
    <row r="171" spans="1:28" x14ac:dyDescent="0.25">
      <c r="A171" s="19">
        <v>2</v>
      </c>
      <c r="B171" s="19">
        <v>2</v>
      </c>
      <c r="C171" s="19">
        <v>5</v>
      </c>
      <c r="D171" s="19" t="s">
        <v>209</v>
      </c>
      <c r="E171" s="19" t="s">
        <v>200</v>
      </c>
      <c r="F171" s="24">
        <v>41680</v>
      </c>
      <c r="G171" s="24">
        <v>41680</v>
      </c>
      <c r="H171" s="19" t="s">
        <v>210</v>
      </c>
      <c r="I171" s="19" t="s">
        <v>211</v>
      </c>
      <c r="L171" s="26" t="s">
        <v>244</v>
      </c>
      <c r="M171" s="25">
        <v>0</v>
      </c>
      <c r="V171" s="19" t="str">
        <f t="shared" si="14"/>
        <v/>
      </c>
      <c r="W171" s="19" t="str">
        <f t="shared" si="15"/>
        <v/>
      </c>
      <c r="X171" s="24">
        <f t="shared" ca="1" si="16"/>
        <v>42440</v>
      </c>
      <c r="Y171" s="19">
        <f t="shared" si="17"/>
        <v>7</v>
      </c>
      <c r="Z171" s="19">
        <f t="shared" si="18"/>
        <v>2</v>
      </c>
      <c r="AA171" s="19">
        <f t="shared" si="19"/>
        <v>2014</v>
      </c>
      <c r="AB171" s="27">
        <f t="shared" si="20"/>
        <v>-584</v>
      </c>
    </row>
    <row r="172" spans="1:28" x14ac:dyDescent="0.25">
      <c r="A172" s="19">
        <v>2</v>
      </c>
      <c r="B172" s="19">
        <v>2</v>
      </c>
      <c r="C172" s="19">
        <v>5</v>
      </c>
      <c r="D172" s="19" t="s">
        <v>209</v>
      </c>
      <c r="E172" s="19" t="s">
        <v>200</v>
      </c>
      <c r="F172" s="24">
        <v>41681</v>
      </c>
      <c r="G172" s="24">
        <v>41681</v>
      </c>
      <c r="H172" s="19" t="s">
        <v>210</v>
      </c>
      <c r="I172" s="19" t="s">
        <v>211</v>
      </c>
      <c r="L172" s="26" t="s">
        <v>244</v>
      </c>
      <c r="M172" s="25">
        <v>0</v>
      </c>
      <c r="V172" s="19" t="str">
        <f t="shared" si="14"/>
        <v/>
      </c>
      <c r="W172" s="19" t="str">
        <f t="shared" si="15"/>
        <v/>
      </c>
      <c r="X172" s="24">
        <f t="shared" ca="1" si="16"/>
        <v>42440</v>
      </c>
      <c r="Y172" s="19">
        <f t="shared" si="17"/>
        <v>7</v>
      </c>
      <c r="Z172" s="19">
        <f t="shared" si="18"/>
        <v>2</v>
      </c>
      <c r="AA172" s="19">
        <f t="shared" si="19"/>
        <v>2014</v>
      </c>
      <c r="AB172" s="27">
        <f t="shared" si="20"/>
        <v>-584</v>
      </c>
    </row>
    <row r="173" spans="1:28" x14ac:dyDescent="0.25">
      <c r="A173" s="19">
        <v>2</v>
      </c>
      <c r="B173" s="19">
        <v>2</v>
      </c>
      <c r="C173" s="19">
        <v>5</v>
      </c>
      <c r="D173" s="19" t="s">
        <v>209</v>
      </c>
      <c r="E173" s="19" t="s">
        <v>200</v>
      </c>
      <c r="F173" s="24">
        <v>41682</v>
      </c>
      <c r="G173" s="24">
        <v>41682</v>
      </c>
      <c r="H173" s="19" t="s">
        <v>210</v>
      </c>
      <c r="I173" s="19" t="s">
        <v>211</v>
      </c>
      <c r="L173" s="26" t="s">
        <v>244</v>
      </c>
      <c r="M173" s="25">
        <v>0</v>
      </c>
      <c r="V173" s="19" t="str">
        <f t="shared" si="14"/>
        <v/>
      </c>
      <c r="W173" s="19" t="str">
        <f t="shared" si="15"/>
        <v/>
      </c>
      <c r="X173" s="24">
        <f t="shared" ca="1" si="16"/>
        <v>42440</v>
      </c>
      <c r="Y173" s="19">
        <f t="shared" si="17"/>
        <v>7</v>
      </c>
      <c r="Z173" s="19">
        <f t="shared" si="18"/>
        <v>2</v>
      </c>
      <c r="AA173" s="19">
        <f t="shared" si="19"/>
        <v>2014</v>
      </c>
      <c r="AB173" s="27">
        <f t="shared" si="20"/>
        <v>-584</v>
      </c>
    </row>
    <row r="174" spans="1:28" x14ac:dyDescent="0.25">
      <c r="A174" s="19">
        <v>2</v>
      </c>
      <c r="B174" s="19">
        <v>2</v>
      </c>
      <c r="C174" s="19">
        <v>5</v>
      </c>
      <c r="D174" s="19" t="s">
        <v>209</v>
      </c>
      <c r="E174" s="19" t="s">
        <v>200</v>
      </c>
      <c r="F174" s="24">
        <v>41683</v>
      </c>
      <c r="G174" s="24">
        <v>41683</v>
      </c>
      <c r="H174" s="19" t="s">
        <v>210</v>
      </c>
      <c r="I174" s="19" t="s">
        <v>211</v>
      </c>
      <c r="L174" s="26" t="s">
        <v>244</v>
      </c>
      <c r="M174" s="25">
        <v>0</v>
      </c>
      <c r="V174" s="19" t="str">
        <f t="shared" si="14"/>
        <v/>
      </c>
      <c r="W174" s="19" t="str">
        <f t="shared" si="15"/>
        <v/>
      </c>
      <c r="X174" s="24">
        <f t="shared" ca="1" si="16"/>
        <v>42440</v>
      </c>
      <c r="Y174" s="19">
        <f t="shared" si="17"/>
        <v>7</v>
      </c>
      <c r="Z174" s="19">
        <f t="shared" si="18"/>
        <v>2</v>
      </c>
      <c r="AA174" s="19">
        <f t="shared" si="19"/>
        <v>2014</v>
      </c>
      <c r="AB174" s="27">
        <f t="shared" si="20"/>
        <v>-584</v>
      </c>
    </row>
    <row r="175" spans="1:28" x14ac:dyDescent="0.25">
      <c r="A175" s="19">
        <v>2</v>
      </c>
      <c r="B175" s="19">
        <v>2</v>
      </c>
      <c r="C175" s="19">
        <v>5</v>
      </c>
      <c r="D175" s="19" t="s">
        <v>209</v>
      </c>
      <c r="E175" s="19" t="s">
        <v>200</v>
      </c>
      <c r="F175" s="24">
        <v>41684</v>
      </c>
      <c r="G175" s="24">
        <v>41684</v>
      </c>
      <c r="H175" s="19" t="s">
        <v>210</v>
      </c>
      <c r="I175" s="19" t="s">
        <v>211</v>
      </c>
      <c r="L175" s="26" t="s">
        <v>244</v>
      </c>
      <c r="M175" s="25">
        <v>0</v>
      </c>
      <c r="V175" s="19" t="str">
        <f t="shared" si="14"/>
        <v/>
      </c>
      <c r="W175" s="19" t="str">
        <f t="shared" si="15"/>
        <v/>
      </c>
      <c r="X175" s="24">
        <f t="shared" ca="1" si="16"/>
        <v>42440</v>
      </c>
      <c r="Y175" s="19">
        <f t="shared" si="17"/>
        <v>7</v>
      </c>
      <c r="Z175" s="19">
        <f t="shared" si="18"/>
        <v>2</v>
      </c>
      <c r="AA175" s="19">
        <f t="shared" si="19"/>
        <v>2014</v>
      </c>
      <c r="AB175" s="27">
        <f t="shared" si="20"/>
        <v>-584</v>
      </c>
    </row>
    <row r="176" spans="1:28" x14ac:dyDescent="0.25">
      <c r="A176" s="19">
        <v>2</v>
      </c>
      <c r="B176" s="19">
        <v>2</v>
      </c>
      <c r="C176" s="19">
        <v>5</v>
      </c>
      <c r="D176" s="19" t="s">
        <v>209</v>
      </c>
      <c r="E176" s="19" t="s">
        <v>200</v>
      </c>
      <c r="F176" s="24">
        <v>41687</v>
      </c>
      <c r="G176" s="24">
        <v>41687</v>
      </c>
      <c r="H176" s="19" t="s">
        <v>210</v>
      </c>
      <c r="I176" s="19" t="s">
        <v>211</v>
      </c>
      <c r="L176" s="26" t="s">
        <v>243</v>
      </c>
      <c r="M176" s="25">
        <v>0</v>
      </c>
      <c r="V176" s="19" t="str">
        <f t="shared" si="14"/>
        <v/>
      </c>
      <c r="W176" s="19" t="str">
        <f t="shared" si="15"/>
        <v/>
      </c>
      <c r="X176" s="24">
        <f t="shared" ca="1" si="16"/>
        <v>42440</v>
      </c>
      <c r="Y176" s="19">
        <f t="shared" si="17"/>
        <v>8</v>
      </c>
      <c r="Z176" s="19">
        <f t="shared" si="18"/>
        <v>2</v>
      </c>
      <c r="AA176" s="19">
        <f t="shared" si="19"/>
        <v>2014</v>
      </c>
      <c r="AB176" s="27">
        <f t="shared" si="20"/>
        <v>-586</v>
      </c>
    </row>
    <row r="177" spans="1:28" x14ac:dyDescent="0.25">
      <c r="A177" s="19">
        <v>2</v>
      </c>
      <c r="B177" s="19">
        <v>2</v>
      </c>
      <c r="C177" s="19">
        <v>5</v>
      </c>
      <c r="D177" s="19" t="s">
        <v>209</v>
      </c>
      <c r="E177" s="19" t="s">
        <v>200</v>
      </c>
      <c r="F177" s="24">
        <v>41688</v>
      </c>
      <c r="G177" s="24">
        <v>41688</v>
      </c>
      <c r="H177" s="19" t="s">
        <v>210</v>
      </c>
      <c r="I177" s="19" t="s">
        <v>211</v>
      </c>
      <c r="L177" s="26" t="s">
        <v>243</v>
      </c>
      <c r="M177" s="25">
        <v>0</v>
      </c>
      <c r="V177" s="19" t="str">
        <f t="shared" si="14"/>
        <v/>
      </c>
      <c r="W177" s="19" t="str">
        <f t="shared" si="15"/>
        <v/>
      </c>
      <c r="X177" s="24">
        <f t="shared" ca="1" si="16"/>
        <v>42440</v>
      </c>
      <c r="Y177" s="19">
        <f t="shared" si="17"/>
        <v>8</v>
      </c>
      <c r="Z177" s="19">
        <f t="shared" si="18"/>
        <v>2</v>
      </c>
      <c r="AA177" s="19">
        <f t="shared" si="19"/>
        <v>2014</v>
      </c>
      <c r="AB177" s="27">
        <f t="shared" si="20"/>
        <v>-586</v>
      </c>
    </row>
    <row r="178" spans="1:28" x14ac:dyDescent="0.25">
      <c r="A178" s="19">
        <v>2</v>
      </c>
      <c r="B178" s="19">
        <v>2</v>
      </c>
      <c r="C178" s="19">
        <v>5</v>
      </c>
      <c r="D178" s="19" t="s">
        <v>209</v>
      </c>
      <c r="E178" s="19" t="s">
        <v>200</v>
      </c>
      <c r="F178" s="24">
        <v>41689</v>
      </c>
      <c r="G178" s="24">
        <v>41689</v>
      </c>
      <c r="H178" s="19" t="s">
        <v>210</v>
      </c>
      <c r="I178" s="19" t="s">
        <v>211</v>
      </c>
      <c r="L178" s="26" t="s">
        <v>243</v>
      </c>
      <c r="M178" s="25">
        <v>0</v>
      </c>
      <c r="V178" s="19" t="str">
        <f t="shared" si="14"/>
        <v/>
      </c>
      <c r="W178" s="19" t="str">
        <f t="shared" si="15"/>
        <v/>
      </c>
      <c r="X178" s="24">
        <f t="shared" ca="1" si="16"/>
        <v>42440</v>
      </c>
      <c r="Y178" s="19">
        <f t="shared" si="17"/>
        <v>8</v>
      </c>
      <c r="Z178" s="19">
        <f t="shared" si="18"/>
        <v>2</v>
      </c>
      <c r="AA178" s="19">
        <f t="shared" si="19"/>
        <v>2014</v>
      </c>
      <c r="AB178" s="27">
        <f t="shared" si="20"/>
        <v>-586</v>
      </c>
    </row>
    <row r="179" spans="1:28" x14ac:dyDescent="0.25">
      <c r="A179" s="19">
        <v>2</v>
      </c>
      <c r="B179" s="19">
        <v>2</v>
      </c>
      <c r="C179" s="19">
        <v>5</v>
      </c>
      <c r="D179" s="19" t="s">
        <v>209</v>
      </c>
      <c r="E179" s="19" t="s">
        <v>200</v>
      </c>
      <c r="F179" s="24">
        <v>41690</v>
      </c>
      <c r="G179" s="24">
        <v>41690</v>
      </c>
      <c r="H179" s="19" t="s">
        <v>210</v>
      </c>
      <c r="I179" s="19" t="s">
        <v>211</v>
      </c>
      <c r="L179" s="26" t="s">
        <v>243</v>
      </c>
      <c r="M179" s="25">
        <v>0</v>
      </c>
      <c r="V179" s="19" t="str">
        <f t="shared" si="14"/>
        <v/>
      </c>
      <c r="W179" s="19" t="str">
        <f t="shared" si="15"/>
        <v/>
      </c>
      <c r="X179" s="24">
        <f t="shared" ca="1" si="16"/>
        <v>42440</v>
      </c>
      <c r="Y179" s="19">
        <f t="shared" si="17"/>
        <v>8</v>
      </c>
      <c r="Z179" s="19">
        <f t="shared" si="18"/>
        <v>2</v>
      </c>
      <c r="AA179" s="19">
        <f t="shared" si="19"/>
        <v>2014</v>
      </c>
      <c r="AB179" s="27">
        <f t="shared" si="20"/>
        <v>-586</v>
      </c>
    </row>
    <row r="180" spans="1:28" x14ac:dyDescent="0.25">
      <c r="A180" s="19">
        <v>2</v>
      </c>
      <c r="B180" s="19">
        <v>2</v>
      </c>
      <c r="C180" s="19">
        <v>5</v>
      </c>
      <c r="D180" s="19" t="s">
        <v>209</v>
      </c>
      <c r="E180" s="19" t="s">
        <v>200</v>
      </c>
      <c r="F180" s="24">
        <v>41691</v>
      </c>
      <c r="G180" s="24">
        <v>41691</v>
      </c>
      <c r="H180" s="19" t="s">
        <v>210</v>
      </c>
      <c r="I180" s="19" t="s">
        <v>211</v>
      </c>
      <c r="L180" s="26" t="s">
        <v>243</v>
      </c>
      <c r="M180" s="25">
        <v>0</v>
      </c>
      <c r="V180" s="19" t="str">
        <f t="shared" si="14"/>
        <v/>
      </c>
      <c r="W180" s="19" t="str">
        <f t="shared" si="15"/>
        <v/>
      </c>
      <c r="X180" s="24">
        <f t="shared" ca="1" si="16"/>
        <v>42440</v>
      </c>
      <c r="Y180" s="19">
        <f t="shared" si="17"/>
        <v>8</v>
      </c>
      <c r="Z180" s="19">
        <f t="shared" si="18"/>
        <v>2</v>
      </c>
      <c r="AA180" s="19">
        <f t="shared" si="19"/>
        <v>2014</v>
      </c>
      <c r="AB180" s="27">
        <f t="shared" si="20"/>
        <v>-586</v>
      </c>
    </row>
    <row r="181" spans="1:28" x14ac:dyDescent="0.25">
      <c r="A181" s="19">
        <v>2</v>
      </c>
      <c r="B181" s="19">
        <v>2</v>
      </c>
      <c r="C181" s="19">
        <v>5</v>
      </c>
      <c r="D181" s="19" t="s">
        <v>209</v>
      </c>
      <c r="E181" s="19" t="s">
        <v>200</v>
      </c>
      <c r="F181" s="24">
        <v>41694</v>
      </c>
      <c r="G181" s="24">
        <v>41694</v>
      </c>
      <c r="H181" s="19" t="s">
        <v>210</v>
      </c>
      <c r="I181" s="19" t="s">
        <v>211</v>
      </c>
      <c r="L181" s="26" t="s">
        <v>244</v>
      </c>
      <c r="M181" s="25">
        <v>0</v>
      </c>
      <c r="V181" s="19" t="str">
        <f t="shared" si="14"/>
        <v/>
      </c>
      <c r="W181" s="19" t="str">
        <f t="shared" si="15"/>
        <v/>
      </c>
      <c r="X181" s="24">
        <f t="shared" ca="1" si="16"/>
        <v>42440</v>
      </c>
      <c r="Y181" s="19">
        <f t="shared" si="17"/>
        <v>9</v>
      </c>
      <c r="Z181" s="19">
        <f t="shared" si="18"/>
        <v>2</v>
      </c>
      <c r="AA181" s="19">
        <f t="shared" si="19"/>
        <v>2014</v>
      </c>
      <c r="AB181" s="27">
        <f t="shared" si="20"/>
        <v>-584</v>
      </c>
    </row>
    <row r="182" spans="1:28" x14ac:dyDescent="0.25">
      <c r="A182" s="19">
        <v>2</v>
      </c>
      <c r="B182" s="19">
        <v>2</v>
      </c>
      <c r="C182" s="19">
        <v>5</v>
      </c>
      <c r="D182" s="19" t="s">
        <v>209</v>
      </c>
      <c r="E182" s="19" t="s">
        <v>200</v>
      </c>
      <c r="F182" s="24">
        <v>41695</v>
      </c>
      <c r="G182" s="24">
        <v>41695</v>
      </c>
      <c r="H182" s="19" t="s">
        <v>210</v>
      </c>
      <c r="I182" s="19" t="s">
        <v>211</v>
      </c>
      <c r="L182" s="26" t="s">
        <v>244</v>
      </c>
      <c r="M182" s="25">
        <v>0</v>
      </c>
      <c r="V182" s="19" t="str">
        <f t="shared" si="14"/>
        <v/>
      </c>
      <c r="W182" s="19" t="str">
        <f t="shared" si="15"/>
        <v/>
      </c>
      <c r="X182" s="24">
        <f t="shared" ca="1" si="16"/>
        <v>42440</v>
      </c>
      <c r="Y182" s="19">
        <f t="shared" si="17"/>
        <v>9</v>
      </c>
      <c r="Z182" s="19">
        <f t="shared" si="18"/>
        <v>2</v>
      </c>
      <c r="AA182" s="19">
        <f t="shared" si="19"/>
        <v>2014</v>
      </c>
      <c r="AB182" s="27">
        <f t="shared" si="20"/>
        <v>-584</v>
      </c>
    </row>
    <row r="183" spans="1:28" x14ac:dyDescent="0.25">
      <c r="A183" s="19">
        <v>2</v>
      </c>
      <c r="B183" s="19">
        <v>2</v>
      </c>
      <c r="C183" s="19">
        <v>5</v>
      </c>
      <c r="D183" s="19" t="s">
        <v>209</v>
      </c>
      <c r="E183" s="19" t="s">
        <v>200</v>
      </c>
      <c r="F183" s="24">
        <v>41696</v>
      </c>
      <c r="G183" s="24">
        <v>41696</v>
      </c>
      <c r="H183" s="19" t="s">
        <v>210</v>
      </c>
      <c r="I183" s="19" t="s">
        <v>211</v>
      </c>
      <c r="L183" s="26" t="s">
        <v>244</v>
      </c>
      <c r="M183" s="25">
        <v>0</v>
      </c>
      <c r="V183" s="19" t="str">
        <f t="shared" si="14"/>
        <v/>
      </c>
      <c r="W183" s="19" t="str">
        <f t="shared" si="15"/>
        <v/>
      </c>
      <c r="X183" s="24">
        <f t="shared" ca="1" si="16"/>
        <v>42440</v>
      </c>
      <c r="Y183" s="19">
        <f t="shared" si="17"/>
        <v>9</v>
      </c>
      <c r="Z183" s="19">
        <f t="shared" si="18"/>
        <v>2</v>
      </c>
      <c r="AA183" s="19">
        <f t="shared" si="19"/>
        <v>2014</v>
      </c>
      <c r="AB183" s="27">
        <f t="shared" si="20"/>
        <v>-584</v>
      </c>
    </row>
    <row r="184" spans="1:28" x14ac:dyDescent="0.25">
      <c r="A184" s="19">
        <v>2</v>
      </c>
      <c r="B184" s="19">
        <v>2</v>
      </c>
      <c r="C184" s="19">
        <v>5</v>
      </c>
      <c r="D184" s="19" t="s">
        <v>209</v>
      </c>
      <c r="E184" s="19" t="s">
        <v>200</v>
      </c>
      <c r="F184" s="24">
        <v>41697</v>
      </c>
      <c r="G184" s="24">
        <v>41697</v>
      </c>
      <c r="H184" s="19" t="s">
        <v>210</v>
      </c>
      <c r="I184" s="19" t="s">
        <v>211</v>
      </c>
      <c r="L184" s="26" t="s">
        <v>244</v>
      </c>
      <c r="M184" s="25">
        <v>0</v>
      </c>
      <c r="V184" s="19" t="str">
        <f t="shared" si="14"/>
        <v/>
      </c>
      <c r="W184" s="19" t="str">
        <f t="shared" si="15"/>
        <v/>
      </c>
      <c r="X184" s="24">
        <f t="shared" ca="1" si="16"/>
        <v>42440</v>
      </c>
      <c r="Y184" s="19">
        <f t="shared" si="17"/>
        <v>9</v>
      </c>
      <c r="Z184" s="19">
        <f t="shared" si="18"/>
        <v>2</v>
      </c>
      <c r="AA184" s="19">
        <f t="shared" si="19"/>
        <v>2014</v>
      </c>
      <c r="AB184" s="27">
        <f t="shared" si="20"/>
        <v>-584</v>
      </c>
    </row>
    <row r="185" spans="1:28" x14ac:dyDescent="0.25">
      <c r="A185" s="19">
        <v>2</v>
      </c>
      <c r="B185" s="19">
        <v>2</v>
      </c>
      <c r="C185" s="19">
        <v>5</v>
      </c>
      <c r="D185" s="19" t="s">
        <v>209</v>
      </c>
      <c r="E185" s="19" t="s">
        <v>200</v>
      </c>
      <c r="F185" s="24">
        <v>41698</v>
      </c>
      <c r="G185" s="24">
        <v>41698</v>
      </c>
      <c r="H185" s="19" t="s">
        <v>210</v>
      </c>
      <c r="I185" s="19" t="s">
        <v>211</v>
      </c>
      <c r="L185" s="26" t="s">
        <v>244</v>
      </c>
      <c r="M185" s="25">
        <v>0</v>
      </c>
      <c r="V185" s="19" t="str">
        <f t="shared" si="14"/>
        <v/>
      </c>
      <c r="W185" s="19" t="str">
        <f t="shared" si="15"/>
        <v/>
      </c>
      <c r="X185" s="24">
        <f t="shared" ca="1" si="16"/>
        <v>42440</v>
      </c>
      <c r="Y185" s="19">
        <f t="shared" si="17"/>
        <v>9</v>
      </c>
      <c r="Z185" s="19">
        <f t="shared" si="18"/>
        <v>2</v>
      </c>
      <c r="AA185" s="19">
        <f t="shared" si="19"/>
        <v>2014</v>
      </c>
      <c r="AB185" s="27">
        <f t="shared" si="20"/>
        <v>-584</v>
      </c>
    </row>
    <row r="186" spans="1:28" x14ac:dyDescent="0.25">
      <c r="A186" s="19">
        <v>2</v>
      </c>
      <c r="B186" s="19">
        <v>2</v>
      </c>
      <c r="C186" s="19">
        <v>5</v>
      </c>
      <c r="D186" s="19" t="s">
        <v>209</v>
      </c>
      <c r="E186" s="19" t="s">
        <v>200</v>
      </c>
      <c r="F186" s="24">
        <v>41701</v>
      </c>
      <c r="G186" s="24">
        <v>41701</v>
      </c>
      <c r="H186" s="19" t="s">
        <v>210</v>
      </c>
      <c r="I186" s="19" t="s">
        <v>211</v>
      </c>
      <c r="L186" s="26" t="s">
        <v>245</v>
      </c>
      <c r="M186" s="25">
        <v>0</v>
      </c>
      <c r="V186" s="19" t="str">
        <f t="shared" si="14"/>
        <v/>
      </c>
      <c r="W186" s="19" t="str">
        <f t="shared" si="15"/>
        <v/>
      </c>
      <c r="X186" s="24">
        <f t="shared" ca="1" si="16"/>
        <v>42440</v>
      </c>
      <c r="Y186" s="19">
        <f t="shared" si="17"/>
        <v>10</v>
      </c>
      <c r="Z186" s="19">
        <f t="shared" si="18"/>
        <v>3</v>
      </c>
      <c r="AA186" s="19">
        <f t="shared" si="19"/>
        <v>2014</v>
      </c>
      <c r="AB186" s="27">
        <f t="shared" si="20"/>
        <v>-180</v>
      </c>
    </row>
    <row r="187" spans="1:28" x14ac:dyDescent="0.25">
      <c r="A187" s="19">
        <v>2</v>
      </c>
      <c r="B187" s="19">
        <v>2</v>
      </c>
      <c r="C187" s="19">
        <v>5</v>
      </c>
      <c r="D187" s="19" t="s">
        <v>209</v>
      </c>
      <c r="E187" s="19" t="s">
        <v>200</v>
      </c>
      <c r="F187" s="24">
        <v>41702</v>
      </c>
      <c r="G187" s="24">
        <v>41702</v>
      </c>
      <c r="H187" s="19" t="s">
        <v>210</v>
      </c>
      <c r="I187" s="19" t="s">
        <v>211</v>
      </c>
      <c r="L187" s="26" t="s">
        <v>245</v>
      </c>
      <c r="M187" s="25">
        <v>0</v>
      </c>
      <c r="V187" s="19" t="str">
        <f t="shared" si="14"/>
        <v/>
      </c>
      <c r="W187" s="19" t="str">
        <f t="shared" si="15"/>
        <v/>
      </c>
      <c r="X187" s="24">
        <f t="shared" ca="1" si="16"/>
        <v>42440</v>
      </c>
      <c r="Y187" s="19">
        <f t="shared" si="17"/>
        <v>10</v>
      </c>
      <c r="Z187" s="19">
        <f t="shared" si="18"/>
        <v>3</v>
      </c>
      <c r="AA187" s="19">
        <f t="shared" si="19"/>
        <v>2014</v>
      </c>
      <c r="AB187" s="27">
        <f t="shared" si="20"/>
        <v>-180</v>
      </c>
    </row>
    <row r="188" spans="1:28" x14ac:dyDescent="0.25">
      <c r="A188" s="19">
        <v>2</v>
      </c>
      <c r="B188" s="19">
        <v>2</v>
      </c>
      <c r="C188" s="19">
        <v>5</v>
      </c>
      <c r="D188" s="19" t="s">
        <v>209</v>
      </c>
      <c r="E188" s="19" t="s">
        <v>200</v>
      </c>
      <c r="F188" s="24">
        <v>41703</v>
      </c>
      <c r="G188" s="24">
        <v>41703</v>
      </c>
      <c r="H188" s="19" t="s">
        <v>210</v>
      </c>
      <c r="I188" s="19" t="s">
        <v>211</v>
      </c>
      <c r="L188" s="26" t="s">
        <v>245</v>
      </c>
      <c r="M188" s="25">
        <v>0</v>
      </c>
      <c r="V188" s="19" t="str">
        <f t="shared" si="14"/>
        <v/>
      </c>
      <c r="W188" s="19" t="str">
        <f t="shared" si="15"/>
        <v/>
      </c>
      <c r="X188" s="24">
        <f t="shared" ca="1" si="16"/>
        <v>42440</v>
      </c>
      <c r="Y188" s="19">
        <f t="shared" si="17"/>
        <v>10</v>
      </c>
      <c r="Z188" s="19">
        <f t="shared" si="18"/>
        <v>3</v>
      </c>
      <c r="AA188" s="19">
        <f t="shared" si="19"/>
        <v>2014</v>
      </c>
      <c r="AB188" s="27">
        <f t="shared" si="20"/>
        <v>-180</v>
      </c>
    </row>
    <row r="189" spans="1:28" x14ac:dyDescent="0.25">
      <c r="A189" s="19">
        <v>2</v>
      </c>
      <c r="B189" s="19">
        <v>2</v>
      </c>
      <c r="C189" s="19">
        <v>5</v>
      </c>
      <c r="D189" s="19" t="s">
        <v>209</v>
      </c>
      <c r="E189" s="19" t="s">
        <v>200</v>
      </c>
      <c r="F189" s="24">
        <v>41704</v>
      </c>
      <c r="G189" s="24">
        <v>41704</v>
      </c>
      <c r="H189" s="19" t="s">
        <v>210</v>
      </c>
      <c r="I189" s="19" t="s">
        <v>211</v>
      </c>
      <c r="L189" s="26" t="s">
        <v>245</v>
      </c>
      <c r="M189" s="25">
        <v>0</v>
      </c>
      <c r="V189" s="19" t="str">
        <f t="shared" si="14"/>
        <v/>
      </c>
      <c r="W189" s="19" t="str">
        <f t="shared" si="15"/>
        <v/>
      </c>
      <c r="X189" s="24">
        <f t="shared" ca="1" si="16"/>
        <v>42440</v>
      </c>
      <c r="Y189" s="19">
        <f t="shared" si="17"/>
        <v>10</v>
      </c>
      <c r="Z189" s="19">
        <f t="shared" si="18"/>
        <v>3</v>
      </c>
      <c r="AA189" s="19">
        <f t="shared" si="19"/>
        <v>2014</v>
      </c>
      <c r="AB189" s="27">
        <f t="shared" si="20"/>
        <v>-180</v>
      </c>
    </row>
    <row r="190" spans="1:28" x14ac:dyDescent="0.25">
      <c r="A190" s="19">
        <v>2</v>
      </c>
      <c r="B190" s="19">
        <v>2</v>
      </c>
      <c r="C190" s="19">
        <v>5</v>
      </c>
      <c r="D190" s="19" t="s">
        <v>209</v>
      </c>
      <c r="E190" s="19" t="s">
        <v>200</v>
      </c>
      <c r="F190" s="24">
        <v>41705</v>
      </c>
      <c r="G190" s="24">
        <v>41705</v>
      </c>
      <c r="H190" s="19" t="s">
        <v>210</v>
      </c>
      <c r="I190" s="19" t="s">
        <v>211</v>
      </c>
      <c r="L190" s="26" t="s">
        <v>245</v>
      </c>
      <c r="M190" s="25">
        <v>0</v>
      </c>
      <c r="V190" s="19" t="str">
        <f t="shared" si="14"/>
        <v/>
      </c>
      <c r="W190" s="19" t="str">
        <f t="shared" si="15"/>
        <v/>
      </c>
      <c r="X190" s="24">
        <f t="shared" ca="1" si="16"/>
        <v>42440</v>
      </c>
      <c r="Y190" s="19">
        <f t="shared" si="17"/>
        <v>10</v>
      </c>
      <c r="Z190" s="19">
        <f t="shared" si="18"/>
        <v>3</v>
      </c>
      <c r="AA190" s="19">
        <f t="shared" si="19"/>
        <v>2014</v>
      </c>
      <c r="AB190" s="27">
        <f t="shared" si="20"/>
        <v>-180</v>
      </c>
    </row>
    <row r="191" spans="1:28" x14ac:dyDescent="0.25">
      <c r="A191" s="19">
        <v>2</v>
      </c>
      <c r="B191" s="19">
        <v>2</v>
      </c>
      <c r="C191" s="19">
        <v>5</v>
      </c>
      <c r="D191" s="19" t="s">
        <v>209</v>
      </c>
      <c r="E191" s="19" t="s">
        <v>200</v>
      </c>
      <c r="F191" s="24">
        <v>41708</v>
      </c>
      <c r="G191" s="24">
        <v>41708</v>
      </c>
      <c r="H191" s="19" t="s">
        <v>210</v>
      </c>
      <c r="I191" s="19" t="s">
        <v>211</v>
      </c>
      <c r="L191" s="26" t="s">
        <v>246</v>
      </c>
      <c r="M191" s="25">
        <v>0</v>
      </c>
      <c r="V191" s="19" t="str">
        <f t="shared" si="14"/>
        <v/>
      </c>
      <c r="W191" s="19" t="str">
        <f t="shared" si="15"/>
        <v/>
      </c>
      <c r="X191" s="24">
        <f t="shared" ca="1" si="16"/>
        <v>42440</v>
      </c>
      <c r="Y191" s="19">
        <f t="shared" si="17"/>
        <v>11</v>
      </c>
      <c r="Z191" s="19">
        <f t="shared" si="18"/>
        <v>3</v>
      </c>
      <c r="AA191" s="19">
        <f t="shared" si="19"/>
        <v>2014</v>
      </c>
      <c r="AB191" s="27">
        <f t="shared" si="20"/>
        <v>-182</v>
      </c>
    </row>
    <row r="192" spans="1:28" x14ac:dyDescent="0.25">
      <c r="A192" s="19">
        <v>2</v>
      </c>
      <c r="B192" s="19">
        <v>2</v>
      </c>
      <c r="C192" s="19">
        <v>5</v>
      </c>
      <c r="D192" s="19" t="s">
        <v>209</v>
      </c>
      <c r="E192" s="19" t="s">
        <v>200</v>
      </c>
      <c r="F192" s="24">
        <v>41709</v>
      </c>
      <c r="G192" s="24">
        <v>41709</v>
      </c>
      <c r="H192" s="19" t="s">
        <v>210</v>
      </c>
      <c r="I192" s="19" t="s">
        <v>211</v>
      </c>
      <c r="L192" s="26" t="s">
        <v>246</v>
      </c>
      <c r="M192" s="25">
        <v>0</v>
      </c>
      <c r="V192" s="19" t="str">
        <f t="shared" si="14"/>
        <v/>
      </c>
      <c r="W192" s="19" t="str">
        <f t="shared" si="15"/>
        <v/>
      </c>
      <c r="X192" s="24">
        <f t="shared" ca="1" si="16"/>
        <v>42440</v>
      </c>
      <c r="Y192" s="19">
        <f t="shared" si="17"/>
        <v>11</v>
      </c>
      <c r="Z192" s="19">
        <f t="shared" si="18"/>
        <v>3</v>
      </c>
      <c r="AA192" s="19">
        <f t="shared" si="19"/>
        <v>2014</v>
      </c>
      <c r="AB192" s="27">
        <f t="shared" si="20"/>
        <v>-182</v>
      </c>
    </row>
    <row r="193" spans="1:28" x14ac:dyDescent="0.25">
      <c r="A193" s="19">
        <v>2</v>
      </c>
      <c r="B193" s="19">
        <v>2</v>
      </c>
      <c r="C193" s="19">
        <v>5</v>
      </c>
      <c r="D193" s="19" t="s">
        <v>209</v>
      </c>
      <c r="E193" s="19" t="s">
        <v>200</v>
      </c>
      <c r="F193" s="24">
        <v>41710</v>
      </c>
      <c r="G193" s="24">
        <v>41710</v>
      </c>
      <c r="H193" s="19" t="s">
        <v>210</v>
      </c>
      <c r="I193" s="19" t="s">
        <v>211</v>
      </c>
      <c r="L193" s="26" t="s">
        <v>246</v>
      </c>
      <c r="M193" s="25">
        <v>0</v>
      </c>
      <c r="V193" s="19" t="str">
        <f t="shared" si="14"/>
        <v/>
      </c>
      <c r="W193" s="19" t="str">
        <f t="shared" si="15"/>
        <v/>
      </c>
      <c r="X193" s="24">
        <f t="shared" ca="1" si="16"/>
        <v>42440</v>
      </c>
      <c r="Y193" s="19">
        <f t="shared" si="17"/>
        <v>11</v>
      </c>
      <c r="Z193" s="19">
        <f t="shared" si="18"/>
        <v>3</v>
      </c>
      <c r="AA193" s="19">
        <f t="shared" si="19"/>
        <v>2014</v>
      </c>
      <c r="AB193" s="27">
        <f t="shared" si="20"/>
        <v>-182</v>
      </c>
    </row>
    <row r="194" spans="1:28" x14ac:dyDescent="0.25">
      <c r="A194" s="19">
        <v>2</v>
      </c>
      <c r="B194" s="19">
        <v>2</v>
      </c>
      <c r="C194" s="19">
        <v>5</v>
      </c>
      <c r="D194" s="19" t="s">
        <v>209</v>
      </c>
      <c r="E194" s="19" t="s">
        <v>200</v>
      </c>
      <c r="F194" s="24">
        <v>41711</v>
      </c>
      <c r="G194" s="24">
        <v>41711</v>
      </c>
      <c r="H194" s="19" t="s">
        <v>210</v>
      </c>
      <c r="I194" s="19" t="s">
        <v>211</v>
      </c>
      <c r="L194" s="26" t="s">
        <v>246</v>
      </c>
      <c r="M194" s="25">
        <v>0</v>
      </c>
      <c r="V194" s="19" t="str">
        <f t="shared" si="14"/>
        <v/>
      </c>
      <c r="W194" s="19" t="str">
        <f t="shared" si="15"/>
        <v/>
      </c>
      <c r="X194" s="24">
        <f t="shared" ca="1" si="16"/>
        <v>42440</v>
      </c>
      <c r="Y194" s="19">
        <f t="shared" si="17"/>
        <v>11</v>
      </c>
      <c r="Z194" s="19">
        <f t="shared" si="18"/>
        <v>3</v>
      </c>
      <c r="AA194" s="19">
        <f t="shared" si="19"/>
        <v>2014</v>
      </c>
      <c r="AB194" s="27">
        <f t="shared" si="20"/>
        <v>-182</v>
      </c>
    </row>
    <row r="195" spans="1:28" x14ac:dyDescent="0.25">
      <c r="A195" s="19">
        <v>2</v>
      </c>
      <c r="B195" s="19">
        <v>2</v>
      </c>
      <c r="C195" s="19">
        <v>5</v>
      </c>
      <c r="D195" s="19" t="s">
        <v>209</v>
      </c>
      <c r="E195" s="19" t="s">
        <v>200</v>
      </c>
      <c r="F195" s="24">
        <v>41712</v>
      </c>
      <c r="G195" s="24">
        <v>41712</v>
      </c>
      <c r="H195" s="19" t="s">
        <v>210</v>
      </c>
      <c r="I195" s="19" t="s">
        <v>211</v>
      </c>
      <c r="L195" s="26" t="s">
        <v>246</v>
      </c>
      <c r="M195" s="25">
        <v>0</v>
      </c>
      <c r="V195" s="19" t="str">
        <f t="shared" ref="V195:V247" si="21">IF(S195&lt;&gt;"",TEXT(S195,"0000")&amp;" "&amp;T195,"")</f>
        <v/>
      </c>
      <c r="W195" s="19" t="str">
        <f t="shared" ref="W195:W247" si="22">IF(R195&lt;&gt;"",TEXT(R195,"0000")&amp;" "&amp;U195,"")</f>
        <v/>
      </c>
      <c r="X195" s="24">
        <f t="shared" ref="X195:X247" ca="1" si="23">IF(F195&lt;TODAY(),TODAY(),F195)</f>
        <v>42440</v>
      </c>
      <c r="Y195" s="19">
        <f t="shared" ref="Y195:Y247" si="24">IF(WEEKDAY(DATE(YEAR(F195),1,1),2)&gt;4,WEEKNUM(F195,2)-1,WEEKNUM(F195,2))</f>
        <v>11</v>
      </c>
      <c r="Z195" s="19">
        <f t="shared" ref="Z195:Z247" si="25">MONTH(F195)</f>
        <v>3</v>
      </c>
      <c r="AA195" s="19">
        <f t="shared" ref="AA195:AA247" si="26">YEAR(F195)</f>
        <v>2014</v>
      </c>
      <c r="AB195" s="27">
        <f t="shared" ref="AB195:AB247" si="27">VALUE(L195)</f>
        <v>-182</v>
      </c>
    </row>
    <row r="196" spans="1:28" x14ac:dyDescent="0.25">
      <c r="A196" s="19">
        <v>2</v>
      </c>
      <c r="B196" s="19">
        <v>2</v>
      </c>
      <c r="C196" s="19">
        <v>5</v>
      </c>
      <c r="D196" s="19" t="s">
        <v>209</v>
      </c>
      <c r="E196" s="19" t="s">
        <v>200</v>
      </c>
      <c r="F196" s="24">
        <v>41715</v>
      </c>
      <c r="G196" s="24">
        <v>41715</v>
      </c>
      <c r="H196" s="19" t="s">
        <v>210</v>
      </c>
      <c r="I196" s="19" t="s">
        <v>211</v>
      </c>
      <c r="L196" s="26" t="s">
        <v>247</v>
      </c>
      <c r="M196" s="25">
        <v>0</v>
      </c>
      <c r="V196" s="19" t="str">
        <f t="shared" si="21"/>
        <v/>
      </c>
      <c r="W196" s="19" t="str">
        <f t="shared" si="22"/>
        <v/>
      </c>
      <c r="X196" s="24">
        <f t="shared" ca="1" si="23"/>
        <v>42440</v>
      </c>
      <c r="Y196" s="19">
        <f t="shared" si="24"/>
        <v>12</v>
      </c>
      <c r="Z196" s="19">
        <f t="shared" si="25"/>
        <v>3</v>
      </c>
      <c r="AA196" s="19">
        <f t="shared" si="26"/>
        <v>2014</v>
      </c>
      <c r="AB196" s="27">
        <f t="shared" si="27"/>
        <v>-172</v>
      </c>
    </row>
    <row r="197" spans="1:28" x14ac:dyDescent="0.25">
      <c r="A197" s="19">
        <v>2</v>
      </c>
      <c r="B197" s="19">
        <v>2</v>
      </c>
      <c r="C197" s="19">
        <v>5</v>
      </c>
      <c r="D197" s="19" t="s">
        <v>209</v>
      </c>
      <c r="E197" s="19" t="s">
        <v>200</v>
      </c>
      <c r="F197" s="24">
        <v>41716</v>
      </c>
      <c r="G197" s="24">
        <v>41716</v>
      </c>
      <c r="H197" s="19" t="s">
        <v>210</v>
      </c>
      <c r="I197" s="19" t="s">
        <v>211</v>
      </c>
      <c r="L197" s="26" t="s">
        <v>247</v>
      </c>
      <c r="M197" s="25">
        <v>0</v>
      </c>
      <c r="V197" s="19" t="str">
        <f t="shared" si="21"/>
        <v/>
      </c>
      <c r="W197" s="19" t="str">
        <f t="shared" si="22"/>
        <v/>
      </c>
      <c r="X197" s="24">
        <f t="shared" ca="1" si="23"/>
        <v>42440</v>
      </c>
      <c r="Y197" s="19">
        <f t="shared" si="24"/>
        <v>12</v>
      </c>
      <c r="Z197" s="19">
        <f t="shared" si="25"/>
        <v>3</v>
      </c>
      <c r="AA197" s="19">
        <f t="shared" si="26"/>
        <v>2014</v>
      </c>
      <c r="AB197" s="27">
        <f t="shared" si="27"/>
        <v>-172</v>
      </c>
    </row>
    <row r="198" spans="1:28" x14ac:dyDescent="0.25">
      <c r="A198" s="19">
        <v>2</v>
      </c>
      <c r="B198" s="19">
        <v>2</v>
      </c>
      <c r="C198" s="19">
        <v>5</v>
      </c>
      <c r="D198" s="19" t="s">
        <v>209</v>
      </c>
      <c r="E198" s="19" t="s">
        <v>200</v>
      </c>
      <c r="F198" s="24">
        <v>41717</v>
      </c>
      <c r="G198" s="24">
        <v>41717</v>
      </c>
      <c r="H198" s="19" t="s">
        <v>210</v>
      </c>
      <c r="I198" s="19" t="s">
        <v>211</v>
      </c>
      <c r="L198" s="26" t="s">
        <v>247</v>
      </c>
      <c r="M198" s="25">
        <v>0</v>
      </c>
      <c r="V198" s="19" t="str">
        <f t="shared" si="21"/>
        <v/>
      </c>
      <c r="W198" s="19" t="str">
        <f t="shared" si="22"/>
        <v/>
      </c>
      <c r="X198" s="24">
        <f t="shared" ca="1" si="23"/>
        <v>42440</v>
      </c>
      <c r="Y198" s="19">
        <f t="shared" si="24"/>
        <v>12</v>
      </c>
      <c r="Z198" s="19">
        <f t="shared" si="25"/>
        <v>3</v>
      </c>
      <c r="AA198" s="19">
        <f t="shared" si="26"/>
        <v>2014</v>
      </c>
      <c r="AB198" s="27">
        <f t="shared" si="27"/>
        <v>-172</v>
      </c>
    </row>
    <row r="199" spans="1:28" x14ac:dyDescent="0.25">
      <c r="A199" s="19">
        <v>2</v>
      </c>
      <c r="B199" s="19">
        <v>2</v>
      </c>
      <c r="C199" s="19">
        <v>5</v>
      </c>
      <c r="D199" s="19" t="s">
        <v>209</v>
      </c>
      <c r="E199" s="19" t="s">
        <v>200</v>
      </c>
      <c r="F199" s="24">
        <v>41718</v>
      </c>
      <c r="G199" s="24">
        <v>41718</v>
      </c>
      <c r="H199" s="19" t="s">
        <v>210</v>
      </c>
      <c r="I199" s="19" t="s">
        <v>211</v>
      </c>
      <c r="L199" s="26" t="s">
        <v>247</v>
      </c>
      <c r="M199" s="25">
        <v>0</v>
      </c>
      <c r="V199" s="19" t="str">
        <f t="shared" si="21"/>
        <v/>
      </c>
      <c r="W199" s="19" t="str">
        <f t="shared" si="22"/>
        <v/>
      </c>
      <c r="X199" s="24">
        <f t="shared" ca="1" si="23"/>
        <v>42440</v>
      </c>
      <c r="Y199" s="19">
        <f t="shared" si="24"/>
        <v>12</v>
      </c>
      <c r="Z199" s="19">
        <f t="shared" si="25"/>
        <v>3</v>
      </c>
      <c r="AA199" s="19">
        <f t="shared" si="26"/>
        <v>2014</v>
      </c>
      <c r="AB199" s="27">
        <f t="shared" si="27"/>
        <v>-172</v>
      </c>
    </row>
    <row r="200" spans="1:28" x14ac:dyDescent="0.25">
      <c r="A200" s="19">
        <v>2</v>
      </c>
      <c r="B200" s="19">
        <v>2</v>
      </c>
      <c r="C200" s="19">
        <v>5</v>
      </c>
      <c r="D200" s="19" t="s">
        <v>209</v>
      </c>
      <c r="E200" s="19" t="s">
        <v>200</v>
      </c>
      <c r="F200" s="24">
        <v>41719</v>
      </c>
      <c r="G200" s="24">
        <v>41719</v>
      </c>
      <c r="H200" s="19" t="s">
        <v>210</v>
      </c>
      <c r="I200" s="19" t="s">
        <v>211</v>
      </c>
      <c r="L200" s="26" t="s">
        <v>247</v>
      </c>
      <c r="M200" s="25">
        <v>0</v>
      </c>
      <c r="V200" s="19" t="str">
        <f t="shared" si="21"/>
        <v/>
      </c>
      <c r="W200" s="19" t="str">
        <f t="shared" si="22"/>
        <v/>
      </c>
      <c r="X200" s="24">
        <f t="shared" ca="1" si="23"/>
        <v>42440</v>
      </c>
      <c r="Y200" s="19">
        <f t="shared" si="24"/>
        <v>12</v>
      </c>
      <c r="Z200" s="19">
        <f t="shared" si="25"/>
        <v>3</v>
      </c>
      <c r="AA200" s="19">
        <f t="shared" si="26"/>
        <v>2014</v>
      </c>
      <c r="AB200" s="27">
        <f t="shared" si="27"/>
        <v>-172</v>
      </c>
    </row>
    <row r="201" spans="1:28" x14ac:dyDescent="0.25">
      <c r="A201" s="19">
        <v>2</v>
      </c>
      <c r="B201" s="19">
        <v>2</v>
      </c>
      <c r="C201" s="19">
        <v>5</v>
      </c>
      <c r="D201" s="19" t="s">
        <v>209</v>
      </c>
      <c r="E201" s="19" t="s">
        <v>200</v>
      </c>
      <c r="F201" s="24">
        <v>41722</v>
      </c>
      <c r="G201" s="24">
        <v>41722</v>
      </c>
      <c r="H201" s="19" t="s">
        <v>210</v>
      </c>
      <c r="I201" s="19" t="s">
        <v>211</v>
      </c>
      <c r="L201" s="26" t="s">
        <v>246</v>
      </c>
      <c r="M201" s="25">
        <v>0</v>
      </c>
      <c r="V201" s="19" t="str">
        <f t="shared" si="21"/>
        <v/>
      </c>
      <c r="W201" s="19" t="str">
        <f t="shared" si="22"/>
        <v/>
      </c>
      <c r="X201" s="24">
        <f t="shared" ca="1" si="23"/>
        <v>42440</v>
      </c>
      <c r="Y201" s="19">
        <f t="shared" si="24"/>
        <v>13</v>
      </c>
      <c r="Z201" s="19">
        <f t="shared" si="25"/>
        <v>3</v>
      </c>
      <c r="AA201" s="19">
        <f t="shared" si="26"/>
        <v>2014</v>
      </c>
      <c r="AB201" s="27">
        <f t="shared" si="27"/>
        <v>-182</v>
      </c>
    </row>
    <row r="202" spans="1:28" x14ac:dyDescent="0.25">
      <c r="A202" s="19">
        <v>2</v>
      </c>
      <c r="B202" s="19">
        <v>2</v>
      </c>
      <c r="C202" s="19">
        <v>5</v>
      </c>
      <c r="D202" s="19" t="s">
        <v>209</v>
      </c>
      <c r="E202" s="19" t="s">
        <v>200</v>
      </c>
      <c r="F202" s="24">
        <v>41723</v>
      </c>
      <c r="G202" s="24">
        <v>41723</v>
      </c>
      <c r="H202" s="19" t="s">
        <v>210</v>
      </c>
      <c r="I202" s="19" t="s">
        <v>211</v>
      </c>
      <c r="L202" s="26" t="s">
        <v>246</v>
      </c>
      <c r="M202" s="25">
        <v>0</v>
      </c>
      <c r="V202" s="19" t="str">
        <f t="shared" si="21"/>
        <v/>
      </c>
      <c r="W202" s="19" t="str">
        <f t="shared" si="22"/>
        <v/>
      </c>
      <c r="X202" s="24">
        <f t="shared" ca="1" si="23"/>
        <v>42440</v>
      </c>
      <c r="Y202" s="19">
        <f t="shared" si="24"/>
        <v>13</v>
      </c>
      <c r="Z202" s="19">
        <f t="shared" si="25"/>
        <v>3</v>
      </c>
      <c r="AA202" s="19">
        <f t="shared" si="26"/>
        <v>2014</v>
      </c>
      <c r="AB202" s="27">
        <f t="shared" si="27"/>
        <v>-182</v>
      </c>
    </row>
    <row r="203" spans="1:28" x14ac:dyDescent="0.25">
      <c r="A203" s="19">
        <v>2</v>
      </c>
      <c r="B203" s="19">
        <v>2</v>
      </c>
      <c r="C203" s="19">
        <v>5</v>
      </c>
      <c r="D203" s="19" t="s">
        <v>209</v>
      </c>
      <c r="E203" s="19" t="s">
        <v>200</v>
      </c>
      <c r="F203" s="24">
        <v>41724</v>
      </c>
      <c r="G203" s="24">
        <v>41724</v>
      </c>
      <c r="H203" s="19" t="s">
        <v>210</v>
      </c>
      <c r="I203" s="19" t="s">
        <v>211</v>
      </c>
      <c r="L203" s="26" t="s">
        <v>246</v>
      </c>
      <c r="M203" s="25">
        <v>0</v>
      </c>
      <c r="V203" s="19" t="str">
        <f t="shared" si="21"/>
        <v/>
      </c>
      <c r="W203" s="19" t="str">
        <f t="shared" si="22"/>
        <v/>
      </c>
      <c r="X203" s="24">
        <f t="shared" ca="1" si="23"/>
        <v>42440</v>
      </c>
      <c r="Y203" s="19">
        <f t="shared" si="24"/>
        <v>13</v>
      </c>
      <c r="Z203" s="19">
        <f t="shared" si="25"/>
        <v>3</v>
      </c>
      <c r="AA203" s="19">
        <f t="shared" si="26"/>
        <v>2014</v>
      </c>
      <c r="AB203" s="27">
        <f t="shared" si="27"/>
        <v>-182</v>
      </c>
    </row>
    <row r="204" spans="1:28" x14ac:dyDescent="0.25">
      <c r="A204" s="19">
        <v>2</v>
      </c>
      <c r="B204" s="19">
        <v>2</v>
      </c>
      <c r="C204" s="19">
        <v>5</v>
      </c>
      <c r="D204" s="19" t="s">
        <v>209</v>
      </c>
      <c r="E204" s="19" t="s">
        <v>200</v>
      </c>
      <c r="F204" s="24">
        <v>41725</v>
      </c>
      <c r="G204" s="24">
        <v>41725</v>
      </c>
      <c r="H204" s="19" t="s">
        <v>210</v>
      </c>
      <c r="I204" s="19" t="s">
        <v>211</v>
      </c>
      <c r="L204" s="26" t="s">
        <v>246</v>
      </c>
      <c r="M204" s="25">
        <v>0</v>
      </c>
      <c r="V204" s="19" t="str">
        <f t="shared" si="21"/>
        <v/>
      </c>
      <c r="W204" s="19" t="str">
        <f t="shared" si="22"/>
        <v/>
      </c>
      <c r="X204" s="24">
        <f t="shared" ca="1" si="23"/>
        <v>42440</v>
      </c>
      <c r="Y204" s="19">
        <f t="shared" si="24"/>
        <v>13</v>
      </c>
      <c r="Z204" s="19">
        <f t="shared" si="25"/>
        <v>3</v>
      </c>
      <c r="AA204" s="19">
        <f t="shared" si="26"/>
        <v>2014</v>
      </c>
      <c r="AB204" s="27">
        <f t="shared" si="27"/>
        <v>-182</v>
      </c>
    </row>
    <row r="205" spans="1:28" x14ac:dyDescent="0.25">
      <c r="A205" s="19">
        <v>2</v>
      </c>
      <c r="B205" s="19">
        <v>1</v>
      </c>
      <c r="C205" s="19">
        <v>7</v>
      </c>
      <c r="D205" s="19" t="s">
        <v>219</v>
      </c>
      <c r="E205" s="19" t="s">
        <v>204</v>
      </c>
      <c r="F205" s="24">
        <v>41726</v>
      </c>
      <c r="G205" s="24">
        <v>41726</v>
      </c>
      <c r="H205" s="19" t="s">
        <v>220</v>
      </c>
      <c r="I205" s="19" t="s">
        <v>248</v>
      </c>
      <c r="L205" s="26" t="s">
        <v>249</v>
      </c>
      <c r="M205" s="24">
        <v>41726</v>
      </c>
      <c r="Q205" s="19" t="s">
        <v>112</v>
      </c>
      <c r="V205" s="19" t="str">
        <f t="shared" si="21"/>
        <v/>
      </c>
      <c r="W205" s="19" t="str">
        <f t="shared" si="22"/>
        <v/>
      </c>
      <c r="X205" s="24">
        <f t="shared" ca="1" si="23"/>
        <v>42440</v>
      </c>
      <c r="Y205" s="19">
        <f t="shared" si="24"/>
        <v>13</v>
      </c>
      <c r="Z205" s="19">
        <f t="shared" si="25"/>
        <v>3</v>
      </c>
      <c r="AA205" s="19">
        <f t="shared" si="26"/>
        <v>2014</v>
      </c>
      <c r="AB205" s="27">
        <f t="shared" si="27"/>
        <v>6538</v>
      </c>
    </row>
    <row r="206" spans="1:28" x14ac:dyDescent="0.25">
      <c r="A206" s="19">
        <v>2</v>
      </c>
      <c r="B206" s="19">
        <v>2</v>
      </c>
      <c r="C206" s="19">
        <v>5</v>
      </c>
      <c r="D206" s="19" t="s">
        <v>209</v>
      </c>
      <c r="E206" s="19" t="s">
        <v>200</v>
      </c>
      <c r="F206" s="24">
        <v>41726</v>
      </c>
      <c r="G206" s="24">
        <v>41726</v>
      </c>
      <c r="H206" s="19" t="s">
        <v>210</v>
      </c>
      <c r="I206" s="19" t="s">
        <v>211</v>
      </c>
      <c r="L206" s="26" t="s">
        <v>246</v>
      </c>
      <c r="M206" s="25">
        <v>0</v>
      </c>
      <c r="V206" s="19" t="str">
        <f t="shared" si="21"/>
        <v/>
      </c>
      <c r="W206" s="19" t="str">
        <f t="shared" si="22"/>
        <v/>
      </c>
      <c r="X206" s="24">
        <f t="shared" ca="1" si="23"/>
        <v>42440</v>
      </c>
      <c r="Y206" s="19">
        <f t="shared" si="24"/>
        <v>13</v>
      </c>
      <c r="Z206" s="19">
        <f t="shared" si="25"/>
        <v>3</v>
      </c>
      <c r="AA206" s="19">
        <f t="shared" si="26"/>
        <v>2014</v>
      </c>
      <c r="AB206" s="27">
        <f t="shared" si="27"/>
        <v>-182</v>
      </c>
    </row>
    <row r="207" spans="1:28" x14ac:dyDescent="0.25">
      <c r="A207" s="19">
        <v>2</v>
      </c>
      <c r="B207" s="19">
        <v>2</v>
      </c>
      <c r="C207" s="19">
        <v>5</v>
      </c>
      <c r="D207" s="19" t="s">
        <v>209</v>
      </c>
      <c r="E207" s="19" t="s">
        <v>200</v>
      </c>
      <c r="F207" s="24">
        <v>41729</v>
      </c>
      <c r="G207" s="24">
        <v>41729</v>
      </c>
      <c r="H207" s="19" t="s">
        <v>210</v>
      </c>
      <c r="I207" s="19" t="s">
        <v>211</v>
      </c>
      <c r="L207" s="26" t="s">
        <v>250</v>
      </c>
      <c r="M207" s="25">
        <v>0</v>
      </c>
      <c r="V207" s="19" t="str">
        <f t="shared" si="21"/>
        <v/>
      </c>
      <c r="W207" s="19" t="str">
        <f t="shared" si="22"/>
        <v/>
      </c>
      <c r="X207" s="24">
        <f t="shared" ca="1" si="23"/>
        <v>42440</v>
      </c>
      <c r="Y207" s="19">
        <f t="shared" si="24"/>
        <v>14</v>
      </c>
      <c r="Z207" s="19">
        <f t="shared" si="25"/>
        <v>3</v>
      </c>
      <c r="AA207" s="19">
        <f t="shared" si="26"/>
        <v>2014</v>
      </c>
      <c r="AB207" s="27">
        <f t="shared" si="27"/>
        <v>-198</v>
      </c>
    </row>
    <row r="208" spans="1:28" x14ac:dyDescent="0.25">
      <c r="A208" s="19">
        <v>2</v>
      </c>
      <c r="B208" s="19">
        <v>2</v>
      </c>
      <c r="C208" s="19">
        <v>5</v>
      </c>
      <c r="D208" s="19" t="s">
        <v>209</v>
      </c>
      <c r="E208" s="19" t="s">
        <v>200</v>
      </c>
      <c r="F208" s="24">
        <v>41730</v>
      </c>
      <c r="G208" s="24">
        <v>41730</v>
      </c>
      <c r="H208" s="19" t="s">
        <v>210</v>
      </c>
      <c r="I208" s="19" t="s">
        <v>211</v>
      </c>
      <c r="L208" s="26" t="s">
        <v>250</v>
      </c>
      <c r="M208" s="25">
        <v>0</v>
      </c>
      <c r="V208" s="19" t="str">
        <f t="shared" si="21"/>
        <v/>
      </c>
      <c r="W208" s="19" t="str">
        <f t="shared" si="22"/>
        <v/>
      </c>
      <c r="X208" s="24">
        <f t="shared" ca="1" si="23"/>
        <v>42440</v>
      </c>
      <c r="Y208" s="19">
        <f t="shared" si="24"/>
        <v>14</v>
      </c>
      <c r="Z208" s="19">
        <f t="shared" si="25"/>
        <v>4</v>
      </c>
      <c r="AA208" s="19">
        <f t="shared" si="26"/>
        <v>2014</v>
      </c>
      <c r="AB208" s="27">
        <f t="shared" si="27"/>
        <v>-198</v>
      </c>
    </row>
    <row r="209" spans="1:28" x14ac:dyDescent="0.25">
      <c r="A209" s="19">
        <v>2</v>
      </c>
      <c r="B209" s="19">
        <v>2</v>
      </c>
      <c r="C209" s="19">
        <v>5</v>
      </c>
      <c r="D209" s="19" t="s">
        <v>209</v>
      </c>
      <c r="E209" s="19" t="s">
        <v>200</v>
      </c>
      <c r="F209" s="24">
        <v>41731</v>
      </c>
      <c r="G209" s="24">
        <v>41731</v>
      </c>
      <c r="H209" s="19" t="s">
        <v>210</v>
      </c>
      <c r="I209" s="19" t="s">
        <v>211</v>
      </c>
      <c r="L209" s="26" t="s">
        <v>250</v>
      </c>
      <c r="M209" s="25">
        <v>0</v>
      </c>
      <c r="V209" s="19" t="str">
        <f t="shared" si="21"/>
        <v/>
      </c>
      <c r="W209" s="19" t="str">
        <f t="shared" si="22"/>
        <v/>
      </c>
      <c r="X209" s="24">
        <f t="shared" ca="1" si="23"/>
        <v>42440</v>
      </c>
      <c r="Y209" s="19">
        <f t="shared" si="24"/>
        <v>14</v>
      </c>
      <c r="Z209" s="19">
        <f t="shared" si="25"/>
        <v>4</v>
      </c>
      <c r="AA209" s="19">
        <f t="shared" si="26"/>
        <v>2014</v>
      </c>
      <c r="AB209" s="27">
        <f t="shared" si="27"/>
        <v>-198</v>
      </c>
    </row>
    <row r="210" spans="1:28" x14ac:dyDescent="0.25">
      <c r="A210" s="19">
        <v>2</v>
      </c>
      <c r="B210" s="19">
        <v>2</v>
      </c>
      <c r="C210" s="19">
        <v>5</v>
      </c>
      <c r="D210" s="19" t="s">
        <v>209</v>
      </c>
      <c r="E210" s="19" t="s">
        <v>200</v>
      </c>
      <c r="F210" s="24">
        <v>41732</v>
      </c>
      <c r="G210" s="24">
        <v>41732</v>
      </c>
      <c r="H210" s="19" t="s">
        <v>210</v>
      </c>
      <c r="I210" s="19" t="s">
        <v>211</v>
      </c>
      <c r="L210" s="26" t="s">
        <v>250</v>
      </c>
      <c r="M210" s="25">
        <v>0</v>
      </c>
      <c r="V210" s="19" t="str">
        <f t="shared" si="21"/>
        <v/>
      </c>
      <c r="W210" s="19" t="str">
        <f t="shared" si="22"/>
        <v/>
      </c>
      <c r="X210" s="24">
        <f t="shared" ca="1" si="23"/>
        <v>42440</v>
      </c>
      <c r="Y210" s="19">
        <f t="shared" si="24"/>
        <v>14</v>
      </c>
      <c r="Z210" s="19">
        <f t="shared" si="25"/>
        <v>4</v>
      </c>
      <c r="AA210" s="19">
        <f t="shared" si="26"/>
        <v>2014</v>
      </c>
      <c r="AB210" s="27">
        <f t="shared" si="27"/>
        <v>-198</v>
      </c>
    </row>
    <row r="211" spans="1:28" x14ac:dyDescent="0.25">
      <c r="A211" s="19">
        <v>2</v>
      </c>
      <c r="B211" s="19">
        <v>2</v>
      </c>
      <c r="C211" s="19">
        <v>5</v>
      </c>
      <c r="D211" s="19" t="s">
        <v>209</v>
      </c>
      <c r="E211" s="19" t="s">
        <v>200</v>
      </c>
      <c r="F211" s="24">
        <v>41733</v>
      </c>
      <c r="G211" s="24">
        <v>41733</v>
      </c>
      <c r="H211" s="19" t="s">
        <v>210</v>
      </c>
      <c r="I211" s="19" t="s">
        <v>211</v>
      </c>
      <c r="L211" s="26" t="s">
        <v>250</v>
      </c>
      <c r="M211" s="25">
        <v>0</v>
      </c>
      <c r="V211" s="19" t="str">
        <f t="shared" si="21"/>
        <v/>
      </c>
      <c r="W211" s="19" t="str">
        <f t="shared" si="22"/>
        <v/>
      </c>
      <c r="X211" s="24">
        <f t="shared" ca="1" si="23"/>
        <v>42440</v>
      </c>
      <c r="Y211" s="19">
        <f t="shared" si="24"/>
        <v>14</v>
      </c>
      <c r="Z211" s="19">
        <f t="shared" si="25"/>
        <v>4</v>
      </c>
      <c r="AA211" s="19">
        <f t="shared" si="26"/>
        <v>2014</v>
      </c>
      <c r="AB211" s="27">
        <f t="shared" si="27"/>
        <v>-198</v>
      </c>
    </row>
    <row r="212" spans="1:28" x14ac:dyDescent="0.25">
      <c r="A212" s="19">
        <v>2</v>
      </c>
      <c r="B212" s="19">
        <v>2</v>
      </c>
      <c r="C212" s="19">
        <v>5</v>
      </c>
      <c r="D212" s="19" t="s">
        <v>209</v>
      </c>
      <c r="E212" s="19" t="s">
        <v>200</v>
      </c>
      <c r="F212" s="24">
        <v>41736</v>
      </c>
      <c r="G212" s="24">
        <v>41736</v>
      </c>
      <c r="H212" s="19" t="s">
        <v>210</v>
      </c>
      <c r="I212" s="19" t="s">
        <v>211</v>
      </c>
      <c r="L212" s="26" t="s">
        <v>234</v>
      </c>
      <c r="M212" s="25">
        <v>0</v>
      </c>
      <c r="V212" s="19" t="str">
        <f t="shared" si="21"/>
        <v/>
      </c>
      <c r="W212" s="19" t="str">
        <f t="shared" si="22"/>
        <v/>
      </c>
      <c r="X212" s="24">
        <f t="shared" ca="1" si="23"/>
        <v>42440</v>
      </c>
      <c r="Y212" s="19">
        <f t="shared" si="24"/>
        <v>15</v>
      </c>
      <c r="Z212" s="19">
        <f t="shared" si="25"/>
        <v>4</v>
      </c>
      <c r="AA212" s="19">
        <f t="shared" si="26"/>
        <v>2014</v>
      </c>
      <c r="AB212" s="27">
        <f t="shared" si="27"/>
        <v>-204</v>
      </c>
    </row>
    <row r="213" spans="1:28" x14ac:dyDescent="0.25">
      <c r="A213" s="19">
        <v>2</v>
      </c>
      <c r="B213" s="19">
        <v>2</v>
      </c>
      <c r="C213" s="19">
        <v>5</v>
      </c>
      <c r="D213" s="19" t="s">
        <v>209</v>
      </c>
      <c r="E213" s="19" t="s">
        <v>200</v>
      </c>
      <c r="F213" s="24">
        <v>41737</v>
      </c>
      <c r="G213" s="24">
        <v>41737</v>
      </c>
      <c r="H213" s="19" t="s">
        <v>210</v>
      </c>
      <c r="I213" s="19" t="s">
        <v>211</v>
      </c>
      <c r="L213" s="26" t="s">
        <v>234</v>
      </c>
      <c r="M213" s="25">
        <v>0</v>
      </c>
      <c r="V213" s="19" t="str">
        <f t="shared" si="21"/>
        <v/>
      </c>
      <c r="W213" s="19" t="str">
        <f t="shared" si="22"/>
        <v/>
      </c>
      <c r="X213" s="24">
        <f t="shared" ca="1" si="23"/>
        <v>42440</v>
      </c>
      <c r="Y213" s="19">
        <f t="shared" si="24"/>
        <v>15</v>
      </c>
      <c r="Z213" s="19">
        <f t="shared" si="25"/>
        <v>4</v>
      </c>
      <c r="AA213" s="19">
        <f t="shared" si="26"/>
        <v>2014</v>
      </c>
      <c r="AB213" s="27">
        <f t="shared" si="27"/>
        <v>-204</v>
      </c>
    </row>
    <row r="214" spans="1:28" x14ac:dyDescent="0.25">
      <c r="A214" s="19">
        <v>2</v>
      </c>
      <c r="B214" s="19">
        <v>2</v>
      </c>
      <c r="C214" s="19">
        <v>5</v>
      </c>
      <c r="D214" s="19" t="s">
        <v>209</v>
      </c>
      <c r="E214" s="19" t="s">
        <v>200</v>
      </c>
      <c r="F214" s="24">
        <v>41738</v>
      </c>
      <c r="G214" s="24">
        <v>41738</v>
      </c>
      <c r="H214" s="19" t="s">
        <v>210</v>
      </c>
      <c r="I214" s="19" t="s">
        <v>211</v>
      </c>
      <c r="L214" s="26" t="s">
        <v>234</v>
      </c>
      <c r="M214" s="25">
        <v>0</v>
      </c>
      <c r="V214" s="19" t="str">
        <f t="shared" si="21"/>
        <v/>
      </c>
      <c r="W214" s="19" t="str">
        <f t="shared" si="22"/>
        <v/>
      </c>
      <c r="X214" s="24">
        <f t="shared" ca="1" si="23"/>
        <v>42440</v>
      </c>
      <c r="Y214" s="19">
        <f t="shared" si="24"/>
        <v>15</v>
      </c>
      <c r="Z214" s="19">
        <f t="shared" si="25"/>
        <v>4</v>
      </c>
      <c r="AA214" s="19">
        <f t="shared" si="26"/>
        <v>2014</v>
      </c>
      <c r="AB214" s="27">
        <f t="shared" si="27"/>
        <v>-204</v>
      </c>
    </row>
    <row r="215" spans="1:28" x14ac:dyDescent="0.25">
      <c r="A215" s="19">
        <v>2</v>
      </c>
      <c r="B215" s="19">
        <v>2</v>
      </c>
      <c r="C215" s="19">
        <v>5</v>
      </c>
      <c r="D215" s="19" t="s">
        <v>209</v>
      </c>
      <c r="E215" s="19" t="s">
        <v>200</v>
      </c>
      <c r="F215" s="24">
        <v>41739</v>
      </c>
      <c r="G215" s="24">
        <v>41739</v>
      </c>
      <c r="H215" s="19" t="s">
        <v>210</v>
      </c>
      <c r="I215" s="19" t="s">
        <v>211</v>
      </c>
      <c r="L215" s="26" t="s">
        <v>234</v>
      </c>
      <c r="M215" s="25">
        <v>0</v>
      </c>
      <c r="V215" s="19" t="str">
        <f t="shared" si="21"/>
        <v/>
      </c>
      <c r="W215" s="19" t="str">
        <f t="shared" si="22"/>
        <v/>
      </c>
      <c r="X215" s="24">
        <f t="shared" ca="1" si="23"/>
        <v>42440</v>
      </c>
      <c r="Y215" s="19">
        <f t="shared" si="24"/>
        <v>15</v>
      </c>
      <c r="Z215" s="19">
        <f t="shared" si="25"/>
        <v>4</v>
      </c>
      <c r="AA215" s="19">
        <f t="shared" si="26"/>
        <v>2014</v>
      </c>
      <c r="AB215" s="27">
        <f t="shared" si="27"/>
        <v>-204</v>
      </c>
    </row>
    <row r="216" spans="1:28" x14ac:dyDescent="0.25">
      <c r="A216" s="19">
        <v>2</v>
      </c>
      <c r="B216" s="19">
        <v>2</v>
      </c>
      <c r="C216" s="19">
        <v>5</v>
      </c>
      <c r="D216" s="19" t="s">
        <v>209</v>
      </c>
      <c r="E216" s="19" t="s">
        <v>200</v>
      </c>
      <c r="F216" s="24">
        <v>41740</v>
      </c>
      <c r="G216" s="24">
        <v>41740</v>
      </c>
      <c r="H216" s="19" t="s">
        <v>210</v>
      </c>
      <c r="I216" s="19" t="s">
        <v>211</v>
      </c>
      <c r="L216" s="26" t="s">
        <v>234</v>
      </c>
      <c r="M216" s="25">
        <v>0</v>
      </c>
      <c r="V216" s="19" t="str">
        <f t="shared" si="21"/>
        <v/>
      </c>
      <c r="W216" s="19" t="str">
        <f t="shared" si="22"/>
        <v/>
      </c>
      <c r="X216" s="24">
        <f t="shared" ca="1" si="23"/>
        <v>42440</v>
      </c>
      <c r="Y216" s="19">
        <f t="shared" si="24"/>
        <v>15</v>
      </c>
      <c r="Z216" s="19">
        <f t="shared" si="25"/>
        <v>4</v>
      </c>
      <c r="AA216" s="19">
        <f t="shared" si="26"/>
        <v>2014</v>
      </c>
      <c r="AB216" s="27">
        <f t="shared" si="27"/>
        <v>-204</v>
      </c>
    </row>
    <row r="217" spans="1:28" x14ac:dyDescent="0.25">
      <c r="A217" s="19">
        <v>2</v>
      </c>
      <c r="B217" s="19">
        <v>2</v>
      </c>
      <c r="C217" s="19">
        <v>5</v>
      </c>
      <c r="D217" s="19" t="s">
        <v>209</v>
      </c>
      <c r="E217" s="19" t="s">
        <v>200</v>
      </c>
      <c r="F217" s="24">
        <v>41743</v>
      </c>
      <c r="G217" s="24">
        <v>41743</v>
      </c>
      <c r="H217" s="19" t="s">
        <v>210</v>
      </c>
      <c r="I217" s="19" t="s">
        <v>211</v>
      </c>
      <c r="L217" s="26" t="s">
        <v>251</v>
      </c>
      <c r="M217" s="25">
        <v>0</v>
      </c>
      <c r="V217" s="19" t="str">
        <f t="shared" si="21"/>
        <v/>
      </c>
      <c r="W217" s="19" t="str">
        <f t="shared" si="22"/>
        <v/>
      </c>
      <c r="X217" s="24">
        <f t="shared" ca="1" si="23"/>
        <v>42440</v>
      </c>
      <c r="Y217" s="19">
        <f t="shared" si="24"/>
        <v>16</v>
      </c>
      <c r="Z217" s="19">
        <f t="shared" si="25"/>
        <v>4</v>
      </c>
      <c r="AA217" s="19">
        <f t="shared" si="26"/>
        <v>2014</v>
      </c>
      <c r="AB217" s="27">
        <f t="shared" si="27"/>
        <v>-270</v>
      </c>
    </row>
    <row r="218" spans="1:28" x14ac:dyDescent="0.25">
      <c r="A218" s="19">
        <v>2</v>
      </c>
      <c r="B218" s="19">
        <v>2</v>
      </c>
      <c r="C218" s="19">
        <v>5</v>
      </c>
      <c r="D218" s="19" t="s">
        <v>209</v>
      </c>
      <c r="E218" s="19" t="s">
        <v>200</v>
      </c>
      <c r="F218" s="24">
        <v>41744</v>
      </c>
      <c r="G218" s="24">
        <v>41744</v>
      </c>
      <c r="H218" s="19" t="s">
        <v>210</v>
      </c>
      <c r="I218" s="19" t="s">
        <v>211</v>
      </c>
      <c r="L218" s="26" t="s">
        <v>251</v>
      </c>
      <c r="M218" s="25">
        <v>0</v>
      </c>
      <c r="V218" s="19" t="str">
        <f t="shared" si="21"/>
        <v/>
      </c>
      <c r="W218" s="19" t="str">
        <f t="shared" si="22"/>
        <v/>
      </c>
      <c r="X218" s="24">
        <f t="shared" ca="1" si="23"/>
        <v>42440</v>
      </c>
      <c r="Y218" s="19">
        <f t="shared" si="24"/>
        <v>16</v>
      </c>
      <c r="Z218" s="19">
        <f t="shared" si="25"/>
        <v>4</v>
      </c>
      <c r="AA218" s="19">
        <f t="shared" si="26"/>
        <v>2014</v>
      </c>
      <c r="AB218" s="27">
        <f t="shared" si="27"/>
        <v>-270</v>
      </c>
    </row>
    <row r="219" spans="1:28" x14ac:dyDescent="0.25">
      <c r="A219" s="19">
        <v>2</v>
      </c>
      <c r="B219" s="19">
        <v>2</v>
      </c>
      <c r="C219" s="19">
        <v>5</v>
      </c>
      <c r="D219" s="19" t="s">
        <v>209</v>
      </c>
      <c r="E219" s="19" t="s">
        <v>200</v>
      </c>
      <c r="F219" s="24">
        <v>41745</v>
      </c>
      <c r="G219" s="24">
        <v>41745</v>
      </c>
      <c r="H219" s="19" t="s">
        <v>210</v>
      </c>
      <c r="I219" s="19" t="s">
        <v>211</v>
      </c>
      <c r="L219" s="26" t="s">
        <v>251</v>
      </c>
      <c r="M219" s="25">
        <v>0</v>
      </c>
      <c r="V219" s="19" t="str">
        <f t="shared" si="21"/>
        <v/>
      </c>
      <c r="W219" s="19" t="str">
        <f t="shared" si="22"/>
        <v/>
      </c>
      <c r="X219" s="24">
        <f t="shared" ca="1" si="23"/>
        <v>42440</v>
      </c>
      <c r="Y219" s="19">
        <f t="shared" si="24"/>
        <v>16</v>
      </c>
      <c r="Z219" s="19">
        <f t="shared" si="25"/>
        <v>4</v>
      </c>
      <c r="AA219" s="19">
        <f t="shared" si="26"/>
        <v>2014</v>
      </c>
      <c r="AB219" s="27">
        <f t="shared" si="27"/>
        <v>-270</v>
      </c>
    </row>
    <row r="220" spans="1:28" x14ac:dyDescent="0.25">
      <c r="A220" s="19">
        <v>2</v>
      </c>
      <c r="B220" s="19">
        <v>2</v>
      </c>
      <c r="C220" s="19">
        <v>5</v>
      </c>
      <c r="D220" s="19" t="s">
        <v>209</v>
      </c>
      <c r="E220" s="19" t="s">
        <v>200</v>
      </c>
      <c r="F220" s="24">
        <v>41751</v>
      </c>
      <c r="G220" s="24">
        <v>41751</v>
      </c>
      <c r="H220" s="19" t="s">
        <v>210</v>
      </c>
      <c r="I220" s="19" t="s">
        <v>211</v>
      </c>
      <c r="L220" s="26" t="s">
        <v>252</v>
      </c>
      <c r="M220" s="25">
        <v>0</v>
      </c>
      <c r="V220" s="19" t="str">
        <f t="shared" si="21"/>
        <v/>
      </c>
      <c r="W220" s="19" t="str">
        <f t="shared" si="22"/>
        <v/>
      </c>
      <c r="X220" s="24">
        <f t="shared" ca="1" si="23"/>
        <v>42440</v>
      </c>
      <c r="Y220" s="19">
        <f t="shared" si="24"/>
        <v>17</v>
      </c>
      <c r="Z220" s="19">
        <f t="shared" si="25"/>
        <v>4</v>
      </c>
      <c r="AA220" s="19">
        <f t="shared" si="26"/>
        <v>2014</v>
      </c>
      <c r="AB220" s="27">
        <f t="shared" si="27"/>
        <v>-203</v>
      </c>
    </row>
    <row r="221" spans="1:28" x14ac:dyDescent="0.25">
      <c r="A221" s="19">
        <v>2</v>
      </c>
      <c r="B221" s="19">
        <v>2</v>
      </c>
      <c r="C221" s="19">
        <v>5</v>
      </c>
      <c r="D221" s="19" t="s">
        <v>209</v>
      </c>
      <c r="E221" s="19" t="s">
        <v>200</v>
      </c>
      <c r="F221" s="24">
        <v>41752</v>
      </c>
      <c r="G221" s="24">
        <v>41752</v>
      </c>
      <c r="H221" s="19" t="s">
        <v>210</v>
      </c>
      <c r="I221" s="19" t="s">
        <v>211</v>
      </c>
      <c r="L221" s="26" t="s">
        <v>215</v>
      </c>
      <c r="M221" s="25">
        <v>0</v>
      </c>
      <c r="V221" s="19" t="str">
        <f t="shared" si="21"/>
        <v/>
      </c>
      <c r="W221" s="19" t="str">
        <f t="shared" si="22"/>
        <v/>
      </c>
      <c r="X221" s="24">
        <f t="shared" ca="1" si="23"/>
        <v>42440</v>
      </c>
      <c r="Y221" s="19">
        <f t="shared" si="24"/>
        <v>17</v>
      </c>
      <c r="Z221" s="19">
        <f t="shared" si="25"/>
        <v>4</v>
      </c>
      <c r="AA221" s="19">
        <f t="shared" si="26"/>
        <v>2014</v>
      </c>
      <c r="AB221" s="27">
        <f t="shared" si="27"/>
        <v>-202</v>
      </c>
    </row>
    <row r="222" spans="1:28" x14ac:dyDescent="0.25">
      <c r="A222" s="19">
        <v>2</v>
      </c>
      <c r="B222" s="19">
        <v>2</v>
      </c>
      <c r="C222" s="19">
        <v>5</v>
      </c>
      <c r="D222" s="19" t="s">
        <v>209</v>
      </c>
      <c r="E222" s="19" t="s">
        <v>200</v>
      </c>
      <c r="F222" s="24">
        <v>41753</v>
      </c>
      <c r="G222" s="24">
        <v>41753</v>
      </c>
      <c r="H222" s="19" t="s">
        <v>210</v>
      </c>
      <c r="I222" s="19" t="s">
        <v>211</v>
      </c>
      <c r="L222" s="26" t="s">
        <v>252</v>
      </c>
      <c r="M222" s="25">
        <v>0</v>
      </c>
      <c r="V222" s="19" t="str">
        <f t="shared" si="21"/>
        <v/>
      </c>
      <c r="W222" s="19" t="str">
        <f t="shared" si="22"/>
        <v/>
      </c>
      <c r="X222" s="24">
        <f t="shared" ca="1" si="23"/>
        <v>42440</v>
      </c>
      <c r="Y222" s="19">
        <f t="shared" si="24"/>
        <v>17</v>
      </c>
      <c r="Z222" s="19">
        <f t="shared" si="25"/>
        <v>4</v>
      </c>
      <c r="AA222" s="19">
        <f t="shared" si="26"/>
        <v>2014</v>
      </c>
      <c r="AB222" s="27">
        <f t="shared" si="27"/>
        <v>-203</v>
      </c>
    </row>
    <row r="223" spans="1:28" x14ac:dyDescent="0.25">
      <c r="A223" s="19">
        <v>2</v>
      </c>
      <c r="B223" s="19">
        <v>2</v>
      </c>
      <c r="C223" s="19">
        <v>5</v>
      </c>
      <c r="D223" s="19" t="s">
        <v>209</v>
      </c>
      <c r="E223" s="19" t="s">
        <v>200</v>
      </c>
      <c r="F223" s="24">
        <v>41754</v>
      </c>
      <c r="G223" s="24">
        <v>41754</v>
      </c>
      <c r="H223" s="19" t="s">
        <v>210</v>
      </c>
      <c r="I223" s="19" t="s">
        <v>211</v>
      </c>
      <c r="L223" s="26" t="s">
        <v>215</v>
      </c>
      <c r="M223" s="25">
        <v>0</v>
      </c>
      <c r="V223" s="19" t="str">
        <f t="shared" si="21"/>
        <v/>
      </c>
      <c r="W223" s="19" t="str">
        <f t="shared" si="22"/>
        <v/>
      </c>
      <c r="X223" s="24">
        <f t="shared" ca="1" si="23"/>
        <v>42440</v>
      </c>
      <c r="Y223" s="19">
        <f t="shared" si="24"/>
        <v>17</v>
      </c>
      <c r="Z223" s="19">
        <f t="shared" si="25"/>
        <v>4</v>
      </c>
      <c r="AA223" s="19">
        <f t="shared" si="26"/>
        <v>2014</v>
      </c>
      <c r="AB223" s="27">
        <f t="shared" si="27"/>
        <v>-202</v>
      </c>
    </row>
    <row r="224" spans="1:28" x14ac:dyDescent="0.25">
      <c r="A224" s="19">
        <v>2</v>
      </c>
      <c r="B224" s="19">
        <v>2</v>
      </c>
      <c r="C224" s="19">
        <v>5</v>
      </c>
      <c r="D224" s="19" t="s">
        <v>209</v>
      </c>
      <c r="E224" s="19" t="s">
        <v>200</v>
      </c>
      <c r="F224" s="24">
        <v>41757</v>
      </c>
      <c r="G224" s="24">
        <v>41757</v>
      </c>
      <c r="H224" s="19" t="s">
        <v>210</v>
      </c>
      <c r="I224" s="19" t="s">
        <v>211</v>
      </c>
      <c r="L224" s="26" t="s">
        <v>253</v>
      </c>
      <c r="M224" s="25">
        <v>0</v>
      </c>
      <c r="V224" s="19" t="str">
        <f t="shared" si="21"/>
        <v/>
      </c>
      <c r="W224" s="19" t="str">
        <f t="shared" si="22"/>
        <v/>
      </c>
      <c r="X224" s="24">
        <f t="shared" ca="1" si="23"/>
        <v>42440</v>
      </c>
      <c r="Y224" s="19">
        <f t="shared" si="24"/>
        <v>18</v>
      </c>
      <c r="Z224" s="19">
        <f t="shared" si="25"/>
        <v>4</v>
      </c>
      <c r="AA224" s="19">
        <f t="shared" si="26"/>
        <v>2014</v>
      </c>
      <c r="AB224" s="27">
        <f t="shared" si="27"/>
        <v>-323</v>
      </c>
    </row>
    <row r="225" spans="1:28" x14ac:dyDescent="0.25">
      <c r="A225" s="19">
        <v>2</v>
      </c>
      <c r="B225" s="19">
        <v>2</v>
      </c>
      <c r="C225" s="19">
        <v>5</v>
      </c>
      <c r="D225" s="19" t="s">
        <v>209</v>
      </c>
      <c r="E225" s="19" t="s">
        <v>200</v>
      </c>
      <c r="F225" s="24">
        <v>41758</v>
      </c>
      <c r="G225" s="24">
        <v>41758</v>
      </c>
      <c r="H225" s="19" t="s">
        <v>210</v>
      </c>
      <c r="I225" s="19" t="s">
        <v>211</v>
      </c>
      <c r="L225" s="26" t="s">
        <v>254</v>
      </c>
      <c r="M225" s="25">
        <v>0</v>
      </c>
      <c r="V225" s="19" t="str">
        <f t="shared" si="21"/>
        <v/>
      </c>
      <c r="W225" s="19" t="str">
        <f t="shared" si="22"/>
        <v/>
      </c>
      <c r="X225" s="24">
        <f t="shared" ca="1" si="23"/>
        <v>42440</v>
      </c>
      <c r="Y225" s="19">
        <f t="shared" si="24"/>
        <v>18</v>
      </c>
      <c r="Z225" s="19">
        <f t="shared" si="25"/>
        <v>4</v>
      </c>
      <c r="AA225" s="19">
        <f t="shared" si="26"/>
        <v>2014</v>
      </c>
      <c r="AB225" s="27">
        <f t="shared" si="27"/>
        <v>-322</v>
      </c>
    </row>
    <row r="226" spans="1:28" x14ac:dyDescent="0.25">
      <c r="A226" s="19">
        <v>2</v>
      </c>
      <c r="B226" s="19">
        <v>2</v>
      </c>
      <c r="C226" s="19">
        <v>5</v>
      </c>
      <c r="D226" s="19" t="s">
        <v>209</v>
      </c>
      <c r="E226" s="19" t="s">
        <v>200</v>
      </c>
      <c r="F226" s="24">
        <v>41759</v>
      </c>
      <c r="G226" s="24">
        <v>41759</v>
      </c>
      <c r="H226" s="19" t="s">
        <v>210</v>
      </c>
      <c r="I226" s="19" t="s">
        <v>211</v>
      </c>
      <c r="L226" s="26" t="s">
        <v>253</v>
      </c>
      <c r="M226" s="25">
        <v>0</v>
      </c>
      <c r="V226" s="19" t="str">
        <f t="shared" si="21"/>
        <v/>
      </c>
      <c r="W226" s="19" t="str">
        <f t="shared" si="22"/>
        <v/>
      </c>
      <c r="X226" s="24">
        <f t="shared" ca="1" si="23"/>
        <v>42440</v>
      </c>
      <c r="Y226" s="19">
        <f t="shared" si="24"/>
        <v>18</v>
      </c>
      <c r="Z226" s="19">
        <f t="shared" si="25"/>
        <v>4</v>
      </c>
      <c r="AA226" s="19">
        <f t="shared" si="26"/>
        <v>2014</v>
      </c>
      <c r="AB226" s="27">
        <f t="shared" si="27"/>
        <v>-323</v>
      </c>
    </row>
    <row r="227" spans="1:28" x14ac:dyDescent="0.25">
      <c r="A227" s="19">
        <v>2</v>
      </c>
      <c r="B227" s="19">
        <v>2</v>
      </c>
      <c r="C227" s="19">
        <v>5</v>
      </c>
      <c r="D227" s="19" t="s">
        <v>209</v>
      </c>
      <c r="E227" s="19" t="s">
        <v>200</v>
      </c>
      <c r="F227" s="24">
        <v>41761</v>
      </c>
      <c r="G227" s="24">
        <v>41761</v>
      </c>
      <c r="H227" s="19" t="s">
        <v>210</v>
      </c>
      <c r="I227" s="19" t="s">
        <v>211</v>
      </c>
      <c r="L227" s="26" t="s">
        <v>254</v>
      </c>
      <c r="M227" s="25">
        <v>0</v>
      </c>
      <c r="V227" s="19" t="str">
        <f t="shared" si="21"/>
        <v/>
      </c>
      <c r="W227" s="19" t="str">
        <f t="shared" si="22"/>
        <v/>
      </c>
      <c r="X227" s="24">
        <f t="shared" ca="1" si="23"/>
        <v>42440</v>
      </c>
      <c r="Y227" s="19">
        <f t="shared" si="24"/>
        <v>18</v>
      </c>
      <c r="Z227" s="19">
        <f t="shared" si="25"/>
        <v>5</v>
      </c>
      <c r="AA227" s="19">
        <f t="shared" si="26"/>
        <v>2014</v>
      </c>
      <c r="AB227" s="27">
        <f t="shared" si="27"/>
        <v>-322</v>
      </c>
    </row>
    <row r="228" spans="1:28" x14ac:dyDescent="0.25">
      <c r="A228" s="19">
        <v>2</v>
      </c>
      <c r="B228" s="19">
        <v>2</v>
      </c>
      <c r="C228" s="19">
        <v>5</v>
      </c>
      <c r="D228" s="19" t="s">
        <v>209</v>
      </c>
      <c r="E228" s="19" t="s">
        <v>200</v>
      </c>
      <c r="F228" s="24">
        <v>41764</v>
      </c>
      <c r="G228" s="24">
        <v>41764</v>
      </c>
      <c r="H228" s="19" t="s">
        <v>210</v>
      </c>
      <c r="I228" s="19" t="s">
        <v>211</v>
      </c>
      <c r="L228" s="26" t="s">
        <v>255</v>
      </c>
      <c r="M228" s="25">
        <v>0</v>
      </c>
      <c r="V228" s="19" t="str">
        <f t="shared" si="21"/>
        <v/>
      </c>
      <c r="W228" s="19" t="str">
        <f t="shared" si="22"/>
        <v/>
      </c>
      <c r="X228" s="24">
        <f t="shared" ca="1" si="23"/>
        <v>42440</v>
      </c>
      <c r="Y228" s="19">
        <f t="shared" si="24"/>
        <v>19</v>
      </c>
      <c r="Z228" s="19">
        <f t="shared" si="25"/>
        <v>5</v>
      </c>
      <c r="AA228" s="19">
        <f t="shared" si="26"/>
        <v>2014</v>
      </c>
      <c r="AB228" s="27">
        <f t="shared" si="27"/>
        <v>-94</v>
      </c>
    </row>
    <row r="229" spans="1:28" x14ac:dyDescent="0.25">
      <c r="A229" s="19">
        <v>2</v>
      </c>
      <c r="B229" s="19">
        <v>2</v>
      </c>
      <c r="C229" s="19">
        <v>5</v>
      </c>
      <c r="D229" s="19" t="s">
        <v>209</v>
      </c>
      <c r="E229" s="19" t="s">
        <v>200</v>
      </c>
      <c r="F229" s="24">
        <v>41765</v>
      </c>
      <c r="G229" s="24">
        <v>41765</v>
      </c>
      <c r="H229" s="19" t="s">
        <v>210</v>
      </c>
      <c r="I229" s="19" t="s">
        <v>211</v>
      </c>
      <c r="L229" s="26" t="s">
        <v>255</v>
      </c>
      <c r="M229" s="25">
        <v>0</v>
      </c>
      <c r="V229" s="19" t="str">
        <f t="shared" si="21"/>
        <v/>
      </c>
      <c r="W229" s="19" t="str">
        <f t="shared" si="22"/>
        <v/>
      </c>
      <c r="X229" s="24">
        <f t="shared" ca="1" si="23"/>
        <v>42440</v>
      </c>
      <c r="Y229" s="19">
        <f t="shared" si="24"/>
        <v>19</v>
      </c>
      <c r="Z229" s="19">
        <f t="shared" si="25"/>
        <v>5</v>
      </c>
      <c r="AA229" s="19">
        <f t="shared" si="26"/>
        <v>2014</v>
      </c>
      <c r="AB229" s="27">
        <f t="shared" si="27"/>
        <v>-94</v>
      </c>
    </row>
    <row r="230" spans="1:28" x14ac:dyDescent="0.25">
      <c r="A230" s="19">
        <v>2</v>
      </c>
      <c r="B230" s="19">
        <v>2</v>
      </c>
      <c r="C230" s="19">
        <v>5</v>
      </c>
      <c r="D230" s="19" t="s">
        <v>209</v>
      </c>
      <c r="E230" s="19" t="s">
        <v>200</v>
      </c>
      <c r="F230" s="24">
        <v>41766</v>
      </c>
      <c r="G230" s="24">
        <v>41766</v>
      </c>
      <c r="H230" s="19" t="s">
        <v>210</v>
      </c>
      <c r="I230" s="19" t="s">
        <v>211</v>
      </c>
      <c r="L230" s="26" t="s">
        <v>255</v>
      </c>
      <c r="M230" s="25">
        <v>0</v>
      </c>
      <c r="V230" s="19" t="str">
        <f t="shared" si="21"/>
        <v/>
      </c>
      <c r="W230" s="19" t="str">
        <f t="shared" si="22"/>
        <v/>
      </c>
      <c r="X230" s="24">
        <f t="shared" ca="1" si="23"/>
        <v>42440</v>
      </c>
      <c r="Y230" s="19">
        <f t="shared" si="24"/>
        <v>19</v>
      </c>
      <c r="Z230" s="19">
        <f t="shared" si="25"/>
        <v>5</v>
      </c>
      <c r="AA230" s="19">
        <f t="shared" si="26"/>
        <v>2014</v>
      </c>
      <c r="AB230" s="27">
        <f t="shared" si="27"/>
        <v>-94</v>
      </c>
    </row>
    <row r="231" spans="1:28" x14ac:dyDescent="0.25">
      <c r="A231" s="19">
        <v>2</v>
      </c>
      <c r="B231" s="19">
        <v>2</v>
      </c>
      <c r="C231" s="19">
        <v>5</v>
      </c>
      <c r="D231" s="19" t="s">
        <v>209</v>
      </c>
      <c r="E231" s="19" t="s">
        <v>200</v>
      </c>
      <c r="F231" s="24">
        <v>41767</v>
      </c>
      <c r="G231" s="24">
        <v>41767</v>
      </c>
      <c r="H231" s="19" t="s">
        <v>210</v>
      </c>
      <c r="I231" s="19" t="s">
        <v>211</v>
      </c>
      <c r="L231" s="26" t="s">
        <v>255</v>
      </c>
      <c r="M231" s="25">
        <v>0</v>
      </c>
      <c r="V231" s="19" t="str">
        <f t="shared" si="21"/>
        <v/>
      </c>
      <c r="W231" s="19" t="str">
        <f t="shared" si="22"/>
        <v/>
      </c>
      <c r="X231" s="24">
        <f t="shared" ca="1" si="23"/>
        <v>42440</v>
      </c>
      <c r="Y231" s="19">
        <f t="shared" si="24"/>
        <v>19</v>
      </c>
      <c r="Z231" s="19">
        <f t="shared" si="25"/>
        <v>5</v>
      </c>
      <c r="AA231" s="19">
        <f t="shared" si="26"/>
        <v>2014</v>
      </c>
      <c r="AB231" s="27">
        <f t="shared" si="27"/>
        <v>-94</v>
      </c>
    </row>
    <row r="232" spans="1:28" x14ac:dyDescent="0.25">
      <c r="A232" s="19">
        <v>2</v>
      </c>
      <c r="B232" s="19">
        <v>2</v>
      </c>
      <c r="C232" s="19">
        <v>5</v>
      </c>
      <c r="D232" s="19" t="s">
        <v>209</v>
      </c>
      <c r="E232" s="19" t="s">
        <v>200</v>
      </c>
      <c r="F232" s="24">
        <v>41768</v>
      </c>
      <c r="G232" s="24">
        <v>41768</v>
      </c>
      <c r="H232" s="19" t="s">
        <v>210</v>
      </c>
      <c r="I232" s="19" t="s">
        <v>211</v>
      </c>
      <c r="L232" s="26" t="s">
        <v>255</v>
      </c>
      <c r="M232" s="25">
        <v>0</v>
      </c>
      <c r="V232" s="19" t="str">
        <f t="shared" si="21"/>
        <v/>
      </c>
      <c r="W232" s="19" t="str">
        <f t="shared" si="22"/>
        <v/>
      </c>
      <c r="X232" s="24">
        <f t="shared" ca="1" si="23"/>
        <v>42440</v>
      </c>
      <c r="Y232" s="19">
        <f t="shared" si="24"/>
        <v>19</v>
      </c>
      <c r="Z232" s="19">
        <f t="shared" si="25"/>
        <v>5</v>
      </c>
      <c r="AA232" s="19">
        <f t="shared" si="26"/>
        <v>2014</v>
      </c>
      <c r="AB232" s="27">
        <f t="shared" si="27"/>
        <v>-94</v>
      </c>
    </row>
    <row r="233" spans="1:28" x14ac:dyDescent="0.25">
      <c r="A233" s="19">
        <v>2</v>
      </c>
      <c r="B233" s="19">
        <v>2</v>
      </c>
      <c r="C233" s="19">
        <v>5</v>
      </c>
      <c r="D233" s="19" t="s">
        <v>209</v>
      </c>
      <c r="E233" s="19" t="s">
        <v>200</v>
      </c>
      <c r="F233" s="24">
        <v>41771</v>
      </c>
      <c r="G233" s="24">
        <v>41771</v>
      </c>
      <c r="H233" s="19" t="s">
        <v>210</v>
      </c>
      <c r="I233" s="19" t="s">
        <v>211</v>
      </c>
      <c r="L233" s="26" t="s">
        <v>256</v>
      </c>
      <c r="M233" s="25">
        <v>0</v>
      </c>
      <c r="V233" s="19" t="str">
        <f t="shared" si="21"/>
        <v/>
      </c>
      <c r="W233" s="19" t="str">
        <f t="shared" si="22"/>
        <v/>
      </c>
      <c r="X233" s="24">
        <f t="shared" ca="1" si="23"/>
        <v>42440</v>
      </c>
      <c r="Y233" s="19">
        <f t="shared" si="24"/>
        <v>20</v>
      </c>
      <c r="Z233" s="19">
        <f t="shared" si="25"/>
        <v>5</v>
      </c>
      <c r="AA233" s="19">
        <f t="shared" si="26"/>
        <v>2014</v>
      </c>
      <c r="AB233" s="27">
        <f t="shared" si="27"/>
        <v>-92</v>
      </c>
    </row>
    <row r="234" spans="1:28" x14ac:dyDescent="0.25">
      <c r="A234" s="19">
        <v>2</v>
      </c>
      <c r="B234" s="19">
        <v>2</v>
      </c>
      <c r="C234" s="19">
        <v>5</v>
      </c>
      <c r="D234" s="19" t="s">
        <v>209</v>
      </c>
      <c r="E234" s="19" t="s">
        <v>200</v>
      </c>
      <c r="F234" s="24">
        <v>41772</v>
      </c>
      <c r="G234" s="24">
        <v>41772</v>
      </c>
      <c r="H234" s="19" t="s">
        <v>210</v>
      </c>
      <c r="I234" s="19" t="s">
        <v>211</v>
      </c>
      <c r="L234" s="26" t="s">
        <v>256</v>
      </c>
      <c r="M234" s="25">
        <v>0</v>
      </c>
      <c r="V234" s="19" t="str">
        <f t="shared" si="21"/>
        <v/>
      </c>
      <c r="W234" s="19" t="str">
        <f t="shared" si="22"/>
        <v/>
      </c>
      <c r="X234" s="24">
        <f t="shared" ca="1" si="23"/>
        <v>42440</v>
      </c>
      <c r="Y234" s="19">
        <f t="shared" si="24"/>
        <v>20</v>
      </c>
      <c r="Z234" s="19">
        <f t="shared" si="25"/>
        <v>5</v>
      </c>
      <c r="AA234" s="19">
        <f t="shared" si="26"/>
        <v>2014</v>
      </c>
      <c r="AB234" s="27">
        <f t="shared" si="27"/>
        <v>-92</v>
      </c>
    </row>
    <row r="235" spans="1:28" x14ac:dyDescent="0.25">
      <c r="A235" s="19">
        <v>2</v>
      </c>
      <c r="B235" s="19">
        <v>2</v>
      </c>
      <c r="C235" s="19">
        <v>5</v>
      </c>
      <c r="D235" s="19" t="s">
        <v>209</v>
      </c>
      <c r="E235" s="19" t="s">
        <v>200</v>
      </c>
      <c r="F235" s="24">
        <v>41773</v>
      </c>
      <c r="G235" s="24">
        <v>41773</v>
      </c>
      <c r="H235" s="19" t="s">
        <v>210</v>
      </c>
      <c r="I235" s="19" t="s">
        <v>211</v>
      </c>
      <c r="L235" s="26" t="s">
        <v>256</v>
      </c>
      <c r="M235" s="25">
        <v>0</v>
      </c>
      <c r="V235" s="19" t="str">
        <f t="shared" si="21"/>
        <v/>
      </c>
      <c r="W235" s="19" t="str">
        <f t="shared" si="22"/>
        <v/>
      </c>
      <c r="X235" s="24">
        <f t="shared" ca="1" si="23"/>
        <v>42440</v>
      </c>
      <c r="Y235" s="19">
        <f t="shared" si="24"/>
        <v>20</v>
      </c>
      <c r="Z235" s="19">
        <f t="shared" si="25"/>
        <v>5</v>
      </c>
      <c r="AA235" s="19">
        <f t="shared" si="26"/>
        <v>2014</v>
      </c>
      <c r="AB235" s="27">
        <f t="shared" si="27"/>
        <v>-92</v>
      </c>
    </row>
    <row r="236" spans="1:28" x14ac:dyDescent="0.25">
      <c r="A236" s="19">
        <v>2</v>
      </c>
      <c r="B236" s="19">
        <v>2</v>
      </c>
      <c r="C236" s="19">
        <v>5</v>
      </c>
      <c r="D236" s="19" t="s">
        <v>209</v>
      </c>
      <c r="E236" s="19" t="s">
        <v>200</v>
      </c>
      <c r="F236" s="24">
        <v>41774</v>
      </c>
      <c r="G236" s="24">
        <v>41774</v>
      </c>
      <c r="H236" s="19" t="s">
        <v>210</v>
      </c>
      <c r="I236" s="19" t="s">
        <v>211</v>
      </c>
      <c r="L236" s="26" t="s">
        <v>256</v>
      </c>
      <c r="M236" s="25">
        <v>0</v>
      </c>
      <c r="V236" s="19" t="str">
        <f t="shared" si="21"/>
        <v/>
      </c>
      <c r="W236" s="19" t="str">
        <f t="shared" si="22"/>
        <v/>
      </c>
      <c r="X236" s="24">
        <f t="shared" ca="1" si="23"/>
        <v>42440</v>
      </c>
      <c r="Y236" s="19">
        <f t="shared" si="24"/>
        <v>20</v>
      </c>
      <c r="Z236" s="19">
        <f t="shared" si="25"/>
        <v>5</v>
      </c>
      <c r="AA236" s="19">
        <f t="shared" si="26"/>
        <v>2014</v>
      </c>
      <c r="AB236" s="27">
        <f t="shared" si="27"/>
        <v>-92</v>
      </c>
    </row>
    <row r="237" spans="1:28" x14ac:dyDescent="0.25">
      <c r="A237" s="19">
        <v>2</v>
      </c>
      <c r="B237" s="19">
        <v>2</v>
      </c>
      <c r="C237" s="19">
        <v>5</v>
      </c>
      <c r="D237" s="19" t="s">
        <v>209</v>
      </c>
      <c r="E237" s="19" t="s">
        <v>200</v>
      </c>
      <c r="F237" s="24">
        <v>41775</v>
      </c>
      <c r="G237" s="24">
        <v>41775</v>
      </c>
      <c r="H237" s="19" t="s">
        <v>210</v>
      </c>
      <c r="I237" s="19" t="s">
        <v>211</v>
      </c>
      <c r="L237" s="26" t="s">
        <v>256</v>
      </c>
      <c r="M237" s="25">
        <v>0</v>
      </c>
      <c r="V237" s="19" t="str">
        <f t="shared" si="21"/>
        <v/>
      </c>
      <c r="W237" s="19" t="str">
        <f t="shared" si="22"/>
        <v/>
      </c>
      <c r="X237" s="24">
        <f t="shared" ca="1" si="23"/>
        <v>42440</v>
      </c>
      <c r="Y237" s="19">
        <f t="shared" si="24"/>
        <v>20</v>
      </c>
      <c r="Z237" s="19">
        <f t="shared" si="25"/>
        <v>5</v>
      </c>
      <c r="AA237" s="19">
        <f t="shared" si="26"/>
        <v>2014</v>
      </c>
      <c r="AB237" s="27">
        <f t="shared" si="27"/>
        <v>-92</v>
      </c>
    </row>
    <row r="238" spans="1:28" x14ac:dyDescent="0.25">
      <c r="A238" s="19">
        <v>2</v>
      </c>
      <c r="B238" s="19">
        <v>2</v>
      </c>
      <c r="C238" s="19">
        <v>5</v>
      </c>
      <c r="D238" s="19" t="s">
        <v>209</v>
      </c>
      <c r="E238" s="19" t="s">
        <v>200</v>
      </c>
      <c r="F238" s="24">
        <v>41778</v>
      </c>
      <c r="G238" s="24">
        <v>41778</v>
      </c>
      <c r="H238" s="19" t="s">
        <v>210</v>
      </c>
      <c r="I238" s="19" t="s">
        <v>211</v>
      </c>
      <c r="L238" s="26" t="s">
        <v>256</v>
      </c>
      <c r="M238" s="25">
        <v>0</v>
      </c>
      <c r="V238" s="19" t="str">
        <f t="shared" si="21"/>
        <v/>
      </c>
      <c r="W238" s="19" t="str">
        <f t="shared" si="22"/>
        <v/>
      </c>
      <c r="X238" s="24">
        <f t="shared" ca="1" si="23"/>
        <v>42440</v>
      </c>
      <c r="Y238" s="19">
        <f t="shared" si="24"/>
        <v>21</v>
      </c>
      <c r="Z238" s="19">
        <f t="shared" si="25"/>
        <v>5</v>
      </c>
      <c r="AA238" s="19">
        <f t="shared" si="26"/>
        <v>2014</v>
      </c>
      <c r="AB238" s="27">
        <f t="shared" si="27"/>
        <v>-92</v>
      </c>
    </row>
    <row r="239" spans="1:28" x14ac:dyDescent="0.25">
      <c r="A239" s="19">
        <v>2</v>
      </c>
      <c r="B239" s="19">
        <v>2</v>
      </c>
      <c r="C239" s="19">
        <v>5</v>
      </c>
      <c r="D239" s="19" t="s">
        <v>209</v>
      </c>
      <c r="E239" s="19" t="s">
        <v>200</v>
      </c>
      <c r="F239" s="24">
        <v>41779</v>
      </c>
      <c r="G239" s="24">
        <v>41779</v>
      </c>
      <c r="H239" s="19" t="s">
        <v>210</v>
      </c>
      <c r="I239" s="19" t="s">
        <v>211</v>
      </c>
      <c r="L239" s="26" t="s">
        <v>256</v>
      </c>
      <c r="M239" s="25">
        <v>0</v>
      </c>
      <c r="V239" s="19" t="str">
        <f t="shared" si="21"/>
        <v/>
      </c>
      <c r="W239" s="19" t="str">
        <f t="shared" si="22"/>
        <v/>
      </c>
      <c r="X239" s="24">
        <f t="shared" ca="1" si="23"/>
        <v>42440</v>
      </c>
      <c r="Y239" s="19">
        <f t="shared" si="24"/>
        <v>21</v>
      </c>
      <c r="Z239" s="19">
        <f t="shared" si="25"/>
        <v>5</v>
      </c>
      <c r="AA239" s="19">
        <f t="shared" si="26"/>
        <v>2014</v>
      </c>
      <c r="AB239" s="27">
        <f t="shared" si="27"/>
        <v>-92</v>
      </c>
    </row>
    <row r="240" spans="1:28" x14ac:dyDescent="0.25">
      <c r="A240" s="19">
        <v>2</v>
      </c>
      <c r="B240" s="19">
        <v>2</v>
      </c>
      <c r="C240" s="19">
        <v>5</v>
      </c>
      <c r="D240" s="19" t="s">
        <v>209</v>
      </c>
      <c r="E240" s="19" t="s">
        <v>200</v>
      </c>
      <c r="F240" s="24">
        <v>41780</v>
      </c>
      <c r="G240" s="24">
        <v>41780</v>
      </c>
      <c r="H240" s="19" t="s">
        <v>210</v>
      </c>
      <c r="I240" s="19" t="s">
        <v>211</v>
      </c>
      <c r="L240" s="26" t="s">
        <v>256</v>
      </c>
      <c r="M240" s="25">
        <v>0</v>
      </c>
      <c r="V240" s="19" t="str">
        <f t="shared" si="21"/>
        <v/>
      </c>
      <c r="W240" s="19" t="str">
        <f t="shared" si="22"/>
        <v/>
      </c>
      <c r="X240" s="24">
        <f t="shared" ca="1" si="23"/>
        <v>42440</v>
      </c>
      <c r="Y240" s="19">
        <f t="shared" si="24"/>
        <v>21</v>
      </c>
      <c r="Z240" s="19">
        <f t="shared" si="25"/>
        <v>5</v>
      </c>
      <c r="AA240" s="19">
        <f t="shared" si="26"/>
        <v>2014</v>
      </c>
      <c r="AB240" s="27">
        <f t="shared" si="27"/>
        <v>-92</v>
      </c>
    </row>
    <row r="241" spans="1:28" x14ac:dyDescent="0.25">
      <c r="A241" s="19">
        <v>2</v>
      </c>
      <c r="B241" s="19">
        <v>2</v>
      </c>
      <c r="C241" s="19">
        <v>5</v>
      </c>
      <c r="D241" s="19" t="s">
        <v>209</v>
      </c>
      <c r="E241" s="19" t="s">
        <v>200</v>
      </c>
      <c r="F241" s="24">
        <v>41781</v>
      </c>
      <c r="G241" s="24">
        <v>41781</v>
      </c>
      <c r="H241" s="19" t="s">
        <v>210</v>
      </c>
      <c r="I241" s="19" t="s">
        <v>211</v>
      </c>
      <c r="L241" s="26" t="s">
        <v>256</v>
      </c>
      <c r="M241" s="25">
        <v>0</v>
      </c>
      <c r="V241" s="19" t="str">
        <f t="shared" si="21"/>
        <v/>
      </c>
      <c r="W241" s="19" t="str">
        <f t="shared" si="22"/>
        <v/>
      </c>
      <c r="X241" s="24">
        <f t="shared" ca="1" si="23"/>
        <v>42440</v>
      </c>
      <c r="Y241" s="19">
        <f t="shared" si="24"/>
        <v>21</v>
      </c>
      <c r="Z241" s="19">
        <f t="shared" si="25"/>
        <v>5</v>
      </c>
      <c r="AA241" s="19">
        <f t="shared" si="26"/>
        <v>2014</v>
      </c>
      <c r="AB241" s="27">
        <f t="shared" si="27"/>
        <v>-92</v>
      </c>
    </row>
    <row r="242" spans="1:28" x14ac:dyDescent="0.25">
      <c r="A242" s="19">
        <v>2</v>
      </c>
      <c r="B242" s="19">
        <v>2</v>
      </c>
      <c r="C242" s="19">
        <v>5</v>
      </c>
      <c r="D242" s="19" t="s">
        <v>209</v>
      </c>
      <c r="E242" s="19" t="s">
        <v>200</v>
      </c>
      <c r="F242" s="24">
        <v>41782</v>
      </c>
      <c r="G242" s="24">
        <v>41782</v>
      </c>
      <c r="H242" s="19" t="s">
        <v>210</v>
      </c>
      <c r="I242" s="19" t="s">
        <v>211</v>
      </c>
      <c r="L242" s="26" t="s">
        <v>256</v>
      </c>
      <c r="M242" s="25">
        <v>0</v>
      </c>
      <c r="V242" s="19" t="str">
        <f t="shared" si="21"/>
        <v/>
      </c>
      <c r="W242" s="19" t="str">
        <f t="shared" si="22"/>
        <v/>
      </c>
      <c r="X242" s="24">
        <f t="shared" ca="1" si="23"/>
        <v>42440</v>
      </c>
      <c r="Y242" s="19">
        <f t="shared" si="24"/>
        <v>21</v>
      </c>
      <c r="Z242" s="19">
        <f t="shared" si="25"/>
        <v>5</v>
      </c>
      <c r="AA242" s="19">
        <f t="shared" si="26"/>
        <v>2014</v>
      </c>
      <c r="AB242" s="27">
        <f t="shared" si="27"/>
        <v>-92</v>
      </c>
    </row>
    <row r="243" spans="1:28" x14ac:dyDescent="0.25">
      <c r="A243" s="19">
        <v>2</v>
      </c>
      <c r="B243" s="19">
        <v>2</v>
      </c>
      <c r="C243" s="19">
        <v>5</v>
      </c>
      <c r="D243" s="19" t="s">
        <v>209</v>
      </c>
      <c r="E243" s="19" t="s">
        <v>200</v>
      </c>
      <c r="F243" s="24">
        <v>41785</v>
      </c>
      <c r="G243" s="24">
        <v>41785</v>
      </c>
      <c r="H243" s="19" t="s">
        <v>210</v>
      </c>
      <c r="I243" s="19" t="s">
        <v>211</v>
      </c>
      <c r="L243" s="26" t="s">
        <v>257</v>
      </c>
      <c r="M243" s="25">
        <v>0</v>
      </c>
      <c r="V243" s="19" t="str">
        <f t="shared" si="21"/>
        <v/>
      </c>
      <c r="W243" s="19" t="str">
        <f t="shared" si="22"/>
        <v/>
      </c>
      <c r="X243" s="24">
        <f t="shared" ca="1" si="23"/>
        <v>42440</v>
      </c>
      <c r="Y243" s="19">
        <f t="shared" si="24"/>
        <v>22</v>
      </c>
      <c r="Z243" s="19">
        <f t="shared" si="25"/>
        <v>5</v>
      </c>
      <c r="AA243" s="19">
        <f t="shared" si="26"/>
        <v>2014</v>
      </c>
      <c r="AB243" s="27">
        <f t="shared" si="27"/>
        <v>-115</v>
      </c>
    </row>
    <row r="244" spans="1:28" x14ac:dyDescent="0.25">
      <c r="A244" s="19">
        <v>2</v>
      </c>
      <c r="B244" s="19">
        <v>2</v>
      </c>
      <c r="C244" s="19">
        <v>5</v>
      </c>
      <c r="D244" s="19" t="s">
        <v>209</v>
      </c>
      <c r="E244" s="19" t="s">
        <v>200</v>
      </c>
      <c r="F244" s="24">
        <v>41786</v>
      </c>
      <c r="G244" s="24">
        <v>41786</v>
      </c>
      <c r="H244" s="19" t="s">
        <v>210</v>
      </c>
      <c r="I244" s="19" t="s">
        <v>211</v>
      </c>
      <c r="L244" s="26" t="s">
        <v>257</v>
      </c>
      <c r="M244" s="25">
        <v>0</v>
      </c>
      <c r="V244" s="19" t="str">
        <f t="shared" si="21"/>
        <v/>
      </c>
      <c r="W244" s="19" t="str">
        <f t="shared" si="22"/>
        <v/>
      </c>
      <c r="X244" s="24">
        <f t="shared" ca="1" si="23"/>
        <v>42440</v>
      </c>
      <c r="Y244" s="19">
        <f t="shared" si="24"/>
        <v>22</v>
      </c>
      <c r="Z244" s="19">
        <f t="shared" si="25"/>
        <v>5</v>
      </c>
      <c r="AA244" s="19">
        <f t="shared" si="26"/>
        <v>2014</v>
      </c>
      <c r="AB244" s="27">
        <f t="shared" si="27"/>
        <v>-115</v>
      </c>
    </row>
    <row r="245" spans="1:28" x14ac:dyDescent="0.25">
      <c r="A245" s="19">
        <v>2</v>
      </c>
      <c r="B245" s="19">
        <v>2</v>
      </c>
      <c r="C245" s="19">
        <v>5</v>
      </c>
      <c r="D245" s="19" t="s">
        <v>209</v>
      </c>
      <c r="E245" s="19" t="s">
        <v>200</v>
      </c>
      <c r="F245" s="24">
        <v>41787</v>
      </c>
      <c r="G245" s="24">
        <v>41787</v>
      </c>
      <c r="H245" s="19" t="s">
        <v>210</v>
      </c>
      <c r="I245" s="19" t="s">
        <v>211</v>
      </c>
      <c r="L245" s="26" t="s">
        <v>257</v>
      </c>
      <c r="M245" s="25">
        <v>0</v>
      </c>
      <c r="V245" s="19" t="str">
        <f t="shared" si="21"/>
        <v/>
      </c>
      <c r="W245" s="19" t="str">
        <f t="shared" si="22"/>
        <v/>
      </c>
      <c r="X245" s="24">
        <f t="shared" ca="1" si="23"/>
        <v>42440</v>
      </c>
      <c r="Y245" s="19">
        <f t="shared" si="24"/>
        <v>22</v>
      </c>
      <c r="Z245" s="19">
        <f t="shared" si="25"/>
        <v>5</v>
      </c>
      <c r="AA245" s="19">
        <f t="shared" si="26"/>
        <v>2014</v>
      </c>
      <c r="AB245" s="27">
        <f t="shared" si="27"/>
        <v>-115</v>
      </c>
    </row>
    <row r="246" spans="1:28" x14ac:dyDescent="0.25">
      <c r="A246" s="19">
        <v>2</v>
      </c>
      <c r="B246" s="19">
        <v>2</v>
      </c>
      <c r="C246" s="19">
        <v>5</v>
      </c>
      <c r="D246" s="19" t="s">
        <v>209</v>
      </c>
      <c r="E246" s="19" t="s">
        <v>200</v>
      </c>
      <c r="F246" s="24">
        <v>41789</v>
      </c>
      <c r="G246" s="24">
        <v>41789</v>
      </c>
      <c r="H246" s="19" t="s">
        <v>210</v>
      </c>
      <c r="I246" s="19" t="s">
        <v>211</v>
      </c>
      <c r="L246" s="26" t="s">
        <v>257</v>
      </c>
      <c r="M246" s="25">
        <v>0</v>
      </c>
      <c r="V246" s="19" t="str">
        <f t="shared" si="21"/>
        <v/>
      </c>
      <c r="W246" s="19" t="str">
        <f t="shared" si="22"/>
        <v/>
      </c>
      <c r="X246" s="24">
        <f t="shared" ca="1" si="23"/>
        <v>42440</v>
      </c>
      <c r="Y246" s="19">
        <f t="shared" si="24"/>
        <v>22</v>
      </c>
      <c r="Z246" s="19">
        <f t="shared" si="25"/>
        <v>5</v>
      </c>
      <c r="AA246" s="19">
        <f t="shared" si="26"/>
        <v>2014</v>
      </c>
      <c r="AB246" s="27">
        <f t="shared" si="27"/>
        <v>-115</v>
      </c>
    </row>
    <row r="247" spans="1:28" x14ac:dyDescent="0.25">
      <c r="A247" s="19">
        <v>7</v>
      </c>
      <c r="B247" s="19">
        <v>0</v>
      </c>
      <c r="C247" s="19">
        <v>1</v>
      </c>
      <c r="D247" s="19" t="s">
        <v>258</v>
      </c>
      <c r="E247" s="19" t="s">
        <v>41</v>
      </c>
      <c r="F247" s="24">
        <v>41437</v>
      </c>
      <c r="G247" s="25">
        <v>0</v>
      </c>
      <c r="H247" s="19" t="s">
        <v>259</v>
      </c>
      <c r="I247" s="19" t="s">
        <v>260</v>
      </c>
      <c r="L247" s="26" t="s">
        <v>261</v>
      </c>
      <c r="M247" s="25">
        <v>0</v>
      </c>
      <c r="Q247" s="19" t="s">
        <v>262</v>
      </c>
      <c r="V247" s="19" t="str">
        <f t="shared" si="21"/>
        <v/>
      </c>
      <c r="W247" s="19" t="str">
        <f t="shared" si="22"/>
        <v/>
      </c>
      <c r="X247" s="24">
        <f t="shared" ca="1" si="23"/>
        <v>42440</v>
      </c>
      <c r="Y247" s="19">
        <f t="shared" si="24"/>
        <v>24</v>
      </c>
      <c r="Z247" s="19">
        <f t="shared" si="25"/>
        <v>6</v>
      </c>
      <c r="AA247" s="19">
        <f t="shared" si="26"/>
        <v>2013</v>
      </c>
      <c r="AB247" s="27">
        <f t="shared" si="27"/>
        <v>0</v>
      </c>
    </row>
    <row r="248" spans="1:28" x14ac:dyDescent="0.25">
      <c r="X248" s="24"/>
      <c r="AB248" s="27"/>
    </row>
    <row r="249" spans="1:28" x14ac:dyDescent="0.25">
      <c r="X249" s="24"/>
      <c r="AB249" s="27"/>
    </row>
    <row r="250" spans="1:28" x14ac:dyDescent="0.25">
      <c r="X250" s="24"/>
      <c r="AB250" s="27"/>
    </row>
    <row r="251" spans="1:28" x14ac:dyDescent="0.25">
      <c r="X251" s="24"/>
      <c r="AB251" s="27"/>
    </row>
    <row r="252" spans="1:28" x14ac:dyDescent="0.25">
      <c r="X252" s="24"/>
      <c r="AB252" s="27"/>
    </row>
    <row r="253" spans="1:28" x14ac:dyDescent="0.25">
      <c r="X253" s="24"/>
      <c r="AB253" s="27"/>
    </row>
    <row r="254" spans="1:28" x14ac:dyDescent="0.25">
      <c r="X254" s="24"/>
      <c r="AB254" s="27"/>
    </row>
    <row r="255" spans="1:28" x14ac:dyDescent="0.25">
      <c r="X255" s="24"/>
      <c r="AB255" s="27"/>
    </row>
    <row r="256" spans="1:28" x14ac:dyDescent="0.25">
      <c r="X256" s="24"/>
      <c r="AB256" s="27"/>
    </row>
    <row r="257" spans="24:28" x14ac:dyDescent="0.25">
      <c r="X257" s="24"/>
      <c r="AB257" s="27"/>
    </row>
    <row r="258" spans="24:28" x14ac:dyDescent="0.25">
      <c r="X258" s="24"/>
      <c r="AB258" s="27"/>
    </row>
    <row r="259" spans="24:28" x14ac:dyDescent="0.25">
      <c r="X259" s="24"/>
      <c r="AB259" s="27"/>
    </row>
    <row r="260" spans="24:28" x14ac:dyDescent="0.25">
      <c r="X260" s="24"/>
      <c r="AB260" s="27"/>
    </row>
    <row r="261" spans="24:28" x14ac:dyDescent="0.25">
      <c r="X261" s="24"/>
      <c r="AB261" s="27"/>
    </row>
    <row r="262" spans="24:28" x14ac:dyDescent="0.25">
      <c r="X262" s="24"/>
      <c r="AB262" s="27"/>
    </row>
    <row r="263" spans="24:28" x14ac:dyDescent="0.25">
      <c r="X263" s="24"/>
      <c r="AB263" s="27"/>
    </row>
    <row r="264" spans="24:28" x14ac:dyDescent="0.25">
      <c r="X264" s="24"/>
      <c r="AB264" s="27"/>
    </row>
    <row r="265" spans="24:28" x14ac:dyDescent="0.25">
      <c r="X265" s="24"/>
      <c r="AB265" s="27"/>
    </row>
    <row r="266" spans="24:28" x14ac:dyDescent="0.25">
      <c r="X266" s="24"/>
      <c r="AB266" s="27"/>
    </row>
    <row r="267" spans="24:28" x14ac:dyDescent="0.25">
      <c r="X267" s="24"/>
      <c r="AB267" s="27"/>
    </row>
    <row r="268" spans="24:28" x14ac:dyDescent="0.25">
      <c r="X268" s="24"/>
      <c r="AB268" s="27"/>
    </row>
    <row r="269" spans="24:28" x14ac:dyDescent="0.25">
      <c r="X269" s="24"/>
      <c r="AB269" s="27"/>
    </row>
    <row r="270" spans="24:28" x14ac:dyDescent="0.25">
      <c r="X270" s="24"/>
      <c r="AB270" s="27"/>
    </row>
    <row r="271" spans="24:28" x14ac:dyDescent="0.25">
      <c r="X271" s="24"/>
      <c r="AB271" s="27"/>
    </row>
    <row r="272" spans="24:28" x14ac:dyDescent="0.25">
      <c r="X272" s="24"/>
      <c r="AB272" s="27"/>
    </row>
    <row r="273" spans="24:28" x14ac:dyDescent="0.25">
      <c r="X273" s="24"/>
      <c r="AB273" s="27"/>
    </row>
    <row r="274" spans="24:28" x14ac:dyDescent="0.25">
      <c r="X274" s="24"/>
      <c r="AB274" s="27"/>
    </row>
    <row r="275" spans="24:28" x14ac:dyDescent="0.25">
      <c r="X275" s="24"/>
      <c r="AB275" s="27"/>
    </row>
    <row r="276" spans="24:28" x14ac:dyDescent="0.25">
      <c r="X276" s="24"/>
      <c r="AB276" s="27"/>
    </row>
    <row r="277" spans="24:28" x14ac:dyDescent="0.25">
      <c r="X277" s="24"/>
      <c r="AB277" s="27"/>
    </row>
    <row r="278" spans="24:28" x14ac:dyDescent="0.25">
      <c r="X278" s="24"/>
      <c r="AB278" s="27"/>
    </row>
    <row r="279" spans="24:28" x14ac:dyDescent="0.25">
      <c r="X279" s="24"/>
      <c r="AB279" s="27"/>
    </row>
    <row r="280" spans="24:28" x14ac:dyDescent="0.25">
      <c r="X280" s="24"/>
      <c r="AB280" s="27"/>
    </row>
    <row r="281" spans="24:28" x14ac:dyDescent="0.25">
      <c r="X281" s="24"/>
      <c r="AB281" s="27"/>
    </row>
    <row r="282" spans="24:28" x14ac:dyDescent="0.25">
      <c r="X282" s="24"/>
      <c r="AB282" s="27"/>
    </row>
    <row r="283" spans="24:28" x14ac:dyDescent="0.25">
      <c r="X283" s="24"/>
      <c r="AB283" s="27"/>
    </row>
    <row r="284" spans="24:28" x14ac:dyDescent="0.25">
      <c r="X284" s="24"/>
      <c r="AB284" s="27"/>
    </row>
    <row r="285" spans="24:28" x14ac:dyDescent="0.25">
      <c r="X285" s="24"/>
      <c r="AB285" s="27"/>
    </row>
    <row r="286" spans="24:28" x14ac:dyDescent="0.25">
      <c r="X286" s="24"/>
      <c r="AB286" s="27"/>
    </row>
    <row r="287" spans="24:28" x14ac:dyDescent="0.25">
      <c r="X287" s="24"/>
      <c r="AB287" s="27"/>
    </row>
    <row r="288" spans="24:28" x14ac:dyDescent="0.25">
      <c r="X288" s="24"/>
      <c r="AB288" s="27"/>
    </row>
    <row r="289" spans="24:28" x14ac:dyDescent="0.25">
      <c r="X289" s="24"/>
      <c r="AB289" s="27"/>
    </row>
    <row r="290" spans="24:28" x14ac:dyDescent="0.25">
      <c r="X290" s="24"/>
      <c r="AB290" s="27"/>
    </row>
    <row r="291" spans="24:28" x14ac:dyDescent="0.25">
      <c r="X291" s="24"/>
      <c r="AB291" s="27"/>
    </row>
    <row r="292" spans="24:28" x14ac:dyDescent="0.25">
      <c r="X292" s="24"/>
      <c r="AB292" s="27"/>
    </row>
    <row r="293" spans="24:28" x14ac:dyDescent="0.25">
      <c r="X293" s="24"/>
      <c r="AB293" s="27"/>
    </row>
    <row r="294" spans="24:28" x14ac:dyDescent="0.25">
      <c r="X294" s="24"/>
      <c r="AB294" s="27"/>
    </row>
    <row r="295" spans="24:28" x14ac:dyDescent="0.25">
      <c r="X295" s="24"/>
      <c r="AB295" s="27"/>
    </row>
    <row r="296" spans="24:28" x14ac:dyDescent="0.25">
      <c r="X296" s="24"/>
      <c r="AB296" s="27"/>
    </row>
    <row r="297" spans="24:28" x14ac:dyDescent="0.25">
      <c r="X297" s="24"/>
      <c r="AB297" s="27"/>
    </row>
    <row r="298" spans="24:28" x14ac:dyDescent="0.25">
      <c r="X298" s="24"/>
      <c r="AB298" s="27"/>
    </row>
    <row r="299" spans="24:28" x14ac:dyDescent="0.25">
      <c r="X299" s="24"/>
      <c r="AB299" s="27"/>
    </row>
    <row r="300" spans="24:28" x14ac:dyDescent="0.25">
      <c r="X300" s="24"/>
      <c r="AB300" s="27"/>
    </row>
    <row r="301" spans="24:28" x14ac:dyDescent="0.25">
      <c r="X301" s="24"/>
      <c r="AB301" s="27"/>
    </row>
    <row r="302" spans="24:28" x14ac:dyDescent="0.25">
      <c r="X302" s="24"/>
      <c r="AB302" s="27"/>
    </row>
    <row r="303" spans="24:28" x14ac:dyDescent="0.25">
      <c r="X303" s="24"/>
      <c r="AB303" s="27"/>
    </row>
    <row r="304" spans="24:28" x14ac:dyDescent="0.25">
      <c r="X304" s="24"/>
      <c r="AB304" s="27"/>
    </row>
    <row r="305" spans="24:28" x14ac:dyDescent="0.25">
      <c r="X305" s="24"/>
      <c r="AB305" s="27"/>
    </row>
    <row r="306" spans="24:28" x14ac:dyDescent="0.25">
      <c r="X306" s="24"/>
      <c r="AB306" s="27"/>
    </row>
    <row r="307" spans="24:28" x14ac:dyDescent="0.25">
      <c r="X307" s="24"/>
      <c r="AB307" s="27"/>
    </row>
    <row r="308" spans="24:28" x14ac:dyDescent="0.25">
      <c r="X308" s="24"/>
      <c r="AB308" s="27"/>
    </row>
    <row r="309" spans="24:28" x14ac:dyDescent="0.25">
      <c r="X309" s="24"/>
      <c r="AB309" s="27"/>
    </row>
    <row r="310" spans="24:28" x14ac:dyDescent="0.25">
      <c r="X310" s="24"/>
      <c r="AB310" s="27"/>
    </row>
    <row r="311" spans="24:28" x14ac:dyDescent="0.25">
      <c r="X311" s="24"/>
      <c r="AB311" s="27"/>
    </row>
    <row r="312" spans="24:28" x14ac:dyDescent="0.25">
      <c r="X312" s="24"/>
      <c r="AB312" s="27"/>
    </row>
    <row r="313" spans="24:28" x14ac:dyDescent="0.25">
      <c r="X313" s="24"/>
      <c r="AB313" s="27"/>
    </row>
    <row r="314" spans="24:28" x14ac:dyDescent="0.25">
      <c r="X314" s="24"/>
      <c r="AB314" s="27"/>
    </row>
    <row r="315" spans="24:28" x14ac:dyDescent="0.25">
      <c r="X315" s="24"/>
      <c r="AB315" s="27"/>
    </row>
    <row r="316" spans="24:28" x14ac:dyDescent="0.25">
      <c r="X316" s="24"/>
      <c r="AB316" s="27"/>
    </row>
    <row r="317" spans="24:28" x14ac:dyDescent="0.25">
      <c r="X317" s="24"/>
      <c r="AB317" s="27"/>
    </row>
    <row r="318" spans="24:28" x14ac:dyDescent="0.25">
      <c r="X318" s="24"/>
      <c r="AB318" s="27"/>
    </row>
    <row r="319" spans="24:28" x14ac:dyDescent="0.25">
      <c r="X319" s="24"/>
      <c r="AB319" s="27"/>
    </row>
    <row r="320" spans="24:28" x14ac:dyDescent="0.25">
      <c r="X320" s="24"/>
      <c r="AB320" s="27"/>
    </row>
    <row r="321" spans="24:28" x14ac:dyDescent="0.25">
      <c r="X321" s="24"/>
      <c r="AB321" s="27"/>
    </row>
    <row r="322" spans="24:28" x14ac:dyDescent="0.25">
      <c r="X322" s="24"/>
      <c r="AB322" s="27"/>
    </row>
    <row r="323" spans="24:28" x14ac:dyDescent="0.25">
      <c r="X323" s="24"/>
      <c r="AB323" s="27"/>
    </row>
    <row r="324" spans="24:28" x14ac:dyDescent="0.25">
      <c r="X324" s="24"/>
      <c r="AB324" s="27"/>
    </row>
    <row r="325" spans="24:28" x14ac:dyDescent="0.25">
      <c r="X325" s="24"/>
      <c r="AB325" s="27"/>
    </row>
    <row r="326" spans="24:28" x14ac:dyDescent="0.25">
      <c r="X326" s="24"/>
      <c r="AB326" s="27"/>
    </row>
    <row r="327" spans="24:28" x14ac:dyDescent="0.25">
      <c r="X327" s="24"/>
      <c r="AB327" s="27"/>
    </row>
    <row r="328" spans="24:28" x14ac:dyDescent="0.25">
      <c r="X328" s="24"/>
      <c r="AB328" s="27"/>
    </row>
    <row r="329" spans="24:28" x14ac:dyDescent="0.25">
      <c r="X329" s="24"/>
      <c r="AB329" s="27"/>
    </row>
    <row r="330" spans="24:28" x14ac:dyDescent="0.25">
      <c r="X330" s="24"/>
      <c r="AB330" s="27"/>
    </row>
    <row r="331" spans="24:28" x14ac:dyDescent="0.25">
      <c r="X331" s="24"/>
      <c r="AB331" s="27"/>
    </row>
    <row r="332" spans="24:28" x14ac:dyDescent="0.25">
      <c r="X332" s="24"/>
      <c r="AB332" s="27"/>
    </row>
    <row r="333" spans="24:28" x14ac:dyDescent="0.25">
      <c r="X333" s="24"/>
      <c r="AB333" s="27"/>
    </row>
    <row r="334" spans="24:28" x14ac:dyDescent="0.25">
      <c r="X334" s="24"/>
      <c r="AB334" s="27"/>
    </row>
    <row r="335" spans="24:28" x14ac:dyDescent="0.25">
      <c r="X335" s="24"/>
      <c r="AB335" s="27"/>
    </row>
    <row r="336" spans="24:28" x14ac:dyDescent="0.25">
      <c r="X336" s="24"/>
      <c r="AB336" s="27"/>
    </row>
    <row r="337" spans="24:28" x14ac:dyDescent="0.25">
      <c r="X337" s="24"/>
      <c r="AB337" s="27"/>
    </row>
    <row r="338" spans="24:28" x14ac:dyDescent="0.25">
      <c r="X338" s="24"/>
      <c r="AB338" s="27"/>
    </row>
    <row r="339" spans="24:28" x14ac:dyDescent="0.25">
      <c r="X339" s="24"/>
      <c r="AB339" s="27"/>
    </row>
    <row r="340" spans="24:28" x14ac:dyDescent="0.25">
      <c r="X340" s="24"/>
      <c r="AB340" s="27"/>
    </row>
    <row r="341" spans="24:28" x14ac:dyDescent="0.25">
      <c r="X341" s="24"/>
      <c r="AB341" s="27"/>
    </row>
    <row r="342" spans="24:28" x14ac:dyDescent="0.25">
      <c r="X342" s="24"/>
      <c r="AB342" s="27"/>
    </row>
    <row r="343" spans="24:28" x14ac:dyDescent="0.25">
      <c r="X343" s="24"/>
      <c r="AB343" s="27"/>
    </row>
    <row r="344" spans="24:28" x14ac:dyDescent="0.25">
      <c r="X344" s="24"/>
      <c r="AB344" s="27"/>
    </row>
    <row r="345" spans="24:28" x14ac:dyDescent="0.25">
      <c r="X345" s="24"/>
      <c r="AB345" s="27"/>
    </row>
    <row r="346" spans="24:28" x14ac:dyDescent="0.25">
      <c r="X346" s="24"/>
      <c r="AB346" s="27"/>
    </row>
    <row r="347" spans="24:28" x14ac:dyDescent="0.25">
      <c r="X347" s="24"/>
      <c r="AB347" s="27"/>
    </row>
    <row r="348" spans="24:28" x14ac:dyDescent="0.25">
      <c r="X348" s="24"/>
      <c r="AB348" s="27"/>
    </row>
    <row r="349" spans="24:28" x14ac:dyDescent="0.25">
      <c r="X349" s="24"/>
      <c r="AB349" s="27"/>
    </row>
    <row r="350" spans="24:28" x14ac:dyDescent="0.25">
      <c r="X350" s="24"/>
      <c r="AB350" s="27"/>
    </row>
    <row r="351" spans="24:28" x14ac:dyDescent="0.25">
      <c r="X351" s="24"/>
      <c r="AB351" s="27"/>
    </row>
    <row r="352" spans="24:28" x14ac:dyDescent="0.25">
      <c r="X352" s="24"/>
      <c r="AB352" s="27"/>
    </row>
    <row r="353" spans="24:28" x14ac:dyDescent="0.25">
      <c r="X353" s="24"/>
      <c r="AB353" s="27"/>
    </row>
    <row r="354" spans="24:28" x14ac:dyDescent="0.25">
      <c r="X354" s="24"/>
      <c r="AB354" s="27"/>
    </row>
    <row r="355" spans="24:28" x14ac:dyDescent="0.25">
      <c r="X355" s="24"/>
      <c r="AB355" s="27"/>
    </row>
    <row r="356" spans="24:28" x14ac:dyDescent="0.25">
      <c r="X356" s="24"/>
      <c r="AB356" s="27"/>
    </row>
    <row r="357" spans="24:28" x14ac:dyDescent="0.25">
      <c r="X357" s="24"/>
      <c r="AB357" s="27"/>
    </row>
    <row r="358" spans="24:28" x14ac:dyDescent="0.25">
      <c r="X358" s="24"/>
      <c r="AB358" s="27"/>
    </row>
    <row r="359" spans="24:28" x14ac:dyDescent="0.25">
      <c r="X359" s="24"/>
      <c r="AB359" s="27"/>
    </row>
    <row r="360" spans="24:28" x14ac:dyDescent="0.25">
      <c r="X360" s="24"/>
      <c r="AB360" s="27"/>
    </row>
    <row r="361" spans="24:28" x14ac:dyDescent="0.25">
      <c r="X361" s="24"/>
      <c r="AB361" s="27"/>
    </row>
    <row r="362" spans="24:28" x14ac:dyDescent="0.25">
      <c r="X362" s="24"/>
      <c r="AB362" s="27"/>
    </row>
    <row r="363" spans="24:28" x14ac:dyDescent="0.25">
      <c r="X363" s="24"/>
      <c r="AB363" s="27"/>
    </row>
    <row r="364" spans="24:28" x14ac:dyDescent="0.25">
      <c r="X364" s="24"/>
      <c r="AB364" s="27"/>
    </row>
    <row r="365" spans="24:28" x14ac:dyDescent="0.25">
      <c r="X365" s="24"/>
      <c r="AB365" s="27"/>
    </row>
    <row r="366" spans="24:28" x14ac:dyDescent="0.25">
      <c r="X366" s="24"/>
      <c r="AB366" s="27"/>
    </row>
    <row r="367" spans="24:28" x14ac:dyDescent="0.25">
      <c r="X367" s="24"/>
      <c r="AB367" s="27"/>
    </row>
    <row r="368" spans="24:28" x14ac:dyDescent="0.25">
      <c r="X368" s="24"/>
      <c r="AB368" s="27"/>
    </row>
    <row r="369" spans="24:28" x14ac:dyDescent="0.25">
      <c r="X369" s="24"/>
      <c r="AB369" s="27"/>
    </row>
    <row r="370" spans="24:28" x14ac:dyDescent="0.25">
      <c r="X370" s="24"/>
      <c r="AB370" s="27"/>
    </row>
    <row r="371" spans="24:28" x14ac:dyDescent="0.25">
      <c r="X371" s="24"/>
      <c r="AB371" s="27"/>
    </row>
    <row r="372" spans="24:28" x14ac:dyDescent="0.25">
      <c r="X372" s="24"/>
      <c r="AB372" s="27"/>
    </row>
    <row r="373" spans="24:28" x14ac:dyDescent="0.25">
      <c r="X373" s="24"/>
      <c r="AB373" s="27"/>
    </row>
    <row r="374" spans="24:28" x14ac:dyDescent="0.25">
      <c r="X374" s="24"/>
      <c r="AB374" s="27"/>
    </row>
    <row r="375" spans="24:28" x14ac:dyDescent="0.25">
      <c r="X375" s="24"/>
      <c r="AB375" s="27"/>
    </row>
    <row r="376" spans="24:28" x14ac:dyDescent="0.25">
      <c r="X376" s="24"/>
      <c r="AB376" s="27"/>
    </row>
    <row r="377" spans="24:28" x14ac:dyDescent="0.25">
      <c r="X377" s="24"/>
      <c r="AB377" s="27"/>
    </row>
    <row r="378" spans="24:28" x14ac:dyDescent="0.25">
      <c r="X378" s="24"/>
      <c r="AB378" s="27"/>
    </row>
    <row r="379" spans="24:28" x14ac:dyDescent="0.25">
      <c r="X379" s="24"/>
      <c r="AB379" s="27"/>
    </row>
    <row r="380" spans="24:28" x14ac:dyDescent="0.25">
      <c r="X380" s="24"/>
      <c r="AB380" s="27"/>
    </row>
    <row r="381" spans="24:28" x14ac:dyDescent="0.25">
      <c r="X381" s="24"/>
      <c r="AB381" s="27"/>
    </row>
    <row r="382" spans="24:28" x14ac:dyDescent="0.25">
      <c r="X382" s="24"/>
      <c r="AB382" s="27"/>
    </row>
    <row r="383" spans="24:28" x14ac:dyDescent="0.25">
      <c r="X383" s="24"/>
      <c r="AB383" s="27"/>
    </row>
    <row r="384" spans="24:28" x14ac:dyDescent="0.25">
      <c r="X384" s="24"/>
      <c r="AB384" s="27"/>
    </row>
    <row r="385" spans="24:28" x14ac:dyDescent="0.25">
      <c r="X385" s="24"/>
      <c r="AB385" s="27"/>
    </row>
    <row r="386" spans="24:28" x14ac:dyDescent="0.25">
      <c r="X386" s="24"/>
      <c r="AB386" s="27"/>
    </row>
    <row r="387" spans="24:28" x14ac:dyDescent="0.25">
      <c r="X387" s="24"/>
      <c r="AB387" s="27"/>
    </row>
    <row r="388" spans="24:28" x14ac:dyDescent="0.25">
      <c r="X388" s="24"/>
      <c r="AB388" s="27"/>
    </row>
    <row r="389" spans="24:28" x14ac:dyDescent="0.25">
      <c r="X389" s="24"/>
      <c r="AB389" s="27"/>
    </row>
    <row r="390" spans="24:28" x14ac:dyDescent="0.25">
      <c r="X390" s="24"/>
      <c r="AB390" s="27"/>
    </row>
    <row r="391" spans="24:28" x14ac:dyDescent="0.25">
      <c r="X391" s="24"/>
      <c r="AB391" s="27"/>
    </row>
    <row r="392" spans="24:28" x14ac:dyDescent="0.25">
      <c r="X392" s="24"/>
      <c r="AB392" s="27"/>
    </row>
    <row r="393" spans="24:28" x14ac:dyDescent="0.25">
      <c r="X393" s="24"/>
      <c r="AB393" s="27"/>
    </row>
    <row r="394" spans="24:28" x14ac:dyDescent="0.25">
      <c r="X394" s="24"/>
      <c r="AB394" s="27"/>
    </row>
    <row r="395" spans="24:28" x14ac:dyDescent="0.25">
      <c r="X395" s="24"/>
      <c r="AB395" s="27"/>
    </row>
    <row r="396" spans="24:28" x14ac:dyDescent="0.25">
      <c r="X396" s="24"/>
      <c r="AB396" s="27"/>
    </row>
    <row r="397" spans="24:28" x14ac:dyDescent="0.25">
      <c r="X397" s="24"/>
      <c r="AB397" s="27"/>
    </row>
    <row r="398" spans="24:28" x14ac:dyDescent="0.25">
      <c r="X398" s="24"/>
      <c r="AB398" s="27"/>
    </row>
    <row r="399" spans="24:28" x14ac:dyDescent="0.25">
      <c r="X399" s="24"/>
      <c r="AB399" s="27"/>
    </row>
    <row r="400" spans="24:28" x14ac:dyDescent="0.25">
      <c r="X400" s="24"/>
      <c r="AB400" s="27"/>
    </row>
    <row r="401" spans="24:28" x14ac:dyDescent="0.25">
      <c r="X401" s="24"/>
      <c r="AB401" s="27"/>
    </row>
    <row r="402" spans="24:28" x14ac:dyDescent="0.25">
      <c r="X402" s="24"/>
      <c r="AB402" s="27"/>
    </row>
    <row r="403" spans="24:28" x14ac:dyDescent="0.25">
      <c r="X403" s="24"/>
      <c r="AB403" s="27"/>
    </row>
    <row r="404" spans="24:28" x14ac:dyDescent="0.25">
      <c r="X404" s="24"/>
      <c r="AB404" s="27"/>
    </row>
    <row r="405" spans="24:28" x14ac:dyDescent="0.25">
      <c r="X405" s="24"/>
      <c r="AB405" s="27"/>
    </row>
    <row r="406" spans="24:28" x14ac:dyDescent="0.25">
      <c r="X406" s="24"/>
      <c r="AB406" s="27"/>
    </row>
    <row r="407" spans="24:28" x14ac:dyDescent="0.25">
      <c r="X407" s="24"/>
      <c r="AB407" s="27"/>
    </row>
    <row r="408" spans="24:28" x14ac:dyDescent="0.25">
      <c r="X408" s="24"/>
      <c r="AB408" s="27"/>
    </row>
    <row r="409" spans="24:28" x14ac:dyDescent="0.25">
      <c r="X409" s="24"/>
      <c r="AB409" s="27"/>
    </row>
    <row r="410" spans="24:28" x14ac:dyDescent="0.25">
      <c r="X410" s="24"/>
      <c r="AB410" s="27"/>
    </row>
    <row r="411" spans="24:28" x14ac:dyDescent="0.25">
      <c r="X411" s="24"/>
      <c r="AB411" s="27"/>
    </row>
    <row r="412" spans="24:28" x14ac:dyDescent="0.25">
      <c r="X412" s="24"/>
      <c r="AB412" s="27"/>
    </row>
    <row r="413" spans="24:28" x14ac:dyDescent="0.25">
      <c r="X413" s="24"/>
      <c r="AB413" s="27"/>
    </row>
    <row r="414" spans="24:28" x14ac:dyDescent="0.25">
      <c r="X414" s="24"/>
      <c r="AB414" s="27"/>
    </row>
    <row r="415" spans="24:28" x14ac:dyDescent="0.25">
      <c r="X415" s="24"/>
      <c r="AB415" s="27"/>
    </row>
    <row r="416" spans="24:28" x14ac:dyDescent="0.25">
      <c r="X416" s="24"/>
      <c r="AB416" s="27"/>
    </row>
    <row r="417" spans="24:28" x14ac:dyDescent="0.25">
      <c r="X417" s="24"/>
      <c r="AB417" s="27"/>
    </row>
    <row r="418" spans="24:28" x14ac:dyDescent="0.25">
      <c r="X418" s="24"/>
      <c r="AB418" s="27"/>
    </row>
    <row r="419" spans="24:28" x14ac:dyDescent="0.25">
      <c r="X419" s="24"/>
      <c r="AB419" s="27"/>
    </row>
    <row r="420" spans="24:28" x14ac:dyDescent="0.25">
      <c r="X420" s="24"/>
      <c r="AB420" s="27"/>
    </row>
    <row r="421" spans="24:28" x14ac:dyDescent="0.25">
      <c r="X421" s="24"/>
      <c r="AB421" s="27"/>
    </row>
    <row r="422" spans="24:28" x14ac:dyDescent="0.25">
      <c r="X422" s="24"/>
      <c r="AB422" s="27"/>
    </row>
    <row r="423" spans="24:28" x14ac:dyDescent="0.25">
      <c r="X423" s="24"/>
      <c r="AB423" s="27"/>
    </row>
    <row r="424" spans="24:28" x14ac:dyDescent="0.25">
      <c r="X424" s="24"/>
      <c r="AB424" s="27"/>
    </row>
    <row r="425" spans="24:28" x14ac:dyDescent="0.25">
      <c r="X425" s="24"/>
      <c r="AB425" s="27"/>
    </row>
    <row r="426" spans="24:28" x14ac:dyDescent="0.25">
      <c r="X426" s="24"/>
      <c r="AB426" s="27"/>
    </row>
    <row r="427" spans="24:28" x14ac:dyDescent="0.25">
      <c r="X427" s="24"/>
      <c r="AB427" s="27"/>
    </row>
    <row r="428" spans="24:28" x14ac:dyDescent="0.25">
      <c r="X428" s="24"/>
      <c r="AB428" s="27"/>
    </row>
    <row r="429" spans="24:28" x14ac:dyDescent="0.25">
      <c r="X429" s="24"/>
      <c r="AB429" s="27"/>
    </row>
    <row r="430" spans="24:28" x14ac:dyDescent="0.25">
      <c r="X430" s="24"/>
      <c r="AB430" s="27"/>
    </row>
    <row r="431" spans="24:28" x14ac:dyDescent="0.25">
      <c r="X431" s="24"/>
      <c r="AB431" s="27"/>
    </row>
    <row r="432" spans="24:28" x14ac:dyDescent="0.25">
      <c r="X432" s="24"/>
      <c r="AB432" s="27"/>
    </row>
    <row r="433" spans="24:28" x14ac:dyDescent="0.25">
      <c r="X433" s="24"/>
      <c r="AB433" s="27"/>
    </row>
    <row r="434" spans="24:28" x14ac:dyDescent="0.25">
      <c r="X434" s="24"/>
      <c r="AB434" s="27"/>
    </row>
    <row r="435" spans="24:28" x14ac:dyDescent="0.25">
      <c r="X435" s="24"/>
      <c r="AB435" s="27"/>
    </row>
    <row r="436" spans="24:28" x14ac:dyDescent="0.25">
      <c r="X436" s="24"/>
      <c r="AB436" s="27"/>
    </row>
    <row r="437" spans="24:28" x14ac:dyDescent="0.25">
      <c r="X437" s="24"/>
      <c r="AB437" s="27"/>
    </row>
    <row r="438" spans="24:28" x14ac:dyDescent="0.25">
      <c r="X438" s="24"/>
      <c r="AB438" s="27"/>
    </row>
    <row r="439" spans="24:28" x14ac:dyDescent="0.25">
      <c r="X439" s="24"/>
      <c r="AB439" s="27"/>
    </row>
    <row r="440" spans="24:28" x14ac:dyDescent="0.25">
      <c r="X440" s="24"/>
      <c r="AB440" s="27"/>
    </row>
    <row r="441" spans="24:28" x14ac:dyDescent="0.25">
      <c r="X441" s="24"/>
      <c r="AB441" s="27"/>
    </row>
    <row r="442" spans="24:28" x14ac:dyDescent="0.25">
      <c r="X442" s="24"/>
      <c r="AB442" s="27"/>
    </row>
    <row r="443" spans="24:28" x14ac:dyDescent="0.25">
      <c r="X443" s="24"/>
      <c r="AB443" s="27"/>
    </row>
    <row r="444" spans="24:28" x14ac:dyDescent="0.25">
      <c r="X444" s="24"/>
      <c r="AB444" s="27"/>
    </row>
    <row r="445" spans="24:28" x14ac:dyDescent="0.25">
      <c r="X445" s="24"/>
      <c r="AB445" s="27"/>
    </row>
    <row r="446" spans="24:28" x14ac:dyDescent="0.25">
      <c r="X446" s="24"/>
      <c r="AB446" s="27"/>
    </row>
    <row r="447" spans="24:28" x14ac:dyDescent="0.25">
      <c r="X447" s="24"/>
      <c r="AB447" s="27"/>
    </row>
    <row r="448" spans="24:28" x14ac:dyDescent="0.25">
      <c r="X448" s="24"/>
      <c r="AB448" s="27"/>
    </row>
    <row r="449" spans="24:28" x14ac:dyDescent="0.25">
      <c r="X449" s="24"/>
      <c r="AB449" s="27"/>
    </row>
    <row r="450" spans="24:28" x14ac:dyDescent="0.25">
      <c r="X450" s="24"/>
      <c r="AB450" s="27"/>
    </row>
    <row r="451" spans="24:28" x14ac:dyDescent="0.25">
      <c r="X451" s="24"/>
      <c r="AB451" s="27"/>
    </row>
    <row r="452" spans="24:28" x14ac:dyDescent="0.25">
      <c r="X452" s="24"/>
      <c r="AB452" s="27"/>
    </row>
    <row r="453" spans="24:28" x14ac:dyDescent="0.25">
      <c r="X453" s="24"/>
      <c r="AB453" s="27"/>
    </row>
    <row r="454" spans="24:28" x14ac:dyDescent="0.25">
      <c r="X454" s="24"/>
      <c r="AB454" s="27"/>
    </row>
    <row r="455" spans="24:28" x14ac:dyDescent="0.25">
      <c r="X455" s="24"/>
      <c r="AB455" s="27"/>
    </row>
    <row r="456" spans="24:28" x14ac:dyDescent="0.25">
      <c r="X456" s="24"/>
      <c r="AB456" s="27"/>
    </row>
    <row r="457" spans="24:28" x14ac:dyDescent="0.25">
      <c r="X457" s="24"/>
      <c r="AB457" s="27"/>
    </row>
    <row r="458" spans="24:28" x14ac:dyDescent="0.25">
      <c r="X458" s="24"/>
      <c r="AB458" s="27"/>
    </row>
    <row r="459" spans="24:28" x14ac:dyDescent="0.25">
      <c r="X459" s="24"/>
      <c r="AB459" s="27"/>
    </row>
    <row r="460" spans="24:28" x14ac:dyDescent="0.25">
      <c r="X460" s="24"/>
      <c r="AB460" s="27"/>
    </row>
    <row r="461" spans="24:28" x14ac:dyDescent="0.25">
      <c r="X461" s="24"/>
      <c r="AB461" s="27"/>
    </row>
    <row r="462" spans="24:28" x14ac:dyDescent="0.25">
      <c r="X462" s="24"/>
      <c r="AB462" s="27"/>
    </row>
    <row r="463" spans="24:28" x14ac:dyDescent="0.25">
      <c r="X463" s="24"/>
      <c r="AB463" s="27"/>
    </row>
    <row r="464" spans="24:28" x14ac:dyDescent="0.25">
      <c r="X464" s="24"/>
      <c r="AB464" s="27"/>
    </row>
    <row r="465" spans="24:28" x14ac:dyDescent="0.25">
      <c r="X465" s="24"/>
      <c r="AB465" s="27"/>
    </row>
    <row r="466" spans="24:28" x14ac:dyDescent="0.25">
      <c r="X466" s="24"/>
      <c r="AB466" s="27"/>
    </row>
    <row r="467" spans="24:28" x14ac:dyDescent="0.25">
      <c r="X467" s="24"/>
      <c r="AB467" s="27"/>
    </row>
    <row r="468" spans="24:28" x14ac:dyDescent="0.25">
      <c r="X468" s="24"/>
      <c r="AB468" s="27"/>
    </row>
    <row r="469" spans="24:28" x14ac:dyDescent="0.25">
      <c r="X469" s="24"/>
      <c r="AB469" s="27"/>
    </row>
    <row r="470" spans="24:28" x14ac:dyDescent="0.25">
      <c r="X470" s="24"/>
      <c r="AB470" s="27"/>
    </row>
    <row r="471" spans="24:28" x14ac:dyDescent="0.25">
      <c r="X471" s="24"/>
      <c r="AB471" s="27"/>
    </row>
    <row r="472" spans="24:28" x14ac:dyDescent="0.25">
      <c r="X472" s="24"/>
      <c r="AB472" s="27"/>
    </row>
    <row r="473" spans="24:28" x14ac:dyDescent="0.25">
      <c r="X473" s="24"/>
      <c r="AB473" s="27"/>
    </row>
    <row r="474" spans="24:28" x14ac:dyDescent="0.25">
      <c r="X474" s="24"/>
      <c r="AB474" s="27"/>
    </row>
    <row r="475" spans="24:28" x14ac:dyDescent="0.25">
      <c r="X475" s="24"/>
      <c r="AB475" s="27"/>
    </row>
    <row r="476" spans="24:28" x14ac:dyDescent="0.25">
      <c r="X476" s="24"/>
      <c r="AB476" s="27"/>
    </row>
    <row r="477" spans="24:28" x14ac:dyDescent="0.25">
      <c r="X477" s="24"/>
      <c r="AB477" s="27"/>
    </row>
    <row r="478" spans="24:28" x14ac:dyDescent="0.25">
      <c r="X478" s="24"/>
      <c r="AB478" s="27"/>
    </row>
    <row r="479" spans="24:28" x14ac:dyDescent="0.25">
      <c r="X479" s="24"/>
      <c r="AB479" s="27"/>
    </row>
    <row r="480" spans="24:28" x14ac:dyDescent="0.25">
      <c r="X480" s="24"/>
      <c r="AB480" s="27"/>
    </row>
    <row r="481" spans="24:28" x14ac:dyDescent="0.25">
      <c r="X481" s="24"/>
      <c r="AB481" s="27"/>
    </row>
    <row r="482" spans="24:28" x14ac:dyDescent="0.25">
      <c r="X482" s="24"/>
      <c r="AB482" s="27"/>
    </row>
    <row r="483" spans="24:28" x14ac:dyDescent="0.25">
      <c r="X483" s="24"/>
      <c r="AB483" s="27"/>
    </row>
    <row r="484" spans="24:28" x14ac:dyDescent="0.25">
      <c r="X484" s="24"/>
      <c r="AB484" s="27"/>
    </row>
    <row r="485" spans="24:28" x14ac:dyDescent="0.25">
      <c r="X485" s="24"/>
      <c r="AB485" s="27"/>
    </row>
    <row r="486" spans="24:28" x14ac:dyDescent="0.25">
      <c r="X486" s="24"/>
      <c r="AB486" s="27"/>
    </row>
    <row r="487" spans="24:28" x14ac:dyDescent="0.25">
      <c r="X487" s="24"/>
      <c r="AB487" s="27"/>
    </row>
    <row r="488" spans="24:28" x14ac:dyDescent="0.25">
      <c r="X488" s="24"/>
      <c r="AB488" s="27"/>
    </row>
    <row r="489" spans="24:28" x14ac:dyDescent="0.25">
      <c r="X489" s="24"/>
      <c r="AB489" s="27"/>
    </row>
    <row r="490" spans="24:28" x14ac:dyDescent="0.25">
      <c r="X490" s="24"/>
      <c r="AB490" s="27"/>
    </row>
    <row r="491" spans="24:28" x14ac:dyDescent="0.25">
      <c r="X491" s="24"/>
      <c r="AB491" s="27"/>
    </row>
    <row r="492" spans="24:28" x14ac:dyDescent="0.25">
      <c r="X492" s="24"/>
      <c r="AB492" s="27"/>
    </row>
    <row r="493" spans="24:28" x14ac:dyDescent="0.25">
      <c r="X493" s="24"/>
      <c r="AB493" s="27"/>
    </row>
    <row r="494" spans="24:28" x14ac:dyDescent="0.25">
      <c r="X494" s="24"/>
      <c r="AB494" s="27"/>
    </row>
    <row r="495" spans="24:28" x14ac:dyDescent="0.25">
      <c r="X495" s="24"/>
      <c r="AB495" s="27"/>
    </row>
    <row r="496" spans="24:28" x14ac:dyDescent="0.25">
      <c r="X496" s="24"/>
      <c r="AB496" s="27"/>
    </row>
    <row r="497" spans="24:28" x14ac:dyDescent="0.25">
      <c r="X497" s="24"/>
      <c r="AB497" s="27"/>
    </row>
    <row r="498" spans="24:28" x14ac:dyDescent="0.25">
      <c r="X498" s="24"/>
      <c r="AB498" s="27"/>
    </row>
    <row r="499" spans="24:28" x14ac:dyDescent="0.25">
      <c r="X499" s="24"/>
      <c r="AB499" s="27"/>
    </row>
    <row r="500" spans="24:28" x14ac:dyDescent="0.25">
      <c r="X500" s="24"/>
      <c r="AB500" s="27"/>
    </row>
    <row r="501" spans="24:28" x14ac:dyDescent="0.25">
      <c r="X501" s="24"/>
      <c r="AB501" s="27"/>
    </row>
    <row r="502" spans="24:28" x14ac:dyDescent="0.25">
      <c r="X502" s="24"/>
      <c r="AB502" s="27"/>
    </row>
    <row r="503" spans="24:28" x14ac:dyDescent="0.25">
      <c r="X503" s="24"/>
      <c r="AB503" s="27"/>
    </row>
    <row r="504" spans="24:28" x14ac:dyDescent="0.25">
      <c r="X504" s="24"/>
      <c r="AB504" s="27"/>
    </row>
    <row r="505" spans="24:28" x14ac:dyDescent="0.25">
      <c r="X505" s="24"/>
      <c r="AB505" s="27"/>
    </row>
    <row r="506" spans="24:28" x14ac:dyDescent="0.25">
      <c r="X506" s="24"/>
      <c r="AB506" s="27"/>
    </row>
    <row r="507" spans="24:28" x14ac:dyDescent="0.25">
      <c r="X507" s="24"/>
      <c r="AB507" s="27"/>
    </row>
    <row r="508" spans="24:28" x14ac:dyDescent="0.25">
      <c r="X508" s="24"/>
      <c r="AB508" s="27"/>
    </row>
    <row r="509" spans="24:28" x14ac:dyDescent="0.25">
      <c r="X509" s="24"/>
      <c r="AB509" s="27"/>
    </row>
    <row r="510" spans="24:28" x14ac:dyDescent="0.25">
      <c r="X510" s="24"/>
      <c r="AB510" s="27"/>
    </row>
    <row r="511" spans="24:28" x14ac:dyDescent="0.25">
      <c r="X511" s="24"/>
      <c r="AB511" s="27"/>
    </row>
    <row r="512" spans="24:28" x14ac:dyDescent="0.25">
      <c r="X512" s="24"/>
      <c r="AB512" s="27"/>
    </row>
    <row r="513" spans="24:28" x14ac:dyDescent="0.25">
      <c r="X513" s="24"/>
      <c r="AB513" s="27"/>
    </row>
    <row r="514" spans="24:28" x14ac:dyDescent="0.25">
      <c r="X514" s="24"/>
      <c r="AB514" s="27"/>
    </row>
    <row r="515" spans="24:28" x14ac:dyDescent="0.25">
      <c r="X515" s="24"/>
      <c r="AB515" s="27"/>
    </row>
    <row r="516" spans="24:28" x14ac:dyDescent="0.25">
      <c r="X516" s="24"/>
      <c r="AB516" s="27"/>
    </row>
    <row r="517" spans="24:28" x14ac:dyDescent="0.25">
      <c r="X517" s="24"/>
      <c r="AB517" s="27"/>
    </row>
    <row r="518" spans="24:28" x14ac:dyDescent="0.25">
      <c r="X518" s="24"/>
      <c r="AB518" s="27"/>
    </row>
    <row r="519" spans="24:28" x14ac:dyDescent="0.25">
      <c r="X519" s="24"/>
      <c r="AB519" s="27"/>
    </row>
    <row r="520" spans="24:28" x14ac:dyDescent="0.25">
      <c r="X520" s="24"/>
      <c r="AB520" s="27"/>
    </row>
    <row r="521" spans="24:28" x14ac:dyDescent="0.25">
      <c r="X521" s="24"/>
      <c r="AB521" s="27"/>
    </row>
    <row r="522" spans="24:28" x14ac:dyDescent="0.25">
      <c r="X522" s="24"/>
      <c r="AB522" s="27"/>
    </row>
    <row r="523" spans="24:28" x14ac:dyDescent="0.25">
      <c r="X523" s="24"/>
      <c r="AB523" s="27"/>
    </row>
    <row r="524" spans="24:28" x14ac:dyDescent="0.25">
      <c r="X524" s="24"/>
      <c r="AB524" s="27"/>
    </row>
    <row r="525" spans="24:28" x14ac:dyDescent="0.25">
      <c r="X525" s="24"/>
      <c r="AB525" s="27"/>
    </row>
    <row r="526" spans="24:28" x14ac:dyDescent="0.25">
      <c r="X526" s="24"/>
      <c r="AB526" s="27"/>
    </row>
    <row r="527" spans="24:28" x14ac:dyDescent="0.25">
      <c r="X527" s="24"/>
      <c r="AB527" s="27"/>
    </row>
    <row r="528" spans="24:28" x14ac:dyDescent="0.25">
      <c r="X528" s="24"/>
      <c r="AB528" s="27"/>
    </row>
    <row r="529" spans="24:28" x14ac:dyDescent="0.25">
      <c r="X529" s="24"/>
      <c r="AB529" s="27"/>
    </row>
    <row r="530" spans="24:28" x14ac:dyDescent="0.25">
      <c r="X530" s="24"/>
      <c r="AB530" s="27"/>
    </row>
    <row r="531" spans="24:28" x14ac:dyDescent="0.25">
      <c r="X531" s="24"/>
      <c r="AB531" s="27"/>
    </row>
    <row r="532" spans="24:28" x14ac:dyDescent="0.25">
      <c r="X532" s="24"/>
      <c r="AB532" s="27"/>
    </row>
    <row r="533" spans="24:28" x14ac:dyDescent="0.25">
      <c r="X533" s="24"/>
      <c r="AB533" s="27"/>
    </row>
    <row r="534" spans="24:28" x14ac:dyDescent="0.25">
      <c r="X534" s="24"/>
      <c r="AB534" s="27"/>
    </row>
    <row r="535" spans="24:28" x14ac:dyDescent="0.25">
      <c r="X535" s="24"/>
      <c r="AB535" s="27"/>
    </row>
    <row r="536" spans="24:28" x14ac:dyDescent="0.25">
      <c r="X536" s="24"/>
      <c r="AB536" s="27"/>
    </row>
    <row r="537" spans="24:28" x14ac:dyDescent="0.25">
      <c r="X537" s="24"/>
      <c r="AB537" s="27"/>
    </row>
    <row r="538" spans="24:28" x14ac:dyDescent="0.25">
      <c r="X538" s="24"/>
      <c r="AB538" s="27"/>
    </row>
    <row r="539" spans="24:28" x14ac:dyDescent="0.25">
      <c r="X539" s="24"/>
      <c r="AB539" s="27"/>
    </row>
    <row r="540" spans="24:28" x14ac:dyDescent="0.25">
      <c r="X540" s="24"/>
      <c r="AB540" s="27"/>
    </row>
    <row r="541" spans="24:28" x14ac:dyDescent="0.25">
      <c r="X541" s="24"/>
      <c r="AB541" s="27"/>
    </row>
    <row r="542" spans="24:28" x14ac:dyDescent="0.25">
      <c r="X542" s="24"/>
      <c r="AB542" s="27"/>
    </row>
    <row r="543" spans="24:28" x14ac:dyDescent="0.25">
      <c r="X543" s="24"/>
      <c r="AB543" s="27"/>
    </row>
    <row r="544" spans="24:28" x14ac:dyDescent="0.25">
      <c r="X544" s="24"/>
      <c r="AB544" s="27"/>
    </row>
    <row r="545" spans="24:28" x14ac:dyDescent="0.25">
      <c r="X545" s="24"/>
      <c r="AB545" s="27"/>
    </row>
    <row r="546" spans="24:28" x14ac:dyDescent="0.25">
      <c r="X546" s="24"/>
      <c r="AB546" s="27"/>
    </row>
    <row r="547" spans="24:28" x14ac:dyDescent="0.25">
      <c r="X547" s="24"/>
      <c r="AB547" s="27"/>
    </row>
    <row r="548" spans="24:28" x14ac:dyDescent="0.25">
      <c r="X548" s="24"/>
      <c r="AB548" s="27"/>
    </row>
    <row r="549" spans="24:28" x14ac:dyDescent="0.25">
      <c r="X549" s="24"/>
      <c r="AB549" s="27"/>
    </row>
    <row r="550" spans="24:28" x14ac:dyDescent="0.25">
      <c r="X550" s="24"/>
      <c r="AB550" s="27"/>
    </row>
    <row r="551" spans="24:28" x14ac:dyDescent="0.25">
      <c r="X551" s="24"/>
      <c r="AB551" s="27"/>
    </row>
    <row r="552" spans="24:28" x14ac:dyDescent="0.25">
      <c r="X552" s="24"/>
      <c r="AB552" s="27"/>
    </row>
    <row r="553" spans="24:28" x14ac:dyDescent="0.25">
      <c r="X553" s="24"/>
      <c r="AB553" s="27"/>
    </row>
    <row r="554" spans="24:28" x14ac:dyDescent="0.25">
      <c r="X554" s="24"/>
      <c r="AB554" s="27"/>
    </row>
    <row r="555" spans="24:28" x14ac:dyDescent="0.25">
      <c r="X555" s="24"/>
      <c r="AB555" s="27"/>
    </row>
    <row r="556" spans="24:28" x14ac:dyDescent="0.25">
      <c r="X556" s="24"/>
      <c r="AB556" s="27"/>
    </row>
    <row r="557" spans="24:28" x14ac:dyDescent="0.25">
      <c r="X557" s="24"/>
      <c r="AB557" s="27"/>
    </row>
    <row r="558" spans="24:28" x14ac:dyDescent="0.25">
      <c r="X558" s="24"/>
      <c r="AB558" s="27"/>
    </row>
    <row r="559" spans="24:28" x14ac:dyDescent="0.25">
      <c r="X559" s="24"/>
      <c r="AB559" s="27"/>
    </row>
    <row r="560" spans="24:28" x14ac:dyDescent="0.25">
      <c r="X560" s="24"/>
      <c r="AB560" s="27"/>
    </row>
    <row r="561" spans="24:28" x14ac:dyDescent="0.25">
      <c r="X561" s="24"/>
      <c r="AB561" s="27"/>
    </row>
    <row r="562" spans="24:28" x14ac:dyDescent="0.25">
      <c r="X562" s="24"/>
      <c r="AB562" s="27"/>
    </row>
    <row r="563" spans="24:28" x14ac:dyDescent="0.25">
      <c r="X563" s="24"/>
      <c r="AB563" s="27"/>
    </row>
    <row r="564" spans="24:28" x14ac:dyDescent="0.25">
      <c r="X564" s="24"/>
      <c r="AB564" s="27"/>
    </row>
    <row r="565" spans="24:28" x14ac:dyDescent="0.25">
      <c r="X565" s="24"/>
      <c r="AB565" s="27"/>
    </row>
    <row r="566" spans="24:28" x14ac:dyDescent="0.25">
      <c r="X566" s="24"/>
      <c r="AB566" s="27"/>
    </row>
    <row r="567" spans="24:28" x14ac:dyDescent="0.25">
      <c r="X567" s="24"/>
      <c r="AB567" s="27"/>
    </row>
    <row r="568" spans="24:28" x14ac:dyDescent="0.25">
      <c r="X568" s="24"/>
      <c r="AB568" s="27"/>
    </row>
    <row r="569" spans="24:28" x14ac:dyDescent="0.25">
      <c r="X569" s="24"/>
      <c r="AB569" s="27"/>
    </row>
    <row r="570" spans="24:28" x14ac:dyDescent="0.25">
      <c r="X570" s="24"/>
      <c r="AB570" s="27"/>
    </row>
    <row r="571" spans="24:28" x14ac:dyDescent="0.25">
      <c r="X571" s="24"/>
      <c r="AB571" s="27"/>
    </row>
    <row r="572" spans="24:28" x14ac:dyDescent="0.25">
      <c r="X572" s="24"/>
      <c r="AB572" s="27"/>
    </row>
    <row r="573" spans="24:28" x14ac:dyDescent="0.25">
      <c r="X573" s="24"/>
      <c r="AB573" s="27"/>
    </row>
    <row r="574" spans="24:28" x14ac:dyDescent="0.25">
      <c r="X574" s="24"/>
      <c r="AB574" s="27"/>
    </row>
    <row r="575" spans="24:28" x14ac:dyDescent="0.25">
      <c r="X575" s="24"/>
      <c r="AB575" s="27"/>
    </row>
    <row r="576" spans="24:28" x14ac:dyDescent="0.25">
      <c r="X576" s="24"/>
      <c r="AB576" s="27"/>
    </row>
    <row r="577" spans="24:28" x14ac:dyDescent="0.25">
      <c r="X577" s="24"/>
      <c r="AB577" s="27"/>
    </row>
    <row r="578" spans="24:28" x14ac:dyDescent="0.25">
      <c r="X578" s="24"/>
      <c r="AB578" s="27"/>
    </row>
    <row r="579" spans="24:28" x14ac:dyDescent="0.25">
      <c r="X579" s="24"/>
      <c r="AB579" s="27"/>
    </row>
    <row r="580" spans="24:28" x14ac:dyDescent="0.25">
      <c r="X580" s="24"/>
      <c r="AB580" s="27"/>
    </row>
    <row r="581" spans="24:28" x14ac:dyDescent="0.25">
      <c r="X581" s="24"/>
      <c r="AB581" s="27"/>
    </row>
    <row r="582" spans="24:28" x14ac:dyDescent="0.25">
      <c r="X582" s="24"/>
      <c r="AB582" s="27"/>
    </row>
    <row r="583" spans="24:28" x14ac:dyDescent="0.25">
      <c r="X583" s="24"/>
      <c r="AB583" s="27"/>
    </row>
    <row r="584" spans="24:28" x14ac:dyDescent="0.25">
      <c r="X584" s="24"/>
      <c r="AB584" s="27"/>
    </row>
    <row r="585" spans="24:28" x14ac:dyDescent="0.25">
      <c r="X585" s="24"/>
      <c r="AB585" s="27"/>
    </row>
    <row r="586" spans="24:28" x14ac:dyDescent="0.25">
      <c r="X586" s="24"/>
      <c r="AB586" s="27"/>
    </row>
    <row r="587" spans="24:28" x14ac:dyDescent="0.25">
      <c r="X587" s="24"/>
      <c r="AB587" s="27"/>
    </row>
    <row r="588" spans="24:28" x14ac:dyDescent="0.25">
      <c r="X588" s="24"/>
      <c r="AB588" s="27"/>
    </row>
    <row r="589" spans="24:28" x14ac:dyDescent="0.25">
      <c r="X589" s="24"/>
      <c r="AB589" s="27"/>
    </row>
    <row r="590" spans="24:28" x14ac:dyDescent="0.25">
      <c r="X590" s="24"/>
      <c r="AB590" s="27"/>
    </row>
    <row r="591" spans="24:28" x14ac:dyDescent="0.25">
      <c r="X591" s="24"/>
      <c r="AB591" s="27"/>
    </row>
    <row r="592" spans="24:28" x14ac:dyDescent="0.25">
      <c r="X592" s="24"/>
      <c r="AB592" s="27"/>
    </row>
    <row r="593" spans="24:28" x14ac:dyDescent="0.25">
      <c r="X593" s="24"/>
      <c r="AB593" s="27"/>
    </row>
    <row r="594" spans="24:28" x14ac:dyDescent="0.25">
      <c r="X594" s="24"/>
      <c r="AB594" s="27"/>
    </row>
    <row r="595" spans="24:28" x14ac:dyDescent="0.25">
      <c r="X595" s="24"/>
      <c r="AB595" s="27"/>
    </row>
    <row r="596" spans="24:28" x14ac:dyDescent="0.25">
      <c r="X596" s="24"/>
      <c r="AB596" s="27"/>
    </row>
    <row r="597" spans="24:28" x14ac:dyDescent="0.25">
      <c r="X597" s="24"/>
      <c r="AB597" s="27"/>
    </row>
    <row r="598" spans="24:28" x14ac:dyDescent="0.25">
      <c r="X598" s="24"/>
      <c r="AB598" s="27"/>
    </row>
    <row r="599" spans="24:28" x14ac:dyDescent="0.25">
      <c r="X599" s="24"/>
      <c r="AB599" s="27"/>
    </row>
    <row r="600" spans="24:28" x14ac:dyDescent="0.25">
      <c r="X600" s="24"/>
      <c r="AB600" s="27"/>
    </row>
    <row r="601" spans="24:28" x14ac:dyDescent="0.25">
      <c r="X601" s="24"/>
      <c r="AB601" s="27"/>
    </row>
    <row r="602" spans="24:28" x14ac:dyDescent="0.25">
      <c r="X602" s="24"/>
      <c r="AB602" s="27"/>
    </row>
    <row r="603" spans="24:28" x14ac:dyDescent="0.25">
      <c r="X603" s="24"/>
      <c r="AB603" s="27"/>
    </row>
    <row r="604" spans="24:28" x14ac:dyDescent="0.25">
      <c r="X604" s="24"/>
      <c r="AB604" s="27"/>
    </row>
    <row r="605" spans="24:28" x14ac:dyDescent="0.25">
      <c r="X605" s="24"/>
      <c r="AB605" s="27"/>
    </row>
    <row r="606" spans="24:28" x14ac:dyDescent="0.25">
      <c r="X606" s="24"/>
      <c r="AB606" s="27"/>
    </row>
    <row r="607" spans="24:28" x14ac:dyDescent="0.25">
      <c r="X607" s="24"/>
      <c r="AB607" s="27"/>
    </row>
    <row r="608" spans="24:28" x14ac:dyDescent="0.25">
      <c r="X608" s="24"/>
      <c r="AB608" s="27"/>
    </row>
    <row r="609" spans="24:28" x14ac:dyDescent="0.25">
      <c r="X609" s="24"/>
      <c r="AB609" s="27"/>
    </row>
    <row r="610" spans="24:28" x14ac:dyDescent="0.25">
      <c r="X610" s="24"/>
      <c r="AB610" s="27"/>
    </row>
    <row r="611" spans="24:28" x14ac:dyDescent="0.25">
      <c r="X611" s="24"/>
      <c r="AB611" s="27"/>
    </row>
    <row r="612" spans="24:28" x14ac:dyDescent="0.25">
      <c r="X612" s="24"/>
      <c r="AB612" s="27"/>
    </row>
    <row r="613" spans="24:28" x14ac:dyDescent="0.25">
      <c r="X613" s="24"/>
      <c r="AB613" s="27"/>
    </row>
    <row r="614" spans="24:28" x14ac:dyDescent="0.25">
      <c r="X614" s="24"/>
      <c r="AB614" s="27"/>
    </row>
    <row r="615" spans="24:28" x14ac:dyDescent="0.25">
      <c r="X615" s="24"/>
      <c r="AB615" s="27"/>
    </row>
    <row r="616" spans="24:28" x14ac:dyDescent="0.25">
      <c r="X616" s="24"/>
      <c r="AB616" s="27"/>
    </row>
    <row r="617" spans="24:28" x14ac:dyDescent="0.25">
      <c r="X617" s="24"/>
      <c r="AB617" s="27"/>
    </row>
    <row r="618" spans="24:28" x14ac:dyDescent="0.25">
      <c r="X618" s="24"/>
      <c r="AB618" s="27"/>
    </row>
    <row r="619" spans="24:28" x14ac:dyDescent="0.25">
      <c r="X619" s="24"/>
      <c r="AB619" s="27"/>
    </row>
    <row r="620" spans="24:28" x14ac:dyDescent="0.25">
      <c r="X620" s="24"/>
      <c r="AB620" s="27"/>
    </row>
    <row r="621" spans="24:28" x14ac:dyDescent="0.25">
      <c r="X621" s="24"/>
      <c r="AB621" s="27"/>
    </row>
    <row r="622" spans="24:28" x14ac:dyDescent="0.25">
      <c r="X622" s="24"/>
      <c r="AB622" s="27"/>
    </row>
    <row r="623" spans="24:28" x14ac:dyDescent="0.25">
      <c r="X623" s="24"/>
      <c r="AB623" s="27"/>
    </row>
    <row r="624" spans="24:28" x14ac:dyDescent="0.25">
      <c r="X624" s="24"/>
      <c r="AB624" s="27"/>
    </row>
    <row r="625" spans="24:28" x14ac:dyDescent="0.25">
      <c r="X625" s="24"/>
      <c r="AB625" s="27"/>
    </row>
    <row r="626" spans="24:28" x14ac:dyDescent="0.25">
      <c r="X626" s="24"/>
      <c r="AB626" s="27"/>
    </row>
    <row r="627" spans="24:28" x14ac:dyDescent="0.25">
      <c r="X627" s="24"/>
      <c r="AB627" s="27"/>
    </row>
    <row r="628" spans="24:28" x14ac:dyDescent="0.25">
      <c r="X628" s="24"/>
      <c r="AB628" s="27"/>
    </row>
    <row r="629" spans="24:28" x14ac:dyDescent="0.25">
      <c r="X629" s="24"/>
      <c r="AB629" s="27"/>
    </row>
    <row r="630" spans="24:28" x14ac:dyDescent="0.25">
      <c r="X630" s="24"/>
      <c r="AB630" s="27"/>
    </row>
    <row r="631" spans="24:28" x14ac:dyDescent="0.25">
      <c r="X631" s="24"/>
      <c r="AB631" s="27"/>
    </row>
    <row r="632" spans="24:28" x14ac:dyDescent="0.25">
      <c r="X632" s="24"/>
      <c r="AB632" s="27"/>
    </row>
    <row r="633" spans="24:28" x14ac:dyDescent="0.25">
      <c r="X633" s="24"/>
      <c r="AB633" s="27"/>
    </row>
    <row r="634" spans="24:28" x14ac:dyDescent="0.25">
      <c r="X634" s="24"/>
      <c r="AB634" s="27"/>
    </row>
    <row r="635" spans="24:28" x14ac:dyDescent="0.25">
      <c r="X635" s="24"/>
      <c r="AB635" s="27"/>
    </row>
    <row r="636" spans="24:28" x14ac:dyDescent="0.25">
      <c r="X636" s="24"/>
      <c r="AB636" s="27"/>
    </row>
    <row r="637" spans="24:28" x14ac:dyDescent="0.25">
      <c r="X637" s="24"/>
      <c r="AB637" s="27"/>
    </row>
    <row r="638" spans="24:28" x14ac:dyDescent="0.25">
      <c r="X638" s="24"/>
      <c r="AB638" s="27"/>
    </row>
    <row r="639" spans="24:28" x14ac:dyDescent="0.25">
      <c r="X639" s="24"/>
      <c r="AB639" s="27"/>
    </row>
    <row r="640" spans="24:28" x14ac:dyDescent="0.25">
      <c r="X640" s="24"/>
      <c r="AB640" s="27"/>
    </row>
    <row r="641" spans="24:28" x14ac:dyDescent="0.25">
      <c r="X641" s="24"/>
      <c r="AB641" s="27"/>
    </row>
    <row r="642" spans="24:28" x14ac:dyDescent="0.25">
      <c r="X642" s="24"/>
      <c r="AB642" s="27"/>
    </row>
    <row r="643" spans="24:28" x14ac:dyDescent="0.25">
      <c r="X643" s="24"/>
      <c r="AB643" s="27"/>
    </row>
    <row r="644" spans="24:28" x14ac:dyDescent="0.25">
      <c r="X644" s="24"/>
      <c r="AB644" s="27"/>
    </row>
    <row r="645" spans="24:28" x14ac:dyDescent="0.25">
      <c r="X645" s="24"/>
      <c r="AB645" s="27"/>
    </row>
    <row r="646" spans="24:28" x14ac:dyDescent="0.25">
      <c r="X646" s="24"/>
      <c r="AB646" s="27"/>
    </row>
    <row r="647" spans="24:28" x14ac:dyDescent="0.25">
      <c r="X647" s="24"/>
      <c r="AB647" s="27"/>
    </row>
    <row r="648" spans="24:28" x14ac:dyDescent="0.25">
      <c r="X648" s="24"/>
      <c r="AB648" s="27"/>
    </row>
    <row r="649" spans="24:28" x14ac:dyDescent="0.25">
      <c r="X649" s="24"/>
      <c r="AB649" s="27"/>
    </row>
    <row r="650" spans="24:28" x14ac:dyDescent="0.25">
      <c r="X650" s="24"/>
      <c r="AB650" s="27"/>
    </row>
    <row r="651" spans="24:28" x14ac:dyDescent="0.25">
      <c r="X651" s="24"/>
      <c r="AB651" s="27"/>
    </row>
    <row r="652" spans="24:28" x14ac:dyDescent="0.25">
      <c r="X652" s="24"/>
      <c r="AB652" s="27"/>
    </row>
    <row r="653" spans="24:28" x14ac:dyDescent="0.25">
      <c r="X653" s="24"/>
      <c r="AB653" s="27"/>
    </row>
    <row r="654" spans="24:28" x14ac:dyDescent="0.25">
      <c r="X654" s="24"/>
      <c r="AB654" s="27"/>
    </row>
    <row r="655" spans="24:28" x14ac:dyDescent="0.25">
      <c r="X655" s="24"/>
      <c r="AB655" s="27"/>
    </row>
    <row r="656" spans="24:28" x14ac:dyDescent="0.25">
      <c r="X656" s="24"/>
      <c r="AB656" s="27"/>
    </row>
    <row r="657" spans="24:28" x14ac:dyDescent="0.25">
      <c r="X657" s="24"/>
      <c r="AB657" s="27"/>
    </row>
    <row r="658" spans="24:28" x14ac:dyDescent="0.25">
      <c r="X658" s="24"/>
      <c r="AB658" s="27"/>
    </row>
    <row r="659" spans="24:28" x14ac:dyDescent="0.25">
      <c r="X659" s="24"/>
      <c r="AB659" s="27"/>
    </row>
    <row r="660" spans="24:28" x14ac:dyDescent="0.25">
      <c r="X660" s="24"/>
      <c r="AB660" s="27"/>
    </row>
    <row r="661" spans="24:28" x14ac:dyDescent="0.25">
      <c r="X661" s="24"/>
      <c r="AB661" s="27"/>
    </row>
    <row r="662" spans="24:28" x14ac:dyDescent="0.25">
      <c r="X662" s="24"/>
      <c r="AB662" s="27"/>
    </row>
    <row r="663" spans="24:28" x14ac:dyDescent="0.25">
      <c r="X663" s="24"/>
      <c r="AB663" s="27"/>
    </row>
    <row r="664" spans="24:28" x14ac:dyDescent="0.25">
      <c r="X664" s="24"/>
      <c r="AB664" s="27"/>
    </row>
    <row r="665" spans="24:28" x14ac:dyDescent="0.25">
      <c r="X665" s="24"/>
      <c r="AB665" s="27"/>
    </row>
    <row r="666" spans="24:28" x14ac:dyDescent="0.25">
      <c r="X666" s="24"/>
      <c r="AB666" s="27"/>
    </row>
    <row r="667" spans="24:28" x14ac:dyDescent="0.25">
      <c r="X667" s="24"/>
      <c r="AB667" s="27"/>
    </row>
    <row r="668" spans="24:28" x14ac:dyDescent="0.25">
      <c r="X668" s="24"/>
      <c r="AB668" s="27"/>
    </row>
    <row r="669" spans="24:28" x14ac:dyDescent="0.25">
      <c r="X669" s="24"/>
      <c r="AB669" s="27"/>
    </row>
    <row r="670" spans="24:28" x14ac:dyDescent="0.25">
      <c r="X670" s="24"/>
      <c r="AB670" s="27"/>
    </row>
    <row r="671" spans="24:28" x14ac:dyDescent="0.25">
      <c r="X671" s="24"/>
      <c r="AB671" s="27"/>
    </row>
    <row r="672" spans="24:28" x14ac:dyDescent="0.25">
      <c r="X672" s="24"/>
      <c r="AB672" s="27"/>
    </row>
    <row r="673" spans="24:28" x14ac:dyDescent="0.25">
      <c r="X673" s="24"/>
      <c r="AB673" s="27"/>
    </row>
    <row r="674" spans="24:28" x14ac:dyDescent="0.25">
      <c r="X674" s="24"/>
      <c r="AB674" s="27"/>
    </row>
    <row r="675" spans="24:28" x14ac:dyDescent="0.25">
      <c r="X675" s="24"/>
      <c r="AB675" s="27"/>
    </row>
    <row r="676" spans="24:28" x14ac:dyDescent="0.25">
      <c r="X676" s="24"/>
      <c r="AB676" s="27"/>
    </row>
    <row r="677" spans="24:28" x14ac:dyDescent="0.25">
      <c r="X677" s="24"/>
      <c r="AB677" s="27"/>
    </row>
    <row r="678" spans="24:28" x14ac:dyDescent="0.25">
      <c r="X678" s="24"/>
      <c r="AB678" s="27"/>
    </row>
    <row r="679" spans="24:28" x14ac:dyDescent="0.25">
      <c r="X679" s="24"/>
      <c r="AB679" s="27"/>
    </row>
    <row r="680" spans="24:28" x14ac:dyDescent="0.25">
      <c r="X680" s="24"/>
      <c r="AB680" s="27"/>
    </row>
    <row r="681" spans="24:28" x14ac:dyDescent="0.25">
      <c r="X681" s="24"/>
      <c r="AB681" s="27"/>
    </row>
    <row r="682" spans="24:28" x14ac:dyDescent="0.25">
      <c r="X682" s="24"/>
      <c r="AB682" s="27"/>
    </row>
    <row r="683" spans="24:28" x14ac:dyDescent="0.25">
      <c r="X683" s="24"/>
      <c r="AB683" s="27"/>
    </row>
    <row r="684" spans="24:28" x14ac:dyDescent="0.25">
      <c r="X684" s="24"/>
      <c r="AB684" s="27"/>
    </row>
    <row r="685" spans="24:28" x14ac:dyDescent="0.25">
      <c r="X685" s="24"/>
      <c r="AB685" s="27"/>
    </row>
    <row r="686" spans="24:28" x14ac:dyDescent="0.25">
      <c r="X686" s="24"/>
      <c r="AB686" s="27"/>
    </row>
    <row r="687" spans="24:28" x14ac:dyDescent="0.25">
      <c r="X687" s="24"/>
      <c r="AB687" s="27"/>
    </row>
    <row r="688" spans="24:28" x14ac:dyDescent="0.25">
      <c r="X688" s="24"/>
      <c r="AB688" s="27"/>
    </row>
    <row r="689" spans="24:28" x14ac:dyDescent="0.25">
      <c r="X689" s="24"/>
      <c r="AB689" s="27"/>
    </row>
    <row r="690" spans="24:28" x14ac:dyDescent="0.25">
      <c r="X690" s="24"/>
      <c r="AB690" s="27"/>
    </row>
    <row r="691" spans="24:28" x14ac:dyDescent="0.25">
      <c r="X691" s="24"/>
      <c r="AB691" s="27"/>
    </row>
    <row r="692" spans="24:28" x14ac:dyDescent="0.25">
      <c r="X692" s="24"/>
      <c r="AB692" s="27"/>
    </row>
    <row r="693" spans="24:28" x14ac:dyDescent="0.25">
      <c r="X693" s="24"/>
      <c r="AB693" s="27"/>
    </row>
    <row r="694" spans="24:28" x14ac:dyDescent="0.25">
      <c r="X694" s="24"/>
      <c r="AB694" s="27"/>
    </row>
    <row r="695" spans="24:28" x14ac:dyDescent="0.25">
      <c r="X695" s="24"/>
      <c r="AB695" s="27"/>
    </row>
    <row r="696" spans="24:28" x14ac:dyDescent="0.25">
      <c r="X696" s="24"/>
      <c r="AB696" s="27"/>
    </row>
    <row r="697" spans="24:28" x14ac:dyDescent="0.25">
      <c r="X697" s="24"/>
      <c r="AB697" s="27"/>
    </row>
    <row r="698" spans="24:28" x14ac:dyDescent="0.25">
      <c r="X698" s="24"/>
      <c r="AB698" s="27"/>
    </row>
    <row r="699" spans="24:28" x14ac:dyDescent="0.25">
      <c r="X699" s="24"/>
      <c r="AB699" s="27"/>
    </row>
    <row r="700" spans="24:28" x14ac:dyDescent="0.25">
      <c r="X700" s="24"/>
      <c r="AB700" s="27"/>
    </row>
    <row r="701" spans="24:28" x14ac:dyDescent="0.25">
      <c r="X701" s="24"/>
      <c r="AB701" s="27"/>
    </row>
    <row r="702" spans="24:28" x14ac:dyDescent="0.25">
      <c r="X702" s="24"/>
      <c r="AB702" s="27"/>
    </row>
    <row r="703" spans="24:28" x14ac:dyDescent="0.25">
      <c r="X703" s="24"/>
      <c r="AB703" s="27"/>
    </row>
    <row r="704" spans="24:28" x14ac:dyDescent="0.25">
      <c r="X704" s="24"/>
      <c r="AB704" s="27"/>
    </row>
    <row r="705" spans="24:28" x14ac:dyDescent="0.25">
      <c r="X705" s="24"/>
      <c r="AB705" s="27"/>
    </row>
    <row r="706" spans="24:28" x14ac:dyDescent="0.25">
      <c r="X706" s="24"/>
      <c r="AB706" s="27"/>
    </row>
    <row r="707" spans="24:28" x14ac:dyDescent="0.25">
      <c r="X707" s="24"/>
      <c r="AB707" s="27"/>
    </row>
    <row r="708" spans="24:28" x14ac:dyDescent="0.25">
      <c r="X708" s="24"/>
      <c r="AB708" s="27"/>
    </row>
    <row r="709" spans="24:28" x14ac:dyDescent="0.25">
      <c r="X709" s="24"/>
      <c r="AB709" s="27"/>
    </row>
    <row r="710" spans="24:28" x14ac:dyDescent="0.25">
      <c r="X710" s="24"/>
      <c r="AB710" s="27"/>
    </row>
    <row r="711" spans="24:28" x14ac:dyDescent="0.25">
      <c r="X711" s="24"/>
      <c r="AB711" s="27"/>
    </row>
    <row r="712" spans="24:28" x14ac:dyDescent="0.25">
      <c r="X712" s="24"/>
      <c r="AB712" s="27"/>
    </row>
    <row r="713" spans="24:28" x14ac:dyDescent="0.25">
      <c r="X713" s="24"/>
      <c r="AB713" s="27"/>
    </row>
    <row r="714" spans="24:28" x14ac:dyDescent="0.25">
      <c r="X714" s="24"/>
      <c r="AB714" s="27"/>
    </row>
    <row r="715" spans="24:28" x14ac:dyDescent="0.25">
      <c r="X715" s="24"/>
      <c r="AB715" s="27"/>
    </row>
    <row r="716" spans="24:28" x14ac:dyDescent="0.25">
      <c r="X716" s="24"/>
      <c r="AB716" s="27"/>
    </row>
    <row r="717" spans="24:28" x14ac:dyDescent="0.25">
      <c r="X717" s="24"/>
      <c r="AB717" s="27"/>
    </row>
    <row r="718" spans="24:28" x14ac:dyDescent="0.25">
      <c r="X718" s="24"/>
      <c r="AB718" s="27"/>
    </row>
    <row r="719" spans="24:28" x14ac:dyDescent="0.25">
      <c r="X719" s="24"/>
      <c r="AB719" s="27"/>
    </row>
    <row r="720" spans="24:28" x14ac:dyDescent="0.25">
      <c r="X720" s="24"/>
      <c r="AB720" s="27"/>
    </row>
    <row r="721" spans="24:28" x14ac:dyDescent="0.25">
      <c r="X721" s="24"/>
      <c r="AB721" s="27"/>
    </row>
    <row r="722" spans="24:28" x14ac:dyDescent="0.25">
      <c r="X722" s="24"/>
      <c r="AB722" s="27"/>
    </row>
    <row r="723" spans="24:28" x14ac:dyDescent="0.25">
      <c r="X723" s="24"/>
      <c r="AB723" s="27"/>
    </row>
    <row r="724" spans="24:28" x14ac:dyDescent="0.25">
      <c r="X724" s="24"/>
      <c r="AB724" s="27"/>
    </row>
    <row r="725" spans="24:28" x14ac:dyDescent="0.25">
      <c r="X725" s="24"/>
      <c r="AB725" s="27"/>
    </row>
    <row r="726" spans="24:28" x14ac:dyDescent="0.25">
      <c r="X726" s="24"/>
      <c r="AB726" s="27"/>
    </row>
    <row r="727" spans="24:28" x14ac:dyDescent="0.25">
      <c r="X727" s="24"/>
      <c r="AB727" s="27"/>
    </row>
    <row r="728" spans="24:28" x14ac:dyDescent="0.25">
      <c r="X728" s="24"/>
      <c r="AB728" s="27"/>
    </row>
    <row r="729" spans="24:28" x14ac:dyDescent="0.25">
      <c r="X729" s="24"/>
      <c r="AB729" s="27"/>
    </row>
    <row r="730" spans="24:28" x14ac:dyDescent="0.25">
      <c r="X730" s="24"/>
      <c r="AB730" s="27"/>
    </row>
    <row r="731" spans="24:28" x14ac:dyDescent="0.25">
      <c r="X731" s="24"/>
      <c r="AB731" s="27"/>
    </row>
    <row r="732" spans="24:28" x14ac:dyDescent="0.25">
      <c r="X732" s="24"/>
      <c r="AB732" s="27"/>
    </row>
    <row r="733" spans="24:28" x14ac:dyDescent="0.25">
      <c r="X733" s="24"/>
      <c r="AB733" s="27"/>
    </row>
    <row r="734" spans="24:28" x14ac:dyDescent="0.25">
      <c r="X734" s="24"/>
      <c r="AB734" s="27"/>
    </row>
    <row r="735" spans="24:28" x14ac:dyDescent="0.25">
      <c r="X735" s="24"/>
      <c r="AB735" s="27"/>
    </row>
    <row r="736" spans="24:28" x14ac:dyDescent="0.25">
      <c r="X736" s="24"/>
      <c r="AB736" s="27"/>
    </row>
    <row r="737" spans="24:28" x14ac:dyDescent="0.25">
      <c r="X737" s="24"/>
      <c r="AB737" s="27"/>
    </row>
    <row r="738" spans="24:28" x14ac:dyDescent="0.25">
      <c r="X738" s="24"/>
      <c r="AB738" s="27"/>
    </row>
    <row r="739" spans="24:28" x14ac:dyDescent="0.25">
      <c r="X739" s="24"/>
      <c r="AB739" s="27"/>
    </row>
    <row r="740" spans="24:28" x14ac:dyDescent="0.25">
      <c r="X740" s="24"/>
      <c r="AB740" s="27"/>
    </row>
    <row r="741" spans="24:28" x14ac:dyDescent="0.25">
      <c r="X741" s="24"/>
      <c r="AB741" s="27"/>
    </row>
    <row r="742" spans="24:28" x14ac:dyDescent="0.25">
      <c r="X742" s="24"/>
      <c r="AB742" s="27"/>
    </row>
    <row r="743" spans="24:28" x14ac:dyDescent="0.25">
      <c r="X743" s="24"/>
      <c r="AB743" s="27"/>
    </row>
    <row r="744" spans="24:28" x14ac:dyDescent="0.25">
      <c r="X744" s="24"/>
      <c r="AB744" s="27"/>
    </row>
    <row r="745" spans="24:28" x14ac:dyDescent="0.25">
      <c r="X745" s="24"/>
      <c r="AB745" s="27"/>
    </row>
    <row r="746" spans="24:28" x14ac:dyDescent="0.25">
      <c r="X746" s="24"/>
      <c r="AB746" s="27"/>
    </row>
    <row r="747" spans="24:28" x14ac:dyDescent="0.25">
      <c r="X747" s="24"/>
      <c r="AB747" s="27"/>
    </row>
    <row r="748" spans="24:28" x14ac:dyDescent="0.25">
      <c r="X748" s="24"/>
      <c r="AB748" s="27"/>
    </row>
    <row r="749" spans="24:28" x14ac:dyDescent="0.25">
      <c r="X749" s="24"/>
      <c r="AB749" s="27"/>
    </row>
    <row r="750" spans="24:28" x14ac:dyDescent="0.25">
      <c r="X750" s="24"/>
      <c r="AB750" s="27"/>
    </row>
    <row r="751" spans="24:28" x14ac:dyDescent="0.25">
      <c r="X751" s="24"/>
      <c r="AB751" s="27"/>
    </row>
    <row r="752" spans="24:28" x14ac:dyDescent="0.25">
      <c r="X752" s="24"/>
      <c r="AB752" s="27"/>
    </row>
    <row r="753" spans="24:28" x14ac:dyDescent="0.25">
      <c r="X753" s="24"/>
      <c r="AB753" s="27"/>
    </row>
    <row r="754" spans="24:28" x14ac:dyDescent="0.25">
      <c r="X754" s="24"/>
      <c r="AB754" s="27"/>
    </row>
    <row r="755" spans="24:28" x14ac:dyDescent="0.25">
      <c r="X755" s="24"/>
      <c r="AB755" s="27"/>
    </row>
    <row r="756" spans="24:28" x14ac:dyDescent="0.25">
      <c r="X756" s="24"/>
      <c r="AB756" s="27"/>
    </row>
    <row r="757" spans="24:28" x14ac:dyDescent="0.25">
      <c r="X757" s="24"/>
      <c r="AB757" s="27"/>
    </row>
    <row r="758" spans="24:28" x14ac:dyDescent="0.25">
      <c r="X758" s="24"/>
      <c r="AB758" s="27"/>
    </row>
    <row r="759" spans="24:28" x14ac:dyDescent="0.25">
      <c r="X759" s="24"/>
      <c r="AB759" s="27"/>
    </row>
    <row r="760" spans="24:28" x14ac:dyDescent="0.25">
      <c r="X760" s="24"/>
      <c r="AB760" s="27"/>
    </row>
    <row r="761" spans="24:28" x14ac:dyDescent="0.25">
      <c r="X761" s="24"/>
      <c r="AB761" s="27"/>
    </row>
    <row r="762" spans="24:28" x14ac:dyDescent="0.25">
      <c r="X762" s="24"/>
      <c r="AB762" s="27"/>
    </row>
    <row r="763" spans="24:28" x14ac:dyDescent="0.25">
      <c r="X763" s="24"/>
      <c r="AB763" s="27"/>
    </row>
    <row r="764" spans="24:28" x14ac:dyDescent="0.25">
      <c r="X764" s="24"/>
      <c r="AB764" s="27"/>
    </row>
    <row r="765" spans="24:28" x14ac:dyDescent="0.25">
      <c r="X765" s="24"/>
      <c r="AB765" s="27"/>
    </row>
    <row r="766" spans="24:28" x14ac:dyDescent="0.25">
      <c r="X766" s="24"/>
      <c r="AB766" s="27"/>
    </row>
    <row r="767" spans="24:28" x14ac:dyDescent="0.25">
      <c r="X767" s="24"/>
      <c r="AB767" s="27"/>
    </row>
    <row r="768" spans="24:28" x14ac:dyDescent="0.25">
      <c r="X768" s="24"/>
      <c r="AB768" s="27"/>
    </row>
    <row r="769" spans="24:28" x14ac:dyDescent="0.25">
      <c r="X769" s="24"/>
      <c r="AB769" s="27"/>
    </row>
    <row r="770" spans="24:28" x14ac:dyDescent="0.25">
      <c r="X770" s="24"/>
      <c r="AB770" s="27"/>
    </row>
    <row r="771" spans="24:28" x14ac:dyDescent="0.25">
      <c r="X771" s="24"/>
      <c r="AB771" s="27"/>
    </row>
    <row r="772" spans="24:28" x14ac:dyDescent="0.25">
      <c r="X772" s="24"/>
      <c r="AB772" s="27"/>
    </row>
    <row r="773" spans="24:28" x14ac:dyDescent="0.25">
      <c r="X773" s="24"/>
      <c r="AB773" s="27"/>
    </row>
    <row r="774" spans="24:28" x14ac:dyDescent="0.25">
      <c r="X774" s="24"/>
      <c r="AB774" s="27"/>
    </row>
    <row r="775" spans="24:28" x14ac:dyDescent="0.25">
      <c r="X775" s="24"/>
      <c r="AB775" s="27"/>
    </row>
    <row r="776" spans="24:28" x14ac:dyDescent="0.25">
      <c r="X776" s="24"/>
      <c r="AB776" s="27"/>
    </row>
    <row r="777" spans="24:28" x14ac:dyDescent="0.25">
      <c r="X777" s="24"/>
      <c r="AB777" s="27"/>
    </row>
    <row r="778" spans="24:28" x14ac:dyDescent="0.25">
      <c r="X778" s="24"/>
      <c r="AB778" s="27"/>
    </row>
    <row r="779" spans="24:28" x14ac:dyDescent="0.25">
      <c r="X779" s="24"/>
      <c r="AB779" s="27"/>
    </row>
    <row r="780" spans="24:28" x14ac:dyDescent="0.25">
      <c r="X780" s="24"/>
      <c r="AB780" s="27"/>
    </row>
    <row r="781" spans="24:28" x14ac:dyDescent="0.25">
      <c r="X781" s="24"/>
      <c r="AB781" s="27"/>
    </row>
    <row r="782" spans="24:28" x14ac:dyDescent="0.25">
      <c r="X782" s="24"/>
      <c r="AB782" s="27"/>
    </row>
    <row r="783" spans="24:28" x14ac:dyDescent="0.25">
      <c r="X783" s="24"/>
      <c r="AB783" s="27"/>
    </row>
    <row r="784" spans="24:28" x14ac:dyDescent="0.25">
      <c r="X784" s="24"/>
      <c r="AB784" s="27"/>
    </row>
    <row r="785" spans="24:28" x14ac:dyDescent="0.25">
      <c r="X785" s="24"/>
      <c r="AB785" s="27"/>
    </row>
    <row r="786" spans="24:28" x14ac:dyDescent="0.25">
      <c r="X786" s="24"/>
      <c r="AB786" s="27"/>
    </row>
    <row r="787" spans="24:28" x14ac:dyDescent="0.25">
      <c r="X787" s="24"/>
      <c r="AB787" s="27"/>
    </row>
    <row r="788" spans="24:28" x14ac:dyDescent="0.25">
      <c r="X788" s="24"/>
      <c r="AB788" s="27"/>
    </row>
    <row r="789" spans="24:28" x14ac:dyDescent="0.25">
      <c r="X789" s="24"/>
      <c r="AB789" s="27"/>
    </row>
    <row r="790" spans="24:28" x14ac:dyDescent="0.25">
      <c r="X790" s="24"/>
      <c r="AB790" s="27"/>
    </row>
    <row r="791" spans="24:28" x14ac:dyDescent="0.25">
      <c r="X791" s="24"/>
      <c r="AB791" s="27"/>
    </row>
    <row r="792" spans="24:28" x14ac:dyDescent="0.25">
      <c r="X792" s="24"/>
      <c r="AB792" s="27"/>
    </row>
    <row r="793" spans="24:28" x14ac:dyDescent="0.25">
      <c r="X793" s="24"/>
      <c r="AB793" s="27"/>
    </row>
    <row r="794" spans="24:28" x14ac:dyDescent="0.25">
      <c r="X794" s="24"/>
      <c r="AB794" s="27"/>
    </row>
    <row r="795" spans="24:28" x14ac:dyDescent="0.25">
      <c r="X795" s="24"/>
      <c r="AB795" s="27"/>
    </row>
    <row r="796" spans="24:28" x14ac:dyDescent="0.25">
      <c r="X796" s="24"/>
      <c r="AB796" s="27"/>
    </row>
    <row r="797" spans="24:28" x14ac:dyDescent="0.25">
      <c r="X797" s="24"/>
      <c r="AB797" s="27"/>
    </row>
    <row r="798" spans="24:28" x14ac:dyDescent="0.25">
      <c r="X798" s="24"/>
      <c r="AB798" s="27"/>
    </row>
    <row r="799" spans="24:28" x14ac:dyDescent="0.25">
      <c r="X799" s="24"/>
      <c r="AB799" s="27"/>
    </row>
    <row r="800" spans="24:28" x14ac:dyDescent="0.25">
      <c r="X800" s="24"/>
      <c r="AB800" s="27"/>
    </row>
    <row r="801" spans="24:28" x14ac:dyDescent="0.25">
      <c r="X801" s="24"/>
      <c r="AB801" s="27"/>
    </row>
    <row r="802" spans="24:28" x14ac:dyDescent="0.25">
      <c r="X802" s="24"/>
      <c r="AB802" s="27"/>
    </row>
    <row r="803" spans="24:28" x14ac:dyDescent="0.25">
      <c r="X803" s="24"/>
      <c r="AB803" s="27"/>
    </row>
    <row r="804" spans="24:28" x14ac:dyDescent="0.25">
      <c r="X804" s="24"/>
      <c r="AB804" s="27"/>
    </row>
    <row r="805" spans="24:28" x14ac:dyDescent="0.25">
      <c r="X805" s="24"/>
      <c r="AB805" s="27"/>
    </row>
    <row r="806" spans="24:28" x14ac:dyDescent="0.25">
      <c r="X806" s="24"/>
      <c r="AB806" s="27"/>
    </row>
    <row r="807" spans="24:28" x14ac:dyDescent="0.25">
      <c r="X807" s="24"/>
      <c r="AB807" s="27"/>
    </row>
    <row r="808" spans="24:28" x14ac:dyDescent="0.25">
      <c r="X808" s="24"/>
      <c r="AB808" s="27"/>
    </row>
    <row r="809" spans="24:28" x14ac:dyDescent="0.25">
      <c r="X809" s="24"/>
      <c r="AB809" s="27"/>
    </row>
    <row r="810" spans="24:28" x14ac:dyDescent="0.25">
      <c r="X810" s="24"/>
      <c r="AB810" s="27"/>
    </row>
    <row r="811" spans="24:28" x14ac:dyDescent="0.25">
      <c r="X811" s="24"/>
      <c r="AB811" s="27"/>
    </row>
    <row r="812" spans="24:28" x14ac:dyDescent="0.25">
      <c r="X812" s="24"/>
      <c r="AB812" s="27"/>
    </row>
    <row r="813" spans="24:28" x14ac:dyDescent="0.25">
      <c r="X813" s="24"/>
      <c r="AB813" s="27"/>
    </row>
    <row r="814" spans="24:28" x14ac:dyDescent="0.25">
      <c r="X814" s="24"/>
      <c r="AB814" s="27"/>
    </row>
    <row r="815" spans="24:28" x14ac:dyDescent="0.25">
      <c r="X815" s="24"/>
      <c r="AB815" s="27"/>
    </row>
    <row r="816" spans="24:28" x14ac:dyDescent="0.25">
      <c r="X816" s="24"/>
      <c r="AB816" s="27"/>
    </row>
    <row r="817" spans="24:28" x14ac:dyDescent="0.25">
      <c r="X817" s="24"/>
      <c r="AB817" s="27"/>
    </row>
    <row r="818" spans="24:28" x14ac:dyDescent="0.25">
      <c r="X818" s="24"/>
      <c r="AB818" s="27"/>
    </row>
    <row r="819" spans="24:28" x14ac:dyDescent="0.25">
      <c r="X819" s="24"/>
      <c r="AB819" s="27"/>
    </row>
    <row r="820" spans="24:28" x14ac:dyDescent="0.25">
      <c r="X820" s="24"/>
      <c r="AB820" s="27"/>
    </row>
    <row r="821" spans="24:28" x14ac:dyDescent="0.25">
      <c r="X821" s="24"/>
      <c r="AB821" s="27"/>
    </row>
    <row r="822" spans="24:28" x14ac:dyDescent="0.25">
      <c r="X822" s="24"/>
      <c r="AB822" s="27"/>
    </row>
    <row r="823" spans="24:28" x14ac:dyDescent="0.25">
      <c r="X823" s="24"/>
      <c r="AB823" s="27"/>
    </row>
    <row r="824" spans="24:28" x14ac:dyDescent="0.25">
      <c r="X824" s="24"/>
      <c r="AB824" s="27"/>
    </row>
    <row r="825" spans="24:28" x14ac:dyDescent="0.25">
      <c r="X825" s="24"/>
      <c r="AB825" s="27"/>
    </row>
    <row r="826" spans="24:28" x14ac:dyDescent="0.25">
      <c r="X826" s="24"/>
      <c r="AB826" s="27"/>
    </row>
    <row r="827" spans="24:28" x14ac:dyDescent="0.25">
      <c r="X827" s="24"/>
      <c r="AB827" s="27"/>
    </row>
    <row r="828" spans="24:28" x14ac:dyDescent="0.25">
      <c r="X828" s="24"/>
      <c r="AB828" s="27"/>
    </row>
    <row r="829" spans="24:28" x14ac:dyDescent="0.25">
      <c r="X829" s="24"/>
      <c r="AB829" s="27"/>
    </row>
    <row r="830" spans="24:28" x14ac:dyDescent="0.25">
      <c r="X830" s="24"/>
      <c r="AB830" s="27"/>
    </row>
    <row r="831" spans="24:28" x14ac:dyDescent="0.25">
      <c r="X831" s="24"/>
      <c r="AB831" s="27"/>
    </row>
    <row r="832" spans="24:28" x14ac:dyDescent="0.25">
      <c r="X832" s="24"/>
      <c r="AB832" s="27"/>
    </row>
    <row r="833" spans="24:28" x14ac:dyDescent="0.25">
      <c r="X833" s="24"/>
      <c r="AB833" s="27"/>
    </row>
    <row r="834" spans="24:28" x14ac:dyDescent="0.25">
      <c r="X834" s="24"/>
      <c r="AB834" s="27"/>
    </row>
    <row r="835" spans="24:28" x14ac:dyDescent="0.25">
      <c r="X835" s="24"/>
      <c r="AB835" s="27"/>
    </row>
    <row r="836" spans="24:28" x14ac:dyDescent="0.25">
      <c r="X836" s="24"/>
      <c r="AB836" s="27"/>
    </row>
    <row r="837" spans="24:28" x14ac:dyDescent="0.25">
      <c r="X837" s="24"/>
      <c r="AB837" s="27"/>
    </row>
    <row r="838" spans="24:28" x14ac:dyDescent="0.25">
      <c r="X838" s="24"/>
      <c r="AB838" s="27"/>
    </row>
    <row r="839" spans="24:28" x14ac:dyDescent="0.25">
      <c r="X839" s="24"/>
      <c r="AB839" s="27"/>
    </row>
    <row r="840" spans="24:28" x14ac:dyDescent="0.25">
      <c r="X840" s="24"/>
      <c r="AB840" s="27"/>
    </row>
    <row r="841" spans="24:28" x14ac:dyDescent="0.25">
      <c r="X841" s="24"/>
      <c r="AB841" s="27"/>
    </row>
    <row r="842" spans="24:28" x14ac:dyDescent="0.25">
      <c r="X842" s="24"/>
      <c r="AB842" s="27"/>
    </row>
    <row r="843" spans="24:28" x14ac:dyDescent="0.25">
      <c r="X843" s="24"/>
      <c r="AB843" s="27"/>
    </row>
    <row r="844" spans="24:28" x14ac:dyDescent="0.25">
      <c r="X844" s="24"/>
      <c r="AB844" s="27"/>
    </row>
    <row r="845" spans="24:28" x14ac:dyDescent="0.25">
      <c r="X845" s="24"/>
      <c r="AB845" s="27"/>
    </row>
    <row r="846" spans="24:28" x14ac:dyDescent="0.25">
      <c r="X846" s="24"/>
      <c r="AB846" s="27"/>
    </row>
    <row r="847" spans="24:28" x14ac:dyDescent="0.25">
      <c r="X847" s="24"/>
      <c r="AB847" s="27"/>
    </row>
    <row r="848" spans="24:28" x14ac:dyDescent="0.25">
      <c r="X848" s="24"/>
      <c r="AB848" s="27"/>
    </row>
    <row r="849" spans="24:28" x14ac:dyDescent="0.25">
      <c r="X849" s="24"/>
      <c r="AB849" s="27"/>
    </row>
    <row r="850" spans="24:28" x14ac:dyDescent="0.25">
      <c r="X850" s="24"/>
      <c r="AB850" s="27"/>
    </row>
    <row r="851" spans="24:28" x14ac:dyDescent="0.25">
      <c r="X851" s="24"/>
      <c r="AB851" s="27"/>
    </row>
    <row r="852" spans="24:28" x14ac:dyDescent="0.25">
      <c r="X852" s="24"/>
      <c r="AB852" s="27"/>
    </row>
    <row r="853" spans="24:28" x14ac:dyDescent="0.25">
      <c r="X853" s="24"/>
      <c r="AB853" s="27"/>
    </row>
    <row r="854" spans="24:28" x14ac:dyDescent="0.25">
      <c r="X854" s="24"/>
      <c r="AB854" s="27"/>
    </row>
    <row r="855" spans="24:28" x14ac:dyDescent="0.25">
      <c r="X855" s="24"/>
      <c r="AB855" s="27"/>
    </row>
    <row r="856" spans="24:28" x14ac:dyDescent="0.25">
      <c r="X856" s="24"/>
      <c r="AB856" s="27"/>
    </row>
    <row r="857" spans="24:28" x14ac:dyDescent="0.25">
      <c r="X857" s="24"/>
      <c r="AB857" s="27"/>
    </row>
    <row r="858" spans="24:28" x14ac:dyDescent="0.25">
      <c r="X858" s="24"/>
      <c r="AB858" s="27"/>
    </row>
    <row r="859" spans="24:28" x14ac:dyDescent="0.25">
      <c r="X859" s="24"/>
      <c r="AB859" s="27"/>
    </row>
    <row r="860" spans="24:28" x14ac:dyDescent="0.25">
      <c r="X860" s="24"/>
      <c r="AB860" s="27"/>
    </row>
    <row r="861" spans="24:28" x14ac:dyDescent="0.25">
      <c r="X861" s="24"/>
      <c r="AB861" s="27"/>
    </row>
    <row r="862" spans="24:28" x14ac:dyDescent="0.25">
      <c r="X862" s="24"/>
      <c r="AB862" s="27"/>
    </row>
    <row r="863" spans="24:28" x14ac:dyDescent="0.25">
      <c r="X863" s="24"/>
      <c r="AB863" s="27"/>
    </row>
    <row r="864" spans="24:28" x14ac:dyDescent="0.25">
      <c r="X864" s="24"/>
      <c r="AB864" s="27"/>
    </row>
    <row r="865" spans="24:28" x14ac:dyDescent="0.25">
      <c r="X865" s="24"/>
      <c r="AB865" s="27"/>
    </row>
    <row r="866" spans="24:28" x14ac:dyDescent="0.25">
      <c r="X866" s="24"/>
      <c r="AB866" s="27"/>
    </row>
    <row r="867" spans="24:28" x14ac:dyDescent="0.25">
      <c r="X867" s="24"/>
      <c r="AB867" s="27"/>
    </row>
    <row r="868" spans="24:28" x14ac:dyDescent="0.25">
      <c r="X868" s="24"/>
      <c r="AB868" s="27"/>
    </row>
    <row r="869" spans="24:28" x14ac:dyDescent="0.25">
      <c r="X869" s="24"/>
      <c r="AB869" s="27"/>
    </row>
    <row r="870" spans="24:28" x14ac:dyDescent="0.25">
      <c r="X870" s="24"/>
      <c r="AB870" s="27"/>
    </row>
    <row r="871" spans="24:28" x14ac:dyDescent="0.25">
      <c r="X871" s="24"/>
      <c r="AB871" s="27"/>
    </row>
    <row r="872" spans="24:28" x14ac:dyDescent="0.25">
      <c r="X872" s="24"/>
      <c r="AB872" s="27"/>
    </row>
    <row r="873" spans="24:28" x14ac:dyDescent="0.25">
      <c r="X873" s="24"/>
      <c r="AB873" s="27"/>
    </row>
    <row r="874" spans="24:28" x14ac:dyDescent="0.25">
      <c r="X874" s="24"/>
      <c r="AB874" s="27"/>
    </row>
    <row r="875" spans="24:28" x14ac:dyDescent="0.25">
      <c r="X875" s="24"/>
      <c r="AB875" s="27"/>
    </row>
    <row r="876" spans="24:28" x14ac:dyDescent="0.25">
      <c r="X876" s="24"/>
      <c r="AB876" s="27"/>
    </row>
    <row r="877" spans="24:28" x14ac:dyDescent="0.25">
      <c r="X877" s="24"/>
      <c r="AB877" s="27"/>
    </row>
    <row r="878" spans="24:28" x14ac:dyDescent="0.25">
      <c r="X878" s="24"/>
      <c r="AB878" s="27"/>
    </row>
    <row r="879" spans="24:28" x14ac:dyDescent="0.25">
      <c r="X879" s="24"/>
      <c r="AB879" s="27"/>
    </row>
    <row r="880" spans="24:28" x14ac:dyDescent="0.25">
      <c r="X880" s="24"/>
      <c r="AB880" s="27"/>
    </row>
    <row r="881" spans="24:28" x14ac:dyDescent="0.25">
      <c r="X881" s="24"/>
      <c r="AB881" s="27"/>
    </row>
    <row r="882" spans="24:28" x14ac:dyDescent="0.25">
      <c r="X882" s="24"/>
      <c r="AB882" s="27"/>
    </row>
    <row r="883" spans="24:28" x14ac:dyDescent="0.25">
      <c r="X883" s="24"/>
      <c r="AB883" s="27"/>
    </row>
    <row r="884" spans="24:28" x14ac:dyDescent="0.25">
      <c r="X884" s="24"/>
      <c r="AB884" s="27"/>
    </row>
    <row r="885" spans="24:28" x14ac:dyDescent="0.25">
      <c r="X885" s="24"/>
      <c r="AB885" s="27"/>
    </row>
    <row r="886" spans="24:28" x14ac:dyDescent="0.25">
      <c r="X886" s="24"/>
      <c r="AB886" s="27"/>
    </row>
    <row r="887" spans="24:28" x14ac:dyDescent="0.25">
      <c r="X887" s="24"/>
      <c r="AB887" s="27"/>
    </row>
    <row r="888" spans="24:28" x14ac:dyDescent="0.25">
      <c r="X888" s="24"/>
      <c r="AB888" s="27"/>
    </row>
    <row r="889" spans="24:28" x14ac:dyDescent="0.25">
      <c r="X889" s="24"/>
      <c r="AB889" s="27"/>
    </row>
    <row r="890" spans="24:28" x14ac:dyDescent="0.25">
      <c r="X890" s="24"/>
      <c r="AB890" s="27"/>
    </row>
    <row r="891" spans="24:28" x14ac:dyDescent="0.25">
      <c r="X891" s="24"/>
      <c r="AB891" s="27"/>
    </row>
    <row r="892" spans="24:28" x14ac:dyDescent="0.25">
      <c r="X892" s="24"/>
      <c r="AB892" s="27"/>
    </row>
    <row r="893" spans="24:28" x14ac:dyDescent="0.25">
      <c r="X893" s="24"/>
      <c r="AB893" s="27"/>
    </row>
    <row r="894" spans="24:28" x14ac:dyDescent="0.25">
      <c r="X894" s="24"/>
      <c r="AB894" s="27"/>
    </row>
    <row r="895" spans="24:28" x14ac:dyDescent="0.25">
      <c r="X895" s="24"/>
      <c r="AB895" s="27"/>
    </row>
    <row r="896" spans="24:28" x14ac:dyDescent="0.25">
      <c r="X896" s="24"/>
      <c r="AB896" s="27"/>
    </row>
    <row r="897" spans="24:28" x14ac:dyDescent="0.25">
      <c r="X897" s="24"/>
      <c r="AB897" s="27"/>
    </row>
    <row r="898" spans="24:28" x14ac:dyDescent="0.25">
      <c r="X898" s="24"/>
      <c r="AB898" s="27"/>
    </row>
    <row r="899" spans="24:28" x14ac:dyDescent="0.25">
      <c r="X899" s="24"/>
      <c r="AB899" s="27"/>
    </row>
    <row r="900" spans="24:28" x14ac:dyDescent="0.25">
      <c r="X900" s="24"/>
      <c r="AB900" s="27"/>
    </row>
    <row r="901" spans="24:28" x14ac:dyDescent="0.25">
      <c r="X901" s="24"/>
      <c r="AB901" s="27"/>
    </row>
    <row r="902" spans="24:28" x14ac:dyDescent="0.25">
      <c r="X902" s="24"/>
      <c r="AB902" s="27"/>
    </row>
    <row r="903" spans="24:28" x14ac:dyDescent="0.25">
      <c r="X903" s="24"/>
      <c r="AB903" s="27"/>
    </row>
    <row r="904" spans="24:28" x14ac:dyDescent="0.25">
      <c r="X904" s="24"/>
      <c r="AB904" s="27"/>
    </row>
    <row r="905" spans="24:28" x14ac:dyDescent="0.25">
      <c r="X905" s="24"/>
      <c r="AB905" s="27"/>
    </row>
    <row r="906" spans="24:28" x14ac:dyDescent="0.25">
      <c r="X906" s="24"/>
      <c r="AB906" s="27"/>
    </row>
    <row r="907" spans="24:28" x14ac:dyDescent="0.25">
      <c r="X907" s="24"/>
      <c r="AB907" s="27"/>
    </row>
    <row r="908" spans="24:28" x14ac:dyDescent="0.25">
      <c r="X908" s="24"/>
      <c r="AB908" s="27"/>
    </row>
    <row r="909" spans="24:28" x14ac:dyDescent="0.25">
      <c r="X909" s="24"/>
      <c r="AB909" s="27"/>
    </row>
    <row r="910" spans="24:28" x14ac:dyDescent="0.25">
      <c r="X910" s="24"/>
      <c r="AB910" s="27"/>
    </row>
    <row r="911" spans="24:28" x14ac:dyDescent="0.25">
      <c r="X911" s="24"/>
      <c r="AB911" s="27"/>
    </row>
    <row r="912" spans="24:28" x14ac:dyDescent="0.25">
      <c r="X912" s="24"/>
      <c r="AB912" s="27"/>
    </row>
    <row r="913" spans="24:28" x14ac:dyDescent="0.25">
      <c r="X913" s="24"/>
      <c r="AB913" s="27"/>
    </row>
    <row r="914" spans="24:28" x14ac:dyDescent="0.25">
      <c r="X914" s="24"/>
      <c r="AB914" s="27"/>
    </row>
    <row r="915" spans="24:28" x14ac:dyDescent="0.25">
      <c r="X915" s="24"/>
      <c r="AB915" s="27"/>
    </row>
    <row r="916" spans="24:28" x14ac:dyDescent="0.25">
      <c r="X916" s="24"/>
      <c r="AB916" s="27"/>
    </row>
    <row r="917" spans="24:28" x14ac:dyDescent="0.25">
      <c r="X917" s="24"/>
      <c r="AB917" s="27"/>
    </row>
    <row r="918" spans="24:28" x14ac:dyDescent="0.25">
      <c r="X918" s="24"/>
      <c r="AB918" s="27"/>
    </row>
    <row r="919" spans="24:28" x14ac:dyDescent="0.25">
      <c r="X919" s="24"/>
      <c r="AB919" s="27"/>
    </row>
    <row r="920" spans="24:28" x14ac:dyDescent="0.25">
      <c r="X920" s="24"/>
      <c r="AB920" s="27"/>
    </row>
    <row r="921" spans="24:28" x14ac:dyDescent="0.25">
      <c r="X921" s="24"/>
      <c r="AB921" s="27"/>
    </row>
    <row r="922" spans="24:28" x14ac:dyDescent="0.25">
      <c r="X922" s="24"/>
      <c r="AB922" s="27"/>
    </row>
    <row r="923" spans="24:28" x14ac:dyDescent="0.25">
      <c r="X923" s="24"/>
      <c r="AB923" s="27"/>
    </row>
    <row r="924" spans="24:28" x14ac:dyDescent="0.25">
      <c r="X924" s="24"/>
      <c r="AB924" s="27"/>
    </row>
    <row r="925" spans="24:28" x14ac:dyDescent="0.25">
      <c r="X925" s="24"/>
      <c r="AB925" s="27"/>
    </row>
    <row r="926" spans="24:28" x14ac:dyDescent="0.25">
      <c r="X926" s="24"/>
      <c r="AB926" s="27"/>
    </row>
    <row r="927" spans="24:28" x14ac:dyDescent="0.25">
      <c r="X927" s="24"/>
      <c r="AB927" s="27"/>
    </row>
    <row r="928" spans="24:28" x14ac:dyDescent="0.25">
      <c r="X928" s="24"/>
      <c r="AB928" s="27"/>
    </row>
    <row r="929" spans="24:28" x14ac:dyDescent="0.25">
      <c r="X929" s="24"/>
      <c r="AB929" s="27"/>
    </row>
    <row r="930" spans="24:28" x14ac:dyDescent="0.25">
      <c r="X930" s="24"/>
      <c r="AB930" s="27"/>
    </row>
    <row r="931" spans="24:28" x14ac:dyDescent="0.25">
      <c r="X931" s="24"/>
      <c r="AB931" s="27"/>
    </row>
    <row r="932" spans="24:28" x14ac:dyDescent="0.25">
      <c r="X932" s="24"/>
      <c r="AB932" s="27"/>
    </row>
    <row r="933" spans="24:28" x14ac:dyDescent="0.25">
      <c r="X933" s="24"/>
      <c r="AB933" s="27"/>
    </row>
    <row r="934" spans="24:28" x14ac:dyDescent="0.25">
      <c r="X934" s="24"/>
      <c r="AB934" s="27"/>
    </row>
    <row r="935" spans="24:28" x14ac:dyDescent="0.25">
      <c r="X935" s="24"/>
      <c r="AB935" s="27"/>
    </row>
    <row r="936" spans="24:28" x14ac:dyDescent="0.25">
      <c r="X936" s="24"/>
      <c r="AB936" s="27"/>
    </row>
    <row r="937" spans="24:28" x14ac:dyDescent="0.25">
      <c r="X937" s="24"/>
      <c r="AB937" s="27"/>
    </row>
    <row r="938" spans="24:28" x14ac:dyDescent="0.25">
      <c r="X938" s="24"/>
      <c r="AB938" s="27"/>
    </row>
    <row r="939" spans="24:28" x14ac:dyDescent="0.25">
      <c r="X939" s="24"/>
      <c r="AB939" s="27"/>
    </row>
    <row r="940" spans="24:28" x14ac:dyDescent="0.25">
      <c r="X940" s="24"/>
      <c r="AB940" s="27"/>
    </row>
    <row r="941" spans="24:28" x14ac:dyDescent="0.25">
      <c r="X941" s="24"/>
      <c r="AB941" s="27"/>
    </row>
    <row r="942" spans="24:28" x14ac:dyDescent="0.25">
      <c r="X942" s="24"/>
      <c r="AB942" s="27"/>
    </row>
    <row r="943" spans="24:28" x14ac:dyDescent="0.25">
      <c r="X943" s="24"/>
      <c r="AB943" s="27"/>
    </row>
    <row r="944" spans="24:28" x14ac:dyDescent="0.25">
      <c r="X944" s="24"/>
      <c r="AB944" s="27"/>
    </row>
    <row r="945" spans="24:28" x14ac:dyDescent="0.25">
      <c r="X945" s="24"/>
      <c r="AB945" s="27"/>
    </row>
    <row r="946" spans="24:28" x14ac:dyDescent="0.25">
      <c r="X946" s="24"/>
      <c r="AB946" s="27"/>
    </row>
    <row r="947" spans="24:28" x14ac:dyDescent="0.25">
      <c r="X947" s="24"/>
      <c r="AB947" s="27"/>
    </row>
    <row r="948" spans="24:28" x14ac:dyDescent="0.25">
      <c r="X948" s="24"/>
      <c r="AB948" s="27"/>
    </row>
    <row r="949" spans="24:28" x14ac:dyDescent="0.25">
      <c r="X949" s="24"/>
      <c r="AB949" s="27"/>
    </row>
    <row r="950" spans="24:28" x14ac:dyDescent="0.25">
      <c r="X950" s="24"/>
      <c r="AB950" s="27"/>
    </row>
    <row r="951" spans="24:28" x14ac:dyDescent="0.25">
      <c r="X951" s="24"/>
      <c r="AB951" s="27"/>
    </row>
    <row r="952" spans="24:28" x14ac:dyDescent="0.25">
      <c r="X952" s="24"/>
      <c r="AB952" s="27"/>
    </row>
    <row r="953" spans="24:28" x14ac:dyDescent="0.25">
      <c r="X953" s="24"/>
      <c r="AB953" s="27"/>
    </row>
    <row r="954" spans="24:28" x14ac:dyDescent="0.25">
      <c r="X954" s="24"/>
      <c r="AB954" s="27"/>
    </row>
    <row r="955" spans="24:28" x14ac:dyDescent="0.25">
      <c r="X955" s="24"/>
      <c r="AB955" s="27"/>
    </row>
    <row r="956" spans="24:28" x14ac:dyDescent="0.25">
      <c r="X956" s="24"/>
      <c r="AB956" s="27"/>
    </row>
    <row r="957" spans="24:28" x14ac:dyDescent="0.25">
      <c r="X957" s="24"/>
      <c r="AB957" s="27"/>
    </row>
    <row r="958" spans="24:28" x14ac:dyDescent="0.25">
      <c r="X958" s="24"/>
      <c r="AB958" s="27"/>
    </row>
    <row r="959" spans="24:28" x14ac:dyDescent="0.25">
      <c r="X959" s="24"/>
      <c r="AB959" s="27"/>
    </row>
    <row r="960" spans="24:28" x14ac:dyDescent="0.25">
      <c r="X960" s="24"/>
      <c r="AB960" s="27"/>
    </row>
    <row r="961" spans="24:28" x14ac:dyDescent="0.25">
      <c r="X961" s="24"/>
      <c r="AB961" s="27"/>
    </row>
    <row r="962" spans="24:28" x14ac:dyDescent="0.25">
      <c r="X962" s="24"/>
      <c r="AB962" s="27"/>
    </row>
    <row r="963" spans="24:28" x14ac:dyDescent="0.25">
      <c r="X963" s="24"/>
      <c r="AB963" s="27"/>
    </row>
    <row r="964" spans="24:28" x14ac:dyDescent="0.25">
      <c r="X964" s="24"/>
      <c r="AB964" s="27"/>
    </row>
    <row r="965" spans="24:28" x14ac:dyDescent="0.25">
      <c r="X965" s="24"/>
      <c r="AB965" s="27"/>
    </row>
    <row r="966" spans="24:28" x14ac:dyDescent="0.25">
      <c r="X966" s="24"/>
      <c r="AB966" s="27"/>
    </row>
    <row r="967" spans="24:28" x14ac:dyDescent="0.25">
      <c r="X967" s="24"/>
      <c r="AB967" s="27"/>
    </row>
    <row r="968" spans="24:28" x14ac:dyDescent="0.25">
      <c r="X968" s="24"/>
      <c r="AB968" s="27"/>
    </row>
    <row r="969" spans="24:28" x14ac:dyDescent="0.25">
      <c r="X969" s="24"/>
      <c r="AB969" s="27"/>
    </row>
    <row r="970" spans="24:28" x14ac:dyDescent="0.25">
      <c r="X970" s="24"/>
      <c r="AB970" s="27"/>
    </row>
    <row r="971" spans="24:28" x14ac:dyDescent="0.25">
      <c r="X971" s="24"/>
      <c r="AB971" s="27"/>
    </row>
    <row r="972" spans="24:28" x14ac:dyDescent="0.25">
      <c r="X972" s="24"/>
      <c r="AB972" s="27"/>
    </row>
    <row r="973" spans="24:28" x14ac:dyDescent="0.25">
      <c r="X973" s="24"/>
      <c r="AB973" s="27"/>
    </row>
    <row r="974" spans="24:28" x14ac:dyDescent="0.25">
      <c r="X974" s="24"/>
      <c r="AB974" s="27"/>
    </row>
    <row r="975" spans="24:28" x14ac:dyDescent="0.25">
      <c r="X975" s="24"/>
      <c r="AB975" s="27"/>
    </row>
    <row r="976" spans="24:28" x14ac:dyDescent="0.25">
      <c r="X976" s="24"/>
      <c r="AB976" s="27"/>
    </row>
    <row r="977" spans="24:28" x14ac:dyDescent="0.25">
      <c r="X977" s="24"/>
      <c r="AB977" s="27"/>
    </row>
    <row r="978" spans="24:28" x14ac:dyDescent="0.25">
      <c r="X978" s="24"/>
      <c r="AB978" s="27"/>
    </row>
    <row r="979" spans="24:28" x14ac:dyDescent="0.25">
      <c r="X979" s="24"/>
      <c r="AB979" s="27"/>
    </row>
    <row r="980" spans="24:28" x14ac:dyDescent="0.25">
      <c r="X980" s="24"/>
      <c r="AB980" s="27"/>
    </row>
    <row r="981" spans="24:28" x14ac:dyDescent="0.25">
      <c r="X981" s="24"/>
      <c r="AB981" s="27"/>
    </row>
    <row r="982" spans="24:28" x14ac:dyDescent="0.25">
      <c r="X982" s="24"/>
      <c r="AB982" s="27"/>
    </row>
    <row r="983" spans="24:28" x14ac:dyDescent="0.25">
      <c r="X983" s="24"/>
      <c r="AB983" s="27"/>
    </row>
    <row r="984" spans="24:28" x14ac:dyDescent="0.25">
      <c r="X984" s="24"/>
      <c r="AB984" s="27"/>
    </row>
    <row r="985" spans="24:28" x14ac:dyDescent="0.25">
      <c r="X985" s="24"/>
      <c r="AB985" s="27"/>
    </row>
    <row r="986" spans="24:28" x14ac:dyDescent="0.25">
      <c r="X986" s="24"/>
      <c r="AB986" s="27"/>
    </row>
    <row r="987" spans="24:28" x14ac:dyDescent="0.25">
      <c r="X987" s="24"/>
      <c r="AB987" s="27"/>
    </row>
    <row r="988" spans="24:28" x14ac:dyDescent="0.25">
      <c r="X988" s="24"/>
      <c r="AB988" s="27"/>
    </row>
    <row r="989" spans="24:28" x14ac:dyDescent="0.25">
      <c r="X989" s="24"/>
      <c r="AB989" s="27"/>
    </row>
    <row r="990" spans="24:28" x14ac:dyDescent="0.25">
      <c r="X990" s="24"/>
      <c r="AB990" s="27"/>
    </row>
    <row r="991" spans="24:28" x14ac:dyDescent="0.25">
      <c r="X991" s="24"/>
      <c r="AB991" s="27"/>
    </row>
    <row r="992" spans="24:28" x14ac:dyDescent="0.25">
      <c r="X992" s="24"/>
      <c r="AB992" s="27"/>
    </row>
    <row r="993" spans="24:28" x14ac:dyDescent="0.25">
      <c r="X993" s="24"/>
      <c r="AB993" s="27"/>
    </row>
    <row r="994" spans="24:28" x14ac:dyDescent="0.25">
      <c r="X994" s="24"/>
      <c r="AB994" s="27"/>
    </row>
    <row r="995" spans="24:28" x14ac:dyDescent="0.25">
      <c r="X995" s="24"/>
      <c r="AB995" s="27"/>
    </row>
    <row r="996" spans="24:28" x14ac:dyDescent="0.25">
      <c r="X996" s="24"/>
      <c r="AB996" s="27"/>
    </row>
    <row r="997" spans="24:28" x14ac:dyDescent="0.25">
      <c r="X997" s="24"/>
      <c r="AB997" s="27"/>
    </row>
    <row r="998" spans="24:28" x14ac:dyDescent="0.25">
      <c r="X998" s="24"/>
      <c r="AB998" s="27"/>
    </row>
    <row r="999" spans="24:28" x14ac:dyDescent="0.25">
      <c r="X999" s="24"/>
      <c r="AB999" s="27"/>
    </row>
    <row r="1000" spans="24:28" x14ac:dyDescent="0.25">
      <c r="X1000" s="24"/>
      <c r="AB1000" s="27"/>
    </row>
    <row r="1001" spans="24:28" x14ac:dyDescent="0.25">
      <c r="X1001" s="24"/>
      <c r="AB1001" s="27"/>
    </row>
    <row r="1002" spans="24:28" x14ac:dyDescent="0.25">
      <c r="X1002" s="24"/>
      <c r="AB1002" s="27"/>
    </row>
    <row r="1003" spans="24:28" x14ac:dyDescent="0.25">
      <c r="X1003" s="24"/>
      <c r="AB1003" s="27"/>
    </row>
    <row r="1004" spans="24:28" x14ac:dyDescent="0.25">
      <c r="X1004" s="24"/>
      <c r="AB1004" s="27"/>
    </row>
    <row r="1005" spans="24:28" x14ac:dyDescent="0.25">
      <c r="X1005" s="24"/>
      <c r="AB1005" s="27"/>
    </row>
    <row r="1006" spans="24:28" x14ac:dyDescent="0.25">
      <c r="X1006" s="24"/>
      <c r="AB1006" s="27"/>
    </row>
    <row r="1007" spans="24:28" x14ac:dyDescent="0.25">
      <c r="X1007" s="24"/>
      <c r="AB1007" s="27"/>
    </row>
    <row r="1008" spans="24:28" x14ac:dyDescent="0.25">
      <c r="X1008" s="24"/>
      <c r="AB1008" s="27"/>
    </row>
    <row r="1009" spans="24:28" x14ac:dyDescent="0.25">
      <c r="X1009" s="24"/>
      <c r="AB1009" s="27"/>
    </row>
    <row r="1010" spans="24:28" x14ac:dyDescent="0.25">
      <c r="X1010" s="24"/>
      <c r="AB1010" s="27"/>
    </row>
    <row r="1011" spans="24:28" x14ac:dyDescent="0.25">
      <c r="X1011" s="24"/>
      <c r="AB1011" s="27"/>
    </row>
    <row r="1012" spans="24:28" x14ac:dyDescent="0.25">
      <c r="X1012" s="24"/>
      <c r="AB1012" s="27"/>
    </row>
    <row r="1013" spans="24:28" x14ac:dyDescent="0.25">
      <c r="X1013" s="24"/>
      <c r="AB1013" s="27"/>
    </row>
    <row r="1014" spans="24:28" x14ac:dyDescent="0.25">
      <c r="X1014" s="24"/>
      <c r="AB1014" s="27"/>
    </row>
    <row r="1015" spans="24:28" x14ac:dyDescent="0.25">
      <c r="X1015" s="24"/>
      <c r="AB1015" s="27"/>
    </row>
    <row r="1016" spans="24:28" x14ac:dyDescent="0.25">
      <c r="X1016" s="24"/>
      <c r="AB1016" s="27"/>
    </row>
    <row r="1017" spans="24:28" x14ac:dyDescent="0.25">
      <c r="X1017" s="24"/>
      <c r="AB1017" s="27"/>
    </row>
    <row r="1018" spans="24:28" x14ac:dyDescent="0.25">
      <c r="X1018" s="24"/>
      <c r="AB1018" s="27"/>
    </row>
    <row r="1019" spans="24:28" x14ac:dyDescent="0.25">
      <c r="X1019" s="24"/>
      <c r="AB1019" s="27"/>
    </row>
    <row r="1020" spans="24:28" x14ac:dyDescent="0.25">
      <c r="X1020" s="24"/>
      <c r="AB1020" s="27"/>
    </row>
    <row r="1021" spans="24:28" x14ac:dyDescent="0.25">
      <c r="X1021" s="24"/>
      <c r="AB1021" s="27"/>
    </row>
    <row r="1022" spans="24:28" x14ac:dyDescent="0.25">
      <c r="X1022" s="24"/>
      <c r="AB1022" s="27"/>
    </row>
    <row r="1023" spans="24:28" x14ac:dyDescent="0.25">
      <c r="X1023" s="24"/>
      <c r="AB1023" s="27"/>
    </row>
    <row r="1024" spans="24:28" x14ac:dyDescent="0.25">
      <c r="X1024" s="24"/>
      <c r="AB1024" s="27"/>
    </row>
    <row r="1025" spans="24:28" x14ac:dyDescent="0.25">
      <c r="X1025" s="24"/>
      <c r="AB1025" s="27"/>
    </row>
    <row r="1026" spans="24:28" x14ac:dyDescent="0.25">
      <c r="X1026" s="24"/>
      <c r="AB1026" s="27"/>
    </row>
    <row r="1027" spans="24:28" x14ac:dyDescent="0.25">
      <c r="X1027" s="24"/>
      <c r="AB1027" s="27"/>
    </row>
    <row r="1028" spans="24:28" x14ac:dyDescent="0.25">
      <c r="X1028" s="24"/>
      <c r="AB1028" s="27"/>
    </row>
    <row r="1029" spans="24:28" x14ac:dyDescent="0.25">
      <c r="X1029" s="24"/>
      <c r="AB1029" s="27"/>
    </row>
    <row r="1030" spans="24:28" x14ac:dyDescent="0.25">
      <c r="X1030" s="24"/>
      <c r="AB1030" s="27"/>
    </row>
    <row r="1031" spans="24:28" x14ac:dyDescent="0.25">
      <c r="X1031" s="24"/>
      <c r="AB1031" s="27"/>
    </row>
    <row r="1032" spans="24:28" x14ac:dyDescent="0.25">
      <c r="X1032" s="24"/>
      <c r="AB1032" s="27"/>
    </row>
    <row r="1033" spans="24:28" x14ac:dyDescent="0.25">
      <c r="X1033" s="24"/>
      <c r="AB1033" s="27"/>
    </row>
    <row r="1034" spans="24:28" x14ac:dyDescent="0.25">
      <c r="X1034" s="24"/>
      <c r="AB1034" s="27"/>
    </row>
    <row r="1035" spans="24:28" x14ac:dyDescent="0.25">
      <c r="X1035" s="24"/>
      <c r="AB1035" s="27"/>
    </row>
    <row r="1036" spans="24:28" x14ac:dyDescent="0.25">
      <c r="X1036" s="24"/>
      <c r="AB1036" s="27"/>
    </row>
    <row r="1037" spans="24:28" x14ac:dyDescent="0.25">
      <c r="X1037" s="24"/>
      <c r="AB1037" s="27"/>
    </row>
    <row r="1038" spans="24:28" x14ac:dyDescent="0.25">
      <c r="X1038" s="24"/>
      <c r="AB1038" s="27"/>
    </row>
    <row r="1039" spans="24:28" x14ac:dyDescent="0.25">
      <c r="X1039" s="24"/>
      <c r="AB1039" s="27"/>
    </row>
    <row r="1040" spans="24:28" x14ac:dyDescent="0.25">
      <c r="X1040" s="24"/>
      <c r="AB1040" s="27"/>
    </row>
    <row r="1041" spans="24:28" x14ac:dyDescent="0.25">
      <c r="X1041" s="24"/>
      <c r="AB1041" s="27"/>
    </row>
    <row r="1042" spans="24:28" x14ac:dyDescent="0.25">
      <c r="X1042" s="24"/>
      <c r="AB1042" s="27"/>
    </row>
    <row r="1043" spans="24:28" x14ac:dyDescent="0.25">
      <c r="X1043" s="24"/>
      <c r="AB1043" s="27"/>
    </row>
    <row r="1044" spans="24:28" x14ac:dyDescent="0.25">
      <c r="X1044" s="24"/>
      <c r="AB1044" s="27"/>
    </row>
    <row r="1045" spans="24:28" x14ac:dyDescent="0.25">
      <c r="X1045" s="24"/>
      <c r="AB1045" s="27"/>
    </row>
    <row r="1046" spans="24:28" x14ac:dyDescent="0.25">
      <c r="X1046" s="24"/>
      <c r="AB1046" s="27"/>
    </row>
    <row r="1047" spans="24:28" x14ac:dyDescent="0.25">
      <c r="X1047" s="24"/>
      <c r="AB1047" s="27"/>
    </row>
    <row r="1048" spans="24:28" x14ac:dyDescent="0.25">
      <c r="X1048" s="24"/>
      <c r="AB1048" s="27"/>
    </row>
    <row r="1049" spans="24:28" x14ac:dyDescent="0.25">
      <c r="X1049" s="24"/>
      <c r="AB1049" s="27"/>
    </row>
    <row r="1050" spans="24:28" x14ac:dyDescent="0.25">
      <c r="X1050" s="24"/>
      <c r="AB1050" s="27"/>
    </row>
    <row r="1051" spans="24:28" x14ac:dyDescent="0.25">
      <c r="X1051" s="24"/>
      <c r="AB1051" s="27"/>
    </row>
    <row r="1052" spans="24:28" x14ac:dyDescent="0.25">
      <c r="X1052" s="24"/>
      <c r="AB1052" s="27"/>
    </row>
    <row r="1053" spans="24:28" x14ac:dyDescent="0.25">
      <c r="X1053" s="24"/>
      <c r="AB1053" s="27"/>
    </row>
    <row r="1054" spans="24:28" x14ac:dyDescent="0.25">
      <c r="X1054" s="24"/>
      <c r="AB1054" s="27"/>
    </row>
    <row r="1055" spans="24:28" x14ac:dyDescent="0.25">
      <c r="X1055" s="24"/>
      <c r="AB1055" s="27"/>
    </row>
    <row r="1056" spans="24:28" x14ac:dyDescent="0.25">
      <c r="X1056" s="24"/>
      <c r="AB1056" s="27"/>
    </row>
    <row r="1057" spans="24:28" x14ac:dyDescent="0.25">
      <c r="X1057" s="24"/>
      <c r="AB1057" s="27"/>
    </row>
    <row r="1058" spans="24:28" x14ac:dyDescent="0.25">
      <c r="X1058" s="24"/>
      <c r="AB1058" s="27"/>
    </row>
    <row r="1059" spans="24:28" x14ac:dyDescent="0.25">
      <c r="X1059" s="24"/>
      <c r="AB1059" s="27"/>
    </row>
    <row r="1060" spans="24:28" x14ac:dyDescent="0.25">
      <c r="X1060" s="24"/>
      <c r="AB1060" s="27"/>
    </row>
    <row r="1061" spans="24:28" x14ac:dyDescent="0.25">
      <c r="X1061" s="24"/>
      <c r="AB1061" s="27"/>
    </row>
    <row r="1062" spans="24:28" x14ac:dyDescent="0.25">
      <c r="X1062" s="24"/>
      <c r="AB1062" s="27"/>
    </row>
    <row r="1063" spans="24:28" x14ac:dyDescent="0.25">
      <c r="X1063" s="24"/>
      <c r="AB1063" s="27"/>
    </row>
    <row r="1064" spans="24:28" x14ac:dyDescent="0.25">
      <c r="X1064" s="24"/>
      <c r="AB1064" s="27"/>
    </row>
    <row r="1065" spans="24:28" x14ac:dyDescent="0.25">
      <c r="X1065" s="24"/>
      <c r="AB1065" s="27"/>
    </row>
    <row r="1066" spans="24:28" x14ac:dyDescent="0.25">
      <c r="X1066" s="24"/>
      <c r="AB1066" s="27"/>
    </row>
    <row r="1067" spans="24:28" x14ac:dyDescent="0.25">
      <c r="X1067" s="24"/>
      <c r="AB1067" s="27"/>
    </row>
    <row r="1068" spans="24:28" x14ac:dyDescent="0.25">
      <c r="X1068" s="24"/>
      <c r="AB1068" s="27"/>
    </row>
    <row r="1069" spans="24:28" x14ac:dyDescent="0.25">
      <c r="X1069" s="24"/>
      <c r="AB1069" s="27"/>
    </row>
    <row r="1070" spans="24:28" x14ac:dyDescent="0.25">
      <c r="X1070" s="24"/>
      <c r="AB1070" s="27"/>
    </row>
    <row r="1071" spans="24:28" x14ac:dyDescent="0.25">
      <c r="X1071" s="24"/>
      <c r="AB1071" s="27"/>
    </row>
    <row r="1072" spans="24:28" x14ac:dyDescent="0.25">
      <c r="X1072" s="24"/>
      <c r="AB1072" s="27"/>
    </row>
    <row r="1073" spans="24:28" x14ac:dyDescent="0.25">
      <c r="X1073" s="24"/>
      <c r="AB1073" s="27"/>
    </row>
    <row r="1074" spans="24:28" x14ac:dyDescent="0.25">
      <c r="X1074" s="24"/>
      <c r="AB1074" s="27"/>
    </row>
    <row r="1075" spans="24:28" x14ac:dyDescent="0.25">
      <c r="X1075" s="24"/>
      <c r="AB1075" s="27"/>
    </row>
    <row r="1076" spans="24:28" x14ac:dyDescent="0.25">
      <c r="X1076" s="24"/>
      <c r="AB1076" s="27"/>
    </row>
    <row r="1077" spans="24:28" x14ac:dyDescent="0.25">
      <c r="X1077" s="24"/>
      <c r="AB1077" s="27"/>
    </row>
    <row r="1078" spans="24:28" x14ac:dyDescent="0.25">
      <c r="X1078" s="24"/>
      <c r="AB1078" s="27"/>
    </row>
    <row r="1079" spans="24:28" x14ac:dyDescent="0.25">
      <c r="X1079" s="24"/>
      <c r="AB1079" s="27"/>
    </row>
    <row r="1080" spans="24:28" x14ac:dyDescent="0.25">
      <c r="X1080" s="24"/>
      <c r="AB1080" s="27"/>
    </row>
    <row r="1081" spans="24:28" x14ac:dyDescent="0.25">
      <c r="X1081" s="24"/>
      <c r="AB1081" s="27"/>
    </row>
    <row r="1082" spans="24:28" x14ac:dyDescent="0.25">
      <c r="X1082" s="24"/>
      <c r="AB1082" s="27"/>
    </row>
    <row r="1083" spans="24:28" x14ac:dyDescent="0.25">
      <c r="X1083" s="24"/>
      <c r="AB1083" s="27"/>
    </row>
    <row r="1084" spans="24:28" x14ac:dyDescent="0.25">
      <c r="X1084" s="24"/>
      <c r="AB1084" s="27"/>
    </row>
    <row r="1085" spans="24:28" x14ac:dyDescent="0.25">
      <c r="X1085" s="24"/>
      <c r="AB1085" s="27"/>
    </row>
    <row r="1086" spans="24:28" x14ac:dyDescent="0.25">
      <c r="X1086" s="24"/>
      <c r="AB1086" s="27"/>
    </row>
    <row r="1087" spans="24:28" x14ac:dyDescent="0.25">
      <c r="X1087" s="24"/>
      <c r="AB1087" s="27"/>
    </row>
    <row r="1088" spans="24:28" x14ac:dyDescent="0.25">
      <c r="X1088" s="24"/>
      <c r="AB1088" s="27"/>
    </row>
    <row r="1089" spans="24:28" x14ac:dyDescent="0.25">
      <c r="X1089" s="24"/>
      <c r="AB1089" s="27"/>
    </row>
    <row r="1090" spans="24:28" x14ac:dyDescent="0.25">
      <c r="X1090" s="24"/>
      <c r="AB1090" s="27"/>
    </row>
    <row r="1091" spans="24:28" x14ac:dyDescent="0.25">
      <c r="X1091" s="24"/>
      <c r="AB1091" s="27"/>
    </row>
    <row r="1092" spans="24:28" x14ac:dyDescent="0.25">
      <c r="X1092" s="24"/>
      <c r="AB1092" s="27"/>
    </row>
    <row r="1093" spans="24:28" x14ac:dyDescent="0.25">
      <c r="X1093" s="24"/>
      <c r="AB1093" s="27"/>
    </row>
    <row r="1094" spans="24:28" x14ac:dyDescent="0.25">
      <c r="X1094" s="24"/>
      <c r="AB1094" s="27"/>
    </row>
    <row r="1095" spans="24:28" x14ac:dyDescent="0.25">
      <c r="X1095" s="24"/>
      <c r="AB1095" s="27"/>
    </row>
    <row r="1096" spans="24:28" x14ac:dyDescent="0.25">
      <c r="X1096" s="24"/>
      <c r="AB1096" s="27"/>
    </row>
    <row r="1097" spans="24:28" x14ac:dyDescent="0.25">
      <c r="X1097" s="24"/>
      <c r="AB1097" s="27"/>
    </row>
    <row r="1098" spans="24:28" x14ac:dyDescent="0.25">
      <c r="X1098" s="24"/>
      <c r="AB1098" s="27"/>
    </row>
    <row r="1099" spans="24:28" x14ac:dyDescent="0.25">
      <c r="X1099" s="24"/>
      <c r="AB1099" s="27"/>
    </row>
    <row r="1100" spans="24:28" x14ac:dyDescent="0.25">
      <c r="X1100" s="24"/>
      <c r="AB1100" s="27"/>
    </row>
    <row r="1101" spans="24:28" x14ac:dyDescent="0.25">
      <c r="X1101" s="24"/>
      <c r="AB1101" s="27"/>
    </row>
    <row r="1102" spans="24:28" x14ac:dyDescent="0.25">
      <c r="X1102" s="24"/>
      <c r="AB1102" s="27"/>
    </row>
    <row r="1103" spans="24:28" x14ac:dyDescent="0.25">
      <c r="X1103" s="24"/>
      <c r="AB1103" s="27"/>
    </row>
    <row r="1104" spans="24:28" x14ac:dyDescent="0.25">
      <c r="X1104" s="24"/>
      <c r="AB1104" s="27"/>
    </row>
    <row r="1105" spans="24:28" x14ac:dyDescent="0.25">
      <c r="X1105" s="24"/>
      <c r="AB1105" s="27"/>
    </row>
    <row r="1106" spans="24:28" x14ac:dyDescent="0.25">
      <c r="X1106" s="24"/>
      <c r="AB1106" s="27"/>
    </row>
    <row r="1107" spans="24:28" x14ac:dyDescent="0.25">
      <c r="X1107" s="24"/>
      <c r="AB1107" s="27"/>
    </row>
    <row r="1108" spans="24:28" x14ac:dyDescent="0.25">
      <c r="X1108" s="24"/>
      <c r="AB1108" s="27"/>
    </row>
    <row r="1109" spans="24:28" x14ac:dyDescent="0.25">
      <c r="X1109" s="24"/>
      <c r="AB1109" s="27"/>
    </row>
    <row r="1110" spans="24:28" x14ac:dyDescent="0.25">
      <c r="X1110" s="24"/>
      <c r="AB1110" s="27"/>
    </row>
    <row r="1111" spans="24:28" x14ac:dyDescent="0.25">
      <c r="X1111" s="24"/>
      <c r="AB1111" s="27"/>
    </row>
    <row r="1112" spans="24:28" x14ac:dyDescent="0.25">
      <c r="X1112" s="24"/>
      <c r="AB1112" s="27"/>
    </row>
    <row r="1113" spans="24:28" x14ac:dyDescent="0.25">
      <c r="X1113" s="24"/>
      <c r="AB1113" s="27"/>
    </row>
    <row r="1114" spans="24:28" x14ac:dyDescent="0.25">
      <c r="X1114" s="24"/>
      <c r="AB1114" s="27"/>
    </row>
    <row r="1115" spans="24:28" x14ac:dyDescent="0.25">
      <c r="X1115" s="24"/>
      <c r="AB1115" s="27"/>
    </row>
    <row r="1116" spans="24:28" x14ac:dyDescent="0.25">
      <c r="X1116" s="24"/>
      <c r="AB1116" s="27"/>
    </row>
    <row r="1117" spans="24:28" x14ac:dyDescent="0.25">
      <c r="X1117" s="24"/>
      <c r="AB1117" s="27"/>
    </row>
    <row r="1118" spans="24:28" x14ac:dyDescent="0.25">
      <c r="X1118" s="24"/>
      <c r="AB1118" s="27"/>
    </row>
    <row r="1119" spans="24:28" x14ac:dyDescent="0.25">
      <c r="X1119" s="24"/>
      <c r="AB1119" s="27"/>
    </row>
    <row r="1120" spans="24:28" x14ac:dyDescent="0.25">
      <c r="X1120" s="24"/>
      <c r="AB1120" s="27"/>
    </row>
    <row r="1121" spans="24:28" x14ac:dyDescent="0.25">
      <c r="X1121" s="24"/>
      <c r="AB1121" s="27"/>
    </row>
    <row r="1122" spans="24:28" x14ac:dyDescent="0.25">
      <c r="X1122" s="24"/>
      <c r="AB1122" s="27"/>
    </row>
    <row r="1123" spans="24:28" x14ac:dyDescent="0.25">
      <c r="X1123" s="24"/>
      <c r="AB1123" s="27"/>
    </row>
    <row r="1124" spans="24:28" x14ac:dyDescent="0.25">
      <c r="X1124" s="24"/>
      <c r="AB1124" s="27"/>
    </row>
    <row r="1125" spans="24:28" x14ac:dyDescent="0.25">
      <c r="X1125" s="24"/>
      <c r="AB1125" s="27"/>
    </row>
    <row r="1126" spans="24:28" x14ac:dyDescent="0.25">
      <c r="X1126" s="24"/>
      <c r="AB1126" s="27"/>
    </row>
    <row r="1127" spans="24:28" x14ac:dyDescent="0.25">
      <c r="X1127" s="24"/>
      <c r="AB1127" s="27"/>
    </row>
    <row r="1128" spans="24:28" x14ac:dyDescent="0.25">
      <c r="X1128" s="24"/>
      <c r="AB1128" s="27"/>
    </row>
    <row r="1129" spans="24:28" x14ac:dyDescent="0.25">
      <c r="X1129" s="24"/>
      <c r="AB1129" s="27"/>
    </row>
    <row r="1130" spans="24:28" x14ac:dyDescent="0.25">
      <c r="X1130" s="24"/>
      <c r="AB1130" s="27"/>
    </row>
    <row r="1131" spans="24:28" x14ac:dyDescent="0.25">
      <c r="X1131" s="24"/>
      <c r="AB1131" s="27"/>
    </row>
    <row r="1132" spans="24:28" x14ac:dyDescent="0.25">
      <c r="X1132" s="24"/>
      <c r="AB1132" s="27"/>
    </row>
    <row r="1133" spans="24:28" x14ac:dyDescent="0.25">
      <c r="X1133" s="24"/>
      <c r="AB1133" s="27"/>
    </row>
    <row r="1134" spans="24:28" x14ac:dyDescent="0.25">
      <c r="X1134" s="24"/>
      <c r="AB1134" s="27"/>
    </row>
    <row r="1135" spans="24:28" x14ac:dyDescent="0.25">
      <c r="X1135" s="24"/>
      <c r="AB1135" s="27"/>
    </row>
    <row r="1136" spans="24:28" x14ac:dyDescent="0.25">
      <c r="X1136" s="24"/>
      <c r="AB1136" s="27"/>
    </row>
    <row r="1137" spans="24:28" x14ac:dyDescent="0.25">
      <c r="X1137" s="24"/>
      <c r="AB1137" s="27"/>
    </row>
    <row r="1138" spans="24:28" x14ac:dyDescent="0.25">
      <c r="X1138" s="24"/>
      <c r="AB1138" s="27"/>
    </row>
    <row r="1139" spans="24:28" x14ac:dyDescent="0.25">
      <c r="X1139" s="24"/>
      <c r="AB1139" s="27"/>
    </row>
    <row r="1140" spans="24:28" x14ac:dyDescent="0.25">
      <c r="X1140" s="24"/>
      <c r="AB1140" s="27"/>
    </row>
    <row r="1141" spans="24:28" x14ac:dyDescent="0.25">
      <c r="X1141" s="24"/>
      <c r="AB1141" s="27"/>
    </row>
    <row r="1142" spans="24:28" x14ac:dyDescent="0.25">
      <c r="X1142" s="24"/>
      <c r="AB1142" s="27"/>
    </row>
    <row r="1143" spans="24:28" x14ac:dyDescent="0.25">
      <c r="X1143" s="24"/>
      <c r="AB1143" s="27"/>
    </row>
    <row r="1144" spans="24:28" x14ac:dyDescent="0.25">
      <c r="X1144" s="24"/>
      <c r="AB1144" s="27"/>
    </row>
    <row r="1145" spans="24:28" x14ac:dyDescent="0.25">
      <c r="X1145" s="24"/>
      <c r="AB1145" s="27"/>
    </row>
    <row r="1146" spans="24:28" x14ac:dyDescent="0.25">
      <c r="X1146" s="24"/>
      <c r="AB1146" s="27"/>
    </row>
    <row r="1147" spans="24:28" x14ac:dyDescent="0.25">
      <c r="X1147" s="24"/>
      <c r="AB1147" s="27"/>
    </row>
    <row r="1148" spans="24:28" x14ac:dyDescent="0.25">
      <c r="X1148" s="24"/>
      <c r="AB1148" s="27"/>
    </row>
    <row r="1149" spans="24:28" x14ac:dyDescent="0.25">
      <c r="X1149" s="24"/>
      <c r="AB1149" s="27"/>
    </row>
    <row r="1150" spans="24:28" x14ac:dyDescent="0.25">
      <c r="X1150" s="24"/>
      <c r="AB1150" s="27"/>
    </row>
    <row r="1151" spans="24:28" x14ac:dyDescent="0.25">
      <c r="X1151" s="24"/>
      <c r="AB1151" s="27"/>
    </row>
    <row r="1152" spans="24:28" x14ac:dyDescent="0.25">
      <c r="X1152" s="24"/>
      <c r="AB1152" s="27"/>
    </row>
    <row r="1153" spans="24:28" x14ac:dyDescent="0.25">
      <c r="X1153" s="24"/>
      <c r="AB1153" s="27"/>
    </row>
    <row r="1154" spans="24:28" x14ac:dyDescent="0.25">
      <c r="X1154" s="24"/>
      <c r="AB1154" s="27"/>
    </row>
    <row r="1155" spans="24:28" x14ac:dyDescent="0.25">
      <c r="X1155" s="24"/>
      <c r="AB1155" s="27"/>
    </row>
    <row r="1156" spans="24:28" x14ac:dyDescent="0.25">
      <c r="X1156" s="24"/>
      <c r="AB1156" s="27"/>
    </row>
    <row r="1157" spans="24:28" x14ac:dyDescent="0.25">
      <c r="X1157" s="24"/>
      <c r="AB1157" s="27"/>
    </row>
    <row r="1158" spans="24:28" x14ac:dyDescent="0.25">
      <c r="X1158" s="24"/>
      <c r="AB1158" s="27"/>
    </row>
    <row r="1159" spans="24:28" x14ac:dyDescent="0.25">
      <c r="X1159" s="24"/>
      <c r="AB1159" s="27"/>
    </row>
    <row r="1160" spans="24:28" x14ac:dyDescent="0.25">
      <c r="X1160" s="24"/>
      <c r="AB1160" s="27"/>
    </row>
    <row r="1161" spans="24:28" x14ac:dyDescent="0.25">
      <c r="X1161" s="24"/>
      <c r="AB1161" s="27"/>
    </row>
    <row r="1162" spans="24:28" x14ac:dyDescent="0.25">
      <c r="X1162" s="24"/>
      <c r="AB1162" s="27"/>
    </row>
    <row r="1163" spans="24:28" x14ac:dyDescent="0.25">
      <c r="X1163" s="24"/>
      <c r="AB1163" s="27"/>
    </row>
    <row r="1164" spans="24:28" x14ac:dyDescent="0.25">
      <c r="X1164" s="24"/>
      <c r="AB1164" s="27"/>
    </row>
    <row r="1165" spans="24:28" x14ac:dyDescent="0.25">
      <c r="X1165" s="24"/>
      <c r="AB1165" s="27"/>
    </row>
    <row r="1166" spans="24:28" x14ac:dyDescent="0.25">
      <c r="X1166" s="24"/>
      <c r="AB1166" s="27"/>
    </row>
    <row r="1167" spans="24:28" x14ac:dyDescent="0.25">
      <c r="X1167" s="24"/>
      <c r="AB1167" s="27"/>
    </row>
    <row r="1168" spans="24:28" x14ac:dyDescent="0.25">
      <c r="X1168" s="24"/>
      <c r="AB1168" s="27"/>
    </row>
    <row r="1169" spans="24:28" x14ac:dyDescent="0.25">
      <c r="X1169" s="24"/>
      <c r="AB1169" s="27"/>
    </row>
    <row r="1170" spans="24:28" x14ac:dyDescent="0.25">
      <c r="X1170" s="24"/>
      <c r="AB1170" s="27"/>
    </row>
    <row r="1171" spans="24:28" x14ac:dyDescent="0.25">
      <c r="X1171" s="24"/>
      <c r="AB1171" s="27"/>
    </row>
    <row r="1172" spans="24:28" x14ac:dyDescent="0.25">
      <c r="X1172" s="24"/>
      <c r="AB1172" s="27"/>
    </row>
    <row r="1173" spans="24:28" x14ac:dyDescent="0.25">
      <c r="X1173" s="24"/>
      <c r="AB1173" s="27"/>
    </row>
    <row r="1174" spans="24:28" x14ac:dyDescent="0.25">
      <c r="X1174" s="24"/>
      <c r="AB1174" s="27"/>
    </row>
    <row r="1175" spans="24:28" x14ac:dyDescent="0.25">
      <c r="X1175" s="24"/>
      <c r="AB1175" s="27"/>
    </row>
    <row r="1176" spans="24:28" x14ac:dyDescent="0.25">
      <c r="X1176" s="24"/>
      <c r="AB1176" s="27"/>
    </row>
    <row r="1177" spans="24:28" x14ac:dyDescent="0.25">
      <c r="X1177" s="24"/>
      <c r="AB1177" s="27"/>
    </row>
    <row r="1178" spans="24:28" x14ac:dyDescent="0.25">
      <c r="X1178" s="24"/>
      <c r="AB1178" s="27"/>
    </row>
    <row r="1179" spans="24:28" x14ac:dyDescent="0.25">
      <c r="X1179" s="24"/>
      <c r="AB1179" s="27"/>
    </row>
    <row r="1180" spans="24:28" x14ac:dyDescent="0.25">
      <c r="X1180" s="24"/>
      <c r="AB1180" s="27"/>
    </row>
    <row r="1181" spans="24:28" x14ac:dyDescent="0.25">
      <c r="X1181" s="24"/>
      <c r="AB1181" s="27"/>
    </row>
    <row r="1182" spans="24:28" x14ac:dyDescent="0.25">
      <c r="X1182" s="24"/>
      <c r="AB1182" s="27"/>
    </row>
    <row r="1183" spans="24:28" x14ac:dyDescent="0.25">
      <c r="X1183" s="24"/>
      <c r="AB1183" s="27"/>
    </row>
    <row r="1184" spans="24:28" x14ac:dyDescent="0.25">
      <c r="X1184" s="24"/>
      <c r="AB1184" s="27"/>
    </row>
    <row r="1185" spans="24:28" x14ac:dyDescent="0.25">
      <c r="X1185" s="24"/>
      <c r="AB1185" s="27"/>
    </row>
    <row r="1186" spans="24:28" x14ac:dyDescent="0.25">
      <c r="X1186" s="24"/>
      <c r="AB1186" s="27"/>
    </row>
    <row r="1187" spans="24:28" x14ac:dyDescent="0.25">
      <c r="X1187" s="24"/>
      <c r="AB1187" s="27"/>
    </row>
    <row r="1188" spans="24:28" x14ac:dyDescent="0.25">
      <c r="X1188" s="24"/>
      <c r="AB1188" s="27"/>
    </row>
    <row r="1189" spans="24:28" x14ac:dyDescent="0.25">
      <c r="X1189" s="24"/>
      <c r="AB1189" s="27"/>
    </row>
    <row r="1190" spans="24:28" x14ac:dyDescent="0.25">
      <c r="X1190" s="24"/>
      <c r="AB1190" s="27"/>
    </row>
    <row r="1191" spans="24:28" x14ac:dyDescent="0.25">
      <c r="X1191" s="24"/>
      <c r="AB1191" s="27"/>
    </row>
    <row r="1192" spans="24:28" x14ac:dyDescent="0.25">
      <c r="X1192" s="24"/>
      <c r="AB1192" s="27"/>
    </row>
    <row r="1193" spans="24:28" x14ac:dyDescent="0.25">
      <c r="X1193" s="24"/>
      <c r="AB1193" s="27"/>
    </row>
    <row r="1194" spans="24:28" x14ac:dyDescent="0.25">
      <c r="X1194" s="24"/>
      <c r="AB1194" s="27"/>
    </row>
    <row r="1195" spans="24:28" x14ac:dyDescent="0.25">
      <c r="X1195" s="24"/>
      <c r="AB1195" s="27"/>
    </row>
    <row r="1196" spans="24:28" x14ac:dyDescent="0.25">
      <c r="X1196" s="24"/>
      <c r="AB1196" s="27"/>
    </row>
    <row r="1197" spans="24:28" x14ac:dyDescent="0.25">
      <c r="X1197" s="24"/>
      <c r="AB1197" s="27"/>
    </row>
    <row r="1198" spans="24:28" x14ac:dyDescent="0.25">
      <c r="X1198" s="24"/>
      <c r="AB1198" s="27"/>
    </row>
    <row r="1199" spans="24:28" x14ac:dyDescent="0.25">
      <c r="X1199" s="24"/>
      <c r="AB1199" s="27"/>
    </row>
    <row r="1200" spans="24:28" x14ac:dyDescent="0.25">
      <c r="X1200" s="24"/>
      <c r="AB1200" s="27"/>
    </row>
    <row r="1201" spans="24:28" x14ac:dyDescent="0.25">
      <c r="X1201" s="24"/>
      <c r="AB1201" s="27"/>
    </row>
    <row r="1202" spans="24:28" x14ac:dyDescent="0.25">
      <c r="X1202" s="24"/>
      <c r="AB1202" s="27"/>
    </row>
    <row r="1203" spans="24:28" x14ac:dyDescent="0.25">
      <c r="X1203" s="24"/>
      <c r="AB1203" s="27"/>
    </row>
    <row r="1204" spans="24:28" x14ac:dyDescent="0.25">
      <c r="X1204" s="24"/>
      <c r="AB1204" s="27"/>
    </row>
    <row r="1205" spans="24:28" x14ac:dyDescent="0.25">
      <c r="X1205" s="24"/>
      <c r="AB1205" s="27"/>
    </row>
    <row r="1206" spans="24:28" x14ac:dyDescent="0.25">
      <c r="X1206" s="24"/>
      <c r="AB1206" s="27"/>
    </row>
    <row r="1207" spans="24:28" x14ac:dyDescent="0.25">
      <c r="X1207" s="24"/>
      <c r="AB1207" s="27"/>
    </row>
    <row r="1208" spans="24:28" x14ac:dyDescent="0.25">
      <c r="X1208" s="24"/>
      <c r="AB1208" s="27"/>
    </row>
    <row r="1209" spans="24:28" x14ac:dyDescent="0.25">
      <c r="X1209" s="24"/>
      <c r="AB1209" s="27"/>
    </row>
    <row r="1210" spans="24:28" x14ac:dyDescent="0.25">
      <c r="X1210" s="24"/>
      <c r="AB1210" s="27"/>
    </row>
    <row r="1211" spans="24:28" x14ac:dyDescent="0.25">
      <c r="X1211" s="24"/>
      <c r="AB1211" s="27"/>
    </row>
    <row r="1212" spans="24:28" x14ac:dyDescent="0.25">
      <c r="X1212" s="24"/>
      <c r="AB1212" s="27"/>
    </row>
    <row r="1213" spans="24:28" x14ac:dyDescent="0.25">
      <c r="X1213" s="24"/>
      <c r="AB1213" s="27"/>
    </row>
    <row r="1214" spans="24:28" x14ac:dyDescent="0.25">
      <c r="X1214" s="24"/>
      <c r="AB1214" s="27"/>
    </row>
    <row r="1215" spans="24:28" x14ac:dyDescent="0.25">
      <c r="X1215" s="24"/>
      <c r="AB1215" s="27"/>
    </row>
    <row r="1216" spans="24:28" x14ac:dyDescent="0.25">
      <c r="X1216" s="24"/>
      <c r="AB1216" s="27"/>
    </row>
    <row r="1217" spans="24:28" x14ac:dyDescent="0.25">
      <c r="X1217" s="24"/>
      <c r="AB1217" s="27"/>
    </row>
    <row r="1218" spans="24:28" x14ac:dyDescent="0.25">
      <c r="X1218" s="24"/>
      <c r="AB1218" s="27"/>
    </row>
    <row r="1219" spans="24:28" x14ac:dyDescent="0.25">
      <c r="X1219" s="24"/>
      <c r="AB1219" s="27"/>
    </row>
    <row r="1220" spans="24:28" x14ac:dyDescent="0.25">
      <c r="X1220" s="24"/>
      <c r="AB1220" s="27"/>
    </row>
    <row r="1221" spans="24:28" x14ac:dyDescent="0.25">
      <c r="X1221" s="24"/>
      <c r="AB1221" s="27"/>
    </row>
    <row r="1222" spans="24:28" x14ac:dyDescent="0.25">
      <c r="X1222" s="24"/>
      <c r="AB1222" s="27"/>
    </row>
    <row r="1223" spans="24:28" x14ac:dyDescent="0.25">
      <c r="X1223" s="24"/>
      <c r="AB1223" s="27"/>
    </row>
    <row r="1224" spans="24:28" x14ac:dyDescent="0.25">
      <c r="X1224" s="24"/>
      <c r="AB1224" s="27"/>
    </row>
    <row r="1225" spans="24:28" x14ac:dyDescent="0.25">
      <c r="X1225" s="24"/>
      <c r="AB1225" s="27"/>
    </row>
    <row r="1226" spans="24:28" x14ac:dyDescent="0.25">
      <c r="X1226" s="24"/>
      <c r="AB1226" s="27"/>
    </row>
    <row r="1227" spans="24:28" x14ac:dyDescent="0.25">
      <c r="X1227" s="24"/>
      <c r="AB1227" s="27"/>
    </row>
    <row r="1228" spans="24:28" x14ac:dyDescent="0.25">
      <c r="X1228" s="24"/>
      <c r="AB1228" s="27"/>
    </row>
    <row r="1229" spans="24:28" x14ac:dyDescent="0.25">
      <c r="X1229" s="24"/>
      <c r="AB1229" s="27"/>
    </row>
    <row r="1230" spans="24:28" x14ac:dyDescent="0.25">
      <c r="X1230" s="24"/>
      <c r="AB1230" s="27"/>
    </row>
    <row r="1231" spans="24:28" x14ac:dyDescent="0.25">
      <c r="X1231" s="24"/>
      <c r="AB1231" s="27"/>
    </row>
    <row r="1232" spans="24:28" x14ac:dyDescent="0.25">
      <c r="X1232" s="24"/>
      <c r="AB1232" s="27"/>
    </row>
    <row r="1233" spans="24:28" x14ac:dyDescent="0.25">
      <c r="X1233" s="24"/>
      <c r="AB1233" s="27"/>
    </row>
    <row r="1234" spans="24:28" x14ac:dyDescent="0.25">
      <c r="X1234" s="24"/>
      <c r="AB1234" s="27"/>
    </row>
    <row r="1235" spans="24:28" x14ac:dyDescent="0.25">
      <c r="X1235" s="24"/>
      <c r="AB1235" s="27"/>
    </row>
    <row r="1236" spans="24:28" x14ac:dyDescent="0.25">
      <c r="X1236" s="24"/>
      <c r="AB1236" s="27"/>
    </row>
    <row r="1237" spans="24:28" x14ac:dyDescent="0.25">
      <c r="X1237" s="24"/>
      <c r="AB1237" s="27"/>
    </row>
    <row r="1238" spans="24:28" x14ac:dyDescent="0.25">
      <c r="X1238" s="24"/>
      <c r="AB1238" s="27"/>
    </row>
    <row r="1239" spans="24:28" x14ac:dyDescent="0.25">
      <c r="X1239" s="24"/>
      <c r="AB1239" s="27"/>
    </row>
    <row r="1240" spans="24:28" x14ac:dyDescent="0.25">
      <c r="X1240" s="24"/>
      <c r="AB1240" s="27"/>
    </row>
    <row r="1241" spans="24:28" x14ac:dyDescent="0.25">
      <c r="X1241" s="24"/>
      <c r="AB1241" s="27"/>
    </row>
    <row r="1242" spans="24:28" x14ac:dyDescent="0.25">
      <c r="X1242" s="24"/>
      <c r="AB1242" s="27"/>
    </row>
    <row r="1243" spans="24:28" x14ac:dyDescent="0.25">
      <c r="X1243" s="24"/>
      <c r="AB1243" s="27"/>
    </row>
    <row r="1244" spans="24:28" x14ac:dyDescent="0.25">
      <c r="X1244" s="24"/>
      <c r="AB1244" s="27"/>
    </row>
    <row r="1245" spans="24:28" x14ac:dyDescent="0.25">
      <c r="X1245" s="24"/>
      <c r="AB1245" s="27"/>
    </row>
    <row r="1246" spans="24:28" x14ac:dyDescent="0.25">
      <c r="X1246" s="24"/>
      <c r="AB1246" s="27"/>
    </row>
    <row r="1247" spans="24:28" x14ac:dyDescent="0.25">
      <c r="X1247" s="24"/>
      <c r="AB1247" s="27"/>
    </row>
    <row r="1248" spans="24:28" x14ac:dyDescent="0.25">
      <c r="X1248" s="24"/>
      <c r="AB1248" s="27"/>
    </row>
    <row r="1249" spans="24:28" x14ac:dyDescent="0.25">
      <c r="X1249" s="24"/>
      <c r="AB1249" s="27"/>
    </row>
    <row r="1250" spans="24:28" x14ac:dyDescent="0.25">
      <c r="X1250" s="24"/>
      <c r="AB1250" s="27"/>
    </row>
    <row r="1251" spans="24:28" x14ac:dyDescent="0.25">
      <c r="X1251" s="24"/>
      <c r="AB1251" s="27"/>
    </row>
    <row r="1252" spans="24:28" x14ac:dyDescent="0.25">
      <c r="X1252" s="24"/>
      <c r="AB1252" s="27"/>
    </row>
    <row r="1253" spans="24:28" x14ac:dyDescent="0.25">
      <c r="X1253" s="24"/>
      <c r="AB1253" s="27"/>
    </row>
    <row r="1254" spans="24:28" x14ac:dyDescent="0.25">
      <c r="X1254" s="24"/>
      <c r="AB1254" s="27"/>
    </row>
    <row r="1255" spans="24:28" x14ac:dyDescent="0.25">
      <c r="X1255" s="24"/>
      <c r="AB1255" s="27"/>
    </row>
    <row r="1256" spans="24:28" x14ac:dyDescent="0.25">
      <c r="X1256" s="24"/>
      <c r="AB1256" s="27"/>
    </row>
    <row r="1257" spans="24:28" x14ac:dyDescent="0.25">
      <c r="X1257" s="24"/>
      <c r="AB1257" s="27"/>
    </row>
    <row r="1258" spans="24:28" x14ac:dyDescent="0.25">
      <c r="X1258" s="24"/>
      <c r="AB1258" s="27"/>
    </row>
    <row r="1259" spans="24:28" x14ac:dyDescent="0.25">
      <c r="X1259" s="24"/>
      <c r="AB1259" s="27"/>
    </row>
    <row r="1260" spans="24:28" x14ac:dyDescent="0.25">
      <c r="X1260" s="24"/>
      <c r="AB1260" s="27"/>
    </row>
    <row r="1261" spans="24:28" x14ac:dyDescent="0.25">
      <c r="X1261" s="24"/>
      <c r="AB1261" s="27"/>
    </row>
    <row r="1262" spans="24:28" x14ac:dyDescent="0.25">
      <c r="X1262" s="24"/>
      <c r="AB1262" s="27"/>
    </row>
    <row r="1263" spans="24:28" x14ac:dyDescent="0.25">
      <c r="X1263" s="24"/>
      <c r="AB1263" s="27"/>
    </row>
    <row r="1264" spans="24:28" x14ac:dyDescent="0.25">
      <c r="X1264" s="24"/>
      <c r="AB1264" s="27"/>
    </row>
    <row r="1265" spans="24:28" x14ac:dyDescent="0.25">
      <c r="X1265" s="24"/>
      <c r="AB1265" s="27"/>
    </row>
    <row r="1266" spans="24:28" x14ac:dyDescent="0.25">
      <c r="X1266" s="24"/>
      <c r="AB1266" s="27"/>
    </row>
    <row r="1267" spans="24:28" x14ac:dyDescent="0.25">
      <c r="X1267" s="24"/>
      <c r="AB1267" s="27"/>
    </row>
    <row r="1268" spans="24:28" x14ac:dyDescent="0.25">
      <c r="X1268" s="24"/>
      <c r="AB1268" s="27"/>
    </row>
    <row r="1269" spans="24:28" x14ac:dyDescent="0.25">
      <c r="X1269" s="24"/>
      <c r="AB1269" s="27"/>
    </row>
    <row r="1270" spans="24:28" x14ac:dyDescent="0.25">
      <c r="X1270" s="24"/>
      <c r="AB1270" s="27"/>
    </row>
    <row r="1271" spans="24:28" x14ac:dyDescent="0.25">
      <c r="X1271" s="24"/>
      <c r="AB1271" s="27"/>
    </row>
    <row r="1272" spans="24:28" x14ac:dyDescent="0.25">
      <c r="X1272" s="24"/>
      <c r="AB1272" s="27"/>
    </row>
    <row r="1273" spans="24:28" x14ac:dyDescent="0.25">
      <c r="X1273" s="24"/>
      <c r="AB1273" s="27"/>
    </row>
    <row r="1274" spans="24:28" x14ac:dyDescent="0.25">
      <c r="X1274" s="24"/>
      <c r="AB1274" s="27"/>
    </row>
    <row r="1275" spans="24:28" x14ac:dyDescent="0.25">
      <c r="X1275" s="24"/>
      <c r="AB1275" s="27"/>
    </row>
    <row r="1276" spans="24:28" x14ac:dyDescent="0.25">
      <c r="X1276" s="24"/>
      <c r="AB1276" s="27"/>
    </row>
    <row r="1277" spans="24:28" x14ac:dyDescent="0.25">
      <c r="X1277" s="24"/>
      <c r="AB1277" s="27"/>
    </row>
    <row r="1278" spans="24:28" x14ac:dyDescent="0.25">
      <c r="X1278" s="24"/>
      <c r="AB1278" s="27"/>
    </row>
    <row r="1279" spans="24:28" x14ac:dyDescent="0.25">
      <c r="X1279" s="24"/>
      <c r="AB1279" s="27"/>
    </row>
    <row r="1280" spans="24:28" x14ac:dyDescent="0.25">
      <c r="X1280" s="24"/>
      <c r="AB1280" s="27"/>
    </row>
    <row r="1281" spans="24:28" x14ac:dyDescent="0.25">
      <c r="X1281" s="24"/>
      <c r="AB1281" s="27"/>
    </row>
    <row r="1282" spans="24:28" x14ac:dyDescent="0.25">
      <c r="X1282" s="24"/>
      <c r="AB1282" s="27"/>
    </row>
    <row r="1283" spans="24:28" x14ac:dyDescent="0.25">
      <c r="X1283" s="24"/>
      <c r="AB1283" s="27"/>
    </row>
    <row r="1284" spans="24:28" x14ac:dyDescent="0.25">
      <c r="X1284" s="24"/>
      <c r="AB1284" s="27"/>
    </row>
    <row r="1285" spans="24:28" x14ac:dyDescent="0.25">
      <c r="X1285" s="24"/>
      <c r="AB1285" s="27"/>
    </row>
    <row r="1286" spans="24:28" x14ac:dyDescent="0.25">
      <c r="X1286" s="24"/>
      <c r="AB1286" s="27"/>
    </row>
    <row r="1287" spans="24:28" x14ac:dyDescent="0.25">
      <c r="X1287" s="24"/>
      <c r="AB1287" s="27"/>
    </row>
    <row r="1288" spans="24:28" x14ac:dyDescent="0.25">
      <c r="X1288" s="24"/>
      <c r="AB1288" s="27"/>
    </row>
    <row r="1289" spans="24:28" x14ac:dyDescent="0.25">
      <c r="X1289" s="24"/>
      <c r="AB1289" s="27"/>
    </row>
    <row r="1290" spans="24:28" x14ac:dyDescent="0.25">
      <c r="X1290" s="24"/>
      <c r="AB1290" s="27"/>
    </row>
    <row r="1291" spans="24:28" x14ac:dyDescent="0.25">
      <c r="X1291" s="24"/>
      <c r="AB1291" s="27"/>
    </row>
    <row r="1292" spans="24:28" x14ac:dyDescent="0.25">
      <c r="X1292" s="24"/>
      <c r="AB1292" s="27"/>
    </row>
    <row r="1293" spans="24:28" x14ac:dyDescent="0.25">
      <c r="X1293" s="24"/>
      <c r="AB1293" s="27"/>
    </row>
    <row r="1294" spans="24:28" x14ac:dyDescent="0.25">
      <c r="X1294" s="24"/>
      <c r="AB1294" s="27"/>
    </row>
    <row r="1295" spans="24:28" x14ac:dyDescent="0.25">
      <c r="X1295" s="24"/>
      <c r="AB1295" s="27"/>
    </row>
    <row r="1296" spans="24:28" x14ac:dyDescent="0.25">
      <c r="X1296" s="24"/>
      <c r="AB1296" s="27"/>
    </row>
    <row r="1297" spans="24:28" x14ac:dyDescent="0.25">
      <c r="X1297" s="24"/>
      <c r="AB1297" s="27"/>
    </row>
    <row r="1298" spans="24:28" x14ac:dyDescent="0.25">
      <c r="X1298" s="24"/>
      <c r="AB1298" s="27"/>
    </row>
    <row r="1299" spans="24:28" x14ac:dyDescent="0.25">
      <c r="X1299" s="24"/>
      <c r="AB1299" s="27"/>
    </row>
    <row r="1300" spans="24:28" x14ac:dyDescent="0.25">
      <c r="X1300" s="24"/>
      <c r="AB1300" s="27"/>
    </row>
    <row r="1301" spans="24:28" x14ac:dyDescent="0.25">
      <c r="X1301" s="24"/>
      <c r="AB1301" s="27"/>
    </row>
    <row r="1302" spans="24:28" x14ac:dyDescent="0.25">
      <c r="X1302" s="24"/>
      <c r="AB1302" s="27"/>
    </row>
    <row r="1303" spans="24:28" x14ac:dyDescent="0.25">
      <c r="X1303" s="24"/>
      <c r="AB1303" s="27"/>
    </row>
    <row r="1304" spans="24:28" x14ac:dyDescent="0.25">
      <c r="X1304" s="24"/>
      <c r="AB1304" s="27"/>
    </row>
    <row r="1305" spans="24:28" x14ac:dyDescent="0.25">
      <c r="X1305" s="24"/>
      <c r="AB1305" s="27"/>
    </row>
    <row r="1306" spans="24:28" x14ac:dyDescent="0.25">
      <c r="X1306" s="24"/>
      <c r="AB1306" s="27"/>
    </row>
    <row r="1307" spans="24:28" x14ac:dyDescent="0.25">
      <c r="X1307" s="24"/>
      <c r="AB1307" s="27"/>
    </row>
    <row r="1308" spans="24:28" x14ac:dyDescent="0.25">
      <c r="X1308" s="24"/>
      <c r="AB1308" s="27"/>
    </row>
    <row r="1309" spans="24:28" x14ac:dyDescent="0.25">
      <c r="X1309" s="24"/>
      <c r="AB1309" s="27"/>
    </row>
    <row r="1310" spans="24:28" x14ac:dyDescent="0.25">
      <c r="X1310" s="24"/>
      <c r="AB1310" s="27"/>
    </row>
    <row r="1311" spans="24:28" x14ac:dyDescent="0.25">
      <c r="X1311" s="24"/>
      <c r="AB1311" s="27"/>
    </row>
    <row r="1312" spans="24:28" x14ac:dyDescent="0.25">
      <c r="X1312" s="24"/>
      <c r="AB1312" s="27"/>
    </row>
    <row r="1313" spans="24:28" x14ac:dyDescent="0.25">
      <c r="X1313" s="24"/>
      <c r="AB1313" s="27"/>
    </row>
    <row r="1314" spans="24:28" x14ac:dyDescent="0.25">
      <c r="X1314" s="24"/>
      <c r="AB1314" s="27"/>
    </row>
    <row r="1315" spans="24:28" x14ac:dyDescent="0.25">
      <c r="X1315" s="24"/>
      <c r="AB1315" s="27"/>
    </row>
    <row r="1316" spans="24:28" x14ac:dyDescent="0.25">
      <c r="X1316" s="24"/>
      <c r="AB1316" s="27"/>
    </row>
    <row r="1317" spans="24:28" x14ac:dyDescent="0.25">
      <c r="X1317" s="24"/>
      <c r="AB1317" s="27"/>
    </row>
    <row r="1318" spans="24:28" x14ac:dyDescent="0.25">
      <c r="X1318" s="24"/>
      <c r="AB1318" s="27"/>
    </row>
    <row r="1319" spans="24:28" x14ac:dyDescent="0.25">
      <c r="X1319" s="24"/>
      <c r="AB1319" s="27"/>
    </row>
    <row r="1320" spans="24:28" x14ac:dyDescent="0.25">
      <c r="X1320" s="24"/>
      <c r="AB1320" s="27"/>
    </row>
    <row r="1321" spans="24:28" x14ac:dyDescent="0.25">
      <c r="X1321" s="24"/>
      <c r="AB1321" s="27"/>
    </row>
    <row r="1322" spans="24:28" x14ac:dyDescent="0.25">
      <c r="X1322" s="24"/>
      <c r="AB1322" s="27"/>
    </row>
    <row r="1323" spans="24:28" x14ac:dyDescent="0.25">
      <c r="X1323" s="24"/>
      <c r="AB1323" s="27"/>
    </row>
    <row r="1324" spans="24:28" x14ac:dyDescent="0.25">
      <c r="X1324" s="24"/>
      <c r="AB1324" s="27"/>
    </row>
    <row r="1325" spans="24:28" x14ac:dyDescent="0.25">
      <c r="X1325" s="24"/>
      <c r="AB1325" s="27"/>
    </row>
    <row r="1326" spans="24:28" x14ac:dyDescent="0.25">
      <c r="X1326" s="24"/>
      <c r="AB1326" s="27"/>
    </row>
    <row r="1327" spans="24:28" x14ac:dyDescent="0.25">
      <c r="X1327" s="24"/>
      <c r="AB1327" s="27"/>
    </row>
    <row r="1328" spans="24:28" x14ac:dyDescent="0.25">
      <c r="X1328" s="24"/>
      <c r="AB1328" s="27"/>
    </row>
    <row r="1329" spans="24:28" x14ac:dyDescent="0.25">
      <c r="X1329" s="24"/>
      <c r="AB1329" s="27"/>
    </row>
    <row r="1330" spans="24:28" x14ac:dyDescent="0.25">
      <c r="X1330" s="24"/>
      <c r="AB1330" s="27"/>
    </row>
    <row r="1331" spans="24:28" x14ac:dyDescent="0.25">
      <c r="X1331" s="24"/>
      <c r="AB1331" s="27"/>
    </row>
    <row r="1332" spans="24:28" x14ac:dyDescent="0.25">
      <c r="X1332" s="24"/>
      <c r="AB1332" s="27"/>
    </row>
    <row r="1333" spans="24:28" x14ac:dyDescent="0.25">
      <c r="X1333" s="24"/>
      <c r="AB1333" s="27"/>
    </row>
    <row r="1334" spans="24:28" x14ac:dyDescent="0.25">
      <c r="X1334" s="24"/>
      <c r="AB1334" s="27"/>
    </row>
    <row r="1335" spans="24:28" x14ac:dyDescent="0.25">
      <c r="X1335" s="24"/>
      <c r="AB1335" s="27"/>
    </row>
    <row r="1336" spans="24:28" x14ac:dyDescent="0.25">
      <c r="X1336" s="24"/>
      <c r="AB1336" s="27"/>
    </row>
    <row r="1337" spans="24:28" x14ac:dyDescent="0.25">
      <c r="X1337" s="24"/>
      <c r="AB1337" s="27"/>
    </row>
    <row r="1338" spans="24:28" x14ac:dyDescent="0.25">
      <c r="X1338" s="24"/>
      <c r="AB1338" s="27"/>
    </row>
    <row r="1339" spans="24:28" x14ac:dyDescent="0.25">
      <c r="X1339" s="24"/>
      <c r="AB1339" s="27"/>
    </row>
    <row r="1340" spans="24:28" x14ac:dyDescent="0.25">
      <c r="X1340" s="24"/>
      <c r="AB1340" s="27"/>
    </row>
    <row r="1341" spans="24:28" x14ac:dyDescent="0.25">
      <c r="X1341" s="24"/>
      <c r="AB1341" s="27"/>
    </row>
    <row r="1342" spans="24:28" x14ac:dyDescent="0.25">
      <c r="X1342" s="24"/>
      <c r="AB1342" s="27"/>
    </row>
    <row r="1343" spans="24:28" x14ac:dyDescent="0.25">
      <c r="X1343" s="24"/>
      <c r="AB1343" s="27"/>
    </row>
    <row r="1344" spans="24:28" x14ac:dyDescent="0.25">
      <c r="X1344" s="24"/>
      <c r="AB1344" s="27"/>
    </row>
    <row r="1345" spans="24:28" x14ac:dyDescent="0.25">
      <c r="X1345" s="24"/>
      <c r="AB1345" s="27"/>
    </row>
    <row r="1346" spans="24:28" x14ac:dyDescent="0.25">
      <c r="X1346" s="24"/>
      <c r="AB1346" s="27"/>
    </row>
    <row r="1347" spans="24:28" x14ac:dyDescent="0.25">
      <c r="X1347" s="24"/>
      <c r="AB1347" s="27"/>
    </row>
    <row r="1348" spans="24:28" x14ac:dyDescent="0.25">
      <c r="X1348" s="24"/>
      <c r="AB1348" s="27"/>
    </row>
    <row r="1349" spans="24:28" x14ac:dyDescent="0.25">
      <c r="X1349" s="24"/>
      <c r="AB1349" s="27"/>
    </row>
    <row r="1350" spans="24:28" x14ac:dyDescent="0.25">
      <c r="X1350" s="24"/>
      <c r="AB1350" s="27"/>
    </row>
    <row r="1351" spans="24:28" x14ac:dyDescent="0.25">
      <c r="X1351" s="24"/>
      <c r="AB1351" s="27"/>
    </row>
    <row r="1352" spans="24:28" x14ac:dyDescent="0.25">
      <c r="X1352" s="24"/>
      <c r="AB1352" s="27"/>
    </row>
    <row r="1353" spans="24:28" x14ac:dyDescent="0.25">
      <c r="X1353" s="24"/>
      <c r="AB1353" s="27"/>
    </row>
    <row r="1354" spans="24:28" x14ac:dyDescent="0.25">
      <c r="X1354" s="24"/>
      <c r="AB1354" s="27"/>
    </row>
    <row r="1355" spans="24:28" x14ac:dyDescent="0.25">
      <c r="X1355" s="24"/>
      <c r="AB1355" s="27"/>
    </row>
    <row r="1356" spans="24:28" x14ac:dyDescent="0.25">
      <c r="X1356" s="24"/>
      <c r="AB1356" s="27"/>
    </row>
    <row r="1357" spans="24:28" x14ac:dyDescent="0.25">
      <c r="X1357" s="24"/>
      <c r="AB1357" s="27"/>
    </row>
    <row r="1358" spans="24:28" x14ac:dyDescent="0.25">
      <c r="X1358" s="24"/>
      <c r="AB1358" s="27"/>
    </row>
    <row r="1359" spans="24:28" x14ac:dyDescent="0.25">
      <c r="X1359" s="24"/>
      <c r="AB1359" s="27"/>
    </row>
    <row r="1360" spans="24:28" x14ac:dyDescent="0.25">
      <c r="X1360" s="24"/>
      <c r="AB1360" s="27"/>
    </row>
    <row r="1361" spans="24:28" x14ac:dyDescent="0.25">
      <c r="X1361" s="24"/>
      <c r="AB1361" s="27"/>
    </row>
    <row r="1362" spans="24:28" x14ac:dyDescent="0.25">
      <c r="X1362" s="24"/>
      <c r="AB1362" s="27"/>
    </row>
    <row r="1363" spans="24:28" x14ac:dyDescent="0.25">
      <c r="X1363" s="24"/>
      <c r="AB1363" s="27"/>
    </row>
    <row r="1364" spans="24:28" x14ac:dyDescent="0.25">
      <c r="X1364" s="24"/>
      <c r="AB1364" s="27"/>
    </row>
    <row r="1365" spans="24:28" x14ac:dyDescent="0.25">
      <c r="X1365" s="24"/>
      <c r="AB1365" s="27"/>
    </row>
    <row r="1366" spans="24:28" x14ac:dyDescent="0.25">
      <c r="X1366" s="24"/>
      <c r="AB1366" s="27"/>
    </row>
    <row r="1367" spans="24:28" x14ac:dyDescent="0.25">
      <c r="X1367" s="24"/>
      <c r="AB1367" s="27"/>
    </row>
    <row r="1368" spans="24:28" x14ac:dyDescent="0.25">
      <c r="X1368" s="24"/>
      <c r="AB1368" s="27"/>
    </row>
    <row r="1369" spans="24:28" x14ac:dyDescent="0.25">
      <c r="X1369" s="24"/>
      <c r="AB1369" s="27"/>
    </row>
    <row r="1370" spans="24:28" x14ac:dyDescent="0.25">
      <c r="X1370" s="24"/>
      <c r="AB1370" s="27"/>
    </row>
    <row r="1371" spans="24:28" x14ac:dyDescent="0.25">
      <c r="X1371" s="24"/>
      <c r="AB1371" s="27"/>
    </row>
    <row r="1372" spans="24:28" x14ac:dyDescent="0.25">
      <c r="X1372" s="24"/>
      <c r="AB1372" s="27"/>
    </row>
    <row r="1373" spans="24:28" x14ac:dyDescent="0.25">
      <c r="X1373" s="24"/>
      <c r="AB1373" s="27"/>
    </row>
    <row r="1374" spans="24:28" x14ac:dyDescent="0.25">
      <c r="X1374" s="24"/>
      <c r="AB1374" s="27"/>
    </row>
    <row r="1375" spans="24:28" x14ac:dyDescent="0.25">
      <c r="X1375" s="24"/>
      <c r="AB1375" s="27"/>
    </row>
    <row r="1376" spans="24:28" x14ac:dyDescent="0.25">
      <c r="X1376" s="24"/>
      <c r="AB1376" s="27"/>
    </row>
    <row r="1377" spans="24:28" x14ac:dyDescent="0.25">
      <c r="X1377" s="24"/>
      <c r="AB1377" s="27"/>
    </row>
    <row r="1378" spans="24:28" x14ac:dyDescent="0.25">
      <c r="X1378" s="24"/>
      <c r="AB1378" s="27"/>
    </row>
    <row r="1379" spans="24:28" x14ac:dyDescent="0.25">
      <c r="X1379" s="24"/>
      <c r="AB1379" s="27"/>
    </row>
    <row r="1380" spans="24:28" x14ac:dyDescent="0.25">
      <c r="X1380" s="24"/>
      <c r="AB1380" s="27"/>
    </row>
    <row r="1381" spans="24:28" x14ac:dyDescent="0.25">
      <c r="X1381" s="24"/>
      <c r="AB1381" s="27"/>
    </row>
    <row r="1382" spans="24:28" x14ac:dyDescent="0.25">
      <c r="X1382" s="24"/>
      <c r="AB1382" s="27"/>
    </row>
    <row r="1383" spans="24:28" x14ac:dyDescent="0.25">
      <c r="X1383" s="24"/>
      <c r="AB1383" s="27"/>
    </row>
    <row r="1384" spans="24:28" x14ac:dyDescent="0.25">
      <c r="X1384" s="24"/>
      <c r="AB1384" s="27"/>
    </row>
    <row r="1385" spans="24:28" x14ac:dyDescent="0.25">
      <c r="X1385" s="24"/>
      <c r="AB1385" s="27"/>
    </row>
    <row r="1386" spans="24:28" x14ac:dyDescent="0.25">
      <c r="X1386" s="24"/>
      <c r="AB1386" s="27"/>
    </row>
    <row r="1387" spans="24:28" x14ac:dyDescent="0.25">
      <c r="X1387" s="24"/>
      <c r="AB1387" s="27"/>
    </row>
    <row r="1388" spans="24:28" x14ac:dyDescent="0.25">
      <c r="X1388" s="24"/>
      <c r="AB1388" s="27"/>
    </row>
    <row r="1389" spans="24:28" x14ac:dyDescent="0.25">
      <c r="X1389" s="24"/>
      <c r="AB1389" s="27"/>
    </row>
    <row r="1390" spans="24:28" x14ac:dyDescent="0.25">
      <c r="X1390" s="24"/>
      <c r="AB1390" s="27"/>
    </row>
    <row r="1391" spans="24:28" x14ac:dyDescent="0.25">
      <c r="X1391" s="24"/>
      <c r="AB1391" s="27"/>
    </row>
    <row r="1392" spans="24:28" x14ac:dyDescent="0.25">
      <c r="X1392" s="24"/>
      <c r="AB1392" s="27"/>
    </row>
    <row r="1393" spans="24:28" x14ac:dyDescent="0.25">
      <c r="X1393" s="24"/>
      <c r="AB1393" s="27"/>
    </row>
    <row r="1394" spans="24:28" x14ac:dyDescent="0.25">
      <c r="X1394" s="24"/>
      <c r="AB1394" s="27"/>
    </row>
    <row r="1395" spans="24:28" x14ac:dyDescent="0.25">
      <c r="X1395" s="24"/>
      <c r="AB1395" s="27"/>
    </row>
    <row r="1396" spans="24:28" x14ac:dyDescent="0.25">
      <c r="X1396" s="24"/>
      <c r="AB1396" s="27"/>
    </row>
    <row r="1397" spans="24:28" x14ac:dyDescent="0.25">
      <c r="X1397" s="24"/>
      <c r="AB1397" s="27"/>
    </row>
    <row r="1398" spans="24:28" x14ac:dyDescent="0.25">
      <c r="X1398" s="24"/>
      <c r="AB1398" s="27"/>
    </row>
    <row r="1399" spans="24:28" x14ac:dyDescent="0.25">
      <c r="X1399" s="24"/>
      <c r="AB1399" s="27"/>
    </row>
    <row r="1400" spans="24:28" x14ac:dyDescent="0.25">
      <c r="X1400" s="24"/>
      <c r="AB1400" s="27"/>
    </row>
    <row r="1401" spans="24:28" x14ac:dyDescent="0.25">
      <c r="X1401" s="24"/>
      <c r="AB1401" s="27"/>
    </row>
    <row r="1402" spans="24:28" x14ac:dyDescent="0.25">
      <c r="X1402" s="24"/>
      <c r="AB1402" s="27"/>
    </row>
    <row r="1403" spans="24:28" x14ac:dyDescent="0.25">
      <c r="X1403" s="24"/>
      <c r="AB1403" s="27"/>
    </row>
    <row r="1404" spans="24:28" x14ac:dyDescent="0.25">
      <c r="X1404" s="24"/>
      <c r="AB1404" s="27"/>
    </row>
    <row r="1405" spans="24:28" x14ac:dyDescent="0.25">
      <c r="X1405" s="24"/>
      <c r="AB1405" s="27"/>
    </row>
    <row r="1406" spans="24:28" x14ac:dyDescent="0.25">
      <c r="X1406" s="24"/>
      <c r="AB1406" s="27"/>
    </row>
    <row r="1407" spans="24:28" x14ac:dyDescent="0.25">
      <c r="X1407" s="24"/>
      <c r="AB1407" s="27"/>
    </row>
    <row r="1408" spans="24:28" x14ac:dyDescent="0.25">
      <c r="X1408" s="24"/>
      <c r="AB1408" s="27"/>
    </row>
    <row r="1409" spans="24:28" x14ac:dyDescent="0.25">
      <c r="X1409" s="24"/>
      <c r="AB1409" s="27"/>
    </row>
    <row r="1410" spans="24:28" x14ac:dyDescent="0.25">
      <c r="X1410" s="24"/>
      <c r="AB1410" s="27"/>
    </row>
    <row r="1411" spans="24:28" x14ac:dyDescent="0.25">
      <c r="X1411" s="24"/>
      <c r="AB1411" s="27"/>
    </row>
    <row r="1412" spans="24:28" x14ac:dyDescent="0.25">
      <c r="X1412" s="24"/>
      <c r="AB1412" s="27"/>
    </row>
    <row r="1413" spans="24:28" x14ac:dyDescent="0.25">
      <c r="X1413" s="24"/>
      <c r="AB1413" s="27"/>
    </row>
    <row r="1414" spans="24:28" x14ac:dyDescent="0.25">
      <c r="X1414" s="24"/>
      <c r="AB1414" s="27"/>
    </row>
    <row r="1415" spans="24:28" x14ac:dyDescent="0.25">
      <c r="X1415" s="24"/>
      <c r="AB1415" s="27"/>
    </row>
    <row r="1416" spans="24:28" x14ac:dyDescent="0.25">
      <c r="X1416" s="24"/>
      <c r="AB1416" s="27"/>
    </row>
    <row r="1417" spans="24:28" x14ac:dyDescent="0.25">
      <c r="X1417" s="24"/>
      <c r="AB1417" s="27"/>
    </row>
    <row r="1418" spans="24:28" x14ac:dyDescent="0.25">
      <c r="X1418" s="24"/>
      <c r="AB1418" s="27"/>
    </row>
    <row r="1419" spans="24:28" x14ac:dyDescent="0.25">
      <c r="X1419" s="24"/>
      <c r="AB1419" s="27"/>
    </row>
    <row r="1420" spans="24:28" x14ac:dyDescent="0.25">
      <c r="X1420" s="24"/>
      <c r="AB1420" s="27"/>
    </row>
    <row r="1421" spans="24:28" x14ac:dyDescent="0.25">
      <c r="X1421" s="24"/>
      <c r="AB1421" s="27"/>
    </row>
    <row r="1422" spans="24:28" x14ac:dyDescent="0.25">
      <c r="X1422" s="24"/>
      <c r="AB1422" s="27"/>
    </row>
    <row r="1423" spans="24:28" x14ac:dyDescent="0.25">
      <c r="X1423" s="24"/>
      <c r="AB1423" s="27"/>
    </row>
    <row r="1424" spans="24:28" x14ac:dyDescent="0.25">
      <c r="X1424" s="24"/>
      <c r="AB1424" s="27"/>
    </row>
    <row r="1425" spans="24:28" x14ac:dyDescent="0.25">
      <c r="X1425" s="24"/>
      <c r="AB1425" s="27"/>
    </row>
    <row r="1426" spans="24:28" x14ac:dyDescent="0.25">
      <c r="X1426" s="24"/>
      <c r="AB1426" s="27"/>
    </row>
    <row r="1427" spans="24:28" x14ac:dyDescent="0.25">
      <c r="X1427" s="24"/>
      <c r="AB1427" s="27"/>
    </row>
    <row r="1428" spans="24:28" x14ac:dyDescent="0.25">
      <c r="X1428" s="24"/>
      <c r="AB1428" s="27"/>
    </row>
    <row r="1429" spans="24:28" x14ac:dyDescent="0.25">
      <c r="X1429" s="24"/>
      <c r="AB1429" s="27"/>
    </row>
    <row r="1430" spans="24:28" x14ac:dyDescent="0.25">
      <c r="X1430" s="24"/>
      <c r="AB1430" s="27"/>
    </row>
    <row r="1431" spans="24:28" x14ac:dyDescent="0.25">
      <c r="X1431" s="24"/>
      <c r="AB1431" s="27"/>
    </row>
    <row r="1432" spans="24:28" x14ac:dyDescent="0.25">
      <c r="X1432" s="24"/>
      <c r="AB1432" s="27"/>
    </row>
    <row r="1433" spans="24:28" x14ac:dyDescent="0.25">
      <c r="X1433" s="24"/>
      <c r="AB1433" s="27"/>
    </row>
    <row r="1434" spans="24:28" x14ac:dyDescent="0.25">
      <c r="X1434" s="24"/>
      <c r="AB1434" s="27"/>
    </row>
    <row r="1435" spans="24:28" x14ac:dyDescent="0.25">
      <c r="X1435" s="24"/>
      <c r="AB1435" s="27"/>
    </row>
    <row r="1436" spans="24:28" x14ac:dyDescent="0.25">
      <c r="X1436" s="24"/>
      <c r="AB1436" s="27"/>
    </row>
    <row r="1437" spans="24:28" x14ac:dyDescent="0.25">
      <c r="X1437" s="24"/>
      <c r="AB1437" s="27"/>
    </row>
    <row r="1438" spans="24:28" x14ac:dyDescent="0.25">
      <c r="X1438" s="24"/>
      <c r="AB1438" s="27"/>
    </row>
    <row r="1439" spans="24:28" x14ac:dyDescent="0.25">
      <c r="X1439" s="24"/>
      <c r="AB1439" s="27"/>
    </row>
    <row r="1440" spans="24:28" x14ac:dyDescent="0.25">
      <c r="X1440" s="24"/>
      <c r="AB1440" s="27"/>
    </row>
    <row r="1441" spans="24:28" x14ac:dyDescent="0.25">
      <c r="X1441" s="24"/>
      <c r="AB1441" s="27"/>
    </row>
    <row r="1442" spans="24:28" x14ac:dyDescent="0.25">
      <c r="X1442" s="24"/>
      <c r="AB1442" s="27"/>
    </row>
    <row r="1443" spans="24:28" x14ac:dyDescent="0.25">
      <c r="X1443" s="24"/>
      <c r="AB1443" s="27"/>
    </row>
    <row r="1444" spans="24:28" x14ac:dyDescent="0.25">
      <c r="X1444" s="24"/>
      <c r="AB1444" s="27"/>
    </row>
    <row r="1445" spans="24:28" x14ac:dyDescent="0.25">
      <c r="X1445" s="24"/>
      <c r="AB1445" s="27"/>
    </row>
    <row r="1446" spans="24:28" x14ac:dyDescent="0.25">
      <c r="X1446" s="24"/>
      <c r="AB1446" s="27"/>
    </row>
    <row r="1447" spans="24:28" x14ac:dyDescent="0.25">
      <c r="X1447" s="24"/>
      <c r="AB1447" s="27"/>
    </row>
    <row r="1448" spans="24:28" x14ac:dyDescent="0.25">
      <c r="X1448" s="24"/>
      <c r="AB1448" s="27"/>
    </row>
    <row r="1449" spans="24:28" x14ac:dyDescent="0.25">
      <c r="X1449" s="24"/>
      <c r="AB1449" s="27"/>
    </row>
    <row r="1450" spans="24:28" x14ac:dyDescent="0.25">
      <c r="X1450" s="24"/>
      <c r="AB1450" s="27"/>
    </row>
    <row r="1451" spans="24:28" x14ac:dyDescent="0.25">
      <c r="X1451" s="24"/>
      <c r="AB1451" s="27"/>
    </row>
    <row r="1452" spans="24:28" x14ac:dyDescent="0.25">
      <c r="X1452" s="24"/>
      <c r="AB1452" s="27"/>
    </row>
    <row r="1453" spans="24:28" x14ac:dyDescent="0.25">
      <c r="X1453" s="24"/>
      <c r="AB1453" s="27"/>
    </row>
    <row r="1454" spans="24:28" x14ac:dyDescent="0.25">
      <c r="X1454" s="24"/>
      <c r="AB1454" s="27"/>
    </row>
    <row r="1455" spans="24:28" x14ac:dyDescent="0.25">
      <c r="X1455" s="24"/>
      <c r="AB1455" s="27"/>
    </row>
    <row r="1456" spans="24:28" x14ac:dyDescent="0.25">
      <c r="X1456" s="24"/>
      <c r="AB1456" s="27"/>
    </row>
    <row r="1457" spans="24:28" x14ac:dyDescent="0.25">
      <c r="X1457" s="24"/>
      <c r="AB1457" s="27"/>
    </row>
    <row r="1458" spans="24:28" x14ac:dyDescent="0.25">
      <c r="X1458" s="24"/>
      <c r="AB1458" s="27"/>
    </row>
    <row r="1459" spans="24:28" x14ac:dyDescent="0.25">
      <c r="X1459" s="24"/>
      <c r="AB1459" s="27"/>
    </row>
    <row r="1460" spans="24:28" x14ac:dyDescent="0.25">
      <c r="X1460" s="24"/>
      <c r="AB1460" s="27"/>
    </row>
    <row r="1461" spans="24:28" x14ac:dyDescent="0.25">
      <c r="X1461" s="24"/>
      <c r="AB1461" s="27"/>
    </row>
    <row r="1462" spans="24:28" x14ac:dyDescent="0.25">
      <c r="X1462" s="24"/>
      <c r="AB1462" s="27"/>
    </row>
    <row r="1463" spans="24:28" x14ac:dyDescent="0.25">
      <c r="X1463" s="24"/>
      <c r="AB1463" s="27"/>
    </row>
    <row r="1464" spans="24:28" x14ac:dyDescent="0.25">
      <c r="X1464" s="24"/>
      <c r="AB1464" s="27"/>
    </row>
    <row r="1465" spans="24:28" x14ac:dyDescent="0.25">
      <c r="X1465" s="24"/>
      <c r="AB1465" s="27"/>
    </row>
    <row r="1466" spans="24:28" x14ac:dyDescent="0.25">
      <c r="X1466" s="24"/>
      <c r="AB1466" s="27"/>
    </row>
    <row r="1467" spans="24:28" x14ac:dyDescent="0.25">
      <c r="X1467" s="24"/>
      <c r="AB1467" s="27"/>
    </row>
    <row r="1468" spans="24:28" x14ac:dyDescent="0.25">
      <c r="X1468" s="24"/>
      <c r="AB1468" s="27"/>
    </row>
    <row r="1469" spans="24:28" x14ac:dyDescent="0.25">
      <c r="X1469" s="24"/>
      <c r="AB1469" s="27"/>
    </row>
    <row r="1470" spans="24:28" x14ac:dyDescent="0.25">
      <c r="X1470" s="24"/>
      <c r="AB1470" s="27"/>
    </row>
    <row r="1471" spans="24:28" x14ac:dyDescent="0.25">
      <c r="X1471" s="24"/>
      <c r="AB1471" s="27"/>
    </row>
    <row r="1472" spans="24:28" x14ac:dyDescent="0.25">
      <c r="X1472" s="24"/>
      <c r="AB1472" s="27"/>
    </row>
    <row r="1473" spans="24:28" x14ac:dyDescent="0.25">
      <c r="X1473" s="24"/>
      <c r="AB1473" s="27"/>
    </row>
    <row r="1474" spans="24:28" x14ac:dyDescent="0.25">
      <c r="X1474" s="24"/>
      <c r="AB1474" s="27"/>
    </row>
    <row r="1475" spans="24:28" x14ac:dyDescent="0.25">
      <c r="X1475" s="24"/>
      <c r="AB1475" s="27"/>
    </row>
    <row r="1476" spans="24:28" x14ac:dyDescent="0.25">
      <c r="X1476" s="24"/>
      <c r="AB1476" s="27"/>
    </row>
    <row r="1477" spans="24:28" x14ac:dyDescent="0.25">
      <c r="X1477" s="24"/>
      <c r="AB1477" s="27"/>
    </row>
    <row r="1478" spans="24:28" x14ac:dyDescent="0.25">
      <c r="X1478" s="24"/>
      <c r="AB1478" s="27"/>
    </row>
    <row r="1479" spans="24:28" x14ac:dyDescent="0.25">
      <c r="X1479" s="24"/>
      <c r="AB1479" s="27"/>
    </row>
    <row r="1480" spans="24:28" x14ac:dyDescent="0.25">
      <c r="X1480" s="24"/>
      <c r="AB1480" s="27"/>
    </row>
    <row r="1481" spans="24:28" x14ac:dyDescent="0.25">
      <c r="X1481" s="24"/>
      <c r="AB1481" s="27"/>
    </row>
    <row r="1482" spans="24:28" x14ac:dyDescent="0.25">
      <c r="X1482" s="24"/>
      <c r="AB1482" s="27"/>
    </row>
    <row r="1483" spans="24:28" x14ac:dyDescent="0.25">
      <c r="X1483" s="24"/>
      <c r="AB1483" s="27"/>
    </row>
    <row r="1484" spans="24:28" x14ac:dyDescent="0.25">
      <c r="X1484" s="24"/>
      <c r="AB1484" s="27"/>
    </row>
    <row r="1485" spans="24:28" x14ac:dyDescent="0.25">
      <c r="X1485" s="24"/>
      <c r="AB1485" s="27"/>
    </row>
    <row r="1486" spans="24:28" x14ac:dyDescent="0.25">
      <c r="X1486" s="24"/>
      <c r="AB1486" s="27"/>
    </row>
    <row r="1487" spans="24:28" x14ac:dyDescent="0.25">
      <c r="X1487" s="24"/>
      <c r="AB1487" s="27"/>
    </row>
    <row r="1488" spans="24:28" x14ac:dyDescent="0.25">
      <c r="X1488" s="24"/>
      <c r="AB1488" s="27"/>
    </row>
    <row r="1489" spans="24:28" x14ac:dyDescent="0.25">
      <c r="X1489" s="24"/>
      <c r="AB1489" s="27"/>
    </row>
    <row r="1490" spans="24:28" x14ac:dyDescent="0.25">
      <c r="X1490" s="24"/>
      <c r="AB1490" s="27"/>
    </row>
    <row r="1491" spans="24:28" x14ac:dyDescent="0.25">
      <c r="X1491" s="24"/>
      <c r="AB1491" s="27"/>
    </row>
    <row r="1492" spans="24:28" x14ac:dyDescent="0.25">
      <c r="X1492" s="24"/>
      <c r="AB1492" s="27"/>
    </row>
    <row r="1493" spans="24:28" x14ac:dyDescent="0.25">
      <c r="X1493" s="24"/>
      <c r="AB1493" s="27"/>
    </row>
    <row r="1494" spans="24:28" x14ac:dyDescent="0.25">
      <c r="X1494" s="24"/>
      <c r="AB1494" s="27"/>
    </row>
    <row r="1495" spans="24:28" x14ac:dyDescent="0.25">
      <c r="X1495" s="24"/>
      <c r="AB1495" s="27"/>
    </row>
    <row r="1496" spans="24:28" x14ac:dyDescent="0.25">
      <c r="X1496" s="24"/>
      <c r="AB1496" s="27"/>
    </row>
    <row r="1497" spans="24:28" x14ac:dyDescent="0.25">
      <c r="X1497" s="24"/>
      <c r="AB1497" s="27"/>
    </row>
    <row r="1498" spans="24:28" x14ac:dyDescent="0.25">
      <c r="X1498" s="24"/>
      <c r="AB1498" s="27"/>
    </row>
    <row r="1499" spans="24:28" x14ac:dyDescent="0.25">
      <c r="X1499" s="24"/>
      <c r="AB1499" s="27"/>
    </row>
    <row r="1500" spans="24:28" x14ac:dyDescent="0.25">
      <c r="X1500" s="24"/>
      <c r="AB1500" s="27"/>
    </row>
    <row r="1501" spans="24:28" x14ac:dyDescent="0.25">
      <c r="X1501" s="24"/>
      <c r="AB1501" s="27"/>
    </row>
    <row r="1502" spans="24:28" x14ac:dyDescent="0.25">
      <c r="X1502" s="24"/>
      <c r="AB1502" s="27"/>
    </row>
    <row r="1503" spans="24:28" x14ac:dyDescent="0.25">
      <c r="X1503" s="24"/>
      <c r="AB1503" s="27"/>
    </row>
    <row r="1504" spans="24:28" x14ac:dyDescent="0.25">
      <c r="X1504" s="24"/>
      <c r="AB1504" s="27"/>
    </row>
    <row r="1505" spans="24:28" x14ac:dyDescent="0.25">
      <c r="X1505" s="24"/>
      <c r="AB1505" s="27"/>
    </row>
    <row r="1506" spans="24:28" x14ac:dyDescent="0.25">
      <c r="X1506" s="24"/>
      <c r="AB1506" s="27"/>
    </row>
    <row r="1507" spans="24:28" x14ac:dyDescent="0.25">
      <c r="X1507" s="24"/>
      <c r="AB1507" s="27"/>
    </row>
    <row r="1508" spans="24:28" x14ac:dyDescent="0.25">
      <c r="X1508" s="24"/>
      <c r="AB1508" s="27"/>
    </row>
    <row r="1509" spans="24:28" x14ac:dyDescent="0.25">
      <c r="X1509" s="24"/>
      <c r="AB1509" s="27"/>
    </row>
    <row r="1510" spans="24:28" x14ac:dyDescent="0.25">
      <c r="X1510" s="24"/>
      <c r="AB1510" s="27"/>
    </row>
    <row r="1511" spans="24:28" x14ac:dyDescent="0.25">
      <c r="X1511" s="24"/>
      <c r="AB1511" s="27"/>
    </row>
    <row r="1512" spans="24:28" x14ac:dyDescent="0.25">
      <c r="X1512" s="24"/>
      <c r="AB1512" s="27"/>
    </row>
    <row r="1513" spans="24:28" x14ac:dyDescent="0.25">
      <c r="X1513" s="24"/>
      <c r="AB1513" s="27"/>
    </row>
    <row r="1514" spans="24:28" x14ac:dyDescent="0.25">
      <c r="X1514" s="24"/>
      <c r="AB1514" s="27"/>
    </row>
    <row r="1515" spans="24:28" x14ac:dyDescent="0.25">
      <c r="X1515" s="24"/>
      <c r="AB1515" s="27"/>
    </row>
    <row r="1516" spans="24:28" x14ac:dyDescent="0.25">
      <c r="X1516" s="24"/>
      <c r="AB1516" s="27"/>
    </row>
    <row r="1517" spans="24:28" x14ac:dyDescent="0.25">
      <c r="X1517" s="24"/>
      <c r="AB1517" s="27"/>
    </row>
    <row r="1518" spans="24:28" x14ac:dyDescent="0.25">
      <c r="X1518" s="24"/>
      <c r="AB1518" s="27"/>
    </row>
    <row r="1519" spans="24:28" x14ac:dyDescent="0.25">
      <c r="X1519" s="24"/>
      <c r="AB1519" s="27"/>
    </row>
    <row r="1520" spans="24:28" x14ac:dyDescent="0.25">
      <c r="X1520" s="24"/>
      <c r="AB1520" s="27"/>
    </row>
    <row r="1521" spans="24:28" x14ac:dyDescent="0.25">
      <c r="X1521" s="24"/>
      <c r="AB1521" s="27"/>
    </row>
    <row r="1522" spans="24:28" x14ac:dyDescent="0.25">
      <c r="X1522" s="24"/>
      <c r="AB1522" s="27"/>
    </row>
    <row r="1523" spans="24:28" x14ac:dyDescent="0.25">
      <c r="X1523" s="24"/>
      <c r="AB1523" s="27"/>
    </row>
    <row r="1524" spans="24:28" x14ac:dyDescent="0.25">
      <c r="X1524" s="24"/>
      <c r="AB1524" s="27"/>
    </row>
    <row r="1525" spans="24:28" x14ac:dyDescent="0.25">
      <c r="X1525" s="24"/>
      <c r="AB1525" s="27"/>
    </row>
    <row r="1526" spans="24:28" x14ac:dyDescent="0.25">
      <c r="X1526" s="24"/>
      <c r="AB1526" s="27"/>
    </row>
    <row r="1527" spans="24:28" x14ac:dyDescent="0.25">
      <c r="X1527" s="24"/>
      <c r="AB1527" s="27"/>
    </row>
    <row r="1528" spans="24:28" x14ac:dyDescent="0.25">
      <c r="X1528" s="24"/>
      <c r="AB1528" s="27"/>
    </row>
    <row r="1529" spans="24:28" x14ac:dyDescent="0.25">
      <c r="X1529" s="24"/>
      <c r="AB1529" s="27"/>
    </row>
    <row r="1530" spans="24:28" x14ac:dyDescent="0.25">
      <c r="X1530" s="24"/>
      <c r="AB1530" s="27"/>
    </row>
    <row r="1531" spans="24:28" x14ac:dyDescent="0.25">
      <c r="X1531" s="24"/>
      <c r="AB1531" s="27"/>
    </row>
    <row r="1532" spans="24:28" x14ac:dyDescent="0.25">
      <c r="X1532" s="24"/>
      <c r="AB1532" s="27"/>
    </row>
    <row r="1533" spans="24:28" x14ac:dyDescent="0.25">
      <c r="X1533" s="24"/>
      <c r="AB1533" s="27"/>
    </row>
    <row r="1534" spans="24:28" x14ac:dyDescent="0.25">
      <c r="X1534" s="24"/>
      <c r="AB1534" s="27"/>
    </row>
    <row r="1535" spans="24:28" x14ac:dyDescent="0.25">
      <c r="X1535" s="24"/>
      <c r="AB1535" s="27"/>
    </row>
    <row r="1536" spans="24:28" x14ac:dyDescent="0.25">
      <c r="X1536" s="24"/>
      <c r="AB1536" s="27"/>
    </row>
    <row r="1537" spans="24:28" x14ac:dyDescent="0.25">
      <c r="X1537" s="24"/>
      <c r="AB1537" s="27"/>
    </row>
    <row r="1538" spans="24:28" x14ac:dyDescent="0.25">
      <c r="X1538" s="24"/>
      <c r="AB1538" s="27"/>
    </row>
    <row r="1539" spans="24:28" x14ac:dyDescent="0.25">
      <c r="X1539" s="24"/>
      <c r="AB1539" s="27"/>
    </row>
    <row r="1540" spans="24:28" x14ac:dyDescent="0.25">
      <c r="X1540" s="24"/>
      <c r="AB1540" s="27"/>
    </row>
    <row r="1541" spans="24:28" x14ac:dyDescent="0.25">
      <c r="X1541" s="24"/>
      <c r="AB1541" s="27"/>
    </row>
    <row r="1542" spans="24:28" x14ac:dyDescent="0.25">
      <c r="X1542" s="24"/>
      <c r="AB1542" s="27"/>
    </row>
    <row r="1543" spans="24:28" x14ac:dyDescent="0.25">
      <c r="X1543" s="24"/>
      <c r="AB1543" s="27"/>
    </row>
    <row r="1544" spans="24:28" x14ac:dyDescent="0.25">
      <c r="X1544" s="24"/>
      <c r="AB1544" s="27"/>
    </row>
    <row r="1545" spans="24:28" x14ac:dyDescent="0.25">
      <c r="X1545" s="24"/>
      <c r="AB1545" s="27"/>
    </row>
    <row r="1546" spans="24:28" x14ac:dyDescent="0.25">
      <c r="X1546" s="24"/>
      <c r="AB1546" s="27"/>
    </row>
    <row r="1547" spans="24:28" x14ac:dyDescent="0.25">
      <c r="X1547" s="24"/>
      <c r="AB1547" s="27"/>
    </row>
    <row r="1548" spans="24:28" x14ac:dyDescent="0.25">
      <c r="X1548" s="24"/>
      <c r="AB1548" s="27"/>
    </row>
    <row r="1549" spans="24:28" x14ac:dyDescent="0.25">
      <c r="X1549" s="24"/>
      <c r="AB1549" s="27"/>
    </row>
    <row r="1550" spans="24:28" x14ac:dyDescent="0.25">
      <c r="X1550" s="24"/>
      <c r="AB1550" s="27"/>
    </row>
    <row r="1551" spans="24:28" x14ac:dyDescent="0.25">
      <c r="X1551" s="24"/>
      <c r="AB1551" s="27"/>
    </row>
    <row r="1552" spans="24:28" x14ac:dyDescent="0.25">
      <c r="X1552" s="24"/>
      <c r="AB1552" s="27"/>
    </row>
    <row r="1553" spans="24:28" x14ac:dyDescent="0.25">
      <c r="X1553" s="24"/>
      <c r="AB1553" s="27"/>
    </row>
    <row r="1554" spans="24:28" x14ac:dyDescent="0.25">
      <c r="X1554" s="24"/>
      <c r="AB1554" s="27"/>
    </row>
    <row r="1555" spans="24:28" x14ac:dyDescent="0.25">
      <c r="X1555" s="24"/>
      <c r="AB1555" s="27"/>
    </row>
    <row r="1556" spans="24:28" x14ac:dyDescent="0.25">
      <c r="X1556" s="24"/>
      <c r="AB1556" s="27"/>
    </row>
    <row r="1557" spans="24:28" x14ac:dyDescent="0.25">
      <c r="X1557" s="24"/>
      <c r="AB1557" s="27"/>
    </row>
    <row r="1558" spans="24:28" x14ac:dyDescent="0.25">
      <c r="X1558" s="24"/>
      <c r="AB1558" s="27"/>
    </row>
    <row r="1559" spans="24:28" x14ac:dyDescent="0.25">
      <c r="X1559" s="24"/>
      <c r="AB1559" s="27"/>
    </row>
    <row r="1560" spans="24:28" x14ac:dyDescent="0.25">
      <c r="X1560" s="24"/>
      <c r="AB1560" s="27"/>
    </row>
    <row r="1561" spans="24:28" x14ac:dyDescent="0.25">
      <c r="X1561" s="24"/>
      <c r="AB1561" s="27"/>
    </row>
    <row r="1562" spans="24:28" x14ac:dyDescent="0.25">
      <c r="X1562" s="24"/>
      <c r="AB1562" s="27"/>
    </row>
    <row r="1563" spans="24:28" x14ac:dyDescent="0.25">
      <c r="X1563" s="24"/>
      <c r="AB1563" s="27"/>
    </row>
    <row r="1564" spans="24:28" x14ac:dyDescent="0.25">
      <c r="X1564" s="24"/>
      <c r="AB1564" s="27"/>
    </row>
    <row r="1565" spans="24:28" x14ac:dyDescent="0.25">
      <c r="X1565" s="24"/>
      <c r="AB1565" s="27"/>
    </row>
    <row r="1566" spans="24:28" x14ac:dyDescent="0.25">
      <c r="X1566" s="24"/>
      <c r="AB1566" s="27"/>
    </row>
    <row r="1567" spans="24:28" x14ac:dyDescent="0.25">
      <c r="X1567" s="24"/>
      <c r="AB1567" s="27"/>
    </row>
    <row r="1568" spans="24:28" x14ac:dyDescent="0.25">
      <c r="X1568" s="24"/>
      <c r="AB1568" s="27"/>
    </row>
    <row r="1569" spans="24:28" x14ac:dyDescent="0.25">
      <c r="X1569" s="24"/>
      <c r="AB1569" s="27"/>
    </row>
    <row r="1570" spans="24:28" x14ac:dyDescent="0.25">
      <c r="X1570" s="24"/>
      <c r="AB1570" s="27"/>
    </row>
    <row r="1571" spans="24:28" x14ac:dyDescent="0.25">
      <c r="X1571" s="24"/>
      <c r="AB1571" s="27"/>
    </row>
    <row r="1572" spans="24:28" x14ac:dyDescent="0.25">
      <c r="X1572" s="24"/>
      <c r="AB1572" s="27"/>
    </row>
    <row r="1573" spans="24:28" x14ac:dyDescent="0.25">
      <c r="X1573" s="24"/>
      <c r="AB1573" s="27"/>
    </row>
    <row r="1574" spans="24:28" x14ac:dyDescent="0.25">
      <c r="X1574" s="24"/>
      <c r="AB1574" s="27"/>
    </row>
    <row r="1575" spans="24:28" x14ac:dyDescent="0.25">
      <c r="X1575" s="24"/>
      <c r="AB1575" s="27"/>
    </row>
    <row r="1576" spans="24:28" x14ac:dyDescent="0.25">
      <c r="X1576" s="24"/>
      <c r="AB1576" s="27"/>
    </row>
    <row r="1577" spans="24:28" x14ac:dyDescent="0.25">
      <c r="X1577" s="24"/>
      <c r="AB1577" s="27"/>
    </row>
    <row r="1578" spans="24:28" x14ac:dyDescent="0.25">
      <c r="X1578" s="24"/>
      <c r="AB1578" s="27"/>
    </row>
    <row r="1579" spans="24:28" x14ac:dyDescent="0.25">
      <c r="X1579" s="24"/>
      <c r="AB1579" s="27"/>
    </row>
    <row r="1580" spans="24:28" x14ac:dyDescent="0.25">
      <c r="X1580" s="24"/>
      <c r="AB1580" s="27"/>
    </row>
    <row r="1581" spans="24:28" x14ac:dyDescent="0.25">
      <c r="X1581" s="24"/>
      <c r="AB1581" s="27"/>
    </row>
    <row r="1582" spans="24:28" x14ac:dyDescent="0.25">
      <c r="X1582" s="24"/>
      <c r="AB1582" s="27"/>
    </row>
    <row r="1583" spans="24:28" x14ac:dyDescent="0.25">
      <c r="X1583" s="24"/>
      <c r="AB1583" s="27"/>
    </row>
    <row r="1584" spans="24:28" x14ac:dyDescent="0.25">
      <c r="X1584" s="24"/>
      <c r="AB1584" s="27"/>
    </row>
    <row r="1585" spans="24:28" x14ac:dyDescent="0.25">
      <c r="X1585" s="24"/>
      <c r="AB1585" s="27"/>
    </row>
    <row r="1586" spans="24:28" x14ac:dyDescent="0.25">
      <c r="X1586" s="24"/>
      <c r="AB1586" s="27"/>
    </row>
    <row r="1587" spans="24:28" x14ac:dyDescent="0.25">
      <c r="X1587" s="24"/>
      <c r="AB1587" s="27"/>
    </row>
    <row r="1588" spans="24:28" x14ac:dyDescent="0.25">
      <c r="X1588" s="24"/>
      <c r="AB1588" s="27"/>
    </row>
    <row r="1589" spans="24:28" x14ac:dyDescent="0.25">
      <c r="X1589" s="24"/>
      <c r="AB1589" s="27"/>
    </row>
    <row r="1590" spans="24:28" x14ac:dyDescent="0.25">
      <c r="X1590" s="24"/>
      <c r="AB1590" s="27"/>
    </row>
    <row r="1591" spans="24:28" x14ac:dyDescent="0.25">
      <c r="X1591" s="24"/>
      <c r="AB1591" s="27"/>
    </row>
    <row r="1592" spans="24:28" x14ac:dyDescent="0.25">
      <c r="X1592" s="24"/>
      <c r="AB1592" s="27"/>
    </row>
    <row r="1593" spans="24:28" x14ac:dyDescent="0.25">
      <c r="X1593" s="24"/>
      <c r="AB1593" s="27"/>
    </row>
    <row r="1594" spans="24:28" x14ac:dyDescent="0.25">
      <c r="X1594" s="24"/>
      <c r="AB1594" s="27"/>
    </row>
    <row r="1595" spans="24:28" x14ac:dyDescent="0.25">
      <c r="X1595" s="24"/>
      <c r="AB1595" s="27"/>
    </row>
    <row r="1596" spans="24:28" x14ac:dyDescent="0.25">
      <c r="X1596" s="24"/>
      <c r="AB1596" s="27"/>
    </row>
    <row r="1597" spans="24:28" x14ac:dyDescent="0.25">
      <c r="X1597" s="24"/>
      <c r="AB1597" s="27"/>
    </row>
    <row r="1598" spans="24:28" x14ac:dyDescent="0.25">
      <c r="X1598" s="24"/>
      <c r="AB1598" s="27"/>
    </row>
    <row r="1599" spans="24:28" x14ac:dyDescent="0.25">
      <c r="X1599" s="24"/>
      <c r="AB1599" s="27"/>
    </row>
    <row r="1600" spans="24:28" x14ac:dyDescent="0.25">
      <c r="X1600" s="24"/>
      <c r="AB1600" s="27"/>
    </row>
    <row r="1601" spans="24:28" x14ac:dyDescent="0.25">
      <c r="X1601" s="24"/>
      <c r="AB1601" s="27"/>
    </row>
    <row r="1602" spans="24:28" x14ac:dyDescent="0.25">
      <c r="X1602" s="24"/>
      <c r="AB1602" s="27"/>
    </row>
    <row r="1603" spans="24:28" x14ac:dyDescent="0.25">
      <c r="X1603" s="24"/>
      <c r="AB1603" s="27"/>
    </row>
    <row r="1604" spans="24:28" x14ac:dyDescent="0.25">
      <c r="X1604" s="24"/>
      <c r="AB1604" s="27"/>
    </row>
    <row r="1605" spans="24:28" x14ac:dyDescent="0.25">
      <c r="X1605" s="24"/>
      <c r="AB1605" s="27"/>
    </row>
    <row r="1606" spans="24:28" x14ac:dyDescent="0.25">
      <c r="X1606" s="24"/>
      <c r="AB1606" s="27"/>
    </row>
    <row r="1607" spans="24:28" x14ac:dyDescent="0.25">
      <c r="X1607" s="24"/>
      <c r="AB1607" s="27"/>
    </row>
    <row r="1608" spans="24:28" x14ac:dyDescent="0.25">
      <c r="X1608" s="24"/>
      <c r="AB1608" s="27"/>
    </row>
    <row r="1609" spans="24:28" x14ac:dyDescent="0.25">
      <c r="X1609" s="24"/>
      <c r="AB1609" s="27"/>
    </row>
    <row r="1610" spans="24:28" x14ac:dyDescent="0.25">
      <c r="X1610" s="24"/>
      <c r="AB1610" s="27"/>
    </row>
    <row r="1611" spans="24:28" x14ac:dyDescent="0.25">
      <c r="X1611" s="24"/>
      <c r="AB1611" s="27"/>
    </row>
    <row r="1612" spans="24:28" x14ac:dyDescent="0.25">
      <c r="X1612" s="24"/>
      <c r="AB1612" s="27"/>
    </row>
    <row r="1613" spans="24:28" x14ac:dyDescent="0.25">
      <c r="X1613" s="24"/>
      <c r="AB1613" s="27"/>
    </row>
    <row r="1614" spans="24:28" x14ac:dyDescent="0.25">
      <c r="X1614" s="24"/>
      <c r="AB1614" s="27"/>
    </row>
    <row r="1615" spans="24:28" x14ac:dyDescent="0.25">
      <c r="X1615" s="24"/>
      <c r="AB1615" s="27"/>
    </row>
    <row r="1616" spans="24:28" x14ac:dyDescent="0.25">
      <c r="X1616" s="24"/>
      <c r="AB1616" s="27"/>
    </row>
    <row r="1617" spans="24:28" x14ac:dyDescent="0.25">
      <c r="X1617" s="24"/>
      <c r="AB1617" s="27"/>
    </row>
    <row r="1618" spans="24:28" x14ac:dyDescent="0.25">
      <c r="X1618" s="24"/>
      <c r="AB1618" s="27"/>
    </row>
    <row r="1619" spans="24:28" x14ac:dyDescent="0.25">
      <c r="X1619" s="24"/>
      <c r="AB1619" s="27"/>
    </row>
    <row r="1620" spans="24:28" x14ac:dyDescent="0.25">
      <c r="X1620" s="24"/>
      <c r="AB1620" s="27"/>
    </row>
    <row r="1621" spans="24:28" x14ac:dyDescent="0.25">
      <c r="X1621" s="24"/>
      <c r="AB1621" s="27"/>
    </row>
    <row r="1622" spans="24:28" x14ac:dyDescent="0.25">
      <c r="X1622" s="24"/>
      <c r="AB1622" s="27"/>
    </row>
    <row r="1623" spans="24:28" x14ac:dyDescent="0.25">
      <c r="X1623" s="24"/>
      <c r="AB1623" s="27"/>
    </row>
    <row r="1624" spans="24:28" x14ac:dyDescent="0.25">
      <c r="X1624" s="24"/>
      <c r="AB1624" s="27"/>
    </row>
    <row r="1625" spans="24:28" x14ac:dyDescent="0.25">
      <c r="X1625" s="24"/>
      <c r="AB1625" s="27"/>
    </row>
    <row r="1626" spans="24:28" x14ac:dyDescent="0.25">
      <c r="X1626" s="24"/>
      <c r="AB1626" s="27"/>
    </row>
    <row r="1627" spans="24:28" x14ac:dyDescent="0.25">
      <c r="X1627" s="24"/>
      <c r="AB1627" s="27"/>
    </row>
    <row r="1628" spans="24:28" x14ac:dyDescent="0.25">
      <c r="X1628" s="24"/>
      <c r="AB1628" s="27"/>
    </row>
    <row r="1629" spans="24:28" x14ac:dyDescent="0.25">
      <c r="X1629" s="24"/>
      <c r="AB1629" s="27"/>
    </row>
    <row r="1630" spans="24:28" x14ac:dyDescent="0.25">
      <c r="X1630" s="24"/>
      <c r="AB1630" s="27"/>
    </row>
    <row r="1631" spans="24:28" x14ac:dyDescent="0.25">
      <c r="X1631" s="24"/>
      <c r="AB1631" s="27"/>
    </row>
    <row r="1632" spans="24:28" x14ac:dyDescent="0.25">
      <c r="X1632" s="24"/>
      <c r="AB1632" s="27"/>
    </row>
    <row r="1633" spans="24:28" x14ac:dyDescent="0.25">
      <c r="X1633" s="24"/>
      <c r="AB1633" s="27"/>
    </row>
    <row r="1634" spans="24:28" x14ac:dyDescent="0.25">
      <c r="X1634" s="24"/>
      <c r="AB1634" s="27"/>
    </row>
    <row r="1635" spans="24:28" x14ac:dyDescent="0.25">
      <c r="X1635" s="24"/>
      <c r="AB1635" s="27"/>
    </row>
    <row r="1636" spans="24:28" x14ac:dyDescent="0.25">
      <c r="X1636" s="24"/>
      <c r="AB1636" s="27"/>
    </row>
    <row r="1637" spans="24:28" x14ac:dyDescent="0.25">
      <c r="X1637" s="24"/>
      <c r="AB1637" s="27"/>
    </row>
    <row r="1638" spans="24:28" x14ac:dyDescent="0.25">
      <c r="X1638" s="24"/>
      <c r="AB1638" s="27"/>
    </row>
    <row r="1639" spans="24:28" x14ac:dyDescent="0.25">
      <c r="X1639" s="24"/>
      <c r="AB1639" s="27"/>
    </row>
    <row r="1640" spans="24:28" x14ac:dyDescent="0.25">
      <c r="X1640" s="24"/>
      <c r="AB1640" s="27"/>
    </row>
    <row r="1641" spans="24:28" x14ac:dyDescent="0.25">
      <c r="X1641" s="24"/>
      <c r="AB1641" s="27"/>
    </row>
    <row r="1642" spans="24:28" x14ac:dyDescent="0.25">
      <c r="X1642" s="24"/>
      <c r="AB1642" s="27"/>
    </row>
    <row r="1643" spans="24:28" x14ac:dyDescent="0.25">
      <c r="X1643" s="24"/>
      <c r="AB1643" s="27"/>
    </row>
    <row r="1644" spans="24:28" x14ac:dyDescent="0.25">
      <c r="X1644" s="24"/>
      <c r="AB1644" s="27"/>
    </row>
    <row r="1645" spans="24:28" x14ac:dyDescent="0.25">
      <c r="X1645" s="24"/>
      <c r="AB1645" s="27"/>
    </row>
    <row r="1646" spans="24:28" x14ac:dyDescent="0.25">
      <c r="X1646" s="24"/>
      <c r="AB1646" s="27"/>
    </row>
    <row r="1647" spans="24:28" x14ac:dyDescent="0.25">
      <c r="X1647" s="24"/>
      <c r="AB1647" s="27"/>
    </row>
    <row r="1648" spans="24:28" x14ac:dyDescent="0.25">
      <c r="X1648" s="24"/>
      <c r="AB1648" s="27"/>
    </row>
    <row r="1649" spans="24:28" x14ac:dyDescent="0.25">
      <c r="X1649" s="24"/>
      <c r="AB1649" s="27"/>
    </row>
    <row r="1650" spans="24:28" x14ac:dyDescent="0.25">
      <c r="X1650" s="24"/>
      <c r="AB1650" s="27"/>
    </row>
    <row r="1651" spans="24:28" x14ac:dyDescent="0.25">
      <c r="X1651" s="24"/>
      <c r="AB1651" s="27"/>
    </row>
    <row r="1652" spans="24:28" x14ac:dyDescent="0.25">
      <c r="X1652" s="24"/>
      <c r="AB1652" s="27"/>
    </row>
    <row r="1653" spans="24:28" x14ac:dyDescent="0.25">
      <c r="X1653" s="24"/>
      <c r="AB1653" s="27"/>
    </row>
    <row r="1654" spans="24:28" x14ac:dyDescent="0.25">
      <c r="X1654" s="24"/>
      <c r="AB1654" s="27"/>
    </row>
    <row r="1655" spans="24:28" x14ac:dyDescent="0.25">
      <c r="X1655" s="24"/>
      <c r="AB1655" s="27"/>
    </row>
    <row r="1656" spans="24:28" x14ac:dyDescent="0.25">
      <c r="X1656" s="24"/>
      <c r="AB1656" s="27"/>
    </row>
    <row r="1657" spans="24:28" x14ac:dyDescent="0.25">
      <c r="X1657" s="24"/>
      <c r="AB1657" s="27"/>
    </row>
    <row r="1658" spans="24:28" x14ac:dyDescent="0.25">
      <c r="X1658" s="24"/>
      <c r="AB1658" s="27"/>
    </row>
    <row r="1659" spans="24:28" x14ac:dyDescent="0.25">
      <c r="X1659" s="24"/>
      <c r="AB1659" s="27"/>
    </row>
    <row r="1660" spans="24:28" x14ac:dyDescent="0.25">
      <c r="X1660" s="24"/>
      <c r="AB1660" s="27"/>
    </row>
    <row r="1661" spans="24:28" x14ac:dyDescent="0.25">
      <c r="X1661" s="24"/>
      <c r="AB1661" s="27"/>
    </row>
    <row r="1662" spans="24:28" x14ac:dyDescent="0.25">
      <c r="X1662" s="24"/>
      <c r="AB1662" s="27"/>
    </row>
    <row r="1663" spans="24:28" x14ac:dyDescent="0.25">
      <c r="X1663" s="24"/>
      <c r="AB1663" s="27"/>
    </row>
    <row r="1664" spans="24:28" x14ac:dyDescent="0.25">
      <c r="X1664" s="24"/>
      <c r="AB1664" s="27"/>
    </row>
    <row r="1665" spans="24:28" x14ac:dyDescent="0.25">
      <c r="X1665" s="24"/>
      <c r="AB1665" s="27"/>
    </row>
    <row r="1666" spans="24:28" x14ac:dyDescent="0.25">
      <c r="X1666" s="24"/>
      <c r="AB1666" s="27"/>
    </row>
    <row r="1667" spans="24:28" x14ac:dyDescent="0.25">
      <c r="X1667" s="24"/>
      <c r="AB1667" s="27"/>
    </row>
    <row r="1668" spans="24:28" x14ac:dyDescent="0.25">
      <c r="X1668" s="24"/>
      <c r="AB1668" s="27"/>
    </row>
    <row r="1669" spans="24:28" x14ac:dyDescent="0.25">
      <c r="X1669" s="24"/>
      <c r="AB1669" s="27"/>
    </row>
    <row r="1670" spans="24:28" x14ac:dyDescent="0.25">
      <c r="X1670" s="24"/>
      <c r="AB1670" s="27"/>
    </row>
    <row r="1671" spans="24:28" x14ac:dyDescent="0.25">
      <c r="X1671" s="24"/>
      <c r="AB1671" s="27"/>
    </row>
    <row r="1672" spans="24:28" x14ac:dyDescent="0.25">
      <c r="X1672" s="24"/>
      <c r="AB1672" s="27"/>
    </row>
    <row r="1673" spans="24:28" x14ac:dyDescent="0.25">
      <c r="X1673" s="24"/>
      <c r="AB1673" s="27"/>
    </row>
    <row r="1674" spans="24:28" x14ac:dyDescent="0.25">
      <c r="X1674" s="24"/>
      <c r="AB1674" s="27"/>
    </row>
    <row r="1675" spans="24:28" x14ac:dyDescent="0.25">
      <c r="X1675" s="24"/>
      <c r="AB1675" s="27"/>
    </row>
    <row r="1676" spans="24:28" x14ac:dyDescent="0.25">
      <c r="X1676" s="24"/>
      <c r="AB1676" s="27"/>
    </row>
    <row r="1677" spans="24:28" x14ac:dyDescent="0.25">
      <c r="X1677" s="24"/>
      <c r="AB1677" s="27"/>
    </row>
    <row r="1678" spans="24:28" x14ac:dyDescent="0.25">
      <c r="X1678" s="24"/>
      <c r="AB1678" s="27"/>
    </row>
    <row r="1679" spans="24:28" x14ac:dyDescent="0.25">
      <c r="X1679" s="24"/>
      <c r="AB1679" s="27"/>
    </row>
    <row r="1680" spans="24:28" x14ac:dyDescent="0.25">
      <c r="X1680" s="24"/>
      <c r="AB1680" s="27"/>
    </row>
    <row r="1681" spans="24:28" x14ac:dyDescent="0.25">
      <c r="X1681" s="24"/>
      <c r="AB1681" s="27"/>
    </row>
    <row r="1682" spans="24:28" x14ac:dyDescent="0.25">
      <c r="X1682" s="24"/>
      <c r="AB1682" s="27"/>
    </row>
    <row r="1683" spans="24:28" x14ac:dyDescent="0.25">
      <c r="X1683" s="24"/>
      <c r="AB1683" s="27"/>
    </row>
    <row r="1684" spans="24:28" x14ac:dyDescent="0.25">
      <c r="X1684" s="24"/>
      <c r="AB1684" s="27"/>
    </row>
    <row r="1685" spans="24:28" x14ac:dyDescent="0.25">
      <c r="X1685" s="24"/>
      <c r="AB1685" s="27"/>
    </row>
    <row r="1686" spans="24:28" x14ac:dyDescent="0.25">
      <c r="X1686" s="24"/>
      <c r="AB1686" s="27"/>
    </row>
    <row r="1687" spans="24:28" x14ac:dyDescent="0.25">
      <c r="X1687" s="24"/>
      <c r="AB1687" s="27"/>
    </row>
    <row r="1688" spans="24:28" x14ac:dyDescent="0.25">
      <c r="X1688" s="24"/>
      <c r="AB1688" s="27"/>
    </row>
    <row r="1689" spans="24:28" x14ac:dyDescent="0.25">
      <c r="X1689" s="24"/>
      <c r="AB1689" s="27"/>
    </row>
    <row r="1690" spans="24:28" x14ac:dyDescent="0.25">
      <c r="X1690" s="24"/>
      <c r="AB1690" s="27"/>
    </row>
    <row r="1691" spans="24:28" x14ac:dyDescent="0.25">
      <c r="X1691" s="24"/>
      <c r="AB1691" s="27"/>
    </row>
    <row r="1692" spans="24:28" x14ac:dyDescent="0.25">
      <c r="X1692" s="24"/>
      <c r="AB1692" s="27"/>
    </row>
    <row r="1693" spans="24:28" x14ac:dyDescent="0.25">
      <c r="X1693" s="24"/>
      <c r="AB1693" s="27"/>
    </row>
    <row r="1694" spans="24:28" x14ac:dyDescent="0.25">
      <c r="X1694" s="24"/>
      <c r="AB1694" s="27"/>
    </row>
    <row r="1695" spans="24:28" x14ac:dyDescent="0.25">
      <c r="X1695" s="24"/>
      <c r="AB1695" s="27"/>
    </row>
    <row r="1696" spans="24:28" x14ac:dyDescent="0.25">
      <c r="X1696" s="24"/>
      <c r="AB1696" s="27"/>
    </row>
    <row r="1697" spans="24:28" x14ac:dyDescent="0.25">
      <c r="X1697" s="24"/>
      <c r="AB1697" s="27"/>
    </row>
    <row r="1698" spans="24:28" x14ac:dyDescent="0.25">
      <c r="X1698" s="24"/>
      <c r="AB1698" s="27"/>
    </row>
    <row r="1699" spans="24:28" x14ac:dyDescent="0.25">
      <c r="X1699" s="24"/>
      <c r="AB1699" s="27"/>
    </row>
    <row r="1700" spans="24:28" x14ac:dyDescent="0.25">
      <c r="X1700" s="24"/>
      <c r="AB1700" s="27"/>
    </row>
    <row r="1701" spans="24:28" x14ac:dyDescent="0.25">
      <c r="X1701" s="24"/>
      <c r="AB1701" s="27"/>
    </row>
    <row r="1702" spans="24:28" x14ac:dyDescent="0.25">
      <c r="X1702" s="24"/>
      <c r="AB1702" s="27"/>
    </row>
    <row r="1703" spans="24:28" x14ac:dyDescent="0.25">
      <c r="X1703" s="24"/>
      <c r="AB1703" s="27"/>
    </row>
    <row r="1704" spans="24:28" x14ac:dyDescent="0.25">
      <c r="X1704" s="24"/>
      <c r="AB1704" s="27"/>
    </row>
    <row r="1705" spans="24:28" x14ac:dyDescent="0.25">
      <c r="X1705" s="24"/>
      <c r="AB1705" s="27"/>
    </row>
    <row r="1706" spans="24:28" x14ac:dyDescent="0.25">
      <c r="X1706" s="24"/>
      <c r="AB1706" s="27"/>
    </row>
    <row r="1707" spans="24:28" x14ac:dyDescent="0.25">
      <c r="X1707" s="24"/>
      <c r="AB1707" s="27"/>
    </row>
    <row r="1708" spans="24:28" x14ac:dyDescent="0.25">
      <c r="X1708" s="24"/>
      <c r="AB1708" s="27"/>
    </row>
    <row r="1709" spans="24:28" x14ac:dyDescent="0.25">
      <c r="X1709" s="24"/>
      <c r="AB1709" s="27"/>
    </row>
    <row r="1710" spans="24:28" x14ac:dyDescent="0.25">
      <c r="X1710" s="24"/>
      <c r="AB1710" s="27"/>
    </row>
    <row r="1711" spans="24:28" x14ac:dyDescent="0.25">
      <c r="X1711" s="24"/>
      <c r="AB1711" s="27"/>
    </row>
    <row r="1712" spans="24:28" x14ac:dyDescent="0.25">
      <c r="X1712" s="24"/>
      <c r="AB1712" s="27"/>
    </row>
    <row r="1713" spans="24:28" x14ac:dyDescent="0.25">
      <c r="X1713" s="24"/>
      <c r="AB1713" s="27"/>
    </row>
    <row r="1714" spans="24:28" x14ac:dyDescent="0.25">
      <c r="X1714" s="24"/>
      <c r="AB1714" s="27"/>
    </row>
    <row r="1715" spans="24:28" x14ac:dyDescent="0.25">
      <c r="X1715" s="24"/>
      <c r="AB1715" s="27"/>
    </row>
    <row r="1716" spans="24:28" x14ac:dyDescent="0.25">
      <c r="X1716" s="24"/>
      <c r="AB1716" s="27"/>
    </row>
    <row r="1717" spans="24:28" x14ac:dyDescent="0.25">
      <c r="X1717" s="24"/>
      <c r="AB1717" s="27"/>
    </row>
    <row r="1718" spans="24:28" x14ac:dyDescent="0.25">
      <c r="X1718" s="24"/>
      <c r="AB1718" s="27"/>
    </row>
    <row r="1719" spans="24:28" x14ac:dyDescent="0.25">
      <c r="X1719" s="24"/>
      <c r="AB1719" s="27"/>
    </row>
    <row r="1720" spans="24:28" x14ac:dyDescent="0.25">
      <c r="X1720" s="24"/>
      <c r="AB1720" s="27"/>
    </row>
    <row r="1721" spans="24:28" x14ac:dyDescent="0.25">
      <c r="X1721" s="24"/>
      <c r="AB1721" s="27"/>
    </row>
    <row r="1722" spans="24:28" x14ac:dyDescent="0.25">
      <c r="X1722" s="24"/>
      <c r="AB1722" s="27"/>
    </row>
    <row r="1723" spans="24:28" x14ac:dyDescent="0.25">
      <c r="X1723" s="24"/>
      <c r="AB1723" s="27"/>
    </row>
    <row r="1724" spans="24:28" x14ac:dyDescent="0.25">
      <c r="X1724" s="24"/>
      <c r="AB1724" s="27"/>
    </row>
    <row r="1725" spans="24:28" x14ac:dyDescent="0.25">
      <c r="X1725" s="24"/>
      <c r="AB1725" s="27"/>
    </row>
    <row r="1726" spans="24:28" x14ac:dyDescent="0.25">
      <c r="X1726" s="24"/>
      <c r="AB1726" s="27"/>
    </row>
    <row r="1727" spans="24:28" x14ac:dyDescent="0.25">
      <c r="X1727" s="24"/>
      <c r="AB1727" s="27"/>
    </row>
    <row r="1728" spans="24:28" x14ac:dyDescent="0.25">
      <c r="X1728" s="24"/>
      <c r="AB1728" s="27"/>
    </row>
    <row r="1729" spans="24:28" x14ac:dyDescent="0.25">
      <c r="X1729" s="24"/>
      <c r="AB1729" s="27"/>
    </row>
    <row r="1730" spans="24:28" x14ac:dyDescent="0.25">
      <c r="X1730" s="24"/>
      <c r="AB1730" s="27"/>
    </row>
    <row r="1731" spans="24:28" x14ac:dyDescent="0.25">
      <c r="X1731" s="24"/>
      <c r="AB1731" s="27"/>
    </row>
    <row r="1732" spans="24:28" x14ac:dyDescent="0.25">
      <c r="X1732" s="24"/>
      <c r="AB1732" s="27"/>
    </row>
    <row r="1733" spans="24:28" x14ac:dyDescent="0.25">
      <c r="X1733" s="24"/>
      <c r="AB1733" s="27"/>
    </row>
    <row r="1734" spans="24:28" x14ac:dyDescent="0.25">
      <c r="X1734" s="24"/>
      <c r="AB1734" s="27"/>
    </row>
    <row r="1735" spans="24:28" x14ac:dyDescent="0.25">
      <c r="X1735" s="24"/>
      <c r="AB1735" s="27"/>
    </row>
    <row r="1736" spans="24:28" x14ac:dyDescent="0.25">
      <c r="X1736" s="24"/>
      <c r="AB1736" s="27"/>
    </row>
    <row r="1737" spans="24:28" x14ac:dyDescent="0.25">
      <c r="X1737" s="24"/>
      <c r="AB1737" s="27"/>
    </row>
    <row r="1738" spans="24:28" x14ac:dyDescent="0.25">
      <c r="X1738" s="24"/>
      <c r="AB1738" s="27"/>
    </row>
    <row r="1739" spans="24:28" x14ac:dyDescent="0.25">
      <c r="X1739" s="24"/>
      <c r="AB1739" s="27"/>
    </row>
    <row r="1740" spans="24:28" x14ac:dyDescent="0.25">
      <c r="X1740" s="24"/>
      <c r="AB1740" s="27"/>
    </row>
    <row r="1741" spans="24:28" x14ac:dyDescent="0.25">
      <c r="X1741" s="24"/>
      <c r="AB1741" s="27"/>
    </row>
    <row r="1742" spans="24:28" x14ac:dyDescent="0.25">
      <c r="X1742" s="24"/>
      <c r="AB1742" s="27"/>
    </row>
    <row r="1743" spans="24:28" x14ac:dyDescent="0.25">
      <c r="X1743" s="24"/>
      <c r="AB1743" s="27"/>
    </row>
    <row r="1744" spans="24:28" x14ac:dyDescent="0.25">
      <c r="X1744" s="24"/>
      <c r="AB1744" s="27"/>
    </row>
    <row r="1745" spans="24:28" x14ac:dyDescent="0.25">
      <c r="X1745" s="24"/>
      <c r="AB1745" s="27"/>
    </row>
    <row r="1746" spans="24:28" x14ac:dyDescent="0.25">
      <c r="X1746" s="24"/>
      <c r="AB1746" s="27"/>
    </row>
    <row r="1747" spans="24:28" x14ac:dyDescent="0.25">
      <c r="X1747" s="24"/>
      <c r="AB1747" s="27"/>
    </row>
    <row r="1748" spans="24:28" x14ac:dyDescent="0.25">
      <c r="X1748" s="24"/>
      <c r="AB1748" s="27"/>
    </row>
    <row r="1749" spans="24:28" x14ac:dyDescent="0.25">
      <c r="X1749" s="24"/>
      <c r="AB1749" s="27"/>
    </row>
    <row r="1750" spans="24:28" x14ac:dyDescent="0.25">
      <c r="X1750" s="24"/>
      <c r="AB1750" s="27"/>
    </row>
    <row r="1751" spans="24:28" x14ac:dyDescent="0.25">
      <c r="X1751" s="24"/>
      <c r="AB1751" s="27"/>
    </row>
    <row r="1752" spans="24:28" x14ac:dyDescent="0.25">
      <c r="X1752" s="24"/>
      <c r="AB1752" s="27"/>
    </row>
    <row r="1753" spans="24:28" x14ac:dyDescent="0.25">
      <c r="X1753" s="24"/>
      <c r="AB1753" s="27"/>
    </row>
    <row r="1754" spans="24:28" x14ac:dyDescent="0.25">
      <c r="X1754" s="24"/>
      <c r="AB1754" s="27"/>
    </row>
    <row r="1755" spans="24:28" x14ac:dyDescent="0.25">
      <c r="X1755" s="24"/>
      <c r="AB1755" s="27"/>
    </row>
    <row r="1756" spans="24:28" x14ac:dyDescent="0.25">
      <c r="X1756" s="24"/>
      <c r="AB1756" s="27"/>
    </row>
    <row r="1757" spans="24:28" x14ac:dyDescent="0.25">
      <c r="X1757" s="24"/>
      <c r="AB1757" s="27"/>
    </row>
    <row r="1758" spans="24:28" x14ac:dyDescent="0.25">
      <c r="X1758" s="24"/>
      <c r="AB1758" s="27"/>
    </row>
    <row r="1759" spans="24:28" x14ac:dyDescent="0.25">
      <c r="X1759" s="24"/>
      <c r="AB1759" s="27"/>
    </row>
    <row r="1760" spans="24:28" x14ac:dyDescent="0.25">
      <c r="X1760" s="24"/>
      <c r="AB1760" s="27"/>
    </row>
    <row r="1761" spans="24:28" x14ac:dyDescent="0.25">
      <c r="X1761" s="24"/>
      <c r="AB1761" s="27"/>
    </row>
    <row r="1762" spans="24:28" x14ac:dyDescent="0.25">
      <c r="X1762" s="24"/>
      <c r="AB1762" s="27"/>
    </row>
    <row r="1763" spans="24:28" x14ac:dyDescent="0.25">
      <c r="X1763" s="24"/>
      <c r="AB1763" s="27"/>
    </row>
    <row r="1764" spans="24:28" x14ac:dyDescent="0.25">
      <c r="X1764" s="24"/>
      <c r="AB1764" s="27"/>
    </row>
    <row r="1765" spans="24:28" x14ac:dyDescent="0.25">
      <c r="X1765" s="24"/>
      <c r="AB1765" s="27"/>
    </row>
    <row r="1766" spans="24:28" x14ac:dyDescent="0.25">
      <c r="X1766" s="24"/>
      <c r="AB1766" s="27"/>
    </row>
    <row r="1767" spans="24:28" x14ac:dyDescent="0.25">
      <c r="X1767" s="24"/>
      <c r="AB1767" s="27"/>
    </row>
    <row r="1768" spans="24:28" x14ac:dyDescent="0.25">
      <c r="X1768" s="24"/>
      <c r="AB1768" s="27"/>
    </row>
    <row r="1769" spans="24:28" x14ac:dyDescent="0.25">
      <c r="X1769" s="24"/>
      <c r="AB1769" s="27"/>
    </row>
    <row r="1770" spans="24:28" x14ac:dyDescent="0.25">
      <c r="X1770" s="24"/>
      <c r="AB1770" s="27"/>
    </row>
    <row r="1771" spans="24:28" x14ac:dyDescent="0.25">
      <c r="X1771" s="24"/>
      <c r="AB1771" s="27"/>
    </row>
    <row r="1772" spans="24:28" x14ac:dyDescent="0.25">
      <c r="X1772" s="24"/>
      <c r="AB1772" s="27"/>
    </row>
    <row r="1773" spans="24:28" x14ac:dyDescent="0.25">
      <c r="X1773" s="24"/>
      <c r="AB1773" s="27"/>
    </row>
    <row r="1774" spans="24:28" x14ac:dyDescent="0.25">
      <c r="X1774" s="24"/>
      <c r="AB1774" s="27"/>
    </row>
    <row r="1775" spans="24:28" x14ac:dyDescent="0.25">
      <c r="X1775" s="24"/>
      <c r="AB1775" s="27"/>
    </row>
    <row r="1776" spans="24:28" x14ac:dyDescent="0.25">
      <c r="X1776" s="24"/>
      <c r="AB1776" s="27"/>
    </row>
    <row r="1777" spans="24:28" x14ac:dyDescent="0.25">
      <c r="X1777" s="24"/>
      <c r="AB1777" s="27"/>
    </row>
    <row r="1778" spans="24:28" x14ac:dyDescent="0.25">
      <c r="X1778" s="24"/>
      <c r="AB1778" s="27"/>
    </row>
    <row r="1779" spans="24:28" x14ac:dyDescent="0.25">
      <c r="X1779" s="24"/>
      <c r="AB1779" s="27"/>
    </row>
    <row r="1780" spans="24:28" x14ac:dyDescent="0.25">
      <c r="X1780" s="24"/>
      <c r="AB1780" s="27"/>
    </row>
    <row r="1781" spans="24:28" x14ac:dyDescent="0.25">
      <c r="X1781" s="24"/>
      <c r="AB1781" s="27"/>
    </row>
    <row r="1782" spans="24:28" x14ac:dyDescent="0.25">
      <c r="X1782" s="24"/>
      <c r="AB1782" s="27"/>
    </row>
    <row r="1783" spans="24:28" x14ac:dyDescent="0.25">
      <c r="X1783" s="24"/>
      <c r="AB1783" s="27"/>
    </row>
    <row r="1784" spans="24:28" x14ac:dyDescent="0.25">
      <c r="X1784" s="24"/>
      <c r="AB1784" s="27"/>
    </row>
    <row r="1785" spans="24:28" x14ac:dyDescent="0.25">
      <c r="X1785" s="24"/>
      <c r="AB1785" s="27"/>
    </row>
    <row r="1786" spans="24:28" x14ac:dyDescent="0.25">
      <c r="X1786" s="24"/>
      <c r="AB1786" s="27"/>
    </row>
    <row r="1787" spans="24:28" x14ac:dyDescent="0.25">
      <c r="X1787" s="24"/>
      <c r="AB1787" s="27"/>
    </row>
    <row r="1788" spans="24:28" x14ac:dyDescent="0.25">
      <c r="X1788" s="24"/>
      <c r="AB1788" s="27"/>
    </row>
    <row r="1789" spans="24:28" x14ac:dyDescent="0.25">
      <c r="X1789" s="24"/>
      <c r="AB1789" s="27"/>
    </row>
    <row r="1790" spans="24:28" x14ac:dyDescent="0.25">
      <c r="X1790" s="24"/>
      <c r="AB1790" s="27"/>
    </row>
    <row r="1791" spans="24:28" x14ac:dyDescent="0.25">
      <c r="X1791" s="24"/>
      <c r="AB1791" s="27"/>
    </row>
    <row r="1792" spans="24:28" x14ac:dyDescent="0.25">
      <c r="X1792" s="24"/>
      <c r="AB1792" s="27"/>
    </row>
    <row r="1793" spans="24:28" x14ac:dyDescent="0.25">
      <c r="X1793" s="24"/>
      <c r="AB1793" s="27"/>
    </row>
    <row r="1794" spans="24:28" x14ac:dyDescent="0.25">
      <c r="X1794" s="24"/>
      <c r="AB1794" s="27"/>
    </row>
    <row r="1795" spans="24:28" x14ac:dyDescent="0.25">
      <c r="X1795" s="24"/>
      <c r="AB1795" s="27"/>
    </row>
    <row r="1796" spans="24:28" x14ac:dyDescent="0.25">
      <c r="X1796" s="24"/>
      <c r="AB1796" s="27"/>
    </row>
    <row r="1797" spans="24:28" x14ac:dyDescent="0.25">
      <c r="X1797" s="24"/>
      <c r="AB1797" s="27"/>
    </row>
    <row r="1798" spans="24:28" x14ac:dyDescent="0.25">
      <c r="X1798" s="24"/>
      <c r="AB1798" s="27"/>
    </row>
    <row r="1799" spans="24:28" x14ac:dyDescent="0.25">
      <c r="X1799" s="24"/>
      <c r="AB1799" s="27"/>
    </row>
    <row r="1800" spans="24:28" x14ac:dyDescent="0.25">
      <c r="X1800" s="24"/>
      <c r="AB1800" s="27"/>
    </row>
    <row r="1801" spans="24:28" x14ac:dyDescent="0.25">
      <c r="X1801" s="24"/>
      <c r="AB1801" s="27"/>
    </row>
    <row r="1802" spans="24:28" x14ac:dyDescent="0.25">
      <c r="X1802" s="24"/>
      <c r="AB1802" s="27"/>
    </row>
    <row r="1803" spans="24:28" x14ac:dyDescent="0.25">
      <c r="X1803" s="24"/>
      <c r="AB1803" s="27"/>
    </row>
    <row r="1804" spans="24:28" x14ac:dyDescent="0.25">
      <c r="X1804" s="24"/>
      <c r="AB1804" s="27"/>
    </row>
    <row r="1805" spans="24:28" x14ac:dyDescent="0.25">
      <c r="X1805" s="24"/>
      <c r="AB1805" s="27"/>
    </row>
    <row r="1806" spans="24:28" x14ac:dyDescent="0.25">
      <c r="X1806" s="24"/>
      <c r="AB1806" s="27"/>
    </row>
    <row r="1807" spans="24:28" x14ac:dyDescent="0.25">
      <c r="X1807" s="24"/>
      <c r="AB1807" s="27"/>
    </row>
    <row r="1808" spans="24:28" x14ac:dyDescent="0.25">
      <c r="X1808" s="24"/>
      <c r="AB1808" s="27"/>
    </row>
    <row r="1809" spans="24:28" x14ac:dyDescent="0.25">
      <c r="X1809" s="24"/>
      <c r="AB1809" s="27"/>
    </row>
    <row r="1810" spans="24:28" x14ac:dyDescent="0.25">
      <c r="X1810" s="24"/>
      <c r="AB1810" s="27"/>
    </row>
    <row r="1811" spans="24:28" x14ac:dyDescent="0.25">
      <c r="X1811" s="24"/>
      <c r="AB1811" s="27"/>
    </row>
    <row r="1812" spans="24:28" x14ac:dyDescent="0.25">
      <c r="X1812" s="24"/>
      <c r="AB1812" s="27"/>
    </row>
    <row r="1813" spans="24:28" x14ac:dyDescent="0.25">
      <c r="X1813" s="24"/>
      <c r="AB1813" s="27"/>
    </row>
    <row r="1814" spans="24:28" x14ac:dyDescent="0.25">
      <c r="X1814" s="24"/>
      <c r="AB1814" s="27"/>
    </row>
    <row r="1815" spans="24:28" x14ac:dyDescent="0.25">
      <c r="X1815" s="24"/>
      <c r="AB1815" s="27"/>
    </row>
    <row r="1816" spans="24:28" x14ac:dyDescent="0.25">
      <c r="X1816" s="24"/>
      <c r="AB1816" s="27"/>
    </row>
    <row r="1817" spans="24:28" x14ac:dyDescent="0.25">
      <c r="X1817" s="24"/>
      <c r="AB1817" s="27"/>
    </row>
    <row r="1818" spans="24:28" x14ac:dyDescent="0.25">
      <c r="X1818" s="24"/>
      <c r="AB1818" s="27"/>
    </row>
    <row r="1819" spans="24:28" x14ac:dyDescent="0.25">
      <c r="X1819" s="24"/>
      <c r="AB1819" s="27"/>
    </row>
    <row r="1820" spans="24:28" x14ac:dyDescent="0.25">
      <c r="X1820" s="24"/>
      <c r="AB1820" s="27"/>
    </row>
    <row r="1821" spans="24:28" x14ac:dyDescent="0.25">
      <c r="X1821" s="24"/>
      <c r="AB1821" s="27"/>
    </row>
    <row r="1822" spans="24:28" x14ac:dyDescent="0.25">
      <c r="X1822" s="24"/>
      <c r="AB1822" s="27"/>
    </row>
    <row r="1823" spans="24:28" x14ac:dyDescent="0.25">
      <c r="X1823" s="24"/>
      <c r="AB1823" s="27"/>
    </row>
    <row r="1824" spans="24:28" x14ac:dyDescent="0.25">
      <c r="X1824" s="24"/>
      <c r="AB1824" s="27"/>
    </row>
    <row r="1825" spans="24:28" x14ac:dyDescent="0.25">
      <c r="X1825" s="24"/>
      <c r="AB1825" s="27"/>
    </row>
    <row r="1826" spans="24:28" x14ac:dyDescent="0.25">
      <c r="X1826" s="24"/>
      <c r="AB1826" s="27"/>
    </row>
    <row r="1827" spans="24:28" x14ac:dyDescent="0.25">
      <c r="X1827" s="24"/>
      <c r="AB1827" s="27"/>
    </row>
    <row r="1828" spans="24:28" x14ac:dyDescent="0.25">
      <c r="X1828" s="24"/>
      <c r="AB1828" s="27"/>
    </row>
    <row r="1829" spans="24:28" x14ac:dyDescent="0.25">
      <c r="X1829" s="24"/>
      <c r="AB1829" s="27"/>
    </row>
    <row r="1830" spans="24:28" x14ac:dyDescent="0.25">
      <c r="X1830" s="24"/>
      <c r="AB1830" s="27"/>
    </row>
    <row r="1831" spans="24:28" x14ac:dyDescent="0.25">
      <c r="X1831" s="24"/>
      <c r="AB1831" s="27"/>
    </row>
    <row r="1832" spans="24:28" x14ac:dyDescent="0.25">
      <c r="X1832" s="24"/>
      <c r="AB1832" s="27"/>
    </row>
    <row r="1833" spans="24:28" x14ac:dyDescent="0.25">
      <c r="X1833" s="24"/>
      <c r="AB1833" s="27"/>
    </row>
    <row r="1834" spans="24:28" x14ac:dyDescent="0.25">
      <c r="X1834" s="24"/>
      <c r="AB1834" s="27"/>
    </row>
    <row r="1835" spans="24:28" x14ac:dyDescent="0.25">
      <c r="X1835" s="24"/>
      <c r="AB1835" s="27"/>
    </row>
    <row r="1836" spans="24:28" x14ac:dyDescent="0.25">
      <c r="X1836" s="24"/>
      <c r="AB1836" s="27"/>
    </row>
    <row r="1837" spans="24:28" x14ac:dyDescent="0.25">
      <c r="X1837" s="24"/>
      <c r="AB1837" s="27"/>
    </row>
    <row r="1838" spans="24:28" x14ac:dyDescent="0.25">
      <c r="X1838" s="24"/>
      <c r="AB1838" s="27"/>
    </row>
    <row r="1839" spans="24:28" x14ac:dyDescent="0.25">
      <c r="X1839" s="24"/>
      <c r="AB1839" s="27"/>
    </row>
    <row r="1840" spans="24:28" x14ac:dyDescent="0.25">
      <c r="X1840" s="24"/>
      <c r="AB1840" s="27"/>
    </row>
    <row r="1841" spans="24:28" x14ac:dyDescent="0.25">
      <c r="X1841" s="24"/>
      <c r="AB1841" s="27"/>
    </row>
    <row r="1842" spans="24:28" x14ac:dyDescent="0.25">
      <c r="X1842" s="24"/>
      <c r="AB1842" s="27"/>
    </row>
    <row r="1843" spans="24:28" x14ac:dyDescent="0.25">
      <c r="X1843" s="24"/>
      <c r="AB1843" s="27"/>
    </row>
    <row r="1844" spans="24:28" x14ac:dyDescent="0.25">
      <c r="X1844" s="24"/>
      <c r="AB1844" s="27"/>
    </row>
    <row r="1845" spans="24:28" x14ac:dyDescent="0.25">
      <c r="X1845" s="24"/>
      <c r="AB1845" s="27"/>
    </row>
    <row r="1846" spans="24:28" x14ac:dyDescent="0.25">
      <c r="X1846" s="24"/>
      <c r="AB1846" s="27"/>
    </row>
    <row r="1847" spans="24:28" x14ac:dyDescent="0.25">
      <c r="X1847" s="24"/>
      <c r="AB1847" s="27"/>
    </row>
    <row r="1848" spans="24:28" x14ac:dyDescent="0.25">
      <c r="X1848" s="24"/>
      <c r="AB1848" s="27"/>
    </row>
    <row r="1849" spans="24:28" x14ac:dyDescent="0.25">
      <c r="X1849" s="24"/>
      <c r="AB1849" s="27"/>
    </row>
    <row r="1850" spans="24:28" x14ac:dyDescent="0.25">
      <c r="X1850" s="24"/>
      <c r="AB1850" s="27"/>
    </row>
    <row r="1851" spans="24:28" x14ac:dyDescent="0.25">
      <c r="X1851" s="24"/>
      <c r="AB1851" s="27"/>
    </row>
    <row r="1852" spans="24:28" x14ac:dyDescent="0.25">
      <c r="X1852" s="24"/>
      <c r="AB1852" s="27"/>
    </row>
    <row r="1853" spans="24:28" x14ac:dyDescent="0.25">
      <c r="X1853" s="24"/>
      <c r="AB1853" s="27"/>
    </row>
    <row r="1854" spans="24:28" x14ac:dyDescent="0.25">
      <c r="X1854" s="24"/>
      <c r="AB1854" s="27"/>
    </row>
    <row r="1855" spans="24:28" x14ac:dyDescent="0.25">
      <c r="X1855" s="24"/>
      <c r="AB1855" s="27"/>
    </row>
    <row r="1856" spans="24:28" x14ac:dyDescent="0.25">
      <c r="X1856" s="24"/>
      <c r="AB1856" s="27"/>
    </row>
    <row r="1857" spans="24:28" x14ac:dyDescent="0.25">
      <c r="X1857" s="24"/>
      <c r="AB1857" s="27"/>
    </row>
    <row r="1858" spans="24:28" x14ac:dyDescent="0.25">
      <c r="X1858" s="24"/>
      <c r="AB1858" s="27"/>
    </row>
    <row r="1859" spans="24:28" x14ac:dyDescent="0.25">
      <c r="X1859" s="24"/>
      <c r="AB1859" s="27"/>
    </row>
    <row r="1860" spans="24:28" x14ac:dyDescent="0.25">
      <c r="X1860" s="24"/>
      <c r="AB1860" s="27"/>
    </row>
    <row r="1861" spans="24:28" x14ac:dyDescent="0.25">
      <c r="X1861" s="24"/>
      <c r="AB1861" s="27"/>
    </row>
    <row r="1862" spans="24:28" x14ac:dyDescent="0.25">
      <c r="X1862" s="24"/>
      <c r="AB1862" s="27"/>
    </row>
    <row r="1863" spans="24:28" x14ac:dyDescent="0.25">
      <c r="X1863" s="24"/>
      <c r="AB1863" s="27"/>
    </row>
    <row r="1864" spans="24:28" x14ac:dyDescent="0.25">
      <c r="X1864" s="24"/>
      <c r="AB1864" s="27"/>
    </row>
    <row r="1865" spans="24:28" x14ac:dyDescent="0.25">
      <c r="X1865" s="24"/>
      <c r="AB1865" s="27"/>
    </row>
    <row r="1866" spans="24:28" x14ac:dyDescent="0.25">
      <c r="X1866" s="24"/>
      <c r="AB1866" s="27"/>
    </row>
    <row r="1867" spans="24:28" x14ac:dyDescent="0.25">
      <c r="X1867" s="24"/>
      <c r="AB1867" s="27"/>
    </row>
    <row r="1868" spans="24:28" x14ac:dyDescent="0.25">
      <c r="X1868" s="24"/>
      <c r="AB1868" s="27"/>
    </row>
    <row r="1869" spans="24:28" x14ac:dyDescent="0.25">
      <c r="X1869" s="24"/>
      <c r="AB1869" s="27"/>
    </row>
    <row r="1870" spans="24:28" x14ac:dyDescent="0.25">
      <c r="X1870" s="24"/>
      <c r="AB1870" s="27"/>
    </row>
    <row r="1871" spans="24:28" x14ac:dyDescent="0.25">
      <c r="X1871" s="24"/>
      <c r="AB1871" s="27"/>
    </row>
    <row r="1872" spans="24:28" x14ac:dyDescent="0.25">
      <c r="X1872" s="24"/>
      <c r="AB1872" s="27"/>
    </row>
    <row r="1873" spans="24:28" x14ac:dyDescent="0.25">
      <c r="X1873" s="24"/>
      <c r="AB1873" s="27"/>
    </row>
    <row r="1874" spans="24:28" x14ac:dyDescent="0.25">
      <c r="X1874" s="24"/>
      <c r="AB1874" s="27"/>
    </row>
    <row r="1875" spans="24:28" x14ac:dyDescent="0.25">
      <c r="X1875" s="24"/>
      <c r="AB1875" s="27"/>
    </row>
    <row r="1876" spans="24:28" x14ac:dyDescent="0.25">
      <c r="X1876" s="24"/>
      <c r="AB1876" s="27"/>
    </row>
    <row r="1877" spans="24:28" x14ac:dyDescent="0.25">
      <c r="X1877" s="24"/>
      <c r="AB1877" s="27"/>
    </row>
    <row r="1878" spans="24:28" x14ac:dyDescent="0.25">
      <c r="X1878" s="24"/>
      <c r="AB1878" s="27"/>
    </row>
    <row r="1879" spans="24:28" x14ac:dyDescent="0.25">
      <c r="X1879" s="24"/>
      <c r="AB1879" s="27"/>
    </row>
    <row r="1880" spans="24:28" x14ac:dyDescent="0.25">
      <c r="X1880" s="24"/>
      <c r="AB1880" s="27"/>
    </row>
    <row r="1881" spans="24:28" x14ac:dyDescent="0.25">
      <c r="X1881" s="24"/>
      <c r="AB1881" s="27"/>
    </row>
    <row r="1882" spans="24:28" x14ac:dyDescent="0.25">
      <c r="X1882" s="24"/>
      <c r="AB1882" s="27"/>
    </row>
    <row r="1883" spans="24:28" x14ac:dyDescent="0.25">
      <c r="X1883" s="24"/>
      <c r="AB1883" s="27"/>
    </row>
    <row r="1884" spans="24:28" x14ac:dyDescent="0.25">
      <c r="X1884" s="24"/>
      <c r="AB1884" s="27"/>
    </row>
    <row r="1885" spans="24:28" x14ac:dyDescent="0.25">
      <c r="X1885" s="24"/>
      <c r="AB1885" s="27"/>
    </row>
    <row r="1886" spans="24:28" x14ac:dyDescent="0.25">
      <c r="X1886" s="24"/>
      <c r="AB1886" s="27"/>
    </row>
    <row r="1887" spans="24:28" x14ac:dyDescent="0.25">
      <c r="X1887" s="24"/>
      <c r="AB1887" s="27"/>
    </row>
    <row r="1888" spans="24:28" x14ac:dyDescent="0.25">
      <c r="X1888" s="24"/>
      <c r="AB1888" s="27"/>
    </row>
    <row r="1889" spans="24:28" x14ac:dyDescent="0.25">
      <c r="X1889" s="24"/>
      <c r="AB1889" s="27"/>
    </row>
    <row r="1890" spans="24:28" x14ac:dyDescent="0.25">
      <c r="X1890" s="24"/>
      <c r="AB1890" s="27"/>
    </row>
    <row r="1891" spans="24:28" x14ac:dyDescent="0.25">
      <c r="X1891" s="24"/>
      <c r="AB1891" s="27"/>
    </row>
    <row r="1892" spans="24:28" x14ac:dyDescent="0.25">
      <c r="X1892" s="24"/>
      <c r="AB1892" s="27"/>
    </row>
    <row r="1893" spans="24:28" x14ac:dyDescent="0.25">
      <c r="X1893" s="24"/>
      <c r="AB1893" s="27"/>
    </row>
    <row r="1894" spans="24:28" x14ac:dyDescent="0.25">
      <c r="X1894" s="24"/>
      <c r="AB1894" s="27"/>
    </row>
    <row r="1895" spans="24:28" x14ac:dyDescent="0.25">
      <c r="X1895" s="24"/>
      <c r="AB1895" s="27"/>
    </row>
    <row r="1896" spans="24:28" x14ac:dyDescent="0.25">
      <c r="X1896" s="24"/>
      <c r="AB1896" s="27"/>
    </row>
    <row r="1897" spans="24:28" x14ac:dyDescent="0.25">
      <c r="X1897" s="24"/>
      <c r="AB1897" s="27"/>
    </row>
    <row r="1898" spans="24:28" x14ac:dyDescent="0.25">
      <c r="X1898" s="24"/>
      <c r="AB1898" s="27"/>
    </row>
    <row r="1899" spans="24:28" x14ac:dyDescent="0.25">
      <c r="X1899" s="24"/>
      <c r="AB1899" s="27"/>
    </row>
    <row r="1900" spans="24:28" x14ac:dyDescent="0.25">
      <c r="X1900" s="24"/>
      <c r="AB1900" s="27"/>
    </row>
    <row r="1901" spans="24:28" x14ac:dyDescent="0.25">
      <c r="X1901" s="24"/>
      <c r="AB1901" s="27"/>
    </row>
    <row r="1902" spans="24:28" x14ac:dyDescent="0.25">
      <c r="X1902" s="24"/>
      <c r="AB1902" s="27"/>
    </row>
    <row r="1903" spans="24:28" x14ac:dyDescent="0.25">
      <c r="X1903" s="24"/>
      <c r="AB1903" s="27"/>
    </row>
    <row r="1904" spans="24:28" x14ac:dyDescent="0.25">
      <c r="X1904" s="24"/>
      <c r="AB1904" s="27"/>
    </row>
    <row r="1905" spans="24:28" x14ac:dyDescent="0.25">
      <c r="X1905" s="24"/>
      <c r="AB1905" s="27"/>
    </row>
    <row r="1906" spans="24:28" x14ac:dyDescent="0.25">
      <c r="X1906" s="24"/>
      <c r="AB1906" s="27"/>
    </row>
    <row r="1907" spans="24:28" x14ac:dyDescent="0.25">
      <c r="X1907" s="24"/>
      <c r="AB1907" s="27"/>
    </row>
    <row r="1908" spans="24:28" x14ac:dyDescent="0.25">
      <c r="X1908" s="24"/>
      <c r="AB1908" s="27"/>
    </row>
    <row r="1909" spans="24:28" x14ac:dyDescent="0.25">
      <c r="X1909" s="24"/>
      <c r="AB1909" s="27"/>
    </row>
    <row r="1910" spans="24:28" x14ac:dyDescent="0.25">
      <c r="X1910" s="24"/>
      <c r="AB1910" s="27"/>
    </row>
    <row r="1911" spans="24:28" x14ac:dyDescent="0.25">
      <c r="X1911" s="24"/>
      <c r="AB1911" s="27"/>
    </row>
    <row r="1912" spans="24:28" x14ac:dyDescent="0.25">
      <c r="X1912" s="24"/>
      <c r="AB1912" s="27"/>
    </row>
    <row r="1913" spans="24:28" x14ac:dyDescent="0.25">
      <c r="X1913" s="24"/>
      <c r="AB1913" s="27"/>
    </row>
    <row r="1914" spans="24:28" x14ac:dyDescent="0.25">
      <c r="X1914" s="24"/>
      <c r="AB1914" s="27"/>
    </row>
    <row r="1915" spans="24:28" x14ac:dyDescent="0.25">
      <c r="X1915" s="24"/>
      <c r="AB1915" s="27"/>
    </row>
    <row r="1916" spans="24:28" x14ac:dyDescent="0.25">
      <c r="X1916" s="24"/>
      <c r="AB1916" s="27"/>
    </row>
    <row r="1917" spans="24:28" x14ac:dyDescent="0.25">
      <c r="X1917" s="24"/>
      <c r="AB1917" s="27"/>
    </row>
    <row r="1918" spans="24:28" x14ac:dyDescent="0.25">
      <c r="X1918" s="24"/>
      <c r="AB1918" s="27"/>
    </row>
    <row r="1919" spans="24:28" x14ac:dyDescent="0.25">
      <c r="X1919" s="24"/>
      <c r="AB1919" s="27"/>
    </row>
    <row r="1920" spans="24:28" x14ac:dyDescent="0.25">
      <c r="X1920" s="24"/>
      <c r="AB1920" s="27"/>
    </row>
    <row r="1921" spans="24:28" x14ac:dyDescent="0.25">
      <c r="X1921" s="24"/>
      <c r="AB1921" s="27"/>
    </row>
    <row r="1922" spans="24:28" x14ac:dyDescent="0.25">
      <c r="X1922" s="24"/>
      <c r="AB1922" s="27"/>
    </row>
    <row r="1923" spans="24:28" x14ac:dyDescent="0.25">
      <c r="X1923" s="24"/>
      <c r="AB1923" s="27"/>
    </row>
    <row r="1924" spans="24:28" x14ac:dyDescent="0.25">
      <c r="X1924" s="24"/>
      <c r="AB1924" s="27"/>
    </row>
    <row r="1925" spans="24:28" x14ac:dyDescent="0.25">
      <c r="X1925" s="24"/>
      <c r="AB1925" s="27"/>
    </row>
    <row r="1926" spans="24:28" x14ac:dyDescent="0.25">
      <c r="X1926" s="24"/>
      <c r="AB1926" s="27"/>
    </row>
    <row r="1927" spans="24:28" x14ac:dyDescent="0.25">
      <c r="X1927" s="24"/>
      <c r="AB1927" s="27"/>
    </row>
    <row r="1928" spans="24:28" x14ac:dyDescent="0.25">
      <c r="X1928" s="24"/>
      <c r="AB1928" s="27"/>
    </row>
    <row r="1929" spans="24:28" x14ac:dyDescent="0.25">
      <c r="X1929" s="24"/>
      <c r="AB1929" s="27"/>
    </row>
    <row r="1930" spans="24:28" x14ac:dyDescent="0.25">
      <c r="X1930" s="24"/>
      <c r="AB1930" s="27"/>
    </row>
    <row r="1931" spans="24:28" x14ac:dyDescent="0.25">
      <c r="X1931" s="24"/>
      <c r="AB1931" s="27"/>
    </row>
    <row r="1932" spans="24:28" x14ac:dyDescent="0.25">
      <c r="X1932" s="24"/>
      <c r="AB1932" s="27"/>
    </row>
    <row r="1933" spans="24:28" x14ac:dyDescent="0.25">
      <c r="X1933" s="24"/>
      <c r="AB1933" s="27"/>
    </row>
    <row r="1934" spans="24:28" x14ac:dyDescent="0.25">
      <c r="X1934" s="24"/>
      <c r="AB1934" s="27"/>
    </row>
    <row r="1935" spans="24:28" x14ac:dyDescent="0.25">
      <c r="X1935" s="24"/>
      <c r="AB1935" s="27"/>
    </row>
    <row r="1936" spans="24:28" x14ac:dyDescent="0.25">
      <c r="X1936" s="24"/>
      <c r="AB1936" s="27"/>
    </row>
    <row r="1937" spans="24:28" x14ac:dyDescent="0.25">
      <c r="X1937" s="24"/>
      <c r="AB1937" s="27"/>
    </row>
    <row r="1938" spans="24:28" x14ac:dyDescent="0.25">
      <c r="X1938" s="24"/>
      <c r="AB1938" s="27"/>
    </row>
    <row r="1939" spans="24:28" x14ac:dyDescent="0.25">
      <c r="X1939" s="24"/>
      <c r="AB1939" s="27"/>
    </row>
    <row r="1940" spans="24:28" x14ac:dyDescent="0.25">
      <c r="X1940" s="24"/>
      <c r="AB1940" s="27"/>
    </row>
    <row r="1941" spans="24:28" x14ac:dyDescent="0.25">
      <c r="X1941" s="24"/>
      <c r="AB1941" s="27"/>
    </row>
    <row r="1942" spans="24:28" x14ac:dyDescent="0.25">
      <c r="X1942" s="24"/>
      <c r="AB1942" s="27"/>
    </row>
    <row r="1943" spans="24:28" x14ac:dyDescent="0.25">
      <c r="X1943" s="24"/>
      <c r="AB1943" s="27"/>
    </row>
    <row r="1944" spans="24:28" x14ac:dyDescent="0.25">
      <c r="X1944" s="24"/>
      <c r="AB1944" s="27"/>
    </row>
    <row r="1945" spans="24:28" x14ac:dyDescent="0.25">
      <c r="X1945" s="24"/>
      <c r="AB1945" s="27"/>
    </row>
    <row r="1946" spans="24:28" x14ac:dyDescent="0.25">
      <c r="X1946" s="24"/>
      <c r="AB1946" s="27"/>
    </row>
    <row r="1947" spans="24:28" x14ac:dyDescent="0.25">
      <c r="X1947" s="24"/>
      <c r="AB1947" s="27"/>
    </row>
    <row r="1948" spans="24:28" x14ac:dyDescent="0.25">
      <c r="X1948" s="24"/>
      <c r="AB1948" s="27"/>
    </row>
    <row r="1949" spans="24:28" x14ac:dyDescent="0.25">
      <c r="X1949" s="24"/>
      <c r="AB1949" s="27"/>
    </row>
    <row r="1950" spans="24:28" x14ac:dyDescent="0.25">
      <c r="X1950" s="24"/>
      <c r="AB1950" s="27"/>
    </row>
    <row r="1951" spans="24:28" x14ac:dyDescent="0.25">
      <c r="X1951" s="24"/>
      <c r="AB1951" s="27"/>
    </row>
    <row r="1952" spans="24:28" x14ac:dyDescent="0.25">
      <c r="X1952" s="24"/>
      <c r="AB1952" s="27"/>
    </row>
    <row r="1953" spans="24:28" x14ac:dyDescent="0.25">
      <c r="X1953" s="24"/>
      <c r="AB1953" s="27"/>
    </row>
    <row r="1954" spans="24:28" x14ac:dyDescent="0.25">
      <c r="X1954" s="24"/>
      <c r="AB1954" s="27"/>
    </row>
    <row r="1955" spans="24:28" x14ac:dyDescent="0.25">
      <c r="X1955" s="24"/>
      <c r="AB1955" s="27"/>
    </row>
    <row r="1956" spans="24:28" x14ac:dyDescent="0.25">
      <c r="X1956" s="24"/>
      <c r="AB1956" s="27"/>
    </row>
    <row r="1957" spans="24:28" x14ac:dyDescent="0.25">
      <c r="X1957" s="24"/>
      <c r="AB1957" s="27"/>
    </row>
    <row r="1958" spans="24:28" x14ac:dyDescent="0.25">
      <c r="X1958" s="24"/>
      <c r="AB1958" s="27"/>
    </row>
    <row r="1959" spans="24:28" x14ac:dyDescent="0.25">
      <c r="X1959" s="24"/>
      <c r="AB1959" s="27"/>
    </row>
    <row r="1960" spans="24:28" x14ac:dyDescent="0.25">
      <c r="X1960" s="24"/>
      <c r="AB1960" s="27"/>
    </row>
    <row r="1961" spans="24:28" x14ac:dyDescent="0.25">
      <c r="X1961" s="24"/>
      <c r="AB1961" s="27"/>
    </row>
    <row r="1962" spans="24:28" x14ac:dyDescent="0.25">
      <c r="X1962" s="24"/>
      <c r="AB1962" s="27"/>
    </row>
    <row r="1963" spans="24:28" x14ac:dyDescent="0.25">
      <c r="X1963" s="24"/>
      <c r="AB1963" s="27"/>
    </row>
    <row r="1964" spans="24:28" x14ac:dyDescent="0.25">
      <c r="X1964" s="24"/>
      <c r="AB1964" s="27"/>
    </row>
    <row r="1965" spans="24:28" x14ac:dyDescent="0.25">
      <c r="X1965" s="24"/>
      <c r="AB1965" s="27"/>
    </row>
    <row r="1966" spans="24:28" x14ac:dyDescent="0.25">
      <c r="X1966" s="24"/>
      <c r="AB1966" s="27"/>
    </row>
    <row r="1967" spans="24:28" x14ac:dyDescent="0.25">
      <c r="X1967" s="24"/>
      <c r="AB1967" s="27"/>
    </row>
    <row r="1968" spans="24:28" x14ac:dyDescent="0.25">
      <c r="X1968" s="24"/>
      <c r="AB1968" s="27"/>
    </row>
    <row r="1969" spans="24:28" x14ac:dyDescent="0.25">
      <c r="X1969" s="24"/>
      <c r="AB1969" s="27"/>
    </row>
    <row r="1970" spans="24:28" x14ac:dyDescent="0.25">
      <c r="X1970" s="24"/>
      <c r="AB1970" s="27"/>
    </row>
    <row r="1971" spans="24:28" x14ac:dyDescent="0.25">
      <c r="X1971" s="24"/>
      <c r="AB1971" s="27"/>
    </row>
    <row r="1972" spans="24:28" x14ac:dyDescent="0.25">
      <c r="X1972" s="24"/>
      <c r="AB1972" s="27"/>
    </row>
    <row r="1973" spans="24:28" x14ac:dyDescent="0.25">
      <c r="X1973" s="24"/>
      <c r="AB1973" s="27"/>
    </row>
    <row r="1974" spans="24:28" x14ac:dyDescent="0.25">
      <c r="X1974" s="24"/>
      <c r="AB1974" s="27"/>
    </row>
    <row r="1975" spans="24:28" x14ac:dyDescent="0.25">
      <c r="X1975" s="24"/>
      <c r="AB1975" s="27"/>
    </row>
    <row r="1976" spans="24:28" x14ac:dyDescent="0.25">
      <c r="X1976" s="24"/>
      <c r="AB1976" s="27"/>
    </row>
    <row r="1977" spans="24:28" x14ac:dyDescent="0.25">
      <c r="X1977" s="24"/>
      <c r="AB1977" s="27"/>
    </row>
    <row r="1978" spans="24:28" x14ac:dyDescent="0.25">
      <c r="X1978" s="24"/>
      <c r="AB1978" s="27"/>
    </row>
    <row r="1979" spans="24:28" x14ac:dyDescent="0.25">
      <c r="X1979" s="24"/>
      <c r="AB1979" s="27"/>
    </row>
    <row r="1980" spans="24:28" x14ac:dyDescent="0.25">
      <c r="X1980" s="24"/>
      <c r="AB1980" s="27"/>
    </row>
    <row r="1981" spans="24:28" x14ac:dyDescent="0.25">
      <c r="X1981" s="24"/>
      <c r="AB1981" s="27"/>
    </row>
    <row r="1982" spans="24:28" x14ac:dyDescent="0.25">
      <c r="X1982" s="24"/>
      <c r="AB1982" s="27"/>
    </row>
    <row r="1983" spans="24:28" x14ac:dyDescent="0.25">
      <c r="X1983" s="24"/>
      <c r="AB1983" s="27"/>
    </row>
    <row r="1984" spans="24:28" x14ac:dyDescent="0.25">
      <c r="X1984" s="24"/>
      <c r="AB1984" s="27"/>
    </row>
    <row r="1985" spans="24:28" x14ac:dyDescent="0.25">
      <c r="X1985" s="24"/>
      <c r="AB1985" s="27"/>
    </row>
    <row r="1986" spans="24:28" x14ac:dyDescent="0.25">
      <c r="X1986" s="24"/>
      <c r="AB1986" s="27"/>
    </row>
    <row r="1987" spans="24:28" x14ac:dyDescent="0.25">
      <c r="X1987" s="24"/>
      <c r="AB1987" s="27"/>
    </row>
    <row r="1988" spans="24:28" x14ac:dyDescent="0.25">
      <c r="X1988" s="24"/>
      <c r="AB1988" s="27"/>
    </row>
    <row r="1989" spans="24:28" x14ac:dyDescent="0.25">
      <c r="X1989" s="24"/>
      <c r="AB1989" s="27"/>
    </row>
    <row r="1990" spans="24:28" x14ac:dyDescent="0.25">
      <c r="X1990" s="24"/>
      <c r="AB1990" s="27"/>
    </row>
    <row r="1991" spans="24:28" x14ac:dyDescent="0.25">
      <c r="X1991" s="24"/>
      <c r="AB1991" s="27"/>
    </row>
    <row r="1992" spans="24:28" x14ac:dyDescent="0.25">
      <c r="X1992" s="24"/>
      <c r="AB1992" s="27"/>
    </row>
    <row r="1993" spans="24:28" x14ac:dyDescent="0.25">
      <c r="X1993" s="24"/>
      <c r="AB1993" s="27"/>
    </row>
    <row r="1994" spans="24:28" x14ac:dyDescent="0.25">
      <c r="X1994" s="24"/>
      <c r="AB1994" s="27"/>
    </row>
    <row r="1995" spans="24:28" x14ac:dyDescent="0.25">
      <c r="X1995" s="24"/>
      <c r="AB1995" s="27"/>
    </row>
    <row r="1996" spans="24:28" x14ac:dyDescent="0.25">
      <c r="X1996" s="24"/>
      <c r="AB1996" s="27"/>
    </row>
    <row r="1997" spans="24:28" x14ac:dyDescent="0.25">
      <c r="X1997" s="24"/>
      <c r="AB1997" s="27"/>
    </row>
    <row r="1998" spans="24:28" x14ac:dyDescent="0.25">
      <c r="X1998" s="24"/>
      <c r="AB1998" s="27"/>
    </row>
    <row r="1999" spans="24:28" x14ac:dyDescent="0.25">
      <c r="X1999" s="24"/>
      <c r="AB1999" s="27"/>
    </row>
    <row r="2000" spans="24:28" x14ac:dyDescent="0.25">
      <c r="X2000" s="24"/>
      <c r="AB2000" s="27"/>
    </row>
    <row r="2001" spans="24:28" x14ac:dyDescent="0.25">
      <c r="X2001" s="24"/>
      <c r="AB2001" s="27"/>
    </row>
    <row r="2002" spans="24:28" x14ac:dyDescent="0.25">
      <c r="X2002" s="24"/>
      <c r="AB2002" s="27"/>
    </row>
    <row r="2003" spans="24:28" x14ac:dyDescent="0.25">
      <c r="X2003" s="24"/>
      <c r="AB2003" s="27"/>
    </row>
    <row r="2004" spans="24:28" x14ac:dyDescent="0.25">
      <c r="X2004" s="24"/>
      <c r="AB2004" s="27"/>
    </row>
    <row r="2005" spans="24:28" x14ac:dyDescent="0.25">
      <c r="X2005" s="24"/>
      <c r="AB2005" s="27"/>
    </row>
    <row r="2006" spans="24:28" x14ac:dyDescent="0.25">
      <c r="X2006" s="24"/>
      <c r="AB2006" s="27"/>
    </row>
    <row r="2007" spans="24:28" x14ac:dyDescent="0.25">
      <c r="X2007" s="24"/>
      <c r="AB2007" s="27"/>
    </row>
    <row r="2008" spans="24:28" x14ac:dyDescent="0.25">
      <c r="X2008" s="24"/>
      <c r="AB2008" s="27"/>
    </row>
    <row r="2009" spans="24:28" x14ac:dyDescent="0.25">
      <c r="X2009" s="24"/>
      <c r="AB2009" s="27"/>
    </row>
    <row r="2010" spans="24:28" x14ac:dyDescent="0.25">
      <c r="X2010" s="24"/>
      <c r="AB2010" s="27"/>
    </row>
    <row r="2011" spans="24:28" x14ac:dyDescent="0.25">
      <c r="X2011" s="24"/>
      <c r="AB2011" s="27"/>
    </row>
    <row r="2012" spans="24:28" x14ac:dyDescent="0.25">
      <c r="X2012" s="24"/>
      <c r="AB2012" s="27"/>
    </row>
    <row r="2013" spans="24:28" x14ac:dyDescent="0.25">
      <c r="X2013" s="24"/>
      <c r="AB2013" s="27"/>
    </row>
    <row r="2014" spans="24:28" x14ac:dyDescent="0.25">
      <c r="X2014" s="24"/>
      <c r="AB2014" s="27"/>
    </row>
    <row r="2015" spans="24:28" x14ac:dyDescent="0.25">
      <c r="X2015" s="24"/>
      <c r="AB2015" s="27"/>
    </row>
    <row r="2016" spans="24:28" x14ac:dyDescent="0.25">
      <c r="X2016" s="24"/>
      <c r="AB2016" s="27"/>
    </row>
    <row r="2017" spans="24:28" x14ac:dyDescent="0.25">
      <c r="X2017" s="24"/>
      <c r="AB2017" s="27"/>
    </row>
    <row r="2018" spans="24:28" x14ac:dyDescent="0.25">
      <c r="X2018" s="24"/>
      <c r="AB2018" s="27"/>
    </row>
    <row r="2019" spans="24:28" x14ac:dyDescent="0.25">
      <c r="X2019" s="24"/>
      <c r="AB2019" s="27"/>
    </row>
    <row r="2020" spans="24:28" x14ac:dyDescent="0.25">
      <c r="X2020" s="24"/>
      <c r="AB2020" s="27"/>
    </row>
    <row r="2021" spans="24:28" x14ac:dyDescent="0.25">
      <c r="X2021" s="24"/>
      <c r="AB2021" s="27"/>
    </row>
    <row r="2022" spans="24:28" x14ac:dyDescent="0.25">
      <c r="X2022" s="24"/>
      <c r="AB2022" s="27"/>
    </row>
    <row r="2023" spans="24:28" x14ac:dyDescent="0.25">
      <c r="X2023" s="24"/>
      <c r="AB2023" s="27"/>
    </row>
    <row r="2024" spans="24:28" x14ac:dyDescent="0.25">
      <c r="X2024" s="24"/>
      <c r="AB2024" s="27"/>
    </row>
    <row r="2025" spans="24:28" x14ac:dyDescent="0.25">
      <c r="X2025" s="24"/>
      <c r="AB2025" s="27"/>
    </row>
    <row r="2026" spans="24:28" x14ac:dyDescent="0.25">
      <c r="X2026" s="24"/>
      <c r="AB2026" s="27"/>
    </row>
    <row r="2027" spans="24:28" x14ac:dyDescent="0.25">
      <c r="X2027" s="24"/>
      <c r="AB2027" s="27"/>
    </row>
    <row r="2028" spans="24:28" x14ac:dyDescent="0.25">
      <c r="X2028" s="24"/>
      <c r="AB2028" s="27"/>
    </row>
    <row r="2029" spans="24:28" x14ac:dyDescent="0.25">
      <c r="X2029" s="24"/>
      <c r="AB2029" s="27"/>
    </row>
    <row r="2030" spans="24:28" x14ac:dyDescent="0.25">
      <c r="X2030" s="24"/>
      <c r="AB2030" s="27"/>
    </row>
    <row r="2031" spans="24:28" x14ac:dyDescent="0.25">
      <c r="X2031" s="24"/>
      <c r="AB2031" s="27"/>
    </row>
    <row r="2032" spans="24:28" x14ac:dyDescent="0.25">
      <c r="X2032" s="24"/>
      <c r="AB2032" s="27"/>
    </row>
    <row r="2033" spans="24:28" x14ac:dyDescent="0.25">
      <c r="X2033" s="24"/>
      <c r="AB2033" s="27"/>
    </row>
    <row r="2034" spans="24:28" x14ac:dyDescent="0.25">
      <c r="X2034" s="24"/>
      <c r="AB2034" s="27"/>
    </row>
    <row r="2035" spans="24:28" x14ac:dyDescent="0.25">
      <c r="X2035" s="24"/>
      <c r="AB2035" s="27"/>
    </row>
    <row r="2036" spans="24:28" x14ac:dyDescent="0.25">
      <c r="X2036" s="24"/>
      <c r="AB2036" s="27"/>
    </row>
    <row r="2037" spans="24:28" x14ac:dyDescent="0.25">
      <c r="X2037" s="24"/>
      <c r="AB2037" s="27"/>
    </row>
    <row r="2038" spans="24:28" x14ac:dyDescent="0.25">
      <c r="X2038" s="24"/>
      <c r="AB2038" s="27"/>
    </row>
    <row r="2039" spans="24:28" x14ac:dyDescent="0.25">
      <c r="X2039" s="24"/>
      <c r="AB2039" s="27"/>
    </row>
    <row r="2040" spans="24:28" x14ac:dyDescent="0.25">
      <c r="X2040" s="24"/>
      <c r="AB2040" s="27"/>
    </row>
    <row r="2041" spans="24:28" x14ac:dyDescent="0.25">
      <c r="X2041" s="24"/>
      <c r="AB2041" s="27"/>
    </row>
    <row r="2042" spans="24:28" x14ac:dyDescent="0.25">
      <c r="X2042" s="24"/>
      <c r="AB2042" s="27"/>
    </row>
    <row r="2043" spans="24:28" x14ac:dyDescent="0.25">
      <c r="X2043" s="24"/>
      <c r="AB2043" s="27"/>
    </row>
    <row r="2044" spans="24:28" x14ac:dyDescent="0.25">
      <c r="X2044" s="24"/>
      <c r="AB2044" s="27"/>
    </row>
    <row r="2045" spans="24:28" x14ac:dyDescent="0.25">
      <c r="X2045" s="24"/>
      <c r="AB2045" s="27"/>
    </row>
    <row r="2046" spans="24:28" x14ac:dyDescent="0.25">
      <c r="X2046" s="24"/>
      <c r="AB2046" s="27"/>
    </row>
    <row r="2047" spans="24:28" x14ac:dyDescent="0.25">
      <c r="X2047" s="24"/>
      <c r="AB2047" s="27"/>
    </row>
    <row r="2048" spans="24:28" x14ac:dyDescent="0.25">
      <c r="X2048" s="24"/>
      <c r="AB2048" s="27"/>
    </row>
    <row r="2049" spans="24:28" x14ac:dyDescent="0.25">
      <c r="X2049" s="24"/>
      <c r="AB2049" s="27"/>
    </row>
    <row r="2050" spans="24:28" x14ac:dyDescent="0.25">
      <c r="X2050" s="24"/>
      <c r="AB2050" s="27"/>
    </row>
    <row r="2051" spans="24:28" x14ac:dyDescent="0.25">
      <c r="X2051" s="24"/>
      <c r="AB2051" s="27"/>
    </row>
    <row r="2052" spans="24:28" x14ac:dyDescent="0.25">
      <c r="X2052" s="24"/>
      <c r="AB2052" s="27"/>
    </row>
    <row r="2053" spans="24:28" x14ac:dyDescent="0.25">
      <c r="X2053" s="24"/>
      <c r="AB2053" s="27"/>
    </row>
    <row r="2054" spans="24:28" x14ac:dyDescent="0.25">
      <c r="X2054" s="24"/>
      <c r="AB2054" s="27"/>
    </row>
    <row r="2055" spans="24:28" x14ac:dyDescent="0.25">
      <c r="X2055" s="24"/>
      <c r="AB2055" s="27"/>
    </row>
    <row r="2056" spans="24:28" x14ac:dyDescent="0.25">
      <c r="X2056" s="24"/>
      <c r="AB2056" s="27"/>
    </row>
    <row r="2057" spans="24:28" x14ac:dyDescent="0.25">
      <c r="X2057" s="24"/>
      <c r="AB2057" s="27"/>
    </row>
    <row r="2058" spans="24:28" x14ac:dyDescent="0.25">
      <c r="X2058" s="24"/>
      <c r="AB2058" s="27"/>
    </row>
    <row r="2059" spans="24:28" x14ac:dyDescent="0.25">
      <c r="X2059" s="24"/>
      <c r="AB2059" s="27"/>
    </row>
    <row r="2060" spans="24:28" x14ac:dyDescent="0.25">
      <c r="X2060" s="24"/>
      <c r="AB2060" s="27"/>
    </row>
    <row r="2061" spans="24:28" x14ac:dyDescent="0.25">
      <c r="X2061" s="24"/>
      <c r="AB2061" s="27"/>
    </row>
    <row r="2062" spans="24:28" x14ac:dyDescent="0.25">
      <c r="X2062" s="24"/>
      <c r="AB2062" s="27"/>
    </row>
    <row r="2063" spans="24:28" x14ac:dyDescent="0.25">
      <c r="X2063" s="24"/>
      <c r="AB2063" s="27"/>
    </row>
    <row r="2064" spans="24:28" x14ac:dyDescent="0.25">
      <c r="X2064" s="24"/>
      <c r="AB2064" s="27"/>
    </row>
    <row r="2065" spans="24:28" x14ac:dyDescent="0.25">
      <c r="X2065" s="24"/>
      <c r="AB2065" s="27"/>
    </row>
    <row r="2066" spans="24:28" x14ac:dyDescent="0.25">
      <c r="X2066" s="24"/>
      <c r="AB2066" s="27"/>
    </row>
    <row r="2067" spans="24:28" x14ac:dyDescent="0.25">
      <c r="X2067" s="24"/>
      <c r="AB2067" s="27"/>
    </row>
    <row r="2068" spans="24:28" x14ac:dyDescent="0.25">
      <c r="X2068" s="24"/>
      <c r="AB2068" s="27"/>
    </row>
    <row r="2069" spans="24:28" x14ac:dyDescent="0.25">
      <c r="X2069" s="24"/>
      <c r="AB2069" s="27"/>
    </row>
    <row r="2070" spans="24:28" x14ac:dyDescent="0.25">
      <c r="X2070" s="24"/>
      <c r="AB2070" s="27"/>
    </row>
    <row r="2071" spans="24:28" x14ac:dyDescent="0.25">
      <c r="X2071" s="24"/>
      <c r="AB2071" s="27"/>
    </row>
    <row r="2072" spans="24:28" x14ac:dyDescent="0.25">
      <c r="X2072" s="24"/>
      <c r="AB2072" s="27"/>
    </row>
    <row r="2073" spans="24:28" x14ac:dyDescent="0.25">
      <c r="X2073" s="24"/>
      <c r="AB2073" s="27"/>
    </row>
    <row r="2074" spans="24:28" x14ac:dyDescent="0.25">
      <c r="X2074" s="24"/>
      <c r="AB2074" s="27"/>
    </row>
    <row r="2075" spans="24:28" x14ac:dyDescent="0.25">
      <c r="X2075" s="24"/>
      <c r="AB2075" s="27"/>
    </row>
    <row r="2076" spans="24:28" x14ac:dyDescent="0.25">
      <c r="X2076" s="24"/>
      <c r="AB2076" s="27"/>
    </row>
    <row r="2077" spans="24:28" x14ac:dyDescent="0.25">
      <c r="X2077" s="24"/>
      <c r="AB2077" s="27"/>
    </row>
    <row r="2078" spans="24:28" x14ac:dyDescent="0.25">
      <c r="X2078" s="24"/>
      <c r="AB2078" s="27"/>
    </row>
    <row r="2079" spans="24:28" x14ac:dyDescent="0.25">
      <c r="X2079" s="24"/>
      <c r="AB2079" s="27"/>
    </row>
    <row r="2080" spans="24:28" x14ac:dyDescent="0.25">
      <c r="X2080" s="24"/>
      <c r="AB2080" s="27"/>
    </row>
    <row r="2081" spans="24:28" x14ac:dyDescent="0.25">
      <c r="X2081" s="24"/>
      <c r="AB2081" s="27"/>
    </row>
    <row r="2082" spans="24:28" x14ac:dyDescent="0.25">
      <c r="X2082" s="24"/>
      <c r="AB2082" s="27"/>
    </row>
    <row r="2083" spans="24:28" x14ac:dyDescent="0.25">
      <c r="X2083" s="24"/>
      <c r="AB2083" s="27"/>
    </row>
    <row r="2084" spans="24:28" x14ac:dyDescent="0.25">
      <c r="X2084" s="24"/>
      <c r="AB2084" s="27"/>
    </row>
    <row r="2085" spans="24:28" x14ac:dyDescent="0.25">
      <c r="X2085" s="24"/>
      <c r="AB2085" s="27"/>
    </row>
    <row r="2086" spans="24:28" x14ac:dyDescent="0.25">
      <c r="X2086" s="24"/>
      <c r="AB2086" s="27"/>
    </row>
    <row r="2087" spans="24:28" x14ac:dyDescent="0.25">
      <c r="X2087" s="24"/>
      <c r="AB2087" s="27"/>
    </row>
    <row r="2088" spans="24:28" x14ac:dyDescent="0.25">
      <c r="X2088" s="24"/>
      <c r="AB2088" s="27"/>
    </row>
    <row r="2089" spans="24:28" x14ac:dyDescent="0.25">
      <c r="X2089" s="24"/>
      <c r="AB2089" s="27"/>
    </row>
    <row r="2090" spans="24:28" x14ac:dyDescent="0.25">
      <c r="X2090" s="24"/>
      <c r="AB2090" s="27"/>
    </row>
    <row r="2091" spans="24:28" x14ac:dyDescent="0.25">
      <c r="X2091" s="24"/>
      <c r="AB2091" s="27"/>
    </row>
    <row r="2092" spans="24:28" x14ac:dyDescent="0.25">
      <c r="X2092" s="24"/>
      <c r="AB2092" s="27"/>
    </row>
    <row r="2093" spans="24:28" x14ac:dyDescent="0.25">
      <c r="X2093" s="24"/>
      <c r="AB2093" s="27"/>
    </row>
    <row r="2094" spans="24:28" x14ac:dyDescent="0.25">
      <c r="X2094" s="24"/>
      <c r="AB2094" s="27"/>
    </row>
    <row r="2095" spans="24:28" x14ac:dyDescent="0.25">
      <c r="X2095" s="24"/>
      <c r="AB2095" s="27"/>
    </row>
    <row r="2096" spans="24:28" x14ac:dyDescent="0.25">
      <c r="X2096" s="24"/>
      <c r="AB2096" s="27"/>
    </row>
    <row r="2097" spans="24:28" x14ac:dyDescent="0.25">
      <c r="X2097" s="24"/>
      <c r="AB2097" s="27"/>
    </row>
    <row r="2098" spans="24:28" x14ac:dyDescent="0.25">
      <c r="X2098" s="24"/>
      <c r="AB2098" s="27"/>
    </row>
    <row r="2099" spans="24:28" x14ac:dyDescent="0.25">
      <c r="X2099" s="24"/>
      <c r="AB2099" s="27"/>
    </row>
    <row r="2100" spans="24:28" x14ac:dyDescent="0.25">
      <c r="X2100" s="24"/>
      <c r="AB2100" s="27"/>
    </row>
    <row r="2101" spans="24:28" x14ac:dyDescent="0.25">
      <c r="X2101" s="24"/>
      <c r="AB2101" s="27"/>
    </row>
    <row r="2102" spans="24:28" x14ac:dyDescent="0.25">
      <c r="X2102" s="24"/>
      <c r="AB2102" s="27"/>
    </row>
    <row r="2103" spans="24:28" x14ac:dyDescent="0.25">
      <c r="X2103" s="24"/>
      <c r="AB2103" s="27"/>
    </row>
    <row r="2104" spans="24:28" x14ac:dyDescent="0.25">
      <c r="X2104" s="24"/>
      <c r="AB2104" s="27"/>
    </row>
    <row r="2105" spans="24:28" x14ac:dyDescent="0.25">
      <c r="X2105" s="24"/>
      <c r="AB2105" s="27"/>
    </row>
    <row r="2106" spans="24:28" x14ac:dyDescent="0.25">
      <c r="X2106" s="24"/>
      <c r="AB2106" s="27"/>
    </row>
    <row r="2107" spans="24:28" x14ac:dyDescent="0.25">
      <c r="X2107" s="24"/>
      <c r="AB2107" s="27"/>
    </row>
    <row r="2108" spans="24:28" x14ac:dyDescent="0.25">
      <c r="X2108" s="24"/>
      <c r="AB2108" s="27"/>
    </row>
    <row r="2109" spans="24:28" x14ac:dyDescent="0.25">
      <c r="X2109" s="24"/>
      <c r="AB2109" s="27"/>
    </row>
    <row r="2110" spans="24:28" x14ac:dyDescent="0.25">
      <c r="X2110" s="24"/>
      <c r="AB2110" s="27"/>
    </row>
    <row r="2111" spans="24:28" x14ac:dyDescent="0.25">
      <c r="X2111" s="24"/>
      <c r="AB2111" s="27"/>
    </row>
    <row r="2112" spans="24:28" x14ac:dyDescent="0.25">
      <c r="X2112" s="24"/>
      <c r="AB2112" s="27"/>
    </row>
    <row r="2113" spans="24:28" x14ac:dyDescent="0.25">
      <c r="X2113" s="24"/>
      <c r="AB2113" s="27"/>
    </row>
    <row r="2114" spans="24:28" x14ac:dyDescent="0.25">
      <c r="X2114" s="24"/>
      <c r="AB2114" s="27"/>
    </row>
    <row r="2115" spans="24:28" x14ac:dyDescent="0.25">
      <c r="X2115" s="24"/>
      <c r="AB2115" s="27"/>
    </row>
    <row r="2116" spans="24:28" x14ac:dyDescent="0.25">
      <c r="X2116" s="24"/>
      <c r="AB2116" s="27"/>
    </row>
    <row r="2117" spans="24:28" x14ac:dyDescent="0.25">
      <c r="X2117" s="24"/>
      <c r="AB2117" s="27"/>
    </row>
    <row r="2118" spans="24:28" x14ac:dyDescent="0.25">
      <c r="X2118" s="24"/>
      <c r="AB2118" s="27"/>
    </row>
    <row r="2119" spans="24:28" x14ac:dyDescent="0.25">
      <c r="X2119" s="24"/>
      <c r="AB2119" s="27"/>
    </row>
    <row r="2120" spans="24:28" x14ac:dyDescent="0.25">
      <c r="X2120" s="24"/>
      <c r="AB2120" s="27"/>
    </row>
    <row r="2121" spans="24:28" x14ac:dyDescent="0.25">
      <c r="X2121" s="24"/>
      <c r="AB2121" s="27"/>
    </row>
    <row r="2122" spans="24:28" x14ac:dyDescent="0.25">
      <c r="X2122" s="24"/>
      <c r="AB2122" s="27"/>
    </row>
    <row r="2123" spans="24:28" x14ac:dyDescent="0.25">
      <c r="X2123" s="24"/>
      <c r="AB2123" s="27"/>
    </row>
    <row r="2124" spans="24:28" x14ac:dyDescent="0.25">
      <c r="X2124" s="24"/>
      <c r="AB2124" s="27"/>
    </row>
    <row r="2125" spans="24:28" x14ac:dyDescent="0.25">
      <c r="X2125" s="24"/>
      <c r="AB2125" s="27"/>
    </row>
    <row r="2126" spans="24:28" x14ac:dyDescent="0.25">
      <c r="X2126" s="24"/>
      <c r="AB2126" s="27"/>
    </row>
    <row r="2127" spans="24:28" x14ac:dyDescent="0.25">
      <c r="X2127" s="24"/>
      <c r="AB2127" s="27"/>
    </row>
    <row r="2128" spans="24:28" x14ac:dyDescent="0.25">
      <c r="X2128" s="24"/>
      <c r="AB2128" s="27"/>
    </row>
    <row r="2129" spans="24:28" x14ac:dyDescent="0.25">
      <c r="X2129" s="24"/>
      <c r="AB2129" s="27"/>
    </row>
    <row r="2130" spans="24:28" x14ac:dyDescent="0.25">
      <c r="X2130" s="24"/>
      <c r="AB2130" s="27"/>
    </row>
    <row r="2131" spans="24:28" x14ac:dyDescent="0.25">
      <c r="X2131" s="24"/>
      <c r="AB2131" s="27"/>
    </row>
    <row r="2132" spans="24:28" x14ac:dyDescent="0.25">
      <c r="X2132" s="24"/>
      <c r="AB2132" s="27"/>
    </row>
    <row r="2133" spans="24:28" x14ac:dyDescent="0.25">
      <c r="X2133" s="24"/>
      <c r="AB2133" s="27"/>
    </row>
    <row r="2134" spans="24:28" x14ac:dyDescent="0.25">
      <c r="X2134" s="24"/>
      <c r="AB2134" s="27"/>
    </row>
    <row r="2135" spans="24:28" x14ac:dyDescent="0.25">
      <c r="X2135" s="24"/>
      <c r="AB2135" s="27"/>
    </row>
    <row r="2136" spans="24:28" x14ac:dyDescent="0.25">
      <c r="X2136" s="24"/>
      <c r="AB2136" s="27"/>
    </row>
    <row r="2137" spans="24:28" x14ac:dyDescent="0.25">
      <c r="X2137" s="24"/>
      <c r="AB2137" s="27"/>
    </row>
    <row r="2138" spans="24:28" x14ac:dyDescent="0.25">
      <c r="X2138" s="24"/>
      <c r="AB2138" s="27"/>
    </row>
    <row r="2139" spans="24:28" x14ac:dyDescent="0.25">
      <c r="X2139" s="24"/>
      <c r="AB2139" s="27"/>
    </row>
    <row r="2140" spans="24:28" x14ac:dyDescent="0.25">
      <c r="X2140" s="24"/>
      <c r="AB2140" s="27"/>
    </row>
    <row r="2141" spans="24:28" x14ac:dyDescent="0.25">
      <c r="X2141" s="24"/>
      <c r="AB2141" s="27"/>
    </row>
    <row r="2142" spans="24:28" x14ac:dyDescent="0.25">
      <c r="X2142" s="24"/>
      <c r="AB2142" s="27"/>
    </row>
    <row r="2143" spans="24:28" x14ac:dyDescent="0.25">
      <c r="X2143" s="24"/>
      <c r="AB2143" s="27"/>
    </row>
    <row r="2144" spans="24:28" x14ac:dyDescent="0.25">
      <c r="X2144" s="24"/>
      <c r="AB2144" s="27"/>
    </row>
    <row r="2145" spans="24:28" x14ac:dyDescent="0.25">
      <c r="X2145" s="24"/>
      <c r="AB2145" s="27"/>
    </row>
    <row r="2146" spans="24:28" x14ac:dyDescent="0.25">
      <c r="X2146" s="24"/>
      <c r="AB2146" s="27"/>
    </row>
    <row r="2147" spans="24:28" x14ac:dyDescent="0.25">
      <c r="X2147" s="24"/>
      <c r="AB2147" s="27"/>
    </row>
    <row r="2148" spans="24:28" x14ac:dyDescent="0.25">
      <c r="X2148" s="24"/>
      <c r="AB2148" s="27"/>
    </row>
    <row r="2149" spans="24:28" x14ac:dyDescent="0.25">
      <c r="X2149" s="24"/>
      <c r="AB2149" s="27"/>
    </row>
    <row r="2150" spans="24:28" x14ac:dyDescent="0.25">
      <c r="X2150" s="24"/>
      <c r="AB2150" s="27"/>
    </row>
    <row r="2151" spans="24:28" x14ac:dyDescent="0.25">
      <c r="X2151" s="24"/>
      <c r="AB2151" s="27"/>
    </row>
    <row r="2152" spans="24:28" x14ac:dyDescent="0.25">
      <c r="X2152" s="24"/>
      <c r="AB2152" s="27"/>
    </row>
    <row r="2153" spans="24:28" x14ac:dyDescent="0.25">
      <c r="X2153" s="24"/>
      <c r="AB2153" s="27"/>
    </row>
    <row r="2154" spans="24:28" x14ac:dyDescent="0.25">
      <c r="X2154" s="24"/>
      <c r="AB2154" s="27"/>
    </row>
    <row r="2155" spans="24:28" x14ac:dyDescent="0.25">
      <c r="X2155" s="24"/>
      <c r="AB2155" s="27"/>
    </row>
    <row r="2156" spans="24:28" x14ac:dyDescent="0.25">
      <c r="X2156" s="24"/>
      <c r="AB2156" s="27"/>
    </row>
    <row r="2157" spans="24:28" x14ac:dyDescent="0.25">
      <c r="X2157" s="24"/>
      <c r="AB2157" s="27"/>
    </row>
    <row r="2158" spans="24:28" x14ac:dyDescent="0.25">
      <c r="X2158" s="24"/>
      <c r="AB2158" s="27"/>
    </row>
    <row r="2159" spans="24:28" x14ac:dyDescent="0.25">
      <c r="X2159" s="24"/>
      <c r="AB2159" s="27"/>
    </row>
    <row r="2160" spans="24:28" x14ac:dyDescent="0.25">
      <c r="X2160" s="24"/>
      <c r="AB2160" s="27"/>
    </row>
    <row r="2161" spans="24:28" x14ac:dyDescent="0.25">
      <c r="X2161" s="24"/>
      <c r="AB2161" s="27"/>
    </row>
    <row r="2162" spans="24:28" x14ac:dyDescent="0.25">
      <c r="X2162" s="24"/>
      <c r="AB2162" s="27"/>
    </row>
    <row r="2163" spans="24:28" x14ac:dyDescent="0.25">
      <c r="X2163" s="24"/>
      <c r="AB2163" s="27"/>
    </row>
    <row r="2164" spans="24:28" x14ac:dyDescent="0.25">
      <c r="X2164" s="24"/>
      <c r="AB2164" s="27"/>
    </row>
    <row r="2165" spans="24:28" x14ac:dyDescent="0.25">
      <c r="X2165" s="24"/>
      <c r="AB2165" s="27"/>
    </row>
    <row r="2166" spans="24:28" x14ac:dyDescent="0.25">
      <c r="X2166" s="24"/>
      <c r="AB2166" s="27"/>
    </row>
    <row r="2167" spans="24:28" x14ac:dyDescent="0.25">
      <c r="X2167" s="24"/>
      <c r="AB2167" s="27"/>
    </row>
    <row r="2168" spans="24:28" x14ac:dyDescent="0.25">
      <c r="X2168" s="24"/>
      <c r="AB2168" s="27"/>
    </row>
    <row r="2169" spans="24:28" x14ac:dyDescent="0.25">
      <c r="X2169" s="24"/>
      <c r="AB2169" s="27"/>
    </row>
    <row r="2170" spans="24:28" x14ac:dyDescent="0.25">
      <c r="X2170" s="24"/>
      <c r="AB2170" s="27"/>
    </row>
    <row r="2171" spans="24:28" x14ac:dyDescent="0.25">
      <c r="X2171" s="24"/>
      <c r="AB2171" s="27"/>
    </row>
    <row r="2172" spans="24:28" x14ac:dyDescent="0.25">
      <c r="X2172" s="24"/>
      <c r="AB2172" s="27"/>
    </row>
    <row r="2173" spans="24:28" x14ac:dyDescent="0.25">
      <c r="X2173" s="24"/>
      <c r="AB2173" s="27"/>
    </row>
    <row r="2174" spans="24:28" x14ac:dyDescent="0.25">
      <c r="X2174" s="24"/>
      <c r="AB2174" s="27"/>
    </row>
    <row r="2175" spans="24:28" x14ac:dyDescent="0.25">
      <c r="X2175" s="24"/>
      <c r="AB2175" s="27"/>
    </row>
    <row r="2176" spans="24:28" x14ac:dyDescent="0.25">
      <c r="X2176" s="24"/>
      <c r="AB2176" s="27"/>
    </row>
    <row r="2177" spans="24:28" x14ac:dyDescent="0.25">
      <c r="X2177" s="24"/>
      <c r="AB2177" s="27"/>
    </row>
    <row r="2178" spans="24:28" x14ac:dyDescent="0.25">
      <c r="X2178" s="24"/>
      <c r="AB2178" s="27"/>
    </row>
    <row r="2179" spans="24:28" x14ac:dyDescent="0.25">
      <c r="X2179" s="24"/>
      <c r="AB2179" s="27"/>
    </row>
    <row r="2180" spans="24:28" x14ac:dyDescent="0.25">
      <c r="X2180" s="24"/>
      <c r="AB2180" s="27"/>
    </row>
    <row r="2181" spans="24:28" x14ac:dyDescent="0.25">
      <c r="X2181" s="24"/>
      <c r="AB2181" s="27"/>
    </row>
    <row r="2182" spans="24:28" x14ac:dyDescent="0.25">
      <c r="X2182" s="24"/>
      <c r="AB2182" s="27"/>
    </row>
    <row r="2183" spans="24:28" x14ac:dyDescent="0.25">
      <c r="X2183" s="24"/>
      <c r="AB2183" s="27"/>
    </row>
    <row r="2184" spans="24:28" x14ac:dyDescent="0.25">
      <c r="X2184" s="24"/>
      <c r="AB2184" s="27"/>
    </row>
    <row r="2185" spans="24:28" x14ac:dyDescent="0.25">
      <c r="X2185" s="24"/>
      <c r="AB2185" s="27"/>
    </row>
    <row r="2186" spans="24:28" x14ac:dyDescent="0.25">
      <c r="X2186" s="24"/>
      <c r="AB2186" s="27"/>
    </row>
    <row r="2187" spans="24:28" x14ac:dyDescent="0.25">
      <c r="X2187" s="24"/>
      <c r="AB2187" s="27"/>
    </row>
    <row r="2188" spans="24:28" x14ac:dyDescent="0.25">
      <c r="X2188" s="24"/>
      <c r="AB2188" s="27"/>
    </row>
    <row r="2189" spans="24:28" x14ac:dyDescent="0.25">
      <c r="X2189" s="24"/>
      <c r="AB2189" s="27"/>
    </row>
    <row r="2190" spans="24:28" x14ac:dyDescent="0.25">
      <c r="X2190" s="24"/>
      <c r="AB2190" s="27"/>
    </row>
    <row r="2191" spans="24:28" x14ac:dyDescent="0.25">
      <c r="X2191" s="24"/>
      <c r="AB2191" s="27"/>
    </row>
    <row r="2192" spans="24:28" x14ac:dyDescent="0.25">
      <c r="X2192" s="24"/>
      <c r="AB2192" s="27"/>
    </row>
    <row r="2193" spans="24:28" x14ac:dyDescent="0.25">
      <c r="X2193" s="24"/>
      <c r="AB2193" s="27"/>
    </row>
    <row r="2194" spans="24:28" x14ac:dyDescent="0.25">
      <c r="X2194" s="24"/>
      <c r="AB2194" s="27"/>
    </row>
    <row r="2195" spans="24:28" x14ac:dyDescent="0.25">
      <c r="X2195" s="24"/>
      <c r="AB2195" s="27"/>
    </row>
    <row r="2196" spans="24:28" x14ac:dyDescent="0.25">
      <c r="X2196" s="24"/>
      <c r="AB2196" s="27"/>
    </row>
    <row r="2197" spans="24:28" x14ac:dyDescent="0.25">
      <c r="X2197" s="24"/>
      <c r="AB2197" s="27"/>
    </row>
    <row r="2198" spans="24:28" x14ac:dyDescent="0.25">
      <c r="X2198" s="24"/>
      <c r="AB2198" s="27"/>
    </row>
    <row r="2199" spans="24:28" x14ac:dyDescent="0.25">
      <c r="X2199" s="24"/>
      <c r="AB2199" s="27"/>
    </row>
    <row r="2200" spans="24:28" x14ac:dyDescent="0.25">
      <c r="X2200" s="24"/>
      <c r="AB2200" s="27"/>
    </row>
    <row r="2201" spans="24:28" x14ac:dyDescent="0.25">
      <c r="X2201" s="24"/>
      <c r="AB2201" s="27"/>
    </row>
    <row r="2202" spans="24:28" x14ac:dyDescent="0.25">
      <c r="X2202" s="24"/>
      <c r="AB2202" s="27"/>
    </row>
    <row r="2203" spans="24:28" x14ac:dyDescent="0.25">
      <c r="X2203" s="24"/>
      <c r="AB2203" s="27"/>
    </row>
    <row r="2204" spans="24:28" x14ac:dyDescent="0.25">
      <c r="X2204" s="24"/>
      <c r="AB2204" s="27"/>
    </row>
    <row r="2205" spans="24:28" x14ac:dyDescent="0.25">
      <c r="X2205" s="24"/>
      <c r="AB2205" s="27"/>
    </row>
    <row r="2206" spans="24:28" x14ac:dyDescent="0.25">
      <c r="X2206" s="24"/>
      <c r="AB2206" s="27"/>
    </row>
    <row r="2207" spans="24:28" x14ac:dyDescent="0.25">
      <c r="X2207" s="24"/>
      <c r="AB2207" s="27"/>
    </row>
    <row r="2208" spans="24:28" x14ac:dyDescent="0.25">
      <c r="X2208" s="24"/>
      <c r="AB2208" s="27"/>
    </row>
    <row r="2209" spans="24:28" x14ac:dyDescent="0.25">
      <c r="X2209" s="24"/>
      <c r="AB2209" s="27"/>
    </row>
    <row r="2210" spans="24:28" x14ac:dyDescent="0.25">
      <c r="X2210" s="24"/>
      <c r="AB2210" s="27"/>
    </row>
    <row r="2211" spans="24:28" x14ac:dyDescent="0.25">
      <c r="X2211" s="24"/>
      <c r="AB2211" s="27"/>
    </row>
    <row r="2212" spans="24:28" x14ac:dyDescent="0.25">
      <c r="X2212" s="24"/>
      <c r="AB2212" s="27"/>
    </row>
    <row r="2213" spans="24:28" x14ac:dyDescent="0.25">
      <c r="X2213" s="24"/>
      <c r="AB2213" s="27"/>
    </row>
    <row r="2214" spans="24:28" x14ac:dyDescent="0.25">
      <c r="X2214" s="24"/>
      <c r="AB2214" s="27"/>
    </row>
    <row r="2215" spans="24:28" x14ac:dyDescent="0.25">
      <c r="X2215" s="24"/>
      <c r="AB2215" s="27"/>
    </row>
    <row r="2216" spans="24:28" x14ac:dyDescent="0.25">
      <c r="X2216" s="24"/>
      <c r="AB2216" s="27"/>
    </row>
    <row r="2217" spans="24:28" x14ac:dyDescent="0.25">
      <c r="X2217" s="24"/>
      <c r="AB2217" s="27"/>
    </row>
    <row r="2218" spans="24:28" x14ac:dyDescent="0.25">
      <c r="X2218" s="24"/>
      <c r="AB2218" s="27"/>
    </row>
    <row r="2219" spans="24:28" x14ac:dyDescent="0.25">
      <c r="X2219" s="24"/>
      <c r="AB2219" s="27"/>
    </row>
    <row r="2220" spans="24:28" x14ac:dyDescent="0.25">
      <c r="X2220" s="24"/>
      <c r="AB2220" s="27"/>
    </row>
    <row r="2221" spans="24:28" x14ac:dyDescent="0.25">
      <c r="X2221" s="24"/>
      <c r="AB2221" s="27"/>
    </row>
    <row r="2222" spans="24:28" x14ac:dyDescent="0.25">
      <c r="X2222" s="24"/>
      <c r="AB2222" s="27"/>
    </row>
    <row r="2223" spans="24:28" x14ac:dyDescent="0.25">
      <c r="X2223" s="24"/>
      <c r="AB2223" s="27"/>
    </row>
    <row r="2224" spans="24:28" x14ac:dyDescent="0.25">
      <c r="X2224" s="24"/>
      <c r="AB2224" s="27"/>
    </row>
    <row r="2225" spans="24:28" x14ac:dyDescent="0.25">
      <c r="X2225" s="24"/>
      <c r="AB2225" s="27"/>
    </row>
    <row r="2226" spans="24:28" x14ac:dyDescent="0.25">
      <c r="X2226" s="24"/>
      <c r="AB2226" s="27"/>
    </row>
    <row r="2227" spans="24:28" x14ac:dyDescent="0.25">
      <c r="X2227" s="24"/>
      <c r="AB2227" s="27"/>
    </row>
    <row r="2228" spans="24:28" x14ac:dyDescent="0.25">
      <c r="X2228" s="24"/>
      <c r="AB2228" s="27"/>
    </row>
    <row r="2229" spans="24:28" x14ac:dyDescent="0.25">
      <c r="X2229" s="24"/>
      <c r="AB2229" s="27"/>
    </row>
    <row r="2230" spans="24:28" x14ac:dyDescent="0.25">
      <c r="X2230" s="24"/>
      <c r="AB2230" s="27"/>
    </row>
    <row r="2231" spans="24:28" x14ac:dyDescent="0.25">
      <c r="X2231" s="24"/>
      <c r="AB2231" s="27"/>
    </row>
    <row r="2232" spans="24:28" x14ac:dyDescent="0.25">
      <c r="X2232" s="24"/>
      <c r="AB2232" s="27"/>
    </row>
    <row r="2233" spans="24:28" x14ac:dyDescent="0.25">
      <c r="X2233" s="24"/>
      <c r="AB2233" s="27"/>
    </row>
    <row r="2234" spans="24:28" x14ac:dyDescent="0.25">
      <c r="X2234" s="24"/>
      <c r="AB2234" s="27"/>
    </row>
    <row r="2235" spans="24:28" x14ac:dyDescent="0.25">
      <c r="X2235" s="24"/>
      <c r="AB2235" s="27"/>
    </row>
    <row r="2236" spans="24:28" x14ac:dyDescent="0.25">
      <c r="X2236" s="24"/>
      <c r="AB2236" s="27"/>
    </row>
    <row r="2237" spans="24:28" x14ac:dyDescent="0.25">
      <c r="X2237" s="24"/>
      <c r="AB2237" s="27"/>
    </row>
    <row r="2238" spans="24:28" x14ac:dyDescent="0.25">
      <c r="X2238" s="24"/>
      <c r="AB2238" s="27"/>
    </row>
    <row r="2239" spans="24:28" x14ac:dyDescent="0.25">
      <c r="X2239" s="24"/>
      <c r="AB2239" s="27"/>
    </row>
    <row r="2240" spans="24:28" x14ac:dyDescent="0.25">
      <c r="X2240" s="24"/>
      <c r="AB2240" s="27"/>
    </row>
    <row r="2241" spans="24:28" x14ac:dyDescent="0.25">
      <c r="X2241" s="24"/>
      <c r="AB2241" s="27"/>
    </row>
    <row r="2242" spans="24:28" x14ac:dyDescent="0.25">
      <c r="X2242" s="24"/>
      <c r="AB2242" s="27"/>
    </row>
    <row r="2243" spans="24:28" x14ac:dyDescent="0.25">
      <c r="X2243" s="24"/>
      <c r="AB2243" s="27"/>
    </row>
    <row r="2244" spans="24:28" x14ac:dyDescent="0.25">
      <c r="X2244" s="24"/>
      <c r="AB2244" s="27"/>
    </row>
    <row r="2245" spans="24:28" x14ac:dyDescent="0.25">
      <c r="X2245" s="24"/>
      <c r="AB2245" s="27"/>
    </row>
    <row r="2246" spans="24:28" x14ac:dyDescent="0.25">
      <c r="X2246" s="24"/>
      <c r="AB2246" s="27"/>
    </row>
  </sheetData>
  <pageMargins left="0.78740157499999996" right="0.78740157499999996" top="0.984251969" bottom="0.984251969" header="0.5" footer="0.5"/>
  <headerFooter alignWithMargins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4">
    <tabColor indexed="29"/>
  </sheetPr>
  <dimension ref="A3:B245"/>
  <sheetViews>
    <sheetView showGridLines="0" zoomScale="85" workbookViewId="0">
      <pane xSplit="1" ySplit="6" topLeftCell="B7" activePane="bottomRight" state="frozen"/>
      <selection pane="topRight"/>
      <selection pane="bottomLeft"/>
      <selection pane="bottomRight" activeCell="A6" sqref="A6"/>
    </sheetView>
  </sheetViews>
  <sheetFormatPr defaultColWidth="11.453125" defaultRowHeight="12.5" x14ac:dyDescent="0.25"/>
  <cols>
    <col min="1" max="1" width="14.26953125" style="19" customWidth="1"/>
    <col min="2" max="2" width="7.453125" style="19" customWidth="1"/>
    <col min="3" max="16384" width="11.453125" style="19"/>
  </cols>
  <sheetData>
    <row r="3" spans="1:2" ht="14.5" x14ac:dyDescent="0.35">
      <c r="A3" s="150" t="s">
        <v>173</v>
      </c>
      <c r="B3" s="151" t="s">
        <v>200</v>
      </c>
    </row>
    <row r="5" spans="1:2" ht="14.5" x14ac:dyDescent="0.35">
      <c r="A5" s="145" t="s">
        <v>263</v>
      </c>
      <c r="B5" s="146"/>
    </row>
    <row r="6" spans="1:2" ht="14.5" x14ac:dyDescent="0.35">
      <c r="A6" s="145" t="s">
        <v>191</v>
      </c>
      <c r="B6" s="146" t="s">
        <v>441</v>
      </c>
    </row>
    <row r="7" spans="1:2" ht="14.5" x14ac:dyDescent="0.35">
      <c r="A7" s="147">
        <v>41635</v>
      </c>
      <c r="B7" s="152">
        <v>-40322</v>
      </c>
    </row>
    <row r="8" spans="1:2" ht="14.5" x14ac:dyDescent="0.35">
      <c r="A8" s="148">
        <v>41638</v>
      </c>
      <c r="B8" s="153">
        <v>-220</v>
      </c>
    </row>
    <row r="9" spans="1:2" ht="14.5" x14ac:dyDescent="0.35">
      <c r="A9" s="148">
        <v>41641</v>
      </c>
      <c r="B9" s="153">
        <v>-220</v>
      </c>
    </row>
    <row r="10" spans="1:2" ht="14.5" x14ac:dyDescent="0.35">
      <c r="A10" s="148">
        <v>41642</v>
      </c>
      <c r="B10" s="153">
        <v>-220</v>
      </c>
    </row>
    <row r="11" spans="1:2" ht="14.5" x14ac:dyDescent="0.35">
      <c r="A11" s="148">
        <v>41645</v>
      </c>
      <c r="B11" s="153">
        <v>-192</v>
      </c>
    </row>
    <row r="12" spans="1:2" ht="14.5" x14ac:dyDescent="0.35">
      <c r="A12" s="148">
        <v>41646</v>
      </c>
      <c r="B12" s="153">
        <v>-192</v>
      </c>
    </row>
    <row r="13" spans="1:2" ht="14.5" x14ac:dyDescent="0.35">
      <c r="A13" s="148">
        <v>41647</v>
      </c>
      <c r="B13" s="153">
        <v>-192</v>
      </c>
    </row>
    <row r="14" spans="1:2" ht="14.5" x14ac:dyDescent="0.35">
      <c r="A14" s="148">
        <v>41648</v>
      </c>
      <c r="B14" s="153">
        <v>-192</v>
      </c>
    </row>
    <row r="15" spans="1:2" ht="14.5" x14ac:dyDescent="0.35">
      <c r="A15" s="148">
        <v>41649</v>
      </c>
      <c r="B15" s="153">
        <v>-192</v>
      </c>
    </row>
    <row r="16" spans="1:2" ht="14.5" x14ac:dyDescent="0.35">
      <c r="A16" s="148">
        <v>41652</v>
      </c>
      <c r="B16" s="153">
        <v>-192</v>
      </c>
    </row>
    <row r="17" spans="1:2" ht="14.5" x14ac:dyDescent="0.35">
      <c r="A17" s="148">
        <v>41653</v>
      </c>
      <c r="B17" s="153">
        <v>-192</v>
      </c>
    </row>
    <row r="18" spans="1:2" ht="14.5" x14ac:dyDescent="0.35">
      <c r="A18" s="148">
        <v>41654</v>
      </c>
      <c r="B18" s="153">
        <v>-192</v>
      </c>
    </row>
    <row r="19" spans="1:2" ht="14.5" x14ac:dyDescent="0.35">
      <c r="A19" s="148">
        <v>41655</v>
      </c>
      <c r="B19" s="153">
        <v>-192</v>
      </c>
    </row>
    <row r="20" spans="1:2" ht="14.5" x14ac:dyDescent="0.35">
      <c r="A20" s="148">
        <v>41656</v>
      </c>
      <c r="B20" s="153">
        <v>-192</v>
      </c>
    </row>
    <row r="21" spans="1:2" ht="14.5" x14ac:dyDescent="0.35">
      <c r="A21" s="148">
        <v>41659</v>
      </c>
      <c r="B21" s="153">
        <v>-194</v>
      </c>
    </row>
    <row r="22" spans="1:2" ht="14.5" x14ac:dyDescent="0.35">
      <c r="A22" s="148">
        <v>41660</v>
      </c>
      <c r="B22" s="153">
        <v>-194</v>
      </c>
    </row>
    <row r="23" spans="1:2" ht="14.5" x14ac:dyDescent="0.35">
      <c r="A23" s="148">
        <v>41661</v>
      </c>
      <c r="B23" s="153">
        <v>-194</v>
      </c>
    </row>
    <row r="24" spans="1:2" ht="14.5" x14ac:dyDescent="0.35">
      <c r="A24" s="148">
        <v>41662</v>
      </c>
      <c r="B24" s="153">
        <v>-194</v>
      </c>
    </row>
    <row r="25" spans="1:2" ht="14.5" x14ac:dyDescent="0.35">
      <c r="A25" s="148">
        <v>41663</v>
      </c>
      <c r="B25" s="153">
        <v>-194</v>
      </c>
    </row>
    <row r="26" spans="1:2" ht="14.5" x14ac:dyDescent="0.35">
      <c r="A26" s="148">
        <v>41666</v>
      </c>
      <c r="B26" s="153">
        <v>-190</v>
      </c>
    </row>
    <row r="27" spans="1:2" ht="14.5" x14ac:dyDescent="0.35">
      <c r="A27" s="148">
        <v>41667</v>
      </c>
      <c r="B27" s="153">
        <v>-190</v>
      </c>
    </row>
    <row r="28" spans="1:2" ht="14.5" x14ac:dyDescent="0.35">
      <c r="A28" s="148">
        <v>41668</v>
      </c>
      <c r="B28" s="153">
        <v>-190</v>
      </c>
    </row>
    <row r="29" spans="1:2" ht="14.5" x14ac:dyDescent="0.35">
      <c r="A29" s="148">
        <v>41669</v>
      </c>
      <c r="B29" s="153">
        <v>-190</v>
      </c>
    </row>
    <row r="30" spans="1:2" ht="14.5" x14ac:dyDescent="0.35">
      <c r="A30" s="148">
        <v>41670</v>
      </c>
      <c r="B30" s="153">
        <v>-190</v>
      </c>
    </row>
    <row r="31" spans="1:2" ht="14.5" x14ac:dyDescent="0.35">
      <c r="A31" s="148">
        <v>41673</v>
      </c>
      <c r="B31" s="153">
        <v>-586</v>
      </c>
    </row>
    <row r="32" spans="1:2" ht="14.5" x14ac:dyDescent="0.35">
      <c r="A32" s="148">
        <v>41674</v>
      </c>
      <c r="B32" s="153">
        <v>-586</v>
      </c>
    </row>
    <row r="33" spans="1:2" ht="14.5" x14ac:dyDescent="0.35">
      <c r="A33" s="148">
        <v>41675</v>
      </c>
      <c r="B33" s="153">
        <v>-586</v>
      </c>
    </row>
    <row r="34" spans="1:2" ht="14.5" x14ac:dyDescent="0.35">
      <c r="A34" s="148">
        <v>41676</v>
      </c>
      <c r="B34" s="153">
        <v>-586</v>
      </c>
    </row>
    <row r="35" spans="1:2" ht="14.5" x14ac:dyDescent="0.35">
      <c r="A35" s="148">
        <v>41677</v>
      </c>
      <c r="B35" s="153">
        <v>-586</v>
      </c>
    </row>
    <row r="36" spans="1:2" ht="14.5" x14ac:dyDescent="0.35">
      <c r="A36" s="148">
        <v>41680</v>
      </c>
      <c r="B36" s="153">
        <v>-584</v>
      </c>
    </row>
    <row r="37" spans="1:2" ht="14.5" x14ac:dyDescent="0.35">
      <c r="A37" s="148">
        <v>41681</v>
      </c>
      <c r="B37" s="153">
        <v>-584</v>
      </c>
    </row>
    <row r="38" spans="1:2" ht="14.5" x14ac:dyDescent="0.35">
      <c r="A38" s="148">
        <v>41682</v>
      </c>
      <c r="B38" s="153">
        <v>-584</v>
      </c>
    </row>
    <row r="39" spans="1:2" ht="14.5" x14ac:dyDescent="0.35">
      <c r="A39" s="148">
        <v>41683</v>
      </c>
      <c r="B39" s="153">
        <v>-584</v>
      </c>
    </row>
    <row r="40" spans="1:2" ht="14.5" x14ac:dyDescent="0.35">
      <c r="A40" s="148">
        <v>41684</v>
      </c>
      <c r="B40" s="153">
        <v>-584</v>
      </c>
    </row>
    <row r="41" spans="1:2" ht="14.5" x14ac:dyDescent="0.35">
      <c r="A41" s="148">
        <v>41687</v>
      </c>
      <c r="B41" s="153">
        <v>-586</v>
      </c>
    </row>
    <row r="42" spans="1:2" ht="14.5" x14ac:dyDescent="0.35">
      <c r="A42" s="148">
        <v>41688</v>
      </c>
      <c r="B42" s="153">
        <v>-586</v>
      </c>
    </row>
    <row r="43" spans="1:2" ht="14.5" x14ac:dyDescent="0.35">
      <c r="A43" s="148">
        <v>41689</v>
      </c>
      <c r="B43" s="153">
        <v>-586</v>
      </c>
    </row>
    <row r="44" spans="1:2" ht="14.5" x14ac:dyDescent="0.35">
      <c r="A44" s="148">
        <v>41690</v>
      </c>
      <c r="B44" s="153">
        <v>-586</v>
      </c>
    </row>
    <row r="45" spans="1:2" ht="14.5" x14ac:dyDescent="0.35">
      <c r="A45" s="148">
        <v>41691</v>
      </c>
      <c r="B45" s="153">
        <v>-586</v>
      </c>
    </row>
    <row r="46" spans="1:2" ht="14.5" x14ac:dyDescent="0.35">
      <c r="A46" s="148">
        <v>41694</v>
      </c>
      <c r="B46" s="153">
        <v>-584</v>
      </c>
    </row>
    <row r="47" spans="1:2" ht="14.5" x14ac:dyDescent="0.35">
      <c r="A47" s="148">
        <v>41695</v>
      </c>
      <c r="B47" s="153">
        <v>-584</v>
      </c>
    </row>
    <row r="48" spans="1:2" ht="14.5" x14ac:dyDescent="0.35">
      <c r="A48" s="148">
        <v>41696</v>
      </c>
      <c r="B48" s="153">
        <v>-584</v>
      </c>
    </row>
    <row r="49" spans="1:2" ht="14.5" x14ac:dyDescent="0.35">
      <c r="A49" s="148">
        <v>41697</v>
      </c>
      <c r="B49" s="153">
        <v>-584</v>
      </c>
    </row>
    <row r="50" spans="1:2" ht="14.5" x14ac:dyDescent="0.35">
      <c r="A50" s="148">
        <v>41698</v>
      </c>
      <c r="B50" s="153">
        <v>-584</v>
      </c>
    </row>
    <row r="51" spans="1:2" ht="14.5" x14ac:dyDescent="0.35">
      <c r="A51" s="148">
        <v>41701</v>
      </c>
      <c r="B51" s="153">
        <v>-180</v>
      </c>
    </row>
    <row r="52" spans="1:2" ht="14.5" x14ac:dyDescent="0.35">
      <c r="A52" s="148">
        <v>41702</v>
      </c>
      <c r="B52" s="153">
        <v>-180</v>
      </c>
    </row>
    <row r="53" spans="1:2" ht="14.5" x14ac:dyDescent="0.35">
      <c r="A53" s="148">
        <v>41703</v>
      </c>
      <c r="B53" s="153">
        <v>-180</v>
      </c>
    </row>
    <row r="54" spans="1:2" ht="14.5" x14ac:dyDescent="0.35">
      <c r="A54" s="148">
        <v>41704</v>
      </c>
      <c r="B54" s="153">
        <v>-180</v>
      </c>
    </row>
    <row r="55" spans="1:2" ht="14.5" x14ac:dyDescent="0.35">
      <c r="A55" s="148">
        <v>41705</v>
      </c>
      <c r="B55" s="153">
        <v>-180</v>
      </c>
    </row>
    <row r="56" spans="1:2" ht="14.5" x14ac:dyDescent="0.35">
      <c r="A56" s="148">
        <v>41708</v>
      </c>
      <c r="B56" s="153">
        <v>-182</v>
      </c>
    </row>
    <row r="57" spans="1:2" ht="14.5" x14ac:dyDescent="0.35">
      <c r="A57" s="148">
        <v>41709</v>
      </c>
      <c r="B57" s="153">
        <v>-182</v>
      </c>
    </row>
    <row r="58" spans="1:2" ht="14.5" x14ac:dyDescent="0.35">
      <c r="A58" s="148">
        <v>41710</v>
      </c>
      <c r="B58" s="153">
        <v>-182</v>
      </c>
    </row>
    <row r="59" spans="1:2" ht="14.5" x14ac:dyDescent="0.35">
      <c r="A59" s="148">
        <v>41711</v>
      </c>
      <c r="B59" s="153">
        <v>-182</v>
      </c>
    </row>
    <row r="60" spans="1:2" ht="14.5" x14ac:dyDescent="0.35">
      <c r="A60" s="148">
        <v>41712</v>
      </c>
      <c r="B60" s="153">
        <v>-182</v>
      </c>
    </row>
    <row r="61" spans="1:2" ht="14.5" x14ac:dyDescent="0.35">
      <c r="A61" s="148">
        <v>41715</v>
      </c>
      <c r="B61" s="153">
        <v>-172</v>
      </c>
    </row>
    <row r="62" spans="1:2" ht="14.5" x14ac:dyDescent="0.35">
      <c r="A62" s="148">
        <v>41716</v>
      </c>
      <c r="B62" s="153">
        <v>-172</v>
      </c>
    </row>
    <row r="63" spans="1:2" ht="14.5" x14ac:dyDescent="0.35">
      <c r="A63" s="148">
        <v>41717</v>
      </c>
      <c r="B63" s="153">
        <v>-172</v>
      </c>
    </row>
    <row r="64" spans="1:2" ht="14.5" x14ac:dyDescent="0.35">
      <c r="A64" s="148">
        <v>41718</v>
      </c>
      <c r="B64" s="153">
        <v>-172</v>
      </c>
    </row>
    <row r="65" spans="1:2" ht="14.5" x14ac:dyDescent="0.35">
      <c r="A65" s="148">
        <v>41719</v>
      </c>
      <c r="B65" s="153">
        <v>-172</v>
      </c>
    </row>
    <row r="66" spans="1:2" ht="14.5" x14ac:dyDescent="0.35">
      <c r="A66" s="148">
        <v>41722</v>
      </c>
      <c r="B66" s="153">
        <v>-182</v>
      </c>
    </row>
    <row r="67" spans="1:2" ht="14.5" x14ac:dyDescent="0.35">
      <c r="A67" s="148">
        <v>41723</v>
      </c>
      <c r="B67" s="153">
        <v>-182</v>
      </c>
    </row>
    <row r="68" spans="1:2" ht="14.5" x14ac:dyDescent="0.35">
      <c r="A68" s="148">
        <v>41724</v>
      </c>
      <c r="B68" s="153">
        <v>-182</v>
      </c>
    </row>
    <row r="69" spans="1:2" ht="14.5" x14ac:dyDescent="0.35">
      <c r="A69" s="148">
        <v>41725</v>
      </c>
      <c r="B69" s="153">
        <v>-182</v>
      </c>
    </row>
    <row r="70" spans="1:2" ht="14.5" x14ac:dyDescent="0.35">
      <c r="A70" s="148">
        <v>41726</v>
      </c>
      <c r="B70" s="153">
        <v>-182</v>
      </c>
    </row>
    <row r="71" spans="1:2" ht="14.5" x14ac:dyDescent="0.35">
      <c r="A71" s="148">
        <v>41729</v>
      </c>
      <c r="B71" s="153">
        <v>-198</v>
      </c>
    </row>
    <row r="72" spans="1:2" ht="14.5" x14ac:dyDescent="0.35">
      <c r="A72" s="148">
        <v>41730</v>
      </c>
      <c r="B72" s="153">
        <v>-198</v>
      </c>
    </row>
    <row r="73" spans="1:2" ht="14.5" x14ac:dyDescent="0.35">
      <c r="A73" s="148">
        <v>41731</v>
      </c>
      <c r="B73" s="153">
        <v>-198</v>
      </c>
    </row>
    <row r="74" spans="1:2" ht="14.5" x14ac:dyDescent="0.35">
      <c r="A74" s="148">
        <v>41732</v>
      </c>
      <c r="B74" s="153">
        <v>-198</v>
      </c>
    </row>
    <row r="75" spans="1:2" ht="14.5" x14ac:dyDescent="0.35">
      <c r="A75" s="148">
        <v>41733</v>
      </c>
      <c r="B75" s="153">
        <v>-198</v>
      </c>
    </row>
    <row r="76" spans="1:2" ht="14.5" x14ac:dyDescent="0.35">
      <c r="A76" s="148">
        <v>41736</v>
      </c>
      <c r="B76" s="153">
        <v>-204</v>
      </c>
    </row>
    <row r="77" spans="1:2" ht="14.5" x14ac:dyDescent="0.35">
      <c r="A77" s="148">
        <v>41737</v>
      </c>
      <c r="B77" s="153">
        <v>-204</v>
      </c>
    </row>
    <row r="78" spans="1:2" ht="14.5" x14ac:dyDescent="0.35">
      <c r="A78" s="148">
        <v>41738</v>
      </c>
      <c r="B78" s="153">
        <v>-204</v>
      </c>
    </row>
    <row r="79" spans="1:2" ht="14.5" x14ac:dyDescent="0.35">
      <c r="A79" s="148">
        <v>41739</v>
      </c>
      <c r="B79" s="153">
        <v>-204</v>
      </c>
    </row>
    <row r="80" spans="1:2" ht="14.5" x14ac:dyDescent="0.35">
      <c r="A80" s="148">
        <v>41740</v>
      </c>
      <c r="B80" s="153">
        <v>-204</v>
      </c>
    </row>
    <row r="81" spans="1:2" ht="14.5" x14ac:dyDescent="0.35">
      <c r="A81" s="148">
        <v>41743</v>
      </c>
      <c r="B81" s="153">
        <v>-270</v>
      </c>
    </row>
    <row r="82" spans="1:2" ht="14.5" x14ac:dyDescent="0.35">
      <c r="A82" s="148">
        <v>41744</v>
      </c>
      <c r="B82" s="153">
        <v>-270</v>
      </c>
    </row>
    <row r="83" spans="1:2" ht="14.5" x14ac:dyDescent="0.35">
      <c r="A83" s="148">
        <v>41745</v>
      </c>
      <c r="B83" s="153">
        <v>-270</v>
      </c>
    </row>
    <row r="84" spans="1:2" ht="14.5" x14ac:dyDescent="0.35">
      <c r="A84" s="148">
        <v>41751</v>
      </c>
      <c r="B84" s="153">
        <v>-203</v>
      </c>
    </row>
    <row r="85" spans="1:2" ht="14.5" x14ac:dyDescent="0.35">
      <c r="A85" s="148">
        <v>41752</v>
      </c>
      <c r="B85" s="153">
        <v>-202</v>
      </c>
    </row>
    <row r="86" spans="1:2" ht="14.5" x14ac:dyDescent="0.35">
      <c r="A86" s="148">
        <v>41753</v>
      </c>
      <c r="B86" s="153">
        <v>-203</v>
      </c>
    </row>
    <row r="87" spans="1:2" ht="14.5" x14ac:dyDescent="0.35">
      <c r="A87" s="148">
        <v>41754</v>
      </c>
      <c r="B87" s="153">
        <v>-202</v>
      </c>
    </row>
    <row r="88" spans="1:2" ht="14.5" x14ac:dyDescent="0.35">
      <c r="A88" s="148">
        <v>41757</v>
      </c>
      <c r="B88" s="153">
        <v>-323</v>
      </c>
    </row>
    <row r="89" spans="1:2" ht="14.5" x14ac:dyDescent="0.35">
      <c r="A89" s="148">
        <v>41758</v>
      </c>
      <c r="B89" s="153">
        <v>-322</v>
      </c>
    </row>
    <row r="90" spans="1:2" ht="14.5" x14ac:dyDescent="0.35">
      <c r="A90" s="148">
        <v>41759</v>
      </c>
      <c r="B90" s="153">
        <v>-323</v>
      </c>
    </row>
    <row r="91" spans="1:2" ht="14.5" x14ac:dyDescent="0.35">
      <c r="A91" s="148">
        <v>41761</v>
      </c>
      <c r="B91" s="153">
        <v>-322</v>
      </c>
    </row>
    <row r="92" spans="1:2" ht="14.5" x14ac:dyDescent="0.35">
      <c r="A92" s="148">
        <v>41764</v>
      </c>
      <c r="B92" s="153">
        <v>-94</v>
      </c>
    </row>
    <row r="93" spans="1:2" ht="14.5" x14ac:dyDescent="0.35">
      <c r="A93" s="148">
        <v>41765</v>
      </c>
      <c r="B93" s="153">
        <v>-94</v>
      </c>
    </row>
    <row r="94" spans="1:2" ht="14.5" x14ac:dyDescent="0.35">
      <c r="A94" s="148">
        <v>41766</v>
      </c>
      <c r="B94" s="153">
        <v>-94</v>
      </c>
    </row>
    <row r="95" spans="1:2" ht="14.5" x14ac:dyDescent="0.35">
      <c r="A95" s="148">
        <v>41767</v>
      </c>
      <c r="B95" s="153">
        <v>-94</v>
      </c>
    </row>
    <row r="96" spans="1:2" ht="14.5" x14ac:dyDescent="0.35">
      <c r="A96" s="148">
        <v>41768</v>
      </c>
      <c r="B96" s="153">
        <v>-94</v>
      </c>
    </row>
    <row r="97" spans="1:2" ht="14.5" x14ac:dyDescent="0.35">
      <c r="A97" s="148">
        <v>41771</v>
      </c>
      <c r="B97" s="153">
        <v>-92</v>
      </c>
    </row>
    <row r="98" spans="1:2" ht="14.5" x14ac:dyDescent="0.35">
      <c r="A98" s="148">
        <v>41772</v>
      </c>
      <c r="B98" s="153">
        <v>-92</v>
      </c>
    </row>
    <row r="99" spans="1:2" ht="14.5" x14ac:dyDescent="0.35">
      <c r="A99" s="148">
        <v>41773</v>
      </c>
      <c r="B99" s="153">
        <v>-92</v>
      </c>
    </row>
    <row r="100" spans="1:2" ht="14.5" x14ac:dyDescent="0.35">
      <c r="A100" s="148">
        <v>41774</v>
      </c>
      <c r="B100" s="153">
        <v>-92</v>
      </c>
    </row>
    <row r="101" spans="1:2" ht="14.5" x14ac:dyDescent="0.35">
      <c r="A101" s="148">
        <v>41775</v>
      </c>
      <c r="B101" s="153">
        <v>-92</v>
      </c>
    </row>
    <row r="102" spans="1:2" ht="14.5" x14ac:dyDescent="0.35">
      <c r="A102" s="148">
        <v>41778</v>
      </c>
      <c r="B102" s="153">
        <v>-92</v>
      </c>
    </row>
    <row r="103" spans="1:2" ht="14.5" x14ac:dyDescent="0.35">
      <c r="A103" s="148">
        <v>41779</v>
      </c>
      <c r="B103" s="153">
        <v>-92</v>
      </c>
    </row>
    <row r="104" spans="1:2" ht="14.5" x14ac:dyDescent="0.35">
      <c r="A104" s="148">
        <v>41780</v>
      </c>
      <c r="B104" s="153">
        <v>-92</v>
      </c>
    </row>
    <row r="105" spans="1:2" ht="14.5" x14ac:dyDescent="0.35">
      <c r="A105" s="148">
        <v>41781</v>
      </c>
      <c r="B105" s="153">
        <v>-92</v>
      </c>
    </row>
    <row r="106" spans="1:2" ht="14.5" x14ac:dyDescent="0.35">
      <c r="A106" s="148">
        <v>41782</v>
      </c>
      <c r="B106" s="153">
        <v>-92</v>
      </c>
    </row>
    <row r="107" spans="1:2" ht="14.5" x14ac:dyDescent="0.35">
      <c r="A107" s="148">
        <v>41785</v>
      </c>
      <c r="B107" s="153">
        <v>-115</v>
      </c>
    </row>
    <row r="108" spans="1:2" ht="14.5" x14ac:dyDescent="0.35">
      <c r="A108" s="148">
        <v>41786</v>
      </c>
      <c r="B108" s="153">
        <v>-115</v>
      </c>
    </row>
    <row r="109" spans="1:2" ht="14.5" x14ac:dyDescent="0.35">
      <c r="A109" s="148">
        <v>41787</v>
      </c>
      <c r="B109" s="153">
        <v>-115</v>
      </c>
    </row>
    <row r="110" spans="1:2" ht="14.5" x14ac:dyDescent="0.35">
      <c r="A110" s="149">
        <v>41789</v>
      </c>
      <c r="B110" s="154">
        <v>-115</v>
      </c>
    </row>
    <row r="111" spans="1:2" ht="14.5" x14ac:dyDescent="0.35">
      <c r="A111"/>
      <c r="B111"/>
    </row>
    <row r="112" spans="1:2" ht="14.5" x14ac:dyDescent="0.35">
      <c r="A112"/>
      <c r="B112"/>
    </row>
    <row r="113" spans="1:2" ht="14.5" x14ac:dyDescent="0.35">
      <c r="A113"/>
      <c r="B113"/>
    </row>
    <row r="114" spans="1:2" ht="14.5" x14ac:dyDescent="0.35">
      <c r="A114"/>
      <c r="B114"/>
    </row>
    <row r="115" spans="1:2" ht="14.5" x14ac:dyDescent="0.35">
      <c r="A115"/>
      <c r="B115"/>
    </row>
    <row r="116" spans="1:2" ht="14.5" x14ac:dyDescent="0.35">
      <c r="A116"/>
      <c r="B116"/>
    </row>
    <row r="117" spans="1:2" ht="14.5" x14ac:dyDescent="0.35">
      <c r="A117"/>
      <c r="B117"/>
    </row>
    <row r="118" spans="1:2" ht="14.5" x14ac:dyDescent="0.35">
      <c r="A118"/>
      <c r="B118"/>
    </row>
    <row r="119" spans="1:2" ht="14.5" x14ac:dyDescent="0.35">
      <c r="A119"/>
      <c r="B119"/>
    </row>
    <row r="120" spans="1:2" ht="14.5" x14ac:dyDescent="0.35">
      <c r="A120"/>
      <c r="B120"/>
    </row>
    <row r="121" spans="1:2" ht="14.5" x14ac:dyDescent="0.35">
      <c r="A121"/>
      <c r="B121"/>
    </row>
    <row r="122" spans="1:2" ht="14.5" x14ac:dyDescent="0.35">
      <c r="A122"/>
      <c r="B122"/>
    </row>
    <row r="123" spans="1:2" ht="14.5" x14ac:dyDescent="0.35">
      <c r="A123"/>
      <c r="B123"/>
    </row>
    <row r="124" spans="1:2" ht="14.5" x14ac:dyDescent="0.35">
      <c r="A124"/>
      <c r="B124"/>
    </row>
    <row r="125" spans="1:2" ht="14.5" x14ac:dyDescent="0.35">
      <c r="A125"/>
      <c r="B125"/>
    </row>
    <row r="126" spans="1:2" ht="14.5" x14ac:dyDescent="0.35">
      <c r="A126"/>
      <c r="B126"/>
    </row>
    <row r="127" spans="1:2" ht="14.5" x14ac:dyDescent="0.35">
      <c r="A127"/>
      <c r="B127"/>
    </row>
    <row r="128" spans="1:2" ht="14.5" x14ac:dyDescent="0.35">
      <c r="A128"/>
      <c r="B128"/>
    </row>
    <row r="129" spans="1:2" ht="14.5" x14ac:dyDescent="0.35">
      <c r="A129"/>
      <c r="B129"/>
    </row>
    <row r="130" spans="1:2" ht="14.5" x14ac:dyDescent="0.35">
      <c r="A130"/>
      <c r="B130"/>
    </row>
    <row r="131" spans="1:2" ht="14.5" x14ac:dyDescent="0.35">
      <c r="A131"/>
      <c r="B131"/>
    </row>
    <row r="132" spans="1:2" ht="14.5" x14ac:dyDescent="0.35">
      <c r="A132"/>
      <c r="B132"/>
    </row>
    <row r="133" spans="1:2" ht="14.5" x14ac:dyDescent="0.35">
      <c r="A133"/>
      <c r="B133"/>
    </row>
    <row r="134" spans="1:2" ht="14.5" x14ac:dyDescent="0.35">
      <c r="A134"/>
      <c r="B134"/>
    </row>
    <row r="135" spans="1:2" ht="14.5" x14ac:dyDescent="0.35">
      <c r="A135"/>
      <c r="B135"/>
    </row>
    <row r="136" spans="1:2" ht="14.5" x14ac:dyDescent="0.35">
      <c r="A136"/>
      <c r="B136"/>
    </row>
    <row r="137" spans="1:2" ht="14.5" x14ac:dyDescent="0.35">
      <c r="A137"/>
      <c r="B137"/>
    </row>
    <row r="138" spans="1:2" ht="14.5" x14ac:dyDescent="0.35">
      <c r="A138"/>
      <c r="B138"/>
    </row>
    <row r="139" spans="1:2" ht="14.5" x14ac:dyDescent="0.35">
      <c r="A139"/>
      <c r="B139"/>
    </row>
    <row r="140" spans="1:2" ht="14.5" x14ac:dyDescent="0.35">
      <c r="A140"/>
      <c r="B140"/>
    </row>
    <row r="141" spans="1:2" ht="14.5" x14ac:dyDescent="0.35">
      <c r="A141"/>
      <c r="B141"/>
    </row>
    <row r="142" spans="1:2" ht="14.5" x14ac:dyDescent="0.35">
      <c r="A142"/>
      <c r="B142"/>
    </row>
    <row r="143" spans="1:2" ht="14.5" x14ac:dyDescent="0.35">
      <c r="A143"/>
      <c r="B143"/>
    </row>
    <row r="144" spans="1:2" ht="14.5" x14ac:dyDescent="0.35">
      <c r="A144"/>
      <c r="B144"/>
    </row>
    <row r="145" spans="1:2" ht="14.5" x14ac:dyDescent="0.35">
      <c r="A145"/>
      <c r="B145"/>
    </row>
    <row r="146" spans="1:2" ht="14.5" x14ac:dyDescent="0.35">
      <c r="A146"/>
      <c r="B146"/>
    </row>
    <row r="147" spans="1:2" ht="14.5" x14ac:dyDescent="0.35">
      <c r="A147"/>
      <c r="B147"/>
    </row>
    <row r="148" spans="1:2" ht="14.5" x14ac:dyDescent="0.35">
      <c r="A148"/>
      <c r="B148"/>
    </row>
    <row r="149" spans="1:2" ht="14.5" x14ac:dyDescent="0.35">
      <c r="A149"/>
      <c r="B149"/>
    </row>
    <row r="150" spans="1:2" ht="14.5" x14ac:dyDescent="0.35">
      <c r="A150"/>
      <c r="B150"/>
    </row>
    <row r="151" spans="1:2" ht="14.5" x14ac:dyDescent="0.35">
      <c r="A151"/>
      <c r="B151"/>
    </row>
    <row r="152" spans="1:2" ht="14.5" x14ac:dyDescent="0.35">
      <c r="A152"/>
      <c r="B152"/>
    </row>
    <row r="153" spans="1:2" ht="14.5" x14ac:dyDescent="0.35">
      <c r="A153"/>
      <c r="B153"/>
    </row>
    <row r="154" spans="1:2" ht="14.5" x14ac:dyDescent="0.35">
      <c r="A154"/>
      <c r="B154"/>
    </row>
    <row r="155" spans="1:2" ht="14.5" x14ac:dyDescent="0.35">
      <c r="A155"/>
      <c r="B155"/>
    </row>
    <row r="156" spans="1:2" ht="14.5" x14ac:dyDescent="0.35">
      <c r="A156"/>
      <c r="B156"/>
    </row>
    <row r="157" spans="1:2" ht="14.5" x14ac:dyDescent="0.35">
      <c r="A157"/>
      <c r="B157"/>
    </row>
    <row r="158" spans="1:2" ht="14.5" x14ac:dyDescent="0.35">
      <c r="A158"/>
      <c r="B158"/>
    </row>
    <row r="159" spans="1:2" ht="14.5" x14ac:dyDescent="0.35">
      <c r="A159"/>
      <c r="B159"/>
    </row>
    <row r="160" spans="1:2" ht="14.5" x14ac:dyDescent="0.35">
      <c r="A160"/>
      <c r="B160"/>
    </row>
    <row r="161" spans="1:2" ht="14.5" x14ac:dyDescent="0.35">
      <c r="A161"/>
      <c r="B161"/>
    </row>
    <row r="162" spans="1:2" ht="14.5" x14ac:dyDescent="0.35">
      <c r="A162"/>
      <c r="B162"/>
    </row>
    <row r="163" spans="1:2" ht="14.5" x14ac:dyDescent="0.35">
      <c r="A163"/>
      <c r="B163"/>
    </row>
    <row r="164" spans="1:2" ht="14.5" x14ac:dyDescent="0.35">
      <c r="A164"/>
      <c r="B164"/>
    </row>
    <row r="165" spans="1:2" ht="14.5" x14ac:dyDescent="0.35">
      <c r="A165"/>
      <c r="B165"/>
    </row>
    <row r="166" spans="1:2" ht="14.5" x14ac:dyDescent="0.35">
      <c r="A166"/>
      <c r="B166"/>
    </row>
    <row r="167" spans="1:2" ht="14.5" x14ac:dyDescent="0.35">
      <c r="A167"/>
      <c r="B167"/>
    </row>
    <row r="168" spans="1:2" ht="14.5" x14ac:dyDescent="0.35">
      <c r="A168"/>
      <c r="B168"/>
    </row>
    <row r="169" spans="1:2" ht="14.5" x14ac:dyDescent="0.35">
      <c r="A169"/>
      <c r="B169"/>
    </row>
    <row r="170" spans="1:2" ht="14.5" x14ac:dyDescent="0.35">
      <c r="A170"/>
      <c r="B170"/>
    </row>
    <row r="171" spans="1:2" ht="14.5" x14ac:dyDescent="0.35">
      <c r="A171"/>
      <c r="B171"/>
    </row>
    <row r="172" spans="1:2" ht="14.5" x14ac:dyDescent="0.35">
      <c r="A172"/>
      <c r="B172"/>
    </row>
    <row r="173" spans="1:2" ht="14.5" x14ac:dyDescent="0.35">
      <c r="A173"/>
      <c r="B173"/>
    </row>
    <row r="174" spans="1:2" ht="14.5" x14ac:dyDescent="0.35">
      <c r="A174"/>
      <c r="B174"/>
    </row>
    <row r="175" spans="1:2" ht="14.5" x14ac:dyDescent="0.35">
      <c r="A175"/>
      <c r="B175"/>
    </row>
    <row r="176" spans="1:2" ht="14.5" x14ac:dyDescent="0.35">
      <c r="A176"/>
      <c r="B176"/>
    </row>
    <row r="177" spans="1:2" ht="14.5" x14ac:dyDescent="0.35">
      <c r="A177"/>
      <c r="B177"/>
    </row>
    <row r="178" spans="1:2" ht="14.5" x14ac:dyDescent="0.35">
      <c r="A178"/>
      <c r="B178"/>
    </row>
    <row r="179" spans="1:2" ht="14.5" x14ac:dyDescent="0.35">
      <c r="A179"/>
      <c r="B179"/>
    </row>
    <row r="180" spans="1:2" ht="14.5" x14ac:dyDescent="0.35">
      <c r="A180"/>
      <c r="B180"/>
    </row>
    <row r="181" spans="1:2" ht="14.5" x14ac:dyDescent="0.35">
      <c r="A181"/>
      <c r="B181"/>
    </row>
    <row r="182" spans="1:2" ht="14.5" x14ac:dyDescent="0.35">
      <c r="A182"/>
      <c r="B182"/>
    </row>
    <row r="183" spans="1:2" ht="14.5" x14ac:dyDescent="0.35">
      <c r="A183"/>
      <c r="B183"/>
    </row>
    <row r="184" spans="1:2" ht="14.5" x14ac:dyDescent="0.35">
      <c r="A184"/>
      <c r="B184"/>
    </row>
    <row r="185" spans="1:2" ht="14.5" x14ac:dyDescent="0.35">
      <c r="A185"/>
      <c r="B185"/>
    </row>
    <row r="186" spans="1:2" ht="14.5" x14ac:dyDescent="0.35">
      <c r="A186"/>
      <c r="B186"/>
    </row>
    <row r="187" spans="1:2" ht="14.5" x14ac:dyDescent="0.35">
      <c r="A187"/>
      <c r="B187"/>
    </row>
    <row r="188" spans="1:2" ht="14.5" x14ac:dyDescent="0.35">
      <c r="A188"/>
      <c r="B188"/>
    </row>
    <row r="189" spans="1:2" ht="14.5" x14ac:dyDescent="0.35">
      <c r="A189"/>
      <c r="B189"/>
    </row>
    <row r="190" spans="1:2" ht="14.5" x14ac:dyDescent="0.35">
      <c r="A190"/>
      <c r="B190"/>
    </row>
    <row r="191" spans="1:2" ht="14.5" x14ac:dyDescent="0.35">
      <c r="A191"/>
      <c r="B191"/>
    </row>
    <row r="192" spans="1:2" ht="14.5" x14ac:dyDescent="0.35">
      <c r="A192"/>
      <c r="B192"/>
    </row>
    <row r="193" spans="1:2" ht="14.5" x14ac:dyDescent="0.35">
      <c r="A193"/>
      <c r="B193"/>
    </row>
    <row r="194" spans="1:2" ht="14.5" x14ac:dyDescent="0.35">
      <c r="A194"/>
      <c r="B194"/>
    </row>
    <row r="195" spans="1:2" ht="14.5" x14ac:dyDescent="0.35">
      <c r="A195"/>
      <c r="B195"/>
    </row>
    <row r="196" spans="1:2" ht="14.5" x14ac:dyDescent="0.35">
      <c r="A196"/>
      <c r="B196"/>
    </row>
    <row r="197" spans="1:2" ht="14.5" x14ac:dyDescent="0.35">
      <c r="A197"/>
      <c r="B197"/>
    </row>
    <row r="198" spans="1:2" ht="14.5" x14ac:dyDescent="0.35">
      <c r="A198"/>
      <c r="B198"/>
    </row>
    <row r="199" spans="1:2" ht="14.5" x14ac:dyDescent="0.35">
      <c r="A199"/>
      <c r="B199"/>
    </row>
    <row r="200" spans="1:2" ht="14.5" x14ac:dyDescent="0.35">
      <c r="A200"/>
      <c r="B200"/>
    </row>
    <row r="201" spans="1:2" ht="14.5" x14ac:dyDescent="0.35">
      <c r="A201"/>
      <c r="B201"/>
    </row>
    <row r="202" spans="1:2" ht="14.5" x14ac:dyDescent="0.35">
      <c r="A202"/>
      <c r="B202"/>
    </row>
    <row r="203" spans="1:2" ht="14.5" x14ac:dyDescent="0.35">
      <c r="A203"/>
      <c r="B203"/>
    </row>
    <row r="204" spans="1:2" ht="14.5" x14ac:dyDescent="0.35">
      <c r="A204"/>
      <c r="B204"/>
    </row>
    <row r="205" spans="1:2" ht="14.5" x14ac:dyDescent="0.35">
      <c r="A205"/>
      <c r="B205"/>
    </row>
    <row r="206" spans="1:2" ht="14.5" x14ac:dyDescent="0.35">
      <c r="A206"/>
      <c r="B206"/>
    </row>
    <row r="207" spans="1:2" ht="14.5" x14ac:dyDescent="0.35">
      <c r="A207"/>
      <c r="B207"/>
    </row>
    <row r="208" spans="1:2" ht="14.5" x14ac:dyDescent="0.35">
      <c r="A208"/>
      <c r="B208"/>
    </row>
    <row r="209" spans="1:2" ht="14.5" x14ac:dyDescent="0.35">
      <c r="A209"/>
      <c r="B209"/>
    </row>
    <row r="210" spans="1:2" ht="14.5" x14ac:dyDescent="0.35">
      <c r="A210"/>
      <c r="B210"/>
    </row>
    <row r="211" spans="1:2" ht="14.5" x14ac:dyDescent="0.35">
      <c r="A211"/>
      <c r="B211"/>
    </row>
    <row r="212" spans="1:2" ht="14.5" x14ac:dyDescent="0.35">
      <c r="A212"/>
      <c r="B212"/>
    </row>
    <row r="213" spans="1:2" ht="14.5" x14ac:dyDescent="0.35">
      <c r="A213"/>
      <c r="B213"/>
    </row>
    <row r="214" spans="1:2" ht="14.5" x14ac:dyDescent="0.35">
      <c r="A214"/>
      <c r="B214"/>
    </row>
    <row r="215" spans="1:2" ht="14.5" x14ac:dyDescent="0.35">
      <c r="A215"/>
      <c r="B215"/>
    </row>
    <row r="216" spans="1:2" ht="14.5" x14ac:dyDescent="0.35">
      <c r="A216"/>
      <c r="B216"/>
    </row>
    <row r="217" spans="1:2" ht="14.5" x14ac:dyDescent="0.35">
      <c r="A217"/>
      <c r="B217"/>
    </row>
    <row r="218" spans="1:2" ht="14.5" x14ac:dyDescent="0.35">
      <c r="A218"/>
      <c r="B218"/>
    </row>
    <row r="219" spans="1:2" ht="14.5" x14ac:dyDescent="0.35">
      <c r="A219"/>
      <c r="B219"/>
    </row>
    <row r="220" spans="1:2" ht="14.5" x14ac:dyDescent="0.35">
      <c r="A220"/>
      <c r="B220"/>
    </row>
    <row r="221" spans="1:2" ht="14.5" x14ac:dyDescent="0.35">
      <c r="A221"/>
      <c r="B221"/>
    </row>
    <row r="222" spans="1:2" ht="14.5" x14ac:dyDescent="0.35">
      <c r="A222"/>
      <c r="B222"/>
    </row>
    <row r="223" spans="1:2" ht="14.5" x14ac:dyDescent="0.35">
      <c r="A223"/>
      <c r="B223"/>
    </row>
    <row r="224" spans="1:2" ht="14.5" x14ac:dyDescent="0.35">
      <c r="A224"/>
      <c r="B224"/>
    </row>
    <row r="225" spans="1:2" ht="14.5" x14ac:dyDescent="0.35">
      <c r="A225"/>
      <c r="B225"/>
    </row>
    <row r="226" spans="1:2" ht="14.5" x14ac:dyDescent="0.35">
      <c r="A226"/>
      <c r="B226"/>
    </row>
    <row r="227" spans="1:2" ht="14.5" x14ac:dyDescent="0.35">
      <c r="A227"/>
      <c r="B227"/>
    </row>
    <row r="228" spans="1:2" ht="14.5" x14ac:dyDescent="0.35">
      <c r="A228"/>
      <c r="B228"/>
    </row>
    <row r="229" spans="1:2" ht="14.5" x14ac:dyDescent="0.35">
      <c r="A229"/>
      <c r="B229"/>
    </row>
    <row r="230" spans="1:2" ht="14.5" x14ac:dyDescent="0.35">
      <c r="A230"/>
      <c r="B230"/>
    </row>
    <row r="231" spans="1:2" ht="14.5" x14ac:dyDescent="0.35">
      <c r="A231"/>
      <c r="B231"/>
    </row>
    <row r="232" spans="1:2" ht="14.5" x14ac:dyDescent="0.35">
      <c r="A232"/>
      <c r="B232"/>
    </row>
    <row r="233" spans="1:2" ht="14.5" x14ac:dyDescent="0.35">
      <c r="A233"/>
      <c r="B233"/>
    </row>
    <row r="234" spans="1:2" ht="14.5" x14ac:dyDescent="0.35">
      <c r="A234"/>
      <c r="B234"/>
    </row>
    <row r="235" spans="1:2" ht="14.5" x14ac:dyDescent="0.35">
      <c r="A235"/>
      <c r="B235"/>
    </row>
    <row r="236" spans="1:2" ht="14.5" x14ac:dyDescent="0.35">
      <c r="A236"/>
      <c r="B236"/>
    </row>
    <row r="237" spans="1:2" ht="14.5" x14ac:dyDescent="0.35">
      <c r="A237"/>
      <c r="B237"/>
    </row>
    <row r="238" spans="1:2" ht="14.5" x14ac:dyDescent="0.35">
      <c r="A238"/>
      <c r="B238"/>
    </row>
    <row r="239" spans="1:2" ht="14.5" x14ac:dyDescent="0.35">
      <c r="A239"/>
      <c r="B239"/>
    </row>
    <row r="240" spans="1:2" ht="14.5" x14ac:dyDescent="0.35">
      <c r="A240"/>
      <c r="B240"/>
    </row>
    <row r="241" spans="1:2" ht="14.5" x14ac:dyDescent="0.35">
      <c r="A241"/>
      <c r="B241"/>
    </row>
    <row r="242" spans="1:2" ht="14.5" x14ac:dyDescent="0.35">
      <c r="A242"/>
      <c r="B242"/>
    </row>
    <row r="243" spans="1:2" ht="14.5" x14ac:dyDescent="0.35">
      <c r="A243"/>
      <c r="B243"/>
    </row>
    <row r="244" spans="1:2" ht="14.5" x14ac:dyDescent="0.35">
      <c r="A244"/>
      <c r="B244"/>
    </row>
    <row r="245" spans="1:2" ht="14.5" x14ac:dyDescent="0.35">
      <c r="A245"/>
      <c r="B245"/>
    </row>
  </sheetData>
  <pageMargins left="0.78740157499999996" right="0.78740157499999996" top="0.984251969" bottom="0.984251969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29"/>
  </sheetPr>
  <dimension ref="A1:BJ3"/>
  <sheetViews>
    <sheetView showGridLines="0" zoomScale="85" zoomScaleNormal="85" workbookViewId="0">
      <pane ySplit="1" topLeftCell="A2" activePane="bottomLeft" state="frozen"/>
      <selection pane="bottomLeft" sqref="A1:AQ3"/>
    </sheetView>
  </sheetViews>
  <sheetFormatPr defaultColWidth="11.453125" defaultRowHeight="12.5" x14ac:dyDescent="0.25"/>
  <cols>
    <col min="1" max="1" width="7.54296875" style="113" bestFit="1" customWidth="1"/>
    <col min="2" max="2" width="9.26953125" style="113" bestFit="1" customWidth="1"/>
    <col min="3" max="3" width="8.54296875" style="113" bestFit="1" customWidth="1"/>
    <col min="4" max="4" width="6.81640625" style="113" bestFit="1" customWidth="1"/>
    <col min="5" max="5" width="11.26953125" style="113" bestFit="1" customWidth="1"/>
    <col min="6" max="6" width="11.26953125" style="113" customWidth="1"/>
    <col min="7" max="7" width="9.26953125" style="113" bestFit="1" customWidth="1"/>
    <col min="8" max="8" width="8.453125" style="113" bestFit="1" customWidth="1"/>
    <col min="9" max="9" width="30.26953125" style="113" bestFit="1" customWidth="1"/>
    <col min="10" max="10" width="26.81640625" style="113" bestFit="1" customWidth="1"/>
    <col min="11" max="11" width="12.1796875" style="113" bestFit="1" customWidth="1"/>
    <col min="12" max="12" width="7.1796875" style="114" bestFit="1" customWidth="1"/>
    <col min="13" max="13" width="16.54296875" style="114" bestFit="1" customWidth="1"/>
    <col min="14" max="14" width="13.7265625" style="114" bestFit="1" customWidth="1"/>
    <col min="15" max="15" width="14.54296875" style="114" bestFit="1" customWidth="1"/>
    <col min="16" max="16" width="19.54296875" style="114" bestFit="1" customWidth="1"/>
    <col min="17" max="17" width="12.1796875" style="114" bestFit="1" customWidth="1"/>
    <col min="18" max="18" width="15" style="114" bestFit="1" customWidth="1"/>
    <col min="19" max="19" width="13.453125" style="114" bestFit="1" customWidth="1"/>
    <col min="20" max="20" width="13.81640625" style="114" bestFit="1" customWidth="1"/>
    <col min="21" max="21" width="15" style="114" bestFit="1" customWidth="1"/>
    <col min="22" max="22" width="8.81640625" style="114" bestFit="1" customWidth="1"/>
    <col min="23" max="23" width="15.26953125" style="114" bestFit="1" customWidth="1"/>
    <col min="24" max="24" width="11.54296875" style="114" bestFit="1" customWidth="1"/>
    <col min="25" max="25" width="6.81640625" style="114" bestFit="1" customWidth="1"/>
    <col min="26" max="26" width="11.54296875" style="114" bestFit="1" customWidth="1"/>
    <col min="27" max="27" width="14.26953125" style="114" bestFit="1" customWidth="1"/>
    <col min="28" max="28" width="23.7265625" style="114" bestFit="1" customWidth="1"/>
    <col min="29" max="30" width="11.54296875" style="114" bestFit="1" customWidth="1"/>
    <col min="31" max="31" width="13.26953125" style="114" bestFit="1" customWidth="1"/>
    <col min="32" max="32" width="11.26953125" style="114" bestFit="1" customWidth="1"/>
    <col min="33" max="33" width="8.453125" style="114" bestFit="1" customWidth="1"/>
    <col min="34" max="34" width="7.453125" style="114" bestFit="1" customWidth="1"/>
    <col min="35" max="35" width="11.453125" style="114" bestFit="1" customWidth="1"/>
    <col min="36" max="36" width="32.1796875" style="114" bestFit="1" customWidth="1"/>
    <col min="37" max="37" width="30.54296875" style="114" bestFit="1" customWidth="1"/>
    <col min="38" max="38" width="13.1796875" style="114" customWidth="1"/>
    <col min="39" max="40" width="10.54296875" style="114" customWidth="1"/>
    <col min="41" max="41" width="11.54296875" style="114" customWidth="1"/>
    <col min="42" max="42" width="9.54296875" style="114" customWidth="1"/>
    <col min="43" max="43" width="11.26953125" style="114" customWidth="1"/>
    <col min="44" max="44" width="4.54296875" style="114" customWidth="1"/>
    <col min="45" max="45" width="2.26953125" style="114" customWidth="1"/>
    <col min="46" max="47" width="10.26953125" style="114" customWidth="1"/>
    <col min="48" max="48" width="14" style="114" customWidth="1"/>
    <col min="49" max="49" width="8.81640625" style="114" customWidth="1"/>
    <col min="50" max="50" width="5" style="114" customWidth="1"/>
    <col min="51" max="51" width="4.1796875" style="114" customWidth="1"/>
    <col min="52" max="52" width="4.26953125" style="114" customWidth="1"/>
    <col min="53" max="53" width="19.1796875" style="114" customWidth="1"/>
    <col min="54" max="54" width="11.26953125" style="114" customWidth="1"/>
    <col min="55" max="55" width="12.7265625" style="114" customWidth="1"/>
    <col min="56" max="56" width="2.26953125" style="114" customWidth="1"/>
    <col min="57" max="57" width="5.81640625" style="114" customWidth="1"/>
    <col min="58" max="58" width="25.54296875" style="114" customWidth="1"/>
    <col min="59" max="59" width="4.54296875" style="114" customWidth="1"/>
    <col min="60" max="60" width="2.81640625" style="114" customWidth="1"/>
    <col min="61" max="61" width="11.26953125" style="114" customWidth="1"/>
    <col min="62" max="62" width="7.453125" style="114" customWidth="1"/>
    <col min="63" max="16384" width="11.453125" style="113"/>
  </cols>
  <sheetData>
    <row r="1" spans="1:61" ht="13" x14ac:dyDescent="0.3">
      <c r="A1" s="204" t="s">
        <v>280</v>
      </c>
      <c r="B1" s="204" t="s">
        <v>299</v>
      </c>
      <c r="C1" s="204" t="s">
        <v>293</v>
      </c>
      <c r="D1" s="204" t="s">
        <v>295</v>
      </c>
      <c r="E1" s="204" t="s">
        <v>33</v>
      </c>
      <c r="F1" s="204" t="s">
        <v>301</v>
      </c>
      <c r="G1" s="204" t="s">
        <v>266</v>
      </c>
      <c r="H1" s="204" t="s">
        <v>540</v>
      </c>
      <c r="I1" s="204" t="s">
        <v>564</v>
      </c>
      <c r="J1" s="204" t="s">
        <v>541</v>
      </c>
      <c r="K1" s="204" t="s">
        <v>264</v>
      </c>
      <c r="L1" s="204" t="s">
        <v>279</v>
      </c>
      <c r="M1" s="204" t="s">
        <v>542</v>
      </c>
      <c r="N1" s="204" t="s">
        <v>288</v>
      </c>
      <c r="O1" s="204" t="s">
        <v>543</v>
      </c>
      <c r="P1" s="204" t="s">
        <v>544</v>
      </c>
      <c r="Q1" s="204" t="s">
        <v>291</v>
      </c>
      <c r="R1" s="204" t="s">
        <v>545</v>
      </c>
      <c r="S1" s="204" t="s">
        <v>546</v>
      </c>
      <c r="T1" s="204" t="s">
        <v>290</v>
      </c>
      <c r="U1" s="204" t="s">
        <v>547</v>
      </c>
      <c r="V1" s="204" t="s">
        <v>272</v>
      </c>
      <c r="W1" s="204" t="s">
        <v>548</v>
      </c>
      <c r="X1" s="204" t="s">
        <v>286</v>
      </c>
      <c r="Y1" s="204" t="s">
        <v>309</v>
      </c>
      <c r="Z1" s="204" t="s">
        <v>282</v>
      </c>
      <c r="AA1" s="204" t="s">
        <v>549</v>
      </c>
      <c r="AB1" s="204" t="s">
        <v>297</v>
      </c>
      <c r="AC1" s="204" t="s">
        <v>277</v>
      </c>
      <c r="AD1" s="204" t="s">
        <v>307</v>
      </c>
      <c r="AE1" s="204" t="s">
        <v>550</v>
      </c>
      <c r="AF1" s="204" t="s">
        <v>3</v>
      </c>
      <c r="AG1" s="204" t="s">
        <v>551</v>
      </c>
      <c r="AH1" s="204" t="s">
        <v>2</v>
      </c>
      <c r="AI1" s="208" t="s">
        <v>274</v>
      </c>
      <c r="AJ1" s="208" t="s">
        <v>305</v>
      </c>
      <c r="AK1" s="208" t="s">
        <v>311</v>
      </c>
      <c r="AL1" s="205" t="s">
        <v>372</v>
      </c>
      <c r="AM1" s="205" t="s">
        <v>515</v>
      </c>
      <c r="AN1" s="205" t="s">
        <v>516</v>
      </c>
      <c r="AO1" s="206" t="s">
        <v>316</v>
      </c>
      <c r="AP1" s="205" t="s">
        <v>195</v>
      </c>
      <c r="AQ1" s="205" t="s">
        <v>373</v>
      </c>
      <c r="AR1" s="20"/>
      <c r="AS1" s="20"/>
      <c r="AT1" s="113" t="s">
        <v>517</v>
      </c>
      <c r="AU1" s="20">
        <f ca="1">OFFSET(AJ1,ROWS(_xlnm.Database)-1,0)</f>
        <v>1902</v>
      </c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</row>
    <row r="2" spans="1:61" x14ac:dyDescent="0.25">
      <c r="A2" s="115"/>
      <c r="B2" s="115">
        <v>1206296</v>
      </c>
      <c r="C2" s="117">
        <v>6.3206018518518522E-2</v>
      </c>
      <c r="D2" s="115" t="s">
        <v>511</v>
      </c>
      <c r="E2" s="115"/>
      <c r="F2" s="115"/>
      <c r="G2" s="115">
        <v>2014</v>
      </c>
      <c r="H2" s="115" t="s">
        <v>552</v>
      </c>
      <c r="I2" s="115" t="s">
        <v>553</v>
      </c>
      <c r="J2" s="115" t="s">
        <v>554</v>
      </c>
      <c r="K2" s="115">
        <v>4902095668</v>
      </c>
      <c r="L2" s="115">
        <v>321</v>
      </c>
      <c r="M2" s="115" t="s">
        <v>555</v>
      </c>
      <c r="N2" s="115" t="s">
        <v>556</v>
      </c>
      <c r="O2" s="115" t="s">
        <v>557</v>
      </c>
      <c r="P2" s="115" t="s">
        <v>558</v>
      </c>
      <c r="Q2" s="116" t="s">
        <v>556</v>
      </c>
      <c r="R2" s="115" t="s">
        <v>559</v>
      </c>
      <c r="S2" s="116" t="s">
        <v>560</v>
      </c>
      <c r="T2" s="117" t="s">
        <v>561</v>
      </c>
      <c r="U2" s="115" t="s">
        <v>555</v>
      </c>
      <c r="V2" s="115">
        <v>1206296</v>
      </c>
      <c r="W2" s="115" t="s">
        <v>586</v>
      </c>
      <c r="X2" s="115" t="s">
        <v>555</v>
      </c>
      <c r="Y2" s="115">
        <v>2</v>
      </c>
      <c r="Z2" s="115" t="s">
        <v>555</v>
      </c>
      <c r="AA2" s="115" t="s">
        <v>518</v>
      </c>
      <c r="AB2" s="115" t="s">
        <v>562</v>
      </c>
      <c r="AC2" s="115" t="s">
        <v>555</v>
      </c>
      <c r="AD2" s="115" t="s">
        <v>74</v>
      </c>
      <c r="AE2" s="115" t="s">
        <v>48</v>
      </c>
      <c r="AF2" s="115">
        <v>1029</v>
      </c>
      <c r="AG2" s="115" t="s">
        <v>563</v>
      </c>
      <c r="AH2" s="116" t="s">
        <v>557</v>
      </c>
      <c r="AI2" s="114">
        <v>306</v>
      </c>
      <c r="AJ2" s="114">
        <v>1902</v>
      </c>
      <c r="AK2" s="114">
        <v>145548.48000000001</v>
      </c>
      <c r="AL2" s="114">
        <f t="shared" ref="AL2:AL3" si="0">IF(OR(RIGHT(W2,3)="201",RIGHT(W2,3)="601",RIGHT(W2,3)="301",RIGHT(W2,3)="202",RIGHT(W2,3)="262",RIGHT(W2,3)="261",L2=601,L2="Y96"),1,0)</f>
        <v>1</v>
      </c>
      <c r="AM2" s="114">
        <f t="shared" ref="AM2:AM3" ca="1" si="1">IF(N2&lt;&gt;OFFSET(N2,1,0),1,IF(OFFSET(Y2,1,0)=3,OFFSET(AN2,1,-1),0))</f>
        <v>1</v>
      </c>
      <c r="AN2" s="114">
        <f t="shared" ref="AN2:AN3" ca="1" si="2">AJ2*AM2</f>
        <v>1902</v>
      </c>
      <c r="AO2" s="114">
        <f t="shared" ref="AO2:AO3" si="3">AJ2+IF(Y2=2,AP2,0)</f>
        <v>1596</v>
      </c>
      <c r="AP2" s="114">
        <f t="shared" ref="AP2:AP3" si="4">IF(D2="H",-AI2,AI2)</f>
        <v>-306</v>
      </c>
      <c r="AQ2" s="116">
        <f t="shared" ref="AQ2:AQ3" si="5">DATEVALUE(N2)</f>
        <v>41799</v>
      </c>
      <c r="AR2" s="20"/>
      <c r="AS2" s="20"/>
      <c r="AU2" s="118"/>
      <c r="AV2" s="118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</row>
    <row r="3" spans="1:61" x14ac:dyDescent="0.25">
      <c r="A3" s="115"/>
      <c r="B3" s="115">
        <v>1206296</v>
      </c>
      <c r="C3" s="117">
        <v>6.3206018518518522E-2</v>
      </c>
      <c r="D3" s="115" t="s">
        <v>286</v>
      </c>
      <c r="E3" s="115"/>
      <c r="F3" s="115"/>
      <c r="G3" s="115">
        <v>2014</v>
      </c>
      <c r="H3" s="115" t="s">
        <v>552</v>
      </c>
      <c r="I3" s="115" t="s">
        <v>553</v>
      </c>
      <c r="J3" s="115" t="s">
        <v>554</v>
      </c>
      <c r="K3" s="115">
        <v>4902095668</v>
      </c>
      <c r="L3" s="115">
        <v>321</v>
      </c>
      <c r="M3" s="115" t="s">
        <v>555</v>
      </c>
      <c r="N3" s="115" t="s">
        <v>556</v>
      </c>
      <c r="O3" s="115" t="s">
        <v>557</v>
      </c>
      <c r="P3" s="115" t="s">
        <v>558</v>
      </c>
      <c r="Q3" s="116" t="s">
        <v>556</v>
      </c>
      <c r="R3" s="115" t="s">
        <v>555</v>
      </c>
      <c r="S3" s="116" t="s">
        <v>560</v>
      </c>
      <c r="T3" s="117" t="s">
        <v>561</v>
      </c>
      <c r="U3" s="115" t="s">
        <v>555</v>
      </c>
      <c r="V3" s="115">
        <v>1206296</v>
      </c>
      <c r="W3" s="115" t="s">
        <v>555</v>
      </c>
      <c r="X3" s="115" t="s">
        <v>555</v>
      </c>
      <c r="Y3" s="115">
        <v>3</v>
      </c>
      <c r="Z3" s="115" t="s">
        <v>555</v>
      </c>
      <c r="AA3" s="115" t="s">
        <v>518</v>
      </c>
      <c r="AB3" s="115" t="s">
        <v>562</v>
      </c>
      <c r="AC3" s="115" t="s">
        <v>555</v>
      </c>
      <c r="AD3" s="115" t="s">
        <v>555</v>
      </c>
      <c r="AE3" s="115" t="s">
        <v>48</v>
      </c>
      <c r="AF3" s="115">
        <v>1029</v>
      </c>
      <c r="AG3" s="115" t="s">
        <v>563</v>
      </c>
      <c r="AH3" s="116" t="s">
        <v>557</v>
      </c>
      <c r="AI3" s="114">
        <v>306</v>
      </c>
      <c r="AJ3" s="114">
        <v>1902</v>
      </c>
      <c r="AK3" s="114">
        <v>145548.48000000001</v>
      </c>
      <c r="AL3" s="114">
        <f t="shared" si="0"/>
        <v>0</v>
      </c>
      <c r="AM3" s="114">
        <f t="shared" ca="1" si="1"/>
        <v>1</v>
      </c>
      <c r="AN3" s="114">
        <f t="shared" ca="1" si="2"/>
        <v>1902</v>
      </c>
      <c r="AO3" s="114">
        <f t="shared" si="3"/>
        <v>1902</v>
      </c>
      <c r="AP3" s="114">
        <f t="shared" si="4"/>
        <v>306</v>
      </c>
      <c r="AQ3" s="116">
        <f t="shared" si="5"/>
        <v>41799</v>
      </c>
      <c r="AR3" s="20"/>
      <c r="AS3" s="20"/>
      <c r="AT3" s="20"/>
      <c r="AU3" s="118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</sheetData>
  <pageMargins left="0.7" right="0.7" top="0.78740157499999996" bottom="0.78740157499999996" header="0.3" footer="0.3"/>
  <pageSetup paperSize="9" orientation="portrait" verticalDpi="0" r:id="rId1"/>
  <headerFooter alignWithMargins="0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8080"/>
  </sheetPr>
  <dimension ref="A1:X3"/>
  <sheetViews>
    <sheetView showGridLines="0" topLeftCell="D1" zoomScale="85" zoomScaleNormal="85" workbookViewId="0">
      <pane ySplit="1" topLeftCell="A2" activePane="bottomLeft" state="frozen"/>
      <selection pane="bottomLeft" activeCell="L3" sqref="L3"/>
    </sheetView>
  </sheetViews>
  <sheetFormatPr defaultColWidth="11.453125" defaultRowHeight="14.5" x14ac:dyDescent="0.35"/>
  <cols>
    <col min="1" max="1" width="11.6328125" bestFit="1" customWidth="1"/>
    <col min="2" max="2" width="12.81640625" bestFit="1" customWidth="1"/>
    <col min="3" max="3" width="11.6328125" bestFit="1" customWidth="1"/>
    <col min="4" max="4" width="27.90625" bestFit="1" customWidth="1"/>
    <col min="5" max="5" width="18.26953125" bestFit="1" customWidth="1"/>
    <col min="6" max="6" width="20.1796875" bestFit="1" customWidth="1"/>
    <col min="7" max="7" width="14.1796875" bestFit="1" customWidth="1"/>
    <col min="8" max="8" width="6.26953125" bestFit="1" customWidth="1"/>
    <col min="9" max="9" width="18.26953125" bestFit="1" customWidth="1"/>
    <col min="10" max="10" width="13.36328125" bestFit="1" customWidth="1"/>
    <col min="11" max="11" width="7.90625" bestFit="1" customWidth="1"/>
    <col min="12" max="12" width="9.36328125" bestFit="1" customWidth="1"/>
    <col min="13" max="13" width="8.36328125" bestFit="1" customWidth="1"/>
    <col min="14" max="14" width="11" bestFit="1" customWidth="1"/>
    <col min="15" max="15" width="8.1796875" bestFit="1" customWidth="1"/>
    <col min="16" max="16" width="7" bestFit="1" customWidth="1"/>
    <col min="17" max="17" width="13" bestFit="1" customWidth="1"/>
    <col min="18" max="18" width="15" bestFit="1" customWidth="1"/>
    <col min="19" max="19" width="13.453125" bestFit="1" customWidth="1"/>
    <col min="20" max="20" width="15.90625" bestFit="1" customWidth="1"/>
    <col min="21" max="21" width="18.36328125" bestFit="1" customWidth="1"/>
    <col min="22" max="22" width="12.90625" bestFit="1" customWidth="1"/>
    <col min="23" max="23" width="21.08984375" bestFit="1" customWidth="1"/>
    <col min="24" max="24" width="13.1796875" bestFit="1" customWidth="1"/>
  </cols>
  <sheetData>
    <row r="1" spans="1:24" s="6" customFormat="1" x14ac:dyDescent="0.35">
      <c r="A1" s="209" t="s">
        <v>530</v>
      </c>
      <c r="B1" s="6" t="s">
        <v>565</v>
      </c>
      <c r="C1" s="6" t="s">
        <v>566</v>
      </c>
      <c r="D1" s="6" t="s">
        <v>567</v>
      </c>
      <c r="E1" s="6" t="s">
        <v>522</v>
      </c>
      <c r="F1" s="6" t="s">
        <v>568</v>
      </c>
      <c r="G1" s="6" t="s">
        <v>569</v>
      </c>
      <c r="H1" s="6" t="s">
        <v>6</v>
      </c>
      <c r="I1" s="6" t="s">
        <v>521</v>
      </c>
      <c r="J1" s="6" t="s">
        <v>546</v>
      </c>
      <c r="K1" s="6" t="s">
        <v>524</v>
      </c>
      <c r="L1" s="6" t="s">
        <v>193</v>
      </c>
      <c r="M1" s="6" t="s">
        <v>570</v>
      </c>
      <c r="N1" s="6" t="s">
        <v>3</v>
      </c>
      <c r="O1" s="6" t="s">
        <v>551</v>
      </c>
      <c r="P1" s="6" t="s">
        <v>2</v>
      </c>
      <c r="Q1" s="6" t="s">
        <v>528</v>
      </c>
      <c r="R1" s="6" t="s">
        <v>527</v>
      </c>
      <c r="S1" s="6" t="s">
        <v>523</v>
      </c>
      <c r="T1" s="6" t="s">
        <v>529</v>
      </c>
      <c r="U1" s="6" t="s">
        <v>520</v>
      </c>
      <c r="V1" s="6" t="s">
        <v>525</v>
      </c>
      <c r="W1" s="6" t="s">
        <v>519</v>
      </c>
      <c r="X1" s="6" t="s">
        <v>526</v>
      </c>
    </row>
    <row r="2" spans="1:24" x14ac:dyDescent="0.35">
      <c r="A2" s="9" t="s">
        <v>571</v>
      </c>
      <c r="B2" t="s">
        <v>555</v>
      </c>
      <c r="C2" s="10" t="s">
        <v>552</v>
      </c>
      <c r="D2" t="s">
        <v>572</v>
      </c>
      <c r="E2" t="s">
        <v>573</v>
      </c>
      <c r="F2" t="s">
        <v>574</v>
      </c>
      <c r="G2" t="s">
        <v>558</v>
      </c>
      <c r="H2" t="s">
        <v>286</v>
      </c>
      <c r="I2" t="s">
        <v>575</v>
      </c>
      <c r="J2" t="s">
        <v>560</v>
      </c>
      <c r="K2">
        <v>7920</v>
      </c>
      <c r="L2">
        <v>4.2012999999999998</v>
      </c>
      <c r="M2" t="s">
        <v>48</v>
      </c>
      <c r="N2">
        <v>1022</v>
      </c>
      <c r="O2" t="s">
        <v>563</v>
      </c>
      <c r="P2" t="s">
        <v>557</v>
      </c>
      <c r="Q2">
        <v>123820</v>
      </c>
      <c r="R2">
        <v>127683.29</v>
      </c>
      <c r="S2">
        <v>6</v>
      </c>
      <c r="T2">
        <v>128465.4</v>
      </c>
      <c r="U2">
        <v>21967.58</v>
      </c>
      <c r="V2">
        <v>17038</v>
      </c>
      <c r="W2">
        <v>171</v>
      </c>
      <c r="X2">
        <v>2188793.4500000002</v>
      </c>
    </row>
    <row r="3" spans="1:24" x14ac:dyDescent="0.35">
      <c r="A3" s="9" t="s">
        <v>571</v>
      </c>
      <c r="B3" t="s">
        <v>555</v>
      </c>
      <c r="C3" s="10" t="s">
        <v>552</v>
      </c>
      <c r="D3" t="s">
        <v>576</v>
      </c>
      <c r="E3" t="s">
        <v>577</v>
      </c>
      <c r="F3" t="s">
        <v>574</v>
      </c>
      <c r="G3" t="s">
        <v>558</v>
      </c>
      <c r="H3" t="s">
        <v>286</v>
      </c>
      <c r="I3" t="s">
        <v>578</v>
      </c>
      <c r="J3" t="s">
        <v>560</v>
      </c>
      <c r="K3">
        <v>7920</v>
      </c>
      <c r="L3">
        <v>3.2014999999999998</v>
      </c>
      <c r="M3" t="s">
        <v>48</v>
      </c>
      <c r="N3">
        <v>1624</v>
      </c>
      <c r="O3" t="s">
        <v>563</v>
      </c>
      <c r="P3" t="s">
        <v>557</v>
      </c>
      <c r="Q3">
        <v>45370</v>
      </c>
      <c r="R3">
        <v>65274.879999999997</v>
      </c>
      <c r="S3">
        <v>1.54</v>
      </c>
      <c r="T3">
        <v>65025.5</v>
      </c>
      <c r="U3">
        <v>1950.78</v>
      </c>
      <c r="V3">
        <v>11464</v>
      </c>
      <c r="W3">
        <v>30</v>
      </c>
      <c r="X3">
        <v>745452.35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1">
    <tabColor rgb="FFFF8080"/>
  </sheetPr>
  <dimension ref="A1:B77"/>
  <sheetViews>
    <sheetView showGridLines="0" zoomScale="85" zoomScaleNormal="85" workbookViewId="0"/>
  </sheetViews>
  <sheetFormatPr defaultColWidth="11.453125" defaultRowHeight="14.5" x14ac:dyDescent="0.35"/>
  <cols>
    <col min="1" max="1" width="29.1796875" bestFit="1" customWidth="1"/>
    <col min="2" max="2" width="81.81640625" bestFit="1" customWidth="1"/>
  </cols>
  <sheetData>
    <row r="1" spans="1:2" x14ac:dyDescent="0.35">
      <c r="A1" s="6" t="s">
        <v>26</v>
      </c>
      <c r="B1" s="6" t="s">
        <v>12</v>
      </c>
    </row>
    <row r="2" spans="1:2" x14ac:dyDescent="0.35">
      <c r="A2" s="28" t="s">
        <v>264</v>
      </c>
      <c r="B2" s="29" t="s">
        <v>265</v>
      </c>
    </row>
    <row r="3" spans="1:2" x14ac:dyDescent="0.35">
      <c r="A3" s="28" t="s">
        <v>266</v>
      </c>
      <c r="B3" s="29" t="s">
        <v>267</v>
      </c>
    </row>
    <row r="4" spans="1:2" x14ac:dyDescent="0.35">
      <c r="A4" s="28" t="s">
        <v>268</v>
      </c>
      <c r="B4" s="29" t="s">
        <v>269</v>
      </c>
    </row>
    <row r="5" spans="1:2" x14ac:dyDescent="0.35">
      <c r="A5" s="28" t="s">
        <v>3</v>
      </c>
      <c r="B5" s="29" t="s">
        <v>270</v>
      </c>
    </row>
    <row r="6" spans="1:2" x14ac:dyDescent="0.35">
      <c r="A6" s="28" t="s">
        <v>2</v>
      </c>
      <c r="B6" s="29" t="s">
        <v>27</v>
      </c>
    </row>
    <row r="7" spans="1:2" x14ac:dyDescent="0.35">
      <c r="A7" s="28" t="s">
        <v>4</v>
      </c>
      <c r="B7" s="29" t="s">
        <v>271</v>
      </c>
    </row>
    <row r="8" spans="1:2" x14ac:dyDescent="0.35">
      <c r="A8" s="28" t="s">
        <v>272</v>
      </c>
      <c r="B8" s="29" t="s">
        <v>273</v>
      </c>
    </row>
    <row r="9" spans="1:2" x14ac:dyDescent="0.35">
      <c r="A9" s="29" t="s">
        <v>274</v>
      </c>
      <c r="B9" s="29" t="s">
        <v>275</v>
      </c>
    </row>
    <row r="10" spans="1:2" x14ac:dyDescent="0.35">
      <c r="A10" s="28" t="s">
        <v>5</v>
      </c>
      <c r="B10" s="29" t="s">
        <v>276</v>
      </c>
    </row>
    <row r="11" spans="1:2" x14ac:dyDescent="0.35">
      <c r="A11" s="28" t="s">
        <v>277</v>
      </c>
      <c r="B11" s="29" t="s">
        <v>278</v>
      </c>
    </row>
    <row r="12" spans="1:2" x14ac:dyDescent="0.35">
      <c r="A12" s="28" t="s">
        <v>279</v>
      </c>
      <c r="B12" s="29" t="s">
        <v>269</v>
      </c>
    </row>
    <row r="13" spans="1:2" x14ac:dyDescent="0.35">
      <c r="A13" s="28" t="s">
        <v>280</v>
      </c>
      <c r="B13" s="29" t="s">
        <v>281</v>
      </c>
    </row>
    <row r="14" spans="1:2" x14ac:dyDescent="0.35">
      <c r="A14" s="28" t="s">
        <v>282</v>
      </c>
      <c r="B14" s="29" t="s">
        <v>283</v>
      </c>
    </row>
    <row r="15" spans="1:2" x14ac:dyDescent="0.35">
      <c r="A15" s="28" t="s">
        <v>284</v>
      </c>
      <c r="B15" s="29" t="s">
        <v>285</v>
      </c>
    </row>
    <row r="16" spans="1:2" x14ac:dyDescent="0.35">
      <c r="A16" s="28" t="s">
        <v>286</v>
      </c>
      <c r="B16" s="29" t="s">
        <v>287</v>
      </c>
    </row>
    <row r="17" spans="1:2" x14ac:dyDescent="0.35">
      <c r="A17" s="28" t="s">
        <v>288</v>
      </c>
      <c r="B17" s="29" t="s">
        <v>289</v>
      </c>
    </row>
    <row r="18" spans="1:2" x14ac:dyDescent="0.35">
      <c r="A18" s="28" t="s">
        <v>290</v>
      </c>
      <c r="B18" s="29" t="s">
        <v>290</v>
      </c>
    </row>
    <row r="19" spans="1:2" x14ac:dyDescent="0.35">
      <c r="A19" s="28" t="s">
        <v>291</v>
      </c>
      <c r="B19" s="29" t="s">
        <v>292</v>
      </c>
    </row>
    <row r="20" spans="1:2" x14ac:dyDescent="0.35">
      <c r="A20" s="28" t="s">
        <v>293</v>
      </c>
      <c r="B20" s="29" t="s">
        <v>294</v>
      </c>
    </row>
    <row r="21" spans="1:2" x14ac:dyDescent="0.35">
      <c r="A21" s="28" t="s">
        <v>295</v>
      </c>
      <c r="B21" s="29" t="s">
        <v>296</v>
      </c>
    </row>
    <row r="22" spans="1:2" x14ac:dyDescent="0.35">
      <c r="A22" s="28" t="s">
        <v>297</v>
      </c>
      <c r="B22" s="29" t="s">
        <v>298</v>
      </c>
    </row>
    <row r="23" spans="1:2" x14ac:dyDescent="0.35">
      <c r="A23" s="28" t="s">
        <v>299</v>
      </c>
      <c r="B23" s="29" t="s">
        <v>300</v>
      </c>
    </row>
    <row r="24" spans="1:2" x14ac:dyDescent="0.35">
      <c r="A24" s="28" t="s">
        <v>301</v>
      </c>
      <c r="B24" s="29" t="s">
        <v>302</v>
      </c>
    </row>
    <row r="25" spans="1:2" x14ac:dyDescent="0.35">
      <c r="A25" s="28" t="s">
        <v>286</v>
      </c>
      <c r="B25" s="29" t="s">
        <v>287</v>
      </c>
    </row>
    <row r="26" spans="1:2" x14ac:dyDescent="0.35">
      <c r="A26" s="28" t="s">
        <v>303</v>
      </c>
      <c r="B26" s="29" t="s">
        <v>304</v>
      </c>
    </row>
    <row r="27" spans="1:2" x14ac:dyDescent="0.35">
      <c r="A27" s="28" t="s">
        <v>305</v>
      </c>
      <c r="B27" s="29" t="s">
        <v>306</v>
      </c>
    </row>
    <row r="28" spans="1:2" x14ac:dyDescent="0.35">
      <c r="A28" s="28" t="s">
        <v>5</v>
      </c>
      <c r="B28" s="29" t="s">
        <v>276</v>
      </c>
    </row>
    <row r="29" spans="1:2" x14ac:dyDescent="0.35">
      <c r="A29" s="28" t="s">
        <v>307</v>
      </c>
      <c r="B29" s="29" t="s">
        <v>308</v>
      </c>
    </row>
    <row r="30" spans="1:2" x14ac:dyDescent="0.35">
      <c r="A30" s="28" t="s">
        <v>33</v>
      </c>
      <c r="B30" s="29" t="s">
        <v>33</v>
      </c>
    </row>
    <row r="31" spans="1:2" x14ac:dyDescent="0.35">
      <c r="A31" s="28" t="s">
        <v>309</v>
      </c>
      <c r="B31" s="29" t="s">
        <v>310</v>
      </c>
    </row>
    <row r="32" spans="1:2" x14ac:dyDescent="0.35">
      <c r="A32" s="28" t="s">
        <v>311</v>
      </c>
      <c r="B32" s="29" t="s">
        <v>311</v>
      </c>
    </row>
    <row r="33" spans="1:2" x14ac:dyDescent="0.35">
      <c r="A33" s="29" t="s">
        <v>312</v>
      </c>
      <c r="B33" s="29" t="s">
        <v>313</v>
      </c>
    </row>
    <row r="34" spans="1:2" x14ac:dyDescent="0.35">
      <c r="A34" s="28" t="s">
        <v>314</v>
      </c>
      <c r="B34" s="29" t="s">
        <v>315</v>
      </c>
    </row>
    <row r="35" spans="1:2" x14ac:dyDescent="0.35">
      <c r="A35" s="28" t="s">
        <v>316</v>
      </c>
      <c r="B35" s="29" t="s">
        <v>317</v>
      </c>
    </row>
    <row r="36" spans="1:2" x14ac:dyDescent="0.35">
      <c r="A36" s="28" t="s">
        <v>318</v>
      </c>
      <c r="B36" s="29" t="s">
        <v>317</v>
      </c>
    </row>
    <row r="37" spans="1:2" x14ac:dyDescent="0.35">
      <c r="A37" s="28" t="s">
        <v>195</v>
      </c>
      <c r="B37" s="29" t="s">
        <v>319</v>
      </c>
    </row>
    <row r="38" spans="1:2" x14ac:dyDescent="0.35">
      <c r="A38" s="28"/>
      <c r="B38" s="29"/>
    </row>
    <row r="39" spans="1:2" x14ac:dyDescent="0.35">
      <c r="A39" s="28" t="s">
        <v>320</v>
      </c>
      <c r="B39" s="29" t="s">
        <v>321</v>
      </c>
    </row>
    <row r="40" spans="1:2" x14ac:dyDescent="0.35">
      <c r="A40" s="28" t="s">
        <v>322</v>
      </c>
      <c r="B40" s="29" t="s">
        <v>323</v>
      </c>
    </row>
    <row r="41" spans="1:2" x14ac:dyDescent="0.35">
      <c r="A41" s="28" t="s">
        <v>324</v>
      </c>
      <c r="B41" s="29" t="s">
        <v>325</v>
      </c>
    </row>
    <row r="42" spans="1:2" x14ac:dyDescent="0.35">
      <c r="A42" s="28" t="s">
        <v>326</v>
      </c>
      <c r="B42" s="29" t="s">
        <v>327</v>
      </c>
    </row>
    <row r="43" spans="1:2" x14ac:dyDescent="0.35">
      <c r="A43" s="29" t="s">
        <v>328</v>
      </c>
      <c r="B43" s="29" t="s">
        <v>329</v>
      </c>
    </row>
    <row r="44" spans="1:2" x14ac:dyDescent="0.35">
      <c r="A44" s="28" t="s">
        <v>330</v>
      </c>
      <c r="B44" s="29" t="s">
        <v>331</v>
      </c>
    </row>
    <row r="45" spans="1:2" x14ac:dyDescent="0.35">
      <c r="A45" s="28" t="s">
        <v>332</v>
      </c>
      <c r="B45" s="29" t="s">
        <v>333</v>
      </c>
    </row>
    <row r="46" spans="1:2" x14ac:dyDescent="0.35">
      <c r="A46" s="28" t="s">
        <v>194</v>
      </c>
      <c r="B46" s="29" t="s">
        <v>334</v>
      </c>
    </row>
    <row r="47" spans="1:2" x14ac:dyDescent="0.35">
      <c r="A47" s="28" t="s">
        <v>193</v>
      </c>
      <c r="B47" s="29" t="s">
        <v>335</v>
      </c>
    </row>
    <row r="48" spans="1:2" x14ac:dyDescent="0.35">
      <c r="A48" s="28" t="s">
        <v>192</v>
      </c>
      <c r="B48" s="29" t="s">
        <v>336</v>
      </c>
    </row>
    <row r="49" spans="1:2" x14ac:dyDescent="0.35">
      <c r="A49" s="28"/>
      <c r="B49" s="28"/>
    </row>
    <row r="50" spans="1:2" x14ac:dyDescent="0.35">
      <c r="A50" s="28" t="s">
        <v>169</v>
      </c>
      <c r="B50" s="28" t="s">
        <v>337</v>
      </c>
    </row>
    <row r="51" spans="1:2" x14ac:dyDescent="0.35">
      <c r="A51" s="28" t="s">
        <v>170</v>
      </c>
      <c r="B51" s="29" t="s">
        <v>338</v>
      </c>
    </row>
    <row r="52" spans="1:2" x14ac:dyDescent="0.35">
      <c r="A52" s="28" t="s">
        <v>171</v>
      </c>
      <c r="B52" s="28" t="s">
        <v>339</v>
      </c>
    </row>
    <row r="53" spans="1:2" x14ac:dyDescent="0.35">
      <c r="A53" s="28" t="s">
        <v>172</v>
      </c>
      <c r="B53" s="28" t="s">
        <v>340</v>
      </c>
    </row>
    <row r="54" spans="1:2" x14ac:dyDescent="0.35">
      <c r="A54" s="28" t="s">
        <v>173</v>
      </c>
      <c r="B54" s="28" t="s">
        <v>341</v>
      </c>
    </row>
    <row r="55" spans="1:2" x14ac:dyDescent="0.35">
      <c r="A55" s="28" t="s">
        <v>174</v>
      </c>
      <c r="B55" s="28" t="s">
        <v>342</v>
      </c>
    </row>
    <row r="56" spans="1:2" x14ac:dyDescent="0.35">
      <c r="A56" s="29" t="s">
        <v>175</v>
      </c>
      <c r="B56" s="28" t="s">
        <v>343</v>
      </c>
    </row>
    <row r="57" spans="1:2" x14ac:dyDescent="0.35">
      <c r="A57" s="28" t="s">
        <v>176</v>
      </c>
      <c r="B57" s="28" t="s">
        <v>344</v>
      </c>
    </row>
    <row r="58" spans="1:2" x14ac:dyDescent="0.35">
      <c r="A58" s="28" t="s">
        <v>177</v>
      </c>
      <c r="B58" s="28" t="s">
        <v>345</v>
      </c>
    </row>
    <row r="59" spans="1:2" x14ac:dyDescent="0.35">
      <c r="A59" s="28" t="s">
        <v>178</v>
      </c>
      <c r="B59" s="28" t="s">
        <v>346</v>
      </c>
    </row>
    <row r="60" spans="1:2" x14ac:dyDescent="0.35">
      <c r="A60" s="28" t="s">
        <v>179</v>
      </c>
      <c r="B60" s="28" t="s">
        <v>347</v>
      </c>
    </row>
    <row r="61" spans="1:2" x14ac:dyDescent="0.35">
      <c r="A61" s="28" t="s">
        <v>180</v>
      </c>
      <c r="B61" s="28" t="s">
        <v>348</v>
      </c>
    </row>
    <row r="62" spans="1:2" x14ac:dyDescent="0.35">
      <c r="A62" s="28" t="s">
        <v>181</v>
      </c>
      <c r="B62" s="28" t="s">
        <v>349</v>
      </c>
    </row>
    <row r="63" spans="1:2" x14ac:dyDescent="0.35">
      <c r="A63" s="28" t="s">
        <v>182</v>
      </c>
      <c r="B63" s="28" t="s">
        <v>350</v>
      </c>
    </row>
    <row r="64" spans="1:2" x14ac:dyDescent="0.35">
      <c r="A64" s="28" t="s">
        <v>183</v>
      </c>
      <c r="B64" s="28" t="s">
        <v>350</v>
      </c>
    </row>
    <row r="65" spans="1:2" x14ac:dyDescent="0.35">
      <c r="A65" s="28" t="s">
        <v>184</v>
      </c>
      <c r="B65" s="28" t="s">
        <v>351</v>
      </c>
    </row>
    <row r="66" spans="1:2" x14ac:dyDescent="0.35">
      <c r="A66" s="28" t="s">
        <v>185</v>
      </c>
      <c r="B66" s="28" t="s">
        <v>271</v>
      </c>
    </row>
    <row r="67" spans="1:2" x14ac:dyDescent="0.35">
      <c r="A67" s="28" t="s">
        <v>186</v>
      </c>
      <c r="B67" s="28" t="s">
        <v>352</v>
      </c>
    </row>
    <row r="68" spans="1:2" x14ac:dyDescent="0.35">
      <c r="A68" s="28" t="s">
        <v>187</v>
      </c>
      <c r="B68" s="28" t="s">
        <v>353</v>
      </c>
    </row>
    <row r="69" spans="1:2" x14ac:dyDescent="0.35">
      <c r="A69" s="28" t="s">
        <v>188</v>
      </c>
      <c r="B69" s="28" t="s">
        <v>354</v>
      </c>
    </row>
    <row r="70" spans="1:2" x14ac:dyDescent="0.35">
      <c r="A70" s="28" t="s">
        <v>189</v>
      </c>
      <c r="B70" s="28" t="s">
        <v>355</v>
      </c>
    </row>
    <row r="71" spans="1:2" x14ac:dyDescent="0.35">
      <c r="A71" s="28" t="s">
        <v>47</v>
      </c>
      <c r="B71" s="29" t="s">
        <v>356</v>
      </c>
    </row>
    <row r="72" spans="1:2" x14ac:dyDescent="0.35">
      <c r="A72" s="28" t="s">
        <v>190</v>
      </c>
      <c r="B72" s="29" t="s">
        <v>357</v>
      </c>
    </row>
    <row r="73" spans="1:2" x14ac:dyDescent="0.35">
      <c r="A73" s="28" t="s">
        <v>191</v>
      </c>
      <c r="B73" s="29" t="s">
        <v>358</v>
      </c>
    </row>
    <row r="74" spans="1:2" x14ac:dyDescent="0.35">
      <c r="A74" s="28" t="s">
        <v>192</v>
      </c>
      <c r="B74" s="29" t="s">
        <v>359</v>
      </c>
    </row>
    <row r="75" spans="1:2" x14ac:dyDescent="0.35">
      <c r="A75" s="28" t="s">
        <v>193</v>
      </c>
      <c r="B75" s="29" t="s">
        <v>360</v>
      </c>
    </row>
    <row r="76" spans="1:2" x14ac:dyDescent="0.35">
      <c r="A76" s="28" t="s">
        <v>194</v>
      </c>
      <c r="B76" s="29" t="s">
        <v>361</v>
      </c>
    </row>
    <row r="77" spans="1:2" x14ac:dyDescent="0.35">
      <c r="A77" s="28" t="s">
        <v>195</v>
      </c>
      <c r="B77" s="29" t="s">
        <v>362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8080"/>
  </sheetPr>
  <dimension ref="A1:AG76"/>
  <sheetViews>
    <sheetView workbookViewId="0"/>
  </sheetViews>
  <sheetFormatPr defaultRowHeight="14.5" x14ac:dyDescent="0.35"/>
  <cols>
    <col min="1" max="1" width="11" customWidth="1"/>
    <col min="2" max="2" width="11.1796875" bestFit="1" customWidth="1"/>
    <col min="3" max="3" width="11.54296875" bestFit="1" customWidth="1"/>
    <col min="4" max="4" width="13.7265625" customWidth="1"/>
    <col min="5" max="5" width="13.453125" bestFit="1" customWidth="1"/>
    <col min="6" max="6" width="11" customWidth="1"/>
    <col min="7" max="7" width="15.453125" bestFit="1" customWidth="1"/>
    <col min="8" max="8" width="14.54296875" bestFit="1" customWidth="1"/>
    <col min="9" max="9" width="15.7265625" bestFit="1" customWidth="1"/>
    <col min="10" max="10" width="12.54296875" bestFit="1" customWidth="1"/>
    <col min="11" max="11" width="19.26953125" bestFit="1" customWidth="1"/>
    <col min="12" max="12" width="12.26953125" bestFit="1" customWidth="1"/>
    <col min="13" max="14" width="12" customWidth="1"/>
    <col min="15" max="15" width="17" customWidth="1"/>
    <col min="16" max="16" width="20.81640625" bestFit="1" customWidth="1"/>
    <col min="17" max="17" width="12" customWidth="1"/>
    <col min="18" max="18" width="8.54296875" customWidth="1"/>
    <col min="19" max="19" width="9.26953125" customWidth="1"/>
    <col min="20" max="20" width="13.54296875" customWidth="1"/>
    <col min="21" max="21" width="11" customWidth="1"/>
    <col min="22" max="23" width="12" customWidth="1"/>
    <col min="24" max="24" width="12.81640625" customWidth="1"/>
    <col min="25" max="51" width="12" customWidth="1"/>
  </cols>
  <sheetData>
    <row r="1" spans="1:33" x14ac:dyDescent="0.35">
      <c r="A1" t="s">
        <v>77</v>
      </c>
      <c r="B1" t="s">
        <v>1</v>
      </c>
      <c r="C1" t="s">
        <v>78</v>
      </c>
      <c r="D1" t="s">
        <v>79</v>
      </c>
      <c r="E1" t="s">
        <v>80</v>
      </c>
      <c r="F1" t="s">
        <v>81</v>
      </c>
      <c r="G1" t="s">
        <v>82</v>
      </c>
      <c r="H1" t="s">
        <v>83</v>
      </c>
      <c r="I1" t="s">
        <v>84</v>
      </c>
      <c r="J1" t="s">
        <v>85</v>
      </c>
      <c r="K1" t="s">
        <v>86</v>
      </c>
      <c r="L1" t="s">
        <v>87</v>
      </c>
      <c r="M1" t="s">
        <v>88</v>
      </c>
      <c r="N1" t="s">
        <v>89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96</v>
      </c>
      <c r="V1" t="s">
        <v>97</v>
      </c>
      <c r="W1" t="s">
        <v>98</v>
      </c>
      <c r="X1" t="s">
        <v>99</v>
      </c>
      <c r="Y1" t="s">
        <v>100</v>
      </c>
      <c r="Z1" t="s">
        <v>101</v>
      </c>
      <c r="AA1" t="s">
        <v>102</v>
      </c>
      <c r="AB1" t="s">
        <v>103</v>
      </c>
      <c r="AC1" t="s">
        <v>104</v>
      </c>
      <c r="AD1" t="s">
        <v>105</v>
      </c>
      <c r="AE1" t="s">
        <v>106</v>
      </c>
      <c r="AF1" t="s">
        <v>107</v>
      </c>
      <c r="AG1" t="s">
        <v>108</v>
      </c>
    </row>
    <row r="2" spans="1:33" x14ac:dyDescent="0.35">
      <c r="A2" s="9"/>
      <c r="C2" s="9"/>
      <c r="D2" s="9"/>
      <c r="E2" s="9"/>
      <c r="F2" s="9"/>
      <c r="G2" s="9"/>
      <c r="H2" s="9"/>
      <c r="I2" s="9"/>
      <c r="L2" s="9"/>
      <c r="M2" s="9"/>
      <c r="N2" s="9"/>
      <c r="O2" s="9"/>
      <c r="P2" s="9"/>
      <c r="Q2" s="9"/>
      <c r="R2" s="9"/>
      <c r="S2" s="9"/>
      <c r="U2" s="9"/>
      <c r="V2" s="9"/>
      <c r="W2" s="9"/>
      <c r="X2" s="9"/>
      <c r="AA2" s="9"/>
      <c r="AE2" s="9"/>
      <c r="AF2" s="9"/>
    </row>
    <row r="3" spans="1:33" x14ac:dyDescent="0.35">
      <c r="D3" s="9"/>
      <c r="E3" s="9"/>
      <c r="G3" s="9"/>
      <c r="H3" s="9"/>
      <c r="L3" s="9"/>
      <c r="M3" s="9"/>
      <c r="N3" s="9"/>
      <c r="O3" s="9"/>
      <c r="Q3" s="9"/>
      <c r="R3" s="9"/>
      <c r="S3" s="9"/>
      <c r="U3" s="9"/>
    </row>
    <row r="4" spans="1:33" x14ac:dyDescent="0.35">
      <c r="D4" s="9"/>
      <c r="E4" s="9"/>
      <c r="G4" s="9"/>
      <c r="H4" s="9"/>
      <c r="L4" s="9"/>
      <c r="M4" s="9"/>
      <c r="N4" s="9"/>
      <c r="O4" s="9"/>
      <c r="Q4" s="9"/>
      <c r="R4" s="9"/>
      <c r="S4" s="9"/>
      <c r="U4" s="9"/>
    </row>
    <row r="5" spans="1:33" x14ac:dyDescent="0.35">
      <c r="D5" s="9"/>
      <c r="E5" s="9"/>
      <c r="G5" s="9"/>
      <c r="H5" s="9"/>
      <c r="L5" s="9"/>
      <c r="M5" s="9"/>
      <c r="N5" s="9"/>
      <c r="O5" s="9"/>
      <c r="Q5" s="9"/>
      <c r="R5" s="9"/>
      <c r="S5" s="9"/>
      <c r="U5" s="9"/>
    </row>
    <row r="6" spans="1:33" x14ac:dyDescent="0.35">
      <c r="D6" s="9"/>
      <c r="E6" s="9"/>
      <c r="G6" s="9"/>
      <c r="H6" s="9"/>
      <c r="L6" s="9"/>
      <c r="M6" s="9"/>
      <c r="N6" s="9"/>
      <c r="O6" s="9"/>
      <c r="Q6" s="9"/>
      <c r="R6" s="9"/>
      <c r="S6" s="9"/>
      <c r="U6" s="9"/>
    </row>
    <row r="7" spans="1:33" x14ac:dyDescent="0.35">
      <c r="D7" s="9"/>
      <c r="E7" s="9"/>
      <c r="G7" s="9"/>
      <c r="H7" s="9"/>
      <c r="L7" s="9"/>
      <c r="M7" s="9"/>
      <c r="N7" s="9"/>
      <c r="O7" s="9"/>
      <c r="Q7" s="9"/>
      <c r="R7" s="9"/>
      <c r="S7" s="9"/>
      <c r="U7" s="9"/>
    </row>
    <row r="8" spans="1:33" x14ac:dyDescent="0.35">
      <c r="D8" s="9"/>
      <c r="E8" s="9"/>
      <c r="G8" s="9"/>
      <c r="H8" s="9"/>
      <c r="L8" s="9"/>
      <c r="M8" s="9"/>
      <c r="N8" s="9"/>
      <c r="O8" s="9"/>
      <c r="Q8" s="9"/>
      <c r="R8" s="9"/>
      <c r="S8" s="9"/>
      <c r="U8" s="9"/>
    </row>
    <row r="9" spans="1:33" x14ac:dyDescent="0.35">
      <c r="D9" s="9"/>
      <c r="E9" s="9"/>
      <c r="G9" s="9"/>
      <c r="H9" s="9"/>
      <c r="L9" s="9"/>
      <c r="M9" s="9"/>
      <c r="N9" s="9"/>
      <c r="O9" s="9"/>
      <c r="Q9" s="9"/>
      <c r="R9" s="9"/>
      <c r="S9" s="9"/>
      <c r="U9" s="9"/>
    </row>
    <row r="10" spans="1:33" x14ac:dyDescent="0.35">
      <c r="D10" s="9"/>
      <c r="E10" s="9"/>
      <c r="G10" s="9"/>
      <c r="H10" s="9"/>
      <c r="L10" s="9"/>
      <c r="M10" s="9"/>
      <c r="N10" s="9"/>
      <c r="O10" s="9"/>
      <c r="Q10" s="9"/>
      <c r="R10" s="9"/>
      <c r="S10" s="9"/>
      <c r="U10" s="9"/>
    </row>
    <row r="11" spans="1:33" x14ac:dyDescent="0.35">
      <c r="D11" s="9"/>
      <c r="E11" s="9"/>
      <c r="G11" s="9"/>
      <c r="H11" s="9"/>
      <c r="L11" s="9"/>
      <c r="M11" s="9"/>
      <c r="N11" s="9"/>
      <c r="O11" s="9"/>
      <c r="Q11" s="9"/>
      <c r="R11" s="9"/>
      <c r="S11" s="9"/>
      <c r="U11" s="9"/>
    </row>
    <row r="12" spans="1:33" x14ac:dyDescent="0.35">
      <c r="D12" s="9"/>
      <c r="E12" s="9"/>
      <c r="G12" s="9"/>
      <c r="H12" s="9"/>
      <c r="L12" s="9"/>
      <c r="M12" s="9"/>
      <c r="N12" s="9"/>
      <c r="O12" s="9"/>
      <c r="Q12" s="9"/>
      <c r="R12" s="9"/>
      <c r="S12" s="9"/>
      <c r="U12" s="9"/>
    </row>
    <row r="13" spans="1:33" x14ac:dyDescent="0.35">
      <c r="D13" s="9"/>
      <c r="E13" s="9"/>
      <c r="G13" s="9"/>
      <c r="H13" s="9"/>
      <c r="L13" s="9"/>
      <c r="M13" s="9"/>
      <c r="N13" s="9"/>
      <c r="O13" s="9"/>
      <c r="Q13" s="9"/>
      <c r="R13" s="9"/>
      <c r="S13" s="9"/>
      <c r="U13" s="9"/>
    </row>
    <row r="14" spans="1:33" x14ac:dyDescent="0.35">
      <c r="D14" s="9"/>
      <c r="E14" s="9"/>
      <c r="G14" s="9"/>
      <c r="H14" s="9"/>
      <c r="L14" s="9"/>
      <c r="M14" s="9"/>
      <c r="N14" s="9"/>
      <c r="O14" s="9"/>
      <c r="Q14" s="9"/>
      <c r="R14" s="9"/>
      <c r="S14" s="9"/>
      <c r="U14" s="9"/>
    </row>
    <row r="15" spans="1:33" x14ac:dyDescent="0.35">
      <c r="D15" s="9"/>
      <c r="E15" s="9"/>
      <c r="G15" s="9"/>
      <c r="H15" s="9"/>
      <c r="L15" s="9"/>
      <c r="M15" s="9"/>
      <c r="N15" s="9"/>
      <c r="O15" s="9"/>
      <c r="Q15" s="9"/>
      <c r="R15" s="9"/>
      <c r="S15" s="9"/>
      <c r="U15" s="9"/>
    </row>
    <row r="16" spans="1:33" x14ac:dyDescent="0.35">
      <c r="D16" s="9"/>
      <c r="E16" s="9"/>
      <c r="G16" s="9"/>
      <c r="H16" s="9"/>
      <c r="L16" s="9"/>
      <c r="M16" s="9"/>
      <c r="N16" s="9"/>
      <c r="O16" s="9"/>
      <c r="Q16" s="9"/>
      <c r="R16" s="9"/>
      <c r="S16" s="9"/>
      <c r="U16" s="9"/>
    </row>
    <row r="17" spans="4:21" x14ac:dyDescent="0.35">
      <c r="D17" s="9"/>
      <c r="E17" s="9"/>
      <c r="G17" s="9"/>
      <c r="H17" s="9"/>
      <c r="L17" s="9"/>
      <c r="M17" s="9"/>
      <c r="N17" s="9"/>
      <c r="O17" s="9"/>
      <c r="Q17" s="9"/>
      <c r="R17" s="9"/>
      <c r="S17" s="9"/>
      <c r="U17" s="9"/>
    </row>
    <row r="18" spans="4:21" x14ac:dyDescent="0.35">
      <c r="D18" s="9"/>
      <c r="E18" s="9"/>
      <c r="G18" s="9"/>
      <c r="H18" s="9"/>
      <c r="L18" s="9"/>
      <c r="M18" s="9"/>
      <c r="N18" s="9"/>
      <c r="O18" s="9"/>
      <c r="Q18" s="9"/>
      <c r="R18" s="9"/>
      <c r="S18" s="9"/>
      <c r="U18" s="9"/>
    </row>
    <row r="19" spans="4:21" x14ac:dyDescent="0.35">
      <c r="D19" s="9"/>
      <c r="E19" s="9"/>
      <c r="G19" s="9"/>
      <c r="H19" s="9"/>
      <c r="L19" s="9"/>
      <c r="M19" s="9"/>
      <c r="N19" s="9"/>
      <c r="O19" s="9"/>
      <c r="Q19" s="9"/>
      <c r="R19" s="9"/>
      <c r="S19" s="9"/>
      <c r="U19" s="9"/>
    </row>
    <row r="20" spans="4:21" x14ac:dyDescent="0.35">
      <c r="D20" s="9"/>
      <c r="E20" s="9"/>
      <c r="G20" s="9"/>
      <c r="H20" s="9"/>
      <c r="L20" s="9"/>
      <c r="M20" s="9"/>
      <c r="N20" s="9"/>
      <c r="O20" s="9"/>
      <c r="Q20" s="9"/>
      <c r="R20" s="9"/>
      <c r="S20" s="9"/>
      <c r="U20" s="9"/>
    </row>
    <row r="21" spans="4:21" x14ac:dyDescent="0.35">
      <c r="D21" s="9"/>
      <c r="E21" s="9"/>
      <c r="G21" s="9"/>
      <c r="H21" s="9"/>
      <c r="L21" s="9"/>
      <c r="M21" s="9"/>
      <c r="N21" s="9"/>
      <c r="O21" s="9"/>
      <c r="Q21" s="9"/>
      <c r="R21" s="9"/>
      <c r="S21" s="9"/>
      <c r="U21" s="9"/>
    </row>
    <row r="22" spans="4:21" x14ac:dyDescent="0.35">
      <c r="D22" s="9"/>
      <c r="E22" s="9"/>
      <c r="G22" s="9"/>
      <c r="H22" s="9"/>
      <c r="L22" s="9"/>
      <c r="M22" s="9"/>
      <c r="N22" s="9"/>
      <c r="O22" s="9"/>
      <c r="Q22" s="9"/>
      <c r="R22" s="9"/>
      <c r="S22" s="9"/>
      <c r="U22" s="9"/>
    </row>
    <row r="23" spans="4:21" x14ac:dyDescent="0.35">
      <c r="D23" s="9"/>
      <c r="E23" s="9"/>
      <c r="G23" s="9"/>
      <c r="H23" s="9"/>
      <c r="L23" s="9"/>
      <c r="M23" s="9"/>
      <c r="N23" s="9"/>
      <c r="O23" s="9"/>
      <c r="Q23" s="9"/>
      <c r="R23" s="9"/>
      <c r="S23" s="9"/>
      <c r="U23" s="9"/>
    </row>
    <row r="24" spans="4:21" x14ac:dyDescent="0.35">
      <c r="D24" s="9"/>
      <c r="E24" s="9"/>
      <c r="G24" s="9"/>
      <c r="H24" s="9"/>
      <c r="L24" s="9"/>
      <c r="M24" s="9"/>
      <c r="N24" s="9"/>
      <c r="O24" s="9"/>
      <c r="Q24" s="9"/>
      <c r="R24" s="9"/>
      <c r="S24" s="9"/>
      <c r="U24" s="9"/>
    </row>
    <row r="25" spans="4:21" x14ac:dyDescent="0.35">
      <c r="D25" s="9"/>
      <c r="E25" s="9"/>
      <c r="G25" s="9"/>
      <c r="H25" s="9"/>
      <c r="L25" s="9"/>
      <c r="M25" s="9"/>
      <c r="N25" s="9"/>
      <c r="O25" s="9"/>
      <c r="Q25" s="9"/>
      <c r="R25" s="9"/>
      <c r="S25" s="9"/>
      <c r="U25" s="9"/>
    </row>
    <row r="26" spans="4:21" x14ac:dyDescent="0.35">
      <c r="D26" s="9"/>
      <c r="E26" s="9"/>
      <c r="G26" s="9"/>
      <c r="H26" s="9"/>
      <c r="L26" s="9"/>
      <c r="M26" s="9"/>
      <c r="N26" s="9"/>
      <c r="O26" s="9"/>
      <c r="Q26" s="9"/>
      <c r="R26" s="9"/>
      <c r="S26" s="9"/>
      <c r="U26" s="9"/>
    </row>
    <row r="27" spans="4:21" x14ac:dyDescent="0.35">
      <c r="D27" s="9"/>
      <c r="E27" s="9"/>
      <c r="G27" s="9"/>
      <c r="H27" s="9"/>
      <c r="L27" s="9"/>
      <c r="M27" s="9"/>
      <c r="N27" s="9"/>
      <c r="O27" s="9"/>
      <c r="Q27" s="9"/>
      <c r="R27" s="9"/>
      <c r="S27" s="9"/>
      <c r="U27" s="9"/>
    </row>
    <row r="28" spans="4:21" x14ac:dyDescent="0.35">
      <c r="D28" s="9"/>
      <c r="E28" s="9"/>
      <c r="G28" s="9"/>
      <c r="H28" s="9"/>
      <c r="L28" s="9"/>
      <c r="M28" s="9"/>
      <c r="N28" s="9"/>
      <c r="O28" s="9"/>
      <c r="Q28" s="9"/>
      <c r="R28" s="9"/>
      <c r="S28" s="9"/>
      <c r="U28" s="9"/>
    </row>
    <row r="29" spans="4:21" x14ac:dyDescent="0.35">
      <c r="D29" s="9"/>
      <c r="E29" s="9"/>
      <c r="G29" s="9"/>
      <c r="H29" s="9"/>
      <c r="L29" s="9"/>
      <c r="M29" s="9"/>
      <c r="N29" s="9"/>
      <c r="O29" s="9"/>
      <c r="Q29" s="9"/>
      <c r="R29" s="9"/>
      <c r="S29" s="9"/>
      <c r="U29" s="9"/>
    </row>
    <row r="30" spans="4:21" x14ac:dyDescent="0.35">
      <c r="D30" s="9"/>
      <c r="E30" s="9"/>
      <c r="G30" s="9"/>
      <c r="H30" s="9"/>
      <c r="L30" s="9"/>
      <c r="M30" s="9"/>
      <c r="N30" s="9"/>
      <c r="O30" s="9"/>
      <c r="Q30" s="9"/>
      <c r="R30" s="9"/>
      <c r="S30" s="9"/>
      <c r="U30" s="9"/>
    </row>
    <row r="31" spans="4:21" x14ac:dyDescent="0.35">
      <c r="D31" s="9"/>
      <c r="E31" s="9"/>
      <c r="G31" s="9"/>
      <c r="H31" s="9"/>
      <c r="L31" s="9"/>
      <c r="M31" s="9"/>
      <c r="N31" s="9"/>
      <c r="O31" s="9"/>
      <c r="Q31" s="9"/>
      <c r="R31" s="9"/>
      <c r="S31" s="9"/>
      <c r="U31" s="9"/>
    </row>
    <row r="32" spans="4:21" x14ac:dyDescent="0.35">
      <c r="D32" s="9"/>
      <c r="E32" s="9"/>
      <c r="G32" s="9"/>
      <c r="H32" s="9"/>
      <c r="L32" s="9"/>
      <c r="M32" s="9"/>
      <c r="N32" s="9"/>
      <c r="O32" s="9"/>
      <c r="Q32" s="9"/>
      <c r="R32" s="9"/>
      <c r="S32" s="9"/>
      <c r="U32" s="9"/>
    </row>
    <row r="33" spans="4:21" x14ac:dyDescent="0.35">
      <c r="D33" s="9"/>
      <c r="E33" s="9"/>
      <c r="G33" s="9"/>
      <c r="H33" s="9"/>
      <c r="L33" s="9"/>
      <c r="M33" s="9"/>
      <c r="N33" s="9"/>
      <c r="O33" s="9"/>
      <c r="Q33" s="9"/>
      <c r="R33" s="9"/>
      <c r="S33" s="9"/>
      <c r="U33" s="9"/>
    </row>
    <row r="34" spans="4:21" x14ac:dyDescent="0.35">
      <c r="D34" s="9"/>
      <c r="E34" s="9"/>
      <c r="G34" s="9"/>
      <c r="H34" s="9"/>
      <c r="L34" s="9"/>
      <c r="M34" s="9"/>
      <c r="N34" s="9"/>
      <c r="O34" s="9"/>
      <c r="Q34" s="9"/>
      <c r="R34" s="9"/>
      <c r="S34" s="9"/>
      <c r="U34" s="9"/>
    </row>
    <row r="35" spans="4:21" x14ac:dyDescent="0.35">
      <c r="D35" s="9"/>
      <c r="E35" s="9"/>
      <c r="G35" s="9"/>
      <c r="H35" s="9"/>
      <c r="L35" s="9"/>
      <c r="M35" s="9"/>
      <c r="N35" s="9"/>
      <c r="O35" s="9"/>
      <c r="Q35" s="9"/>
      <c r="R35" s="9"/>
      <c r="S35" s="9"/>
      <c r="U35" s="9"/>
    </row>
    <row r="36" spans="4:21" x14ac:dyDescent="0.35">
      <c r="D36" s="9"/>
      <c r="E36" s="9"/>
      <c r="G36" s="9"/>
      <c r="H36" s="9"/>
      <c r="L36" s="9"/>
      <c r="M36" s="9"/>
      <c r="N36" s="9"/>
      <c r="O36" s="9"/>
      <c r="Q36" s="9"/>
      <c r="R36" s="9"/>
      <c r="S36" s="9"/>
      <c r="U36" s="9"/>
    </row>
    <row r="37" spans="4:21" x14ac:dyDescent="0.35">
      <c r="D37" s="9"/>
      <c r="E37" s="9"/>
      <c r="G37" s="9"/>
      <c r="H37" s="9"/>
      <c r="L37" s="9"/>
      <c r="M37" s="9"/>
      <c r="N37" s="9"/>
      <c r="O37" s="9"/>
      <c r="Q37" s="9"/>
      <c r="R37" s="9"/>
      <c r="S37" s="9"/>
      <c r="U37" s="9"/>
    </row>
    <row r="38" spans="4:21" x14ac:dyDescent="0.35">
      <c r="D38" s="9"/>
      <c r="E38" s="9"/>
      <c r="G38" s="9"/>
      <c r="H38" s="9"/>
      <c r="L38" s="9"/>
      <c r="M38" s="9"/>
      <c r="N38" s="9"/>
      <c r="O38" s="9"/>
      <c r="Q38" s="9"/>
      <c r="R38" s="9"/>
      <c r="S38" s="9"/>
      <c r="U38" s="9"/>
    </row>
    <row r="39" spans="4:21" x14ac:dyDescent="0.35">
      <c r="D39" s="9"/>
      <c r="E39" s="9"/>
      <c r="G39" s="9"/>
      <c r="H39" s="9"/>
      <c r="L39" s="9"/>
      <c r="M39" s="9"/>
      <c r="N39" s="9"/>
      <c r="O39" s="9"/>
      <c r="Q39" s="9"/>
      <c r="R39" s="9"/>
      <c r="S39" s="9"/>
      <c r="U39" s="9"/>
    </row>
    <row r="40" spans="4:21" x14ac:dyDescent="0.35">
      <c r="D40" s="9"/>
      <c r="E40" s="9"/>
      <c r="G40" s="9"/>
      <c r="H40" s="9"/>
      <c r="L40" s="9"/>
      <c r="M40" s="9"/>
      <c r="N40" s="9"/>
      <c r="O40" s="9"/>
      <c r="Q40" s="9"/>
      <c r="R40" s="9"/>
      <c r="S40" s="9"/>
      <c r="U40" s="9"/>
    </row>
    <row r="41" spans="4:21" x14ac:dyDescent="0.35">
      <c r="D41" s="9"/>
      <c r="E41" s="9"/>
      <c r="G41" s="9"/>
      <c r="H41" s="9"/>
      <c r="L41" s="9"/>
      <c r="M41" s="9"/>
      <c r="N41" s="9"/>
      <c r="O41" s="9"/>
      <c r="Q41" s="9"/>
      <c r="R41" s="9"/>
      <c r="S41" s="9"/>
      <c r="U41" s="9"/>
    </row>
    <row r="42" spans="4:21" x14ac:dyDescent="0.35">
      <c r="D42" s="9"/>
      <c r="E42" s="9"/>
      <c r="G42" s="9"/>
      <c r="H42" s="9"/>
      <c r="L42" s="9"/>
      <c r="M42" s="9"/>
      <c r="N42" s="9"/>
      <c r="O42" s="9"/>
      <c r="Q42" s="9"/>
      <c r="R42" s="9"/>
      <c r="S42" s="9"/>
      <c r="U42" s="9"/>
    </row>
    <row r="43" spans="4:21" x14ac:dyDescent="0.35">
      <c r="D43" s="9"/>
      <c r="E43" s="9"/>
      <c r="G43" s="9"/>
      <c r="H43" s="9"/>
      <c r="L43" s="9"/>
      <c r="M43" s="9"/>
      <c r="N43" s="9"/>
      <c r="O43" s="9"/>
      <c r="Q43" s="9"/>
      <c r="R43" s="9"/>
      <c r="S43" s="9"/>
      <c r="U43" s="9"/>
    </row>
    <row r="44" spans="4:21" x14ac:dyDescent="0.35">
      <c r="D44" s="9"/>
      <c r="E44" s="9"/>
      <c r="G44" s="9"/>
      <c r="H44" s="9"/>
      <c r="L44" s="9"/>
      <c r="M44" s="9"/>
      <c r="N44" s="9"/>
      <c r="O44" s="9"/>
      <c r="Q44" s="9"/>
      <c r="R44" s="9"/>
      <c r="S44" s="9"/>
      <c r="U44" s="9"/>
    </row>
    <row r="45" spans="4:21" x14ac:dyDescent="0.35">
      <c r="D45" s="9"/>
      <c r="E45" s="9"/>
      <c r="G45" s="9"/>
      <c r="H45" s="9"/>
      <c r="L45" s="9"/>
      <c r="M45" s="9"/>
      <c r="N45" s="9"/>
      <c r="O45" s="9"/>
      <c r="Q45" s="9"/>
      <c r="R45" s="9"/>
      <c r="S45" s="9"/>
      <c r="U45" s="9"/>
    </row>
    <row r="46" spans="4:21" x14ac:dyDescent="0.35">
      <c r="D46" s="9"/>
      <c r="E46" s="9"/>
      <c r="G46" s="9"/>
      <c r="H46" s="9"/>
      <c r="L46" s="9"/>
      <c r="M46" s="9"/>
      <c r="N46" s="9"/>
      <c r="O46" s="9"/>
      <c r="Q46" s="9"/>
      <c r="R46" s="9"/>
      <c r="S46" s="9"/>
      <c r="U46" s="9"/>
    </row>
    <row r="47" spans="4:21" x14ac:dyDescent="0.35">
      <c r="D47" s="9"/>
      <c r="E47" s="9"/>
      <c r="G47" s="9"/>
      <c r="H47" s="9"/>
      <c r="L47" s="9"/>
      <c r="M47" s="9"/>
      <c r="N47" s="9"/>
      <c r="O47" s="9"/>
      <c r="Q47" s="9"/>
      <c r="R47" s="9"/>
      <c r="S47" s="9"/>
      <c r="U47" s="9"/>
    </row>
    <row r="48" spans="4:21" x14ac:dyDescent="0.35">
      <c r="D48" s="9"/>
      <c r="E48" s="9"/>
      <c r="G48" s="9"/>
      <c r="H48" s="9"/>
      <c r="L48" s="9"/>
      <c r="M48" s="9"/>
      <c r="N48" s="9"/>
      <c r="O48" s="9"/>
      <c r="Q48" s="9"/>
      <c r="R48" s="9"/>
      <c r="S48" s="9"/>
      <c r="U48" s="9"/>
    </row>
    <row r="49" spans="4:21" x14ac:dyDescent="0.35">
      <c r="D49" s="9"/>
      <c r="E49" s="9"/>
      <c r="G49" s="9"/>
      <c r="H49" s="9"/>
      <c r="L49" s="9"/>
      <c r="M49" s="9"/>
      <c r="N49" s="9"/>
      <c r="O49" s="9"/>
      <c r="Q49" s="9"/>
      <c r="R49" s="9"/>
      <c r="S49" s="9"/>
      <c r="U49" s="9"/>
    </row>
    <row r="50" spans="4:21" x14ac:dyDescent="0.35">
      <c r="D50" s="9"/>
      <c r="E50" s="9"/>
      <c r="G50" s="9"/>
      <c r="H50" s="9"/>
      <c r="L50" s="9"/>
      <c r="M50" s="9"/>
      <c r="N50" s="9"/>
      <c r="O50" s="9"/>
      <c r="Q50" s="9"/>
      <c r="R50" s="9"/>
      <c r="S50" s="9"/>
      <c r="U50" s="9"/>
    </row>
    <row r="51" spans="4:21" x14ac:dyDescent="0.35">
      <c r="D51" s="9"/>
      <c r="E51" s="9"/>
      <c r="G51" s="9"/>
      <c r="H51" s="9"/>
      <c r="L51" s="9"/>
      <c r="M51" s="9"/>
      <c r="N51" s="9"/>
      <c r="O51" s="9"/>
      <c r="Q51" s="9"/>
      <c r="R51" s="9"/>
      <c r="S51" s="9"/>
      <c r="U51" s="9"/>
    </row>
    <row r="52" spans="4:21" x14ac:dyDescent="0.35">
      <c r="D52" s="9"/>
      <c r="E52" s="9"/>
      <c r="G52" s="9"/>
      <c r="H52" s="9"/>
      <c r="L52" s="9"/>
      <c r="M52" s="9"/>
      <c r="N52" s="9"/>
      <c r="O52" s="9"/>
      <c r="Q52" s="9"/>
      <c r="R52" s="9"/>
      <c r="S52" s="9"/>
      <c r="U52" s="9"/>
    </row>
    <row r="53" spans="4:21" x14ac:dyDescent="0.35">
      <c r="D53" s="9"/>
      <c r="E53" s="9"/>
      <c r="G53" s="9"/>
      <c r="H53" s="9"/>
      <c r="L53" s="9"/>
      <c r="M53" s="9"/>
      <c r="N53" s="9"/>
      <c r="O53" s="9"/>
      <c r="Q53" s="9"/>
      <c r="R53" s="9"/>
      <c r="S53" s="9"/>
      <c r="U53" s="9"/>
    </row>
    <row r="54" spans="4:21" x14ac:dyDescent="0.35">
      <c r="D54" s="9"/>
      <c r="E54" s="9"/>
      <c r="G54" s="9"/>
      <c r="H54" s="9"/>
      <c r="L54" s="9"/>
      <c r="M54" s="9"/>
      <c r="N54" s="9"/>
      <c r="O54" s="9"/>
      <c r="Q54" s="9"/>
      <c r="R54" s="9"/>
      <c r="S54" s="9"/>
      <c r="U54" s="9"/>
    </row>
    <row r="55" spans="4:21" x14ac:dyDescent="0.35">
      <c r="D55" s="9"/>
      <c r="E55" s="9"/>
      <c r="G55" s="9"/>
      <c r="H55" s="9"/>
      <c r="L55" s="9"/>
      <c r="M55" s="9"/>
      <c r="N55" s="9"/>
      <c r="O55" s="9"/>
      <c r="Q55" s="9"/>
      <c r="R55" s="9"/>
      <c r="S55" s="9"/>
      <c r="U55" s="9"/>
    </row>
    <row r="56" spans="4:21" x14ac:dyDescent="0.35">
      <c r="D56" s="9"/>
      <c r="E56" s="9"/>
      <c r="G56" s="9"/>
      <c r="H56" s="9"/>
      <c r="L56" s="9"/>
      <c r="M56" s="9"/>
      <c r="N56" s="9"/>
      <c r="O56" s="9"/>
      <c r="Q56" s="9"/>
      <c r="R56" s="9"/>
      <c r="S56" s="9"/>
      <c r="U56" s="9"/>
    </row>
    <row r="57" spans="4:21" x14ac:dyDescent="0.35">
      <c r="D57" s="9"/>
      <c r="E57" s="9"/>
      <c r="G57" s="9"/>
      <c r="H57" s="9"/>
      <c r="L57" s="9"/>
      <c r="M57" s="9"/>
      <c r="N57" s="9"/>
      <c r="O57" s="9"/>
      <c r="Q57" s="9"/>
      <c r="R57" s="9"/>
      <c r="S57" s="9"/>
      <c r="U57" s="9"/>
    </row>
    <row r="58" spans="4:21" x14ac:dyDescent="0.35">
      <c r="D58" s="9"/>
      <c r="E58" s="9"/>
      <c r="G58" s="9"/>
      <c r="H58" s="9"/>
      <c r="L58" s="9"/>
      <c r="M58" s="9"/>
      <c r="N58" s="9"/>
      <c r="O58" s="9"/>
      <c r="Q58" s="9"/>
      <c r="R58" s="9"/>
      <c r="S58" s="9"/>
      <c r="U58" s="9"/>
    </row>
    <row r="59" spans="4:21" x14ac:dyDescent="0.35">
      <c r="D59" s="9"/>
      <c r="E59" s="9"/>
      <c r="G59" s="9"/>
      <c r="H59" s="9"/>
      <c r="L59" s="9"/>
      <c r="M59" s="9"/>
      <c r="N59" s="9"/>
      <c r="O59" s="9"/>
      <c r="Q59" s="9"/>
      <c r="R59" s="9"/>
      <c r="S59" s="9"/>
      <c r="U59" s="9"/>
    </row>
    <row r="60" spans="4:21" x14ac:dyDescent="0.35">
      <c r="D60" s="9"/>
      <c r="E60" s="9"/>
      <c r="G60" s="9"/>
      <c r="H60" s="9"/>
      <c r="L60" s="9"/>
      <c r="M60" s="9"/>
      <c r="N60" s="9"/>
      <c r="O60" s="9"/>
      <c r="Q60" s="9"/>
      <c r="R60" s="9"/>
      <c r="S60" s="9"/>
      <c r="U60" s="9"/>
    </row>
    <row r="61" spans="4:21" x14ac:dyDescent="0.35">
      <c r="D61" s="9"/>
      <c r="E61" s="9"/>
      <c r="G61" s="9"/>
      <c r="H61" s="9"/>
      <c r="L61" s="9"/>
      <c r="M61" s="9"/>
      <c r="N61" s="9"/>
      <c r="O61" s="9"/>
      <c r="Q61" s="9"/>
      <c r="R61" s="9"/>
      <c r="S61" s="9"/>
      <c r="U61" s="9"/>
    </row>
    <row r="62" spans="4:21" x14ac:dyDescent="0.35">
      <c r="D62" s="9"/>
      <c r="E62" s="9"/>
      <c r="G62" s="9"/>
      <c r="H62" s="9"/>
      <c r="L62" s="9"/>
      <c r="M62" s="9"/>
      <c r="N62" s="9"/>
      <c r="O62" s="9"/>
      <c r="Q62" s="9"/>
      <c r="R62" s="9"/>
      <c r="S62" s="9"/>
      <c r="U62" s="9"/>
    </row>
    <row r="63" spans="4:21" x14ac:dyDescent="0.35">
      <c r="D63" s="9"/>
      <c r="E63" s="9"/>
      <c r="G63" s="9"/>
      <c r="H63" s="9"/>
      <c r="L63" s="9"/>
      <c r="M63" s="9"/>
      <c r="N63" s="9"/>
      <c r="O63" s="9"/>
      <c r="Q63" s="9"/>
      <c r="R63" s="9"/>
      <c r="S63" s="9"/>
      <c r="U63" s="9"/>
    </row>
    <row r="64" spans="4:21" x14ac:dyDescent="0.35">
      <c r="D64" s="9"/>
      <c r="E64" s="9"/>
      <c r="G64" s="9"/>
      <c r="H64" s="9"/>
      <c r="L64" s="9"/>
      <c r="M64" s="9"/>
      <c r="N64" s="9"/>
      <c r="O64" s="9"/>
      <c r="Q64" s="9"/>
      <c r="R64" s="9"/>
      <c r="S64" s="9"/>
      <c r="U64" s="9"/>
    </row>
    <row r="65" spans="4:21" x14ac:dyDescent="0.35">
      <c r="D65" s="9"/>
      <c r="E65" s="9"/>
      <c r="G65" s="9"/>
      <c r="H65" s="9"/>
      <c r="L65" s="9"/>
      <c r="M65" s="9"/>
      <c r="N65" s="9"/>
      <c r="O65" s="9"/>
      <c r="Q65" s="9"/>
      <c r="R65" s="9"/>
      <c r="S65" s="9"/>
      <c r="U65" s="9"/>
    </row>
    <row r="66" spans="4:21" x14ac:dyDescent="0.35">
      <c r="D66" s="9"/>
      <c r="E66" s="9"/>
      <c r="G66" s="9"/>
      <c r="H66" s="9"/>
      <c r="L66" s="9"/>
      <c r="M66" s="9"/>
      <c r="N66" s="9"/>
      <c r="O66" s="9"/>
      <c r="Q66" s="9"/>
      <c r="R66" s="9"/>
      <c r="S66" s="9"/>
      <c r="U66" s="9"/>
    </row>
    <row r="67" spans="4:21" x14ac:dyDescent="0.35">
      <c r="D67" s="9"/>
      <c r="E67" s="9"/>
      <c r="G67" s="9"/>
      <c r="H67" s="9"/>
      <c r="L67" s="9"/>
      <c r="M67" s="9"/>
      <c r="N67" s="9"/>
      <c r="O67" s="9"/>
      <c r="Q67" s="9"/>
      <c r="R67" s="9"/>
      <c r="S67" s="9"/>
      <c r="U67" s="9"/>
    </row>
    <row r="68" spans="4:21" x14ac:dyDescent="0.35">
      <c r="D68" s="9"/>
      <c r="E68" s="9"/>
      <c r="G68" s="9"/>
      <c r="H68" s="9"/>
      <c r="L68" s="9"/>
      <c r="M68" s="9"/>
      <c r="N68" s="9"/>
      <c r="O68" s="9"/>
      <c r="Q68" s="9"/>
      <c r="R68" s="9"/>
      <c r="S68" s="9"/>
      <c r="U68" s="9"/>
    </row>
    <row r="69" spans="4:21" x14ac:dyDescent="0.35">
      <c r="D69" s="9"/>
      <c r="E69" s="9"/>
      <c r="G69" s="9"/>
      <c r="H69" s="9"/>
      <c r="L69" s="9"/>
      <c r="M69" s="9"/>
      <c r="N69" s="9"/>
      <c r="O69" s="9"/>
      <c r="Q69" s="9"/>
      <c r="R69" s="9"/>
      <c r="S69" s="9"/>
      <c r="U69" s="9"/>
    </row>
    <row r="70" spans="4:21" x14ac:dyDescent="0.35">
      <c r="D70" s="9"/>
      <c r="E70" s="9"/>
      <c r="G70" s="9"/>
      <c r="H70" s="9"/>
      <c r="L70" s="9"/>
      <c r="M70" s="9"/>
      <c r="N70" s="9"/>
      <c r="O70" s="9"/>
      <c r="Q70" s="9"/>
      <c r="R70" s="9"/>
      <c r="S70" s="9"/>
      <c r="U70" s="9"/>
    </row>
    <row r="71" spans="4:21" x14ac:dyDescent="0.35">
      <c r="D71" s="9"/>
      <c r="E71" s="9"/>
      <c r="G71" s="9"/>
      <c r="H71" s="9"/>
      <c r="L71" s="9"/>
      <c r="M71" s="9"/>
      <c r="N71" s="9"/>
      <c r="O71" s="9"/>
      <c r="Q71" s="9"/>
      <c r="R71" s="9"/>
      <c r="S71" s="9"/>
      <c r="U71" s="9"/>
    </row>
    <row r="72" spans="4:21" x14ac:dyDescent="0.35">
      <c r="D72" s="9"/>
      <c r="E72" s="9"/>
      <c r="G72" s="9"/>
      <c r="H72" s="9"/>
      <c r="L72" s="9"/>
      <c r="M72" s="9"/>
      <c r="N72" s="9"/>
      <c r="O72" s="9"/>
      <c r="Q72" s="9"/>
      <c r="R72" s="9"/>
      <c r="S72" s="9"/>
      <c r="U72" s="9"/>
    </row>
    <row r="73" spans="4:21" x14ac:dyDescent="0.35">
      <c r="D73" s="9"/>
      <c r="E73" s="9"/>
      <c r="G73" s="9"/>
      <c r="H73" s="9"/>
      <c r="L73" s="9"/>
      <c r="M73" s="9"/>
      <c r="N73" s="9"/>
      <c r="O73" s="9"/>
      <c r="Q73" s="9"/>
      <c r="R73" s="9"/>
      <c r="S73" s="9"/>
      <c r="U73" s="9"/>
    </row>
    <row r="74" spans="4:21" x14ac:dyDescent="0.35">
      <c r="D74" s="9"/>
      <c r="E74" s="9"/>
      <c r="G74" s="9"/>
      <c r="H74" s="9"/>
      <c r="L74" s="9"/>
      <c r="M74" s="9"/>
      <c r="N74" s="9"/>
      <c r="O74" s="9"/>
      <c r="Q74" s="9"/>
      <c r="R74" s="9"/>
      <c r="S74" s="9"/>
      <c r="U74" s="9"/>
    </row>
    <row r="75" spans="4:21" x14ac:dyDescent="0.35">
      <c r="D75" s="9"/>
      <c r="E75" s="9"/>
      <c r="G75" s="9"/>
      <c r="H75" s="9"/>
      <c r="L75" s="9"/>
      <c r="M75" s="9"/>
      <c r="N75" s="9"/>
      <c r="O75" s="9"/>
      <c r="Q75" s="9"/>
      <c r="R75" s="9"/>
      <c r="S75" s="9"/>
      <c r="U75" s="9"/>
    </row>
    <row r="76" spans="4:21" x14ac:dyDescent="0.35">
      <c r="D76" s="9"/>
      <c r="E76" s="9"/>
      <c r="G76" s="9"/>
      <c r="H76" s="9"/>
      <c r="L76" s="9"/>
      <c r="M76" s="9"/>
      <c r="N76" s="9"/>
      <c r="O76" s="9"/>
      <c r="Q76" s="9"/>
      <c r="R76" s="9"/>
      <c r="S76" s="9"/>
      <c r="U76" s="9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1">
    <tabColor rgb="FFFF8080"/>
  </sheetPr>
  <dimension ref="A1:F6"/>
  <sheetViews>
    <sheetView showGridLines="0" zoomScale="85" zoomScaleNormal="85" workbookViewId="0">
      <selection activeCell="E1" sqref="E1"/>
    </sheetView>
  </sheetViews>
  <sheetFormatPr defaultColWidth="11.453125" defaultRowHeight="14.5" x14ac:dyDescent="0.35"/>
  <cols>
    <col min="1" max="2" width="11.26953125" bestFit="1" customWidth="1"/>
    <col min="3" max="3" width="18.81640625" bestFit="1" customWidth="1"/>
    <col min="5" max="5" width="14.453125" bestFit="1" customWidth="1"/>
    <col min="6" max="6" width="9.26953125" bestFit="1" customWidth="1"/>
  </cols>
  <sheetData>
    <row r="1" spans="1:6" x14ac:dyDescent="0.35">
      <c r="A1" t="s">
        <v>46</v>
      </c>
      <c r="B1" t="s">
        <v>45</v>
      </c>
      <c r="C1" t="s">
        <v>12</v>
      </c>
      <c r="E1" t="s">
        <v>25</v>
      </c>
      <c r="F1" t="s">
        <v>71</v>
      </c>
    </row>
    <row r="2" spans="1:6" x14ac:dyDescent="0.35">
      <c r="C2" t="s">
        <v>44</v>
      </c>
      <c r="E2" t="s">
        <v>7</v>
      </c>
      <c r="F2" t="s">
        <v>65</v>
      </c>
    </row>
    <row r="3" spans="1:6" x14ac:dyDescent="0.35">
      <c r="A3" t="s">
        <v>36</v>
      </c>
      <c r="B3" t="s">
        <v>43</v>
      </c>
      <c r="C3" t="s">
        <v>42</v>
      </c>
      <c r="E3" t="s">
        <v>34</v>
      </c>
      <c r="F3" t="s">
        <v>66</v>
      </c>
    </row>
    <row r="4" spans="1:6" x14ac:dyDescent="0.35">
      <c r="A4" t="s">
        <v>41</v>
      </c>
      <c r="B4" t="s">
        <v>40</v>
      </c>
      <c r="C4" t="s">
        <v>39</v>
      </c>
      <c r="E4" t="s">
        <v>67</v>
      </c>
      <c r="F4" t="s">
        <v>68</v>
      </c>
    </row>
    <row r="5" spans="1:6" x14ac:dyDescent="0.35">
      <c r="A5" t="s">
        <v>35</v>
      </c>
      <c r="B5" t="s">
        <v>38</v>
      </c>
      <c r="C5" t="s">
        <v>37</v>
      </c>
      <c r="E5" t="s">
        <v>69</v>
      </c>
      <c r="F5" t="s">
        <v>65</v>
      </c>
    </row>
    <row r="6" spans="1:6" x14ac:dyDescent="0.35">
      <c r="E6" t="s">
        <v>70</v>
      </c>
      <c r="F6" t="s">
        <v>65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>
    <tabColor rgb="FFFF8080"/>
  </sheetPr>
  <dimension ref="A1:O10"/>
  <sheetViews>
    <sheetView showGridLines="0" zoomScale="85" zoomScaleNormal="85" workbookViewId="0">
      <selection activeCell="B6" sqref="B6"/>
    </sheetView>
  </sheetViews>
  <sheetFormatPr defaultColWidth="11.453125" defaultRowHeight="14.5" x14ac:dyDescent="0.35"/>
  <cols>
    <col min="1" max="1" width="17.1796875" customWidth="1"/>
    <col min="2" max="2" width="13.1796875" customWidth="1"/>
    <col min="3" max="3" width="11.81640625" customWidth="1"/>
    <col min="4" max="4" width="5.26953125" customWidth="1"/>
    <col min="5" max="5" width="15.54296875" customWidth="1"/>
    <col min="6" max="6" width="8" customWidth="1"/>
    <col min="7" max="7" width="34.54296875" bestFit="1" customWidth="1"/>
    <col min="8" max="8" width="4" customWidth="1"/>
    <col min="9" max="9" width="8.1796875" customWidth="1"/>
    <col min="10" max="10" width="10.26953125" customWidth="1"/>
    <col min="11" max="11" width="13.54296875" bestFit="1" customWidth="1"/>
    <col min="12" max="12" width="3" customWidth="1"/>
    <col min="13" max="13" width="8.1796875" customWidth="1"/>
    <col min="14" max="14" width="12.81640625" customWidth="1"/>
    <col min="15" max="15" width="22.453125" bestFit="1" customWidth="1"/>
  </cols>
  <sheetData>
    <row r="1" spans="1:15" ht="23.5" x14ac:dyDescent="0.55000000000000004">
      <c r="A1" s="7" t="s">
        <v>11</v>
      </c>
    </row>
    <row r="4" spans="1:15" x14ac:dyDescent="0.35">
      <c r="A4" s="12" t="s">
        <v>13</v>
      </c>
      <c r="B4" s="13" t="s">
        <v>18</v>
      </c>
      <c r="C4" s="14" t="s">
        <v>14</v>
      </c>
      <c r="E4" s="6" t="s">
        <v>72</v>
      </c>
      <c r="F4" s="8" t="s">
        <v>14</v>
      </c>
      <c r="G4" s="6" t="s">
        <v>12</v>
      </c>
      <c r="I4" t="s">
        <v>54</v>
      </c>
      <c r="J4" t="s">
        <v>55</v>
      </c>
      <c r="K4" t="s">
        <v>12</v>
      </c>
      <c r="M4" t="s">
        <v>54</v>
      </c>
      <c r="N4" t="s">
        <v>60</v>
      </c>
      <c r="O4" t="s">
        <v>12</v>
      </c>
    </row>
    <row r="5" spans="1:15" x14ac:dyDescent="0.35">
      <c r="A5" t="s">
        <v>32</v>
      </c>
      <c r="B5" s="5"/>
      <c r="C5" t="str">
        <f>IFERROR(VLOOKUP(MaterialPrice,tMaterialPrice[],2,FALSE),"")</f>
        <v/>
      </c>
      <c r="E5" s="1" t="s">
        <v>16</v>
      </c>
      <c r="G5" t="s">
        <v>9</v>
      </c>
      <c r="I5" t="s">
        <v>56</v>
      </c>
      <c r="J5" t="e">
        <f>COLUMN(#REF!)</f>
        <v>#REF!</v>
      </c>
      <c r="K5" t="s">
        <v>50</v>
      </c>
      <c r="M5" t="s">
        <v>56</v>
      </c>
      <c r="N5">
        <v>2</v>
      </c>
      <c r="O5" t="s">
        <v>61</v>
      </c>
    </row>
    <row r="6" spans="1:15" x14ac:dyDescent="0.35">
      <c r="A6" t="s">
        <v>31</v>
      </c>
      <c r="B6" s="5" t="s">
        <v>56</v>
      </c>
      <c r="C6">
        <f>IFERROR(VLOOKUP(ProductHierarchy,tProductHierarchyLevel[],2,FALSE),"")</f>
        <v>2</v>
      </c>
      <c r="E6" s="1" t="s">
        <v>15</v>
      </c>
      <c r="G6" t="s">
        <v>19</v>
      </c>
      <c r="I6" t="s">
        <v>57</v>
      </c>
      <c r="J6" t="e">
        <f>COLUMN(#REF!)</f>
        <v>#REF!</v>
      </c>
      <c r="K6" t="s">
        <v>51</v>
      </c>
      <c r="M6" t="s">
        <v>57</v>
      </c>
      <c r="N6">
        <v>5</v>
      </c>
      <c r="O6" t="s">
        <v>62</v>
      </c>
    </row>
    <row r="7" spans="1:15" x14ac:dyDescent="0.35">
      <c r="A7" t="s">
        <v>30</v>
      </c>
      <c r="B7" s="5" t="s">
        <v>58</v>
      </c>
      <c r="C7" t="str">
        <f>IFERROR(VLOOKUP(CustomerHierarchy,tCustomerLevel[],2,FALSE),"")</f>
        <v/>
      </c>
      <c r="E7" s="1" t="s">
        <v>17</v>
      </c>
      <c r="G7" t="s">
        <v>10</v>
      </c>
      <c r="I7" t="s">
        <v>58</v>
      </c>
      <c r="J7" t="e">
        <f>COLUMN(#REF!)</f>
        <v>#REF!</v>
      </c>
      <c r="K7" t="s">
        <v>52</v>
      </c>
      <c r="M7" t="s">
        <v>58</v>
      </c>
      <c r="N7">
        <v>8</v>
      </c>
      <c r="O7" t="s">
        <v>63</v>
      </c>
    </row>
    <row r="8" spans="1:15" x14ac:dyDescent="0.35">
      <c r="A8" t="s">
        <v>29</v>
      </c>
      <c r="B8" s="5" t="s">
        <v>109</v>
      </c>
      <c r="C8" t="str">
        <f t="shared" ref="C8:C10" si="0">B8</f>
        <v>Gross</v>
      </c>
      <c r="I8" t="s">
        <v>59</v>
      </c>
      <c r="J8" t="e">
        <f>COLUMN(#REF!)</f>
        <v>#REF!</v>
      </c>
      <c r="K8" t="s">
        <v>53</v>
      </c>
      <c r="M8" t="s">
        <v>59</v>
      </c>
      <c r="N8">
        <v>12</v>
      </c>
      <c r="O8" t="s">
        <v>64</v>
      </c>
    </row>
    <row r="9" spans="1:15" x14ac:dyDescent="0.35">
      <c r="A9" t="s">
        <v>28</v>
      </c>
      <c r="B9" s="5">
        <v>1</v>
      </c>
      <c r="C9">
        <f t="shared" si="0"/>
        <v>1</v>
      </c>
    </row>
    <row r="10" spans="1:15" x14ac:dyDescent="0.35">
      <c r="A10" t="s">
        <v>8</v>
      </c>
      <c r="B10" s="5" t="s">
        <v>110</v>
      </c>
      <c r="C10" t="str">
        <f t="shared" si="0"/>
        <v>Default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1">
    <tabColor rgb="FFFF8080"/>
  </sheetPr>
  <dimension ref="A1:B8"/>
  <sheetViews>
    <sheetView showGridLines="0" zoomScale="85" zoomScaleNormal="85" workbookViewId="0">
      <selection activeCell="B8" sqref="B8"/>
    </sheetView>
  </sheetViews>
  <sheetFormatPr defaultColWidth="11.453125" defaultRowHeight="14.5" x14ac:dyDescent="0.35"/>
  <cols>
    <col min="1" max="1" width="13.1796875" bestFit="1" customWidth="1"/>
    <col min="2" max="2" width="43.7265625" bestFit="1" customWidth="1"/>
  </cols>
  <sheetData>
    <row r="1" spans="1:2" ht="23.5" x14ac:dyDescent="0.55000000000000004">
      <c r="A1" s="7" t="s">
        <v>49</v>
      </c>
    </row>
    <row r="4" spans="1:2" x14ac:dyDescent="0.35">
      <c r="A4" t="s">
        <v>1</v>
      </c>
      <c r="B4" s="16">
        <v>35</v>
      </c>
    </row>
    <row r="5" spans="1:2" x14ac:dyDescent="0.35">
      <c r="A5" t="s">
        <v>0</v>
      </c>
      <c r="B5" s="16" t="s">
        <v>582</v>
      </c>
    </row>
    <row r="6" spans="1:2" x14ac:dyDescent="0.35">
      <c r="A6" t="s">
        <v>20</v>
      </c>
      <c r="B6" s="16" t="s">
        <v>539</v>
      </c>
    </row>
    <row r="7" spans="1:2" x14ac:dyDescent="0.35">
      <c r="A7" t="s">
        <v>21</v>
      </c>
      <c r="B7" s="16"/>
    </row>
    <row r="8" spans="1:2" x14ac:dyDescent="0.35">
      <c r="A8" t="s">
        <v>73</v>
      </c>
      <c r="B8" s="16" t="str">
        <f xml:space="preserve"> "Stock Simulation  -  " &amp; Database!I2</f>
        <v>Stock Simulation  -  Stabburet Bayersk postei 8x6x22g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7">
    <tabColor indexed="29"/>
  </sheetPr>
  <dimension ref="A1:B12"/>
  <sheetViews>
    <sheetView showGridLines="0" zoomScale="85" workbookViewId="0">
      <pane xSplit="1" ySplit="9" topLeftCell="B10" activePane="bottomRight" state="frozen"/>
      <selection activeCell="A9" sqref="A9"/>
      <selection pane="topRight" activeCell="A9" sqref="A9"/>
      <selection pane="bottomLeft" activeCell="A9" sqref="A9"/>
      <selection pane="bottomRight" activeCell="B10" sqref="B10"/>
    </sheetView>
  </sheetViews>
  <sheetFormatPr defaultColWidth="11.453125" defaultRowHeight="12.5" x14ac:dyDescent="0.25"/>
  <cols>
    <col min="1" max="1" width="11.6328125" style="30" customWidth="1"/>
    <col min="2" max="2" width="13.6328125" style="30" customWidth="1"/>
    <col min="3" max="3" width="14.54296875" style="30" customWidth="1"/>
    <col min="4" max="4" width="7.453125" style="30" customWidth="1"/>
    <col min="5" max="16384" width="11.453125" style="30"/>
  </cols>
  <sheetData>
    <row r="1" spans="1:2" x14ac:dyDescent="0.25">
      <c r="A1" s="30" t="s">
        <v>371</v>
      </c>
    </row>
    <row r="4" spans="1:2" ht="14.5" x14ac:dyDescent="0.35">
      <c r="A4" s="210" t="s">
        <v>372</v>
      </c>
      <c r="B4" s="212">
        <v>1</v>
      </c>
    </row>
    <row r="5" spans="1:2" ht="14.5" x14ac:dyDescent="0.35">
      <c r="A5" s="210" t="s">
        <v>295</v>
      </c>
      <c r="B5" s="211" t="s">
        <v>532</v>
      </c>
    </row>
    <row r="6" spans="1:2" ht="14.5" x14ac:dyDescent="0.35">
      <c r="A6" s="210" t="s">
        <v>309</v>
      </c>
      <c r="B6" s="212">
        <v>2</v>
      </c>
    </row>
    <row r="8" spans="1:2" ht="14.5" x14ac:dyDescent="0.35">
      <c r="A8" s="158" t="s">
        <v>373</v>
      </c>
      <c r="B8" s="159" t="s">
        <v>263</v>
      </c>
    </row>
    <row r="9" spans="1:2" ht="14.5" x14ac:dyDescent="0.35">
      <c r="A9" s="213">
        <v>41799</v>
      </c>
      <c r="B9" s="219">
        <v>-306</v>
      </c>
    </row>
    <row r="10" spans="1:2" ht="15" thickBot="1" x14ac:dyDescent="0.4">
      <c r="A10" s="160" t="s">
        <v>531</v>
      </c>
      <c r="B10" s="163">
        <v>-306</v>
      </c>
    </row>
    <row r="11" spans="1:2" ht="15" thickTop="1" x14ac:dyDescent="0.35">
      <c r="A11"/>
      <c r="B11"/>
    </row>
    <row r="12" spans="1:2" ht="13" thickTop="1" x14ac:dyDescent="0.25"/>
  </sheetData>
  <pageMargins left="0.78740157499999996" right="0.78740157499999996" top="0.984251969" bottom="0.984251969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>
    <tabColor indexed="29"/>
  </sheetPr>
  <dimension ref="A1:D286"/>
  <sheetViews>
    <sheetView showGridLines="0" zoomScale="85" workbookViewId="0">
      <pane xSplit="1" ySplit="11" topLeftCell="B12" activePane="bottomRight" state="frozen"/>
      <selection activeCell="A9" sqref="A9"/>
      <selection pane="topRight" activeCell="A9" sqref="A9"/>
      <selection pane="bottomLeft" activeCell="A9" sqref="A9"/>
      <selection pane="bottomRight" activeCell="B12" sqref="B12"/>
    </sheetView>
  </sheetViews>
  <sheetFormatPr defaultColWidth="11.453125" defaultRowHeight="12.5" x14ac:dyDescent="0.25"/>
  <cols>
    <col min="1" max="1" width="11.6328125" style="30" customWidth="1"/>
    <col min="2" max="2" width="13.54296875" style="30" customWidth="1"/>
    <col min="3" max="3" width="13.6328125" style="30" customWidth="1"/>
    <col min="4" max="4" width="10.54296875" style="30" customWidth="1"/>
    <col min="5" max="16384" width="11.453125" style="30"/>
  </cols>
  <sheetData>
    <row r="1" spans="1:4" x14ac:dyDescent="0.25">
      <c r="A1" s="30" t="s">
        <v>371</v>
      </c>
    </row>
    <row r="6" spans="1:4" ht="14.5" x14ac:dyDescent="0.35">
      <c r="A6" s="210" t="s">
        <v>295</v>
      </c>
      <c r="B6" s="211" t="s">
        <v>532</v>
      </c>
    </row>
    <row r="7" spans="1:4" ht="14.5" x14ac:dyDescent="0.35">
      <c r="A7" s="210" t="s">
        <v>291</v>
      </c>
      <c r="B7" s="217" t="s">
        <v>532</v>
      </c>
    </row>
    <row r="8" spans="1:4" ht="14.5" x14ac:dyDescent="0.35">
      <c r="A8" s="210" t="s">
        <v>309</v>
      </c>
      <c r="B8" s="211" t="s">
        <v>532</v>
      </c>
    </row>
    <row r="10" spans="1:4" ht="14.5" x14ac:dyDescent="0.35">
      <c r="A10" s="158" t="s">
        <v>373</v>
      </c>
      <c r="B10" s="214" t="s">
        <v>374</v>
      </c>
      <c r="C10" s="215" t="s">
        <v>263</v>
      </c>
      <c r="D10" s="31" t="s">
        <v>316</v>
      </c>
    </row>
    <row r="11" spans="1:4" ht="14.5" x14ac:dyDescent="0.35">
      <c r="A11" s="220">
        <v>41799</v>
      </c>
      <c r="B11" s="221">
        <v>3804</v>
      </c>
      <c r="C11" s="222">
        <v>0</v>
      </c>
      <c r="D11" s="32">
        <f ca="1">Database!StockIn+C11</f>
        <v>1902</v>
      </c>
    </row>
    <row r="12" spans="1:4" ht="14.5" x14ac:dyDescent="0.35">
      <c r="A12"/>
      <c r="B12"/>
      <c r="C12"/>
      <c r="D12" s="32">
        <f ca="1">IF(D11+C12&lt;0,0,D11+C12)</f>
        <v>1902</v>
      </c>
    </row>
    <row r="13" spans="1:4" x14ac:dyDescent="0.25">
      <c r="D13" s="32">
        <f t="shared" ref="D13:D76" ca="1" si="0">IF(D12+C13&lt;0,0,D12+C13)</f>
        <v>1902</v>
      </c>
    </row>
    <row r="14" spans="1:4" x14ac:dyDescent="0.25">
      <c r="D14" s="32">
        <f t="shared" ca="1" si="0"/>
        <v>1902</v>
      </c>
    </row>
    <row r="15" spans="1:4" x14ac:dyDescent="0.25">
      <c r="D15" s="32">
        <f t="shared" ca="1" si="0"/>
        <v>1902</v>
      </c>
    </row>
    <row r="16" spans="1:4" x14ac:dyDescent="0.25">
      <c r="D16" s="32">
        <f t="shared" ca="1" si="0"/>
        <v>1902</v>
      </c>
    </row>
    <row r="17" spans="4:4" x14ac:dyDescent="0.25">
      <c r="D17" s="32">
        <f t="shared" ca="1" si="0"/>
        <v>1902</v>
      </c>
    </row>
    <row r="18" spans="4:4" x14ac:dyDescent="0.25">
      <c r="D18" s="32">
        <f t="shared" ca="1" si="0"/>
        <v>1902</v>
      </c>
    </row>
    <row r="19" spans="4:4" x14ac:dyDescent="0.25">
      <c r="D19" s="32">
        <f t="shared" ca="1" si="0"/>
        <v>1902</v>
      </c>
    </row>
    <row r="20" spans="4:4" x14ac:dyDescent="0.25">
      <c r="D20" s="32">
        <f t="shared" ca="1" si="0"/>
        <v>1902</v>
      </c>
    </row>
    <row r="21" spans="4:4" x14ac:dyDescent="0.25">
      <c r="D21" s="32">
        <f t="shared" ca="1" si="0"/>
        <v>1902</v>
      </c>
    </row>
    <row r="22" spans="4:4" x14ac:dyDescent="0.25">
      <c r="D22" s="32">
        <f t="shared" ca="1" si="0"/>
        <v>1902</v>
      </c>
    </row>
    <row r="23" spans="4:4" x14ac:dyDescent="0.25">
      <c r="D23" s="32">
        <f t="shared" ca="1" si="0"/>
        <v>1902</v>
      </c>
    </row>
    <row r="24" spans="4:4" x14ac:dyDescent="0.25">
      <c r="D24" s="32">
        <f t="shared" ca="1" si="0"/>
        <v>1902</v>
      </c>
    </row>
    <row r="25" spans="4:4" x14ac:dyDescent="0.25">
      <c r="D25" s="32">
        <f t="shared" ca="1" si="0"/>
        <v>1902</v>
      </c>
    </row>
    <row r="26" spans="4:4" x14ac:dyDescent="0.25">
      <c r="D26" s="32">
        <f t="shared" ca="1" si="0"/>
        <v>1902</v>
      </c>
    </row>
    <row r="27" spans="4:4" x14ac:dyDescent="0.25">
      <c r="D27" s="32">
        <f t="shared" ca="1" si="0"/>
        <v>1902</v>
      </c>
    </row>
    <row r="28" spans="4:4" x14ac:dyDescent="0.25">
      <c r="D28" s="32">
        <f t="shared" ca="1" si="0"/>
        <v>1902</v>
      </c>
    </row>
    <row r="29" spans="4:4" x14ac:dyDescent="0.25">
      <c r="D29" s="32">
        <f t="shared" ca="1" si="0"/>
        <v>1902</v>
      </c>
    </row>
    <row r="30" spans="4:4" x14ac:dyDescent="0.25">
      <c r="D30" s="32">
        <f t="shared" ca="1" si="0"/>
        <v>1902</v>
      </c>
    </row>
    <row r="31" spans="4:4" x14ac:dyDescent="0.25">
      <c r="D31" s="32">
        <f t="shared" ca="1" si="0"/>
        <v>1902</v>
      </c>
    </row>
    <row r="32" spans="4:4" x14ac:dyDescent="0.25">
      <c r="D32" s="32">
        <f t="shared" ca="1" si="0"/>
        <v>1902</v>
      </c>
    </row>
    <row r="33" spans="4:4" x14ac:dyDescent="0.25">
      <c r="D33" s="32">
        <f t="shared" ca="1" si="0"/>
        <v>1902</v>
      </c>
    </row>
    <row r="34" spans="4:4" x14ac:dyDescent="0.25">
      <c r="D34" s="32">
        <f t="shared" ca="1" si="0"/>
        <v>1902</v>
      </c>
    </row>
    <row r="35" spans="4:4" x14ac:dyDescent="0.25">
      <c r="D35" s="32">
        <f t="shared" ca="1" si="0"/>
        <v>1902</v>
      </c>
    </row>
    <row r="36" spans="4:4" x14ac:dyDescent="0.25">
      <c r="D36" s="32">
        <f t="shared" ca="1" si="0"/>
        <v>1902</v>
      </c>
    </row>
    <row r="37" spans="4:4" x14ac:dyDescent="0.25">
      <c r="D37" s="32">
        <f t="shared" ca="1" si="0"/>
        <v>1902</v>
      </c>
    </row>
    <row r="38" spans="4:4" x14ac:dyDescent="0.25">
      <c r="D38" s="32">
        <f t="shared" ca="1" si="0"/>
        <v>1902</v>
      </c>
    </row>
    <row r="39" spans="4:4" x14ac:dyDescent="0.25">
      <c r="D39" s="32">
        <f t="shared" ca="1" si="0"/>
        <v>1902</v>
      </c>
    </row>
    <row r="40" spans="4:4" x14ac:dyDescent="0.25">
      <c r="D40" s="32">
        <f t="shared" ca="1" si="0"/>
        <v>1902</v>
      </c>
    </row>
    <row r="41" spans="4:4" x14ac:dyDescent="0.25">
      <c r="D41" s="32">
        <f t="shared" ca="1" si="0"/>
        <v>1902</v>
      </c>
    </row>
    <row r="42" spans="4:4" x14ac:dyDescent="0.25">
      <c r="D42" s="32">
        <f t="shared" ca="1" si="0"/>
        <v>1902</v>
      </c>
    </row>
    <row r="43" spans="4:4" x14ac:dyDescent="0.25">
      <c r="D43" s="32">
        <f t="shared" ca="1" si="0"/>
        <v>1902</v>
      </c>
    </row>
    <row r="44" spans="4:4" x14ac:dyDescent="0.25">
      <c r="D44" s="32">
        <f t="shared" ca="1" si="0"/>
        <v>1902</v>
      </c>
    </row>
    <row r="45" spans="4:4" x14ac:dyDescent="0.25">
      <c r="D45" s="32">
        <f t="shared" ca="1" si="0"/>
        <v>1902</v>
      </c>
    </row>
    <row r="46" spans="4:4" x14ac:dyDescent="0.25">
      <c r="D46" s="32">
        <f t="shared" ca="1" si="0"/>
        <v>1902</v>
      </c>
    </row>
    <row r="47" spans="4:4" x14ac:dyDescent="0.25">
      <c r="D47" s="32">
        <f t="shared" ca="1" si="0"/>
        <v>1902</v>
      </c>
    </row>
    <row r="48" spans="4:4" x14ac:dyDescent="0.25">
      <c r="D48" s="32">
        <f t="shared" ca="1" si="0"/>
        <v>1902</v>
      </c>
    </row>
    <row r="49" spans="4:4" x14ac:dyDescent="0.25">
      <c r="D49" s="32">
        <f t="shared" ca="1" si="0"/>
        <v>1902</v>
      </c>
    </row>
    <row r="50" spans="4:4" x14ac:dyDescent="0.25">
      <c r="D50" s="32">
        <f t="shared" ca="1" si="0"/>
        <v>1902</v>
      </c>
    </row>
    <row r="51" spans="4:4" x14ac:dyDescent="0.25">
      <c r="D51" s="32">
        <f t="shared" ca="1" si="0"/>
        <v>1902</v>
      </c>
    </row>
    <row r="52" spans="4:4" x14ac:dyDescent="0.25">
      <c r="D52" s="32">
        <f t="shared" ca="1" si="0"/>
        <v>1902</v>
      </c>
    </row>
    <row r="53" spans="4:4" x14ac:dyDescent="0.25">
      <c r="D53" s="32">
        <f t="shared" ca="1" si="0"/>
        <v>1902</v>
      </c>
    </row>
    <row r="54" spans="4:4" x14ac:dyDescent="0.25">
      <c r="D54" s="32">
        <f t="shared" ca="1" si="0"/>
        <v>1902</v>
      </c>
    </row>
    <row r="55" spans="4:4" x14ac:dyDescent="0.25">
      <c r="D55" s="32">
        <f t="shared" ca="1" si="0"/>
        <v>1902</v>
      </c>
    </row>
    <row r="56" spans="4:4" x14ac:dyDescent="0.25">
      <c r="D56" s="32">
        <f t="shared" ca="1" si="0"/>
        <v>1902</v>
      </c>
    </row>
    <row r="57" spans="4:4" x14ac:dyDescent="0.25">
      <c r="D57" s="32">
        <f t="shared" ca="1" si="0"/>
        <v>1902</v>
      </c>
    </row>
    <row r="58" spans="4:4" x14ac:dyDescent="0.25">
      <c r="D58" s="32">
        <f t="shared" ca="1" si="0"/>
        <v>1902</v>
      </c>
    </row>
    <row r="59" spans="4:4" x14ac:dyDescent="0.25">
      <c r="D59" s="32">
        <f t="shared" ca="1" si="0"/>
        <v>1902</v>
      </c>
    </row>
    <row r="60" spans="4:4" x14ac:dyDescent="0.25">
      <c r="D60" s="32">
        <f t="shared" ca="1" si="0"/>
        <v>1902</v>
      </c>
    </row>
    <row r="61" spans="4:4" x14ac:dyDescent="0.25">
      <c r="D61" s="32">
        <f t="shared" ca="1" si="0"/>
        <v>1902</v>
      </c>
    </row>
    <row r="62" spans="4:4" x14ac:dyDescent="0.25">
      <c r="D62" s="32">
        <f t="shared" ca="1" si="0"/>
        <v>1902</v>
      </c>
    </row>
    <row r="63" spans="4:4" x14ac:dyDescent="0.25">
      <c r="D63" s="32">
        <f t="shared" ca="1" si="0"/>
        <v>1902</v>
      </c>
    </row>
    <row r="64" spans="4:4" x14ac:dyDescent="0.25">
      <c r="D64" s="32">
        <f t="shared" ca="1" si="0"/>
        <v>1902</v>
      </c>
    </row>
    <row r="65" spans="4:4" x14ac:dyDescent="0.25">
      <c r="D65" s="32">
        <f t="shared" ca="1" si="0"/>
        <v>1902</v>
      </c>
    </row>
    <row r="66" spans="4:4" x14ac:dyDescent="0.25">
      <c r="D66" s="32">
        <f t="shared" ca="1" si="0"/>
        <v>1902</v>
      </c>
    </row>
    <row r="67" spans="4:4" x14ac:dyDescent="0.25">
      <c r="D67" s="32">
        <f t="shared" ca="1" si="0"/>
        <v>1902</v>
      </c>
    </row>
    <row r="68" spans="4:4" x14ac:dyDescent="0.25">
      <c r="D68" s="32">
        <f t="shared" ca="1" si="0"/>
        <v>1902</v>
      </c>
    </row>
    <row r="69" spans="4:4" x14ac:dyDescent="0.25">
      <c r="D69" s="32">
        <f t="shared" ca="1" si="0"/>
        <v>1902</v>
      </c>
    </row>
    <row r="70" spans="4:4" x14ac:dyDescent="0.25">
      <c r="D70" s="32">
        <f t="shared" ca="1" si="0"/>
        <v>1902</v>
      </c>
    </row>
    <row r="71" spans="4:4" x14ac:dyDescent="0.25">
      <c r="D71" s="32">
        <f t="shared" ca="1" si="0"/>
        <v>1902</v>
      </c>
    </row>
    <row r="72" spans="4:4" x14ac:dyDescent="0.25">
      <c r="D72" s="32">
        <f t="shared" ca="1" si="0"/>
        <v>1902</v>
      </c>
    </row>
    <row r="73" spans="4:4" x14ac:dyDescent="0.25">
      <c r="D73" s="32">
        <f t="shared" ca="1" si="0"/>
        <v>1902</v>
      </c>
    </row>
    <row r="74" spans="4:4" x14ac:dyDescent="0.25">
      <c r="D74" s="32">
        <f t="shared" ca="1" si="0"/>
        <v>1902</v>
      </c>
    </row>
    <row r="75" spans="4:4" x14ac:dyDescent="0.25">
      <c r="D75" s="32">
        <f t="shared" ca="1" si="0"/>
        <v>1902</v>
      </c>
    </row>
    <row r="76" spans="4:4" x14ac:dyDescent="0.25">
      <c r="D76" s="32">
        <f t="shared" ca="1" si="0"/>
        <v>1902</v>
      </c>
    </row>
    <row r="77" spans="4:4" x14ac:dyDescent="0.25">
      <c r="D77" s="32">
        <f t="shared" ref="D77:D140" ca="1" si="1">IF(D76+C77&lt;0,0,D76+C77)</f>
        <v>1902</v>
      </c>
    </row>
    <row r="78" spans="4:4" x14ac:dyDescent="0.25">
      <c r="D78" s="32">
        <f t="shared" ca="1" si="1"/>
        <v>1902</v>
      </c>
    </row>
    <row r="79" spans="4:4" x14ac:dyDescent="0.25">
      <c r="D79" s="32">
        <f t="shared" ca="1" si="1"/>
        <v>1902</v>
      </c>
    </row>
    <row r="80" spans="4:4" x14ac:dyDescent="0.25">
      <c r="D80" s="32">
        <f t="shared" ca="1" si="1"/>
        <v>1902</v>
      </c>
    </row>
    <row r="81" spans="4:4" x14ac:dyDescent="0.25">
      <c r="D81" s="32">
        <f t="shared" ca="1" si="1"/>
        <v>1902</v>
      </c>
    </row>
    <row r="82" spans="4:4" x14ac:dyDescent="0.25">
      <c r="D82" s="32">
        <f t="shared" ca="1" si="1"/>
        <v>1902</v>
      </c>
    </row>
    <row r="83" spans="4:4" x14ac:dyDescent="0.25">
      <c r="D83" s="32">
        <f t="shared" ca="1" si="1"/>
        <v>1902</v>
      </c>
    </row>
    <row r="84" spans="4:4" x14ac:dyDescent="0.25">
      <c r="D84" s="32">
        <f t="shared" ca="1" si="1"/>
        <v>1902</v>
      </c>
    </row>
    <row r="85" spans="4:4" x14ac:dyDescent="0.25">
      <c r="D85" s="32">
        <f t="shared" ca="1" si="1"/>
        <v>1902</v>
      </c>
    </row>
    <row r="86" spans="4:4" x14ac:dyDescent="0.25">
      <c r="D86" s="32">
        <f t="shared" ca="1" si="1"/>
        <v>1902</v>
      </c>
    </row>
    <row r="87" spans="4:4" x14ac:dyDescent="0.25">
      <c r="D87" s="32">
        <f t="shared" ca="1" si="1"/>
        <v>1902</v>
      </c>
    </row>
    <row r="88" spans="4:4" x14ac:dyDescent="0.25">
      <c r="D88" s="32">
        <f t="shared" ca="1" si="1"/>
        <v>1902</v>
      </c>
    </row>
    <row r="89" spans="4:4" x14ac:dyDescent="0.25">
      <c r="D89" s="32">
        <f t="shared" ca="1" si="1"/>
        <v>1902</v>
      </c>
    </row>
    <row r="90" spans="4:4" x14ac:dyDescent="0.25">
      <c r="D90" s="32">
        <f t="shared" ca="1" si="1"/>
        <v>1902</v>
      </c>
    </row>
    <row r="91" spans="4:4" x14ac:dyDescent="0.25">
      <c r="D91" s="32">
        <f t="shared" ca="1" si="1"/>
        <v>1902</v>
      </c>
    </row>
    <row r="92" spans="4:4" x14ac:dyDescent="0.25">
      <c r="D92" s="32">
        <f t="shared" ca="1" si="1"/>
        <v>1902</v>
      </c>
    </row>
    <row r="93" spans="4:4" x14ac:dyDescent="0.25">
      <c r="D93" s="32">
        <f t="shared" ca="1" si="1"/>
        <v>1902</v>
      </c>
    </row>
    <row r="94" spans="4:4" x14ac:dyDescent="0.25">
      <c r="D94" s="32">
        <f t="shared" ca="1" si="1"/>
        <v>1902</v>
      </c>
    </row>
    <row r="95" spans="4:4" x14ac:dyDescent="0.25">
      <c r="D95" s="32">
        <f t="shared" ca="1" si="1"/>
        <v>1902</v>
      </c>
    </row>
    <row r="96" spans="4:4" x14ac:dyDescent="0.25">
      <c r="D96" s="32">
        <f t="shared" ca="1" si="1"/>
        <v>1902</v>
      </c>
    </row>
    <row r="97" spans="4:4" x14ac:dyDescent="0.25">
      <c r="D97" s="32">
        <f t="shared" ca="1" si="1"/>
        <v>1902</v>
      </c>
    </row>
    <row r="98" spans="4:4" x14ac:dyDescent="0.25">
      <c r="D98" s="32">
        <f t="shared" ca="1" si="1"/>
        <v>1902</v>
      </c>
    </row>
    <row r="99" spans="4:4" x14ac:dyDescent="0.25">
      <c r="D99" s="32">
        <f t="shared" ca="1" si="1"/>
        <v>1902</v>
      </c>
    </row>
    <row r="100" spans="4:4" x14ac:dyDescent="0.25">
      <c r="D100" s="32">
        <f t="shared" ca="1" si="1"/>
        <v>1902</v>
      </c>
    </row>
    <row r="101" spans="4:4" x14ac:dyDescent="0.25">
      <c r="D101" s="32">
        <f t="shared" ca="1" si="1"/>
        <v>1902</v>
      </c>
    </row>
    <row r="102" spans="4:4" x14ac:dyDescent="0.25">
      <c r="D102" s="32">
        <f t="shared" ca="1" si="1"/>
        <v>1902</v>
      </c>
    </row>
    <row r="103" spans="4:4" x14ac:dyDescent="0.25">
      <c r="D103" s="32">
        <f t="shared" ca="1" si="1"/>
        <v>1902</v>
      </c>
    </row>
    <row r="104" spans="4:4" x14ac:dyDescent="0.25">
      <c r="D104" s="32">
        <f t="shared" ca="1" si="1"/>
        <v>1902</v>
      </c>
    </row>
    <row r="105" spans="4:4" x14ac:dyDescent="0.25">
      <c r="D105" s="32">
        <f t="shared" ca="1" si="1"/>
        <v>1902</v>
      </c>
    </row>
    <row r="106" spans="4:4" x14ac:dyDescent="0.25">
      <c r="D106" s="32">
        <f t="shared" ca="1" si="1"/>
        <v>1902</v>
      </c>
    </row>
    <row r="107" spans="4:4" x14ac:dyDescent="0.25">
      <c r="D107" s="32">
        <f t="shared" ca="1" si="1"/>
        <v>1902</v>
      </c>
    </row>
    <row r="108" spans="4:4" x14ac:dyDescent="0.25">
      <c r="D108" s="32">
        <f t="shared" ca="1" si="1"/>
        <v>1902</v>
      </c>
    </row>
    <row r="109" spans="4:4" x14ac:dyDescent="0.25">
      <c r="D109" s="32">
        <f t="shared" ca="1" si="1"/>
        <v>1902</v>
      </c>
    </row>
    <row r="110" spans="4:4" x14ac:dyDescent="0.25">
      <c r="D110" s="32">
        <f t="shared" ca="1" si="1"/>
        <v>1902</v>
      </c>
    </row>
    <row r="111" spans="4:4" x14ac:dyDescent="0.25">
      <c r="D111" s="32">
        <f t="shared" ca="1" si="1"/>
        <v>1902</v>
      </c>
    </row>
    <row r="112" spans="4:4" x14ac:dyDescent="0.25">
      <c r="D112" s="32">
        <f t="shared" ca="1" si="1"/>
        <v>1902</v>
      </c>
    </row>
    <row r="113" spans="4:4" x14ac:dyDescent="0.25">
      <c r="D113" s="32">
        <f t="shared" ca="1" si="1"/>
        <v>1902</v>
      </c>
    </row>
    <row r="114" spans="4:4" x14ac:dyDescent="0.25">
      <c r="D114" s="32">
        <f t="shared" ca="1" si="1"/>
        <v>1902</v>
      </c>
    </row>
    <row r="115" spans="4:4" x14ac:dyDescent="0.25">
      <c r="D115" s="32">
        <f t="shared" ca="1" si="1"/>
        <v>1902</v>
      </c>
    </row>
    <row r="116" spans="4:4" x14ac:dyDescent="0.25">
      <c r="D116" s="32">
        <f t="shared" ca="1" si="1"/>
        <v>1902</v>
      </c>
    </row>
    <row r="117" spans="4:4" x14ac:dyDescent="0.25">
      <c r="D117" s="32">
        <f t="shared" ca="1" si="1"/>
        <v>1902</v>
      </c>
    </row>
    <row r="118" spans="4:4" x14ac:dyDescent="0.25">
      <c r="D118" s="32">
        <f t="shared" ca="1" si="1"/>
        <v>1902</v>
      </c>
    </row>
    <row r="119" spans="4:4" x14ac:dyDescent="0.25">
      <c r="D119" s="32">
        <f t="shared" ca="1" si="1"/>
        <v>1902</v>
      </c>
    </row>
    <row r="120" spans="4:4" x14ac:dyDescent="0.25">
      <c r="D120" s="32">
        <f t="shared" ca="1" si="1"/>
        <v>1902</v>
      </c>
    </row>
    <row r="121" spans="4:4" x14ac:dyDescent="0.25">
      <c r="D121" s="32">
        <f t="shared" ca="1" si="1"/>
        <v>1902</v>
      </c>
    </row>
    <row r="122" spans="4:4" x14ac:dyDescent="0.25">
      <c r="D122" s="32">
        <f t="shared" ca="1" si="1"/>
        <v>1902</v>
      </c>
    </row>
    <row r="123" spans="4:4" x14ac:dyDescent="0.25">
      <c r="D123" s="32">
        <f t="shared" ca="1" si="1"/>
        <v>1902</v>
      </c>
    </row>
    <row r="124" spans="4:4" x14ac:dyDescent="0.25">
      <c r="D124" s="32">
        <f t="shared" ca="1" si="1"/>
        <v>1902</v>
      </c>
    </row>
    <row r="125" spans="4:4" x14ac:dyDescent="0.25">
      <c r="D125" s="32">
        <f t="shared" ca="1" si="1"/>
        <v>1902</v>
      </c>
    </row>
    <row r="126" spans="4:4" x14ac:dyDescent="0.25">
      <c r="D126" s="32">
        <f t="shared" ca="1" si="1"/>
        <v>1902</v>
      </c>
    </row>
    <row r="127" spans="4:4" x14ac:dyDescent="0.25">
      <c r="D127" s="32">
        <f t="shared" ca="1" si="1"/>
        <v>1902</v>
      </c>
    </row>
    <row r="128" spans="4:4" x14ac:dyDescent="0.25">
      <c r="D128" s="32">
        <f t="shared" ca="1" si="1"/>
        <v>1902</v>
      </c>
    </row>
    <row r="129" spans="4:4" x14ac:dyDescent="0.25">
      <c r="D129" s="32">
        <f t="shared" ca="1" si="1"/>
        <v>1902</v>
      </c>
    </row>
    <row r="130" spans="4:4" x14ac:dyDescent="0.25">
      <c r="D130" s="32">
        <f t="shared" ca="1" si="1"/>
        <v>1902</v>
      </c>
    </row>
    <row r="131" spans="4:4" x14ac:dyDescent="0.25">
      <c r="D131" s="32">
        <f t="shared" ca="1" si="1"/>
        <v>1902</v>
      </c>
    </row>
    <row r="132" spans="4:4" x14ac:dyDescent="0.25">
      <c r="D132" s="32">
        <f t="shared" ca="1" si="1"/>
        <v>1902</v>
      </c>
    </row>
    <row r="133" spans="4:4" x14ac:dyDescent="0.25">
      <c r="D133" s="32">
        <f t="shared" ca="1" si="1"/>
        <v>1902</v>
      </c>
    </row>
    <row r="134" spans="4:4" x14ac:dyDescent="0.25">
      <c r="D134" s="32">
        <f t="shared" ca="1" si="1"/>
        <v>1902</v>
      </c>
    </row>
    <row r="135" spans="4:4" x14ac:dyDescent="0.25">
      <c r="D135" s="32">
        <f t="shared" ca="1" si="1"/>
        <v>1902</v>
      </c>
    </row>
    <row r="136" spans="4:4" x14ac:dyDescent="0.25">
      <c r="D136" s="32">
        <f t="shared" ca="1" si="1"/>
        <v>1902</v>
      </c>
    </row>
    <row r="137" spans="4:4" x14ac:dyDescent="0.25">
      <c r="D137" s="32">
        <f t="shared" ca="1" si="1"/>
        <v>1902</v>
      </c>
    </row>
    <row r="138" spans="4:4" x14ac:dyDescent="0.25">
      <c r="D138" s="32">
        <f t="shared" ca="1" si="1"/>
        <v>1902</v>
      </c>
    </row>
    <row r="139" spans="4:4" x14ac:dyDescent="0.25">
      <c r="D139" s="32">
        <f t="shared" ca="1" si="1"/>
        <v>1902</v>
      </c>
    </row>
    <row r="140" spans="4:4" x14ac:dyDescent="0.25">
      <c r="D140" s="32">
        <f t="shared" ca="1" si="1"/>
        <v>1902</v>
      </c>
    </row>
    <row r="141" spans="4:4" x14ac:dyDescent="0.25">
      <c r="D141" s="32">
        <f t="shared" ref="D141:D204" ca="1" si="2">IF(D140+C141&lt;0,0,D140+C141)</f>
        <v>1902</v>
      </c>
    </row>
    <row r="142" spans="4:4" x14ac:dyDescent="0.25">
      <c r="D142" s="32">
        <f t="shared" ca="1" si="2"/>
        <v>1902</v>
      </c>
    </row>
    <row r="143" spans="4:4" x14ac:dyDescent="0.25">
      <c r="D143" s="32">
        <f t="shared" ca="1" si="2"/>
        <v>1902</v>
      </c>
    </row>
    <row r="144" spans="4:4" x14ac:dyDescent="0.25">
      <c r="D144" s="32">
        <f t="shared" ca="1" si="2"/>
        <v>1902</v>
      </c>
    </row>
    <row r="145" spans="4:4" x14ac:dyDescent="0.25">
      <c r="D145" s="32">
        <f t="shared" ca="1" si="2"/>
        <v>1902</v>
      </c>
    </row>
    <row r="146" spans="4:4" x14ac:dyDescent="0.25">
      <c r="D146" s="32">
        <f t="shared" ca="1" si="2"/>
        <v>1902</v>
      </c>
    </row>
    <row r="147" spans="4:4" x14ac:dyDescent="0.25">
      <c r="D147" s="32">
        <f t="shared" ca="1" si="2"/>
        <v>1902</v>
      </c>
    </row>
    <row r="148" spans="4:4" x14ac:dyDescent="0.25">
      <c r="D148" s="32">
        <f t="shared" ca="1" si="2"/>
        <v>1902</v>
      </c>
    </row>
    <row r="149" spans="4:4" x14ac:dyDescent="0.25">
      <c r="D149" s="32">
        <f t="shared" ca="1" si="2"/>
        <v>1902</v>
      </c>
    </row>
    <row r="150" spans="4:4" x14ac:dyDescent="0.25">
      <c r="D150" s="32">
        <f t="shared" ca="1" si="2"/>
        <v>1902</v>
      </c>
    </row>
    <row r="151" spans="4:4" x14ac:dyDescent="0.25">
      <c r="D151" s="32">
        <f t="shared" ca="1" si="2"/>
        <v>1902</v>
      </c>
    </row>
    <row r="152" spans="4:4" x14ac:dyDescent="0.25">
      <c r="D152" s="32">
        <f t="shared" ca="1" si="2"/>
        <v>1902</v>
      </c>
    </row>
    <row r="153" spans="4:4" x14ac:dyDescent="0.25">
      <c r="D153" s="32">
        <f t="shared" ca="1" si="2"/>
        <v>1902</v>
      </c>
    </row>
    <row r="154" spans="4:4" x14ac:dyDescent="0.25">
      <c r="D154" s="32">
        <f t="shared" ca="1" si="2"/>
        <v>1902</v>
      </c>
    </row>
    <row r="155" spans="4:4" x14ac:dyDescent="0.25">
      <c r="D155" s="32">
        <f t="shared" ca="1" si="2"/>
        <v>1902</v>
      </c>
    </row>
    <row r="156" spans="4:4" x14ac:dyDescent="0.25">
      <c r="D156" s="32">
        <f t="shared" ca="1" si="2"/>
        <v>1902</v>
      </c>
    </row>
    <row r="157" spans="4:4" x14ac:dyDescent="0.25">
      <c r="D157" s="32">
        <f t="shared" ca="1" si="2"/>
        <v>1902</v>
      </c>
    </row>
    <row r="158" spans="4:4" x14ac:dyDescent="0.25">
      <c r="D158" s="32">
        <f t="shared" ca="1" si="2"/>
        <v>1902</v>
      </c>
    </row>
    <row r="159" spans="4:4" x14ac:dyDescent="0.25">
      <c r="D159" s="32">
        <f t="shared" ca="1" si="2"/>
        <v>1902</v>
      </c>
    </row>
    <row r="160" spans="4:4" x14ac:dyDescent="0.25">
      <c r="D160" s="32">
        <f t="shared" ca="1" si="2"/>
        <v>1902</v>
      </c>
    </row>
    <row r="161" spans="4:4" x14ac:dyDescent="0.25">
      <c r="D161" s="32">
        <f t="shared" ca="1" si="2"/>
        <v>1902</v>
      </c>
    </row>
    <row r="162" spans="4:4" x14ac:dyDescent="0.25">
      <c r="D162" s="32">
        <f t="shared" ca="1" si="2"/>
        <v>1902</v>
      </c>
    </row>
    <row r="163" spans="4:4" x14ac:dyDescent="0.25">
      <c r="D163" s="32">
        <f t="shared" ca="1" si="2"/>
        <v>1902</v>
      </c>
    </row>
    <row r="164" spans="4:4" x14ac:dyDescent="0.25">
      <c r="D164" s="32">
        <f t="shared" ca="1" si="2"/>
        <v>1902</v>
      </c>
    </row>
    <row r="165" spans="4:4" x14ac:dyDescent="0.25">
      <c r="D165" s="32">
        <f t="shared" ca="1" si="2"/>
        <v>1902</v>
      </c>
    </row>
    <row r="166" spans="4:4" x14ac:dyDescent="0.25">
      <c r="D166" s="32">
        <f t="shared" ca="1" si="2"/>
        <v>1902</v>
      </c>
    </row>
    <row r="167" spans="4:4" x14ac:dyDescent="0.25">
      <c r="D167" s="32">
        <f t="shared" ca="1" si="2"/>
        <v>1902</v>
      </c>
    </row>
    <row r="168" spans="4:4" x14ac:dyDescent="0.25">
      <c r="D168" s="32">
        <f t="shared" ca="1" si="2"/>
        <v>1902</v>
      </c>
    </row>
    <row r="169" spans="4:4" x14ac:dyDescent="0.25">
      <c r="D169" s="32">
        <f t="shared" ca="1" si="2"/>
        <v>1902</v>
      </c>
    </row>
    <row r="170" spans="4:4" x14ac:dyDescent="0.25">
      <c r="D170" s="32">
        <f t="shared" ca="1" si="2"/>
        <v>1902</v>
      </c>
    </row>
    <row r="171" spans="4:4" x14ac:dyDescent="0.25">
      <c r="D171" s="32">
        <f t="shared" ca="1" si="2"/>
        <v>1902</v>
      </c>
    </row>
    <row r="172" spans="4:4" x14ac:dyDescent="0.25">
      <c r="D172" s="32">
        <f t="shared" ca="1" si="2"/>
        <v>1902</v>
      </c>
    </row>
    <row r="173" spans="4:4" x14ac:dyDescent="0.25">
      <c r="D173" s="32">
        <f t="shared" ca="1" si="2"/>
        <v>1902</v>
      </c>
    </row>
    <row r="174" spans="4:4" x14ac:dyDescent="0.25">
      <c r="D174" s="32">
        <f t="shared" ca="1" si="2"/>
        <v>1902</v>
      </c>
    </row>
    <row r="175" spans="4:4" x14ac:dyDescent="0.25">
      <c r="D175" s="32">
        <f t="shared" ca="1" si="2"/>
        <v>1902</v>
      </c>
    </row>
    <row r="176" spans="4:4" x14ac:dyDescent="0.25">
      <c r="D176" s="32">
        <f t="shared" ca="1" si="2"/>
        <v>1902</v>
      </c>
    </row>
    <row r="177" spans="4:4" x14ac:dyDescent="0.25">
      <c r="D177" s="32">
        <f t="shared" ca="1" si="2"/>
        <v>1902</v>
      </c>
    </row>
    <row r="178" spans="4:4" x14ac:dyDescent="0.25">
      <c r="D178" s="32">
        <f t="shared" ca="1" si="2"/>
        <v>1902</v>
      </c>
    </row>
    <row r="179" spans="4:4" x14ac:dyDescent="0.25">
      <c r="D179" s="32">
        <f t="shared" ca="1" si="2"/>
        <v>1902</v>
      </c>
    </row>
    <row r="180" spans="4:4" x14ac:dyDescent="0.25">
      <c r="D180" s="32">
        <f t="shared" ca="1" si="2"/>
        <v>1902</v>
      </c>
    </row>
    <row r="181" spans="4:4" x14ac:dyDescent="0.25">
      <c r="D181" s="32">
        <f t="shared" ca="1" si="2"/>
        <v>1902</v>
      </c>
    </row>
    <row r="182" spans="4:4" x14ac:dyDescent="0.25">
      <c r="D182" s="32">
        <f t="shared" ca="1" si="2"/>
        <v>1902</v>
      </c>
    </row>
    <row r="183" spans="4:4" x14ac:dyDescent="0.25">
      <c r="D183" s="32">
        <f t="shared" ca="1" si="2"/>
        <v>1902</v>
      </c>
    </row>
    <row r="184" spans="4:4" x14ac:dyDescent="0.25">
      <c r="D184" s="32">
        <f t="shared" ca="1" si="2"/>
        <v>1902</v>
      </c>
    </row>
    <row r="185" spans="4:4" x14ac:dyDescent="0.25">
      <c r="D185" s="32">
        <f t="shared" ca="1" si="2"/>
        <v>1902</v>
      </c>
    </row>
    <row r="186" spans="4:4" x14ac:dyDescent="0.25">
      <c r="D186" s="32">
        <f t="shared" ca="1" si="2"/>
        <v>1902</v>
      </c>
    </row>
    <row r="187" spans="4:4" x14ac:dyDescent="0.25">
      <c r="D187" s="32">
        <f t="shared" ca="1" si="2"/>
        <v>1902</v>
      </c>
    </row>
    <row r="188" spans="4:4" x14ac:dyDescent="0.25">
      <c r="D188" s="32">
        <f t="shared" ca="1" si="2"/>
        <v>1902</v>
      </c>
    </row>
    <row r="189" spans="4:4" x14ac:dyDescent="0.25">
      <c r="D189" s="32">
        <f t="shared" ca="1" si="2"/>
        <v>1902</v>
      </c>
    </row>
    <row r="190" spans="4:4" x14ac:dyDescent="0.25">
      <c r="D190" s="32">
        <f t="shared" ca="1" si="2"/>
        <v>1902</v>
      </c>
    </row>
    <row r="191" spans="4:4" x14ac:dyDescent="0.25">
      <c r="D191" s="32">
        <f t="shared" ca="1" si="2"/>
        <v>1902</v>
      </c>
    </row>
    <row r="192" spans="4:4" x14ac:dyDescent="0.25">
      <c r="D192" s="32">
        <f t="shared" ca="1" si="2"/>
        <v>1902</v>
      </c>
    </row>
    <row r="193" spans="4:4" x14ac:dyDescent="0.25">
      <c r="D193" s="32">
        <f t="shared" ca="1" si="2"/>
        <v>1902</v>
      </c>
    </row>
    <row r="194" spans="4:4" x14ac:dyDescent="0.25">
      <c r="D194" s="32">
        <f t="shared" ca="1" si="2"/>
        <v>1902</v>
      </c>
    </row>
    <row r="195" spans="4:4" x14ac:dyDescent="0.25">
      <c r="D195" s="32">
        <f t="shared" ca="1" si="2"/>
        <v>1902</v>
      </c>
    </row>
    <row r="196" spans="4:4" x14ac:dyDescent="0.25">
      <c r="D196" s="32">
        <f t="shared" ca="1" si="2"/>
        <v>1902</v>
      </c>
    </row>
    <row r="197" spans="4:4" x14ac:dyDescent="0.25">
      <c r="D197" s="32">
        <f t="shared" ca="1" si="2"/>
        <v>1902</v>
      </c>
    </row>
    <row r="198" spans="4:4" x14ac:dyDescent="0.25">
      <c r="D198" s="32">
        <f t="shared" ca="1" si="2"/>
        <v>1902</v>
      </c>
    </row>
    <row r="199" spans="4:4" x14ac:dyDescent="0.25">
      <c r="D199" s="32">
        <f t="shared" ca="1" si="2"/>
        <v>1902</v>
      </c>
    </row>
    <row r="200" spans="4:4" x14ac:dyDescent="0.25">
      <c r="D200" s="32">
        <f t="shared" ca="1" si="2"/>
        <v>1902</v>
      </c>
    </row>
    <row r="201" spans="4:4" x14ac:dyDescent="0.25">
      <c r="D201" s="32">
        <f t="shared" ca="1" si="2"/>
        <v>1902</v>
      </c>
    </row>
    <row r="202" spans="4:4" x14ac:dyDescent="0.25">
      <c r="D202" s="32">
        <f t="shared" ca="1" si="2"/>
        <v>1902</v>
      </c>
    </row>
    <row r="203" spans="4:4" x14ac:dyDescent="0.25">
      <c r="D203" s="32">
        <f t="shared" ca="1" si="2"/>
        <v>1902</v>
      </c>
    </row>
    <row r="204" spans="4:4" x14ac:dyDescent="0.25">
      <c r="D204" s="32">
        <f t="shared" ca="1" si="2"/>
        <v>1902</v>
      </c>
    </row>
    <row r="205" spans="4:4" x14ac:dyDescent="0.25">
      <c r="D205" s="32">
        <f t="shared" ref="D205:D268" ca="1" si="3">IF(D204+C205&lt;0,0,D204+C205)</f>
        <v>1902</v>
      </c>
    </row>
    <row r="206" spans="4:4" x14ac:dyDescent="0.25">
      <c r="D206" s="32">
        <f t="shared" ca="1" si="3"/>
        <v>1902</v>
      </c>
    </row>
    <row r="207" spans="4:4" x14ac:dyDescent="0.25">
      <c r="D207" s="32">
        <f t="shared" ca="1" si="3"/>
        <v>1902</v>
      </c>
    </row>
    <row r="208" spans="4:4" x14ac:dyDescent="0.25">
      <c r="D208" s="32">
        <f t="shared" ca="1" si="3"/>
        <v>1902</v>
      </c>
    </row>
    <row r="209" spans="4:4" x14ac:dyDescent="0.25">
      <c r="D209" s="32">
        <f t="shared" ca="1" si="3"/>
        <v>1902</v>
      </c>
    </row>
    <row r="210" spans="4:4" x14ac:dyDescent="0.25">
      <c r="D210" s="32">
        <f t="shared" ca="1" si="3"/>
        <v>1902</v>
      </c>
    </row>
    <row r="211" spans="4:4" x14ac:dyDescent="0.25">
      <c r="D211" s="32">
        <f t="shared" ca="1" si="3"/>
        <v>1902</v>
      </c>
    </row>
    <row r="212" spans="4:4" x14ac:dyDescent="0.25">
      <c r="D212" s="32">
        <f t="shared" ca="1" si="3"/>
        <v>1902</v>
      </c>
    </row>
    <row r="213" spans="4:4" x14ac:dyDescent="0.25">
      <c r="D213" s="32">
        <f t="shared" ca="1" si="3"/>
        <v>1902</v>
      </c>
    </row>
    <row r="214" spans="4:4" x14ac:dyDescent="0.25">
      <c r="D214" s="32">
        <f t="shared" ca="1" si="3"/>
        <v>1902</v>
      </c>
    </row>
    <row r="215" spans="4:4" x14ac:dyDescent="0.25">
      <c r="D215" s="32">
        <f t="shared" ca="1" si="3"/>
        <v>1902</v>
      </c>
    </row>
    <row r="216" spans="4:4" x14ac:dyDescent="0.25">
      <c r="D216" s="32">
        <f t="shared" ca="1" si="3"/>
        <v>1902</v>
      </c>
    </row>
    <row r="217" spans="4:4" x14ac:dyDescent="0.25">
      <c r="D217" s="32">
        <f t="shared" ca="1" si="3"/>
        <v>1902</v>
      </c>
    </row>
    <row r="218" spans="4:4" x14ac:dyDescent="0.25">
      <c r="D218" s="32">
        <f t="shared" ca="1" si="3"/>
        <v>1902</v>
      </c>
    </row>
    <row r="219" spans="4:4" x14ac:dyDescent="0.25">
      <c r="D219" s="32">
        <f t="shared" ca="1" si="3"/>
        <v>1902</v>
      </c>
    </row>
    <row r="220" spans="4:4" x14ac:dyDescent="0.25">
      <c r="D220" s="32">
        <f t="shared" ca="1" si="3"/>
        <v>1902</v>
      </c>
    </row>
    <row r="221" spans="4:4" x14ac:dyDescent="0.25">
      <c r="D221" s="32">
        <f t="shared" ca="1" si="3"/>
        <v>1902</v>
      </c>
    </row>
    <row r="222" spans="4:4" x14ac:dyDescent="0.25">
      <c r="D222" s="32">
        <f t="shared" ca="1" si="3"/>
        <v>1902</v>
      </c>
    </row>
    <row r="223" spans="4:4" x14ac:dyDescent="0.25">
      <c r="D223" s="32">
        <f t="shared" ca="1" si="3"/>
        <v>1902</v>
      </c>
    </row>
    <row r="224" spans="4:4" x14ac:dyDescent="0.25">
      <c r="D224" s="32">
        <f t="shared" ca="1" si="3"/>
        <v>1902</v>
      </c>
    </row>
    <row r="225" spans="4:4" x14ac:dyDescent="0.25">
      <c r="D225" s="32">
        <f t="shared" ca="1" si="3"/>
        <v>1902</v>
      </c>
    </row>
    <row r="226" spans="4:4" x14ac:dyDescent="0.25">
      <c r="D226" s="32">
        <f t="shared" ca="1" si="3"/>
        <v>1902</v>
      </c>
    </row>
    <row r="227" spans="4:4" x14ac:dyDescent="0.25">
      <c r="D227" s="32">
        <f t="shared" ca="1" si="3"/>
        <v>1902</v>
      </c>
    </row>
    <row r="228" spans="4:4" x14ac:dyDescent="0.25">
      <c r="D228" s="32">
        <f t="shared" ca="1" si="3"/>
        <v>1902</v>
      </c>
    </row>
    <row r="229" spans="4:4" x14ac:dyDescent="0.25">
      <c r="D229" s="32">
        <f t="shared" ca="1" si="3"/>
        <v>1902</v>
      </c>
    </row>
    <row r="230" spans="4:4" x14ac:dyDescent="0.25">
      <c r="D230" s="32">
        <f t="shared" ca="1" si="3"/>
        <v>1902</v>
      </c>
    </row>
    <row r="231" spans="4:4" x14ac:dyDescent="0.25">
      <c r="D231" s="32">
        <f t="shared" ca="1" si="3"/>
        <v>1902</v>
      </c>
    </row>
    <row r="232" spans="4:4" x14ac:dyDescent="0.25">
      <c r="D232" s="32">
        <f t="shared" ca="1" si="3"/>
        <v>1902</v>
      </c>
    </row>
    <row r="233" spans="4:4" x14ac:dyDescent="0.25">
      <c r="D233" s="32">
        <f t="shared" ca="1" si="3"/>
        <v>1902</v>
      </c>
    </row>
    <row r="234" spans="4:4" x14ac:dyDescent="0.25">
      <c r="D234" s="32">
        <f t="shared" ca="1" si="3"/>
        <v>1902</v>
      </c>
    </row>
    <row r="235" spans="4:4" x14ac:dyDescent="0.25">
      <c r="D235" s="32">
        <f t="shared" ca="1" si="3"/>
        <v>1902</v>
      </c>
    </row>
    <row r="236" spans="4:4" x14ac:dyDescent="0.25">
      <c r="D236" s="32">
        <f t="shared" ca="1" si="3"/>
        <v>1902</v>
      </c>
    </row>
    <row r="237" spans="4:4" x14ac:dyDescent="0.25">
      <c r="D237" s="32">
        <f t="shared" ca="1" si="3"/>
        <v>1902</v>
      </c>
    </row>
    <row r="238" spans="4:4" x14ac:dyDescent="0.25">
      <c r="D238" s="32">
        <f t="shared" ca="1" si="3"/>
        <v>1902</v>
      </c>
    </row>
    <row r="239" spans="4:4" x14ac:dyDescent="0.25">
      <c r="D239" s="32">
        <f t="shared" ca="1" si="3"/>
        <v>1902</v>
      </c>
    </row>
    <row r="240" spans="4:4" x14ac:dyDescent="0.25">
      <c r="D240" s="32">
        <f t="shared" ca="1" si="3"/>
        <v>1902</v>
      </c>
    </row>
    <row r="241" spans="4:4" x14ac:dyDescent="0.25">
      <c r="D241" s="32">
        <f t="shared" ca="1" si="3"/>
        <v>1902</v>
      </c>
    </row>
    <row r="242" spans="4:4" x14ac:dyDescent="0.25">
      <c r="D242" s="32">
        <f t="shared" ca="1" si="3"/>
        <v>1902</v>
      </c>
    </row>
    <row r="243" spans="4:4" x14ac:dyDescent="0.25">
      <c r="D243" s="32">
        <f t="shared" ca="1" si="3"/>
        <v>1902</v>
      </c>
    </row>
    <row r="244" spans="4:4" x14ac:dyDescent="0.25">
      <c r="D244" s="32">
        <f t="shared" ca="1" si="3"/>
        <v>1902</v>
      </c>
    </row>
    <row r="245" spans="4:4" x14ac:dyDescent="0.25">
      <c r="D245" s="32">
        <f t="shared" ca="1" si="3"/>
        <v>1902</v>
      </c>
    </row>
    <row r="246" spans="4:4" x14ac:dyDescent="0.25">
      <c r="D246" s="32">
        <f t="shared" ca="1" si="3"/>
        <v>1902</v>
      </c>
    </row>
    <row r="247" spans="4:4" x14ac:dyDescent="0.25">
      <c r="D247" s="32">
        <f t="shared" ca="1" si="3"/>
        <v>1902</v>
      </c>
    </row>
    <row r="248" spans="4:4" x14ac:dyDescent="0.25">
      <c r="D248" s="32">
        <f t="shared" ca="1" si="3"/>
        <v>1902</v>
      </c>
    </row>
    <row r="249" spans="4:4" x14ac:dyDescent="0.25">
      <c r="D249" s="32">
        <f t="shared" ca="1" si="3"/>
        <v>1902</v>
      </c>
    </row>
    <row r="250" spans="4:4" x14ac:dyDescent="0.25">
      <c r="D250" s="32">
        <f t="shared" ca="1" si="3"/>
        <v>1902</v>
      </c>
    </row>
    <row r="251" spans="4:4" x14ac:dyDescent="0.25">
      <c r="D251" s="32">
        <f t="shared" ca="1" si="3"/>
        <v>1902</v>
      </c>
    </row>
    <row r="252" spans="4:4" x14ac:dyDescent="0.25">
      <c r="D252" s="32">
        <f t="shared" ca="1" si="3"/>
        <v>1902</v>
      </c>
    </row>
    <row r="253" spans="4:4" x14ac:dyDescent="0.25">
      <c r="D253" s="32">
        <f t="shared" ca="1" si="3"/>
        <v>1902</v>
      </c>
    </row>
    <row r="254" spans="4:4" x14ac:dyDescent="0.25">
      <c r="D254" s="32">
        <f t="shared" ca="1" si="3"/>
        <v>1902</v>
      </c>
    </row>
    <row r="255" spans="4:4" x14ac:dyDescent="0.25">
      <c r="D255" s="32">
        <f t="shared" ca="1" si="3"/>
        <v>1902</v>
      </c>
    </row>
    <row r="256" spans="4:4" x14ac:dyDescent="0.25">
      <c r="D256" s="32">
        <f t="shared" ca="1" si="3"/>
        <v>1902</v>
      </c>
    </row>
    <row r="257" spans="4:4" x14ac:dyDescent="0.25">
      <c r="D257" s="32">
        <f t="shared" ca="1" si="3"/>
        <v>1902</v>
      </c>
    </row>
    <row r="258" spans="4:4" x14ac:dyDescent="0.25">
      <c r="D258" s="32">
        <f t="shared" ca="1" si="3"/>
        <v>1902</v>
      </c>
    </row>
    <row r="259" spans="4:4" x14ac:dyDescent="0.25">
      <c r="D259" s="32">
        <f t="shared" ca="1" si="3"/>
        <v>1902</v>
      </c>
    </row>
    <row r="260" spans="4:4" x14ac:dyDescent="0.25">
      <c r="D260" s="32">
        <f t="shared" ca="1" si="3"/>
        <v>1902</v>
      </c>
    </row>
    <row r="261" spans="4:4" x14ac:dyDescent="0.25">
      <c r="D261" s="32">
        <f t="shared" ca="1" si="3"/>
        <v>1902</v>
      </c>
    </row>
    <row r="262" spans="4:4" x14ac:dyDescent="0.25">
      <c r="D262" s="32">
        <f t="shared" ca="1" si="3"/>
        <v>1902</v>
      </c>
    </row>
    <row r="263" spans="4:4" x14ac:dyDescent="0.25">
      <c r="D263" s="32">
        <f t="shared" ca="1" si="3"/>
        <v>1902</v>
      </c>
    </row>
    <row r="264" spans="4:4" x14ac:dyDescent="0.25">
      <c r="D264" s="32">
        <f t="shared" ca="1" si="3"/>
        <v>1902</v>
      </c>
    </row>
    <row r="265" spans="4:4" x14ac:dyDescent="0.25">
      <c r="D265" s="32">
        <f t="shared" ca="1" si="3"/>
        <v>1902</v>
      </c>
    </row>
    <row r="266" spans="4:4" x14ac:dyDescent="0.25">
      <c r="D266" s="32">
        <f t="shared" ca="1" si="3"/>
        <v>1902</v>
      </c>
    </row>
    <row r="267" spans="4:4" x14ac:dyDescent="0.25">
      <c r="D267" s="32">
        <f t="shared" ca="1" si="3"/>
        <v>1902</v>
      </c>
    </row>
    <row r="268" spans="4:4" x14ac:dyDescent="0.25">
      <c r="D268" s="32">
        <f t="shared" ca="1" si="3"/>
        <v>1902</v>
      </c>
    </row>
    <row r="269" spans="4:4" x14ac:dyDescent="0.25">
      <c r="D269" s="32">
        <f t="shared" ref="D269:D286" ca="1" si="4">IF(D268+C269&lt;0,0,D268+C269)</f>
        <v>1902</v>
      </c>
    </row>
    <row r="270" spans="4:4" x14ac:dyDescent="0.25">
      <c r="D270" s="32">
        <f t="shared" ca="1" si="4"/>
        <v>1902</v>
      </c>
    </row>
    <row r="271" spans="4:4" x14ac:dyDescent="0.25">
      <c r="D271" s="32">
        <f t="shared" ca="1" si="4"/>
        <v>1902</v>
      </c>
    </row>
    <row r="272" spans="4:4" x14ac:dyDescent="0.25">
      <c r="D272" s="32">
        <f t="shared" ca="1" si="4"/>
        <v>1902</v>
      </c>
    </row>
    <row r="273" spans="4:4" x14ac:dyDescent="0.25">
      <c r="D273" s="32">
        <f t="shared" ca="1" si="4"/>
        <v>1902</v>
      </c>
    </row>
    <row r="274" spans="4:4" x14ac:dyDescent="0.25">
      <c r="D274" s="32">
        <f t="shared" ca="1" si="4"/>
        <v>1902</v>
      </c>
    </row>
    <row r="275" spans="4:4" x14ac:dyDescent="0.25">
      <c r="D275" s="32">
        <f t="shared" ca="1" si="4"/>
        <v>1902</v>
      </c>
    </row>
    <row r="276" spans="4:4" x14ac:dyDescent="0.25">
      <c r="D276" s="32">
        <f t="shared" ca="1" si="4"/>
        <v>1902</v>
      </c>
    </row>
    <row r="277" spans="4:4" x14ac:dyDescent="0.25">
      <c r="D277" s="32">
        <f t="shared" ca="1" si="4"/>
        <v>1902</v>
      </c>
    </row>
    <row r="278" spans="4:4" x14ac:dyDescent="0.25">
      <c r="D278" s="32">
        <f t="shared" ca="1" si="4"/>
        <v>1902</v>
      </c>
    </row>
    <row r="279" spans="4:4" x14ac:dyDescent="0.25">
      <c r="D279" s="32">
        <f t="shared" ca="1" si="4"/>
        <v>1902</v>
      </c>
    </row>
    <row r="280" spans="4:4" x14ac:dyDescent="0.25">
      <c r="D280" s="32">
        <f t="shared" ca="1" si="4"/>
        <v>1902</v>
      </c>
    </row>
    <row r="281" spans="4:4" x14ac:dyDescent="0.25">
      <c r="D281" s="32">
        <f t="shared" ca="1" si="4"/>
        <v>1902</v>
      </c>
    </row>
    <row r="282" spans="4:4" x14ac:dyDescent="0.25">
      <c r="D282" s="32">
        <f t="shared" ca="1" si="4"/>
        <v>1902</v>
      </c>
    </row>
    <row r="283" spans="4:4" x14ac:dyDescent="0.25">
      <c r="D283" s="32">
        <f t="shared" ca="1" si="4"/>
        <v>1902</v>
      </c>
    </row>
    <row r="284" spans="4:4" x14ac:dyDescent="0.25">
      <c r="D284" s="32">
        <f t="shared" ca="1" si="4"/>
        <v>1902</v>
      </c>
    </row>
    <row r="285" spans="4:4" x14ac:dyDescent="0.25">
      <c r="D285" s="32">
        <f t="shared" ca="1" si="4"/>
        <v>1902</v>
      </c>
    </row>
    <row r="286" spans="4:4" x14ac:dyDescent="0.25">
      <c r="D286" s="32">
        <f t="shared" ca="1" si="4"/>
        <v>1902</v>
      </c>
    </row>
  </sheetData>
  <pageMargins left="0.78740157499999996" right="0.78740157499999996" top="0.984251969" bottom="0.984251969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B2:K25"/>
  <sheetViews>
    <sheetView showGridLines="0" showRowColHeaders="0" tabSelected="1" zoomScale="85" zoomScaleNormal="85" workbookViewId="0">
      <pane ySplit="64" topLeftCell="A65" activePane="bottomLeft" state="frozen"/>
      <selection activeCell="B2" sqref="B2"/>
      <selection pane="bottomLeft" activeCell="A65" sqref="A65"/>
    </sheetView>
  </sheetViews>
  <sheetFormatPr defaultColWidth="11" defaultRowHeight="15.5" x14ac:dyDescent="0.35"/>
  <cols>
    <col min="1" max="1" width="4.453125" style="1" customWidth="1"/>
    <col min="2" max="3" width="11" style="3"/>
    <col min="4" max="16384" width="11" style="1"/>
  </cols>
  <sheetData>
    <row r="2" spans="2:11" ht="17.5" x14ac:dyDescent="0.35">
      <c r="K2" s="2"/>
    </row>
    <row r="5" spans="2:11" x14ac:dyDescent="0.35">
      <c r="E5" s="3" t="s">
        <v>585</v>
      </c>
    </row>
    <row r="9" spans="2:11" ht="21" x14ac:dyDescent="0.5">
      <c r="B9" s="4" t="s">
        <v>584</v>
      </c>
      <c r="J9" s="11"/>
      <c r="K9" s="11" t="s">
        <v>583</v>
      </c>
    </row>
    <row r="10" spans="2:11" x14ac:dyDescent="0.35">
      <c r="B10" s="3" t="s">
        <v>363</v>
      </c>
    </row>
    <row r="11" spans="2:11" x14ac:dyDescent="0.35">
      <c r="B11" s="3" t="s">
        <v>364</v>
      </c>
    </row>
    <row r="13" spans="2:11" x14ac:dyDescent="0.35">
      <c r="B13" s="3" t="s">
        <v>365</v>
      </c>
    </row>
    <row r="14" spans="2:11" x14ac:dyDescent="0.35">
      <c r="B14" s="3" t="s">
        <v>366</v>
      </c>
    </row>
    <row r="15" spans="2:11" x14ac:dyDescent="0.35">
      <c r="B15" s="3" t="s">
        <v>367</v>
      </c>
    </row>
    <row r="16" spans="2:11" x14ac:dyDescent="0.35">
      <c r="B16" s="3" t="s">
        <v>368</v>
      </c>
    </row>
    <row r="17" spans="2:2" x14ac:dyDescent="0.35">
      <c r="B17" s="3" t="s">
        <v>369</v>
      </c>
    </row>
    <row r="19" spans="2:2" x14ac:dyDescent="0.35">
      <c r="B19" s="15" t="s">
        <v>370</v>
      </c>
    </row>
    <row r="22" spans="2:2" x14ac:dyDescent="0.35">
      <c r="B22" s="17"/>
    </row>
    <row r="24" spans="2:2" x14ac:dyDescent="0.35">
      <c r="B24" s="15"/>
    </row>
    <row r="25" spans="2:2" x14ac:dyDescent="0.35">
      <c r="B25" s="18"/>
    </row>
  </sheetData>
  <sheetProtection algorithmName="SHA-512" hashValue="ZVzipEUWW/gtBfHkxLWCYkD7pUuXhNhVwVxci1kAFehJE2ikZXrXXAPK3lYaf6pcHhfRW8kyGf9Mmy4YUrOL/Q==" saltValue="b8+kICL1dYYTlyVwPYLS0g==" spinCount="100000" sheet="1" objects="1" scenarios="1" pivotTables="0"/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9">
    <tabColor rgb="FFC00000"/>
    <pageSetUpPr fitToPage="1"/>
  </sheetPr>
  <dimension ref="A1:P41"/>
  <sheetViews>
    <sheetView showGridLines="0" showRowColHeaders="0" zoomScale="112" zoomScaleNormal="112" workbookViewId="0"/>
  </sheetViews>
  <sheetFormatPr defaultColWidth="0" defaultRowHeight="12.75" customHeight="1" zeroHeight="1" x14ac:dyDescent="0.25"/>
  <cols>
    <col min="1" max="1" width="9.81640625" style="35" customWidth="1"/>
    <col min="2" max="2" width="17.81640625" style="35" customWidth="1"/>
    <col min="3" max="3" width="10.81640625" style="35" customWidth="1"/>
    <col min="4" max="5" width="11.26953125" style="35" customWidth="1"/>
    <col min="6" max="6" width="11.453125" style="35" customWidth="1"/>
    <col min="7" max="7" width="31" style="35" customWidth="1"/>
    <col min="8" max="8" width="4.453125" style="35" customWidth="1"/>
    <col min="9" max="9" width="3" style="35" customWidth="1"/>
    <col min="10" max="10" width="24.1796875" style="35" customWidth="1"/>
    <col min="11" max="11" width="9.26953125" style="35" bestFit="1" customWidth="1"/>
    <col min="12" max="12" width="4.7265625" style="35" bestFit="1" customWidth="1"/>
    <col min="13" max="13" width="4.1796875" style="35" customWidth="1"/>
    <col min="14" max="14" width="19.453125" style="35" hidden="1" customWidth="1"/>
    <col min="15" max="15" width="30.7265625" style="35" hidden="1" customWidth="1"/>
    <col min="16" max="16" width="2.7265625" style="35" hidden="1" customWidth="1"/>
    <col min="17" max="16384" width="11.453125" style="35" hidden="1"/>
  </cols>
  <sheetData>
    <row r="1" spans="1:13" ht="20" x14ac:dyDescent="0.4">
      <c r="A1" s="33"/>
      <c r="B1" s="119"/>
      <c r="C1" s="34"/>
      <c r="D1" s="34"/>
      <c r="E1" s="34"/>
      <c r="F1" s="34"/>
      <c r="G1" s="33"/>
      <c r="H1" s="34"/>
      <c r="I1" s="34"/>
      <c r="J1" s="34"/>
      <c r="K1" s="34"/>
    </row>
    <row r="2" spans="1:13" ht="12.5" x14ac:dyDescent="0.25">
      <c r="B2" s="30"/>
      <c r="G2" s="36"/>
      <c r="H2" s="37"/>
      <c r="I2" s="37"/>
      <c r="J2" s="37"/>
      <c r="K2" s="37"/>
      <c r="L2" s="37"/>
      <c r="M2" s="37"/>
    </row>
    <row r="3" spans="1:13" ht="13" x14ac:dyDescent="0.3">
      <c r="B3" s="30"/>
      <c r="G3" s="38" t="s">
        <v>375</v>
      </c>
      <c r="H3" s="39"/>
      <c r="I3" s="37"/>
      <c r="J3" s="38" t="s">
        <v>376</v>
      </c>
      <c r="K3" s="40"/>
      <c r="L3" s="41"/>
      <c r="M3" s="37"/>
    </row>
    <row r="4" spans="1:13" ht="12.5" x14ac:dyDescent="0.25">
      <c r="B4" s="30"/>
      <c r="D4" s="42"/>
      <c r="G4" s="43" t="s">
        <v>377</v>
      </c>
      <c r="H4" s="44">
        <f>MinCov</f>
        <v>0</v>
      </c>
      <c r="I4" s="37"/>
      <c r="J4" s="43" t="s">
        <v>378</v>
      </c>
      <c r="K4" s="45">
        <f ca="1">OFFSET(TotStock,1,0)</f>
        <v>5530</v>
      </c>
      <c r="L4" s="46">
        <f ca="1">OFFSET(MaterialName,1,-13)</f>
        <v>2006</v>
      </c>
      <c r="M4" s="47"/>
    </row>
    <row r="5" spans="1:13" ht="12.5" x14ac:dyDescent="0.25">
      <c r="B5" s="30"/>
      <c r="G5" s="43" t="s">
        <v>379</v>
      </c>
      <c r="H5" s="44">
        <f>MaxCov</f>
        <v>0</v>
      </c>
      <c r="I5" s="48"/>
      <c r="J5" s="43" t="s">
        <v>380</v>
      </c>
      <c r="K5" s="45">
        <f>SourceData!UnresStock</f>
        <v>5530</v>
      </c>
      <c r="L5" s="46">
        <f ca="1">L4</f>
        <v>2006</v>
      </c>
      <c r="M5" s="48"/>
    </row>
    <row r="6" spans="1:13" ht="12.5" x14ac:dyDescent="0.25">
      <c r="B6" s="30"/>
      <c r="G6" s="49" t="s">
        <v>381</v>
      </c>
      <c r="H6" s="50">
        <f>ActCov</f>
        <v>0</v>
      </c>
      <c r="I6" s="37"/>
      <c r="J6" s="51" t="s">
        <v>382</v>
      </c>
      <c r="K6" s="45">
        <f ca="1">OFFSET(RngToDay,0,3)/K4*SourceData!UnresStock</f>
        <v>0</v>
      </c>
      <c r="L6" s="46" t="s">
        <v>383</v>
      </c>
      <c r="M6" s="30"/>
    </row>
    <row r="7" spans="1:13" ht="12.5" x14ac:dyDescent="0.25">
      <c r="B7" s="30"/>
      <c r="G7" s="49" t="s">
        <v>384</v>
      </c>
      <c r="H7" s="50" t="e">
        <f>SourceData!AvgSafStockCov</f>
        <v>#DIV/0!</v>
      </c>
      <c r="I7" s="52"/>
      <c r="J7" s="53" t="s">
        <v>129</v>
      </c>
      <c r="K7" s="54">
        <f>SourceData!SafStock</f>
        <v>0</v>
      </c>
      <c r="L7" s="55">
        <f ca="1">$L$4</f>
        <v>2006</v>
      </c>
      <c r="M7" s="30"/>
    </row>
    <row r="8" spans="1:13" ht="12.5" x14ac:dyDescent="0.25">
      <c r="B8" s="30"/>
      <c r="G8" s="53" t="s">
        <v>385</v>
      </c>
      <c r="H8" s="56" t="e">
        <f ca="1">SourceData!U247</f>
        <v>#DIV/0!</v>
      </c>
      <c r="I8" s="52"/>
      <c r="M8" s="30"/>
    </row>
    <row r="9" spans="1:13" ht="12.5" x14ac:dyDescent="0.25">
      <c r="G9" s="36"/>
      <c r="H9" s="52"/>
      <c r="I9" s="52"/>
      <c r="J9" s="52"/>
      <c r="K9" s="30"/>
      <c r="L9" s="30"/>
      <c r="M9" s="30"/>
    </row>
    <row r="10" spans="1:13" ht="12.5" x14ac:dyDescent="0.25">
      <c r="G10" s="36"/>
      <c r="H10" s="52"/>
      <c r="I10" s="52"/>
      <c r="J10" s="52"/>
      <c r="K10" s="30"/>
      <c r="L10" s="30"/>
      <c r="M10" s="30"/>
    </row>
    <row r="11" spans="1:13" ht="12.5" x14ac:dyDescent="0.25">
      <c r="G11" s="52"/>
      <c r="H11" s="52"/>
      <c r="I11" s="52"/>
      <c r="J11" s="52"/>
      <c r="K11" s="30"/>
      <c r="L11" s="30"/>
      <c r="M11" s="30"/>
    </row>
    <row r="12" spans="1:13" ht="12.5" x14ac:dyDescent="0.25">
      <c r="G12" s="52"/>
      <c r="H12" s="52"/>
      <c r="I12" s="52"/>
      <c r="J12" s="52"/>
      <c r="K12" s="30"/>
      <c r="L12" s="30"/>
      <c r="M12" s="30"/>
    </row>
    <row r="13" spans="1:13" ht="12.5" x14ac:dyDescent="0.25">
      <c r="G13" s="52"/>
      <c r="H13" s="52"/>
      <c r="J13" s="52"/>
      <c r="K13" s="30"/>
      <c r="L13" s="30"/>
      <c r="M13" s="30"/>
    </row>
    <row r="14" spans="1:13" ht="12.5" x14ac:dyDescent="0.25">
      <c r="K14" s="30"/>
      <c r="L14" s="30"/>
      <c r="M14" s="30"/>
    </row>
    <row r="15" spans="1:13" ht="12.5" x14ac:dyDescent="0.25">
      <c r="K15" s="30"/>
      <c r="L15" s="30"/>
      <c r="M15" s="30"/>
    </row>
    <row r="16" spans="1:13" ht="12.5" x14ac:dyDescent="0.25">
      <c r="K16" s="30"/>
      <c r="L16" s="30"/>
      <c r="M16" s="30"/>
    </row>
    <row r="17" spans="2:14" ht="12.5" x14ac:dyDescent="0.25">
      <c r="B17" s="30"/>
      <c r="C17" s="30"/>
      <c r="D17" s="30"/>
      <c r="E17" s="30"/>
      <c r="F17" s="30"/>
      <c r="I17" s="30"/>
      <c r="K17" s="30"/>
      <c r="L17" s="30"/>
    </row>
    <row r="18" spans="2:14" ht="12.5" x14ac:dyDescent="0.25">
      <c r="B18" s="30"/>
      <c r="C18" s="30"/>
      <c r="D18" s="30"/>
      <c r="E18" s="30"/>
      <c r="F18" s="30"/>
      <c r="G18" s="30"/>
      <c r="H18" s="30"/>
      <c r="I18" s="30"/>
    </row>
    <row r="19" spans="2:14" ht="12.5" x14ac:dyDescent="0.25">
      <c r="B19" s="30"/>
      <c r="C19" s="30"/>
      <c r="D19" s="30"/>
      <c r="E19" s="30"/>
      <c r="F19" s="30"/>
      <c r="G19" s="30"/>
      <c r="H19" s="30"/>
      <c r="I19" s="30"/>
      <c r="N19" s="57"/>
    </row>
    <row r="20" spans="2:14" ht="12.5" x14ac:dyDescent="0.25">
      <c r="B20" s="30"/>
      <c r="C20" s="30"/>
      <c r="D20" s="30"/>
      <c r="E20" s="30"/>
      <c r="F20" s="30"/>
      <c r="G20" s="30"/>
      <c r="H20" s="30"/>
      <c r="I20" s="30"/>
      <c r="N20" s="57"/>
    </row>
    <row r="21" spans="2:14" ht="12.5" x14ac:dyDescent="0.25">
      <c r="B21" s="30"/>
      <c r="C21" s="30"/>
      <c r="D21" s="30"/>
      <c r="E21" s="30"/>
      <c r="F21" s="30"/>
      <c r="G21" s="30"/>
      <c r="H21" s="30"/>
      <c r="I21" s="30"/>
      <c r="M21" s="30"/>
    </row>
    <row r="22" spans="2:14" ht="12.5" x14ac:dyDescent="0.25">
      <c r="G22" s="30"/>
      <c r="H22" s="30"/>
      <c r="K22" s="30"/>
      <c r="L22" s="30"/>
      <c r="M22" s="30"/>
    </row>
    <row r="23" spans="2:14" ht="12.5" x14ac:dyDescent="0.25">
      <c r="G23" s="58"/>
      <c r="K23" s="30"/>
      <c r="L23" s="30"/>
      <c r="M23" s="30"/>
    </row>
    <row r="24" spans="2:14" ht="12.5" x14ac:dyDescent="0.25">
      <c r="K24" s="30"/>
      <c r="L24" s="30"/>
      <c r="M24" s="30"/>
    </row>
    <row r="25" spans="2:14" ht="12.5" x14ac:dyDescent="0.25">
      <c r="K25" s="30"/>
      <c r="L25" s="30"/>
      <c r="M25" s="30"/>
    </row>
    <row r="26" spans="2:14" ht="12.5" x14ac:dyDescent="0.25">
      <c r="K26" s="30"/>
      <c r="L26" s="30"/>
    </row>
    <row r="27" spans="2:14" ht="12.5" x14ac:dyDescent="0.25"/>
    <row r="28" spans="2:14" ht="12.5" x14ac:dyDescent="0.25"/>
    <row r="29" spans="2:14" ht="12.5" x14ac:dyDescent="0.25"/>
    <row r="30" spans="2:14" ht="12.5" x14ac:dyDescent="0.25"/>
    <row r="31" spans="2:14" ht="12.5" x14ac:dyDescent="0.25"/>
    <row r="32" spans="2:14" ht="12.5" x14ac:dyDescent="0.25"/>
    <row r="33" ht="12.5" x14ac:dyDescent="0.25"/>
    <row r="34" ht="12.5" x14ac:dyDescent="0.25"/>
    <row r="35" ht="12.5" x14ac:dyDescent="0.25"/>
    <row r="36" ht="12.5" x14ac:dyDescent="0.25"/>
    <row r="37" ht="12.5" x14ac:dyDescent="0.25"/>
    <row r="38" ht="12.5" x14ac:dyDescent="0.25"/>
    <row r="39" ht="12.5" x14ac:dyDescent="0.25"/>
    <row r="40" ht="12.5" x14ac:dyDescent="0.25"/>
    <row r="41" ht="12.5" x14ac:dyDescent="0.25"/>
  </sheetData>
  <sheetProtection pivotTables="0"/>
  <pageMargins left="0.78740157499999996" right="0.78740157499999996" top="0.984251969" bottom="0.984251969" header="0.5" footer="0.5"/>
  <pageSetup paperSize="9" scale="90" orientation="landscape" verticalDpi="0" r:id="rId1"/>
  <headerFooter alignWithMargins="0">
    <oddHeader>&amp;LRieber SapExl Reports</oddHeader>
    <oddFooter xml:space="preserve">&amp;LPrinting date: &amp;D&amp;CPage &amp;P / &amp;N&amp;R&amp;F - &amp;A </oddFooter>
  </headerFooter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5">
    <tabColor rgb="FFC00000"/>
    <pageSetUpPr fitToPage="1"/>
  </sheetPr>
  <dimension ref="A1:M44"/>
  <sheetViews>
    <sheetView showGridLines="0" showRowColHeaders="0" zoomScale="117" zoomScaleNormal="117" workbookViewId="0"/>
  </sheetViews>
  <sheetFormatPr defaultColWidth="0" defaultRowHeight="12.75" customHeight="1" zeroHeight="1" x14ac:dyDescent="0.25"/>
  <cols>
    <col min="1" max="1" width="24.7265625" style="30" customWidth="1"/>
    <col min="2" max="2" width="7.54296875" style="30" customWidth="1"/>
    <col min="3" max="3" width="3.81640625" style="30" customWidth="1"/>
    <col min="4" max="4" width="19.26953125" style="30" bestFit="1" customWidth="1"/>
    <col min="5" max="5" width="9.453125" style="30" customWidth="1"/>
    <col min="6" max="6" width="2.81640625" style="30" customWidth="1"/>
    <col min="7" max="7" width="25.7265625" style="30" bestFit="1" customWidth="1"/>
    <col min="8" max="8" width="10.26953125" style="30" customWidth="1"/>
    <col min="9" max="9" width="2" style="30" customWidth="1"/>
    <col min="10" max="10" width="23.54296875" style="30" customWidth="1"/>
    <col min="11" max="12" width="8.54296875" style="30" customWidth="1"/>
    <col min="13" max="13" width="11.453125" style="30" customWidth="1"/>
    <col min="14" max="16384" width="11.453125" style="30" hidden="1"/>
  </cols>
  <sheetData>
    <row r="1" spans="1:12" ht="20" x14ac:dyDescent="0.4">
      <c r="A1" s="33"/>
    </row>
    <row r="2" spans="1:12" ht="13" x14ac:dyDescent="0.3">
      <c r="K2" s="120" t="s">
        <v>386</v>
      </c>
      <c r="L2" s="120" t="s">
        <v>387</v>
      </c>
    </row>
    <row r="3" spans="1:12" ht="12.5" x14ac:dyDescent="0.25">
      <c r="A3" s="121" t="s">
        <v>388</v>
      </c>
      <c r="B3" s="122">
        <v>0.99</v>
      </c>
      <c r="D3" s="121" t="s">
        <v>389</v>
      </c>
      <c r="E3" s="123" t="e">
        <f ca="1">SL_Days</f>
        <v>#DIV/0!</v>
      </c>
      <c r="G3" s="30" t="s">
        <v>390</v>
      </c>
      <c r="H3" s="32" t="e">
        <f>SourceData!T253</f>
        <v>#DIV/0!</v>
      </c>
      <c r="J3" s="30" t="s">
        <v>391</v>
      </c>
      <c r="K3" s="32" t="e">
        <f>SourceData!T259</f>
        <v>#DIV/0!</v>
      </c>
      <c r="L3" s="32">
        <f>SourceData!U259</f>
        <v>0</v>
      </c>
    </row>
    <row r="4" spans="1:12" ht="12.5" x14ac:dyDescent="0.25">
      <c r="A4" s="121" t="s">
        <v>392</v>
      </c>
      <c r="B4" s="124">
        <v>5</v>
      </c>
      <c r="D4" s="121" t="s">
        <v>393</v>
      </c>
      <c r="E4" s="125" t="e">
        <f ca="1">Saf_Stock</f>
        <v>#DIV/0!</v>
      </c>
      <c r="G4" s="30" t="s">
        <v>394</v>
      </c>
      <c r="H4" s="32" t="e">
        <f ca="1">SourceData!T254</f>
        <v>#DIV/0!</v>
      </c>
      <c r="J4" s="30" t="s">
        <v>395</v>
      </c>
      <c r="K4" s="126" t="e">
        <f ca="1">SourceData!T260</f>
        <v>#DIV/0!</v>
      </c>
    </row>
    <row r="5" spans="1:12" ht="12.5" x14ac:dyDescent="0.25">
      <c r="A5" s="30" t="s">
        <v>396</v>
      </c>
      <c r="B5" s="127">
        <v>24</v>
      </c>
      <c r="D5" s="30" t="s">
        <v>397</v>
      </c>
      <c r="E5" s="32">
        <f ca="1">SourceData!T270</f>
        <v>0</v>
      </c>
      <c r="G5" s="30" t="s">
        <v>398</v>
      </c>
      <c r="H5" s="125">
        <f>SourceData!T246</f>
        <v>-1150</v>
      </c>
      <c r="J5" s="30" t="s">
        <v>399</v>
      </c>
      <c r="K5" s="32" t="e">
        <f>SourceData!T261</f>
        <v>#DIV/0!</v>
      </c>
      <c r="L5" s="32">
        <f>SourceData!U261</f>
        <v>0</v>
      </c>
    </row>
    <row r="6" spans="1:12" ht="13" x14ac:dyDescent="0.3">
      <c r="A6" s="31" t="s">
        <v>400</v>
      </c>
      <c r="B6" s="128">
        <f ca="1">SourceData!T263</f>
        <v>1</v>
      </c>
      <c r="D6" s="30" t="s">
        <v>401</v>
      </c>
      <c r="E6" s="32">
        <f ca="1">H5*(1-B6)</f>
        <v>0</v>
      </c>
      <c r="G6" s="30" t="s">
        <v>402</v>
      </c>
      <c r="H6" s="129" t="e">
        <f ca="1">SourceData!T255/H4</f>
        <v>#DIV/0!</v>
      </c>
      <c r="J6" s="30" t="s">
        <v>403</v>
      </c>
      <c r="K6" s="126" t="e">
        <f>SourceData!T262</f>
        <v>#DIV/0!</v>
      </c>
    </row>
    <row r="7" spans="1:12" ht="12.5" x14ac:dyDescent="0.25"/>
    <row r="8" spans="1:12" ht="12.5" x14ac:dyDescent="0.25"/>
    <row r="9" spans="1:12" ht="12.5" x14ac:dyDescent="0.25"/>
    <row r="10" spans="1:12" ht="12.5" x14ac:dyDescent="0.25"/>
    <row r="11" spans="1:12" ht="12.5" x14ac:dyDescent="0.25"/>
    <row r="12" spans="1:12" ht="12.5" x14ac:dyDescent="0.25"/>
    <row r="13" spans="1:12" ht="12.5" x14ac:dyDescent="0.25"/>
    <row r="14" spans="1:12" ht="12.5" x14ac:dyDescent="0.25"/>
    <row r="15" spans="1:12" ht="12.5" x14ac:dyDescent="0.25"/>
    <row r="16" spans="1:12" ht="12.5" x14ac:dyDescent="0.25"/>
    <row r="17" ht="12.5" x14ac:dyDescent="0.25"/>
    <row r="18" ht="12.5" x14ac:dyDescent="0.25"/>
    <row r="19" ht="12.5" x14ac:dyDescent="0.25"/>
    <row r="20" ht="12.5" x14ac:dyDescent="0.25"/>
    <row r="21" ht="12.5" x14ac:dyDescent="0.25"/>
    <row r="22" ht="12.5" x14ac:dyDescent="0.25"/>
    <row r="23" ht="12.5" x14ac:dyDescent="0.25"/>
    <row r="24" ht="12.5" x14ac:dyDescent="0.25"/>
    <row r="25" ht="12.5" x14ac:dyDescent="0.25"/>
    <row r="26" ht="12.5" x14ac:dyDescent="0.25"/>
    <row r="27" ht="12.5" x14ac:dyDescent="0.25"/>
    <row r="28" ht="12.5" x14ac:dyDescent="0.25"/>
    <row r="29" ht="12.5" x14ac:dyDescent="0.25"/>
    <row r="30" ht="12.5" x14ac:dyDescent="0.25"/>
    <row r="31" ht="12.5" x14ac:dyDescent="0.25"/>
    <row r="32" ht="12.5" x14ac:dyDescent="0.25"/>
    <row r="33" ht="12.5" x14ac:dyDescent="0.25"/>
    <row r="34" ht="12.5" x14ac:dyDescent="0.25"/>
    <row r="35" ht="12.5" x14ac:dyDescent="0.25"/>
    <row r="36" ht="12.5" x14ac:dyDescent="0.25"/>
    <row r="37" ht="12.5" x14ac:dyDescent="0.25"/>
    <row r="38" ht="12.5" x14ac:dyDescent="0.25"/>
    <row r="39" ht="12.5" x14ac:dyDescent="0.25"/>
    <row r="40" ht="12.5" hidden="1" x14ac:dyDescent="0.25"/>
    <row r="41" ht="12.5" hidden="1" x14ac:dyDescent="0.25"/>
    <row r="42" ht="12.5" hidden="1" x14ac:dyDescent="0.25"/>
    <row r="43" ht="12.5" hidden="1" x14ac:dyDescent="0.25"/>
    <row r="44" ht="12.5" hidden="1" x14ac:dyDescent="0.25"/>
  </sheetData>
  <pageMargins left="0.70866141732283472" right="0.70866141732283472" top="0.78740157480314965" bottom="0.78740157480314965" header="0.31496062992125984" footer="0.31496062992125984"/>
  <pageSetup paperSize="9" scale="83" fitToHeight="0" orientation="landscape" horizontalDpi="1200" verticalDpi="1200" r:id="rId1"/>
  <headerFooter>
    <oddHeader>&amp;LRieber SapExl Reports</oddHeader>
    <oddFooter xml:space="preserve">&amp;LPrinting date: &amp;D&amp;CPage &amp;P / &amp;N&amp;R&amp;F - &amp;A </oddFooter>
  </headerFooter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Simulation">
    <tabColor rgb="FFC00000"/>
    <pageSetUpPr fitToPage="1"/>
  </sheetPr>
  <dimension ref="A1:P41"/>
  <sheetViews>
    <sheetView showGridLines="0" showRowColHeaders="0" zoomScale="112" zoomScaleNormal="112" workbookViewId="0">
      <pane ySplit="4" topLeftCell="A5" activePane="bottomLeft" state="frozen"/>
      <selection pane="bottomLeft" activeCell="F22" sqref="F22"/>
    </sheetView>
  </sheetViews>
  <sheetFormatPr defaultColWidth="0" defaultRowHeight="12.75" customHeight="1" zeroHeight="1" x14ac:dyDescent="0.25"/>
  <cols>
    <col min="1" max="1" width="20.1796875" style="60" customWidth="1"/>
    <col min="2" max="2" width="10.81640625" style="60" customWidth="1"/>
    <col min="3" max="3" width="12.26953125" style="60" customWidth="1"/>
    <col min="4" max="4" width="11.1796875" style="60" customWidth="1"/>
    <col min="5" max="5" width="10" style="60" customWidth="1"/>
    <col min="6" max="6" width="12.453125" style="60" customWidth="1"/>
    <col min="7" max="14" width="11.453125" style="60" customWidth="1"/>
    <col min="15" max="15" width="10.7265625" style="60" customWidth="1"/>
    <col min="16" max="16" width="0" style="60" hidden="1" customWidth="1"/>
    <col min="17" max="16384" width="11.453125" style="60" hidden="1"/>
  </cols>
  <sheetData>
    <row r="1" spans="1:7" ht="20" x14ac:dyDescent="0.4">
      <c r="A1" s="59"/>
      <c r="G1" s="61"/>
    </row>
    <row r="2" spans="1:7" ht="12.5" x14ac:dyDescent="0.25">
      <c r="A2" s="62"/>
    </row>
    <row r="3" spans="1:7" ht="13" x14ac:dyDescent="0.3">
      <c r="B3" s="63"/>
      <c r="C3" s="63"/>
      <c r="E3" s="64" t="s">
        <v>404</v>
      </c>
    </row>
    <row r="4" spans="1:7" ht="13" x14ac:dyDescent="0.3">
      <c r="A4" s="65" t="s">
        <v>405</v>
      </c>
      <c r="B4" s="66" t="s">
        <v>406</v>
      </c>
      <c r="C4" s="65" t="s">
        <v>407</v>
      </c>
      <c r="D4" s="66" t="s">
        <v>22</v>
      </c>
      <c r="E4" s="66" t="s">
        <v>23</v>
      </c>
      <c r="F4" s="67" t="s">
        <v>408</v>
      </c>
      <c r="G4" s="68"/>
    </row>
    <row r="5" spans="1:7" ht="12.5" x14ac:dyDescent="0.25">
      <c r="A5" s="60" t="s">
        <v>409</v>
      </c>
      <c r="B5" s="69">
        <v>0</v>
      </c>
      <c r="C5" s="60" t="s">
        <v>410</v>
      </c>
      <c r="D5" s="69">
        <v>0</v>
      </c>
      <c r="E5" s="69">
        <v>0</v>
      </c>
      <c r="F5" s="70">
        <v>1</v>
      </c>
    </row>
    <row r="6" spans="1:7" ht="12.5" x14ac:dyDescent="0.25">
      <c r="A6" s="71" t="s">
        <v>135</v>
      </c>
      <c r="B6" s="69">
        <v>3</v>
      </c>
      <c r="C6" s="60" t="s">
        <v>410</v>
      </c>
      <c r="D6" s="69">
        <v>2</v>
      </c>
      <c r="E6" s="69">
        <v>6</v>
      </c>
      <c r="F6" s="70">
        <v>1</v>
      </c>
    </row>
    <row r="7" spans="1:7" ht="12.5" x14ac:dyDescent="0.25">
      <c r="A7" s="60" t="s">
        <v>125</v>
      </c>
      <c r="B7" s="69">
        <v>45</v>
      </c>
      <c r="C7" s="60" t="s">
        <v>410</v>
      </c>
      <c r="D7" s="69">
        <v>23</v>
      </c>
      <c r="E7" s="69">
        <v>68</v>
      </c>
      <c r="F7" s="70">
        <v>9</v>
      </c>
    </row>
    <row r="8" spans="1:7" ht="12.5" x14ac:dyDescent="0.25">
      <c r="A8" s="60" t="s">
        <v>411</v>
      </c>
      <c r="B8" s="70">
        <v>9560</v>
      </c>
      <c r="C8" s="60" t="s">
        <v>412</v>
      </c>
      <c r="D8" s="70">
        <v>1933.9215686274508</v>
      </c>
      <c r="E8" s="70">
        <v>19550</v>
      </c>
      <c r="F8" s="72">
        <f>INT((E8-D8)/75)+1</f>
        <v>235</v>
      </c>
    </row>
    <row r="9" spans="1:7" ht="12.5" x14ac:dyDescent="0.25">
      <c r="A9" s="60" t="s">
        <v>413</v>
      </c>
      <c r="B9" s="73">
        <f>AVERAGE(Sim_Data!B236:B486)</f>
        <v>10842.28</v>
      </c>
      <c r="C9" s="60" t="s">
        <v>412</v>
      </c>
      <c r="F9" s="72"/>
    </row>
    <row r="10" spans="1:7" ht="13" x14ac:dyDescent="0.3">
      <c r="A10" s="60" t="s">
        <v>414</v>
      </c>
      <c r="B10" s="73">
        <f ca="1">AVERAGE(Sim_Data!J236:J487)</f>
        <v>6127.3519999999999</v>
      </c>
      <c r="C10" s="74">
        <f ca="1">crTeo_Stock/crAct_Stock-1</f>
        <v>-0.43486499149625357</v>
      </c>
      <c r="E10" s="75" t="s">
        <v>415</v>
      </c>
      <c r="F10" s="76" t="s">
        <v>406</v>
      </c>
    </row>
    <row r="11" spans="1:7" ht="12.5" x14ac:dyDescent="0.25">
      <c r="A11" s="60" t="s">
        <v>416</v>
      </c>
      <c r="B11" s="77">
        <f ca="1">COUNTIF(Sim_Data!$J$236:$J$486,"&lt;0")</f>
        <v>3</v>
      </c>
      <c r="C11" s="60" t="s">
        <v>410</v>
      </c>
      <c r="E11" s="78" t="s">
        <v>417</v>
      </c>
      <c r="F11" s="79">
        <v>0</v>
      </c>
    </row>
    <row r="12" spans="1:7" ht="12.5" x14ac:dyDescent="0.25">
      <c r="A12" s="60" t="s">
        <v>418</v>
      </c>
      <c r="B12" s="73">
        <f ca="1">SUM(Sim_Data!K236:K486)</f>
        <v>-1591</v>
      </c>
      <c r="C12" s="60" t="s">
        <v>412</v>
      </c>
      <c r="E12" s="78" t="s">
        <v>419</v>
      </c>
      <c r="F12" s="79">
        <v>3</v>
      </c>
    </row>
    <row r="13" spans="1:7" ht="12.5" x14ac:dyDescent="0.25">
      <c r="A13" s="60" t="s">
        <v>420</v>
      </c>
      <c r="B13" s="80">
        <f ca="1">(crTotalUsage+B12)/crTotalUsage</f>
        <v>0.97741660752306603</v>
      </c>
      <c r="E13" s="78" t="s">
        <v>421</v>
      </c>
      <c r="F13" s="79">
        <v>45</v>
      </c>
    </row>
    <row r="14" spans="1:7" ht="12.5" x14ac:dyDescent="0.25">
      <c r="A14" s="71" t="s">
        <v>133</v>
      </c>
      <c r="B14" s="81">
        <v>1</v>
      </c>
      <c r="C14" s="60" t="s">
        <v>412</v>
      </c>
      <c r="E14" s="78" t="s">
        <v>422</v>
      </c>
      <c r="F14" s="79">
        <v>0</v>
      </c>
    </row>
    <row r="15" spans="1:7" ht="12.5" x14ac:dyDescent="0.25">
      <c r="A15" s="71" t="s">
        <v>132</v>
      </c>
      <c r="B15" s="81">
        <v>0</v>
      </c>
      <c r="C15" s="60" t="s">
        <v>412</v>
      </c>
    </row>
    <row r="16" spans="1:7" ht="12.5" x14ac:dyDescent="0.25"/>
    <row r="17" spans="1:6" ht="13" x14ac:dyDescent="0.3">
      <c r="A17" s="65" t="s">
        <v>423</v>
      </c>
      <c r="B17" s="66" t="s">
        <v>386</v>
      </c>
      <c r="C17" s="66" t="s">
        <v>424</v>
      </c>
      <c r="E17" s="78" t="s">
        <v>425</v>
      </c>
      <c r="F17" s="82" t="str">
        <f ca="1">IF(ISERROR(AVERAGE(Log_Forecast!drService_Level)),"",AVERAGE(Log_Forecast!drService_Level))</f>
        <v/>
      </c>
    </row>
    <row r="18" spans="1:6" ht="12.5" x14ac:dyDescent="0.25">
      <c r="A18" s="60" t="s">
        <v>420</v>
      </c>
      <c r="B18" s="82" t="str">
        <f ca="1">IF(ISERROR(AVERAGE(Log_StockIn!drService_level)),"",AVERAGE(Log_StockIn!drService_level))</f>
        <v/>
      </c>
      <c r="C18" s="80">
        <f ca="1">MIN(Log_StockIn!drService_level)</f>
        <v>0</v>
      </c>
      <c r="E18" s="78" t="s">
        <v>426</v>
      </c>
      <c r="F18" s="73" t="str">
        <f ca="1">IF(ISERROR(AVERAGE(Log_Forecast!drAvg_simulated_stock)),"",AVERAGE(Log_Forecast!drAvg_simulated_stock))</f>
        <v/>
      </c>
    </row>
    <row r="19" spans="1:6" ht="12.5" x14ac:dyDescent="0.25">
      <c r="A19" s="60" t="s">
        <v>416</v>
      </c>
      <c r="B19" s="73" t="str">
        <f ca="1">IF(ISERROR(AVERAGE(Log_StockIn!drDays_out_of_stock)),"",AVERAGE(Log_StockIn!drDays_out_of_stock))</f>
        <v/>
      </c>
      <c r="C19" s="73">
        <f ca="1">MAX(Log_StockIn!drDays_out_of_stock)</f>
        <v>0</v>
      </c>
      <c r="E19" s="78" t="s">
        <v>427</v>
      </c>
      <c r="F19" s="80" t="str">
        <f ca="1">IF(ISERROR(crAvgFCStock/crTeo_Stock-1),"",crAvgFCStock/crTeo_Stock-1)</f>
        <v/>
      </c>
    </row>
    <row r="20" spans="1:6" ht="12.5" x14ac:dyDescent="0.25">
      <c r="A20" s="60" t="s">
        <v>418</v>
      </c>
      <c r="B20" s="73" t="str">
        <f ca="1">IF(ISERROR(AVERAGE(Log_StockIn!drQuantity_out_of_stock)),"",AVERAGE(Log_StockIn!drQuantity_out_of_stock))</f>
        <v/>
      </c>
      <c r="C20" s="73">
        <f ca="1">MIN(Log_StockIn!drQuantity_out_of_stock)</f>
        <v>0</v>
      </c>
      <c r="D20" s="78"/>
      <c r="E20" s="78" t="s">
        <v>428</v>
      </c>
      <c r="F20" s="70">
        <v>74135</v>
      </c>
    </row>
    <row r="21" spans="1:6" ht="12.5" x14ac:dyDescent="0.25">
      <c r="A21" s="83" t="s">
        <v>429</v>
      </c>
      <c r="B21" s="73" t="str">
        <f ca="1">IF(ISERROR(AVERAGE(Log_StockIn!drAvg_simulated_stock)),"",AVERAGE(Log_StockIn!drAvg_simulated_stock))</f>
        <v/>
      </c>
    </row>
    <row r="22" spans="1:6" ht="12.5" x14ac:dyDescent="0.25">
      <c r="D22" s="72"/>
      <c r="E22" s="78" t="s">
        <v>430</v>
      </c>
      <c r="F22" s="84" t="s">
        <v>431</v>
      </c>
    </row>
    <row r="23" spans="1:6" ht="12.5" x14ac:dyDescent="0.25">
      <c r="E23" s="78" t="s">
        <v>432</v>
      </c>
      <c r="F23" s="85">
        <v>75</v>
      </c>
    </row>
    <row r="24" spans="1:6" ht="12.5" x14ac:dyDescent="0.25">
      <c r="A24" s="86" t="s">
        <v>433</v>
      </c>
      <c r="B24" s="130">
        <f ca="1">AVERAGE(A28:A39)</f>
        <v>0.48313319278696126</v>
      </c>
      <c r="E24" s="78" t="s">
        <v>434</v>
      </c>
      <c r="F24" s="87">
        <f>crSaf_Time</f>
        <v>3</v>
      </c>
    </row>
    <row r="25" spans="1:6" ht="12.5" x14ac:dyDescent="0.25">
      <c r="A25" s="71" t="s">
        <v>435</v>
      </c>
      <c r="B25" s="88">
        <v>0.3</v>
      </c>
    </row>
    <row r="26" spans="1:6" ht="12.5" x14ac:dyDescent="0.25">
      <c r="F26" s="72"/>
    </row>
    <row r="27" spans="1:6" ht="13" x14ac:dyDescent="0.3">
      <c r="A27" s="66" t="s">
        <v>436</v>
      </c>
      <c r="B27" s="66" t="s">
        <v>193</v>
      </c>
      <c r="C27" s="66" t="s">
        <v>437</v>
      </c>
      <c r="D27" s="66" t="s">
        <v>438</v>
      </c>
      <c r="E27" s="67" t="s">
        <v>439</v>
      </c>
      <c r="F27" s="66" t="s">
        <v>440</v>
      </c>
    </row>
    <row r="28" spans="1:6" ht="12.5" x14ac:dyDescent="0.25">
      <c r="A28" s="89">
        <f t="shared" ref="A28:A31" ca="1" si="0">IF(E28=0,IF(C28=0,1,0),IF(1-ABS(C28/E28-1)&lt;0,0,1-ABS(C28/E28-1)))</f>
        <v>0.71958762886597949</v>
      </c>
      <c r="B28" s="60">
        <f ca="1">MONTH(rDataSource)</f>
        <v>3</v>
      </c>
      <c r="C28" s="70">
        <v>6210</v>
      </c>
      <c r="D28" s="72">
        <f ca="1">LogRanges!$J26</f>
        <v>0</v>
      </c>
      <c r="E28" s="72">
        <f ca="1">SUMIF(Sim_Data!$L$236:$L$487,Simulation!$B28,Sim_Data!$C$236:$C$487)</f>
        <v>4850</v>
      </c>
      <c r="F28" s="72">
        <f ca="1">SUMIF(SourceData!$I$2:$I$249,Simulation!$B28,SourceData!$C$2:$C$249)</f>
        <v>0</v>
      </c>
    </row>
    <row r="29" spans="1:6" ht="12.5" x14ac:dyDescent="0.25">
      <c r="A29" s="89">
        <f t="shared" ca="1" si="0"/>
        <v>0.95704057279236276</v>
      </c>
      <c r="B29" s="60">
        <f ca="1">IF(B28=12,1,B28+1)</f>
        <v>4</v>
      </c>
      <c r="C29" s="70">
        <v>4370</v>
      </c>
      <c r="D29" s="72">
        <f ca="1">LogRanges!$J27</f>
        <v>0</v>
      </c>
      <c r="E29" s="72">
        <f ca="1">SUMIF(Sim_Data!$L$236:$L$487,Simulation!$B29,Sim_Data!$C$236:$C$487)</f>
        <v>4190</v>
      </c>
      <c r="F29" s="72">
        <f ca="1">SUMIF(SourceData!$I$2:$I$249,Simulation!$B29,SourceData!$C$2:$C$249)</f>
        <v>0</v>
      </c>
    </row>
    <row r="30" spans="1:6" ht="12.5" x14ac:dyDescent="0.25">
      <c r="A30" s="89">
        <f t="shared" ca="1" si="0"/>
        <v>0.18181818181818188</v>
      </c>
      <c r="B30" s="60">
        <f t="shared" ref="B30:B39" ca="1" si="1">IF(B29=12,1,B29+1)</f>
        <v>5</v>
      </c>
      <c r="C30" s="70">
        <v>4600</v>
      </c>
      <c r="D30" s="72">
        <f ca="1">LogRanges!$J28</f>
        <v>0</v>
      </c>
      <c r="E30" s="72">
        <f ca="1">SUMIF(Sim_Data!$L$236:$L$487,Simulation!$B30,Sim_Data!$C$236:$C$487)</f>
        <v>2530</v>
      </c>
      <c r="F30" s="72">
        <f ca="1">SUMIF(SourceData!$I$2:$I$249,Simulation!$B30,SourceData!$C$2:$C$249)</f>
        <v>0</v>
      </c>
    </row>
    <row r="31" spans="1:6" ht="12.5" x14ac:dyDescent="0.25">
      <c r="A31" s="89">
        <f t="shared" ca="1" si="0"/>
        <v>0.11264822134387353</v>
      </c>
      <c r="B31" s="60">
        <f t="shared" ca="1" si="1"/>
        <v>6</v>
      </c>
      <c r="C31" s="70">
        <v>9550</v>
      </c>
      <c r="D31" s="72">
        <f ca="1">LogRanges!$J29</f>
        <v>0</v>
      </c>
      <c r="E31" s="72">
        <f ca="1">SUMIF(Sim_Data!$L$236:$L$487,Simulation!$B31,Sim_Data!$C$236:$C$487)</f>
        <v>5060</v>
      </c>
      <c r="F31" s="72">
        <f ca="1">SUMIF(SourceData!$I$2:$I$249,Simulation!$B31,SourceData!$C$2:$C$249)</f>
        <v>0</v>
      </c>
    </row>
    <row r="32" spans="1:6" ht="12.5" x14ac:dyDescent="0.25">
      <c r="A32" s="89">
        <f ca="1">IF(E32=0,IF(C32=0,1,0),IF(1-ABS(C32/E32-1)&lt;0,0,1-ABS(C32/E32-1)))</f>
        <v>0</v>
      </c>
      <c r="B32" s="60">
        <f t="shared" ca="1" si="1"/>
        <v>7</v>
      </c>
      <c r="C32" s="70">
        <v>9050</v>
      </c>
      <c r="D32" s="72">
        <f ca="1">LogRanges!$J30</f>
        <v>0</v>
      </c>
      <c r="E32" s="72">
        <f ca="1">SUMIF(Sim_Data!$L$236:$L$487,Simulation!$B32,Sim_Data!$C$236:$C$487)</f>
        <v>4370</v>
      </c>
      <c r="F32" s="72">
        <f ca="1">SUMIF(SourceData!$I$2:$I$249,Simulation!$B32,SourceData!$C$2:$C$249)</f>
        <v>0</v>
      </c>
    </row>
    <row r="33" spans="1:6" ht="12.5" x14ac:dyDescent="0.25">
      <c r="A33" s="89">
        <f t="shared" ref="A33:A40" ca="1" si="2">IF(E33=0,IF(C33=0,1,0),IF(1-ABS(C33/E33-1)&lt;0,0,1-ABS(C33/E33-1)))</f>
        <v>0.92608695652173911</v>
      </c>
      <c r="B33" s="60">
        <f t="shared" ca="1" si="1"/>
        <v>8</v>
      </c>
      <c r="C33" s="70">
        <v>4260</v>
      </c>
      <c r="D33" s="72">
        <f ca="1">LogRanges!$J31</f>
        <v>0</v>
      </c>
      <c r="E33" s="72">
        <f ca="1">SUMIF(Sim_Data!$L$236:$L$487,Simulation!$B33,Sim_Data!$C$236:$C$487)</f>
        <v>4600</v>
      </c>
      <c r="F33" s="72">
        <f ca="1">SUMIF(SourceData!$I$2:$I$249,Simulation!$B33,SourceData!$C$2:$C$249)</f>
        <v>0</v>
      </c>
    </row>
    <row r="34" spans="1:6" ht="12.5" x14ac:dyDescent="0.25">
      <c r="A34" s="89">
        <f t="shared" ca="1" si="2"/>
        <v>0.62617801047120414</v>
      </c>
      <c r="B34" s="60">
        <f t="shared" ca="1" si="1"/>
        <v>9</v>
      </c>
      <c r="C34" s="70">
        <v>5980</v>
      </c>
      <c r="D34" s="72">
        <f ca="1">LogRanges!$J32</f>
        <v>0</v>
      </c>
      <c r="E34" s="72">
        <f ca="1">SUMIF(Sim_Data!$L$236:$L$487,Simulation!$B34,Sim_Data!$C$236:$C$487)</f>
        <v>9550</v>
      </c>
      <c r="F34" s="72">
        <f ca="1">SUMIF(SourceData!$I$2:$I$249,Simulation!$B34,SourceData!$C$2:$C$249)</f>
        <v>0</v>
      </c>
    </row>
    <row r="35" spans="1:6" ht="12.5" x14ac:dyDescent="0.25">
      <c r="A35" s="89">
        <f t="shared" ca="1" si="2"/>
        <v>0.48729281767955801</v>
      </c>
      <c r="B35" s="60">
        <f t="shared" ca="1" si="1"/>
        <v>10</v>
      </c>
      <c r="C35" s="70">
        <v>4410</v>
      </c>
      <c r="D35" s="72">
        <f ca="1">LogRanges!$J33</f>
        <v>0</v>
      </c>
      <c r="E35" s="72">
        <f ca="1">SUMIF(Sim_Data!$L$236:$L$487,Simulation!$B35,Sim_Data!$C$236:$C$487)</f>
        <v>9050</v>
      </c>
      <c r="F35" s="72">
        <f ca="1">SUMIF(SourceData!$I$2:$I$249,Simulation!$B35,SourceData!$C$2:$C$249)</f>
        <v>0</v>
      </c>
    </row>
    <row r="36" spans="1:6" ht="12.5" x14ac:dyDescent="0.25">
      <c r="A36" s="89">
        <f t="shared" ca="1" si="2"/>
        <v>0</v>
      </c>
      <c r="B36" s="60">
        <f t="shared" ca="1" si="1"/>
        <v>11</v>
      </c>
      <c r="C36" s="70">
        <v>11600</v>
      </c>
      <c r="D36" s="72">
        <f ca="1">LogRanges!$J34</f>
        <v>0</v>
      </c>
      <c r="E36" s="72">
        <f ca="1">SUMIF(Sim_Data!$L$236:$L$487,Simulation!$B36,Sim_Data!$C$236:$C$487)</f>
        <v>4260</v>
      </c>
      <c r="F36" s="72">
        <f ca="1">SUMIF(SourceData!$I$2:$I$249,Simulation!$B36,SourceData!$C$2:$C$249)</f>
        <v>0</v>
      </c>
    </row>
    <row r="37" spans="1:6" ht="12.5" x14ac:dyDescent="0.25">
      <c r="A37" s="89">
        <f t="shared" ca="1" si="2"/>
        <v>0.61872909698996659</v>
      </c>
      <c r="B37" s="60">
        <f t="shared" ca="1" si="1"/>
        <v>12</v>
      </c>
      <c r="C37" s="70">
        <v>3700</v>
      </c>
      <c r="D37" s="72">
        <f ca="1">LogRanges!$J35</f>
        <v>0</v>
      </c>
      <c r="E37" s="72">
        <f ca="1">SUMIF(Sim_Data!$L$236:$L$487,Simulation!$B37,Sim_Data!$C$236:$C$487)</f>
        <v>5980</v>
      </c>
      <c r="F37" s="72">
        <f ca="1">SUMIF(SourceData!$I$2:$I$249,Simulation!$B37,SourceData!$C$2:$C$249)</f>
        <v>0</v>
      </c>
    </row>
    <row r="38" spans="1:6" ht="12.5" x14ac:dyDescent="0.25">
      <c r="A38" s="89">
        <f t="shared" ca="1" si="2"/>
        <v>0.95011337868480727</v>
      </c>
      <c r="B38" s="60">
        <f t="shared" ca="1" si="1"/>
        <v>1</v>
      </c>
      <c r="C38" s="70">
        <v>4190</v>
      </c>
      <c r="D38" s="72">
        <f ca="1">LogRanges!$J36</f>
        <v>0</v>
      </c>
      <c r="E38" s="72">
        <f ca="1">SUMIF(Sim_Data!$L$236:$L$487,Simulation!$B38,Sim_Data!$C$236:$C$487)</f>
        <v>4410</v>
      </c>
      <c r="F38" s="72">
        <f ca="1">SUMIF(SourceData!$I$2:$I$249,Simulation!$B38,SourceData!$C$2:$C$249)</f>
        <v>0</v>
      </c>
    </row>
    <row r="39" spans="1:6" ht="12.5" x14ac:dyDescent="0.25">
      <c r="A39" s="90">
        <f t="shared" ca="1" si="2"/>
        <v>0.21810344827586203</v>
      </c>
      <c r="B39" s="68">
        <f t="shared" ca="1" si="1"/>
        <v>2</v>
      </c>
      <c r="C39" s="91">
        <v>2530</v>
      </c>
      <c r="D39" s="92">
        <f ca="1">LogRanges!$J37</f>
        <v>0</v>
      </c>
      <c r="E39" s="92">
        <f ca="1">SUMIF(Sim_Data!$L$236:$L$487,Simulation!$B39,Sim_Data!$C$236:$C$487)</f>
        <v>11600</v>
      </c>
      <c r="F39" s="92">
        <f ca="1">SUMIF(SourceData!$I$2:$I$249,Simulation!$B39,SourceData!$C$2:$C$249)</f>
        <v>0</v>
      </c>
    </row>
    <row r="40" spans="1:6" ht="13" x14ac:dyDescent="0.3">
      <c r="A40" s="93">
        <f t="shared" ca="1" si="2"/>
        <v>1</v>
      </c>
      <c r="B40" s="75" t="s">
        <v>441</v>
      </c>
      <c r="C40" s="94">
        <f>SUM(C28:C39)</f>
        <v>70450</v>
      </c>
      <c r="D40" s="94">
        <f ca="1">SUM(D28:D39)</f>
        <v>0</v>
      </c>
      <c r="E40" s="94">
        <f ca="1">SUM(E28:E39)</f>
        <v>70450</v>
      </c>
      <c r="F40" s="94">
        <f ca="1">SUM(F28:F39)</f>
        <v>0</v>
      </c>
    </row>
    <row r="41" spans="1:6" ht="12.5" x14ac:dyDescent="0.25">
      <c r="A41" s="95"/>
    </row>
  </sheetData>
  <sheetProtection pivotTables="0"/>
  <dataValidations count="1">
    <dataValidation type="list" allowBlank="1" showInputMessage="1" showErrorMessage="1" sqref="F22">
      <formula1>"LY,LY2"</formula1>
    </dataValidation>
  </dataValidations>
  <pageMargins left="0.70866141732283472" right="0.70866141732283472" top="0.74803149606299213" bottom="0.74803149606299213" header="0.31496062992125984" footer="0.31496062992125984"/>
  <pageSetup paperSize="9" scale="80" orientation="landscape" horizontalDpi="300" verticalDpi="300" r:id="rId1"/>
  <headerFooter>
    <oddHeader>&amp;LRieber SapExl Reports</oddHeader>
    <oddFooter xml:space="preserve">&amp;LPrinting date: &amp;D&amp;CPage &amp;P / &amp;N&amp;R&amp;F - &amp;A </oddFooter>
  </headerFooter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5">
    <tabColor rgb="FFFF8080"/>
  </sheetPr>
  <dimension ref="A1:AD63"/>
  <sheetViews>
    <sheetView showGridLines="0" zoomScale="85" zoomScaleNormal="85" workbookViewId="0"/>
  </sheetViews>
  <sheetFormatPr defaultColWidth="11.453125" defaultRowHeight="12.5" x14ac:dyDescent="0.25"/>
  <cols>
    <col min="1" max="1" width="6.7265625" style="60" customWidth="1"/>
    <col min="2" max="2" width="17.81640625" style="60" bestFit="1" customWidth="1"/>
    <col min="3" max="3" width="12.1796875" style="60" bestFit="1" customWidth="1"/>
    <col min="4" max="4" width="11.453125" style="60"/>
    <col min="5" max="5" width="18.453125" style="60" bestFit="1" customWidth="1"/>
    <col min="6" max="7" width="11.453125" style="60"/>
    <col min="8" max="8" width="18.453125" style="60" bestFit="1" customWidth="1"/>
    <col min="9" max="20" width="11.453125" style="60"/>
    <col min="21" max="28" width="7.7265625" style="60" customWidth="1"/>
    <col min="29" max="16384" width="11.453125" style="60"/>
  </cols>
  <sheetData>
    <row r="1" spans="1:10" ht="13" x14ac:dyDescent="0.3">
      <c r="B1" s="63" t="s">
        <v>442</v>
      </c>
    </row>
    <row r="3" spans="1:10" ht="13" x14ac:dyDescent="0.3">
      <c r="B3" s="63"/>
      <c r="C3" s="75" t="s">
        <v>443</v>
      </c>
      <c r="D3" s="75"/>
      <c r="F3" s="63"/>
      <c r="G3" s="75" t="s">
        <v>444</v>
      </c>
      <c r="I3" s="63"/>
      <c r="J3" s="75" t="s">
        <v>445</v>
      </c>
    </row>
    <row r="4" spans="1:10" ht="13" x14ac:dyDescent="0.3">
      <c r="A4" s="65" t="s">
        <v>446</v>
      </c>
      <c r="B4" s="65" t="s">
        <v>447</v>
      </c>
      <c r="C4" s="66" t="s">
        <v>406</v>
      </c>
      <c r="D4" s="66" t="s">
        <v>448</v>
      </c>
      <c r="F4" s="65" t="s">
        <v>447</v>
      </c>
      <c r="G4" s="66" t="s">
        <v>406</v>
      </c>
      <c r="I4" s="65" t="s">
        <v>447</v>
      </c>
      <c r="J4" s="66" t="s">
        <v>406</v>
      </c>
    </row>
    <row r="5" spans="1:10" x14ac:dyDescent="0.25">
      <c r="A5" s="60">
        <v>1</v>
      </c>
      <c r="B5" s="60" t="s">
        <v>449</v>
      </c>
      <c r="C5" s="72">
        <f>Simulation!C28</f>
        <v>6210</v>
      </c>
      <c r="D5" s="96" t="e">
        <f ca="1">AVERAGE(INDEX(Log_Forecast!drLogForecast,,$A5))</f>
        <v>#DIV/0!</v>
      </c>
      <c r="F5" s="60" t="s">
        <v>409</v>
      </c>
      <c r="G5" s="72">
        <f>Simulation!B5</f>
        <v>0</v>
      </c>
      <c r="I5" s="60" t="s">
        <v>409</v>
      </c>
      <c r="J5" s="72">
        <f>Simulation!B5</f>
        <v>0</v>
      </c>
    </row>
    <row r="6" spans="1:10" x14ac:dyDescent="0.25">
      <c r="A6" s="60">
        <f>A5+1</f>
        <v>2</v>
      </c>
      <c r="B6" s="60" t="s">
        <v>450</v>
      </c>
      <c r="C6" s="72">
        <f>Simulation!C29</f>
        <v>4370</v>
      </c>
      <c r="D6" s="96" t="e">
        <f ca="1">AVERAGE(INDEX(Log_Forecast!drLogForecast,,$A6))</f>
        <v>#DIV/0!</v>
      </c>
      <c r="F6" s="60" t="s">
        <v>451</v>
      </c>
      <c r="G6" s="72">
        <f>Simulation!B6</f>
        <v>3</v>
      </c>
      <c r="I6" s="60" t="s">
        <v>451</v>
      </c>
      <c r="J6" s="72">
        <f>Simulation!B6</f>
        <v>3</v>
      </c>
    </row>
    <row r="7" spans="1:10" x14ac:dyDescent="0.25">
      <c r="A7" s="60">
        <f t="shared" ref="A7:A16" si="0">A6+1</f>
        <v>3</v>
      </c>
      <c r="B7" s="60" t="s">
        <v>452</v>
      </c>
      <c r="C7" s="72">
        <f>Simulation!C30</f>
        <v>4600</v>
      </c>
      <c r="D7" s="96" t="e">
        <f ca="1">AVERAGE(INDEX(Log_Forecast!drLogForecast,,$A7))</f>
        <v>#DIV/0!</v>
      </c>
      <c r="F7" s="60" t="s">
        <v>125</v>
      </c>
      <c r="G7" s="72">
        <f>Simulation!B7</f>
        <v>45</v>
      </c>
      <c r="I7" s="60" t="s">
        <v>125</v>
      </c>
      <c r="J7" s="72">
        <f>Simulation!B7</f>
        <v>45</v>
      </c>
    </row>
    <row r="8" spans="1:10" x14ac:dyDescent="0.25">
      <c r="A8" s="60">
        <f t="shared" si="0"/>
        <v>4</v>
      </c>
      <c r="B8" s="60" t="s">
        <v>453</v>
      </c>
      <c r="C8" s="72">
        <f>Simulation!C31</f>
        <v>9550</v>
      </c>
      <c r="D8" s="96" t="e">
        <f ca="1">AVERAGE(INDEX(Log_Forecast!drLogForecast,,$A8))</f>
        <v>#DIV/0!</v>
      </c>
      <c r="F8" s="60" t="s">
        <v>411</v>
      </c>
      <c r="G8" s="72">
        <f>Simulation!B8</f>
        <v>9560</v>
      </c>
      <c r="I8" s="60" t="s">
        <v>411</v>
      </c>
      <c r="J8" s="72">
        <f>Simulation!B8</f>
        <v>9560</v>
      </c>
    </row>
    <row r="9" spans="1:10" x14ac:dyDescent="0.25">
      <c r="A9" s="60">
        <f t="shared" si="0"/>
        <v>5</v>
      </c>
      <c r="B9" s="60" t="s">
        <v>454</v>
      </c>
      <c r="C9" s="72">
        <f>Simulation!C32</f>
        <v>9050</v>
      </c>
      <c r="D9" s="96" t="e">
        <f ca="1">AVERAGE(INDEX(Log_Forecast!drLogForecast,,$A9))</f>
        <v>#DIV/0!</v>
      </c>
      <c r="F9" s="60" t="s">
        <v>413</v>
      </c>
      <c r="G9" s="72">
        <f>Simulation!B9</f>
        <v>10842.28</v>
      </c>
      <c r="I9" s="60" t="s">
        <v>413</v>
      </c>
      <c r="J9" s="72">
        <f>Simulation!B9</f>
        <v>10842.28</v>
      </c>
    </row>
    <row r="10" spans="1:10" x14ac:dyDescent="0.25">
      <c r="A10" s="60">
        <f t="shared" si="0"/>
        <v>6</v>
      </c>
      <c r="B10" s="60" t="s">
        <v>455</v>
      </c>
      <c r="C10" s="72">
        <f>Simulation!C33</f>
        <v>4260</v>
      </c>
      <c r="D10" s="96" t="e">
        <f ca="1">AVERAGE(INDEX(Log_Forecast!drLogForecast,,$A10))</f>
        <v>#DIV/0!</v>
      </c>
      <c r="F10" s="60" t="s">
        <v>414</v>
      </c>
      <c r="G10" s="72">
        <f ca="1">Simulation!B10</f>
        <v>6127.3519999999999</v>
      </c>
      <c r="I10" s="60" t="s">
        <v>414</v>
      </c>
      <c r="J10" s="72">
        <f ca="1">Simulation!B10</f>
        <v>6127.3519999999999</v>
      </c>
    </row>
    <row r="11" spans="1:10" x14ac:dyDescent="0.25">
      <c r="A11" s="60">
        <f t="shared" si="0"/>
        <v>7</v>
      </c>
      <c r="B11" s="60" t="s">
        <v>456</v>
      </c>
      <c r="C11" s="72">
        <f>Simulation!C34</f>
        <v>5980</v>
      </c>
      <c r="D11" s="96" t="e">
        <f ca="1">AVERAGE(INDEX(Log_Forecast!drLogForecast,,$A11))</f>
        <v>#DIV/0!</v>
      </c>
      <c r="F11" s="60" t="s">
        <v>416</v>
      </c>
      <c r="G11" s="72">
        <f ca="1">Simulation!B11</f>
        <v>3</v>
      </c>
      <c r="I11" s="60" t="s">
        <v>416</v>
      </c>
      <c r="J11" s="72">
        <f ca="1">Simulation!B11</f>
        <v>3</v>
      </c>
    </row>
    <row r="12" spans="1:10" x14ac:dyDescent="0.25">
      <c r="A12" s="60">
        <f t="shared" si="0"/>
        <v>8</v>
      </c>
      <c r="B12" s="60" t="s">
        <v>457</v>
      </c>
      <c r="C12" s="72">
        <f>Simulation!C35</f>
        <v>4410</v>
      </c>
      <c r="D12" s="96" t="e">
        <f ca="1">AVERAGE(INDEX(Log_Forecast!drLogForecast,,$A12))</f>
        <v>#DIV/0!</v>
      </c>
      <c r="F12" s="60" t="s">
        <v>418</v>
      </c>
      <c r="G12" s="72">
        <f ca="1">Simulation!B12</f>
        <v>-1591</v>
      </c>
      <c r="I12" s="60" t="s">
        <v>418</v>
      </c>
      <c r="J12" s="72">
        <f ca="1">Simulation!B12</f>
        <v>-1591</v>
      </c>
    </row>
    <row r="13" spans="1:10" x14ac:dyDescent="0.25">
      <c r="A13" s="60">
        <f t="shared" si="0"/>
        <v>9</v>
      </c>
      <c r="B13" s="60" t="s">
        <v>458</v>
      </c>
      <c r="C13" s="72">
        <f>Simulation!C36</f>
        <v>11600</v>
      </c>
      <c r="D13" s="96" t="e">
        <f ca="1">AVERAGE(INDEX(Log_Forecast!drLogForecast,,$A13))</f>
        <v>#DIV/0!</v>
      </c>
      <c r="F13" s="60" t="s">
        <v>459</v>
      </c>
      <c r="G13" s="72">
        <f ca="1">crTotalUsage</f>
        <v>70450</v>
      </c>
      <c r="I13" s="60" t="s">
        <v>459</v>
      </c>
      <c r="J13" s="72">
        <f ca="1">crTotalUsage</f>
        <v>70450</v>
      </c>
    </row>
    <row r="14" spans="1:10" x14ac:dyDescent="0.25">
      <c r="A14" s="60">
        <f t="shared" si="0"/>
        <v>10</v>
      </c>
      <c r="B14" s="60" t="s">
        <v>460</v>
      </c>
      <c r="C14" s="72">
        <f>Simulation!C37</f>
        <v>3700</v>
      </c>
      <c r="D14" s="96" t="e">
        <f ca="1">AVERAGE(INDEX(Log_Forecast!drLogForecast,,$A14))</f>
        <v>#DIV/0!</v>
      </c>
      <c r="F14" s="60" t="s">
        <v>420</v>
      </c>
      <c r="G14" s="89">
        <f ca="1">Simulation!B13</f>
        <v>0.97741660752306603</v>
      </c>
      <c r="I14" s="60" t="s">
        <v>420</v>
      </c>
      <c r="J14" s="89">
        <f ca="1">Simulation!B13</f>
        <v>0.97741660752306603</v>
      </c>
    </row>
    <row r="15" spans="1:10" x14ac:dyDescent="0.25">
      <c r="A15" s="60">
        <f t="shared" si="0"/>
        <v>11</v>
      </c>
      <c r="B15" s="60" t="s">
        <v>461</v>
      </c>
      <c r="C15" s="72">
        <f>Simulation!C38</f>
        <v>4190</v>
      </c>
      <c r="D15" s="96" t="e">
        <f ca="1">AVERAGE(INDEX(Log_Forecast!drLogForecast,,$A15))</f>
        <v>#DIV/0!</v>
      </c>
    </row>
    <row r="16" spans="1:10" x14ac:dyDescent="0.25">
      <c r="A16" s="60">
        <f t="shared" si="0"/>
        <v>12</v>
      </c>
      <c r="B16" s="60" t="s">
        <v>462</v>
      </c>
      <c r="C16" s="72">
        <f>Simulation!C39</f>
        <v>2530</v>
      </c>
      <c r="D16" s="96" t="e">
        <f ca="1">AVERAGE(INDEX(Log_Forecast!drLogForecast,,$A16))</f>
        <v>#DIV/0!</v>
      </c>
    </row>
    <row r="17" spans="2:21" x14ac:dyDescent="0.25">
      <c r="B17" s="60" t="s">
        <v>463</v>
      </c>
      <c r="C17" s="95">
        <f ca="1">AVERAGE(Simulation!$A$28:$A$39)</f>
        <v>0.48313319278696126</v>
      </c>
      <c r="D17" s="95"/>
    </row>
    <row r="18" spans="2:21" x14ac:dyDescent="0.25">
      <c r="B18" s="60" t="s">
        <v>464</v>
      </c>
      <c r="C18" s="95">
        <f ca="1">crAct_SL</f>
        <v>0.97741660752306603</v>
      </c>
      <c r="D18" s="95"/>
    </row>
    <row r="19" spans="2:21" x14ac:dyDescent="0.25">
      <c r="B19" s="60" t="s">
        <v>413</v>
      </c>
      <c r="C19" s="72">
        <f>Simulation!B9</f>
        <v>10842.28</v>
      </c>
      <c r="D19" s="72"/>
    </row>
    <row r="20" spans="2:21" x14ac:dyDescent="0.25">
      <c r="B20" s="60" t="s">
        <v>414</v>
      </c>
      <c r="C20" s="72">
        <f ca="1">Simulation!B10</f>
        <v>6127.3519999999999</v>
      </c>
      <c r="D20" s="72"/>
    </row>
    <row r="25" spans="2:21" ht="13" x14ac:dyDescent="0.3">
      <c r="B25" s="66" t="s">
        <v>193</v>
      </c>
      <c r="C25" s="66" t="s">
        <v>437</v>
      </c>
      <c r="D25" s="66" t="s">
        <v>465</v>
      </c>
      <c r="E25" s="66" t="s">
        <v>466</v>
      </c>
      <c r="F25" s="66" t="s">
        <v>439</v>
      </c>
      <c r="G25" s="66" t="s">
        <v>440</v>
      </c>
      <c r="H25" s="65" t="s">
        <v>467</v>
      </c>
      <c r="I25" s="65" t="s">
        <v>468</v>
      </c>
      <c r="J25" s="97" t="s">
        <v>469</v>
      </c>
      <c r="T25" s="97" t="s">
        <v>469</v>
      </c>
    </row>
    <row r="26" spans="2:21" x14ac:dyDescent="0.25">
      <c r="B26" s="60">
        <f ca="1">MONTH(rDataSource)</f>
        <v>3</v>
      </c>
      <c r="C26" s="72">
        <f>Simulation!C28</f>
        <v>6210</v>
      </c>
      <c r="D26" s="60">
        <f ca="1">SUMIF(SourceData!$I$250:$I$505,$B26,SourceData!$K$250:$K$505)-1</f>
        <v>24</v>
      </c>
      <c r="E26" s="98">
        <f t="shared" ref="E26:E37" ca="1" si="1">C26/D26</f>
        <v>258.75</v>
      </c>
      <c r="F26" s="60">
        <f ca="1">Simulation!E28</f>
        <v>4850</v>
      </c>
      <c r="G26" s="60">
        <v>0</v>
      </c>
      <c r="H26" s="60">
        <f ca="1">YEAR(TODAY())-2</f>
        <v>2014</v>
      </c>
      <c r="I26" s="60">
        <f ca="1">VALUE(B26&amp;","&amp;H26)</f>
        <v>3.2014</v>
      </c>
      <c r="J26" s="72">
        <f ca="1">SUMIF(INDEX(StockSimHist[],,12),$I26,INDEX(StockSimHist[],,23))</f>
        <v>0</v>
      </c>
      <c r="K26" s="60">
        <v>1</v>
      </c>
      <c r="L26" s="60">
        <f t="shared" ref="L26:L37" ca="1" si="2">B26</f>
        <v>3</v>
      </c>
      <c r="T26" s="72">
        <f t="shared" ref="T26:T37" ca="1" si="3">J26</f>
        <v>0</v>
      </c>
      <c r="U26" s="60">
        <v>1</v>
      </c>
    </row>
    <row r="27" spans="2:21" x14ac:dyDescent="0.25">
      <c r="B27" s="60">
        <f ca="1">IF(B26=12,1,B26+1)</f>
        <v>4</v>
      </c>
      <c r="C27" s="60">
        <f>Simulation!C29</f>
        <v>4370</v>
      </c>
      <c r="D27" s="60">
        <f ca="1">SUMIF(SourceData!$I$250:$I$505,$B27,SourceData!$K$250:$K$505)</f>
        <v>21</v>
      </c>
      <c r="E27" s="98">
        <f t="shared" ca="1" si="1"/>
        <v>208.0952380952381</v>
      </c>
      <c r="F27" s="60">
        <f ca="1">Simulation!E29</f>
        <v>4190</v>
      </c>
      <c r="G27" s="60">
        <v>3</v>
      </c>
      <c r="H27" s="60">
        <f ca="1">IF(B27=1,H26+1,H26)</f>
        <v>2014</v>
      </c>
      <c r="I27" s="60">
        <f t="shared" ref="I27:I37" ca="1" si="4">VALUE(B27&amp;","&amp;H27)</f>
        <v>4.2013999999999996</v>
      </c>
      <c r="J27" s="72">
        <f ca="1">SUMIF(INDEX(StockSimHist[],,12),$I27,INDEX(StockSimHist[],,23))</f>
        <v>0</v>
      </c>
      <c r="K27" s="60">
        <f>IF(K26=12,1,K26+1)</f>
        <v>2</v>
      </c>
      <c r="L27" s="60">
        <f t="shared" ca="1" si="2"/>
        <v>4</v>
      </c>
      <c r="T27" s="72">
        <f t="shared" ca="1" si="3"/>
        <v>0</v>
      </c>
      <c r="U27" s="60">
        <f>IF(U26=12,1,U26+1)</f>
        <v>2</v>
      </c>
    </row>
    <row r="28" spans="2:21" x14ac:dyDescent="0.25">
      <c r="B28" s="60">
        <f t="shared" ref="B28:B37" ca="1" si="5">IF(B27=12,1,B27+1)</f>
        <v>5</v>
      </c>
      <c r="C28" s="60">
        <f>Simulation!C30</f>
        <v>4600</v>
      </c>
      <c r="D28" s="60">
        <f ca="1">SUMIF(SourceData!$I$250:$I$505,$B28,SourceData!$K$250:$K$505)</f>
        <v>19</v>
      </c>
      <c r="E28" s="98">
        <f t="shared" ca="1" si="1"/>
        <v>242.10526315789474</v>
      </c>
      <c r="F28" s="60">
        <f ca="1">Simulation!E30</f>
        <v>2530</v>
      </c>
      <c r="G28" s="60">
        <v>4</v>
      </c>
      <c r="H28" s="60">
        <f t="shared" ref="H28:H37" ca="1" si="6">IF(B28=1,H27+1,H27)</f>
        <v>2014</v>
      </c>
      <c r="I28" s="60">
        <f t="shared" ca="1" si="4"/>
        <v>5.2013999999999996</v>
      </c>
      <c r="J28" s="72">
        <f ca="1">SUMIF(INDEX(StockSimHist[],,12),$I28,INDEX(StockSimHist[],,23))</f>
        <v>0</v>
      </c>
      <c r="K28" s="60">
        <f t="shared" ref="K28:K61" si="7">IF(K27=12,1,K27+1)</f>
        <v>3</v>
      </c>
      <c r="L28" s="60">
        <f t="shared" ca="1" si="2"/>
        <v>5</v>
      </c>
      <c r="T28" s="72">
        <f t="shared" ca="1" si="3"/>
        <v>0</v>
      </c>
      <c r="U28" s="60">
        <f t="shared" ref="U28:U37" si="8">IF(U27=12,1,U27+1)</f>
        <v>3</v>
      </c>
    </row>
    <row r="29" spans="2:21" x14ac:dyDescent="0.25">
      <c r="B29" s="60">
        <f t="shared" ca="1" si="5"/>
        <v>6</v>
      </c>
      <c r="C29" s="60">
        <f>Simulation!C31</f>
        <v>9550</v>
      </c>
      <c r="D29" s="60">
        <f ca="1">SUMIF(SourceData!$I$250:$I$505,$B29,SourceData!$K$250:$K$505)</f>
        <v>21</v>
      </c>
      <c r="E29" s="98">
        <f t="shared" ca="1" si="1"/>
        <v>454.76190476190476</v>
      </c>
      <c r="F29" s="60">
        <f ca="1">Simulation!E31</f>
        <v>5060</v>
      </c>
      <c r="G29" s="60">
        <v>11</v>
      </c>
      <c r="H29" s="60">
        <f t="shared" ca="1" si="6"/>
        <v>2014</v>
      </c>
      <c r="I29" s="60">
        <f t="shared" ca="1" si="4"/>
        <v>6.2013999999999996</v>
      </c>
      <c r="J29" s="72">
        <f ca="1">SUMIF(INDEX(StockSimHist[],,12),$I29,INDEX(StockSimHist[],,23))</f>
        <v>0</v>
      </c>
      <c r="K29" s="60">
        <f t="shared" si="7"/>
        <v>4</v>
      </c>
      <c r="L29" s="60">
        <f t="shared" ca="1" si="2"/>
        <v>6</v>
      </c>
      <c r="T29" s="72">
        <f t="shared" ca="1" si="3"/>
        <v>0</v>
      </c>
      <c r="U29" s="60">
        <f t="shared" si="8"/>
        <v>4</v>
      </c>
    </row>
    <row r="30" spans="2:21" x14ac:dyDescent="0.25">
      <c r="B30" s="60">
        <f t="shared" ca="1" si="5"/>
        <v>7</v>
      </c>
      <c r="C30" s="60">
        <f>Simulation!C32</f>
        <v>9050</v>
      </c>
      <c r="D30" s="60">
        <f ca="1">SUMIF(SourceData!$I$250:$I$505,$B30,SourceData!$K$250:$K$505)</f>
        <v>22</v>
      </c>
      <c r="E30" s="98">
        <f t="shared" ca="1" si="1"/>
        <v>411.36363636363637</v>
      </c>
      <c r="F30" s="60">
        <f ca="1">Simulation!E32</f>
        <v>4370</v>
      </c>
      <c r="G30" s="60">
        <v>1</v>
      </c>
      <c r="H30" s="60">
        <f t="shared" ca="1" si="6"/>
        <v>2014</v>
      </c>
      <c r="I30" s="60">
        <f t="shared" ca="1" si="4"/>
        <v>7.2013999999999996</v>
      </c>
      <c r="J30" s="72">
        <f ca="1">SUMIF(INDEX(StockSimHist[],,12),$I30,INDEX(StockSimHist[],,23))</f>
        <v>0</v>
      </c>
      <c r="K30" s="60">
        <f t="shared" si="7"/>
        <v>5</v>
      </c>
      <c r="L30" s="60">
        <f t="shared" ca="1" si="2"/>
        <v>7</v>
      </c>
      <c r="T30" s="72">
        <f t="shared" ca="1" si="3"/>
        <v>0</v>
      </c>
      <c r="U30" s="60">
        <f t="shared" si="8"/>
        <v>5</v>
      </c>
    </row>
    <row r="31" spans="2:21" x14ac:dyDescent="0.25">
      <c r="B31" s="60">
        <f t="shared" ca="1" si="5"/>
        <v>8</v>
      </c>
      <c r="C31" s="60">
        <f>Simulation!C33</f>
        <v>4260</v>
      </c>
      <c r="D31" s="60">
        <f ca="1">SUMIF(SourceData!$I$250:$I$505,$B31,SourceData!$K$250:$K$505)</f>
        <v>23</v>
      </c>
      <c r="E31" s="98">
        <f t="shared" ca="1" si="1"/>
        <v>185.21739130434781</v>
      </c>
      <c r="F31" s="60">
        <f ca="1">Simulation!E33</f>
        <v>4600</v>
      </c>
      <c r="G31" s="60">
        <v>1</v>
      </c>
      <c r="H31" s="60">
        <f t="shared" ca="1" si="6"/>
        <v>2014</v>
      </c>
      <c r="I31" s="60">
        <f t="shared" ca="1" si="4"/>
        <v>8.2013999999999996</v>
      </c>
      <c r="J31" s="72">
        <f ca="1">SUMIF(INDEX(StockSimHist[],,12),$I31,INDEX(StockSimHist[],,23))</f>
        <v>0</v>
      </c>
      <c r="K31" s="60">
        <f t="shared" si="7"/>
        <v>6</v>
      </c>
      <c r="L31" s="60">
        <f t="shared" ca="1" si="2"/>
        <v>8</v>
      </c>
      <c r="T31" s="72">
        <f t="shared" ca="1" si="3"/>
        <v>0</v>
      </c>
      <c r="U31" s="60">
        <f t="shared" si="8"/>
        <v>6</v>
      </c>
    </row>
    <row r="32" spans="2:21" x14ac:dyDescent="0.25">
      <c r="B32" s="60">
        <f t="shared" ca="1" si="5"/>
        <v>9</v>
      </c>
      <c r="C32" s="60">
        <f>Simulation!C34</f>
        <v>5980</v>
      </c>
      <c r="D32" s="60">
        <f ca="1">SUMIF(SourceData!$I$250:$I$505,$B32,SourceData!$K$250:$K$505)</f>
        <v>20</v>
      </c>
      <c r="E32" s="98">
        <f t="shared" ca="1" si="1"/>
        <v>299</v>
      </c>
      <c r="F32" s="60">
        <f ca="1">Simulation!E34</f>
        <v>9550</v>
      </c>
      <c r="G32" s="60">
        <v>1</v>
      </c>
      <c r="H32" s="60">
        <f t="shared" ca="1" si="6"/>
        <v>2014</v>
      </c>
      <c r="I32" s="60">
        <f t="shared" ca="1" si="4"/>
        <v>9.2013999999999996</v>
      </c>
      <c r="J32" s="72">
        <f ca="1">SUMIF(INDEX(StockSimHist[],,12),$I32,INDEX(StockSimHist[],,23))</f>
        <v>0</v>
      </c>
      <c r="K32" s="60">
        <f t="shared" si="7"/>
        <v>7</v>
      </c>
      <c r="L32" s="60">
        <f t="shared" ca="1" si="2"/>
        <v>9</v>
      </c>
      <c r="T32" s="72">
        <f t="shared" ca="1" si="3"/>
        <v>0</v>
      </c>
      <c r="U32" s="60">
        <f t="shared" si="8"/>
        <v>7</v>
      </c>
    </row>
    <row r="33" spans="1:30" x14ac:dyDescent="0.25">
      <c r="B33" s="60">
        <f t="shared" ca="1" si="5"/>
        <v>10</v>
      </c>
      <c r="C33" s="60">
        <f>Simulation!C35</f>
        <v>4410</v>
      </c>
      <c r="D33" s="60">
        <f ca="1">SUMIF(SourceData!$I$250:$I$505,$B33,SourceData!$K$250:$K$505)</f>
        <v>23</v>
      </c>
      <c r="E33" s="98">
        <f t="shared" ca="1" si="1"/>
        <v>191.7391304347826</v>
      </c>
      <c r="F33" s="60">
        <f ca="1">Simulation!E35</f>
        <v>9050</v>
      </c>
      <c r="G33" s="60">
        <v>20</v>
      </c>
      <c r="H33" s="60">
        <f t="shared" ca="1" si="6"/>
        <v>2014</v>
      </c>
      <c r="I33" s="60">
        <f t="shared" ca="1" si="4"/>
        <v>10.2014</v>
      </c>
      <c r="J33" s="72">
        <f ca="1">SUMIF(INDEX(StockSimHist[],,12),$I33,INDEX(StockSimHist[],,23))</f>
        <v>0</v>
      </c>
      <c r="K33" s="60">
        <f t="shared" si="7"/>
        <v>8</v>
      </c>
      <c r="L33" s="60">
        <f t="shared" ca="1" si="2"/>
        <v>10</v>
      </c>
      <c r="T33" s="72">
        <f t="shared" ca="1" si="3"/>
        <v>0</v>
      </c>
      <c r="U33" s="60">
        <f t="shared" si="8"/>
        <v>8</v>
      </c>
    </row>
    <row r="34" spans="1:30" x14ac:dyDescent="0.25">
      <c r="B34" s="60">
        <f t="shared" ca="1" si="5"/>
        <v>11</v>
      </c>
      <c r="C34" s="60">
        <f>Simulation!C36</f>
        <v>11600</v>
      </c>
      <c r="D34" s="60">
        <f ca="1">SUMIF(SourceData!$I$250:$I$505,$B34,SourceData!$K$250:$K$505)</f>
        <v>22</v>
      </c>
      <c r="E34" s="98">
        <f t="shared" ca="1" si="1"/>
        <v>527.27272727272725</v>
      </c>
      <c r="F34" s="60">
        <f ca="1">Simulation!E36</f>
        <v>4260</v>
      </c>
      <c r="G34" s="60">
        <v>67</v>
      </c>
      <c r="H34" s="60">
        <f t="shared" ca="1" si="6"/>
        <v>2014</v>
      </c>
      <c r="I34" s="60">
        <f t="shared" ca="1" si="4"/>
        <v>11.2014</v>
      </c>
      <c r="J34" s="72">
        <f ca="1">SUMIF(INDEX(StockSimHist[],,12),$I34,INDEX(StockSimHist[],,23))</f>
        <v>0</v>
      </c>
      <c r="K34" s="60">
        <f t="shared" si="7"/>
        <v>9</v>
      </c>
      <c r="L34" s="60">
        <f t="shared" ca="1" si="2"/>
        <v>11</v>
      </c>
      <c r="T34" s="72">
        <f t="shared" ca="1" si="3"/>
        <v>0</v>
      </c>
      <c r="U34" s="60">
        <f t="shared" si="8"/>
        <v>9</v>
      </c>
    </row>
    <row r="35" spans="1:30" x14ac:dyDescent="0.25">
      <c r="B35" s="60">
        <f t="shared" ca="1" si="5"/>
        <v>12</v>
      </c>
      <c r="C35" s="60">
        <f>Simulation!C37</f>
        <v>3700</v>
      </c>
      <c r="D35" s="60">
        <f ca="1">SUMIF(SourceData!$I$250:$I$505,$B35,SourceData!$K$250:$K$505)</f>
        <v>17</v>
      </c>
      <c r="E35" s="98">
        <f t="shared" ca="1" si="1"/>
        <v>217.64705882352942</v>
      </c>
      <c r="F35" s="60">
        <f ca="1">Simulation!E37</f>
        <v>5980</v>
      </c>
      <c r="G35" s="60">
        <v>21</v>
      </c>
      <c r="H35" s="60">
        <f t="shared" ca="1" si="6"/>
        <v>2014</v>
      </c>
      <c r="I35" s="60">
        <f t="shared" ca="1" si="4"/>
        <v>12.2014</v>
      </c>
      <c r="J35" s="72">
        <f ca="1">SUMIF(INDEX(StockSimHist[],,12),$I35,INDEX(StockSimHist[],,23))</f>
        <v>0</v>
      </c>
      <c r="K35" s="60">
        <f t="shared" si="7"/>
        <v>10</v>
      </c>
      <c r="L35" s="60">
        <f t="shared" ca="1" si="2"/>
        <v>12</v>
      </c>
      <c r="T35" s="72">
        <f t="shared" ca="1" si="3"/>
        <v>0</v>
      </c>
      <c r="U35" s="60">
        <f t="shared" si="8"/>
        <v>10</v>
      </c>
    </row>
    <row r="36" spans="1:30" x14ac:dyDescent="0.25">
      <c r="B36" s="60">
        <f t="shared" ca="1" si="5"/>
        <v>1</v>
      </c>
      <c r="C36" s="60">
        <f>Simulation!C38</f>
        <v>4190</v>
      </c>
      <c r="D36" s="60">
        <f ca="1">SUMIF(SourceData!$I$250:$I$505,$B36,SourceData!$K$250:$K$505)</f>
        <v>23</v>
      </c>
      <c r="E36" s="98">
        <f t="shared" ca="1" si="1"/>
        <v>182.17391304347825</v>
      </c>
      <c r="F36" s="60">
        <f ca="1">Simulation!E38</f>
        <v>4410</v>
      </c>
      <c r="G36" s="60">
        <v>8</v>
      </c>
      <c r="H36" s="60">
        <f t="shared" ca="1" si="6"/>
        <v>2015</v>
      </c>
      <c r="I36" s="60">
        <f ca="1">VALUE(B36&amp;","&amp;H36)</f>
        <v>1.2015</v>
      </c>
      <c r="J36" s="72">
        <f ca="1">SUMIF(INDEX(StockSimHist[],,12),$I36,INDEX(StockSimHist[],,23))</f>
        <v>0</v>
      </c>
      <c r="K36" s="60">
        <f t="shared" si="7"/>
        <v>11</v>
      </c>
      <c r="L36" s="60">
        <f t="shared" ca="1" si="2"/>
        <v>1</v>
      </c>
      <c r="T36" s="72">
        <f t="shared" ca="1" si="3"/>
        <v>0</v>
      </c>
      <c r="U36" s="60">
        <f t="shared" si="8"/>
        <v>11</v>
      </c>
    </row>
    <row r="37" spans="1:30" x14ac:dyDescent="0.25">
      <c r="B37" s="68">
        <f t="shared" ca="1" si="5"/>
        <v>2</v>
      </c>
      <c r="C37" s="68">
        <f>Simulation!C39</f>
        <v>2530</v>
      </c>
      <c r="D37" s="68">
        <f ca="1">SUMIF(SourceData!$I$250:$I$505,$B37,SourceData!$K$250:$K$505)</f>
        <v>20</v>
      </c>
      <c r="E37" s="99">
        <f t="shared" ca="1" si="1"/>
        <v>126.5</v>
      </c>
      <c r="F37" s="68">
        <f ca="1">Simulation!E39</f>
        <v>11600</v>
      </c>
      <c r="G37" s="68">
        <v>1</v>
      </c>
      <c r="H37" s="68">
        <f t="shared" ca="1" si="6"/>
        <v>2015</v>
      </c>
      <c r="I37" s="60">
        <f t="shared" ca="1" si="4"/>
        <v>2.2014999999999998</v>
      </c>
      <c r="J37" s="72">
        <f ca="1">SUMIF(INDEX(StockSimHist[],,12),$I37,INDEX(StockSimHist[],,23))</f>
        <v>0</v>
      </c>
      <c r="K37" s="60">
        <f t="shared" si="7"/>
        <v>12</v>
      </c>
      <c r="L37" s="60">
        <f t="shared" ca="1" si="2"/>
        <v>2</v>
      </c>
      <c r="T37" s="72">
        <f t="shared" ca="1" si="3"/>
        <v>0</v>
      </c>
      <c r="U37" s="60">
        <f t="shared" si="8"/>
        <v>12</v>
      </c>
      <c r="AC37" s="72">
        <f ca="1">SUM(J26:J37)</f>
        <v>0</v>
      </c>
      <c r="AD37" s="60">
        <v>1</v>
      </c>
    </row>
    <row r="38" spans="1:30" ht="13" x14ac:dyDescent="0.3">
      <c r="B38" s="75" t="s">
        <v>441</v>
      </c>
      <c r="C38" s="63">
        <f t="shared" ref="C38:D38" si="9">SUM(C26:C37)</f>
        <v>70450</v>
      </c>
      <c r="D38" s="63">
        <f t="shared" ca="1" si="9"/>
        <v>255</v>
      </c>
      <c r="E38" s="100">
        <f ca="1">C38/D38</f>
        <v>276.27450980392155</v>
      </c>
      <c r="F38" s="63">
        <f t="shared" ref="F38:G38" ca="1" si="10">SUM(F26:F37)</f>
        <v>70450</v>
      </c>
      <c r="G38" s="63">
        <f t="shared" si="10"/>
        <v>138</v>
      </c>
      <c r="J38" s="72">
        <f>SUMIF(INDEX(StockSimHist[],,12),$I38,INDEX(StockSimHist[],,23))</f>
        <v>0</v>
      </c>
      <c r="K38" s="60">
        <f>K37+1</f>
        <v>13</v>
      </c>
      <c r="L38" s="60">
        <f t="shared" ref="L38:L61" ca="1" si="11">L26</f>
        <v>3</v>
      </c>
      <c r="M38" s="72">
        <f t="shared" ref="M38:M61" ca="1" si="12">SLOPE(J26:J37,K26:K37)</f>
        <v>0</v>
      </c>
      <c r="N38" s="72">
        <f ca="1">SUM(J26:J37)+M38*12</f>
        <v>0</v>
      </c>
      <c r="O38" s="72">
        <f t="shared" ref="O38:O61" ca="1" si="13">N38/12</f>
        <v>0</v>
      </c>
      <c r="P38" s="72">
        <f ca="1">IF(TREND(J26:J37,K26:K37,K38)&lt;0,0,TREND(J26:J37,K26:K37,K38))</f>
        <v>0</v>
      </c>
      <c r="Q38" s="72">
        <f t="shared" ref="Q38:Q61" ca="1" si="14">P38*12</f>
        <v>0</v>
      </c>
      <c r="R38" s="72">
        <f t="shared" ref="R38:R61" ca="1" si="15">AVERAGE(O38:P38)</f>
        <v>0</v>
      </c>
      <c r="S38" s="131"/>
      <c r="T38" s="72">
        <f ca="1">AB38</f>
        <v>0</v>
      </c>
      <c r="U38" s="60">
        <f>U37+1</f>
        <v>13</v>
      </c>
      <c r="V38" s="72">
        <f ca="1">L38</f>
        <v>3</v>
      </c>
      <c r="W38" s="72">
        <f t="shared" ref="W38:W49" ca="1" si="16">SLOPE(T26:T37,U26:U37)</f>
        <v>0</v>
      </c>
      <c r="X38" s="72">
        <f ca="1">SUM(T26:T37)+W38*12</f>
        <v>0</v>
      </c>
      <c r="Y38" s="72">
        <f t="shared" ref="Y38:Y49" ca="1" si="17">X38/12</f>
        <v>0</v>
      </c>
      <c r="Z38" s="72">
        <f ca="1">IF(TREND(T26:T37,U26:U37,U38)&lt;0,0,TREND(T26:T37,U26:U37,U38))</f>
        <v>0</v>
      </c>
      <c r="AA38" s="72">
        <f t="shared" ref="AA38:AA49" ca="1" si="18">Z38*12</f>
        <v>0</v>
      </c>
      <c r="AB38" s="72">
        <f t="shared" ref="AB38:AB49" ca="1" si="19">AVERAGE(Y38:Z38)</f>
        <v>0</v>
      </c>
      <c r="AC38" s="72">
        <f ca="1">SUM(J27:J38)</f>
        <v>0</v>
      </c>
      <c r="AD38" s="60">
        <f>AD37+1</f>
        <v>2</v>
      </c>
    </row>
    <row r="39" spans="1:30" x14ac:dyDescent="0.25">
      <c r="J39" s="72">
        <f>SUMIF(INDEX(StockSimHist[],,12),$I39,INDEX(StockSimHist[],,23))</f>
        <v>0</v>
      </c>
      <c r="K39" s="60">
        <f t="shared" si="7"/>
        <v>14</v>
      </c>
      <c r="L39" s="60">
        <f t="shared" ca="1" si="11"/>
        <v>4</v>
      </c>
      <c r="M39" s="72">
        <f t="shared" ca="1" si="12"/>
        <v>0</v>
      </c>
      <c r="N39" s="72">
        <f t="shared" ref="N39:N49" ca="1" si="20">SUM(J27:J38)+M39*12</f>
        <v>0</v>
      </c>
      <c r="O39" s="72">
        <f t="shared" ca="1" si="13"/>
        <v>0</v>
      </c>
      <c r="P39" s="72">
        <f t="shared" ref="P39:P61" ca="1" si="21">IF(TREND(J27:J38,K27:K38,K39)&lt;0,0,TREND(J27:J38,K27:K38,K39))</f>
        <v>0</v>
      </c>
      <c r="Q39" s="72">
        <f t="shared" ca="1" si="14"/>
        <v>0</v>
      </c>
      <c r="R39" s="72">
        <f t="shared" ca="1" si="15"/>
        <v>0</v>
      </c>
      <c r="S39" s="131"/>
      <c r="T39" s="72">
        <f t="shared" ref="T39:T49" ca="1" si="22">AB39</f>
        <v>0</v>
      </c>
      <c r="U39" s="60">
        <f t="shared" ref="U39:U61" si="23">U38+1</f>
        <v>14</v>
      </c>
      <c r="V39" s="72">
        <f t="shared" ref="V39:V61" ca="1" si="24">L39</f>
        <v>4</v>
      </c>
      <c r="W39" s="72">
        <f t="shared" ca="1" si="16"/>
        <v>0</v>
      </c>
      <c r="X39" s="72">
        <f t="shared" ref="X39:X49" ca="1" si="25">SUM(T27:T38)+W39*12</f>
        <v>0</v>
      </c>
      <c r="Y39" s="72">
        <f t="shared" ca="1" si="17"/>
        <v>0</v>
      </c>
      <c r="Z39" s="72">
        <f t="shared" ref="Z39:Z49" ca="1" si="26">IF(TREND(T27:T38,U27:U38,U39)&lt;0,0,TREND(T27:T38,U27:U38,U39))</f>
        <v>0</v>
      </c>
      <c r="AA39" s="72">
        <f t="shared" ca="1" si="18"/>
        <v>0</v>
      </c>
      <c r="AB39" s="72">
        <f t="shared" ca="1" si="19"/>
        <v>0</v>
      </c>
      <c r="AC39" s="72">
        <f t="shared" ref="AC39:AC49" ca="1" si="27">SUM(J28:J39)</f>
        <v>0</v>
      </c>
      <c r="AD39" s="60">
        <f t="shared" ref="AD39:AD61" si="28">AD38+1</f>
        <v>3</v>
      </c>
    </row>
    <row r="40" spans="1:30" x14ac:dyDescent="0.25">
      <c r="J40" s="72">
        <f>SUMIF(INDEX(StockSimHist[],,12),$I40,INDEX(StockSimHist[],,23))</f>
        <v>0</v>
      </c>
      <c r="K40" s="60">
        <f t="shared" si="7"/>
        <v>15</v>
      </c>
      <c r="L40" s="60">
        <f t="shared" ca="1" si="11"/>
        <v>5</v>
      </c>
      <c r="M40" s="72">
        <f t="shared" ca="1" si="12"/>
        <v>0</v>
      </c>
      <c r="N40" s="72">
        <f t="shared" ca="1" si="20"/>
        <v>0</v>
      </c>
      <c r="O40" s="72">
        <f t="shared" ca="1" si="13"/>
        <v>0</v>
      </c>
      <c r="P40" s="72">
        <f t="shared" ca="1" si="21"/>
        <v>0</v>
      </c>
      <c r="Q40" s="72">
        <f t="shared" ca="1" si="14"/>
        <v>0</v>
      </c>
      <c r="R40" s="72">
        <f t="shared" ca="1" si="15"/>
        <v>0</v>
      </c>
      <c r="S40" s="131"/>
      <c r="T40" s="72">
        <f t="shared" ca="1" si="22"/>
        <v>0</v>
      </c>
      <c r="U40" s="60">
        <f t="shared" si="23"/>
        <v>15</v>
      </c>
      <c r="V40" s="72">
        <f t="shared" ca="1" si="24"/>
        <v>5</v>
      </c>
      <c r="W40" s="72">
        <f t="shared" ca="1" si="16"/>
        <v>0</v>
      </c>
      <c r="X40" s="72">
        <f t="shared" ca="1" si="25"/>
        <v>0</v>
      </c>
      <c r="Y40" s="72">
        <f t="shared" ca="1" si="17"/>
        <v>0</v>
      </c>
      <c r="Z40" s="72">
        <f t="shared" ca="1" si="26"/>
        <v>0</v>
      </c>
      <c r="AA40" s="72">
        <f t="shared" ca="1" si="18"/>
        <v>0</v>
      </c>
      <c r="AB40" s="72">
        <f t="shared" ca="1" si="19"/>
        <v>0</v>
      </c>
      <c r="AC40" s="72">
        <f t="shared" ca="1" si="27"/>
        <v>0</v>
      </c>
      <c r="AD40" s="60">
        <f t="shared" si="28"/>
        <v>4</v>
      </c>
    </row>
    <row r="41" spans="1:30" x14ac:dyDescent="0.25">
      <c r="J41" s="72">
        <f>SUMIF(INDEX(StockSimHist[],,12),$I41,INDEX(StockSimHist[],,23))</f>
        <v>0</v>
      </c>
      <c r="K41" s="60">
        <f t="shared" si="7"/>
        <v>16</v>
      </c>
      <c r="L41" s="60">
        <f t="shared" ca="1" si="11"/>
        <v>6</v>
      </c>
      <c r="M41" s="72">
        <f t="shared" ca="1" si="12"/>
        <v>0</v>
      </c>
      <c r="N41" s="72">
        <f t="shared" ca="1" si="20"/>
        <v>0</v>
      </c>
      <c r="O41" s="72">
        <f t="shared" ca="1" si="13"/>
        <v>0</v>
      </c>
      <c r="P41" s="72">
        <f t="shared" ca="1" si="21"/>
        <v>0</v>
      </c>
      <c r="Q41" s="72">
        <f t="shared" ca="1" si="14"/>
        <v>0</v>
      </c>
      <c r="R41" s="72">
        <f t="shared" ca="1" si="15"/>
        <v>0</v>
      </c>
      <c r="S41" s="131"/>
      <c r="T41" s="72">
        <f t="shared" ca="1" si="22"/>
        <v>0</v>
      </c>
      <c r="U41" s="60">
        <f t="shared" si="23"/>
        <v>16</v>
      </c>
      <c r="V41" s="72">
        <f t="shared" ca="1" si="24"/>
        <v>6</v>
      </c>
      <c r="W41" s="72">
        <f t="shared" ca="1" si="16"/>
        <v>0</v>
      </c>
      <c r="X41" s="72">
        <f t="shared" ca="1" si="25"/>
        <v>0</v>
      </c>
      <c r="Y41" s="72">
        <f t="shared" ca="1" si="17"/>
        <v>0</v>
      </c>
      <c r="Z41" s="72">
        <f t="shared" ca="1" si="26"/>
        <v>0</v>
      </c>
      <c r="AA41" s="72">
        <f t="shared" ca="1" si="18"/>
        <v>0</v>
      </c>
      <c r="AB41" s="72">
        <f t="shared" ca="1" si="19"/>
        <v>0</v>
      </c>
      <c r="AC41" s="72">
        <f t="shared" ca="1" si="27"/>
        <v>0</v>
      </c>
      <c r="AD41" s="60">
        <f t="shared" si="28"/>
        <v>5</v>
      </c>
    </row>
    <row r="42" spans="1:30" x14ac:dyDescent="0.25">
      <c r="J42" s="72">
        <f>SUMIF(INDEX(StockSimHist[],,12),$I42,INDEX(StockSimHist[],,23))</f>
        <v>0</v>
      </c>
      <c r="K42" s="60">
        <f t="shared" si="7"/>
        <v>17</v>
      </c>
      <c r="L42" s="60">
        <f t="shared" ca="1" si="11"/>
        <v>7</v>
      </c>
      <c r="M42" s="72">
        <f t="shared" ca="1" si="12"/>
        <v>0</v>
      </c>
      <c r="N42" s="72">
        <f t="shared" ca="1" si="20"/>
        <v>0</v>
      </c>
      <c r="O42" s="72">
        <f t="shared" ca="1" si="13"/>
        <v>0</v>
      </c>
      <c r="P42" s="72">
        <f t="shared" ca="1" si="21"/>
        <v>0</v>
      </c>
      <c r="Q42" s="72">
        <f t="shared" ca="1" si="14"/>
        <v>0</v>
      </c>
      <c r="R42" s="72">
        <f t="shared" ca="1" si="15"/>
        <v>0</v>
      </c>
      <c r="S42" s="131"/>
      <c r="T42" s="72">
        <f t="shared" ca="1" si="22"/>
        <v>0</v>
      </c>
      <c r="U42" s="60">
        <f t="shared" si="23"/>
        <v>17</v>
      </c>
      <c r="V42" s="72">
        <f t="shared" ca="1" si="24"/>
        <v>7</v>
      </c>
      <c r="W42" s="72">
        <f t="shared" ca="1" si="16"/>
        <v>0</v>
      </c>
      <c r="X42" s="72">
        <f t="shared" ca="1" si="25"/>
        <v>0</v>
      </c>
      <c r="Y42" s="72">
        <f t="shared" ca="1" si="17"/>
        <v>0</v>
      </c>
      <c r="Z42" s="72">
        <f t="shared" ca="1" si="26"/>
        <v>0</v>
      </c>
      <c r="AA42" s="72">
        <f t="shared" ca="1" si="18"/>
        <v>0</v>
      </c>
      <c r="AB42" s="72">
        <f t="shared" ca="1" si="19"/>
        <v>0</v>
      </c>
      <c r="AC42" s="72">
        <f t="shared" ca="1" si="27"/>
        <v>0</v>
      </c>
      <c r="AD42" s="60">
        <f t="shared" si="28"/>
        <v>6</v>
      </c>
    </row>
    <row r="43" spans="1:30" x14ac:dyDescent="0.25">
      <c r="J43" s="72">
        <f>SUMIF(INDEX(StockSimHist[],,12),$I43,INDEX(StockSimHist[],,23))</f>
        <v>0</v>
      </c>
      <c r="K43" s="60">
        <f t="shared" si="7"/>
        <v>18</v>
      </c>
      <c r="L43" s="60">
        <f t="shared" ca="1" si="11"/>
        <v>8</v>
      </c>
      <c r="M43" s="72">
        <f t="shared" ca="1" si="12"/>
        <v>0</v>
      </c>
      <c r="N43" s="72">
        <f t="shared" ca="1" si="20"/>
        <v>0</v>
      </c>
      <c r="O43" s="72">
        <f t="shared" ca="1" si="13"/>
        <v>0</v>
      </c>
      <c r="P43" s="72">
        <f t="shared" ca="1" si="21"/>
        <v>0</v>
      </c>
      <c r="Q43" s="72">
        <f t="shared" ca="1" si="14"/>
        <v>0</v>
      </c>
      <c r="R43" s="72">
        <f t="shared" ca="1" si="15"/>
        <v>0</v>
      </c>
      <c r="S43" s="131"/>
      <c r="T43" s="72">
        <f t="shared" ca="1" si="22"/>
        <v>0</v>
      </c>
      <c r="U43" s="60">
        <f t="shared" si="23"/>
        <v>18</v>
      </c>
      <c r="V43" s="72">
        <f t="shared" ca="1" si="24"/>
        <v>8</v>
      </c>
      <c r="W43" s="72">
        <f t="shared" ca="1" si="16"/>
        <v>0</v>
      </c>
      <c r="X43" s="72">
        <f t="shared" ca="1" si="25"/>
        <v>0</v>
      </c>
      <c r="Y43" s="72">
        <f t="shared" ca="1" si="17"/>
        <v>0</v>
      </c>
      <c r="Z43" s="72">
        <f t="shared" ca="1" si="26"/>
        <v>0</v>
      </c>
      <c r="AA43" s="72">
        <f t="shared" ca="1" si="18"/>
        <v>0</v>
      </c>
      <c r="AB43" s="72">
        <f t="shared" ca="1" si="19"/>
        <v>0</v>
      </c>
      <c r="AC43" s="72">
        <f t="shared" ca="1" si="27"/>
        <v>0</v>
      </c>
      <c r="AD43" s="60">
        <f t="shared" si="28"/>
        <v>7</v>
      </c>
    </row>
    <row r="44" spans="1:30" x14ac:dyDescent="0.25">
      <c r="J44" s="72">
        <f>SUMIF(INDEX(StockSimHist[],,12),$I44,INDEX(StockSimHist[],,23))</f>
        <v>0</v>
      </c>
      <c r="K44" s="60">
        <f t="shared" si="7"/>
        <v>19</v>
      </c>
      <c r="L44" s="60">
        <f t="shared" ca="1" si="11"/>
        <v>9</v>
      </c>
      <c r="M44" s="72">
        <f t="shared" ca="1" si="12"/>
        <v>0</v>
      </c>
      <c r="N44" s="72">
        <f t="shared" ca="1" si="20"/>
        <v>0</v>
      </c>
      <c r="O44" s="72">
        <f t="shared" ca="1" si="13"/>
        <v>0</v>
      </c>
      <c r="P44" s="72">
        <f t="shared" ca="1" si="21"/>
        <v>0</v>
      </c>
      <c r="Q44" s="72">
        <f t="shared" ca="1" si="14"/>
        <v>0</v>
      </c>
      <c r="R44" s="72">
        <f t="shared" ca="1" si="15"/>
        <v>0</v>
      </c>
      <c r="S44" s="131"/>
      <c r="T44" s="72">
        <f t="shared" ca="1" si="22"/>
        <v>0</v>
      </c>
      <c r="U44" s="60">
        <f t="shared" si="23"/>
        <v>19</v>
      </c>
      <c r="V44" s="72">
        <f t="shared" ca="1" si="24"/>
        <v>9</v>
      </c>
      <c r="W44" s="72">
        <f t="shared" ca="1" si="16"/>
        <v>0</v>
      </c>
      <c r="X44" s="72">
        <f t="shared" ca="1" si="25"/>
        <v>0</v>
      </c>
      <c r="Y44" s="72">
        <f t="shared" ca="1" si="17"/>
        <v>0</v>
      </c>
      <c r="Z44" s="72">
        <f t="shared" ca="1" si="26"/>
        <v>0</v>
      </c>
      <c r="AA44" s="72">
        <f t="shared" ca="1" si="18"/>
        <v>0</v>
      </c>
      <c r="AB44" s="72">
        <f t="shared" ca="1" si="19"/>
        <v>0</v>
      </c>
      <c r="AC44" s="72">
        <f t="shared" ca="1" si="27"/>
        <v>0</v>
      </c>
      <c r="AD44" s="60">
        <f t="shared" si="28"/>
        <v>8</v>
      </c>
    </row>
    <row r="45" spans="1:30" x14ac:dyDescent="0.25">
      <c r="J45" s="72">
        <f>SUMIF(INDEX(StockSimHist[],,12),$I45,INDEX(StockSimHist[],,23))</f>
        <v>0</v>
      </c>
      <c r="K45" s="60">
        <f t="shared" si="7"/>
        <v>20</v>
      </c>
      <c r="L45" s="60">
        <f t="shared" ca="1" si="11"/>
        <v>10</v>
      </c>
      <c r="M45" s="72">
        <f t="shared" ca="1" si="12"/>
        <v>0</v>
      </c>
      <c r="N45" s="72">
        <f t="shared" ca="1" si="20"/>
        <v>0</v>
      </c>
      <c r="O45" s="72">
        <f t="shared" ca="1" si="13"/>
        <v>0</v>
      </c>
      <c r="P45" s="72">
        <f t="shared" ca="1" si="21"/>
        <v>0</v>
      </c>
      <c r="Q45" s="72">
        <f t="shared" ca="1" si="14"/>
        <v>0</v>
      </c>
      <c r="R45" s="72">
        <f t="shared" ca="1" si="15"/>
        <v>0</v>
      </c>
      <c r="S45" s="131"/>
      <c r="T45" s="72">
        <f t="shared" ca="1" si="22"/>
        <v>0</v>
      </c>
      <c r="U45" s="60">
        <f t="shared" si="23"/>
        <v>20</v>
      </c>
      <c r="V45" s="72">
        <f t="shared" ca="1" si="24"/>
        <v>10</v>
      </c>
      <c r="W45" s="72">
        <f t="shared" ca="1" si="16"/>
        <v>0</v>
      </c>
      <c r="X45" s="72">
        <f t="shared" ca="1" si="25"/>
        <v>0</v>
      </c>
      <c r="Y45" s="72">
        <f t="shared" ca="1" si="17"/>
        <v>0</v>
      </c>
      <c r="Z45" s="72">
        <f t="shared" ca="1" si="26"/>
        <v>0</v>
      </c>
      <c r="AA45" s="72">
        <f t="shared" ca="1" si="18"/>
        <v>0</v>
      </c>
      <c r="AB45" s="72">
        <f t="shared" ca="1" si="19"/>
        <v>0</v>
      </c>
      <c r="AC45" s="72">
        <f t="shared" ca="1" si="27"/>
        <v>0</v>
      </c>
      <c r="AD45" s="60">
        <f t="shared" si="28"/>
        <v>9</v>
      </c>
    </row>
    <row r="46" spans="1:30" x14ac:dyDescent="0.25">
      <c r="J46" s="72">
        <f>SUMIF(INDEX(StockSimHist[],,12),$I46,INDEX(StockSimHist[],,23))</f>
        <v>0</v>
      </c>
      <c r="K46" s="60">
        <f t="shared" si="7"/>
        <v>21</v>
      </c>
      <c r="L46" s="60">
        <f t="shared" ca="1" si="11"/>
        <v>11</v>
      </c>
      <c r="M46" s="72">
        <f t="shared" ca="1" si="12"/>
        <v>0</v>
      </c>
      <c r="N46" s="72">
        <f t="shared" ca="1" si="20"/>
        <v>0</v>
      </c>
      <c r="O46" s="72">
        <f t="shared" ca="1" si="13"/>
        <v>0</v>
      </c>
      <c r="P46" s="72">
        <f t="shared" ca="1" si="21"/>
        <v>0</v>
      </c>
      <c r="Q46" s="72">
        <f t="shared" ca="1" si="14"/>
        <v>0</v>
      </c>
      <c r="R46" s="72">
        <f t="shared" ca="1" si="15"/>
        <v>0</v>
      </c>
      <c r="S46" s="131"/>
      <c r="T46" s="72">
        <f t="shared" ca="1" si="22"/>
        <v>0</v>
      </c>
      <c r="U46" s="60">
        <f t="shared" si="23"/>
        <v>21</v>
      </c>
      <c r="V46" s="72">
        <f t="shared" ca="1" si="24"/>
        <v>11</v>
      </c>
      <c r="W46" s="72">
        <f t="shared" ca="1" si="16"/>
        <v>0</v>
      </c>
      <c r="X46" s="72">
        <f t="shared" ca="1" si="25"/>
        <v>0</v>
      </c>
      <c r="Y46" s="72">
        <f t="shared" ca="1" si="17"/>
        <v>0</v>
      </c>
      <c r="Z46" s="72">
        <f t="shared" ca="1" si="26"/>
        <v>0</v>
      </c>
      <c r="AA46" s="72">
        <f t="shared" ca="1" si="18"/>
        <v>0</v>
      </c>
      <c r="AB46" s="72">
        <f t="shared" ca="1" si="19"/>
        <v>0</v>
      </c>
      <c r="AC46" s="72">
        <f t="shared" ca="1" si="27"/>
        <v>0</v>
      </c>
      <c r="AD46" s="60">
        <f t="shared" si="28"/>
        <v>10</v>
      </c>
    </row>
    <row r="47" spans="1:30" x14ac:dyDescent="0.25">
      <c r="J47" s="72">
        <f>SUMIF(INDEX(StockSimHist[],,12),$I47,INDEX(StockSimHist[],,23))</f>
        <v>0</v>
      </c>
      <c r="K47" s="60">
        <f t="shared" si="7"/>
        <v>22</v>
      </c>
      <c r="L47" s="60">
        <f t="shared" ca="1" si="11"/>
        <v>12</v>
      </c>
      <c r="M47" s="72">
        <f t="shared" ca="1" si="12"/>
        <v>0</v>
      </c>
      <c r="N47" s="72">
        <f t="shared" ca="1" si="20"/>
        <v>0</v>
      </c>
      <c r="O47" s="72">
        <f t="shared" ca="1" si="13"/>
        <v>0</v>
      </c>
      <c r="P47" s="72">
        <f t="shared" ca="1" si="21"/>
        <v>0</v>
      </c>
      <c r="Q47" s="72">
        <f t="shared" ca="1" si="14"/>
        <v>0</v>
      </c>
      <c r="R47" s="72">
        <f t="shared" ca="1" si="15"/>
        <v>0</v>
      </c>
      <c r="S47" s="131"/>
      <c r="T47" s="72">
        <f t="shared" ca="1" si="22"/>
        <v>0</v>
      </c>
      <c r="U47" s="60">
        <f t="shared" si="23"/>
        <v>22</v>
      </c>
      <c r="V47" s="72">
        <f t="shared" ca="1" si="24"/>
        <v>12</v>
      </c>
      <c r="W47" s="72">
        <f t="shared" ca="1" si="16"/>
        <v>0</v>
      </c>
      <c r="X47" s="72">
        <f t="shared" ca="1" si="25"/>
        <v>0</v>
      </c>
      <c r="Y47" s="72">
        <f t="shared" ca="1" si="17"/>
        <v>0</v>
      </c>
      <c r="Z47" s="72">
        <f t="shared" ca="1" si="26"/>
        <v>0</v>
      </c>
      <c r="AA47" s="72">
        <f t="shared" ca="1" si="18"/>
        <v>0</v>
      </c>
      <c r="AB47" s="72">
        <f t="shared" ca="1" si="19"/>
        <v>0</v>
      </c>
      <c r="AC47" s="72">
        <f t="shared" ca="1" si="27"/>
        <v>0</v>
      </c>
      <c r="AD47" s="60">
        <f t="shared" si="28"/>
        <v>11</v>
      </c>
    </row>
    <row r="48" spans="1:30" x14ac:dyDescent="0.25">
      <c r="A48" s="60">
        <f t="shared" ref="A48:A50" ca="1" si="29">A49</f>
        <v>4325</v>
      </c>
      <c r="B48" s="60">
        <v>1</v>
      </c>
      <c r="C48" s="60">
        <f t="shared" ref="C48:C59" ca="1" si="30">VLOOKUP(B48,$B$26:$C$37,2,FALSE)</f>
        <v>4190</v>
      </c>
      <c r="D48" s="72">
        <f t="shared" ref="D48:D59" ca="1" si="31">A48*$C$62</f>
        <v>4551.2260468417317</v>
      </c>
      <c r="E48" s="60">
        <f t="shared" ref="E48:E59" ca="1" si="32">B26</f>
        <v>3</v>
      </c>
      <c r="F48" s="72">
        <f t="shared" ref="F48:F59" ca="1" si="33">VLOOKUP(E48,$B$48:$D$59,3,FALSE)</f>
        <v>4551.2260468417317</v>
      </c>
      <c r="J48" s="72">
        <f>SUMIF(INDEX(StockSimHist[],,12),$I48,INDEX(StockSimHist[],,23))</f>
        <v>0</v>
      </c>
      <c r="K48" s="60">
        <f t="shared" si="7"/>
        <v>23</v>
      </c>
      <c r="L48" s="60">
        <f t="shared" ca="1" si="11"/>
        <v>1</v>
      </c>
      <c r="M48" s="72">
        <f t="shared" ca="1" si="12"/>
        <v>0</v>
      </c>
      <c r="N48" s="72">
        <f t="shared" ca="1" si="20"/>
        <v>0</v>
      </c>
      <c r="O48" s="72">
        <f t="shared" ca="1" si="13"/>
        <v>0</v>
      </c>
      <c r="P48" s="72">
        <f t="shared" ca="1" si="21"/>
        <v>0</v>
      </c>
      <c r="Q48" s="72">
        <f t="shared" ca="1" si="14"/>
        <v>0</v>
      </c>
      <c r="R48" s="72">
        <f t="shared" ca="1" si="15"/>
        <v>0</v>
      </c>
      <c r="S48" s="131"/>
      <c r="T48" s="72">
        <f t="shared" ca="1" si="22"/>
        <v>0</v>
      </c>
      <c r="U48" s="60">
        <f t="shared" si="23"/>
        <v>23</v>
      </c>
      <c r="V48" s="72">
        <f t="shared" ca="1" si="24"/>
        <v>1</v>
      </c>
      <c r="W48" s="72">
        <f t="shared" ca="1" si="16"/>
        <v>0</v>
      </c>
      <c r="X48" s="72">
        <f t="shared" ca="1" si="25"/>
        <v>0</v>
      </c>
      <c r="Y48" s="72">
        <f t="shared" ca="1" si="17"/>
        <v>0</v>
      </c>
      <c r="Z48" s="72">
        <f t="shared" ca="1" si="26"/>
        <v>0</v>
      </c>
      <c r="AA48" s="72">
        <f t="shared" ca="1" si="18"/>
        <v>0</v>
      </c>
      <c r="AB48" s="72">
        <f t="shared" ca="1" si="19"/>
        <v>0</v>
      </c>
      <c r="AC48" s="72">
        <f t="shared" ca="1" si="27"/>
        <v>0</v>
      </c>
      <c r="AD48" s="60">
        <f t="shared" si="28"/>
        <v>12</v>
      </c>
    </row>
    <row r="49" spans="1:30" x14ac:dyDescent="0.25">
      <c r="A49" s="60">
        <f t="shared" ca="1" si="29"/>
        <v>4325</v>
      </c>
      <c r="B49" s="60">
        <v>2</v>
      </c>
      <c r="C49" s="60">
        <f t="shared" ca="1" si="30"/>
        <v>2530</v>
      </c>
      <c r="D49" s="72">
        <f t="shared" ca="1" si="31"/>
        <v>4551.2260468417317</v>
      </c>
      <c r="E49" s="60">
        <f t="shared" ca="1" si="32"/>
        <v>4</v>
      </c>
      <c r="F49" s="72">
        <f t="shared" ca="1" si="33"/>
        <v>4551.2260468417317</v>
      </c>
      <c r="J49" s="72">
        <f>SUMIF(INDEX(StockSimHist[],,12),$I49,INDEX(StockSimHist[],,23))</f>
        <v>0</v>
      </c>
      <c r="K49" s="60">
        <f t="shared" si="7"/>
        <v>24</v>
      </c>
      <c r="L49" s="60">
        <f t="shared" ca="1" si="11"/>
        <v>2</v>
      </c>
      <c r="M49" s="72">
        <f t="shared" ca="1" si="12"/>
        <v>0</v>
      </c>
      <c r="N49" s="72">
        <f t="shared" ca="1" si="20"/>
        <v>0</v>
      </c>
      <c r="O49" s="72">
        <f t="shared" ca="1" si="13"/>
        <v>0</v>
      </c>
      <c r="P49" s="72">
        <f t="shared" ca="1" si="21"/>
        <v>0</v>
      </c>
      <c r="Q49" s="72">
        <f t="shared" ca="1" si="14"/>
        <v>0</v>
      </c>
      <c r="R49" s="72">
        <f t="shared" ca="1" si="15"/>
        <v>0</v>
      </c>
      <c r="S49" s="131"/>
      <c r="T49" s="72">
        <f t="shared" ca="1" si="22"/>
        <v>0</v>
      </c>
      <c r="U49" s="60">
        <f t="shared" si="23"/>
        <v>24</v>
      </c>
      <c r="V49" s="72">
        <f t="shared" ca="1" si="24"/>
        <v>2</v>
      </c>
      <c r="W49" s="72">
        <f t="shared" ca="1" si="16"/>
        <v>0</v>
      </c>
      <c r="X49" s="72">
        <f t="shared" ca="1" si="25"/>
        <v>0</v>
      </c>
      <c r="Y49" s="72">
        <f t="shared" ca="1" si="17"/>
        <v>0</v>
      </c>
      <c r="Z49" s="72">
        <f t="shared" ca="1" si="26"/>
        <v>0</v>
      </c>
      <c r="AA49" s="72">
        <f t="shared" ca="1" si="18"/>
        <v>0</v>
      </c>
      <c r="AB49" s="72">
        <f t="shared" ca="1" si="19"/>
        <v>0</v>
      </c>
      <c r="AC49" s="72">
        <f t="shared" si="27"/>
        <v>0</v>
      </c>
      <c r="AD49" s="60">
        <f t="shared" si="28"/>
        <v>13</v>
      </c>
    </row>
    <row r="50" spans="1:30" x14ac:dyDescent="0.25">
      <c r="A50" s="60">
        <f t="shared" ca="1" si="29"/>
        <v>4325</v>
      </c>
      <c r="B50" s="60">
        <v>3</v>
      </c>
      <c r="C50" s="60">
        <f t="shared" ca="1" si="30"/>
        <v>6210</v>
      </c>
      <c r="D50" s="72">
        <f t="shared" ca="1" si="31"/>
        <v>4551.2260468417317</v>
      </c>
      <c r="E50" s="60">
        <f t="shared" ca="1" si="32"/>
        <v>5</v>
      </c>
      <c r="F50" s="72">
        <f t="shared" ca="1" si="33"/>
        <v>8137.8377099597819</v>
      </c>
      <c r="J50" s="72">
        <f>SUMIF(INDEX(StockSimHist[],,12),$I50,INDEX(StockSimHist[],,23))</f>
        <v>0</v>
      </c>
      <c r="K50" s="60">
        <f t="shared" si="7"/>
        <v>25</v>
      </c>
      <c r="L50" s="60">
        <f t="shared" ca="1" si="11"/>
        <v>3</v>
      </c>
      <c r="M50" s="72">
        <f t="shared" si="12"/>
        <v>0</v>
      </c>
      <c r="N50" s="72">
        <f t="shared" ref="N50:N61" si="34">SUM(J38:J49)+M50*12</f>
        <v>0</v>
      </c>
      <c r="O50" s="72">
        <f t="shared" si="13"/>
        <v>0</v>
      </c>
      <c r="P50" s="72">
        <f t="shared" si="21"/>
        <v>0</v>
      </c>
      <c r="Q50" s="72">
        <f t="shared" si="14"/>
        <v>0</v>
      </c>
      <c r="R50" s="72">
        <f t="shared" si="15"/>
        <v>0</v>
      </c>
      <c r="U50" s="60">
        <f t="shared" si="23"/>
        <v>25</v>
      </c>
      <c r="V50" s="72">
        <f t="shared" ca="1" si="24"/>
        <v>3</v>
      </c>
      <c r="AC50" s="72">
        <f ca="1">TREND(AC38:AC49,AD38:AD49,AD50)</f>
        <v>0</v>
      </c>
      <c r="AD50" s="60">
        <f t="shared" si="28"/>
        <v>14</v>
      </c>
    </row>
    <row r="51" spans="1:30" x14ac:dyDescent="0.25">
      <c r="A51" s="72">
        <f ca="1">AVERAGE(C48:C51)</f>
        <v>4325</v>
      </c>
      <c r="B51" s="60">
        <v>4</v>
      </c>
      <c r="C51" s="60">
        <f t="shared" ca="1" si="30"/>
        <v>4370</v>
      </c>
      <c r="D51" s="72">
        <f t="shared" ca="1" si="31"/>
        <v>4551.2260468417317</v>
      </c>
      <c r="E51" s="60">
        <f t="shared" ca="1" si="32"/>
        <v>6</v>
      </c>
      <c r="F51" s="72">
        <f t="shared" ca="1" si="33"/>
        <v>8137.8377099597819</v>
      </c>
      <c r="J51" s="72">
        <f>SUMIF(INDEX(StockSimHist[],,12),$I51,INDEX(StockSimHist[],,23))</f>
        <v>0</v>
      </c>
      <c r="K51" s="60">
        <f t="shared" si="7"/>
        <v>26</v>
      </c>
      <c r="L51" s="60">
        <f t="shared" ca="1" si="11"/>
        <v>4</v>
      </c>
      <c r="M51" s="72">
        <f t="shared" si="12"/>
        <v>0</v>
      </c>
      <c r="N51" s="72">
        <f t="shared" si="34"/>
        <v>0</v>
      </c>
      <c r="O51" s="72">
        <f t="shared" si="13"/>
        <v>0</v>
      </c>
      <c r="P51" s="72">
        <f t="shared" si="21"/>
        <v>0</v>
      </c>
      <c r="Q51" s="72">
        <f t="shared" si="14"/>
        <v>0</v>
      </c>
      <c r="R51" s="72">
        <f t="shared" si="15"/>
        <v>0</v>
      </c>
      <c r="U51" s="60">
        <f t="shared" si="23"/>
        <v>26</v>
      </c>
      <c r="V51" s="72">
        <f t="shared" ca="1" si="24"/>
        <v>4</v>
      </c>
      <c r="AB51" s="72">
        <f ca="1">SUM(AB38:AB49)</f>
        <v>0</v>
      </c>
      <c r="AC51" s="72">
        <f t="shared" ref="AC51:AC61" ca="1" si="35">TREND(AC39:AC50,AD39:AD50,AD51)</f>
        <v>0</v>
      </c>
      <c r="AD51" s="60">
        <f t="shared" si="28"/>
        <v>15</v>
      </c>
    </row>
    <row r="52" spans="1:30" x14ac:dyDescent="0.25">
      <c r="A52" s="60">
        <f t="shared" ref="A52:A53" ca="1" si="36">A53</f>
        <v>7733.333333333333</v>
      </c>
      <c r="B52" s="60">
        <v>5</v>
      </c>
      <c r="C52" s="60">
        <f t="shared" ca="1" si="30"/>
        <v>4600</v>
      </c>
      <c r="D52" s="72">
        <f t="shared" ca="1" si="31"/>
        <v>8137.8377099597819</v>
      </c>
      <c r="E52" s="60">
        <f t="shared" ca="1" si="32"/>
        <v>7</v>
      </c>
      <c r="F52" s="72">
        <f t="shared" ca="1" si="33"/>
        <v>8137.8377099597819</v>
      </c>
      <c r="J52" s="72">
        <f>SUMIF(INDEX(StockSimHist[],,12),$I52,INDEX(StockSimHist[],,23))</f>
        <v>0</v>
      </c>
      <c r="K52" s="60">
        <f t="shared" si="7"/>
        <v>27</v>
      </c>
      <c r="L52" s="60">
        <f t="shared" ca="1" si="11"/>
        <v>5</v>
      </c>
      <c r="M52" s="72">
        <f t="shared" si="12"/>
        <v>0</v>
      </c>
      <c r="N52" s="72">
        <f t="shared" si="34"/>
        <v>0</v>
      </c>
      <c r="O52" s="72">
        <f t="shared" si="13"/>
        <v>0</v>
      </c>
      <c r="P52" s="72">
        <f t="shared" si="21"/>
        <v>0</v>
      </c>
      <c r="Q52" s="72">
        <f t="shared" si="14"/>
        <v>0</v>
      </c>
      <c r="R52" s="72">
        <f t="shared" si="15"/>
        <v>0</v>
      </c>
      <c r="U52" s="60">
        <f t="shared" si="23"/>
        <v>27</v>
      </c>
      <c r="V52" s="72">
        <f t="shared" ca="1" si="24"/>
        <v>5</v>
      </c>
      <c r="AC52" s="72">
        <f t="shared" ca="1" si="35"/>
        <v>0</v>
      </c>
      <c r="AD52" s="60">
        <f t="shared" si="28"/>
        <v>16</v>
      </c>
    </row>
    <row r="53" spans="1:30" x14ac:dyDescent="0.25">
      <c r="A53" s="60">
        <f t="shared" ca="1" si="36"/>
        <v>7733.333333333333</v>
      </c>
      <c r="B53" s="60">
        <v>6</v>
      </c>
      <c r="C53" s="60">
        <f t="shared" ca="1" si="30"/>
        <v>9550</v>
      </c>
      <c r="D53" s="72">
        <f t="shared" ca="1" si="31"/>
        <v>8137.8377099597819</v>
      </c>
      <c r="E53" s="60">
        <f t="shared" ca="1" si="32"/>
        <v>8</v>
      </c>
      <c r="F53" s="72">
        <f t="shared" ca="1" si="33"/>
        <v>6303.3165365507448</v>
      </c>
      <c r="J53" s="72">
        <f>SUMIF(INDEX(StockSimHist[],,12),$I53,INDEX(StockSimHist[],,23))</f>
        <v>0</v>
      </c>
      <c r="K53" s="60">
        <f t="shared" si="7"/>
        <v>28</v>
      </c>
      <c r="L53" s="60">
        <f t="shared" ca="1" si="11"/>
        <v>6</v>
      </c>
      <c r="M53" s="72">
        <f t="shared" si="12"/>
        <v>0</v>
      </c>
      <c r="N53" s="72">
        <f t="shared" si="34"/>
        <v>0</v>
      </c>
      <c r="O53" s="72">
        <f t="shared" si="13"/>
        <v>0</v>
      </c>
      <c r="P53" s="72">
        <f t="shared" si="21"/>
        <v>0</v>
      </c>
      <c r="Q53" s="72">
        <f t="shared" si="14"/>
        <v>0</v>
      </c>
      <c r="R53" s="72">
        <f t="shared" si="15"/>
        <v>0</v>
      </c>
      <c r="U53" s="60">
        <f t="shared" si="23"/>
        <v>28</v>
      </c>
      <c r="V53" s="72">
        <f t="shared" ca="1" si="24"/>
        <v>6</v>
      </c>
      <c r="AC53" s="72">
        <f t="shared" ca="1" si="35"/>
        <v>0</v>
      </c>
      <c r="AD53" s="60">
        <f t="shared" si="28"/>
        <v>17</v>
      </c>
    </row>
    <row r="54" spans="1:30" x14ac:dyDescent="0.25">
      <c r="A54" s="72">
        <f ca="1">AVERAGE(C52:C54)</f>
        <v>7733.333333333333</v>
      </c>
      <c r="B54" s="60">
        <v>7</v>
      </c>
      <c r="C54" s="60">
        <f t="shared" ca="1" si="30"/>
        <v>9050</v>
      </c>
      <c r="D54" s="72">
        <f t="shared" ca="1" si="31"/>
        <v>8137.8377099597819</v>
      </c>
      <c r="E54" s="60">
        <f t="shared" ca="1" si="32"/>
        <v>9</v>
      </c>
      <c r="F54" s="72">
        <f t="shared" ca="1" si="33"/>
        <v>6303.3165365507448</v>
      </c>
      <c r="J54" s="72">
        <f>SUMIF(INDEX(StockSimHist[],,12),$I54,INDEX(StockSimHist[],,23))</f>
        <v>0</v>
      </c>
      <c r="K54" s="60">
        <f t="shared" si="7"/>
        <v>29</v>
      </c>
      <c r="L54" s="60">
        <f t="shared" ca="1" si="11"/>
        <v>7</v>
      </c>
      <c r="M54" s="72">
        <f t="shared" si="12"/>
        <v>0</v>
      </c>
      <c r="N54" s="72">
        <f t="shared" si="34"/>
        <v>0</v>
      </c>
      <c r="O54" s="72">
        <f t="shared" si="13"/>
        <v>0</v>
      </c>
      <c r="P54" s="72">
        <f t="shared" si="21"/>
        <v>0</v>
      </c>
      <c r="Q54" s="72">
        <f t="shared" si="14"/>
        <v>0</v>
      </c>
      <c r="R54" s="72">
        <f t="shared" si="15"/>
        <v>0</v>
      </c>
      <c r="U54" s="60">
        <f t="shared" si="23"/>
        <v>29</v>
      </c>
      <c r="V54" s="72">
        <f t="shared" ca="1" si="24"/>
        <v>7</v>
      </c>
      <c r="AC54" s="72">
        <f t="shared" ca="1" si="35"/>
        <v>0</v>
      </c>
      <c r="AD54" s="60">
        <f t="shared" si="28"/>
        <v>18</v>
      </c>
    </row>
    <row r="55" spans="1:30" x14ac:dyDescent="0.25">
      <c r="A55" s="60">
        <f t="shared" ref="A55:A58" ca="1" si="37">A56</f>
        <v>5990</v>
      </c>
      <c r="B55" s="60">
        <v>8</v>
      </c>
      <c r="C55" s="60">
        <f t="shared" ca="1" si="30"/>
        <v>4260</v>
      </c>
      <c r="D55" s="72">
        <f t="shared" ca="1" si="31"/>
        <v>6303.3165365507448</v>
      </c>
      <c r="E55" s="60">
        <f t="shared" ca="1" si="32"/>
        <v>10</v>
      </c>
      <c r="F55" s="72">
        <f t="shared" ca="1" si="33"/>
        <v>6303.3165365507448</v>
      </c>
      <c r="J55" s="72">
        <f>SUMIF(INDEX(StockSimHist[],,12),$I55,INDEX(StockSimHist[],,23))</f>
        <v>0</v>
      </c>
      <c r="K55" s="60">
        <f t="shared" si="7"/>
        <v>30</v>
      </c>
      <c r="L55" s="60">
        <f t="shared" ca="1" si="11"/>
        <v>8</v>
      </c>
      <c r="M55" s="72">
        <f t="shared" si="12"/>
        <v>0</v>
      </c>
      <c r="N55" s="72">
        <f t="shared" si="34"/>
        <v>0</v>
      </c>
      <c r="O55" s="72">
        <f t="shared" si="13"/>
        <v>0</v>
      </c>
      <c r="P55" s="72">
        <f t="shared" si="21"/>
        <v>0</v>
      </c>
      <c r="Q55" s="72">
        <f t="shared" si="14"/>
        <v>0</v>
      </c>
      <c r="R55" s="72">
        <f t="shared" si="15"/>
        <v>0</v>
      </c>
      <c r="U55" s="60">
        <f t="shared" si="23"/>
        <v>30</v>
      </c>
      <c r="V55" s="72">
        <f t="shared" ca="1" si="24"/>
        <v>8</v>
      </c>
      <c r="AC55" s="72">
        <f t="shared" ca="1" si="35"/>
        <v>0</v>
      </c>
      <c r="AD55" s="60">
        <f t="shared" si="28"/>
        <v>19</v>
      </c>
    </row>
    <row r="56" spans="1:30" x14ac:dyDescent="0.25">
      <c r="A56" s="60">
        <f t="shared" ca="1" si="37"/>
        <v>5990</v>
      </c>
      <c r="B56" s="60">
        <v>9</v>
      </c>
      <c r="C56" s="60">
        <f t="shared" ca="1" si="30"/>
        <v>5980</v>
      </c>
      <c r="D56" s="72">
        <f t="shared" ca="1" si="31"/>
        <v>6303.3165365507448</v>
      </c>
      <c r="E56" s="60">
        <f t="shared" ca="1" si="32"/>
        <v>11</v>
      </c>
      <c r="F56" s="72">
        <f t="shared" ca="1" si="33"/>
        <v>6303.3165365507448</v>
      </c>
      <c r="J56" s="72">
        <f>SUMIF(INDEX(StockSimHist[],,12),$I56,INDEX(StockSimHist[],,23))</f>
        <v>0</v>
      </c>
      <c r="K56" s="60">
        <f t="shared" si="7"/>
        <v>31</v>
      </c>
      <c r="L56" s="60">
        <f t="shared" ca="1" si="11"/>
        <v>9</v>
      </c>
      <c r="M56" s="72">
        <f t="shared" si="12"/>
        <v>0</v>
      </c>
      <c r="N56" s="72">
        <f t="shared" si="34"/>
        <v>0</v>
      </c>
      <c r="O56" s="72">
        <f t="shared" si="13"/>
        <v>0</v>
      </c>
      <c r="P56" s="72">
        <f t="shared" si="21"/>
        <v>0</v>
      </c>
      <c r="Q56" s="72">
        <f t="shared" si="14"/>
        <v>0</v>
      </c>
      <c r="R56" s="72">
        <f t="shared" si="15"/>
        <v>0</v>
      </c>
      <c r="U56" s="60">
        <f t="shared" si="23"/>
        <v>31</v>
      </c>
      <c r="V56" s="72">
        <f t="shared" ca="1" si="24"/>
        <v>9</v>
      </c>
      <c r="AC56" s="72">
        <f t="shared" ca="1" si="35"/>
        <v>0</v>
      </c>
      <c r="AD56" s="60">
        <f t="shared" si="28"/>
        <v>20</v>
      </c>
    </row>
    <row r="57" spans="1:30" x14ac:dyDescent="0.25">
      <c r="A57" s="60">
        <f t="shared" ca="1" si="37"/>
        <v>5990</v>
      </c>
      <c r="B57" s="60">
        <v>10</v>
      </c>
      <c r="C57" s="60">
        <f t="shared" ca="1" si="30"/>
        <v>4410</v>
      </c>
      <c r="D57" s="72">
        <f t="shared" ca="1" si="31"/>
        <v>6303.3165365507448</v>
      </c>
      <c r="E57" s="60">
        <f t="shared" ca="1" si="32"/>
        <v>12</v>
      </c>
      <c r="F57" s="72">
        <f t="shared" ca="1" si="33"/>
        <v>6303.3165365507448</v>
      </c>
      <c r="J57" s="72">
        <f>SUMIF(INDEX(StockSimHist[],,12),$I57,INDEX(StockSimHist[],,23))</f>
        <v>0</v>
      </c>
      <c r="K57" s="60">
        <f t="shared" si="7"/>
        <v>32</v>
      </c>
      <c r="L57" s="60">
        <f t="shared" ca="1" si="11"/>
        <v>10</v>
      </c>
      <c r="M57" s="72">
        <f t="shared" si="12"/>
        <v>0</v>
      </c>
      <c r="N57" s="72">
        <f t="shared" si="34"/>
        <v>0</v>
      </c>
      <c r="O57" s="72">
        <f t="shared" si="13"/>
        <v>0</v>
      </c>
      <c r="P57" s="72">
        <f t="shared" si="21"/>
        <v>0</v>
      </c>
      <c r="Q57" s="72">
        <f t="shared" si="14"/>
        <v>0</v>
      </c>
      <c r="R57" s="72">
        <f t="shared" si="15"/>
        <v>0</v>
      </c>
      <c r="U57" s="60">
        <f t="shared" si="23"/>
        <v>32</v>
      </c>
      <c r="V57" s="72">
        <f t="shared" ca="1" si="24"/>
        <v>10</v>
      </c>
      <c r="AC57" s="72">
        <f t="shared" ca="1" si="35"/>
        <v>0</v>
      </c>
      <c r="AD57" s="60">
        <f t="shared" si="28"/>
        <v>21</v>
      </c>
    </row>
    <row r="58" spans="1:30" x14ac:dyDescent="0.25">
      <c r="A58" s="60">
        <f t="shared" ca="1" si="37"/>
        <v>5990</v>
      </c>
      <c r="B58" s="60">
        <v>11</v>
      </c>
      <c r="C58" s="60">
        <f t="shared" ca="1" si="30"/>
        <v>11600</v>
      </c>
      <c r="D58" s="72">
        <f t="shared" ca="1" si="31"/>
        <v>6303.3165365507448</v>
      </c>
      <c r="E58" s="60">
        <f t="shared" ca="1" si="32"/>
        <v>1</v>
      </c>
      <c r="F58" s="72">
        <f t="shared" ca="1" si="33"/>
        <v>4551.2260468417317</v>
      </c>
      <c r="J58" s="72">
        <f>SUMIF(INDEX(StockSimHist[],,12),$I58,INDEX(StockSimHist[],,23))</f>
        <v>0</v>
      </c>
      <c r="K58" s="60">
        <f t="shared" si="7"/>
        <v>33</v>
      </c>
      <c r="L58" s="60">
        <f t="shared" ca="1" si="11"/>
        <v>11</v>
      </c>
      <c r="M58" s="72">
        <f t="shared" si="12"/>
        <v>0</v>
      </c>
      <c r="N58" s="72">
        <f t="shared" si="34"/>
        <v>0</v>
      </c>
      <c r="O58" s="72">
        <f t="shared" si="13"/>
        <v>0</v>
      </c>
      <c r="P58" s="72">
        <f t="shared" si="21"/>
        <v>0</v>
      </c>
      <c r="Q58" s="72">
        <f t="shared" si="14"/>
        <v>0</v>
      </c>
      <c r="R58" s="72">
        <f t="shared" si="15"/>
        <v>0</v>
      </c>
      <c r="U58" s="60">
        <f t="shared" si="23"/>
        <v>33</v>
      </c>
      <c r="V58" s="72">
        <f t="shared" ca="1" si="24"/>
        <v>11</v>
      </c>
      <c r="AC58" s="72">
        <f t="shared" ca="1" si="35"/>
        <v>0</v>
      </c>
      <c r="AD58" s="60">
        <f t="shared" si="28"/>
        <v>22</v>
      </c>
    </row>
    <row r="59" spans="1:30" x14ac:dyDescent="0.25">
      <c r="A59" s="72">
        <f ca="1">AVERAGE(C55:C59)</f>
        <v>5990</v>
      </c>
      <c r="B59" s="60">
        <v>12</v>
      </c>
      <c r="C59" s="60">
        <f t="shared" ca="1" si="30"/>
        <v>3700</v>
      </c>
      <c r="D59" s="72">
        <f t="shared" ca="1" si="31"/>
        <v>6303.3165365507448</v>
      </c>
      <c r="E59" s="60">
        <f t="shared" ca="1" si="32"/>
        <v>2</v>
      </c>
      <c r="F59" s="72">
        <f t="shared" ca="1" si="33"/>
        <v>4551.2260468417317</v>
      </c>
      <c r="J59" s="72">
        <f>SUMIF(INDEX(StockSimHist[],,12),$I59,INDEX(StockSimHist[],,23))</f>
        <v>0</v>
      </c>
      <c r="K59" s="60">
        <f t="shared" si="7"/>
        <v>34</v>
      </c>
      <c r="L59" s="60">
        <f t="shared" ca="1" si="11"/>
        <v>12</v>
      </c>
      <c r="M59" s="72">
        <f t="shared" si="12"/>
        <v>0</v>
      </c>
      <c r="N59" s="72">
        <f t="shared" si="34"/>
        <v>0</v>
      </c>
      <c r="O59" s="72">
        <f t="shared" si="13"/>
        <v>0</v>
      </c>
      <c r="P59" s="72">
        <f t="shared" si="21"/>
        <v>0</v>
      </c>
      <c r="Q59" s="72">
        <f t="shared" si="14"/>
        <v>0</v>
      </c>
      <c r="R59" s="72">
        <f t="shared" si="15"/>
        <v>0</v>
      </c>
      <c r="U59" s="60">
        <f t="shared" si="23"/>
        <v>34</v>
      </c>
      <c r="V59" s="72">
        <f t="shared" ca="1" si="24"/>
        <v>12</v>
      </c>
      <c r="AC59" s="72">
        <f t="shared" ca="1" si="35"/>
        <v>0</v>
      </c>
      <c r="AD59" s="60">
        <f t="shared" si="28"/>
        <v>23</v>
      </c>
    </row>
    <row r="60" spans="1:30" x14ac:dyDescent="0.25">
      <c r="J60" s="72">
        <f>SUMIF(INDEX(StockSimHist[],,12),$I60,INDEX(StockSimHist[],,23))</f>
        <v>0</v>
      </c>
      <c r="K60" s="60">
        <f t="shared" si="7"/>
        <v>35</v>
      </c>
      <c r="L60" s="60">
        <f t="shared" ca="1" si="11"/>
        <v>1</v>
      </c>
      <c r="M60" s="72">
        <f t="shared" si="12"/>
        <v>0</v>
      </c>
      <c r="N60" s="72">
        <f t="shared" si="34"/>
        <v>0</v>
      </c>
      <c r="O60" s="72">
        <f t="shared" si="13"/>
        <v>0</v>
      </c>
      <c r="P60" s="72">
        <f t="shared" si="21"/>
        <v>0</v>
      </c>
      <c r="Q60" s="72">
        <f t="shared" si="14"/>
        <v>0</v>
      </c>
      <c r="R60" s="72">
        <f t="shared" si="15"/>
        <v>0</v>
      </c>
      <c r="U60" s="60">
        <f t="shared" si="23"/>
        <v>35</v>
      </c>
      <c r="V60" s="72">
        <f t="shared" ca="1" si="24"/>
        <v>1</v>
      </c>
      <c r="AC60" s="72">
        <f t="shared" ca="1" si="35"/>
        <v>0</v>
      </c>
      <c r="AD60" s="60">
        <f t="shared" si="28"/>
        <v>24</v>
      </c>
    </row>
    <row r="61" spans="1:30" x14ac:dyDescent="0.25">
      <c r="J61" s="72">
        <f>SUMIF(INDEX(StockSimHist[],,12),$I61,INDEX(StockSimHist[],,23))</f>
        <v>0</v>
      </c>
      <c r="K61" s="60">
        <f t="shared" si="7"/>
        <v>36</v>
      </c>
      <c r="L61" s="60">
        <f t="shared" ca="1" si="11"/>
        <v>2</v>
      </c>
      <c r="M61" s="72">
        <f t="shared" si="12"/>
        <v>0</v>
      </c>
      <c r="N61" s="72">
        <f t="shared" si="34"/>
        <v>0</v>
      </c>
      <c r="O61" s="72">
        <f t="shared" si="13"/>
        <v>0</v>
      </c>
      <c r="P61" s="72">
        <f t="shared" si="21"/>
        <v>0</v>
      </c>
      <c r="Q61" s="72">
        <f t="shared" si="14"/>
        <v>0</v>
      </c>
      <c r="R61" s="72">
        <f t="shared" si="15"/>
        <v>0</v>
      </c>
      <c r="U61" s="60">
        <f t="shared" si="23"/>
        <v>36</v>
      </c>
      <c r="V61" s="72">
        <f t="shared" ca="1" si="24"/>
        <v>2</v>
      </c>
      <c r="AC61" s="72">
        <f t="shared" ca="1" si="35"/>
        <v>0</v>
      </c>
      <c r="AD61" s="60">
        <f t="shared" si="28"/>
        <v>25</v>
      </c>
    </row>
    <row r="62" spans="1:30" x14ac:dyDescent="0.25">
      <c r="C62" s="95">
        <f ca="1">D62/SUM($C$48:$C$59)</f>
        <v>1.0523066004258339</v>
      </c>
      <c r="D62" s="72">
        <f>Simulation!F20</f>
        <v>74135</v>
      </c>
    </row>
    <row r="63" spans="1:30" x14ac:dyDescent="0.25">
      <c r="R63" s="72">
        <f>SUM(R50:R61)</f>
        <v>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>
    <tabColor rgb="FFC00000"/>
    <pageSetUpPr fitToPage="1"/>
  </sheetPr>
  <dimension ref="A1:M38"/>
  <sheetViews>
    <sheetView showGridLines="0" showRowColHeaders="0" zoomScale="121" zoomScaleNormal="121" workbookViewId="0"/>
  </sheetViews>
  <sheetFormatPr defaultColWidth="0" defaultRowHeight="12.75" customHeight="1" zeroHeight="1" x14ac:dyDescent="0.25"/>
  <cols>
    <col min="1" max="12" width="11.453125" style="30" customWidth="1"/>
    <col min="13" max="13" width="12.453125" style="30" customWidth="1"/>
    <col min="14" max="16384" width="11.453125" style="30" hidden="1"/>
  </cols>
  <sheetData>
    <row r="1" spans="1:1" ht="20" x14ac:dyDescent="0.4">
      <c r="A1" s="59"/>
    </row>
    <row r="2" spans="1:1" ht="12.5" x14ac:dyDescent="0.25"/>
    <row r="3" spans="1:1" ht="12.5" x14ac:dyDescent="0.25"/>
    <row r="4" spans="1:1" ht="12.5" x14ac:dyDescent="0.25"/>
    <row r="5" spans="1:1" ht="12.5" x14ac:dyDescent="0.25"/>
    <row r="6" spans="1:1" ht="12.5" x14ac:dyDescent="0.25"/>
    <row r="7" spans="1:1" ht="12.5" x14ac:dyDescent="0.25"/>
    <row r="8" spans="1:1" ht="12.5" x14ac:dyDescent="0.25"/>
    <row r="9" spans="1:1" ht="12.5" x14ac:dyDescent="0.25"/>
    <row r="10" spans="1:1" ht="12.5" x14ac:dyDescent="0.25"/>
    <row r="11" spans="1:1" ht="12.5" x14ac:dyDescent="0.25"/>
    <row r="12" spans="1:1" ht="12.5" x14ac:dyDescent="0.25"/>
    <row r="13" spans="1:1" ht="12.5" x14ac:dyDescent="0.25"/>
    <row r="14" spans="1:1" ht="12.5" x14ac:dyDescent="0.25"/>
    <row r="15" spans="1:1" ht="12.5" x14ac:dyDescent="0.25"/>
    <row r="16" spans="1:1" ht="12.5" x14ac:dyDescent="0.25"/>
    <row r="17" ht="12.5" x14ac:dyDescent="0.25"/>
    <row r="18" ht="12.5" x14ac:dyDescent="0.25"/>
    <row r="19" ht="12.5" x14ac:dyDescent="0.25"/>
    <row r="20" ht="12.5" x14ac:dyDescent="0.25"/>
    <row r="21" ht="12.5" x14ac:dyDescent="0.25"/>
    <row r="22" ht="12.5" x14ac:dyDescent="0.25"/>
    <row r="23" ht="12.5" x14ac:dyDescent="0.25"/>
    <row r="24" ht="12.5" x14ac:dyDescent="0.25"/>
    <row r="25" ht="12.5" x14ac:dyDescent="0.25"/>
    <row r="26" ht="12.5" x14ac:dyDescent="0.25"/>
    <row r="27" ht="12.5" x14ac:dyDescent="0.25"/>
    <row r="28" ht="12.5" x14ac:dyDescent="0.25"/>
    <row r="29" ht="12.5" x14ac:dyDescent="0.25"/>
    <row r="30" ht="12.5" x14ac:dyDescent="0.25"/>
    <row r="31" ht="12.5" x14ac:dyDescent="0.25"/>
    <row r="32" ht="12.5" x14ac:dyDescent="0.25"/>
    <row r="33" ht="12.5" x14ac:dyDescent="0.25"/>
    <row r="34" ht="12.5" x14ac:dyDescent="0.25"/>
    <row r="35" ht="12.5" x14ac:dyDescent="0.25"/>
    <row r="36" ht="12.5" x14ac:dyDescent="0.25"/>
    <row r="37" ht="12.5" x14ac:dyDescent="0.25"/>
    <row r="38" ht="12.5" x14ac:dyDescent="0.25"/>
  </sheetData>
  <pageMargins left="0.70866141732283472" right="0.70866141732283472" top="0.74803149606299213" bottom="0.74803149606299213" header="0.31496062992125984" footer="0.31496062992125984"/>
  <pageSetup paperSize="9" scale="89" orientation="landscape" horizontalDpi="300" verticalDpi="300" r:id="rId1"/>
  <headerFooter>
    <oddHeader>&amp;LRieber SapExl Reports</oddHeader>
    <oddFooter xml:space="preserve">&amp;LPrinting date: &amp;D&amp;CPage &amp;P / &amp;N&amp;R&amp;F - &amp;A 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15">
    <tabColor rgb="FFC00000"/>
  </sheetPr>
  <dimension ref="A1:S491"/>
  <sheetViews>
    <sheetView showGridLines="0" showZeros="0" zoomScale="85" zoomScaleNormal="85" workbookViewId="0">
      <pane ySplit="1" topLeftCell="A236" activePane="bottomLeft" state="frozen"/>
      <selection pane="bottomLeft" activeCell="A236" sqref="A236"/>
    </sheetView>
  </sheetViews>
  <sheetFormatPr defaultColWidth="0" defaultRowHeight="12.5" zeroHeight="1" x14ac:dyDescent="0.25"/>
  <cols>
    <col min="1" max="1" width="10.26953125" style="60" bestFit="1" customWidth="1"/>
    <col min="2" max="2" width="9.26953125" style="72" bestFit="1" customWidth="1"/>
    <col min="3" max="3" width="10.453125" style="72" bestFit="1" customWidth="1"/>
    <col min="4" max="4" width="10.81640625" style="60" bestFit="1" customWidth="1"/>
    <col min="5" max="5" width="9.26953125" style="60" bestFit="1" customWidth="1"/>
    <col min="6" max="6" width="15" style="60" customWidth="1"/>
    <col min="7" max="8" width="10.453125" style="98" bestFit="1" customWidth="1"/>
    <col min="9" max="9" width="11.453125" style="60" bestFit="1" customWidth="1"/>
    <col min="10" max="10" width="10.453125" style="60" bestFit="1" customWidth="1"/>
    <col min="11" max="11" width="7.453125" style="60" bestFit="1" customWidth="1"/>
    <col min="12" max="12" width="7" style="60" bestFit="1" customWidth="1"/>
    <col min="13" max="13" width="4.81640625" style="60" customWidth="1"/>
    <col min="14" max="19" width="11.453125" style="60" customWidth="1"/>
    <col min="20" max="16384" width="11.453125" style="60" hidden="1"/>
  </cols>
  <sheetData>
    <row r="1" spans="1:12" ht="39" x14ac:dyDescent="0.3">
      <c r="A1" s="101" t="s">
        <v>191</v>
      </c>
      <c r="B1" s="102" t="s">
        <v>470</v>
      </c>
      <c r="C1" s="102" t="s">
        <v>471</v>
      </c>
      <c r="D1" s="103" t="s">
        <v>326</v>
      </c>
      <c r="E1" s="104" t="s">
        <v>443</v>
      </c>
      <c r="F1" s="104" t="s">
        <v>472</v>
      </c>
      <c r="G1" s="105" t="s">
        <v>473</v>
      </c>
      <c r="H1" s="105" t="s">
        <v>474</v>
      </c>
      <c r="I1" s="104" t="s">
        <v>475</v>
      </c>
      <c r="J1" s="104" t="s">
        <v>476</v>
      </c>
      <c r="K1" s="104" t="s">
        <v>477</v>
      </c>
      <c r="L1" s="104" t="s">
        <v>193</v>
      </c>
    </row>
    <row r="2" spans="1:12" s="71" customFormat="1" hidden="1" x14ac:dyDescent="0.25">
      <c r="A2" s="106">
        <f t="shared" ref="A2:A65" ca="1" si="0">A3+1</f>
        <v>42674</v>
      </c>
      <c r="B2" s="107"/>
      <c r="C2" s="107"/>
      <c r="D2" s="108"/>
      <c r="E2" s="109">
        <f t="shared" ref="E2:E65" ca="1" si="1">VLOOKUP(MONTH(A2),rForecast,4,FALSE)</f>
        <v>191.7391304347826</v>
      </c>
      <c r="F2" s="72" t="e">
        <f ca="1">SUM(E2:OFFSET(E2,-crLead_Time-crSaf_Time+1,0))</f>
        <v>#REF!</v>
      </c>
      <c r="G2" s="98" t="e">
        <f ca="1">IF(F2&gt;=I3,IF(crFixedLot&gt;0,crFixedLot,(INT(SUM(E2:OFFSET(E2,-Simulation!$B$7+1,0))/crRoundingValue)+1)*crRoundingValue),0)</f>
        <v>#REF!</v>
      </c>
      <c r="H2" s="98" t="e">
        <f t="shared" ref="H2:H65" ca="1" si="2">OFFSET(G2,crLead_Time,0)</f>
        <v>#REF!</v>
      </c>
      <c r="I2" s="72" t="e">
        <f t="shared" ref="I2:I65" ca="1" si="3">I3-C2+G2</f>
        <v>#REF!</v>
      </c>
      <c r="J2" s="72" t="e">
        <f t="shared" ref="J2:J65" ca="1" si="4">J3-C2+H2</f>
        <v>#REF!</v>
      </c>
      <c r="K2" s="72" t="e">
        <f t="shared" ref="K2:K65" ca="1" si="5">IF(AND(J2&lt;0,OFFSET(J2,1,0)&lt;0),IF(J2&lt;OFFSET(J2,1,0),J2-OFFSET(J2,1,0),0),IF(J2&lt;0,J2,0))</f>
        <v>#REF!</v>
      </c>
      <c r="L2" s="71">
        <f ca="1">MONTH(A2)</f>
        <v>10</v>
      </c>
    </row>
    <row r="3" spans="1:12" s="71" customFormat="1" hidden="1" x14ac:dyDescent="0.25">
      <c r="A3" s="106">
        <f t="shared" ca="1" si="0"/>
        <v>42673</v>
      </c>
      <c r="B3" s="107"/>
      <c r="C3" s="107"/>
      <c r="D3" s="108"/>
      <c r="E3" s="109">
        <f t="shared" ca="1" si="1"/>
        <v>191.7391304347826</v>
      </c>
      <c r="F3" s="72">
        <f ca="1">SUM(E3:OFFSET(E3,-crLead_Time-crSaf_Time+1,0))</f>
        <v>383.47826086956519</v>
      </c>
      <c r="G3" s="98">
        <f ca="1">IF(F3&gt;=I4,IF(crFixedLot&gt;0,crFixedLot,(INT(SUM(E3:OFFSET(E3,-Simulation!$B$7+1,0))/crRoundingValue)+1)*crRoundingValue),0)</f>
        <v>0</v>
      </c>
      <c r="H3" s="98">
        <f t="shared" ca="1" si="2"/>
        <v>0</v>
      </c>
      <c r="I3" s="72">
        <f t="shared" ca="1" si="3"/>
        <v>7992</v>
      </c>
      <c r="J3" s="72">
        <f t="shared" ca="1" si="4"/>
        <v>7992</v>
      </c>
      <c r="K3" s="72">
        <f t="shared" ca="1" si="5"/>
        <v>0</v>
      </c>
      <c r="L3" s="71">
        <f t="shared" ref="L3:L66" ca="1" si="6">MONTH(A3)</f>
        <v>10</v>
      </c>
    </row>
    <row r="4" spans="1:12" s="71" customFormat="1" hidden="1" x14ac:dyDescent="0.25">
      <c r="A4" s="106">
        <f t="shared" ca="1" si="0"/>
        <v>42672</v>
      </c>
      <c r="B4" s="107"/>
      <c r="C4" s="107"/>
      <c r="D4" s="108"/>
      <c r="E4" s="109">
        <f t="shared" ca="1" si="1"/>
        <v>191.7391304347826</v>
      </c>
      <c r="F4" s="72">
        <f ca="1">SUM(E4:OFFSET(E4,-crLead_Time-crSaf_Time+1,0))</f>
        <v>575.21739130434776</v>
      </c>
      <c r="G4" s="98">
        <f ca="1">IF(F4&gt;=I5,IF(crFixedLot&gt;0,crFixedLot,(INT(SUM(E4:OFFSET(E4,-Simulation!$B$7+1,0))/crRoundingValue)+1)*crRoundingValue),0)</f>
        <v>0</v>
      </c>
      <c r="H4" s="98">
        <f t="shared" ca="1" si="2"/>
        <v>0</v>
      </c>
      <c r="I4" s="72">
        <f t="shared" ca="1" si="3"/>
        <v>7992</v>
      </c>
      <c r="J4" s="72">
        <f t="shared" ca="1" si="4"/>
        <v>7992</v>
      </c>
      <c r="K4" s="72">
        <f t="shared" ca="1" si="5"/>
        <v>0</v>
      </c>
      <c r="L4" s="71">
        <f t="shared" ca="1" si="6"/>
        <v>10</v>
      </c>
    </row>
    <row r="5" spans="1:12" s="71" customFormat="1" hidden="1" x14ac:dyDescent="0.25">
      <c r="A5" s="106">
        <f t="shared" ca="1" si="0"/>
        <v>42671</v>
      </c>
      <c r="B5" s="107"/>
      <c r="C5" s="107"/>
      <c r="D5" s="108"/>
      <c r="E5" s="109">
        <f t="shared" ca="1" si="1"/>
        <v>191.7391304347826</v>
      </c>
      <c r="F5" s="72">
        <f ca="1">SUM(E5:OFFSET(E5,-crLead_Time-crSaf_Time+1,0))</f>
        <v>575.21739130434776</v>
      </c>
      <c r="G5" s="98">
        <f ca="1">IF(F5&gt;=I6,IF(crFixedLot&gt;0,crFixedLot,(INT(SUM(E5:OFFSET(E5,-Simulation!$B$7+1,0))/crRoundingValue)+1)*crRoundingValue),0)</f>
        <v>0</v>
      </c>
      <c r="H5" s="98">
        <f t="shared" ca="1" si="2"/>
        <v>0</v>
      </c>
      <c r="I5" s="72">
        <f t="shared" ca="1" si="3"/>
        <v>7992</v>
      </c>
      <c r="J5" s="72">
        <f t="shared" ca="1" si="4"/>
        <v>7992</v>
      </c>
      <c r="K5" s="72">
        <f t="shared" ca="1" si="5"/>
        <v>0</v>
      </c>
      <c r="L5" s="71">
        <f t="shared" ca="1" si="6"/>
        <v>10</v>
      </c>
    </row>
    <row r="6" spans="1:12" s="71" customFormat="1" hidden="1" x14ac:dyDescent="0.25">
      <c r="A6" s="106">
        <f t="shared" ca="1" si="0"/>
        <v>42670</v>
      </c>
      <c r="B6" s="107"/>
      <c r="C6" s="107"/>
      <c r="D6" s="108"/>
      <c r="E6" s="109">
        <f t="shared" ca="1" si="1"/>
        <v>191.7391304347826</v>
      </c>
      <c r="F6" s="72">
        <f ca="1">SUM(E6:OFFSET(E6,-crLead_Time-crSaf_Time+1,0))</f>
        <v>575.21739130434776</v>
      </c>
      <c r="G6" s="98">
        <f ca="1">IF(F6&gt;=I7,IF(crFixedLot&gt;0,crFixedLot,(INT(SUM(E6:OFFSET(E6,-Simulation!$B$7+1,0))/crRoundingValue)+1)*crRoundingValue),0)</f>
        <v>0</v>
      </c>
      <c r="H6" s="98">
        <f t="shared" ca="1" si="2"/>
        <v>0</v>
      </c>
      <c r="I6" s="72">
        <f t="shared" ca="1" si="3"/>
        <v>7992</v>
      </c>
      <c r="J6" s="72">
        <f t="shared" ca="1" si="4"/>
        <v>7992</v>
      </c>
      <c r="K6" s="72">
        <f t="shared" ca="1" si="5"/>
        <v>0</v>
      </c>
      <c r="L6" s="71">
        <f t="shared" ca="1" si="6"/>
        <v>10</v>
      </c>
    </row>
    <row r="7" spans="1:12" s="71" customFormat="1" hidden="1" x14ac:dyDescent="0.25">
      <c r="A7" s="106">
        <f t="shared" ca="1" si="0"/>
        <v>42669</v>
      </c>
      <c r="B7" s="107"/>
      <c r="C7" s="107"/>
      <c r="D7" s="108"/>
      <c r="E7" s="109">
        <f t="shared" ca="1" si="1"/>
        <v>191.7391304347826</v>
      </c>
      <c r="F7" s="72">
        <f ca="1">SUM(E7:OFFSET(E7,-crLead_Time-crSaf_Time+1,0))</f>
        <v>575.21739130434776</v>
      </c>
      <c r="G7" s="98">
        <f ca="1">IF(F7&gt;=I8,IF(crFixedLot&gt;0,crFixedLot,(INT(SUM(E7:OFFSET(E7,-Simulation!$B$7+1,0))/crRoundingValue)+1)*crRoundingValue),0)</f>
        <v>0</v>
      </c>
      <c r="H7" s="98">
        <f t="shared" ca="1" si="2"/>
        <v>0</v>
      </c>
      <c r="I7" s="72">
        <f t="shared" ca="1" si="3"/>
        <v>7992</v>
      </c>
      <c r="J7" s="72">
        <f t="shared" ca="1" si="4"/>
        <v>7992</v>
      </c>
      <c r="K7" s="72">
        <f t="shared" ca="1" si="5"/>
        <v>0</v>
      </c>
      <c r="L7" s="71">
        <f t="shared" ca="1" si="6"/>
        <v>10</v>
      </c>
    </row>
    <row r="8" spans="1:12" s="71" customFormat="1" hidden="1" x14ac:dyDescent="0.25">
      <c r="A8" s="106">
        <f t="shared" ca="1" si="0"/>
        <v>42668</v>
      </c>
      <c r="B8" s="107"/>
      <c r="C8" s="107"/>
      <c r="D8" s="108"/>
      <c r="E8" s="109">
        <f t="shared" ca="1" si="1"/>
        <v>191.7391304347826</v>
      </c>
      <c r="F8" s="72">
        <f ca="1">SUM(E8:OFFSET(E8,-crLead_Time-crSaf_Time+1,0))</f>
        <v>575.21739130434776</v>
      </c>
      <c r="G8" s="98">
        <f ca="1">IF(F8&gt;=I9,IF(crFixedLot&gt;0,crFixedLot,(INT(SUM(E8:OFFSET(E8,-Simulation!$B$7+1,0))/crRoundingValue)+1)*crRoundingValue),0)</f>
        <v>0</v>
      </c>
      <c r="H8" s="98">
        <f t="shared" ca="1" si="2"/>
        <v>0</v>
      </c>
      <c r="I8" s="72">
        <f t="shared" ca="1" si="3"/>
        <v>7992</v>
      </c>
      <c r="J8" s="72">
        <f t="shared" ca="1" si="4"/>
        <v>7992</v>
      </c>
      <c r="K8" s="72">
        <f t="shared" ca="1" si="5"/>
        <v>0</v>
      </c>
      <c r="L8" s="71">
        <f t="shared" ca="1" si="6"/>
        <v>10</v>
      </c>
    </row>
    <row r="9" spans="1:12" s="71" customFormat="1" hidden="1" x14ac:dyDescent="0.25">
      <c r="A9" s="106">
        <f t="shared" ca="1" si="0"/>
        <v>42667</v>
      </c>
      <c r="B9" s="107"/>
      <c r="C9" s="107"/>
      <c r="D9" s="108"/>
      <c r="E9" s="109">
        <f t="shared" ca="1" si="1"/>
        <v>191.7391304347826</v>
      </c>
      <c r="F9" s="72">
        <f ca="1">SUM(E9:OFFSET(E9,-crLead_Time-crSaf_Time+1,0))</f>
        <v>575.21739130434776</v>
      </c>
      <c r="G9" s="98">
        <f ca="1">IF(F9&gt;=I10,IF(crFixedLot&gt;0,crFixedLot,(INT(SUM(E9:OFFSET(E9,-Simulation!$B$7+1,0))/crRoundingValue)+1)*crRoundingValue),0)</f>
        <v>0</v>
      </c>
      <c r="H9" s="98">
        <f t="shared" ca="1" si="2"/>
        <v>0</v>
      </c>
      <c r="I9" s="72">
        <f t="shared" ca="1" si="3"/>
        <v>7992</v>
      </c>
      <c r="J9" s="72">
        <f t="shared" ca="1" si="4"/>
        <v>7992</v>
      </c>
      <c r="K9" s="72">
        <f t="shared" ca="1" si="5"/>
        <v>0</v>
      </c>
      <c r="L9" s="71">
        <f t="shared" ca="1" si="6"/>
        <v>10</v>
      </c>
    </row>
    <row r="10" spans="1:12" s="71" customFormat="1" hidden="1" x14ac:dyDescent="0.25">
      <c r="A10" s="106">
        <f t="shared" ca="1" si="0"/>
        <v>42666</v>
      </c>
      <c r="B10" s="107"/>
      <c r="C10" s="107"/>
      <c r="D10" s="108"/>
      <c r="E10" s="109">
        <f t="shared" ca="1" si="1"/>
        <v>191.7391304347826</v>
      </c>
      <c r="F10" s="72">
        <f ca="1">SUM(E10:OFFSET(E10,-crLead_Time-crSaf_Time+1,0))</f>
        <v>575.21739130434776</v>
      </c>
      <c r="G10" s="98">
        <f ca="1">IF(F10&gt;=I11,IF(crFixedLot&gt;0,crFixedLot,(INT(SUM(E10:OFFSET(E10,-Simulation!$B$7+1,0))/crRoundingValue)+1)*crRoundingValue),0)</f>
        <v>0</v>
      </c>
      <c r="H10" s="98">
        <f t="shared" ca="1" si="2"/>
        <v>0</v>
      </c>
      <c r="I10" s="72">
        <f t="shared" ca="1" si="3"/>
        <v>7992</v>
      </c>
      <c r="J10" s="72">
        <f t="shared" ca="1" si="4"/>
        <v>7992</v>
      </c>
      <c r="K10" s="72">
        <f t="shared" ca="1" si="5"/>
        <v>0</v>
      </c>
      <c r="L10" s="71">
        <f t="shared" ca="1" si="6"/>
        <v>10</v>
      </c>
    </row>
    <row r="11" spans="1:12" s="71" customFormat="1" hidden="1" x14ac:dyDescent="0.25">
      <c r="A11" s="106">
        <f t="shared" ca="1" si="0"/>
        <v>42665</v>
      </c>
      <c r="B11" s="107"/>
      <c r="C11" s="107"/>
      <c r="D11" s="108"/>
      <c r="E11" s="109">
        <f t="shared" ca="1" si="1"/>
        <v>191.7391304347826</v>
      </c>
      <c r="F11" s="72">
        <f ca="1">SUM(E11:OFFSET(E11,-crLead_Time-crSaf_Time+1,0))</f>
        <v>575.21739130434776</v>
      </c>
      <c r="G11" s="98">
        <f ca="1">IF(F11&gt;=I12,IF(crFixedLot&gt;0,crFixedLot,(INT(SUM(E11:OFFSET(E11,-Simulation!$B$7+1,0))/crRoundingValue)+1)*crRoundingValue),0)</f>
        <v>0</v>
      </c>
      <c r="H11" s="98">
        <f t="shared" ca="1" si="2"/>
        <v>0</v>
      </c>
      <c r="I11" s="72">
        <f t="shared" ca="1" si="3"/>
        <v>7992</v>
      </c>
      <c r="J11" s="72">
        <f t="shared" ca="1" si="4"/>
        <v>7992</v>
      </c>
      <c r="K11" s="72">
        <f t="shared" ca="1" si="5"/>
        <v>0</v>
      </c>
      <c r="L11" s="71">
        <f t="shared" ca="1" si="6"/>
        <v>10</v>
      </c>
    </row>
    <row r="12" spans="1:12" s="71" customFormat="1" hidden="1" x14ac:dyDescent="0.25">
      <c r="A12" s="106">
        <f t="shared" ca="1" si="0"/>
        <v>42664</v>
      </c>
      <c r="B12" s="107"/>
      <c r="C12" s="107"/>
      <c r="D12" s="108"/>
      <c r="E12" s="109">
        <f t="shared" ca="1" si="1"/>
        <v>191.7391304347826</v>
      </c>
      <c r="F12" s="72">
        <f ca="1">SUM(E12:OFFSET(E12,-crLead_Time-crSaf_Time+1,0))</f>
        <v>575.21739130434776</v>
      </c>
      <c r="G12" s="98">
        <f ca="1">IF(F12&gt;=I13,IF(crFixedLot&gt;0,crFixedLot,(INT(SUM(E12:OFFSET(E12,-Simulation!$B$7+1,0))/crRoundingValue)+1)*crRoundingValue),0)</f>
        <v>0</v>
      </c>
      <c r="H12" s="98">
        <f t="shared" ca="1" si="2"/>
        <v>0</v>
      </c>
      <c r="I12" s="72">
        <f t="shared" ca="1" si="3"/>
        <v>7992</v>
      </c>
      <c r="J12" s="72">
        <f t="shared" ca="1" si="4"/>
        <v>7992</v>
      </c>
      <c r="K12" s="72">
        <f t="shared" ca="1" si="5"/>
        <v>0</v>
      </c>
      <c r="L12" s="71">
        <f t="shared" ca="1" si="6"/>
        <v>10</v>
      </c>
    </row>
    <row r="13" spans="1:12" s="71" customFormat="1" hidden="1" x14ac:dyDescent="0.25">
      <c r="A13" s="106">
        <f t="shared" ca="1" si="0"/>
        <v>42663</v>
      </c>
      <c r="B13" s="107"/>
      <c r="C13" s="107"/>
      <c r="D13" s="108"/>
      <c r="E13" s="109">
        <f t="shared" ca="1" si="1"/>
        <v>191.7391304347826</v>
      </c>
      <c r="F13" s="72">
        <f ca="1">SUM(E13:OFFSET(E13,-crLead_Time-crSaf_Time+1,0))</f>
        <v>575.21739130434776</v>
      </c>
      <c r="G13" s="98">
        <f ca="1">IF(F13&gt;=I14,IF(crFixedLot&gt;0,crFixedLot,(INT(SUM(E13:OFFSET(E13,-Simulation!$B$7+1,0))/crRoundingValue)+1)*crRoundingValue),0)</f>
        <v>0</v>
      </c>
      <c r="H13" s="98">
        <f t="shared" ca="1" si="2"/>
        <v>0</v>
      </c>
      <c r="I13" s="72">
        <f t="shared" ca="1" si="3"/>
        <v>7992</v>
      </c>
      <c r="J13" s="72">
        <f t="shared" ca="1" si="4"/>
        <v>7992</v>
      </c>
      <c r="K13" s="72">
        <f t="shared" ca="1" si="5"/>
        <v>0</v>
      </c>
      <c r="L13" s="71">
        <f t="shared" ca="1" si="6"/>
        <v>10</v>
      </c>
    </row>
    <row r="14" spans="1:12" s="71" customFormat="1" hidden="1" x14ac:dyDescent="0.25">
      <c r="A14" s="106">
        <f t="shared" ca="1" si="0"/>
        <v>42662</v>
      </c>
      <c r="B14" s="107"/>
      <c r="C14" s="107"/>
      <c r="D14" s="108"/>
      <c r="E14" s="109">
        <f t="shared" ca="1" si="1"/>
        <v>191.7391304347826</v>
      </c>
      <c r="F14" s="72">
        <f ca="1">SUM(E14:OFFSET(E14,-crLead_Time-crSaf_Time+1,0))</f>
        <v>575.21739130434776</v>
      </c>
      <c r="G14" s="98">
        <f ca="1">IF(F14&gt;=I15,IF(crFixedLot&gt;0,crFixedLot,(INT(SUM(E14:OFFSET(E14,-Simulation!$B$7+1,0))/crRoundingValue)+1)*crRoundingValue),0)</f>
        <v>0</v>
      </c>
      <c r="H14" s="98">
        <f t="shared" ca="1" si="2"/>
        <v>0</v>
      </c>
      <c r="I14" s="72">
        <f t="shared" ca="1" si="3"/>
        <v>7992</v>
      </c>
      <c r="J14" s="72">
        <f t="shared" ca="1" si="4"/>
        <v>7992</v>
      </c>
      <c r="K14" s="72">
        <f t="shared" ca="1" si="5"/>
        <v>0</v>
      </c>
      <c r="L14" s="71">
        <f t="shared" ca="1" si="6"/>
        <v>10</v>
      </c>
    </row>
    <row r="15" spans="1:12" s="71" customFormat="1" hidden="1" x14ac:dyDescent="0.25">
      <c r="A15" s="106">
        <f t="shared" ca="1" si="0"/>
        <v>42661</v>
      </c>
      <c r="B15" s="107"/>
      <c r="C15" s="107"/>
      <c r="D15" s="108"/>
      <c r="E15" s="109">
        <f t="shared" ca="1" si="1"/>
        <v>191.7391304347826</v>
      </c>
      <c r="F15" s="72">
        <f ca="1">SUM(E15:OFFSET(E15,-crLead_Time-crSaf_Time+1,0))</f>
        <v>575.21739130434776</v>
      </c>
      <c r="G15" s="98">
        <f ca="1">IF(F15&gt;=I16,IF(crFixedLot&gt;0,crFixedLot,(INT(SUM(E15:OFFSET(E15,-Simulation!$B$7+1,0))/crRoundingValue)+1)*crRoundingValue),0)</f>
        <v>0</v>
      </c>
      <c r="H15" s="98">
        <f t="shared" ca="1" si="2"/>
        <v>0</v>
      </c>
      <c r="I15" s="72">
        <f t="shared" ca="1" si="3"/>
        <v>7992</v>
      </c>
      <c r="J15" s="72">
        <f t="shared" ca="1" si="4"/>
        <v>7992</v>
      </c>
      <c r="K15" s="72">
        <f t="shared" ca="1" si="5"/>
        <v>0</v>
      </c>
      <c r="L15" s="71">
        <f t="shared" ca="1" si="6"/>
        <v>10</v>
      </c>
    </row>
    <row r="16" spans="1:12" s="71" customFormat="1" hidden="1" x14ac:dyDescent="0.25">
      <c r="A16" s="106">
        <f t="shared" ca="1" si="0"/>
        <v>42660</v>
      </c>
      <c r="B16" s="107"/>
      <c r="C16" s="107"/>
      <c r="D16" s="108"/>
      <c r="E16" s="109">
        <f t="shared" ca="1" si="1"/>
        <v>191.7391304347826</v>
      </c>
      <c r="F16" s="72">
        <f ca="1">SUM(E16:OFFSET(E16,-crLead_Time-crSaf_Time+1,0))</f>
        <v>575.21739130434776</v>
      </c>
      <c r="G16" s="98">
        <f ca="1">IF(F16&gt;=I17,IF(crFixedLot&gt;0,crFixedLot,(INT(SUM(E16:OFFSET(E16,-Simulation!$B$7+1,0))/crRoundingValue)+1)*crRoundingValue),0)</f>
        <v>0</v>
      </c>
      <c r="H16" s="98">
        <f t="shared" ca="1" si="2"/>
        <v>0</v>
      </c>
      <c r="I16" s="72">
        <f t="shared" ca="1" si="3"/>
        <v>7992</v>
      </c>
      <c r="J16" s="72">
        <f t="shared" ca="1" si="4"/>
        <v>7992</v>
      </c>
      <c r="K16" s="72">
        <f t="shared" ca="1" si="5"/>
        <v>0</v>
      </c>
      <c r="L16" s="71">
        <f t="shared" ca="1" si="6"/>
        <v>10</v>
      </c>
    </row>
    <row r="17" spans="1:12" s="71" customFormat="1" hidden="1" x14ac:dyDescent="0.25">
      <c r="A17" s="106">
        <f t="shared" ca="1" si="0"/>
        <v>42659</v>
      </c>
      <c r="B17" s="107"/>
      <c r="C17" s="107"/>
      <c r="D17" s="108"/>
      <c r="E17" s="109">
        <f t="shared" ca="1" si="1"/>
        <v>191.7391304347826</v>
      </c>
      <c r="F17" s="72">
        <f ca="1">SUM(E17:OFFSET(E17,-crLead_Time-crSaf_Time+1,0))</f>
        <v>575.21739130434776</v>
      </c>
      <c r="G17" s="98">
        <f ca="1">IF(F17&gt;=I18,IF(crFixedLot&gt;0,crFixedLot,(INT(SUM(E17:OFFSET(E17,-Simulation!$B$7+1,0))/crRoundingValue)+1)*crRoundingValue),0)</f>
        <v>0</v>
      </c>
      <c r="H17" s="98">
        <f t="shared" ca="1" si="2"/>
        <v>0</v>
      </c>
      <c r="I17" s="72">
        <f t="shared" ca="1" si="3"/>
        <v>7992</v>
      </c>
      <c r="J17" s="72">
        <f t="shared" ca="1" si="4"/>
        <v>7992</v>
      </c>
      <c r="K17" s="72">
        <f t="shared" ca="1" si="5"/>
        <v>0</v>
      </c>
      <c r="L17" s="71">
        <f t="shared" ca="1" si="6"/>
        <v>10</v>
      </c>
    </row>
    <row r="18" spans="1:12" s="71" customFormat="1" hidden="1" x14ac:dyDescent="0.25">
      <c r="A18" s="106">
        <f t="shared" ca="1" si="0"/>
        <v>42658</v>
      </c>
      <c r="B18" s="107"/>
      <c r="C18" s="107"/>
      <c r="D18" s="108"/>
      <c r="E18" s="109">
        <f t="shared" ca="1" si="1"/>
        <v>191.7391304347826</v>
      </c>
      <c r="F18" s="72">
        <f ca="1">SUM(E18:OFFSET(E18,-crLead_Time-crSaf_Time+1,0))</f>
        <v>575.21739130434776</v>
      </c>
      <c r="G18" s="98">
        <f ca="1">IF(F18&gt;=I19,IF(crFixedLot&gt;0,crFixedLot,(INT(SUM(E18:OFFSET(E18,-Simulation!$B$7+1,0))/crRoundingValue)+1)*crRoundingValue),0)</f>
        <v>0</v>
      </c>
      <c r="H18" s="98">
        <f t="shared" ca="1" si="2"/>
        <v>0</v>
      </c>
      <c r="I18" s="72">
        <f t="shared" ca="1" si="3"/>
        <v>7992</v>
      </c>
      <c r="J18" s="72">
        <f t="shared" ca="1" si="4"/>
        <v>7992</v>
      </c>
      <c r="K18" s="72">
        <f t="shared" ca="1" si="5"/>
        <v>0</v>
      </c>
      <c r="L18" s="71">
        <f t="shared" ca="1" si="6"/>
        <v>10</v>
      </c>
    </row>
    <row r="19" spans="1:12" s="71" customFormat="1" hidden="1" x14ac:dyDescent="0.25">
      <c r="A19" s="106">
        <f t="shared" ca="1" si="0"/>
        <v>42657</v>
      </c>
      <c r="B19" s="107"/>
      <c r="C19" s="107"/>
      <c r="D19" s="108"/>
      <c r="E19" s="109">
        <f t="shared" ca="1" si="1"/>
        <v>191.7391304347826</v>
      </c>
      <c r="F19" s="72">
        <f ca="1">SUM(E19:OFFSET(E19,-crLead_Time-crSaf_Time+1,0))</f>
        <v>575.21739130434776</v>
      </c>
      <c r="G19" s="98">
        <f ca="1">IF(F19&gt;=I20,IF(crFixedLot&gt;0,crFixedLot,(INT(SUM(E19:OFFSET(E19,-Simulation!$B$7+1,0))/crRoundingValue)+1)*crRoundingValue),0)</f>
        <v>0</v>
      </c>
      <c r="H19" s="98">
        <f t="shared" ca="1" si="2"/>
        <v>0</v>
      </c>
      <c r="I19" s="72">
        <f t="shared" ca="1" si="3"/>
        <v>7992</v>
      </c>
      <c r="J19" s="72">
        <f t="shared" ca="1" si="4"/>
        <v>7992</v>
      </c>
      <c r="K19" s="72">
        <f t="shared" ca="1" si="5"/>
        <v>0</v>
      </c>
      <c r="L19" s="71">
        <f t="shared" ca="1" si="6"/>
        <v>10</v>
      </c>
    </row>
    <row r="20" spans="1:12" s="71" customFormat="1" hidden="1" x14ac:dyDescent="0.25">
      <c r="A20" s="106">
        <f t="shared" ca="1" si="0"/>
        <v>42656</v>
      </c>
      <c r="B20" s="107"/>
      <c r="C20" s="107"/>
      <c r="D20" s="108"/>
      <c r="E20" s="109">
        <f t="shared" ca="1" si="1"/>
        <v>191.7391304347826</v>
      </c>
      <c r="F20" s="72">
        <f ca="1">SUM(E20:OFFSET(E20,-crLead_Time-crSaf_Time+1,0))</f>
        <v>575.21739130434776</v>
      </c>
      <c r="G20" s="98">
        <f ca="1">IF(F20&gt;=I21,IF(crFixedLot&gt;0,crFixedLot,(INT(SUM(E20:OFFSET(E20,-Simulation!$B$7+1,0))/crRoundingValue)+1)*crRoundingValue),0)</f>
        <v>0</v>
      </c>
      <c r="H20" s="98">
        <f t="shared" ca="1" si="2"/>
        <v>0</v>
      </c>
      <c r="I20" s="72">
        <f t="shared" ca="1" si="3"/>
        <v>7992</v>
      </c>
      <c r="J20" s="72">
        <f t="shared" ca="1" si="4"/>
        <v>7992</v>
      </c>
      <c r="K20" s="72">
        <f t="shared" ca="1" si="5"/>
        <v>0</v>
      </c>
      <c r="L20" s="71">
        <f t="shared" ca="1" si="6"/>
        <v>10</v>
      </c>
    </row>
    <row r="21" spans="1:12" s="71" customFormat="1" hidden="1" x14ac:dyDescent="0.25">
      <c r="A21" s="106">
        <f t="shared" ca="1" si="0"/>
        <v>42655</v>
      </c>
      <c r="B21" s="107"/>
      <c r="C21" s="107"/>
      <c r="D21" s="108"/>
      <c r="E21" s="109">
        <f t="shared" ca="1" si="1"/>
        <v>191.7391304347826</v>
      </c>
      <c r="F21" s="72">
        <f ca="1">SUM(E21:OFFSET(E21,-crLead_Time-crSaf_Time+1,0))</f>
        <v>575.21739130434776</v>
      </c>
      <c r="G21" s="98">
        <f ca="1">IF(F21&gt;=I22,IF(crFixedLot&gt;0,crFixedLot,(INT(SUM(E21:OFFSET(E21,-Simulation!$B$7+1,0))/crRoundingValue)+1)*crRoundingValue),0)</f>
        <v>0</v>
      </c>
      <c r="H21" s="98">
        <f t="shared" ca="1" si="2"/>
        <v>0</v>
      </c>
      <c r="I21" s="72">
        <f t="shared" ca="1" si="3"/>
        <v>7992</v>
      </c>
      <c r="J21" s="72">
        <f t="shared" ca="1" si="4"/>
        <v>7992</v>
      </c>
      <c r="K21" s="72">
        <f t="shared" ca="1" si="5"/>
        <v>0</v>
      </c>
      <c r="L21" s="71">
        <f t="shared" ca="1" si="6"/>
        <v>10</v>
      </c>
    </row>
    <row r="22" spans="1:12" s="71" customFormat="1" hidden="1" x14ac:dyDescent="0.25">
      <c r="A22" s="106">
        <f t="shared" ca="1" si="0"/>
        <v>42654</v>
      </c>
      <c r="B22" s="107"/>
      <c r="C22" s="107"/>
      <c r="D22" s="108"/>
      <c r="E22" s="109">
        <f t="shared" ca="1" si="1"/>
        <v>191.7391304347826</v>
      </c>
      <c r="F22" s="72">
        <f ca="1">SUM(E22:OFFSET(E22,-crLead_Time-crSaf_Time+1,0))</f>
        <v>575.21739130434776</v>
      </c>
      <c r="G22" s="98">
        <f ca="1">IF(F22&gt;=I23,IF(crFixedLot&gt;0,crFixedLot,(INT(SUM(E22:OFFSET(E22,-Simulation!$B$7+1,0))/crRoundingValue)+1)*crRoundingValue),0)</f>
        <v>0</v>
      </c>
      <c r="H22" s="98">
        <f t="shared" ca="1" si="2"/>
        <v>0</v>
      </c>
      <c r="I22" s="72">
        <f t="shared" ca="1" si="3"/>
        <v>7992</v>
      </c>
      <c r="J22" s="72">
        <f t="shared" ca="1" si="4"/>
        <v>7992</v>
      </c>
      <c r="K22" s="72">
        <f t="shared" ca="1" si="5"/>
        <v>0</v>
      </c>
      <c r="L22" s="71">
        <f t="shared" ca="1" si="6"/>
        <v>10</v>
      </c>
    </row>
    <row r="23" spans="1:12" s="71" customFormat="1" hidden="1" x14ac:dyDescent="0.25">
      <c r="A23" s="106">
        <f t="shared" ca="1" si="0"/>
        <v>42653</v>
      </c>
      <c r="B23" s="107"/>
      <c r="C23" s="107"/>
      <c r="D23" s="108"/>
      <c r="E23" s="109">
        <f t="shared" ca="1" si="1"/>
        <v>191.7391304347826</v>
      </c>
      <c r="F23" s="72">
        <f ca="1">SUM(E23:OFFSET(E23,-crLead_Time-crSaf_Time+1,0))</f>
        <v>575.21739130434776</v>
      </c>
      <c r="G23" s="98">
        <f ca="1">IF(F23&gt;=I24,IF(crFixedLot&gt;0,crFixedLot,(INT(SUM(E23:OFFSET(E23,-Simulation!$B$7+1,0))/crRoundingValue)+1)*crRoundingValue),0)</f>
        <v>0</v>
      </c>
      <c r="H23" s="98">
        <f t="shared" ca="1" si="2"/>
        <v>0</v>
      </c>
      <c r="I23" s="72">
        <f t="shared" ca="1" si="3"/>
        <v>7992</v>
      </c>
      <c r="J23" s="72">
        <f t="shared" ca="1" si="4"/>
        <v>7992</v>
      </c>
      <c r="K23" s="72">
        <f t="shared" ca="1" si="5"/>
        <v>0</v>
      </c>
      <c r="L23" s="71">
        <f t="shared" ca="1" si="6"/>
        <v>10</v>
      </c>
    </row>
    <row r="24" spans="1:12" s="71" customFormat="1" hidden="1" x14ac:dyDescent="0.25">
      <c r="A24" s="106">
        <f t="shared" ca="1" si="0"/>
        <v>42652</v>
      </c>
      <c r="B24" s="107"/>
      <c r="C24" s="107"/>
      <c r="D24" s="108"/>
      <c r="E24" s="109">
        <f t="shared" ca="1" si="1"/>
        <v>191.7391304347826</v>
      </c>
      <c r="F24" s="72">
        <f ca="1">SUM(E24:OFFSET(E24,-crLead_Time-crSaf_Time+1,0))</f>
        <v>575.21739130434776</v>
      </c>
      <c r="G24" s="98">
        <f ca="1">IF(F24&gt;=I25,IF(crFixedLot&gt;0,crFixedLot,(INT(SUM(E24:OFFSET(E24,-Simulation!$B$7+1,0))/crRoundingValue)+1)*crRoundingValue),0)</f>
        <v>0</v>
      </c>
      <c r="H24" s="98">
        <f t="shared" ca="1" si="2"/>
        <v>0</v>
      </c>
      <c r="I24" s="72">
        <f t="shared" ca="1" si="3"/>
        <v>7992</v>
      </c>
      <c r="J24" s="72">
        <f t="shared" ca="1" si="4"/>
        <v>7992</v>
      </c>
      <c r="K24" s="72">
        <f t="shared" ca="1" si="5"/>
        <v>0</v>
      </c>
      <c r="L24" s="71">
        <f t="shared" ca="1" si="6"/>
        <v>10</v>
      </c>
    </row>
    <row r="25" spans="1:12" s="71" customFormat="1" hidden="1" x14ac:dyDescent="0.25">
      <c r="A25" s="106">
        <f t="shared" ca="1" si="0"/>
        <v>42651</v>
      </c>
      <c r="B25" s="107"/>
      <c r="C25" s="107"/>
      <c r="D25" s="108"/>
      <c r="E25" s="109">
        <f t="shared" ca="1" si="1"/>
        <v>191.7391304347826</v>
      </c>
      <c r="F25" s="72">
        <f ca="1">SUM(E25:OFFSET(E25,-crLead_Time-crSaf_Time+1,0))</f>
        <v>575.21739130434776</v>
      </c>
      <c r="G25" s="98">
        <f ca="1">IF(F25&gt;=I26,IF(crFixedLot&gt;0,crFixedLot,(INT(SUM(E25:OFFSET(E25,-Simulation!$B$7+1,0))/crRoundingValue)+1)*crRoundingValue),0)</f>
        <v>0</v>
      </c>
      <c r="H25" s="98">
        <f t="shared" ca="1" si="2"/>
        <v>0</v>
      </c>
      <c r="I25" s="72">
        <f t="shared" ca="1" si="3"/>
        <v>7992</v>
      </c>
      <c r="J25" s="72">
        <f t="shared" ca="1" si="4"/>
        <v>7992</v>
      </c>
      <c r="K25" s="72">
        <f t="shared" ca="1" si="5"/>
        <v>0</v>
      </c>
      <c r="L25" s="71">
        <f t="shared" ca="1" si="6"/>
        <v>10</v>
      </c>
    </row>
    <row r="26" spans="1:12" s="71" customFormat="1" hidden="1" x14ac:dyDescent="0.25">
      <c r="A26" s="106">
        <f t="shared" ca="1" si="0"/>
        <v>42650</v>
      </c>
      <c r="B26" s="107"/>
      <c r="C26" s="107"/>
      <c r="D26" s="108"/>
      <c r="E26" s="109">
        <f t="shared" ca="1" si="1"/>
        <v>191.7391304347826</v>
      </c>
      <c r="F26" s="72">
        <f ca="1">SUM(E26:OFFSET(E26,-crLead_Time-crSaf_Time+1,0))</f>
        <v>575.21739130434776</v>
      </c>
      <c r="G26" s="98">
        <f ca="1">IF(F26&gt;=I27,IF(crFixedLot&gt;0,crFixedLot,(INT(SUM(E26:OFFSET(E26,-Simulation!$B$7+1,0))/crRoundingValue)+1)*crRoundingValue),0)</f>
        <v>0</v>
      </c>
      <c r="H26" s="98">
        <f t="shared" ca="1" si="2"/>
        <v>0</v>
      </c>
      <c r="I26" s="72">
        <f t="shared" ca="1" si="3"/>
        <v>7992</v>
      </c>
      <c r="J26" s="72">
        <f t="shared" ca="1" si="4"/>
        <v>7992</v>
      </c>
      <c r="K26" s="72">
        <f t="shared" ca="1" si="5"/>
        <v>0</v>
      </c>
      <c r="L26" s="71">
        <f t="shared" ca="1" si="6"/>
        <v>10</v>
      </c>
    </row>
    <row r="27" spans="1:12" s="71" customFormat="1" hidden="1" x14ac:dyDescent="0.25">
      <c r="A27" s="106">
        <f t="shared" ca="1" si="0"/>
        <v>42649</v>
      </c>
      <c r="B27" s="107"/>
      <c r="C27" s="107"/>
      <c r="D27" s="108"/>
      <c r="E27" s="109">
        <f t="shared" ca="1" si="1"/>
        <v>191.7391304347826</v>
      </c>
      <c r="F27" s="72">
        <f ca="1">SUM(E27:OFFSET(E27,-crLead_Time-crSaf_Time+1,0))</f>
        <v>575.21739130434776</v>
      </c>
      <c r="G27" s="98">
        <f ca="1">IF(F27&gt;=I28,IF(crFixedLot&gt;0,crFixedLot,(INT(SUM(E27:OFFSET(E27,-Simulation!$B$7+1,0))/crRoundingValue)+1)*crRoundingValue),0)</f>
        <v>0</v>
      </c>
      <c r="H27" s="98">
        <f t="shared" ca="1" si="2"/>
        <v>0</v>
      </c>
      <c r="I27" s="72">
        <f t="shared" ca="1" si="3"/>
        <v>7992</v>
      </c>
      <c r="J27" s="72">
        <f t="shared" ca="1" si="4"/>
        <v>7992</v>
      </c>
      <c r="K27" s="72">
        <f t="shared" ca="1" si="5"/>
        <v>0</v>
      </c>
      <c r="L27" s="71">
        <f t="shared" ca="1" si="6"/>
        <v>10</v>
      </c>
    </row>
    <row r="28" spans="1:12" s="71" customFormat="1" hidden="1" x14ac:dyDescent="0.25">
      <c r="A28" s="106">
        <f t="shared" ca="1" si="0"/>
        <v>42648</v>
      </c>
      <c r="B28" s="107"/>
      <c r="C28" s="107"/>
      <c r="D28" s="108"/>
      <c r="E28" s="109">
        <f t="shared" ca="1" si="1"/>
        <v>191.7391304347826</v>
      </c>
      <c r="F28" s="72">
        <f ca="1">SUM(E28:OFFSET(E28,-crLead_Time-crSaf_Time+1,0))</f>
        <v>575.21739130434776</v>
      </c>
      <c r="G28" s="98">
        <f ca="1">IF(F28&gt;=I29,IF(crFixedLot&gt;0,crFixedLot,(INT(SUM(E28:OFFSET(E28,-Simulation!$B$7+1,0))/crRoundingValue)+1)*crRoundingValue),0)</f>
        <v>0</v>
      </c>
      <c r="H28" s="98">
        <f t="shared" ca="1" si="2"/>
        <v>0</v>
      </c>
      <c r="I28" s="72">
        <f t="shared" ca="1" si="3"/>
        <v>7992</v>
      </c>
      <c r="J28" s="72">
        <f t="shared" ca="1" si="4"/>
        <v>7992</v>
      </c>
      <c r="K28" s="72">
        <f t="shared" ca="1" si="5"/>
        <v>0</v>
      </c>
      <c r="L28" s="71">
        <f t="shared" ca="1" si="6"/>
        <v>10</v>
      </c>
    </row>
    <row r="29" spans="1:12" s="71" customFormat="1" hidden="1" x14ac:dyDescent="0.25">
      <c r="A29" s="106">
        <f t="shared" ca="1" si="0"/>
        <v>42647</v>
      </c>
      <c r="B29" s="107"/>
      <c r="C29" s="107"/>
      <c r="D29" s="108"/>
      <c r="E29" s="109">
        <f t="shared" ca="1" si="1"/>
        <v>191.7391304347826</v>
      </c>
      <c r="F29" s="72">
        <f ca="1">SUM(E29:OFFSET(E29,-crLead_Time-crSaf_Time+1,0))</f>
        <v>575.21739130434776</v>
      </c>
      <c r="G29" s="98">
        <f ca="1">IF(F29&gt;=I30,IF(crFixedLot&gt;0,crFixedLot,(INT(SUM(E29:OFFSET(E29,-Simulation!$B$7+1,0))/crRoundingValue)+1)*crRoundingValue),0)</f>
        <v>0</v>
      </c>
      <c r="H29" s="98">
        <f t="shared" ca="1" si="2"/>
        <v>0</v>
      </c>
      <c r="I29" s="72">
        <f t="shared" ca="1" si="3"/>
        <v>7992</v>
      </c>
      <c r="J29" s="72">
        <f t="shared" ca="1" si="4"/>
        <v>7992</v>
      </c>
      <c r="K29" s="72">
        <f t="shared" ca="1" si="5"/>
        <v>0</v>
      </c>
      <c r="L29" s="71">
        <f t="shared" ca="1" si="6"/>
        <v>10</v>
      </c>
    </row>
    <row r="30" spans="1:12" s="71" customFormat="1" hidden="1" x14ac:dyDescent="0.25">
      <c r="A30" s="106">
        <f t="shared" ca="1" si="0"/>
        <v>42646</v>
      </c>
      <c r="B30" s="107"/>
      <c r="C30" s="107"/>
      <c r="D30" s="108"/>
      <c r="E30" s="109">
        <f t="shared" ca="1" si="1"/>
        <v>191.7391304347826</v>
      </c>
      <c r="F30" s="72">
        <f ca="1">SUM(E30:OFFSET(E30,-crLead_Time-crSaf_Time+1,0))</f>
        <v>575.21739130434776</v>
      </c>
      <c r="G30" s="98">
        <f ca="1">IF(F30&gt;=I31,IF(crFixedLot&gt;0,crFixedLot,(INT(SUM(E30:OFFSET(E30,-Simulation!$B$7+1,0))/crRoundingValue)+1)*crRoundingValue),0)</f>
        <v>0</v>
      </c>
      <c r="H30" s="98">
        <f t="shared" ca="1" si="2"/>
        <v>0</v>
      </c>
      <c r="I30" s="72">
        <f t="shared" ca="1" si="3"/>
        <v>7992</v>
      </c>
      <c r="J30" s="72">
        <f t="shared" ca="1" si="4"/>
        <v>7992</v>
      </c>
      <c r="K30" s="72">
        <f t="shared" ca="1" si="5"/>
        <v>0</v>
      </c>
      <c r="L30" s="71">
        <f t="shared" ca="1" si="6"/>
        <v>10</v>
      </c>
    </row>
    <row r="31" spans="1:12" s="71" customFormat="1" hidden="1" x14ac:dyDescent="0.25">
      <c r="A31" s="106">
        <f t="shared" ca="1" si="0"/>
        <v>42645</v>
      </c>
      <c r="B31" s="107"/>
      <c r="C31" s="107"/>
      <c r="D31" s="108"/>
      <c r="E31" s="109">
        <f t="shared" ca="1" si="1"/>
        <v>191.7391304347826</v>
      </c>
      <c r="F31" s="72">
        <f ca="1">SUM(E31:OFFSET(E31,-crLead_Time-crSaf_Time+1,0))</f>
        <v>575.21739130434776</v>
      </c>
      <c r="G31" s="98">
        <f ca="1">IF(F31&gt;=I32,IF(crFixedLot&gt;0,crFixedLot,(INT(SUM(E31:OFFSET(E31,-Simulation!$B$7+1,0))/crRoundingValue)+1)*crRoundingValue),0)</f>
        <v>0</v>
      </c>
      <c r="H31" s="98">
        <f t="shared" ca="1" si="2"/>
        <v>0</v>
      </c>
      <c r="I31" s="72">
        <f t="shared" ca="1" si="3"/>
        <v>7992</v>
      </c>
      <c r="J31" s="72">
        <f t="shared" ca="1" si="4"/>
        <v>7992</v>
      </c>
      <c r="K31" s="72">
        <f t="shared" ca="1" si="5"/>
        <v>0</v>
      </c>
      <c r="L31" s="71">
        <f t="shared" ca="1" si="6"/>
        <v>10</v>
      </c>
    </row>
    <row r="32" spans="1:12" s="71" customFormat="1" hidden="1" x14ac:dyDescent="0.25">
      <c r="A32" s="106">
        <f t="shared" ca="1" si="0"/>
        <v>42644</v>
      </c>
      <c r="B32" s="107"/>
      <c r="C32" s="107"/>
      <c r="D32" s="108"/>
      <c r="E32" s="109">
        <f t="shared" ca="1" si="1"/>
        <v>191.7391304347826</v>
      </c>
      <c r="F32" s="72">
        <f ca="1">SUM(E32:OFFSET(E32,-crLead_Time-crSaf_Time+1,0))</f>
        <v>575.21739130434776</v>
      </c>
      <c r="G32" s="98">
        <f ca="1">IF(F32&gt;=I33,IF(crFixedLot&gt;0,crFixedLot,(INT(SUM(E32:OFFSET(E32,-Simulation!$B$7+1,0))/crRoundingValue)+1)*crRoundingValue),0)</f>
        <v>0</v>
      </c>
      <c r="H32" s="98">
        <f t="shared" ca="1" si="2"/>
        <v>0</v>
      </c>
      <c r="I32" s="72">
        <f t="shared" ca="1" si="3"/>
        <v>7992</v>
      </c>
      <c r="J32" s="72">
        <f t="shared" ca="1" si="4"/>
        <v>7992</v>
      </c>
      <c r="K32" s="72">
        <f t="shared" ca="1" si="5"/>
        <v>0</v>
      </c>
      <c r="L32" s="71">
        <f t="shared" ca="1" si="6"/>
        <v>10</v>
      </c>
    </row>
    <row r="33" spans="1:12" s="71" customFormat="1" hidden="1" x14ac:dyDescent="0.25">
      <c r="A33" s="106">
        <f t="shared" ca="1" si="0"/>
        <v>42643</v>
      </c>
      <c r="B33" s="107"/>
      <c r="C33" s="107"/>
      <c r="D33" s="108"/>
      <c r="E33" s="109">
        <f t="shared" ca="1" si="1"/>
        <v>299</v>
      </c>
      <c r="F33" s="72">
        <f ca="1">SUM(E33:OFFSET(E33,-crLead_Time-crSaf_Time+1,0))</f>
        <v>682.47826086956525</v>
      </c>
      <c r="G33" s="98">
        <f ca="1">IF(F33&gt;=I34,IF(crFixedLot&gt;0,crFixedLot,(INT(SUM(E33:OFFSET(E33,-Simulation!$B$7+1,0))/crRoundingValue)+1)*crRoundingValue),0)</f>
        <v>0</v>
      </c>
      <c r="H33" s="98">
        <f t="shared" ca="1" si="2"/>
        <v>0</v>
      </c>
      <c r="I33" s="72">
        <f t="shared" ca="1" si="3"/>
        <v>7992</v>
      </c>
      <c r="J33" s="72">
        <f t="shared" ca="1" si="4"/>
        <v>7992</v>
      </c>
      <c r="K33" s="72">
        <f t="shared" ca="1" si="5"/>
        <v>0</v>
      </c>
      <c r="L33" s="71">
        <f t="shared" ca="1" si="6"/>
        <v>9</v>
      </c>
    </row>
    <row r="34" spans="1:12" s="71" customFormat="1" hidden="1" x14ac:dyDescent="0.25">
      <c r="A34" s="106">
        <f t="shared" ca="1" si="0"/>
        <v>42642</v>
      </c>
      <c r="B34" s="107"/>
      <c r="C34" s="107"/>
      <c r="D34" s="108"/>
      <c r="E34" s="109">
        <f t="shared" ca="1" si="1"/>
        <v>299</v>
      </c>
      <c r="F34" s="72">
        <f ca="1">SUM(E34:OFFSET(E34,-crLead_Time-crSaf_Time+1,0))</f>
        <v>789.73913043478262</v>
      </c>
      <c r="G34" s="98">
        <f ca="1">IF(F34&gt;=I35,IF(crFixedLot&gt;0,crFixedLot,(INT(SUM(E34:OFFSET(E34,-Simulation!$B$7+1,0))/crRoundingValue)+1)*crRoundingValue),0)</f>
        <v>0</v>
      </c>
      <c r="H34" s="98">
        <f t="shared" ca="1" si="2"/>
        <v>0</v>
      </c>
      <c r="I34" s="72">
        <f t="shared" ca="1" si="3"/>
        <v>7992</v>
      </c>
      <c r="J34" s="72">
        <f t="shared" ca="1" si="4"/>
        <v>7992</v>
      </c>
      <c r="K34" s="72">
        <f t="shared" ca="1" si="5"/>
        <v>0</v>
      </c>
      <c r="L34" s="71">
        <f t="shared" ca="1" si="6"/>
        <v>9</v>
      </c>
    </row>
    <row r="35" spans="1:12" s="71" customFormat="1" hidden="1" x14ac:dyDescent="0.25">
      <c r="A35" s="106">
        <f t="shared" ca="1" si="0"/>
        <v>42641</v>
      </c>
      <c r="B35" s="107"/>
      <c r="C35" s="107"/>
      <c r="D35" s="108"/>
      <c r="E35" s="109">
        <f t="shared" ca="1" si="1"/>
        <v>299</v>
      </c>
      <c r="F35" s="72">
        <f ca="1">SUM(E35:OFFSET(E35,-crLead_Time-crSaf_Time+1,0))</f>
        <v>897</v>
      </c>
      <c r="G35" s="98">
        <f ca="1">IF(F35&gt;=I36,IF(crFixedLot&gt;0,crFixedLot,(INT(SUM(E35:OFFSET(E35,-Simulation!$B$7+1,0))/crRoundingValue)+1)*crRoundingValue),0)</f>
        <v>0</v>
      </c>
      <c r="H35" s="98">
        <f t="shared" ca="1" si="2"/>
        <v>0</v>
      </c>
      <c r="I35" s="72">
        <f t="shared" ca="1" si="3"/>
        <v>7992</v>
      </c>
      <c r="J35" s="72">
        <f t="shared" ca="1" si="4"/>
        <v>7992</v>
      </c>
      <c r="K35" s="72">
        <f t="shared" ca="1" si="5"/>
        <v>0</v>
      </c>
      <c r="L35" s="71">
        <f t="shared" ca="1" si="6"/>
        <v>9</v>
      </c>
    </row>
    <row r="36" spans="1:12" s="71" customFormat="1" hidden="1" x14ac:dyDescent="0.25">
      <c r="A36" s="106">
        <f t="shared" ca="1" si="0"/>
        <v>42640</v>
      </c>
      <c r="B36" s="107"/>
      <c r="C36" s="107"/>
      <c r="D36" s="108"/>
      <c r="E36" s="109">
        <f t="shared" ca="1" si="1"/>
        <v>299</v>
      </c>
      <c r="F36" s="72">
        <f ca="1">SUM(E36:OFFSET(E36,-crLead_Time-crSaf_Time+1,0))</f>
        <v>897</v>
      </c>
      <c r="G36" s="98">
        <f ca="1">IF(F36&gt;=I37,IF(crFixedLot&gt;0,crFixedLot,(INT(SUM(E36:OFFSET(E36,-Simulation!$B$7+1,0))/crRoundingValue)+1)*crRoundingValue),0)</f>
        <v>0</v>
      </c>
      <c r="H36" s="98">
        <f t="shared" ca="1" si="2"/>
        <v>0</v>
      </c>
      <c r="I36" s="72">
        <f t="shared" ca="1" si="3"/>
        <v>7992</v>
      </c>
      <c r="J36" s="72">
        <f t="shared" ca="1" si="4"/>
        <v>7992</v>
      </c>
      <c r="K36" s="72">
        <f t="shared" ca="1" si="5"/>
        <v>0</v>
      </c>
      <c r="L36" s="71">
        <f t="shared" ca="1" si="6"/>
        <v>9</v>
      </c>
    </row>
    <row r="37" spans="1:12" s="71" customFormat="1" hidden="1" x14ac:dyDescent="0.25">
      <c r="A37" s="106">
        <f t="shared" ca="1" si="0"/>
        <v>42639</v>
      </c>
      <c r="B37" s="107"/>
      <c r="C37" s="107"/>
      <c r="D37" s="108"/>
      <c r="E37" s="109">
        <f t="shared" ca="1" si="1"/>
        <v>299</v>
      </c>
      <c r="F37" s="72">
        <f ca="1">SUM(E37:OFFSET(E37,-crLead_Time-crSaf_Time+1,0))</f>
        <v>897</v>
      </c>
      <c r="G37" s="98">
        <f ca="1">IF(F37&gt;=I38,IF(crFixedLot&gt;0,crFixedLot,(INT(SUM(E37:OFFSET(E37,-Simulation!$B$7+1,0))/crRoundingValue)+1)*crRoundingValue),0)</f>
        <v>0</v>
      </c>
      <c r="H37" s="98">
        <f t="shared" ca="1" si="2"/>
        <v>0</v>
      </c>
      <c r="I37" s="72">
        <f t="shared" ca="1" si="3"/>
        <v>7992</v>
      </c>
      <c r="J37" s="72">
        <f t="shared" ca="1" si="4"/>
        <v>7992</v>
      </c>
      <c r="K37" s="72">
        <f t="shared" ca="1" si="5"/>
        <v>0</v>
      </c>
      <c r="L37" s="71">
        <f t="shared" ca="1" si="6"/>
        <v>9</v>
      </c>
    </row>
    <row r="38" spans="1:12" s="71" customFormat="1" hidden="1" x14ac:dyDescent="0.25">
      <c r="A38" s="106">
        <f t="shared" ca="1" si="0"/>
        <v>42638</v>
      </c>
      <c r="B38" s="107"/>
      <c r="C38" s="107"/>
      <c r="D38" s="108"/>
      <c r="E38" s="109">
        <f t="shared" ca="1" si="1"/>
        <v>299</v>
      </c>
      <c r="F38" s="72">
        <f ca="1">SUM(E38:OFFSET(E38,-crLead_Time-crSaf_Time+1,0))</f>
        <v>897</v>
      </c>
      <c r="G38" s="98">
        <f ca="1">IF(F38&gt;=I39,IF(crFixedLot&gt;0,crFixedLot,(INT(SUM(E38:OFFSET(E38,-Simulation!$B$7+1,0))/crRoundingValue)+1)*crRoundingValue),0)</f>
        <v>0</v>
      </c>
      <c r="H38" s="98">
        <f t="shared" ca="1" si="2"/>
        <v>0</v>
      </c>
      <c r="I38" s="72">
        <f t="shared" ca="1" si="3"/>
        <v>7992</v>
      </c>
      <c r="J38" s="72">
        <f t="shared" ca="1" si="4"/>
        <v>7992</v>
      </c>
      <c r="K38" s="72">
        <f t="shared" ca="1" si="5"/>
        <v>0</v>
      </c>
      <c r="L38" s="71">
        <f t="shared" ca="1" si="6"/>
        <v>9</v>
      </c>
    </row>
    <row r="39" spans="1:12" s="71" customFormat="1" hidden="1" x14ac:dyDescent="0.25">
      <c r="A39" s="106">
        <f t="shared" ca="1" si="0"/>
        <v>42637</v>
      </c>
      <c r="B39" s="107"/>
      <c r="C39" s="107"/>
      <c r="D39" s="108"/>
      <c r="E39" s="109">
        <f t="shared" ca="1" si="1"/>
        <v>299</v>
      </c>
      <c r="F39" s="72">
        <f ca="1">SUM(E39:OFFSET(E39,-crLead_Time-crSaf_Time+1,0))</f>
        <v>897</v>
      </c>
      <c r="G39" s="98">
        <f ca="1">IF(F39&gt;=I40,IF(crFixedLot&gt;0,crFixedLot,(INT(SUM(E39:OFFSET(E39,-Simulation!$B$7+1,0))/crRoundingValue)+1)*crRoundingValue),0)</f>
        <v>0</v>
      </c>
      <c r="H39" s="98">
        <f t="shared" ca="1" si="2"/>
        <v>0</v>
      </c>
      <c r="I39" s="72">
        <f t="shared" ca="1" si="3"/>
        <v>7992</v>
      </c>
      <c r="J39" s="72">
        <f t="shared" ca="1" si="4"/>
        <v>7992</v>
      </c>
      <c r="K39" s="72">
        <f t="shared" ca="1" si="5"/>
        <v>0</v>
      </c>
      <c r="L39" s="71">
        <f t="shared" ca="1" si="6"/>
        <v>9</v>
      </c>
    </row>
    <row r="40" spans="1:12" s="71" customFormat="1" hidden="1" x14ac:dyDescent="0.25">
      <c r="A40" s="106">
        <f t="shared" ca="1" si="0"/>
        <v>42636</v>
      </c>
      <c r="B40" s="107"/>
      <c r="C40" s="107"/>
      <c r="D40" s="108"/>
      <c r="E40" s="109">
        <f t="shared" ca="1" si="1"/>
        <v>299</v>
      </c>
      <c r="F40" s="72">
        <f ca="1">SUM(E40:OFFSET(E40,-crLead_Time-crSaf_Time+1,0))</f>
        <v>897</v>
      </c>
      <c r="G40" s="98">
        <f ca="1">IF(F40&gt;=I41,IF(crFixedLot&gt;0,crFixedLot,(INT(SUM(E40:OFFSET(E40,-Simulation!$B$7+1,0))/crRoundingValue)+1)*crRoundingValue),0)</f>
        <v>0</v>
      </c>
      <c r="H40" s="98">
        <f t="shared" ca="1" si="2"/>
        <v>0</v>
      </c>
      <c r="I40" s="72">
        <f t="shared" ca="1" si="3"/>
        <v>7992</v>
      </c>
      <c r="J40" s="72">
        <f t="shared" ca="1" si="4"/>
        <v>7992</v>
      </c>
      <c r="K40" s="72">
        <f t="shared" ca="1" si="5"/>
        <v>0</v>
      </c>
      <c r="L40" s="71">
        <f t="shared" ca="1" si="6"/>
        <v>9</v>
      </c>
    </row>
    <row r="41" spans="1:12" s="71" customFormat="1" hidden="1" x14ac:dyDescent="0.25">
      <c r="A41" s="106">
        <f t="shared" ca="1" si="0"/>
        <v>42635</v>
      </c>
      <c r="B41" s="107"/>
      <c r="C41" s="107"/>
      <c r="D41" s="108"/>
      <c r="E41" s="109">
        <f t="shared" ca="1" si="1"/>
        <v>299</v>
      </c>
      <c r="F41" s="72">
        <f ca="1">SUM(E41:OFFSET(E41,-crLead_Time-crSaf_Time+1,0))</f>
        <v>897</v>
      </c>
      <c r="G41" s="98">
        <f ca="1">IF(F41&gt;=I42,IF(crFixedLot&gt;0,crFixedLot,(INT(SUM(E41:OFFSET(E41,-Simulation!$B$7+1,0))/crRoundingValue)+1)*crRoundingValue),0)</f>
        <v>0</v>
      </c>
      <c r="H41" s="98">
        <f t="shared" ca="1" si="2"/>
        <v>0</v>
      </c>
      <c r="I41" s="72">
        <f t="shared" ca="1" si="3"/>
        <v>7992</v>
      </c>
      <c r="J41" s="72">
        <f t="shared" ca="1" si="4"/>
        <v>7992</v>
      </c>
      <c r="K41" s="72">
        <f t="shared" ca="1" si="5"/>
        <v>0</v>
      </c>
      <c r="L41" s="71">
        <f t="shared" ca="1" si="6"/>
        <v>9</v>
      </c>
    </row>
    <row r="42" spans="1:12" s="71" customFormat="1" hidden="1" x14ac:dyDescent="0.25">
      <c r="A42" s="106">
        <f t="shared" ca="1" si="0"/>
        <v>42634</v>
      </c>
      <c r="B42" s="107"/>
      <c r="C42" s="107"/>
      <c r="D42" s="108"/>
      <c r="E42" s="109">
        <f t="shared" ca="1" si="1"/>
        <v>299</v>
      </c>
      <c r="F42" s="72">
        <f ca="1">SUM(E42:OFFSET(E42,-crLead_Time-crSaf_Time+1,0))</f>
        <v>897</v>
      </c>
      <c r="G42" s="98">
        <f ca="1">IF(F42&gt;=I43,IF(crFixedLot&gt;0,crFixedLot,(INT(SUM(E42:OFFSET(E42,-Simulation!$B$7+1,0))/crRoundingValue)+1)*crRoundingValue),0)</f>
        <v>0</v>
      </c>
      <c r="H42" s="98">
        <f t="shared" ca="1" si="2"/>
        <v>0</v>
      </c>
      <c r="I42" s="72">
        <f t="shared" ca="1" si="3"/>
        <v>7992</v>
      </c>
      <c r="J42" s="72">
        <f t="shared" ca="1" si="4"/>
        <v>7992</v>
      </c>
      <c r="K42" s="72">
        <f t="shared" ca="1" si="5"/>
        <v>0</v>
      </c>
      <c r="L42" s="71">
        <f t="shared" ca="1" si="6"/>
        <v>9</v>
      </c>
    </row>
    <row r="43" spans="1:12" s="71" customFormat="1" hidden="1" x14ac:dyDescent="0.25">
      <c r="A43" s="106">
        <f t="shared" ca="1" si="0"/>
        <v>42633</v>
      </c>
      <c r="B43" s="107"/>
      <c r="C43" s="107"/>
      <c r="D43" s="108"/>
      <c r="E43" s="109">
        <f t="shared" ca="1" si="1"/>
        <v>299</v>
      </c>
      <c r="F43" s="72">
        <f ca="1">SUM(E43:OFFSET(E43,-crLead_Time-crSaf_Time+1,0))</f>
        <v>897</v>
      </c>
      <c r="G43" s="98">
        <f ca="1">IF(F43&gt;=I44,IF(crFixedLot&gt;0,crFixedLot,(INT(SUM(E43:OFFSET(E43,-Simulation!$B$7+1,0))/crRoundingValue)+1)*crRoundingValue),0)</f>
        <v>0</v>
      </c>
      <c r="H43" s="98">
        <f t="shared" ca="1" si="2"/>
        <v>0</v>
      </c>
      <c r="I43" s="72">
        <f t="shared" ca="1" si="3"/>
        <v>7992</v>
      </c>
      <c r="J43" s="72">
        <f t="shared" ca="1" si="4"/>
        <v>7992</v>
      </c>
      <c r="K43" s="72">
        <f t="shared" ca="1" si="5"/>
        <v>0</v>
      </c>
      <c r="L43" s="71">
        <f t="shared" ca="1" si="6"/>
        <v>9</v>
      </c>
    </row>
    <row r="44" spans="1:12" s="71" customFormat="1" hidden="1" x14ac:dyDescent="0.25">
      <c r="A44" s="106">
        <f t="shared" ca="1" si="0"/>
        <v>42632</v>
      </c>
      <c r="B44" s="107"/>
      <c r="C44" s="107"/>
      <c r="D44" s="108"/>
      <c r="E44" s="109">
        <f t="shared" ca="1" si="1"/>
        <v>299</v>
      </c>
      <c r="F44" s="72">
        <f ca="1">SUM(E44:OFFSET(E44,-crLead_Time-crSaf_Time+1,0))</f>
        <v>897</v>
      </c>
      <c r="G44" s="98">
        <f ca="1">IF(F44&gt;=I45,IF(crFixedLot&gt;0,crFixedLot,(INT(SUM(E44:OFFSET(E44,-Simulation!$B$7+1,0))/crRoundingValue)+1)*crRoundingValue),0)</f>
        <v>0</v>
      </c>
      <c r="H44" s="98">
        <f t="shared" ca="1" si="2"/>
        <v>0</v>
      </c>
      <c r="I44" s="72">
        <f t="shared" ca="1" si="3"/>
        <v>7992</v>
      </c>
      <c r="J44" s="72">
        <f t="shared" ca="1" si="4"/>
        <v>7992</v>
      </c>
      <c r="K44" s="72">
        <f t="shared" ca="1" si="5"/>
        <v>0</v>
      </c>
      <c r="L44" s="71">
        <f t="shared" ca="1" si="6"/>
        <v>9</v>
      </c>
    </row>
    <row r="45" spans="1:12" s="71" customFormat="1" hidden="1" x14ac:dyDescent="0.25">
      <c r="A45" s="106">
        <f t="shared" ca="1" si="0"/>
        <v>42631</v>
      </c>
      <c r="B45" s="107"/>
      <c r="C45" s="107"/>
      <c r="D45" s="108"/>
      <c r="E45" s="109">
        <f t="shared" ca="1" si="1"/>
        <v>299</v>
      </c>
      <c r="F45" s="72">
        <f ca="1">SUM(E45:OFFSET(E45,-crLead_Time-crSaf_Time+1,0))</f>
        <v>897</v>
      </c>
      <c r="G45" s="98">
        <f ca="1">IF(F45&gt;=I46,IF(crFixedLot&gt;0,crFixedLot,(INT(SUM(E45:OFFSET(E45,-Simulation!$B$7+1,0))/crRoundingValue)+1)*crRoundingValue),0)</f>
        <v>0</v>
      </c>
      <c r="H45" s="98">
        <f t="shared" ca="1" si="2"/>
        <v>0</v>
      </c>
      <c r="I45" s="72">
        <f t="shared" ca="1" si="3"/>
        <v>7992</v>
      </c>
      <c r="J45" s="72">
        <f t="shared" ca="1" si="4"/>
        <v>7992</v>
      </c>
      <c r="K45" s="72">
        <f t="shared" ca="1" si="5"/>
        <v>0</v>
      </c>
      <c r="L45" s="71">
        <f t="shared" ca="1" si="6"/>
        <v>9</v>
      </c>
    </row>
    <row r="46" spans="1:12" s="71" customFormat="1" hidden="1" x14ac:dyDescent="0.25">
      <c r="A46" s="106">
        <f t="shared" ca="1" si="0"/>
        <v>42630</v>
      </c>
      <c r="B46" s="107"/>
      <c r="C46" s="107"/>
      <c r="D46" s="108"/>
      <c r="E46" s="109">
        <f t="shared" ca="1" si="1"/>
        <v>299</v>
      </c>
      <c r="F46" s="72">
        <f ca="1">SUM(E46:OFFSET(E46,-crLead_Time-crSaf_Time+1,0))</f>
        <v>897</v>
      </c>
      <c r="G46" s="98">
        <f ca="1">IF(F46&gt;=I47,IF(crFixedLot&gt;0,crFixedLot,(INT(SUM(E46:OFFSET(E46,-Simulation!$B$7+1,0))/crRoundingValue)+1)*crRoundingValue),0)</f>
        <v>0</v>
      </c>
      <c r="H46" s="98">
        <f t="shared" ca="1" si="2"/>
        <v>0</v>
      </c>
      <c r="I46" s="72">
        <f t="shared" ca="1" si="3"/>
        <v>7992</v>
      </c>
      <c r="J46" s="72">
        <f t="shared" ca="1" si="4"/>
        <v>7992</v>
      </c>
      <c r="K46" s="72">
        <f t="shared" ca="1" si="5"/>
        <v>0</v>
      </c>
      <c r="L46" s="71">
        <f t="shared" ca="1" si="6"/>
        <v>9</v>
      </c>
    </row>
    <row r="47" spans="1:12" s="71" customFormat="1" hidden="1" x14ac:dyDescent="0.25">
      <c r="A47" s="106">
        <f t="shared" ca="1" si="0"/>
        <v>42629</v>
      </c>
      <c r="B47" s="107"/>
      <c r="C47" s="107"/>
      <c r="D47" s="108"/>
      <c r="E47" s="109">
        <f t="shared" ca="1" si="1"/>
        <v>299</v>
      </c>
      <c r="F47" s="72">
        <f ca="1">SUM(E47:OFFSET(E47,-crLead_Time-crSaf_Time+1,0))</f>
        <v>897</v>
      </c>
      <c r="G47" s="98">
        <f ca="1">IF(F47&gt;=I48,IF(crFixedLot&gt;0,crFixedLot,(INT(SUM(E47:OFFSET(E47,-Simulation!$B$7+1,0))/crRoundingValue)+1)*crRoundingValue),0)</f>
        <v>0</v>
      </c>
      <c r="H47" s="98">
        <f t="shared" ca="1" si="2"/>
        <v>0</v>
      </c>
      <c r="I47" s="72">
        <f t="shared" ca="1" si="3"/>
        <v>7992</v>
      </c>
      <c r="J47" s="72">
        <f t="shared" ca="1" si="4"/>
        <v>7992</v>
      </c>
      <c r="K47" s="72">
        <f t="shared" ca="1" si="5"/>
        <v>0</v>
      </c>
      <c r="L47" s="71">
        <f t="shared" ca="1" si="6"/>
        <v>9</v>
      </c>
    </row>
    <row r="48" spans="1:12" s="71" customFormat="1" hidden="1" x14ac:dyDescent="0.25">
      <c r="A48" s="106">
        <f t="shared" ca="1" si="0"/>
        <v>42628</v>
      </c>
      <c r="B48" s="107"/>
      <c r="C48" s="107"/>
      <c r="D48" s="108"/>
      <c r="E48" s="109">
        <f t="shared" ca="1" si="1"/>
        <v>299</v>
      </c>
      <c r="F48" s="72">
        <f ca="1">SUM(E48:OFFSET(E48,-crLead_Time-crSaf_Time+1,0))</f>
        <v>897</v>
      </c>
      <c r="G48" s="98">
        <f ca="1">IF(F48&gt;=I49,IF(crFixedLot&gt;0,crFixedLot,(INT(SUM(E48:OFFSET(E48,-Simulation!$B$7+1,0))/crRoundingValue)+1)*crRoundingValue),0)</f>
        <v>0</v>
      </c>
      <c r="H48" s="98">
        <f t="shared" ca="1" si="2"/>
        <v>0</v>
      </c>
      <c r="I48" s="72">
        <f t="shared" ca="1" si="3"/>
        <v>7992</v>
      </c>
      <c r="J48" s="72">
        <f t="shared" ca="1" si="4"/>
        <v>7992</v>
      </c>
      <c r="K48" s="72">
        <f t="shared" ca="1" si="5"/>
        <v>0</v>
      </c>
      <c r="L48" s="71">
        <f t="shared" ca="1" si="6"/>
        <v>9</v>
      </c>
    </row>
    <row r="49" spans="1:12" s="71" customFormat="1" hidden="1" x14ac:dyDescent="0.25">
      <c r="A49" s="106">
        <f t="shared" ca="1" si="0"/>
        <v>42627</v>
      </c>
      <c r="B49" s="107"/>
      <c r="C49" s="107"/>
      <c r="D49" s="108"/>
      <c r="E49" s="109">
        <f t="shared" ca="1" si="1"/>
        <v>299</v>
      </c>
      <c r="F49" s="72">
        <f ca="1">SUM(E49:OFFSET(E49,-crLead_Time-crSaf_Time+1,0))</f>
        <v>897</v>
      </c>
      <c r="G49" s="98">
        <f ca="1">IF(F49&gt;=I50,IF(crFixedLot&gt;0,crFixedLot,(INT(SUM(E49:OFFSET(E49,-Simulation!$B$7+1,0))/crRoundingValue)+1)*crRoundingValue),0)</f>
        <v>0</v>
      </c>
      <c r="H49" s="98">
        <f t="shared" ca="1" si="2"/>
        <v>0</v>
      </c>
      <c r="I49" s="72">
        <f t="shared" ca="1" si="3"/>
        <v>7992</v>
      </c>
      <c r="J49" s="72">
        <f t="shared" ca="1" si="4"/>
        <v>7992</v>
      </c>
      <c r="K49" s="72">
        <f t="shared" ca="1" si="5"/>
        <v>0</v>
      </c>
      <c r="L49" s="71">
        <f t="shared" ca="1" si="6"/>
        <v>9</v>
      </c>
    </row>
    <row r="50" spans="1:12" s="71" customFormat="1" hidden="1" x14ac:dyDescent="0.25">
      <c r="A50" s="106">
        <f t="shared" ca="1" si="0"/>
        <v>42626</v>
      </c>
      <c r="B50" s="107"/>
      <c r="C50" s="107"/>
      <c r="D50" s="108"/>
      <c r="E50" s="109">
        <f t="shared" ca="1" si="1"/>
        <v>299</v>
      </c>
      <c r="F50" s="72">
        <f ca="1">SUM(E50:OFFSET(E50,-crLead_Time-crSaf_Time+1,0))</f>
        <v>897</v>
      </c>
      <c r="G50" s="98">
        <f ca="1">IF(F50&gt;=I51,IF(crFixedLot&gt;0,crFixedLot,(INT(SUM(E50:OFFSET(E50,-Simulation!$B$7+1,0))/crRoundingValue)+1)*crRoundingValue),0)</f>
        <v>0</v>
      </c>
      <c r="H50" s="98">
        <f t="shared" ca="1" si="2"/>
        <v>0</v>
      </c>
      <c r="I50" s="72">
        <f t="shared" ca="1" si="3"/>
        <v>7992</v>
      </c>
      <c r="J50" s="72">
        <f t="shared" ca="1" si="4"/>
        <v>7992</v>
      </c>
      <c r="K50" s="72">
        <f t="shared" ca="1" si="5"/>
        <v>0</v>
      </c>
      <c r="L50" s="71">
        <f t="shared" ca="1" si="6"/>
        <v>9</v>
      </c>
    </row>
    <row r="51" spans="1:12" s="71" customFormat="1" hidden="1" x14ac:dyDescent="0.25">
      <c r="A51" s="106">
        <f t="shared" ca="1" si="0"/>
        <v>42625</v>
      </c>
      <c r="B51" s="107"/>
      <c r="C51" s="107"/>
      <c r="D51" s="108"/>
      <c r="E51" s="109">
        <f t="shared" ca="1" si="1"/>
        <v>299</v>
      </c>
      <c r="F51" s="72">
        <f ca="1">SUM(E51:OFFSET(E51,-crLead_Time-crSaf_Time+1,0))</f>
        <v>897</v>
      </c>
      <c r="G51" s="98">
        <f ca="1">IF(F51&gt;=I52,IF(crFixedLot&gt;0,crFixedLot,(INT(SUM(E51:OFFSET(E51,-Simulation!$B$7+1,0))/crRoundingValue)+1)*crRoundingValue),0)</f>
        <v>0</v>
      </c>
      <c r="H51" s="98">
        <f t="shared" ca="1" si="2"/>
        <v>0</v>
      </c>
      <c r="I51" s="72">
        <f t="shared" ca="1" si="3"/>
        <v>7992</v>
      </c>
      <c r="J51" s="72">
        <f t="shared" ca="1" si="4"/>
        <v>7992</v>
      </c>
      <c r="K51" s="72">
        <f t="shared" ca="1" si="5"/>
        <v>0</v>
      </c>
      <c r="L51" s="71">
        <f t="shared" ca="1" si="6"/>
        <v>9</v>
      </c>
    </row>
    <row r="52" spans="1:12" s="71" customFormat="1" hidden="1" x14ac:dyDescent="0.25">
      <c r="A52" s="106">
        <f t="shared" ca="1" si="0"/>
        <v>42624</v>
      </c>
      <c r="B52" s="107"/>
      <c r="C52" s="107"/>
      <c r="D52" s="108"/>
      <c r="E52" s="109">
        <f t="shared" ca="1" si="1"/>
        <v>299</v>
      </c>
      <c r="F52" s="72">
        <f ca="1">SUM(E52:OFFSET(E52,-crLead_Time-crSaf_Time+1,0))</f>
        <v>897</v>
      </c>
      <c r="G52" s="98">
        <f ca="1">IF(F52&gt;=I53,IF(crFixedLot&gt;0,crFixedLot,(INT(SUM(E52:OFFSET(E52,-Simulation!$B$7+1,0))/crRoundingValue)+1)*crRoundingValue),0)</f>
        <v>0</v>
      </c>
      <c r="H52" s="98">
        <f t="shared" ca="1" si="2"/>
        <v>0</v>
      </c>
      <c r="I52" s="72">
        <f t="shared" ca="1" si="3"/>
        <v>7992</v>
      </c>
      <c r="J52" s="72">
        <f t="shared" ca="1" si="4"/>
        <v>7992</v>
      </c>
      <c r="K52" s="72">
        <f t="shared" ca="1" si="5"/>
        <v>0</v>
      </c>
      <c r="L52" s="71">
        <f t="shared" ca="1" si="6"/>
        <v>9</v>
      </c>
    </row>
    <row r="53" spans="1:12" s="71" customFormat="1" hidden="1" x14ac:dyDescent="0.25">
      <c r="A53" s="106">
        <f t="shared" ca="1" si="0"/>
        <v>42623</v>
      </c>
      <c r="B53" s="107"/>
      <c r="C53" s="107"/>
      <c r="D53" s="108"/>
      <c r="E53" s="109">
        <f t="shared" ca="1" si="1"/>
        <v>299</v>
      </c>
      <c r="F53" s="72">
        <f ca="1">SUM(E53:OFFSET(E53,-crLead_Time-crSaf_Time+1,0))</f>
        <v>897</v>
      </c>
      <c r="G53" s="98">
        <f ca="1">IF(F53&gt;=I54,IF(crFixedLot&gt;0,crFixedLot,(INT(SUM(E53:OFFSET(E53,-Simulation!$B$7+1,0))/crRoundingValue)+1)*crRoundingValue),0)</f>
        <v>0</v>
      </c>
      <c r="H53" s="98">
        <f t="shared" ca="1" si="2"/>
        <v>0</v>
      </c>
      <c r="I53" s="72">
        <f t="shared" ca="1" si="3"/>
        <v>7992</v>
      </c>
      <c r="J53" s="72">
        <f t="shared" ca="1" si="4"/>
        <v>7992</v>
      </c>
      <c r="K53" s="72">
        <f t="shared" ca="1" si="5"/>
        <v>0</v>
      </c>
      <c r="L53" s="71">
        <f t="shared" ca="1" si="6"/>
        <v>9</v>
      </c>
    </row>
    <row r="54" spans="1:12" s="71" customFormat="1" hidden="1" x14ac:dyDescent="0.25">
      <c r="A54" s="106">
        <f t="shared" ca="1" si="0"/>
        <v>42622</v>
      </c>
      <c r="B54" s="107"/>
      <c r="C54" s="107"/>
      <c r="D54" s="108"/>
      <c r="E54" s="109">
        <f t="shared" ca="1" si="1"/>
        <v>299</v>
      </c>
      <c r="F54" s="72">
        <f ca="1">SUM(E54:OFFSET(E54,-crLead_Time-crSaf_Time+1,0))</f>
        <v>897</v>
      </c>
      <c r="G54" s="98">
        <f ca="1">IF(F54&gt;=I55,IF(crFixedLot&gt;0,crFixedLot,(INT(SUM(E54:OFFSET(E54,-Simulation!$B$7+1,0))/crRoundingValue)+1)*crRoundingValue),0)</f>
        <v>0</v>
      </c>
      <c r="H54" s="98">
        <f t="shared" ca="1" si="2"/>
        <v>0</v>
      </c>
      <c r="I54" s="72">
        <f t="shared" ca="1" si="3"/>
        <v>7992</v>
      </c>
      <c r="J54" s="72">
        <f t="shared" ca="1" si="4"/>
        <v>7992</v>
      </c>
      <c r="K54" s="72">
        <f t="shared" ca="1" si="5"/>
        <v>0</v>
      </c>
      <c r="L54" s="71">
        <f t="shared" ca="1" si="6"/>
        <v>9</v>
      </c>
    </row>
    <row r="55" spans="1:12" s="71" customFormat="1" hidden="1" x14ac:dyDescent="0.25">
      <c r="A55" s="106">
        <f t="shared" ca="1" si="0"/>
        <v>42621</v>
      </c>
      <c r="B55" s="107"/>
      <c r="C55" s="107"/>
      <c r="D55" s="108"/>
      <c r="E55" s="109">
        <f t="shared" ca="1" si="1"/>
        <v>299</v>
      </c>
      <c r="F55" s="72">
        <f ca="1">SUM(E55:OFFSET(E55,-crLead_Time-crSaf_Time+1,0))</f>
        <v>897</v>
      </c>
      <c r="G55" s="98">
        <f ca="1">IF(F55&gt;=I56,IF(crFixedLot&gt;0,crFixedLot,(INT(SUM(E55:OFFSET(E55,-Simulation!$B$7+1,0))/crRoundingValue)+1)*crRoundingValue),0)</f>
        <v>0</v>
      </c>
      <c r="H55" s="98">
        <f t="shared" ca="1" si="2"/>
        <v>0</v>
      </c>
      <c r="I55" s="72">
        <f t="shared" ca="1" si="3"/>
        <v>7992</v>
      </c>
      <c r="J55" s="72">
        <f t="shared" ca="1" si="4"/>
        <v>7992</v>
      </c>
      <c r="K55" s="72">
        <f t="shared" ca="1" si="5"/>
        <v>0</v>
      </c>
      <c r="L55" s="71">
        <f t="shared" ca="1" si="6"/>
        <v>9</v>
      </c>
    </row>
    <row r="56" spans="1:12" s="71" customFormat="1" hidden="1" x14ac:dyDescent="0.25">
      <c r="A56" s="106">
        <f t="shared" ca="1" si="0"/>
        <v>42620</v>
      </c>
      <c r="B56" s="107"/>
      <c r="C56" s="107"/>
      <c r="D56" s="108"/>
      <c r="E56" s="109">
        <f t="shared" ca="1" si="1"/>
        <v>299</v>
      </c>
      <c r="F56" s="72">
        <f ca="1">SUM(E56:OFFSET(E56,-crLead_Time-crSaf_Time+1,0))</f>
        <v>897</v>
      </c>
      <c r="G56" s="98">
        <f ca="1">IF(F56&gt;=I57,IF(crFixedLot&gt;0,crFixedLot,(INT(SUM(E56:OFFSET(E56,-Simulation!$B$7+1,0))/crRoundingValue)+1)*crRoundingValue),0)</f>
        <v>0</v>
      </c>
      <c r="H56" s="98">
        <f t="shared" ca="1" si="2"/>
        <v>0</v>
      </c>
      <c r="I56" s="72">
        <f t="shared" ca="1" si="3"/>
        <v>7992</v>
      </c>
      <c r="J56" s="72">
        <f t="shared" ca="1" si="4"/>
        <v>7992</v>
      </c>
      <c r="K56" s="72">
        <f t="shared" ca="1" si="5"/>
        <v>0</v>
      </c>
      <c r="L56" s="71">
        <f t="shared" ca="1" si="6"/>
        <v>9</v>
      </c>
    </row>
    <row r="57" spans="1:12" s="71" customFormat="1" hidden="1" x14ac:dyDescent="0.25">
      <c r="A57" s="106">
        <f t="shared" ca="1" si="0"/>
        <v>42619</v>
      </c>
      <c r="B57" s="107"/>
      <c r="C57" s="107"/>
      <c r="D57" s="108"/>
      <c r="E57" s="109">
        <f t="shared" ca="1" si="1"/>
        <v>299</v>
      </c>
      <c r="F57" s="72">
        <f ca="1">SUM(E57:OFFSET(E57,-crLead_Time-crSaf_Time+1,0))</f>
        <v>897</v>
      </c>
      <c r="G57" s="98">
        <f ca="1">IF(F57&gt;=I58,IF(crFixedLot&gt;0,crFixedLot,(INT(SUM(E57:OFFSET(E57,-Simulation!$B$7+1,0))/crRoundingValue)+1)*crRoundingValue),0)</f>
        <v>0</v>
      </c>
      <c r="H57" s="98">
        <f t="shared" ca="1" si="2"/>
        <v>0</v>
      </c>
      <c r="I57" s="72">
        <f t="shared" ca="1" si="3"/>
        <v>7992</v>
      </c>
      <c r="J57" s="72">
        <f t="shared" ca="1" si="4"/>
        <v>7992</v>
      </c>
      <c r="K57" s="72">
        <f t="shared" ca="1" si="5"/>
        <v>0</v>
      </c>
      <c r="L57" s="71">
        <f t="shared" ca="1" si="6"/>
        <v>9</v>
      </c>
    </row>
    <row r="58" spans="1:12" s="71" customFormat="1" hidden="1" x14ac:dyDescent="0.25">
      <c r="A58" s="106">
        <f t="shared" ca="1" si="0"/>
        <v>42618</v>
      </c>
      <c r="B58" s="107"/>
      <c r="C58" s="107"/>
      <c r="D58" s="108"/>
      <c r="E58" s="109">
        <f t="shared" ca="1" si="1"/>
        <v>299</v>
      </c>
      <c r="F58" s="72">
        <f ca="1">SUM(E58:OFFSET(E58,-crLead_Time-crSaf_Time+1,0))</f>
        <v>897</v>
      </c>
      <c r="G58" s="98">
        <f ca="1">IF(F58&gt;=I59,IF(crFixedLot&gt;0,crFixedLot,(INT(SUM(E58:OFFSET(E58,-Simulation!$B$7+1,0))/crRoundingValue)+1)*crRoundingValue),0)</f>
        <v>0</v>
      </c>
      <c r="H58" s="98">
        <f t="shared" ca="1" si="2"/>
        <v>0</v>
      </c>
      <c r="I58" s="72">
        <f t="shared" ca="1" si="3"/>
        <v>7992</v>
      </c>
      <c r="J58" s="72">
        <f t="shared" ca="1" si="4"/>
        <v>7992</v>
      </c>
      <c r="K58" s="72">
        <f t="shared" ca="1" si="5"/>
        <v>0</v>
      </c>
      <c r="L58" s="71">
        <f t="shared" ca="1" si="6"/>
        <v>9</v>
      </c>
    </row>
    <row r="59" spans="1:12" s="71" customFormat="1" hidden="1" x14ac:dyDescent="0.25">
      <c r="A59" s="106">
        <f t="shared" ca="1" si="0"/>
        <v>42617</v>
      </c>
      <c r="B59" s="107"/>
      <c r="C59" s="107"/>
      <c r="D59" s="108"/>
      <c r="E59" s="109">
        <f t="shared" ca="1" si="1"/>
        <v>299</v>
      </c>
      <c r="F59" s="72">
        <f ca="1">SUM(E59:OFFSET(E59,-crLead_Time-crSaf_Time+1,0))</f>
        <v>897</v>
      </c>
      <c r="G59" s="98">
        <f ca="1">IF(F59&gt;=I60,IF(crFixedLot&gt;0,crFixedLot,(INT(SUM(E59:OFFSET(E59,-Simulation!$B$7+1,0))/crRoundingValue)+1)*crRoundingValue),0)</f>
        <v>0</v>
      </c>
      <c r="H59" s="98">
        <f t="shared" ca="1" si="2"/>
        <v>0</v>
      </c>
      <c r="I59" s="72">
        <f t="shared" ca="1" si="3"/>
        <v>7992</v>
      </c>
      <c r="J59" s="72">
        <f t="shared" ca="1" si="4"/>
        <v>7992</v>
      </c>
      <c r="K59" s="72">
        <f t="shared" ca="1" si="5"/>
        <v>0</v>
      </c>
      <c r="L59" s="71">
        <f t="shared" ca="1" si="6"/>
        <v>9</v>
      </c>
    </row>
    <row r="60" spans="1:12" s="71" customFormat="1" hidden="1" x14ac:dyDescent="0.25">
      <c r="A60" s="106">
        <f t="shared" ca="1" si="0"/>
        <v>42616</v>
      </c>
      <c r="B60" s="107"/>
      <c r="C60" s="107"/>
      <c r="D60" s="108"/>
      <c r="E60" s="109">
        <f t="shared" ca="1" si="1"/>
        <v>299</v>
      </c>
      <c r="F60" s="72">
        <f ca="1">SUM(E60:OFFSET(E60,-crLead_Time-crSaf_Time+1,0))</f>
        <v>897</v>
      </c>
      <c r="G60" s="98">
        <f ca="1">IF(F60&gt;=I61,IF(crFixedLot&gt;0,crFixedLot,(INT(SUM(E60:OFFSET(E60,-Simulation!$B$7+1,0))/crRoundingValue)+1)*crRoundingValue),0)</f>
        <v>0</v>
      </c>
      <c r="H60" s="98">
        <f t="shared" ca="1" si="2"/>
        <v>0</v>
      </c>
      <c r="I60" s="72">
        <f t="shared" ca="1" si="3"/>
        <v>7992</v>
      </c>
      <c r="J60" s="72">
        <f t="shared" ca="1" si="4"/>
        <v>7992</v>
      </c>
      <c r="K60" s="72">
        <f t="shared" ca="1" si="5"/>
        <v>0</v>
      </c>
      <c r="L60" s="71">
        <f t="shared" ca="1" si="6"/>
        <v>9</v>
      </c>
    </row>
    <row r="61" spans="1:12" s="71" customFormat="1" hidden="1" x14ac:dyDescent="0.25">
      <c r="A61" s="106">
        <f t="shared" ca="1" si="0"/>
        <v>42615</v>
      </c>
      <c r="B61" s="107"/>
      <c r="C61" s="107"/>
      <c r="D61" s="108"/>
      <c r="E61" s="109">
        <f t="shared" ca="1" si="1"/>
        <v>299</v>
      </c>
      <c r="F61" s="72">
        <f ca="1">SUM(E61:OFFSET(E61,-crLead_Time-crSaf_Time+1,0))</f>
        <v>897</v>
      </c>
      <c r="G61" s="98">
        <f ca="1">IF(F61&gt;=I62,IF(crFixedLot&gt;0,crFixedLot,(INT(SUM(E61:OFFSET(E61,-Simulation!$B$7+1,0))/crRoundingValue)+1)*crRoundingValue),0)</f>
        <v>0</v>
      </c>
      <c r="H61" s="98">
        <f t="shared" ca="1" si="2"/>
        <v>0</v>
      </c>
      <c r="I61" s="72">
        <f t="shared" ca="1" si="3"/>
        <v>7992</v>
      </c>
      <c r="J61" s="72">
        <f t="shared" ca="1" si="4"/>
        <v>7992</v>
      </c>
      <c r="K61" s="72">
        <f t="shared" ca="1" si="5"/>
        <v>0</v>
      </c>
      <c r="L61" s="71">
        <f t="shared" ca="1" si="6"/>
        <v>9</v>
      </c>
    </row>
    <row r="62" spans="1:12" s="71" customFormat="1" hidden="1" x14ac:dyDescent="0.25">
      <c r="A62" s="106">
        <f t="shared" ca="1" si="0"/>
        <v>42614</v>
      </c>
      <c r="B62" s="107"/>
      <c r="C62" s="107"/>
      <c r="D62" s="108"/>
      <c r="E62" s="109">
        <f t="shared" ca="1" si="1"/>
        <v>299</v>
      </c>
      <c r="F62" s="72">
        <f ca="1">SUM(E62:OFFSET(E62,-crLead_Time-crSaf_Time+1,0))</f>
        <v>897</v>
      </c>
      <c r="G62" s="98">
        <f ca="1">IF(F62&gt;=I63,IF(crFixedLot&gt;0,crFixedLot,(INT(SUM(E62:OFFSET(E62,-Simulation!$B$7+1,0))/crRoundingValue)+1)*crRoundingValue),0)</f>
        <v>0</v>
      </c>
      <c r="H62" s="98">
        <f t="shared" ca="1" si="2"/>
        <v>0</v>
      </c>
      <c r="I62" s="72">
        <f t="shared" ca="1" si="3"/>
        <v>7992</v>
      </c>
      <c r="J62" s="72">
        <f t="shared" ca="1" si="4"/>
        <v>7992</v>
      </c>
      <c r="K62" s="72">
        <f t="shared" ca="1" si="5"/>
        <v>0</v>
      </c>
      <c r="L62" s="71">
        <f t="shared" ca="1" si="6"/>
        <v>9</v>
      </c>
    </row>
    <row r="63" spans="1:12" s="71" customFormat="1" hidden="1" x14ac:dyDescent="0.25">
      <c r="A63" s="106">
        <f t="shared" ca="1" si="0"/>
        <v>42613</v>
      </c>
      <c r="B63" s="107"/>
      <c r="C63" s="107"/>
      <c r="D63" s="108"/>
      <c r="E63" s="109">
        <f t="shared" ca="1" si="1"/>
        <v>185.21739130434781</v>
      </c>
      <c r="F63" s="72">
        <f ca="1">SUM(E63:OFFSET(E63,-crLead_Time-crSaf_Time+1,0))</f>
        <v>783.21739130434776</v>
      </c>
      <c r="G63" s="98">
        <f ca="1">IF(F63&gt;=I64,IF(crFixedLot&gt;0,crFixedLot,(INT(SUM(E63:OFFSET(E63,-Simulation!$B$7+1,0))/crRoundingValue)+1)*crRoundingValue),0)</f>
        <v>0</v>
      </c>
      <c r="H63" s="98">
        <f t="shared" ca="1" si="2"/>
        <v>0</v>
      </c>
      <c r="I63" s="72">
        <f t="shared" ca="1" si="3"/>
        <v>7992</v>
      </c>
      <c r="J63" s="72">
        <f t="shared" ca="1" si="4"/>
        <v>7992</v>
      </c>
      <c r="K63" s="72">
        <f t="shared" ca="1" si="5"/>
        <v>0</v>
      </c>
      <c r="L63" s="71">
        <f t="shared" ca="1" si="6"/>
        <v>8</v>
      </c>
    </row>
    <row r="64" spans="1:12" s="71" customFormat="1" hidden="1" x14ac:dyDescent="0.25">
      <c r="A64" s="106">
        <f t="shared" ca="1" si="0"/>
        <v>42612</v>
      </c>
      <c r="B64" s="107"/>
      <c r="C64" s="107"/>
      <c r="D64" s="108"/>
      <c r="E64" s="109">
        <f t="shared" ca="1" si="1"/>
        <v>185.21739130434781</v>
      </c>
      <c r="F64" s="72">
        <f ca="1">SUM(E64:OFFSET(E64,-crLead_Time-crSaf_Time+1,0))</f>
        <v>669.43478260869563</v>
      </c>
      <c r="G64" s="98">
        <f ca="1">IF(F64&gt;=I65,IF(crFixedLot&gt;0,crFixedLot,(INT(SUM(E64:OFFSET(E64,-Simulation!$B$7+1,0))/crRoundingValue)+1)*crRoundingValue),0)</f>
        <v>0</v>
      </c>
      <c r="H64" s="98">
        <f t="shared" ca="1" si="2"/>
        <v>0</v>
      </c>
      <c r="I64" s="72">
        <f t="shared" ca="1" si="3"/>
        <v>7992</v>
      </c>
      <c r="J64" s="72">
        <f t="shared" ca="1" si="4"/>
        <v>7992</v>
      </c>
      <c r="K64" s="72">
        <f t="shared" ca="1" si="5"/>
        <v>0</v>
      </c>
      <c r="L64" s="71">
        <f t="shared" ca="1" si="6"/>
        <v>8</v>
      </c>
    </row>
    <row r="65" spans="1:12" s="71" customFormat="1" hidden="1" x14ac:dyDescent="0.25">
      <c r="A65" s="106">
        <f t="shared" ca="1" si="0"/>
        <v>42611</v>
      </c>
      <c r="B65" s="107"/>
      <c r="C65" s="107"/>
      <c r="D65" s="108"/>
      <c r="E65" s="109">
        <f t="shared" ca="1" si="1"/>
        <v>185.21739130434781</v>
      </c>
      <c r="F65" s="72">
        <f ca="1">SUM(E65:OFFSET(E65,-crLead_Time-crSaf_Time+1,0))</f>
        <v>555.6521739130435</v>
      </c>
      <c r="G65" s="98">
        <f ca="1">IF(F65&gt;=I66,IF(crFixedLot&gt;0,crFixedLot,(INT(SUM(E65:OFFSET(E65,-Simulation!$B$7+1,0))/crRoundingValue)+1)*crRoundingValue),0)</f>
        <v>0</v>
      </c>
      <c r="H65" s="98">
        <f t="shared" ca="1" si="2"/>
        <v>0</v>
      </c>
      <c r="I65" s="72">
        <f t="shared" ca="1" si="3"/>
        <v>7992</v>
      </c>
      <c r="J65" s="72">
        <f t="shared" ca="1" si="4"/>
        <v>7992</v>
      </c>
      <c r="K65" s="72">
        <f t="shared" ca="1" si="5"/>
        <v>0</v>
      </c>
      <c r="L65" s="71">
        <f t="shared" ca="1" si="6"/>
        <v>8</v>
      </c>
    </row>
    <row r="66" spans="1:12" s="71" customFormat="1" hidden="1" x14ac:dyDescent="0.25">
      <c r="A66" s="106">
        <f t="shared" ref="A66:A129" ca="1" si="7">A67+1</f>
        <v>42610</v>
      </c>
      <c r="B66" s="107"/>
      <c r="C66" s="107"/>
      <c r="D66" s="108"/>
      <c r="E66" s="109">
        <f t="shared" ref="E66:E129" ca="1" si="8">VLOOKUP(MONTH(A66),rForecast,4,FALSE)</f>
        <v>185.21739130434781</v>
      </c>
      <c r="F66" s="72">
        <f ca="1">SUM(E66:OFFSET(E66,-crLead_Time-crSaf_Time+1,0))</f>
        <v>555.6521739130435</v>
      </c>
      <c r="G66" s="98">
        <f ca="1">IF(F66&gt;=I67,IF(crFixedLot&gt;0,crFixedLot,(INT(SUM(E66:OFFSET(E66,-Simulation!$B$7+1,0))/crRoundingValue)+1)*crRoundingValue),0)</f>
        <v>0</v>
      </c>
      <c r="H66" s="98">
        <f t="shared" ref="H66:H129" ca="1" si="9">OFFSET(G66,crLead_Time,0)</f>
        <v>0</v>
      </c>
      <c r="I66" s="72">
        <f t="shared" ref="I66:I129" ca="1" si="10">I67-C66+G66</f>
        <v>7992</v>
      </c>
      <c r="J66" s="72">
        <f t="shared" ref="J66:J129" ca="1" si="11">J67-C66+H66</f>
        <v>7992</v>
      </c>
      <c r="K66" s="72">
        <f t="shared" ref="K66:K129" ca="1" si="12">IF(AND(J66&lt;0,OFFSET(J66,1,0)&lt;0),IF(J66&lt;OFFSET(J66,1,0),J66-OFFSET(J66,1,0),0),IF(J66&lt;0,J66,0))</f>
        <v>0</v>
      </c>
      <c r="L66" s="71">
        <f t="shared" ca="1" si="6"/>
        <v>8</v>
      </c>
    </row>
    <row r="67" spans="1:12" s="71" customFormat="1" hidden="1" x14ac:dyDescent="0.25">
      <c r="A67" s="106">
        <f t="shared" ca="1" si="7"/>
        <v>42609</v>
      </c>
      <c r="B67" s="107"/>
      <c r="C67" s="107"/>
      <c r="D67" s="108"/>
      <c r="E67" s="109">
        <f t="shared" ca="1" si="8"/>
        <v>185.21739130434781</v>
      </c>
      <c r="F67" s="72">
        <f ca="1">SUM(E67:OFFSET(E67,-crLead_Time-crSaf_Time+1,0))</f>
        <v>555.6521739130435</v>
      </c>
      <c r="G67" s="98">
        <f ca="1">IF(F67&gt;=I68,IF(crFixedLot&gt;0,crFixedLot,(INT(SUM(E67:OFFSET(E67,-Simulation!$B$7+1,0))/crRoundingValue)+1)*crRoundingValue),0)</f>
        <v>0</v>
      </c>
      <c r="H67" s="98">
        <f t="shared" ca="1" si="9"/>
        <v>0</v>
      </c>
      <c r="I67" s="72">
        <f t="shared" ca="1" si="10"/>
        <v>7992</v>
      </c>
      <c r="J67" s="72">
        <f t="shared" ca="1" si="11"/>
        <v>7992</v>
      </c>
      <c r="K67" s="72">
        <f t="shared" ca="1" si="12"/>
        <v>0</v>
      </c>
      <c r="L67" s="71">
        <f t="shared" ref="L67:L130" ca="1" si="13">MONTH(A67)</f>
        <v>8</v>
      </c>
    </row>
    <row r="68" spans="1:12" s="71" customFormat="1" hidden="1" x14ac:dyDescent="0.25">
      <c r="A68" s="106">
        <f t="shared" ca="1" si="7"/>
        <v>42608</v>
      </c>
      <c r="B68" s="107"/>
      <c r="C68" s="107"/>
      <c r="D68" s="108"/>
      <c r="E68" s="109">
        <f t="shared" ca="1" si="8"/>
        <v>185.21739130434781</v>
      </c>
      <c r="F68" s="72">
        <f ca="1">SUM(E68:OFFSET(E68,-crLead_Time-crSaf_Time+1,0))</f>
        <v>555.6521739130435</v>
      </c>
      <c r="G68" s="98">
        <f ca="1">IF(F68&gt;=I69,IF(crFixedLot&gt;0,crFixedLot,(INT(SUM(E68:OFFSET(E68,-Simulation!$B$7+1,0))/crRoundingValue)+1)*crRoundingValue),0)</f>
        <v>0</v>
      </c>
      <c r="H68" s="98">
        <f t="shared" ca="1" si="9"/>
        <v>0</v>
      </c>
      <c r="I68" s="72">
        <f t="shared" ca="1" si="10"/>
        <v>7992</v>
      </c>
      <c r="J68" s="72">
        <f t="shared" ca="1" si="11"/>
        <v>7992</v>
      </c>
      <c r="K68" s="72">
        <f t="shared" ca="1" si="12"/>
        <v>0</v>
      </c>
      <c r="L68" s="71">
        <f t="shared" ca="1" si="13"/>
        <v>8</v>
      </c>
    </row>
    <row r="69" spans="1:12" s="71" customFormat="1" hidden="1" x14ac:dyDescent="0.25">
      <c r="A69" s="106">
        <f t="shared" ca="1" si="7"/>
        <v>42607</v>
      </c>
      <c r="B69" s="107"/>
      <c r="C69" s="107"/>
      <c r="D69" s="108"/>
      <c r="E69" s="109">
        <f t="shared" ca="1" si="8"/>
        <v>185.21739130434781</v>
      </c>
      <c r="F69" s="72">
        <f ca="1">SUM(E69:OFFSET(E69,-crLead_Time-crSaf_Time+1,0))</f>
        <v>555.6521739130435</v>
      </c>
      <c r="G69" s="98">
        <f ca="1">IF(F69&gt;=I70,IF(crFixedLot&gt;0,crFixedLot,(INT(SUM(E69:OFFSET(E69,-Simulation!$B$7+1,0))/crRoundingValue)+1)*crRoundingValue),0)</f>
        <v>0</v>
      </c>
      <c r="H69" s="98">
        <f t="shared" ca="1" si="9"/>
        <v>0</v>
      </c>
      <c r="I69" s="72">
        <f t="shared" ca="1" si="10"/>
        <v>7992</v>
      </c>
      <c r="J69" s="72">
        <f t="shared" ca="1" si="11"/>
        <v>7992</v>
      </c>
      <c r="K69" s="72">
        <f t="shared" ca="1" si="12"/>
        <v>0</v>
      </c>
      <c r="L69" s="71">
        <f t="shared" ca="1" si="13"/>
        <v>8</v>
      </c>
    </row>
    <row r="70" spans="1:12" s="71" customFormat="1" hidden="1" x14ac:dyDescent="0.25">
      <c r="A70" s="106">
        <f t="shared" ca="1" si="7"/>
        <v>42606</v>
      </c>
      <c r="B70" s="107"/>
      <c r="C70" s="107"/>
      <c r="D70" s="108"/>
      <c r="E70" s="109">
        <f t="shared" ca="1" si="8"/>
        <v>185.21739130434781</v>
      </c>
      <c r="F70" s="72">
        <f ca="1">SUM(E70:OFFSET(E70,-crLead_Time-crSaf_Time+1,0))</f>
        <v>555.6521739130435</v>
      </c>
      <c r="G70" s="98">
        <f ca="1">IF(F70&gt;=I71,IF(crFixedLot&gt;0,crFixedLot,(INT(SUM(E70:OFFSET(E70,-Simulation!$B$7+1,0))/crRoundingValue)+1)*crRoundingValue),0)</f>
        <v>0</v>
      </c>
      <c r="H70" s="98">
        <f t="shared" ca="1" si="9"/>
        <v>0</v>
      </c>
      <c r="I70" s="72">
        <f t="shared" ca="1" si="10"/>
        <v>7992</v>
      </c>
      <c r="J70" s="72">
        <f t="shared" ca="1" si="11"/>
        <v>7992</v>
      </c>
      <c r="K70" s="72">
        <f t="shared" ca="1" si="12"/>
        <v>0</v>
      </c>
      <c r="L70" s="71">
        <f t="shared" ca="1" si="13"/>
        <v>8</v>
      </c>
    </row>
    <row r="71" spans="1:12" s="71" customFormat="1" hidden="1" x14ac:dyDescent="0.25">
      <c r="A71" s="106">
        <f t="shared" ca="1" si="7"/>
        <v>42605</v>
      </c>
      <c r="B71" s="107"/>
      <c r="C71" s="107"/>
      <c r="D71" s="108"/>
      <c r="E71" s="109">
        <f t="shared" ca="1" si="8"/>
        <v>185.21739130434781</v>
      </c>
      <c r="F71" s="72">
        <f ca="1">SUM(E71:OFFSET(E71,-crLead_Time-crSaf_Time+1,0))</f>
        <v>555.6521739130435</v>
      </c>
      <c r="G71" s="98">
        <f ca="1">IF(F71&gt;=I72,IF(crFixedLot&gt;0,crFixedLot,(INT(SUM(E71:OFFSET(E71,-Simulation!$B$7+1,0))/crRoundingValue)+1)*crRoundingValue),0)</f>
        <v>0</v>
      </c>
      <c r="H71" s="98">
        <f t="shared" ca="1" si="9"/>
        <v>0</v>
      </c>
      <c r="I71" s="72">
        <f t="shared" ca="1" si="10"/>
        <v>7992</v>
      </c>
      <c r="J71" s="72">
        <f t="shared" ca="1" si="11"/>
        <v>7992</v>
      </c>
      <c r="K71" s="72">
        <f t="shared" ca="1" si="12"/>
        <v>0</v>
      </c>
      <c r="L71" s="71">
        <f t="shared" ca="1" si="13"/>
        <v>8</v>
      </c>
    </row>
    <row r="72" spans="1:12" s="71" customFormat="1" hidden="1" x14ac:dyDescent="0.25">
      <c r="A72" s="106">
        <f t="shared" ca="1" si="7"/>
        <v>42604</v>
      </c>
      <c r="B72" s="107"/>
      <c r="C72" s="107"/>
      <c r="D72" s="108"/>
      <c r="E72" s="109">
        <f t="shared" ca="1" si="8"/>
        <v>185.21739130434781</v>
      </c>
      <c r="F72" s="72">
        <f ca="1">SUM(E72:OFFSET(E72,-crLead_Time-crSaf_Time+1,0))</f>
        <v>555.6521739130435</v>
      </c>
      <c r="G72" s="98">
        <f ca="1">IF(F72&gt;=I73,IF(crFixedLot&gt;0,crFixedLot,(INT(SUM(E72:OFFSET(E72,-Simulation!$B$7+1,0))/crRoundingValue)+1)*crRoundingValue),0)</f>
        <v>0</v>
      </c>
      <c r="H72" s="98">
        <f t="shared" ca="1" si="9"/>
        <v>0</v>
      </c>
      <c r="I72" s="72">
        <f t="shared" ca="1" si="10"/>
        <v>7992</v>
      </c>
      <c r="J72" s="72">
        <f t="shared" ca="1" si="11"/>
        <v>7992</v>
      </c>
      <c r="K72" s="72">
        <f t="shared" ca="1" si="12"/>
        <v>0</v>
      </c>
      <c r="L72" s="71">
        <f t="shared" ca="1" si="13"/>
        <v>8</v>
      </c>
    </row>
    <row r="73" spans="1:12" s="71" customFormat="1" hidden="1" x14ac:dyDescent="0.25">
      <c r="A73" s="106">
        <f t="shared" ca="1" si="7"/>
        <v>42603</v>
      </c>
      <c r="B73" s="107"/>
      <c r="C73" s="107"/>
      <c r="D73" s="108"/>
      <c r="E73" s="109">
        <f t="shared" ca="1" si="8"/>
        <v>185.21739130434781</v>
      </c>
      <c r="F73" s="72">
        <f ca="1">SUM(E73:OFFSET(E73,-crLead_Time-crSaf_Time+1,0))</f>
        <v>555.6521739130435</v>
      </c>
      <c r="G73" s="98">
        <f ca="1">IF(F73&gt;=I74,IF(crFixedLot&gt;0,crFixedLot,(INT(SUM(E73:OFFSET(E73,-Simulation!$B$7+1,0))/crRoundingValue)+1)*crRoundingValue),0)</f>
        <v>0</v>
      </c>
      <c r="H73" s="98">
        <f t="shared" ca="1" si="9"/>
        <v>0</v>
      </c>
      <c r="I73" s="72">
        <f t="shared" ca="1" si="10"/>
        <v>7992</v>
      </c>
      <c r="J73" s="72">
        <f t="shared" ca="1" si="11"/>
        <v>7992</v>
      </c>
      <c r="K73" s="72">
        <f t="shared" ca="1" si="12"/>
        <v>0</v>
      </c>
      <c r="L73" s="71">
        <f t="shared" ca="1" si="13"/>
        <v>8</v>
      </c>
    </row>
    <row r="74" spans="1:12" s="71" customFormat="1" hidden="1" x14ac:dyDescent="0.25">
      <c r="A74" s="106">
        <f t="shared" ca="1" si="7"/>
        <v>42602</v>
      </c>
      <c r="B74" s="107"/>
      <c r="C74" s="107"/>
      <c r="D74" s="108"/>
      <c r="E74" s="109">
        <f t="shared" ca="1" si="8"/>
        <v>185.21739130434781</v>
      </c>
      <c r="F74" s="72">
        <f ca="1">SUM(E74:OFFSET(E74,-crLead_Time-crSaf_Time+1,0))</f>
        <v>555.6521739130435</v>
      </c>
      <c r="G74" s="98">
        <f ca="1">IF(F74&gt;=I75,IF(crFixedLot&gt;0,crFixedLot,(INT(SUM(E74:OFFSET(E74,-Simulation!$B$7+1,0))/crRoundingValue)+1)*crRoundingValue),0)</f>
        <v>0</v>
      </c>
      <c r="H74" s="98">
        <f t="shared" ca="1" si="9"/>
        <v>0</v>
      </c>
      <c r="I74" s="72">
        <f t="shared" ca="1" si="10"/>
        <v>7992</v>
      </c>
      <c r="J74" s="72">
        <f t="shared" ca="1" si="11"/>
        <v>7992</v>
      </c>
      <c r="K74" s="72">
        <f t="shared" ca="1" si="12"/>
        <v>0</v>
      </c>
      <c r="L74" s="71">
        <f t="shared" ca="1" si="13"/>
        <v>8</v>
      </c>
    </row>
    <row r="75" spans="1:12" s="71" customFormat="1" hidden="1" x14ac:dyDescent="0.25">
      <c r="A75" s="106">
        <f t="shared" ca="1" si="7"/>
        <v>42601</v>
      </c>
      <c r="B75" s="107"/>
      <c r="C75" s="107"/>
      <c r="D75" s="108"/>
      <c r="E75" s="109">
        <f t="shared" ca="1" si="8"/>
        <v>185.21739130434781</v>
      </c>
      <c r="F75" s="72">
        <f ca="1">SUM(E75:OFFSET(E75,-crLead_Time-crSaf_Time+1,0))</f>
        <v>555.6521739130435</v>
      </c>
      <c r="G75" s="98">
        <f ca="1">IF(F75&gt;=I76,IF(crFixedLot&gt;0,crFixedLot,(INT(SUM(E75:OFFSET(E75,-Simulation!$B$7+1,0))/crRoundingValue)+1)*crRoundingValue),0)</f>
        <v>0</v>
      </c>
      <c r="H75" s="98">
        <f t="shared" ca="1" si="9"/>
        <v>0</v>
      </c>
      <c r="I75" s="72">
        <f t="shared" ca="1" si="10"/>
        <v>7992</v>
      </c>
      <c r="J75" s="72">
        <f t="shared" ca="1" si="11"/>
        <v>7992</v>
      </c>
      <c r="K75" s="72">
        <f t="shared" ca="1" si="12"/>
        <v>0</v>
      </c>
      <c r="L75" s="71">
        <f t="shared" ca="1" si="13"/>
        <v>8</v>
      </c>
    </row>
    <row r="76" spans="1:12" s="71" customFormat="1" hidden="1" x14ac:dyDescent="0.25">
      <c r="A76" s="106">
        <f t="shared" ca="1" si="7"/>
        <v>42600</v>
      </c>
      <c r="B76" s="107"/>
      <c r="C76" s="107"/>
      <c r="D76" s="108"/>
      <c r="E76" s="109">
        <f t="shared" ca="1" si="8"/>
        <v>185.21739130434781</v>
      </c>
      <c r="F76" s="72">
        <f ca="1">SUM(E76:OFFSET(E76,-crLead_Time-crSaf_Time+1,0))</f>
        <v>555.6521739130435</v>
      </c>
      <c r="G76" s="98">
        <f ca="1">IF(F76&gt;=I77,IF(crFixedLot&gt;0,crFixedLot,(INT(SUM(E76:OFFSET(E76,-Simulation!$B$7+1,0))/crRoundingValue)+1)*crRoundingValue),0)</f>
        <v>0</v>
      </c>
      <c r="H76" s="98">
        <f t="shared" ca="1" si="9"/>
        <v>0</v>
      </c>
      <c r="I76" s="72">
        <f t="shared" ca="1" si="10"/>
        <v>7992</v>
      </c>
      <c r="J76" s="72">
        <f t="shared" ca="1" si="11"/>
        <v>7992</v>
      </c>
      <c r="K76" s="72">
        <f t="shared" ca="1" si="12"/>
        <v>0</v>
      </c>
      <c r="L76" s="71">
        <f t="shared" ca="1" si="13"/>
        <v>8</v>
      </c>
    </row>
    <row r="77" spans="1:12" s="71" customFormat="1" hidden="1" x14ac:dyDescent="0.25">
      <c r="A77" s="106">
        <f t="shared" ca="1" si="7"/>
        <v>42599</v>
      </c>
      <c r="B77" s="107"/>
      <c r="C77" s="107"/>
      <c r="D77" s="108"/>
      <c r="E77" s="109">
        <f t="shared" ca="1" si="8"/>
        <v>185.21739130434781</v>
      </c>
      <c r="F77" s="72">
        <f ca="1">SUM(E77:OFFSET(E77,-crLead_Time-crSaf_Time+1,0))</f>
        <v>555.6521739130435</v>
      </c>
      <c r="G77" s="98">
        <f ca="1">IF(F77&gt;=I78,IF(crFixedLot&gt;0,crFixedLot,(INT(SUM(E77:OFFSET(E77,-Simulation!$B$7+1,0))/crRoundingValue)+1)*crRoundingValue),0)</f>
        <v>0</v>
      </c>
      <c r="H77" s="98">
        <f t="shared" ca="1" si="9"/>
        <v>0</v>
      </c>
      <c r="I77" s="72">
        <f t="shared" ca="1" si="10"/>
        <v>7992</v>
      </c>
      <c r="J77" s="72">
        <f t="shared" ca="1" si="11"/>
        <v>7992</v>
      </c>
      <c r="K77" s="72">
        <f t="shared" ca="1" si="12"/>
        <v>0</v>
      </c>
      <c r="L77" s="71">
        <f t="shared" ca="1" si="13"/>
        <v>8</v>
      </c>
    </row>
    <row r="78" spans="1:12" s="71" customFormat="1" hidden="1" x14ac:dyDescent="0.25">
      <c r="A78" s="106">
        <f t="shared" ca="1" si="7"/>
        <v>42598</v>
      </c>
      <c r="B78" s="107"/>
      <c r="C78" s="107"/>
      <c r="D78" s="108"/>
      <c r="E78" s="109">
        <f t="shared" ca="1" si="8"/>
        <v>185.21739130434781</v>
      </c>
      <c r="F78" s="72">
        <f ca="1">SUM(E78:OFFSET(E78,-crLead_Time-crSaf_Time+1,0))</f>
        <v>555.6521739130435</v>
      </c>
      <c r="G78" s="98">
        <f ca="1">IF(F78&gt;=I79,IF(crFixedLot&gt;0,crFixedLot,(INT(SUM(E78:OFFSET(E78,-Simulation!$B$7+1,0))/crRoundingValue)+1)*crRoundingValue),0)</f>
        <v>0</v>
      </c>
      <c r="H78" s="98">
        <f t="shared" ca="1" si="9"/>
        <v>0</v>
      </c>
      <c r="I78" s="72">
        <f t="shared" ca="1" si="10"/>
        <v>7992</v>
      </c>
      <c r="J78" s="72">
        <f t="shared" ca="1" si="11"/>
        <v>7992</v>
      </c>
      <c r="K78" s="72">
        <f t="shared" ca="1" si="12"/>
        <v>0</v>
      </c>
      <c r="L78" s="71">
        <f t="shared" ca="1" si="13"/>
        <v>8</v>
      </c>
    </row>
    <row r="79" spans="1:12" s="71" customFormat="1" hidden="1" x14ac:dyDescent="0.25">
      <c r="A79" s="106">
        <f t="shared" ca="1" si="7"/>
        <v>42597</v>
      </c>
      <c r="B79" s="107"/>
      <c r="C79" s="107"/>
      <c r="D79" s="108"/>
      <c r="E79" s="109">
        <f t="shared" ca="1" si="8"/>
        <v>185.21739130434781</v>
      </c>
      <c r="F79" s="72">
        <f ca="1">SUM(E79:OFFSET(E79,-crLead_Time-crSaf_Time+1,0))</f>
        <v>555.6521739130435</v>
      </c>
      <c r="G79" s="98">
        <f ca="1">IF(F79&gt;=I80,IF(crFixedLot&gt;0,crFixedLot,(INT(SUM(E79:OFFSET(E79,-Simulation!$B$7+1,0))/crRoundingValue)+1)*crRoundingValue),0)</f>
        <v>0</v>
      </c>
      <c r="H79" s="98">
        <f t="shared" ca="1" si="9"/>
        <v>0</v>
      </c>
      <c r="I79" s="72">
        <f t="shared" ca="1" si="10"/>
        <v>7992</v>
      </c>
      <c r="J79" s="72">
        <f t="shared" ca="1" si="11"/>
        <v>7992</v>
      </c>
      <c r="K79" s="72">
        <f t="shared" ca="1" si="12"/>
        <v>0</v>
      </c>
      <c r="L79" s="71">
        <f t="shared" ca="1" si="13"/>
        <v>8</v>
      </c>
    </row>
    <row r="80" spans="1:12" s="71" customFormat="1" hidden="1" x14ac:dyDescent="0.25">
      <c r="A80" s="106">
        <f t="shared" ca="1" si="7"/>
        <v>42596</v>
      </c>
      <c r="B80" s="107"/>
      <c r="C80" s="107"/>
      <c r="D80" s="108"/>
      <c r="E80" s="109">
        <f t="shared" ca="1" si="8"/>
        <v>185.21739130434781</v>
      </c>
      <c r="F80" s="72">
        <f ca="1">SUM(E80:OFFSET(E80,-crLead_Time-crSaf_Time+1,0))</f>
        <v>555.6521739130435</v>
      </c>
      <c r="G80" s="98">
        <f ca="1">IF(F80&gt;=I81,IF(crFixedLot&gt;0,crFixedLot,(INT(SUM(E80:OFFSET(E80,-Simulation!$B$7+1,0))/crRoundingValue)+1)*crRoundingValue),0)</f>
        <v>0</v>
      </c>
      <c r="H80" s="98">
        <f t="shared" ca="1" si="9"/>
        <v>0</v>
      </c>
      <c r="I80" s="72">
        <f t="shared" ca="1" si="10"/>
        <v>7992</v>
      </c>
      <c r="J80" s="72">
        <f t="shared" ca="1" si="11"/>
        <v>7992</v>
      </c>
      <c r="K80" s="72">
        <f t="shared" ca="1" si="12"/>
        <v>0</v>
      </c>
      <c r="L80" s="71">
        <f t="shared" ca="1" si="13"/>
        <v>8</v>
      </c>
    </row>
    <row r="81" spans="1:12" s="71" customFormat="1" hidden="1" x14ac:dyDescent="0.25">
      <c r="A81" s="106">
        <f t="shared" ca="1" si="7"/>
        <v>42595</v>
      </c>
      <c r="B81" s="107"/>
      <c r="C81" s="107"/>
      <c r="D81" s="108"/>
      <c r="E81" s="109">
        <f t="shared" ca="1" si="8"/>
        <v>185.21739130434781</v>
      </c>
      <c r="F81" s="72">
        <f ca="1">SUM(E81:OFFSET(E81,-crLead_Time-crSaf_Time+1,0))</f>
        <v>555.6521739130435</v>
      </c>
      <c r="G81" s="98">
        <f ca="1">IF(F81&gt;=I82,IF(crFixedLot&gt;0,crFixedLot,(INT(SUM(E81:OFFSET(E81,-Simulation!$B$7+1,0))/crRoundingValue)+1)*crRoundingValue),0)</f>
        <v>0</v>
      </c>
      <c r="H81" s="98">
        <f t="shared" ca="1" si="9"/>
        <v>0</v>
      </c>
      <c r="I81" s="72">
        <f t="shared" ca="1" si="10"/>
        <v>7992</v>
      </c>
      <c r="J81" s="72">
        <f t="shared" ca="1" si="11"/>
        <v>7992</v>
      </c>
      <c r="K81" s="72">
        <f t="shared" ca="1" si="12"/>
        <v>0</v>
      </c>
      <c r="L81" s="71">
        <f t="shared" ca="1" si="13"/>
        <v>8</v>
      </c>
    </row>
    <row r="82" spans="1:12" s="71" customFormat="1" hidden="1" x14ac:dyDescent="0.25">
      <c r="A82" s="106">
        <f t="shared" ca="1" si="7"/>
        <v>42594</v>
      </c>
      <c r="B82" s="107"/>
      <c r="C82" s="107"/>
      <c r="D82" s="108"/>
      <c r="E82" s="109">
        <f t="shared" ca="1" si="8"/>
        <v>185.21739130434781</v>
      </c>
      <c r="F82" s="72">
        <f ca="1">SUM(E82:OFFSET(E82,-crLead_Time-crSaf_Time+1,0))</f>
        <v>555.6521739130435</v>
      </c>
      <c r="G82" s="98">
        <f ca="1">IF(F82&gt;=I83,IF(crFixedLot&gt;0,crFixedLot,(INT(SUM(E82:OFFSET(E82,-Simulation!$B$7+1,0))/crRoundingValue)+1)*crRoundingValue),0)</f>
        <v>0</v>
      </c>
      <c r="H82" s="98">
        <f t="shared" ca="1" si="9"/>
        <v>0</v>
      </c>
      <c r="I82" s="72">
        <f t="shared" ca="1" si="10"/>
        <v>7992</v>
      </c>
      <c r="J82" s="72">
        <f t="shared" ca="1" si="11"/>
        <v>7992</v>
      </c>
      <c r="K82" s="72">
        <f t="shared" ca="1" si="12"/>
        <v>0</v>
      </c>
      <c r="L82" s="71">
        <f t="shared" ca="1" si="13"/>
        <v>8</v>
      </c>
    </row>
    <row r="83" spans="1:12" s="71" customFormat="1" hidden="1" x14ac:dyDescent="0.25">
      <c r="A83" s="106">
        <f t="shared" ca="1" si="7"/>
        <v>42593</v>
      </c>
      <c r="B83" s="107"/>
      <c r="C83" s="107"/>
      <c r="D83" s="108"/>
      <c r="E83" s="109">
        <f t="shared" ca="1" si="8"/>
        <v>185.21739130434781</v>
      </c>
      <c r="F83" s="72">
        <f ca="1">SUM(E83:OFFSET(E83,-crLead_Time-crSaf_Time+1,0))</f>
        <v>555.6521739130435</v>
      </c>
      <c r="G83" s="98">
        <f ca="1">IF(F83&gt;=I84,IF(crFixedLot&gt;0,crFixedLot,(INT(SUM(E83:OFFSET(E83,-Simulation!$B$7+1,0))/crRoundingValue)+1)*crRoundingValue),0)</f>
        <v>0</v>
      </c>
      <c r="H83" s="98">
        <f t="shared" ca="1" si="9"/>
        <v>0</v>
      </c>
      <c r="I83" s="72">
        <f t="shared" ca="1" si="10"/>
        <v>7992</v>
      </c>
      <c r="J83" s="72">
        <f t="shared" ca="1" si="11"/>
        <v>7992</v>
      </c>
      <c r="K83" s="72">
        <f t="shared" ca="1" si="12"/>
        <v>0</v>
      </c>
      <c r="L83" s="71">
        <f t="shared" ca="1" si="13"/>
        <v>8</v>
      </c>
    </row>
    <row r="84" spans="1:12" s="71" customFormat="1" hidden="1" x14ac:dyDescent="0.25">
      <c r="A84" s="106">
        <f t="shared" ca="1" si="7"/>
        <v>42592</v>
      </c>
      <c r="B84" s="107"/>
      <c r="C84" s="107"/>
      <c r="D84" s="108"/>
      <c r="E84" s="109">
        <f t="shared" ca="1" si="8"/>
        <v>185.21739130434781</v>
      </c>
      <c r="F84" s="72">
        <f ca="1">SUM(E84:OFFSET(E84,-crLead_Time-crSaf_Time+1,0))</f>
        <v>555.6521739130435</v>
      </c>
      <c r="G84" s="98">
        <f ca="1">IF(F84&gt;=I85,IF(crFixedLot&gt;0,crFixedLot,(INT(SUM(E84:OFFSET(E84,-Simulation!$B$7+1,0))/crRoundingValue)+1)*crRoundingValue),0)</f>
        <v>0</v>
      </c>
      <c r="H84" s="98">
        <f t="shared" ca="1" si="9"/>
        <v>0</v>
      </c>
      <c r="I84" s="72">
        <f t="shared" ca="1" si="10"/>
        <v>7992</v>
      </c>
      <c r="J84" s="72">
        <f t="shared" ca="1" si="11"/>
        <v>7992</v>
      </c>
      <c r="K84" s="72">
        <f t="shared" ca="1" si="12"/>
        <v>0</v>
      </c>
      <c r="L84" s="71">
        <f t="shared" ca="1" si="13"/>
        <v>8</v>
      </c>
    </row>
    <row r="85" spans="1:12" s="71" customFormat="1" hidden="1" x14ac:dyDescent="0.25">
      <c r="A85" s="106">
        <f t="shared" ca="1" si="7"/>
        <v>42591</v>
      </c>
      <c r="B85" s="107"/>
      <c r="C85" s="107"/>
      <c r="D85" s="108"/>
      <c r="E85" s="109">
        <f t="shared" ca="1" si="8"/>
        <v>185.21739130434781</v>
      </c>
      <c r="F85" s="72">
        <f ca="1">SUM(E85:OFFSET(E85,-crLead_Time-crSaf_Time+1,0))</f>
        <v>555.6521739130435</v>
      </c>
      <c r="G85" s="98">
        <f ca="1">IF(F85&gt;=I86,IF(crFixedLot&gt;0,crFixedLot,(INT(SUM(E85:OFFSET(E85,-Simulation!$B$7+1,0))/crRoundingValue)+1)*crRoundingValue),0)</f>
        <v>0</v>
      </c>
      <c r="H85" s="98">
        <f t="shared" ca="1" si="9"/>
        <v>0</v>
      </c>
      <c r="I85" s="72">
        <f t="shared" ca="1" si="10"/>
        <v>7992</v>
      </c>
      <c r="J85" s="72">
        <f t="shared" ca="1" si="11"/>
        <v>7992</v>
      </c>
      <c r="K85" s="72">
        <f t="shared" ca="1" si="12"/>
        <v>0</v>
      </c>
      <c r="L85" s="71">
        <f t="shared" ca="1" si="13"/>
        <v>8</v>
      </c>
    </row>
    <row r="86" spans="1:12" s="71" customFormat="1" hidden="1" x14ac:dyDescent="0.25">
      <c r="A86" s="106">
        <f t="shared" ca="1" si="7"/>
        <v>42590</v>
      </c>
      <c r="B86" s="107"/>
      <c r="C86" s="107"/>
      <c r="D86" s="108"/>
      <c r="E86" s="109">
        <f t="shared" ca="1" si="8"/>
        <v>185.21739130434781</v>
      </c>
      <c r="F86" s="72">
        <f ca="1">SUM(E86:OFFSET(E86,-crLead_Time-crSaf_Time+1,0))</f>
        <v>555.6521739130435</v>
      </c>
      <c r="G86" s="98">
        <f ca="1">IF(F86&gt;=I87,IF(crFixedLot&gt;0,crFixedLot,(INT(SUM(E86:OFFSET(E86,-Simulation!$B$7+1,0))/crRoundingValue)+1)*crRoundingValue),0)</f>
        <v>0</v>
      </c>
      <c r="H86" s="98">
        <f t="shared" ca="1" si="9"/>
        <v>0</v>
      </c>
      <c r="I86" s="72">
        <f t="shared" ca="1" si="10"/>
        <v>7992</v>
      </c>
      <c r="J86" s="72">
        <f t="shared" ca="1" si="11"/>
        <v>7992</v>
      </c>
      <c r="K86" s="72">
        <f t="shared" ca="1" si="12"/>
        <v>0</v>
      </c>
      <c r="L86" s="71">
        <f t="shared" ca="1" si="13"/>
        <v>8</v>
      </c>
    </row>
    <row r="87" spans="1:12" s="71" customFormat="1" hidden="1" x14ac:dyDescent="0.25">
      <c r="A87" s="106">
        <f t="shared" ca="1" si="7"/>
        <v>42589</v>
      </c>
      <c r="B87" s="107"/>
      <c r="C87" s="107"/>
      <c r="D87" s="108"/>
      <c r="E87" s="109">
        <f t="shared" ca="1" si="8"/>
        <v>185.21739130434781</v>
      </c>
      <c r="F87" s="72">
        <f ca="1">SUM(E87:OFFSET(E87,-crLead_Time-crSaf_Time+1,0))</f>
        <v>555.6521739130435</v>
      </c>
      <c r="G87" s="98">
        <f ca="1">IF(F87&gt;=I88,IF(crFixedLot&gt;0,crFixedLot,(INT(SUM(E87:OFFSET(E87,-Simulation!$B$7+1,0))/crRoundingValue)+1)*crRoundingValue),0)</f>
        <v>0</v>
      </c>
      <c r="H87" s="98">
        <f t="shared" ca="1" si="9"/>
        <v>0</v>
      </c>
      <c r="I87" s="72">
        <f t="shared" ca="1" si="10"/>
        <v>7992</v>
      </c>
      <c r="J87" s="72">
        <f t="shared" ca="1" si="11"/>
        <v>7992</v>
      </c>
      <c r="K87" s="72">
        <f t="shared" ca="1" si="12"/>
        <v>0</v>
      </c>
      <c r="L87" s="71">
        <f t="shared" ca="1" si="13"/>
        <v>8</v>
      </c>
    </row>
    <row r="88" spans="1:12" s="71" customFormat="1" hidden="1" x14ac:dyDescent="0.25">
      <c r="A88" s="106">
        <f t="shared" ca="1" si="7"/>
        <v>42588</v>
      </c>
      <c r="B88" s="107"/>
      <c r="C88" s="107"/>
      <c r="D88" s="108"/>
      <c r="E88" s="109">
        <f t="shared" ca="1" si="8"/>
        <v>185.21739130434781</v>
      </c>
      <c r="F88" s="72">
        <f ca="1">SUM(E88:OFFSET(E88,-crLead_Time-crSaf_Time+1,0))</f>
        <v>555.6521739130435</v>
      </c>
      <c r="G88" s="98">
        <f ca="1">IF(F88&gt;=I89,IF(crFixedLot&gt;0,crFixedLot,(INT(SUM(E88:OFFSET(E88,-Simulation!$B$7+1,0))/crRoundingValue)+1)*crRoundingValue),0)</f>
        <v>0</v>
      </c>
      <c r="H88" s="98">
        <f t="shared" ca="1" si="9"/>
        <v>0</v>
      </c>
      <c r="I88" s="72">
        <f t="shared" ca="1" si="10"/>
        <v>7992</v>
      </c>
      <c r="J88" s="72">
        <f t="shared" ca="1" si="11"/>
        <v>7992</v>
      </c>
      <c r="K88" s="72">
        <f t="shared" ca="1" si="12"/>
        <v>0</v>
      </c>
      <c r="L88" s="71">
        <f t="shared" ca="1" si="13"/>
        <v>8</v>
      </c>
    </row>
    <row r="89" spans="1:12" s="71" customFormat="1" hidden="1" x14ac:dyDescent="0.25">
      <c r="A89" s="106">
        <f t="shared" ca="1" si="7"/>
        <v>42587</v>
      </c>
      <c r="B89" s="107"/>
      <c r="C89" s="107"/>
      <c r="D89" s="108"/>
      <c r="E89" s="109">
        <f t="shared" ca="1" si="8"/>
        <v>185.21739130434781</v>
      </c>
      <c r="F89" s="72">
        <f ca="1">SUM(E89:OFFSET(E89,-crLead_Time-crSaf_Time+1,0))</f>
        <v>555.6521739130435</v>
      </c>
      <c r="G89" s="98">
        <f ca="1">IF(F89&gt;=I90,IF(crFixedLot&gt;0,crFixedLot,(INT(SUM(E89:OFFSET(E89,-Simulation!$B$7+1,0))/crRoundingValue)+1)*crRoundingValue),0)</f>
        <v>0</v>
      </c>
      <c r="H89" s="98">
        <f t="shared" ca="1" si="9"/>
        <v>0</v>
      </c>
      <c r="I89" s="72">
        <f t="shared" ca="1" si="10"/>
        <v>7992</v>
      </c>
      <c r="J89" s="72">
        <f t="shared" ca="1" si="11"/>
        <v>7992</v>
      </c>
      <c r="K89" s="72">
        <f t="shared" ca="1" si="12"/>
        <v>0</v>
      </c>
      <c r="L89" s="71">
        <f t="shared" ca="1" si="13"/>
        <v>8</v>
      </c>
    </row>
    <row r="90" spans="1:12" s="71" customFormat="1" hidden="1" x14ac:dyDescent="0.25">
      <c r="A90" s="106">
        <f t="shared" ca="1" si="7"/>
        <v>42586</v>
      </c>
      <c r="B90" s="107"/>
      <c r="C90" s="107"/>
      <c r="D90" s="108"/>
      <c r="E90" s="109">
        <f t="shared" ca="1" si="8"/>
        <v>185.21739130434781</v>
      </c>
      <c r="F90" s="72">
        <f ca="1">SUM(E90:OFFSET(E90,-crLead_Time-crSaf_Time+1,0))</f>
        <v>555.6521739130435</v>
      </c>
      <c r="G90" s="98">
        <f ca="1">IF(F90&gt;=I91,IF(crFixedLot&gt;0,crFixedLot,(INT(SUM(E90:OFFSET(E90,-Simulation!$B$7+1,0))/crRoundingValue)+1)*crRoundingValue),0)</f>
        <v>0</v>
      </c>
      <c r="H90" s="98">
        <f t="shared" ca="1" si="9"/>
        <v>0</v>
      </c>
      <c r="I90" s="72">
        <f t="shared" ca="1" si="10"/>
        <v>7992</v>
      </c>
      <c r="J90" s="72">
        <f t="shared" ca="1" si="11"/>
        <v>7992</v>
      </c>
      <c r="K90" s="72">
        <f t="shared" ca="1" si="12"/>
        <v>0</v>
      </c>
      <c r="L90" s="71">
        <f t="shared" ca="1" si="13"/>
        <v>8</v>
      </c>
    </row>
    <row r="91" spans="1:12" s="71" customFormat="1" hidden="1" x14ac:dyDescent="0.25">
      <c r="A91" s="106">
        <f t="shared" ca="1" si="7"/>
        <v>42585</v>
      </c>
      <c r="B91" s="107"/>
      <c r="C91" s="107"/>
      <c r="D91" s="108"/>
      <c r="E91" s="109">
        <f t="shared" ca="1" si="8"/>
        <v>185.21739130434781</v>
      </c>
      <c r="F91" s="72">
        <f ca="1">SUM(E91:OFFSET(E91,-crLead_Time-crSaf_Time+1,0))</f>
        <v>555.6521739130435</v>
      </c>
      <c r="G91" s="98">
        <f ca="1">IF(F91&gt;=I92,IF(crFixedLot&gt;0,crFixedLot,(INT(SUM(E91:OFFSET(E91,-Simulation!$B$7+1,0))/crRoundingValue)+1)*crRoundingValue),0)</f>
        <v>0</v>
      </c>
      <c r="H91" s="98">
        <f t="shared" ca="1" si="9"/>
        <v>0</v>
      </c>
      <c r="I91" s="72">
        <f t="shared" ca="1" si="10"/>
        <v>7992</v>
      </c>
      <c r="J91" s="72">
        <f t="shared" ca="1" si="11"/>
        <v>7992</v>
      </c>
      <c r="K91" s="72">
        <f t="shared" ca="1" si="12"/>
        <v>0</v>
      </c>
      <c r="L91" s="71">
        <f t="shared" ca="1" si="13"/>
        <v>8</v>
      </c>
    </row>
    <row r="92" spans="1:12" s="71" customFormat="1" hidden="1" x14ac:dyDescent="0.25">
      <c r="A92" s="106">
        <f t="shared" ca="1" si="7"/>
        <v>42584</v>
      </c>
      <c r="B92" s="107"/>
      <c r="C92" s="107"/>
      <c r="D92" s="108"/>
      <c r="E92" s="109">
        <f t="shared" ca="1" si="8"/>
        <v>185.21739130434781</v>
      </c>
      <c r="F92" s="72">
        <f ca="1">SUM(E92:OFFSET(E92,-crLead_Time-crSaf_Time+1,0))</f>
        <v>555.6521739130435</v>
      </c>
      <c r="G92" s="98">
        <f ca="1">IF(F92&gt;=I93,IF(crFixedLot&gt;0,crFixedLot,(INT(SUM(E92:OFFSET(E92,-Simulation!$B$7+1,0))/crRoundingValue)+1)*crRoundingValue),0)</f>
        <v>0</v>
      </c>
      <c r="H92" s="98">
        <f t="shared" ca="1" si="9"/>
        <v>0</v>
      </c>
      <c r="I92" s="72">
        <f t="shared" ca="1" si="10"/>
        <v>7992</v>
      </c>
      <c r="J92" s="72">
        <f t="shared" ca="1" si="11"/>
        <v>7992</v>
      </c>
      <c r="K92" s="72">
        <f t="shared" ca="1" si="12"/>
        <v>0</v>
      </c>
      <c r="L92" s="71">
        <f t="shared" ca="1" si="13"/>
        <v>8</v>
      </c>
    </row>
    <row r="93" spans="1:12" s="71" customFormat="1" hidden="1" x14ac:dyDescent="0.25">
      <c r="A93" s="106">
        <f t="shared" ca="1" si="7"/>
        <v>42583</v>
      </c>
      <c r="B93" s="107"/>
      <c r="C93" s="107"/>
      <c r="D93" s="108"/>
      <c r="E93" s="109">
        <f t="shared" ca="1" si="8"/>
        <v>185.21739130434781</v>
      </c>
      <c r="F93" s="72">
        <f ca="1">SUM(E93:OFFSET(E93,-crLead_Time-crSaf_Time+1,0))</f>
        <v>555.6521739130435</v>
      </c>
      <c r="G93" s="98">
        <f ca="1">IF(F93&gt;=I94,IF(crFixedLot&gt;0,crFixedLot,(INT(SUM(E93:OFFSET(E93,-Simulation!$B$7+1,0))/crRoundingValue)+1)*crRoundingValue),0)</f>
        <v>0</v>
      </c>
      <c r="H93" s="98">
        <f t="shared" ca="1" si="9"/>
        <v>0</v>
      </c>
      <c r="I93" s="72">
        <f t="shared" ca="1" si="10"/>
        <v>7992</v>
      </c>
      <c r="J93" s="72">
        <f t="shared" ca="1" si="11"/>
        <v>7992</v>
      </c>
      <c r="K93" s="72">
        <f t="shared" ca="1" si="12"/>
        <v>0</v>
      </c>
      <c r="L93" s="71">
        <f t="shared" ca="1" si="13"/>
        <v>8</v>
      </c>
    </row>
    <row r="94" spans="1:12" s="71" customFormat="1" hidden="1" x14ac:dyDescent="0.25">
      <c r="A94" s="106">
        <f t="shared" ca="1" si="7"/>
        <v>42582</v>
      </c>
      <c r="B94" s="107"/>
      <c r="C94" s="107"/>
      <c r="D94" s="108"/>
      <c r="E94" s="109">
        <f t="shared" ca="1" si="8"/>
        <v>411.36363636363637</v>
      </c>
      <c r="F94" s="72">
        <f ca="1">SUM(E94:OFFSET(E94,-crLead_Time-crSaf_Time+1,0))</f>
        <v>781.798418972332</v>
      </c>
      <c r="G94" s="98">
        <f ca="1">IF(F94&gt;=I95,IF(crFixedLot&gt;0,crFixedLot,(INT(SUM(E94:OFFSET(E94,-Simulation!$B$7+1,0))/crRoundingValue)+1)*crRoundingValue),0)</f>
        <v>0</v>
      </c>
      <c r="H94" s="98">
        <f t="shared" ca="1" si="9"/>
        <v>0</v>
      </c>
      <c r="I94" s="72">
        <f t="shared" ca="1" si="10"/>
        <v>7992</v>
      </c>
      <c r="J94" s="72">
        <f t="shared" ca="1" si="11"/>
        <v>7992</v>
      </c>
      <c r="K94" s="72">
        <f t="shared" ca="1" si="12"/>
        <v>0</v>
      </c>
      <c r="L94" s="71">
        <f t="shared" ca="1" si="13"/>
        <v>7</v>
      </c>
    </row>
    <row r="95" spans="1:12" s="71" customFormat="1" hidden="1" x14ac:dyDescent="0.25">
      <c r="A95" s="106">
        <f t="shared" ca="1" si="7"/>
        <v>42581</v>
      </c>
      <c r="B95" s="107"/>
      <c r="C95" s="107"/>
      <c r="D95" s="108"/>
      <c r="E95" s="109">
        <f t="shared" ca="1" si="8"/>
        <v>411.36363636363637</v>
      </c>
      <c r="F95" s="72">
        <f ca="1">SUM(E95:OFFSET(E95,-crLead_Time-crSaf_Time+1,0))</f>
        <v>1007.9446640316206</v>
      </c>
      <c r="G95" s="98">
        <f ca="1">IF(F95&gt;=I96,IF(crFixedLot&gt;0,crFixedLot,(INT(SUM(E95:OFFSET(E95,-Simulation!$B$7+1,0))/crRoundingValue)+1)*crRoundingValue),0)</f>
        <v>0</v>
      </c>
      <c r="H95" s="98">
        <f t="shared" ca="1" si="9"/>
        <v>0</v>
      </c>
      <c r="I95" s="72">
        <f t="shared" ca="1" si="10"/>
        <v>7992</v>
      </c>
      <c r="J95" s="72">
        <f t="shared" ca="1" si="11"/>
        <v>7992</v>
      </c>
      <c r="K95" s="72">
        <f t="shared" ca="1" si="12"/>
        <v>0</v>
      </c>
      <c r="L95" s="71">
        <f t="shared" ca="1" si="13"/>
        <v>7</v>
      </c>
    </row>
    <row r="96" spans="1:12" s="71" customFormat="1" hidden="1" x14ac:dyDescent="0.25">
      <c r="A96" s="106">
        <f t="shared" ca="1" si="7"/>
        <v>42580</v>
      </c>
      <c r="B96" s="107"/>
      <c r="C96" s="107"/>
      <c r="D96" s="108"/>
      <c r="E96" s="109">
        <f t="shared" ca="1" si="8"/>
        <v>411.36363636363637</v>
      </c>
      <c r="F96" s="72">
        <f ca="1">SUM(E96:OFFSET(E96,-crLead_Time-crSaf_Time+1,0))</f>
        <v>1234.090909090909</v>
      </c>
      <c r="G96" s="98">
        <f ca="1">IF(F96&gt;=I97,IF(crFixedLot&gt;0,crFixedLot,(INT(SUM(E96:OFFSET(E96,-Simulation!$B$7+1,0))/crRoundingValue)+1)*crRoundingValue),0)</f>
        <v>0</v>
      </c>
      <c r="H96" s="98">
        <f t="shared" ca="1" si="9"/>
        <v>0</v>
      </c>
      <c r="I96" s="72">
        <f t="shared" ca="1" si="10"/>
        <v>7992</v>
      </c>
      <c r="J96" s="72">
        <f t="shared" ca="1" si="11"/>
        <v>7992</v>
      </c>
      <c r="K96" s="72">
        <f t="shared" ca="1" si="12"/>
        <v>0</v>
      </c>
      <c r="L96" s="71">
        <f t="shared" ca="1" si="13"/>
        <v>7</v>
      </c>
    </row>
    <row r="97" spans="1:12" s="71" customFormat="1" hidden="1" x14ac:dyDescent="0.25">
      <c r="A97" s="106">
        <f t="shared" ca="1" si="7"/>
        <v>42579</v>
      </c>
      <c r="B97" s="107"/>
      <c r="C97" s="107"/>
      <c r="D97" s="108"/>
      <c r="E97" s="109">
        <f t="shared" ca="1" si="8"/>
        <v>411.36363636363637</v>
      </c>
      <c r="F97" s="72">
        <f ca="1">SUM(E97:OFFSET(E97,-crLead_Time-crSaf_Time+1,0))</f>
        <v>1234.090909090909</v>
      </c>
      <c r="G97" s="98">
        <f ca="1">IF(F97&gt;=I98,IF(crFixedLot&gt;0,crFixedLot,(INT(SUM(E97:OFFSET(E97,-Simulation!$B$7+1,0))/crRoundingValue)+1)*crRoundingValue),0)</f>
        <v>0</v>
      </c>
      <c r="H97" s="98">
        <f t="shared" ca="1" si="9"/>
        <v>0</v>
      </c>
      <c r="I97" s="72">
        <f t="shared" ca="1" si="10"/>
        <v>7992</v>
      </c>
      <c r="J97" s="72">
        <f t="shared" ca="1" si="11"/>
        <v>7992</v>
      </c>
      <c r="K97" s="72">
        <f t="shared" ca="1" si="12"/>
        <v>0</v>
      </c>
      <c r="L97" s="71">
        <f t="shared" ca="1" si="13"/>
        <v>7</v>
      </c>
    </row>
    <row r="98" spans="1:12" s="71" customFormat="1" hidden="1" x14ac:dyDescent="0.25">
      <c r="A98" s="106">
        <f t="shared" ca="1" si="7"/>
        <v>42578</v>
      </c>
      <c r="B98" s="107"/>
      <c r="C98" s="107"/>
      <c r="D98" s="108"/>
      <c r="E98" s="109">
        <f t="shared" ca="1" si="8"/>
        <v>411.36363636363637</v>
      </c>
      <c r="F98" s="72">
        <f ca="1">SUM(E98:OFFSET(E98,-crLead_Time-crSaf_Time+1,0))</f>
        <v>1234.090909090909</v>
      </c>
      <c r="G98" s="98">
        <f ca="1">IF(F98&gt;=I99,IF(crFixedLot&gt;0,crFixedLot,(INT(SUM(E98:OFFSET(E98,-Simulation!$B$7+1,0))/crRoundingValue)+1)*crRoundingValue),0)</f>
        <v>0</v>
      </c>
      <c r="H98" s="98">
        <f t="shared" ca="1" si="9"/>
        <v>0</v>
      </c>
      <c r="I98" s="72">
        <f t="shared" ca="1" si="10"/>
        <v>7992</v>
      </c>
      <c r="J98" s="72">
        <f t="shared" ca="1" si="11"/>
        <v>7992</v>
      </c>
      <c r="K98" s="72">
        <f t="shared" ca="1" si="12"/>
        <v>0</v>
      </c>
      <c r="L98" s="71">
        <f t="shared" ca="1" si="13"/>
        <v>7</v>
      </c>
    </row>
    <row r="99" spans="1:12" s="71" customFormat="1" hidden="1" x14ac:dyDescent="0.25">
      <c r="A99" s="106">
        <f t="shared" ca="1" si="7"/>
        <v>42577</v>
      </c>
      <c r="B99" s="107"/>
      <c r="C99" s="107"/>
      <c r="D99" s="108"/>
      <c r="E99" s="109">
        <f t="shared" ca="1" si="8"/>
        <v>411.36363636363637</v>
      </c>
      <c r="F99" s="72">
        <f ca="1">SUM(E99:OFFSET(E99,-crLead_Time-crSaf_Time+1,0))</f>
        <v>1234.090909090909</v>
      </c>
      <c r="G99" s="98">
        <f ca="1">IF(F99&gt;=I100,IF(crFixedLot&gt;0,crFixedLot,(INT(SUM(E99:OFFSET(E99,-Simulation!$B$7+1,0))/crRoundingValue)+1)*crRoundingValue),0)</f>
        <v>0</v>
      </c>
      <c r="H99" s="98">
        <f t="shared" ca="1" si="9"/>
        <v>0</v>
      </c>
      <c r="I99" s="72">
        <f t="shared" ca="1" si="10"/>
        <v>7992</v>
      </c>
      <c r="J99" s="72">
        <f t="shared" ca="1" si="11"/>
        <v>7992</v>
      </c>
      <c r="K99" s="72">
        <f t="shared" ca="1" si="12"/>
        <v>0</v>
      </c>
      <c r="L99" s="71">
        <f t="shared" ca="1" si="13"/>
        <v>7</v>
      </c>
    </row>
    <row r="100" spans="1:12" s="71" customFormat="1" hidden="1" x14ac:dyDescent="0.25">
      <c r="A100" s="106">
        <f t="shared" ca="1" si="7"/>
        <v>42576</v>
      </c>
      <c r="B100" s="107"/>
      <c r="C100" s="107"/>
      <c r="D100" s="108"/>
      <c r="E100" s="109">
        <f t="shared" ca="1" si="8"/>
        <v>411.36363636363637</v>
      </c>
      <c r="F100" s="72">
        <f ca="1">SUM(E100:OFFSET(E100,-crLead_Time-crSaf_Time+1,0))</f>
        <v>1234.090909090909</v>
      </c>
      <c r="G100" s="98">
        <f ca="1">IF(F100&gt;=I101,IF(crFixedLot&gt;0,crFixedLot,(INT(SUM(E100:OFFSET(E100,-Simulation!$B$7+1,0))/crRoundingValue)+1)*crRoundingValue),0)</f>
        <v>0</v>
      </c>
      <c r="H100" s="98">
        <f t="shared" ca="1" si="9"/>
        <v>0</v>
      </c>
      <c r="I100" s="72">
        <f t="shared" ca="1" si="10"/>
        <v>7992</v>
      </c>
      <c r="J100" s="72">
        <f t="shared" ca="1" si="11"/>
        <v>7992</v>
      </c>
      <c r="K100" s="72">
        <f t="shared" ca="1" si="12"/>
        <v>0</v>
      </c>
      <c r="L100" s="71">
        <f t="shared" ca="1" si="13"/>
        <v>7</v>
      </c>
    </row>
    <row r="101" spans="1:12" s="71" customFormat="1" hidden="1" x14ac:dyDescent="0.25">
      <c r="A101" s="106">
        <f t="shared" ca="1" si="7"/>
        <v>42575</v>
      </c>
      <c r="B101" s="107"/>
      <c r="C101" s="107"/>
      <c r="D101" s="108"/>
      <c r="E101" s="109">
        <f t="shared" ca="1" si="8"/>
        <v>411.36363636363637</v>
      </c>
      <c r="F101" s="72">
        <f ca="1">SUM(E101:OFFSET(E101,-crLead_Time-crSaf_Time+1,0))</f>
        <v>1234.090909090909</v>
      </c>
      <c r="G101" s="98">
        <f ca="1">IF(F101&gt;=I102,IF(crFixedLot&gt;0,crFixedLot,(INT(SUM(E101:OFFSET(E101,-Simulation!$B$7+1,0))/crRoundingValue)+1)*crRoundingValue),0)</f>
        <v>0</v>
      </c>
      <c r="H101" s="98">
        <f t="shared" ca="1" si="9"/>
        <v>0</v>
      </c>
      <c r="I101" s="72">
        <f t="shared" ca="1" si="10"/>
        <v>7992</v>
      </c>
      <c r="J101" s="72">
        <f t="shared" ca="1" si="11"/>
        <v>7992</v>
      </c>
      <c r="K101" s="72">
        <f t="shared" ca="1" si="12"/>
        <v>0</v>
      </c>
      <c r="L101" s="71">
        <f t="shared" ca="1" si="13"/>
        <v>7</v>
      </c>
    </row>
    <row r="102" spans="1:12" s="71" customFormat="1" hidden="1" x14ac:dyDescent="0.25">
      <c r="A102" s="106">
        <f t="shared" ca="1" si="7"/>
        <v>42574</v>
      </c>
      <c r="B102" s="107"/>
      <c r="C102" s="107"/>
      <c r="D102" s="108"/>
      <c r="E102" s="109">
        <f t="shared" ca="1" si="8"/>
        <v>411.36363636363637</v>
      </c>
      <c r="F102" s="72">
        <f ca="1">SUM(E102:OFFSET(E102,-crLead_Time-crSaf_Time+1,0))</f>
        <v>1234.090909090909</v>
      </c>
      <c r="G102" s="98">
        <f ca="1">IF(F102&gt;=I103,IF(crFixedLot&gt;0,crFixedLot,(INT(SUM(E102:OFFSET(E102,-Simulation!$B$7+1,0))/crRoundingValue)+1)*crRoundingValue),0)</f>
        <v>0</v>
      </c>
      <c r="H102" s="98">
        <f t="shared" ca="1" si="9"/>
        <v>0</v>
      </c>
      <c r="I102" s="72">
        <f t="shared" ca="1" si="10"/>
        <v>7992</v>
      </c>
      <c r="J102" s="72">
        <f t="shared" ca="1" si="11"/>
        <v>7992</v>
      </c>
      <c r="K102" s="72">
        <f t="shared" ca="1" si="12"/>
        <v>0</v>
      </c>
      <c r="L102" s="71">
        <f t="shared" ca="1" si="13"/>
        <v>7</v>
      </c>
    </row>
    <row r="103" spans="1:12" s="71" customFormat="1" hidden="1" x14ac:dyDescent="0.25">
      <c r="A103" s="106">
        <f t="shared" ca="1" si="7"/>
        <v>42573</v>
      </c>
      <c r="B103" s="107"/>
      <c r="C103" s="107"/>
      <c r="D103" s="108"/>
      <c r="E103" s="109">
        <f t="shared" ca="1" si="8"/>
        <v>411.36363636363637</v>
      </c>
      <c r="F103" s="72">
        <f ca="1">SUM(E103:OFFSET(E103,-crLead_Time-crSaf_Time+1,0))</f>
        <v>1234.090909090909</v>
      </c>
      <c r="G103" s="98">
        <f ca="1">IF(F103&gt;=I104,IF(crFixedLot&gt;0,crFixedLot,(INT(SUM(E103:OFFSET(E103,-Simulation!$B$7+1,0))/crRoundingValue)+1)*crRoundingValue),0)</f>
        <v>0</v>
      </c>
      <c r="H103" s="98">
        <f t="shared" ca="1" si="9"/>
        <v>0</v>
      </c>
      <c r="I103" s="72">
        <f t="shared" ca="1" si="10"/>
        <v>7992</v>
      </c>
      <c r="J103" s="72">
        <f t="shared" ca="1" si="11"/>
        <v>7992</v>
      </c>
      <c r="K103" s="72">
        <f t="shared" ca="1" si="12"/>
        <v>0</v>
      </c>
      <c r="L103" s="71">
        <f t="shared" ca="1" si="13"/>
        <v>7</v>
      </c>
    </row>
    <row r="104" spans="1:12" s="71" customFormat="1" hidden="1" x14ac:dyDescent="0.25">
      <c r="A104" s="106">
        <f t="shared" ca="1" si="7"/>
        <v>42572</v>
      </c>
      <c r="B104" s="107"/>
      <c r="C104" s="107"/>
      <c r="D104" s="108"/>
      <c r="E104" s="109">
        <f t="shared" ca="1" si="8"/>
        <v>411.36363636363637</v>
      </c>
      <c r="F104" s="72">
        <f ca="1">SUM(E104:OFFSET(E104,-crLead_Time-crSaf_Time+1,0))</f>
        <v>1234.090909090909</v>
      </c>
      <c r="G104" s="98">
        <f ca="1">IF(F104&gt;=I105,IF(crFixedLot&gt;0,crFixedLot,(INT(SUM(E104:OFFSET(E104,-Simulation!$B$7+1,0))/crRoundingValue)+1)*crRoundingValue),0)</f>
        <v>0</v>
      </c>
      <c r="H104" s="98">
        <f t="shared" ca="1" si="9"/>
        <v>0</v>
      </c>
      <c r="I104" s="72">
        <f t="shared" ca="1" si="10"/>
        <v>7992</v>
      </c>
      <c r="J104" s="72">
        <f t="shared" ca="1" si="11"/>
        <v>7992</v>
      </c>
      <c r="K104" s="72">
        <f t="shared" ca="1" si="12"/>
        <v>0</v>
      </c>
      <c r="L104" s="71">
        <f t="shared" ca="1" si="13"/>
        <v>7</v>
      </c>
    </row>
    <row r="105" spans="1:12" s="71" customFormat="1" hidden="1" x14ac:dyDescent="0.25">
      <c r="A105" s="106">
        <f t="shared" ca="1" si="7"/>
        <v>42571</v>
      </c>
      <c r="B105" s="107"/>
      <c r="C105" s="107"/>
      <c r="D105" s="108"/>
      <c r="E105" s="109">
        <f t="shared" ca="1" si="8"/>
        <v>411.36363636363637</v>
      </c>
      <c r="F105" s="72">
        <f ca="1">SUM(E105:OFFSET(E105,-crLead_Time-crSaf_Time+1,0))</f>
        <v>1234.090909090909</v>
      </c>
      <c r="G105" s="98">
        <f ca="1">IF(F105&gt;=I106,IF(crFixedLot&gt;0,crFixedLot,(INT(SUM(E105:OFFSET(E105,-Simulation!$B$7+1,0))/crRoundingValue)+1)*crRoundingValue),0)</f>
        <v>0</v>
      </c>
      <c r="H105" s="98">
        <f t="shared" ca="1" si="9"/>
        <v>0</v>
      </c>
      <c r="I105" s="72">
        <f t="shared" ca="1" si="10"/>
        <v>7992</v>
      </c>
      <c r="J105" s="72">
        <f t="shared" ca="1" si="11"/>
        <v>7992</v>
      </c>
      <c r="K105" s="72">
        <f t="shared" ca="1" si="12"/>
        <v>0</v>
      </c>
      <c r="L105" s="71">
        <f t="shared" ca="1" si="13"/>
        <v>7</v>
      </c>
    </row>
    <row r="106" spans="1:12" s="71" customFormat="1" hidden="1" x14ac:dyDescent="0.25">
      <c r="A106" s="106">
        <f t="shared" ca="1" si="7"/>
        <v>42570</v>
      </c>
      <c r="B106" s="107"/>
      <c r="C106" s="107"/>
      <c r="D106" s="108"/>
      <c r="E106" s="109">
        <f t="shared" ca="1" si="8"/>
        <v>411.36363636363637</v>
      </c>
      <c r="F106" s="72">
        <f ca="1">SUM(E106:OFFSET(E106,-crLead_Time-crSaf_Time+1,0))</f>
        <v>1234.090909090909</v>
      </c>
      <c r="G106" s="98">
        <f ca="1">IF(F106&gt;=I107,IF(crFixedLot&gt;0,crFixedLot,(INT(SUM(E106:OFFSET(E106,-Simulation!$B$7+1,0))/crRoundingValue)+1)*crRoundingValue),0)</f>
        <v>0</v>
      </c>
      <c r="H106" s="98">
        <f t="shared" ca="1" si="9"/>
        <v>0</v>
      </c>
      <c r="I106" s="72">
        <f t="shared" ca="1" si="10"/>
        <v>7992</v>
      </c>
      <c r="J106" s="72">
        <f t="shared" ca="1" si="11"/>
        <v>7992</v>
      </c>
      <c r="K106" s="72">
        <f t="shared" ca="1" si="12"/>
        <v>0</v>
      </c>
      <c r="L106" s="71">
        <f t="shared" ca="1" si="13"/>
        <v>7</v>
      </c>
    </row>
    <row r="107" spans="1:12" s="71" customFormat="1" hidden="1" x14ac:dyDescent="0.25">
      <c r="A107" s="106">
        <f t="shared" ca="1" si="7"/>
        <v>42569</v>
      </c>
      <c r="B107" s="107"/>
      <c r="C107" s="107"/>
      <c r="D107" s="108"/>
      <c r="E107" s="109">
        <f t="shared" ca="1" si="8"/>
        <v>411.36363636363637</v>
      </c>
      <c r="F107" s="72">
        <f ca="1">SUM(E107:OFFSET(E107,-crLead_Time-crSaf_Time+1,0))</f>
        <v>1234.090909090909</v>
      </c>
      <c r="G107" s="98">
        <f ca="1">IF(F107&gt;=I108,IF(crFixedLot&gt;0,crFixedLot,(INT(SUM(E107:OFFSET(E107,-Simulation!$B$7+1,0))/crRoundingValue)+1)*crRoundingValue),0)</f>
        <v>0</v>
      </c>
      <c r="H107" s="98">
        <f t="shared" ca="1" si="9"/>
        <v>0</v>
      </c>
      <c r="I107" s="72">
        <f t="shared" ca="1" si="10"/>
        <v>7992</v>
      </c>
      <c r="J107" s="72">
        <f t="shared" ca="1" si="11"/>
        <v>7992</v>
      </c>
      <c r="K107" s="72">
        <f t="shared" ca="1" si="12"/>
        <v>0</v>
      </c>
      <c r="L107" s="71">
        <f t="shared" ca="1" si="13"/>
        <v>7</v>
      </c>
    </row>
    <row r="108" spans="1:12" s="71" customFormat="1" hidden="1" x14ac:dyDescent="0.25">
      <c r="A108" s="106">
        <f t="shared" ca="1" si="7"/>
        <v>42568</v>
      </c>
      <c r="B108" s="107"/>
      <c r="C108" s="107"/>
      <c r="D108" s="108"/>
      <c r="E108" s="109">
        <f t="shared" ca="1" si="8"/>
        <v>411.36363636363637</v>
      </c>
      <c r="F108" s="72">
        <f ca="1">SUM(E108:OFFSET(E108,-crLead_Time-crSaf_Time+1,0))</f>
        <v>1234.090909090909</v>
      </c>
      <c r="G108" s="98">
        <f ca="1">IF(F108&gt;=I109,IF(crFixedLot&gt;0,crFixedLot,(INT(SUM(E108:OFFSET(E108,-Simulation!$B$7+1,0))/crRoundingValue)+1)*crRoundingValue),0)</f>
        <v>0</v>
      </c>
      <c r="H108" s="98">
        <f t="shared" ca="1" si="9"/>
        <v>0</v>
      </c>
      <c r="I108" s="72">
        <f t="shared" ca="1" si="10"/>
        <v>7992</v>
      </c>
      <c r="J108" s="72">
        <f t="shared" ca="1" si="11"/>
        <v>7992</v>
      </c>
      <c r="K108" s="72">
        <f t="shared" ca="1" si="12"/>
        <v>0</v>
      </c>
      <c r="L108" s="71">
        <f t="shared" ca="1" si="13"/>
        <v>7</v>
      </c>
    </row>
    <row r="109" spans="1:12" s="71" customFormat="1" hidden="1" x14ac:dyDescent="0.25">
      <c r="A109" s="106">
        <f t="shared" ca="1" si="7"/>
        <v>42567</v>
      </c>
      <c r="B109" s="107"/>
      <c r="C109" s="107"/>
      <c r="D109" s="108"/>
      <c r="E109" s="109">
        <f t="shared" ca="1" si="8"/>
        <v>411.36363636363637</v>
      </c>
      <c r="F109" s="72">
        <f ca="1">SUM(E109:OFFSET(E109,-crLead_Time-crSaf_Time+1,0))</f>
        <v>1234.090909090909</v>
      </c>
      <c r="G109" s="98">
        <f ca="1">IF(F109&gt;=I110,IF(crFixedLot&gt;0,crFixedLot,(INT(SUM(E109:OFFSET(E109,-Simulation!$B$7+1,0))/crRoundingValue)+1)*crRoundingValue),0)</f>
        <v>0</v>
      </c>
      <c r="H109" s="98">
        <f t="shared" ca="1" si="9"/>
        <v>0</v>
      </c>
      <c r="I109" s="72">
        <f t="shared" ca="1" si="10"/>
        <v>7992</v>
      </c>
      <c r="J109" s="72">
        <f t="shared" ca="1" si="11"/>
        <v>7992</v>
      </c>
      <c r="K109" s="72">
        <f t="shared" ca="1" si="12"/>
        <v>0</v>
      </c>
      <c r="L109" s="71">
        <f t="shared" ca="1" si="13"/>
        <v>7</v>
      </c>
    </row>
    <row r="110" spans="1:12" s="71" customFormat="1" hidden="1" x14ac:dyDescent="0.25">
      <c r="A110" s="106">
        <f t="shared" ca="1" si="7"/>
        <v>42566</v>
      </c>
      <c r="B110" s="107"/>
      <c r="C110" s="107"/>
      <c r="D110" s="108"/>
      <c r="E110" s="109">
        <f t="shared" ca="1" si="8"/>
        <v>411.36363636363637</v>
      </c>
      <c r="F110" s="72">
        <f ca="1">SUM(E110:OFFSET(E110,-crLead_Time-crSaf_Time+1,0))</f>
        <v>1234.090909090909</v>
      </c>
      <c r="G110" s="98">
        <f ca="1">IF(F110&gt;=I111,IF(crFixedLot&gt;0,crFixedLot,(INT(SUM(E110:OFFSET(E110,-Simulation!$B$7+1,0))/crRoundingValue)+1)*crRoundingValue),0)</f>
        <v>0</v>
      </c>
      <c r="H110" s="98">
        <f t="shared" ca="1" si="9"/>
        <v>0</v>
      </c>
      <c r="I110" s="72">
        <f t="shared" ca="1" si="10"/>
        <v>7992</v>
      </c>
      <c r="J110" s="72">
        <f t="shared" ca="1" si="11"/>
        <v>7992</v>
      </c>
      <c r="K110" s="72">
        <f t="shared" ca="1" si="12"/>
        <v>0</v>
      </c>
      <c r="L110" s="71">
        <f t="shared" ca="1" si="13"/>
        <v>7</v>
      </c>
    </row>
    <row r="111" spans="1:12" s="71" customFormat="1" hidden="1" x14ac:dyDescent="0.25">
      <c r="A111" s="106">
        <f t="shared" ca="1" si="7"/>
        <v>42565</v>
      </c>
      <c r="B111" s="107"/>
      <c r="C111" s="107"/>
      <c r="D111" s="108"/>
      <c r="E111" s="109">
        <f t="shared" ca="1" si="8"/>
        <v>411.36363636363637</v>
      </c>
      <c r="F111" s="72">
        <f ca="1">SUM(E111:OFFSET(E111,-crLead_Time-crSaf_Time+1,0))</f>
        <v>1234.090909090909</v>
      </c>
      <c r="G111" s="98">
        <f ca="1">IF(F111&gt;=I112,IF(crFixedLot&gt;0,crFixedLot,(INT(SUM(E111:OFFSET(E111,-Simulation!$B$7+1,0))/crRoundingValue)+1)*crRoundingValue),0)</f>
        <v>0</v>
      </c>
      <c r="H111" s="98">
        <f t="shared" ca="1" si="9"/>
        <v>0</v>
      </c>
      <c r="I111" s="72">
        <f t="shared" ca="1" si="10"/>
        <v>7992</v>
      </c>
      <c r="J111" s="72">
        <f t="shared" ca="1" si="11"/>
        <v>7992</v>
      </c>
      <c r="K111" s="72">
        <f t="shared" ca="1" si="12"/>
        <v>0</v>
      </c>
      <c r="L111" s="71">
        <f t="shared" ca="1" si="13"/>
        <v>7</v>
      </c>
    </row>
    <row r="112" spans="1:12" s="71" customFormat="1" hidden="1" x14ac:dyDescent="0.25">
      <c r="A112" s="106">
        <f t="shared" ca="1" si="7"/>
        <v>42564</v>
      </c>
      <c r="B112" s="107"/>
      <c r="C112" s="107"/>
      <c r="D112" s="108"/>
      <c r="E112" s="109">
        <f t="shared" ca="1" si="8"/>
        <v>411.36363636363637</v>
      </c>
      <c r="F112" s="72">
        <f ca="1">SUM(E112:OFFSET(E112,-crLead_Time-crSaf_Time+1,0))</f>
        <v>1234.090909090909</v>
      </c>
      <c r="G112" s="98">
        <f ca="1">IF(F112&gt;=I113,IF(crFixedLot&gt;0,crFixedLot,(INT(SUM(E112:OFFSET(E112,-Simulation!$B$7+1,0))/crRoundingValue)+1)*crRoundingValue),0)</f>
        <v>0</v>
      </c>
      <c r="H112" s="98">
        <f t="shared" ca="1" si="9"/>
        <v>0</v>
      </c>
      <c r="I112" s="72">
        <f t="shared" ca="1" si="10"/>
        <v>7992</v>
      </c>
      <c r="J112" s="72">
        <f t="shared" ca="1" si="11"/>
        <v>7992</v>
      </c>
      <c r="K112" s="72">
        <f t="shared" ca="1" si="12"/>
        <v>0</v>
      </c>
      <c r="L112" s="71">
        <f t="shared" ca="1" si="13"/>
        <v>7</v>
      </c>
    </row>
    <row r="113" spans="1:12" s="71" customFormat="1" hidden="1" x14ac:dyDescent="0.25">
      <c r="A113" s="106">
        <f t="shared" ca="1" si="7"/>
        <v>42563</v>
      </c>
      <c r="B113" s="107"/>
      <c r="C113" s="107"/>
      <c r="D113" s="108"/>
      <c r="E113" s="109">
        <f t="shared" ca="1" si="8"/>
        <v>411.36363636363637</v>
      </c>
      <c r="F113" s="72">
        <f ca="1">SUM(E113:OFFSET(E113,-crLead_Time-crSaf_Time+1,0))</f>
        <v>1234.090909090909</v>
      </c>
      <c r="G113" s="98">
        <f ca="1">IF(F113&gt;=I114,IF(crFixedLot&gt;0,crFixedLot,(INT(SUM(E113:OFFSET(E113,-Simulation!$B$7+1,0))/crRoundingValue)+1)*crRoundingValue),0)</f>
        <v>0</v>
      </c>
      <c r="H113" s="98">
        <f t="shared" ca="1" si="9"/>
        <v>0</v>
      </c>
      <c r="I113" s="72">
        <f t="shared" ca="1" si="10"/>
        <v>7992</v>
      </c>
      <c r="J113" s="72">
        <f t="shared" ca="1" si="11"/>
        <v>7992</v>
      </c>
      <c r="K113" s="72">
        <f t="shared" ca="1" si="12"/>
        <v>0</v>
      </c>
      <c r="L113" s="71">
        <f t="shared" ca="1" si="13"/>
        <v>7</v>
      </c>
    </row>
    <row r="114" spans="1:12" s="71" customFormat="1" hidden="1" x14ac:dyDescent="0.25">
      <c r="A114" s="106">
        <f t="shared" ca="1" si="7"/>
        <v>42562</v>
      </c>
      <c r="B114" s="107"/>
      <c r="C114" s="107"/>
      <c r="D114" s="108"/>
      <c r="E114" s="109">
        <f t="shared" ca="1" si="8"/>
        <v>411.36363636363637</v>
      </c>
      <c r="F114" s="72">
        <f ca="1">SUM(E114:OFFSET(E114,-crLead_Time-crSaf_Time+1,0))</f>
        <v>1234.090909090909</v>
      </c>
      <c r="G114" s="98">
        <f ca="1">IF(F114&gt;=I115,IF(crFixedLot&gt;0,crFixedLot,(INT(SUM(E114:OFFSET(E114,-Simulation!$B$7+1,0))/crRoundingValue)+1)*crRoundingValue),0)</f>
        <v>0</v>
      </c>
      <c r="H114" s="98">
        <f t="shared" ca="1" si="9"/>
        <v>0</v>
      </c>
      <c r="I114" s="72">
        <f t="shared" ca="1" si="10"/>
        <v>7992</v>
      </c>
      <c r="J114" s="72">
        <f t="shared" ca="1" si="11"/>
        <v>7992</v>
      </c>
      <c r="K114" s="72">
        <f t="shared" ca="1" si="12"/>
        <v>0</v>
      </c>
      <c r="L114" s="71">
        <f t="shared" ca="1" si="13"/>
        <v>7</v>
      </c>
    </row>
    <row r="115" spans="1:12" s="71" customFormat="1" hidden="1" x14ac:dyDescent="0.25">
      <c r="A115" s="106">
        <f t="shared" ca="1" si="7"/>
        <v>42561</v>
      </c>
      <c r="B115" s="107"/>
      <c r="C115" s="107"/>
      <c r="D115" s="108"/>
      <c r="E115" s="109">
        <f t="shared" ca="1" si="8"/>
        <v>411.36363636363637</v>
      </c>
      <c r="F115" s="72">
        <f ca="1">SUM(E115:OFFSET(E115,-crLead_Time-crSaf_Time+1,0))</f>
        <v>1234.090909090909</v>
      </c>
      <c r="G115" s="98">
        <f ca="1">IF(F115&gt;=I116,IF(crFixedLot&gt;0,crFixedLot,(INT(SUM(E115:OFFSET(E115,-Simulation!$B$7+1,0))/crRoundingValue)+1)*crRoundingValue),0)</f>
        <v>0</v>
      </c>
      <c r="H115" s="98">
        <f t="shared" ca="1" si="9"/>
        <v>0</v>
      </c>
      <c r="I115" s="72">
        <f t="shared" ca="1" si="10"/>
        <v>7992</v>
      </c>
      <c r="J115" s="72">
        <f t="shared" ca="1" si="11"/>
        <v>7992</v>
      </c>
      <c r="K115" s="72">
        <f t="shared" ca="1" si="12"/>
        <v>0</v>
      </c>
      <c r="L115" s="71">
        <f t="shared" ca="1" si="13"/>
        <v>7</v>
      </c>
    </row>
    <row r="116" spans="1:12" s="71" customFormat="1" hidden="1" x14ac:dyDescent="0.25">
      <c r="A116" s="106">
        <f t="shared" ca="1" si="7"/>
        <v>42560</v>
      </c>
      <c r="B116" s="107"/>
      <c r="C116" s="107"/>
      <c r="D116" s="108"/>
      <c r="E116" s="109">
        <f t="shared" ca="1" si="8"/>
        <v>411.36363636363637</v>
      </c>
      <c r="F116" s="72">
        <f ca="1">SUM(E116:OFFSET(E116,-crLead_Time-crSaf_Time+1,0))</f>
        <v>1234.090909090909</v>
      </c>
      <c r="G116" s="98">
        <f ca="1">IF(F116&gt;=I117,IF(crFixedLot&gt;0,crFixedLot,(INT(SUM(E116:OFFSET(E116,-Simulation!$B$7+1,0))/crRoundingValue)+1)*crRoundingValue),0)</f>
        <v>0</v>
      </c>
      <c r="H116" s="98">
        <f t="shared" ca="1" si="9"/>
        <v>0</v>
      </c>
      <c r="I116" s="72">
        <f t="shared" ca="1" si="10"/>
        <v>7992</v>
      </c>
      <c r="J116" s="72">
        <f t="shared" ca="1" si="11"/>
        <v>7992</v>
      </c>
      <c r="K116" s="72">
        <f t="shared" ca="1" si="12"/>
        <v>0</v>
      </c>
      <c r="L116" s="71">
        <f t="shared" ca="1" si="13"/>
        <v>7</v>
      </c>
    </row>
    <row r="117" spans="1:12" s="71" customFormat="1" hidden="1" x14ac:dyDescent="0.25">
      <c r="A117" s="106">
        <f t="shared" ca="1" si="7"/>
        <v>42559</v>
      </c>
      <c r="B117" s="107"/>
      <c r="C117" s="107"/>
      <c r="D117" s="108"/>
      <c r="E117" s="109">
        <f t="shared" ca="1" si="8"/>
        <v>411.36363636363637</v>
      </c>
      <c r="F117" s="72">
        <f ca="1">SUM(E117:OFFSET(E117,-crLead_Time-crSaf_Time+1,0))</f>
        <v>1234.090909090909</v>
      </c>
      <c r="G117" s="98">
        <f ca="1">IF(F117&gt;=I118,IF(crFixedLot&gt;0,crFixedLot,(INT(SUM(E117:OFFSET(E117,-Simulation!$B$7+1,0))/crRoundingValue)+1)*crRoundingValue),0)</f>
        <v>0</v>
      </c>
      <c r="H117" s="98">
        <f t="shared" ca="1" si="9"/>
        <v>0</v>
      </c>
      <c r="I117" s="72">
        <f t="shared" ca="1" si="10"/>
        <v>7992</v>
      </c>
      <c r="J117" s="72">
        <f t="shared" ca="1" si="11"/>
        <v>7992</v>
      </c>
      <c r="K117" s="72">
        <f t="shared" ca="1" si="12"/>
        <v>0</v>
      </c>
      <c r="L117" s="71">
        <f t="shared" ca="1" si="13"/>
        <v>7</v>
      </c>
    </row>
    <row r="118" spans="1:12" s="71" customFormat="1" hidden="1" x14ac:dyDescent="0.25">
      <c r="A118" s="106">
        <f t="shared" ca="1" si="7"/>
        <v>42558</v>
      </c>
      <c r="B118" s="107"/>
      <c r="C118" s="107"/>
      <c r="D118" s="108"/>
      <c r="E118" s="109">
        <f t="shared" ca="1" si="8"/>
        <v>411.36363636363637</v>
      </c>
      <c r="F118" s="72">
        <f ca="1">SUM(E118:OFFSET(E118,-crLead_Time-crSaf_Time+1,0))</f>
        <v>1234.090909090909</v>
      </c>
      <c r="G118" s="98">
        <f ca="1">IF(F118&gt;=I119,IF(crFixedLot&gt;0,crFixedLot,(INT(SUM(E118:OFFSET(E118,-Simulation!$B$7+1,0))/crRoundingValue)+1)*crRoundingValue),0)</f>
        <v>0</v>
      </c>
      <c r="H118" s="98">
        <f t="shared" ca="1" si="9"/>
        <v>0</v>
      </c>
      <c r="I118" s="72">
        <f t="shared" ca="1" si="10"/>
        <v>7992</v>
      </c>
      <c r="J118" s="72">
        <f t="shared" ca="1" si="11"/>
        <v>7992</v>
      </c>
      <c r="K118" s="72">
        <f t="shared" ca="1" si="12"/>
        <v>0</v>
      </c>
      <c r="L118" s="71">
        <f t="shared" ca="1" si="13"/>
        <v>7</v>
      </c>
    </row>
    <row r="119" spans="1:12" s="71" customFormat="1" hidden="1" x14ac:dyDescent="0.25">
      <c r="A119" s="106">
        <f t="shared" ca="1" si="7"/>
        <v>42557</v>
      </c>
      <c r="B119" s="107"/>
      <c r="C119" s="107"/>
      <c r="D119" s="108"/>
      <c r="E119" s="109">
        <f t="shared" ca="1" si="8"/>
        <v>411.36363636363637</v>
      </c>
      <c r="F119" s="72">
        <f ca="1">SUM(E119:OFFSET(E119,-crLead_Time-crSaf_Time+1,0))</f>
        <v>1234.090909090909</v>
      </c>
      <c r="G119" s="98">
        <f ca="1">IF(F119&gt;=I120,IF(crFixedLot&gt;0,crFixedLot,(INT(SUM(E119:OFFSET(E119,-Simulation!$B$7+1,0))/crRoundingValue)+1)*crRoundingValue),0)</f>
        <v>0</v>
      </c>
      <c r="H119" s="98">
        <f t="shared" ca="1" si="9"/>
        <v>0</v>
      </c>
      <c r="I119" s="72">
        <f t="shared" ca="1" si="10"/>
        <v>7992</v>
      </c>
      <c r="J119" s="72">
        <f t="shared" ca="1" si="11"/>
        <v>7992</v>
      </c>
      <c r="K119" s="72">
        <f t="shared" ca="1" si="12"/>
        <v>0</v>
      </c>
      <c r="L119" s="71">
        <f t="shared" ca="1" si="13"/>
        <v>7</v>
      </c>
    </row>
    <row r="120" spans="1:12" s="71" customFormat="1" hidden="1" x14ac:dyDescent="0.25">
      <c r="A120" s="106">
        <f t="shared" ca="1" si="7"/>
        <v>42556</v>
      </c>
      <c r="B120" s="107"/>
      <c r="C120" s="107"/>
      <c r="D120" s="108"/>
      <c r="E120" s="109">
        <f t="shared" ca="1" si="8"/>
        <v>411.36363636363637</v>
      </c>
      <c r="F120" s="72">
        <f ca="1">SUM(E120:OFFSET(E120,-crLead_Time-crSaf_Time+1,0))</f>
        <v>1234.090909090909</v>
      </c>
      <c r="G120" s="98">
        <f ca="1">IF(F120&gt;=I121,IF(crFixedLot&gt;0,crFixedLot,(INT(SUM(E120:OFFSET(E120,-Simulation!$B$7+1,0))/crRoundingValue)+1)*crRoundingValue),0)</f>
        <v>0</v>
      </c>
      <c r="H120" s="98">
        <f t="shared" ca="1" si="9"/>
        <v>0</v>
      </c>
      <c r="I120" s="72">
        <f t="shared" ca="1" si="10"/>
        <v>7992</v>
      </c>
      <c r="J120" s="72">
        <f t="shared" ca="1" si="11"/>
        <v>7992</v>
      </c>
      <c r="K120" s="72">
        <f t="shared" ca="1" si="12"/>
        <v>0</v>
      </c>
      <c r="L120" s="71">
        <f t="shared" ca="1" si="13"/>
        <v>7</v>
      </c>
    </row>
    <row r="121" spans="1:12" s="71" customFormat="1" hidden="1" x14ac:dyDescent="0.25">
      <c r="A121" s="106">
        <f t="shared" ca="1" si="7"/>
        <v>42555</v>
      </c>
      <c r="B121" s="107"/>
      <c r="C121" s="107"/>
      <c r="D121" s="108"/>
      <c r="E121" s="109">
        <f t="shared" ca="1" si="8"/>
        <v>411.36363636363637</v>
      </c>
      <c r="F121" s="72">
        <f ca="1">SUM(E121:OFFSET(E121,-crLead_Time-crSaf_Time+1,0))</f>
        <v>1234.090909090909</v>
      </c>
      <c r="G121" s="98">
        <f ca="1">IF(F121&gt;=I122,IF(crFixedLot&gt;0,crFixedLot,(INT(SUM(E121:OFFSET(E121,-Simulation!$B$7+1,0))/crRoundingValue)+1)*crRoundingValue),0)</f>
        <v>0</v>
      </c>
      <c r="H121" s="98">
        <f t="shared" ca="1" si="9"/>
        <v>0</v>
      </c>
      <c r="I121" s="72">
        <f t="shared" ca="1" si="10"/>
        <v>7992</v>
      </c>
      <c r="J121" s="72">
        <f t="shared" ca="1" si="11"/>
        <v>7992</v>
      </c>
      <c r="K121" s="72">
        <f t="shared" ca="1" si="12"/>
        <v>0</v>
      </c>
      <c r="L121" s="71">
        <f t="shared" ca="1" si="13"/>
        <v>7</v>
      </c>
    </row>
    <row r="122" spans="1:12" s="71" customFormat="1" hidden="1" x14ac:dyDescent="0.25">
      <c r="A122" s="106">
        <f t="shared" ca="1" si="7"/>
        <v>42554</v>
      </c>
      <c r="B122" s="107"/>
      <c r="C122" s="107"/>
      <c r="D122" s="108"/>
      <c r="E122" s="109">
        <f t="shared" ca="1" si="8"/>
        <v>411.36363636363637</v>
      </c>
      <c r="F122" s="72">
        <f ca="1">SUM(E122:OFFSET(E122,-crLead_Time-crSaf_Time+1,0))</f>
        <v>1234.090909090909</v>
      </c>
      <c r="G122" s="98">
        <f ca="1">IF(F122&gt;=I123,IF(crFixedLot&gt;0,crFixedLot,(INT(SUM(E122:OFFSET(E122,-Simulation!$B$7+1,0))/crRoundingValue)+1)*crRoundingValue),0)</f>
        <v>0</v>
      </c>
      <c r="H122" s="98">
        <f t="shared" ca="1" si="9"/>
        <v>0</v>
      </c>
      <c r="I122" s="72">
        <f t="shared" ca="1" si="10"/>
        <v>7992</v>
      </c>
      <c r="J122" s="72">
        <f t="shared" ca="1" si="11"/>
        <v>7992</v>
      </c>
      <c r="K122" s="72">
        <f t="shared" ca="1" si="12"/>
        <v>0</v>
      </c>
      <c r="L122" s="71">
        <f t="shared" ca="1" si="13"/>
        <v>7</v>
      </c>
    </row>
    <row r="123" spans="1:12" s="71" customFormat="1" hidden="1" x14ac:dyDescent="0.25">
      <c r="A123" s="106">
        <f t="shared" ca="1" si="7"/>
        <v>42553</v>
      </c>
      <c r="B123" s="107"/>
      <c r="C123" s="107"/>
      <c r="D123" s="108"/>
      <c r="E123" s="109">
        <f t="shared" ca="1" si="8"/>
        <v>411.36363636363637</v>
      </c>
      <c r="F123" s="72">
        <f ca="1">SUM(E123:OFFSET(E123,-crLead_Time-crSaf_Time+1,0))</f>
        <v>1234.090909090909</v>
      </c>
      <c r="G123" s="98">
        <f ca="1">IF(F123&gt;=I124,IF(crFixedLot&gt;0,crFixedLot,(INT(SUM(E123:OFFSET(E123,-Simulation!$B$7+1,0))/crRoundingValue)+1)*crRoundingValue),0)</f>
        <v>0</v>
      </c>
      <c r="H123" s="98">
        <f t="shared" ca="1" si="9"/>
        <v>0</v>
      </c>
      <c r="I123" s="72">
        <f t="shared" ca="1" si="10"/>
        <v>7992</v>
      </c>
      <c r="J123" s="72">
        <f t="shared" ca="1" si="11"/>
        <v>7992</v>
      </c>
      <c r="K123" s="72">
        <f t="shared" ca="1" si="12"/>
        <v>0</v>
      </c>
      <c r="L123" s="71">
        <f t="shared" ca="1" si="13"/>
        <v>7</v>
      </c>
    </row>
    <row r="124" spans="1:12" s="71" customFormat="1" hidden="1" x14ac:dyDescent="0.25">
      <c r="A124" s="106">
        <f t="shared" ca="1" si="7"/>
        <v>42552</v>
      </c>
      <c r="B124" s="107"/>
      <c r="C124" s="107"/>
      <c r="D124" s="108"/>
      <c r="E124" s="109">
        <f t="shared" ca="1" si="8"/>
        <v>411.36363636363637</v>
      </c>
      <c r="F124" s="72">
        <f ca="1">SUM(E124:OFFSET(E124,-crLead_Time-crSaf_Time+1,0))</f>
        <v>1234.090909090909</v>
      </c>
      <c r="G124" s="98">
        <f ca="1">IF(F124&gt;=I125,IF(crFixedLot&gt;0,crFixedLot,(INT(SUM(E124:OFFSET(E124,-Simulation!$B$7+1,0))/crRoundingValue)+1)*crRoundingValue),0)</f>
        <v>0</v>
      </c>
      <c r="H124" s="98">
        <f t="shared" ca="1" si="9"/>
        <v>0</v>
      </c>
      <c r="I124" s="72">
        <f t="shared" ca="1" si="10"/>
        <v>7992</v>
      </c>
      <c r="J124" s="72">
        <f t="shared" ca="1" si="11"/>
        <v>7992</v>
      </c>
      <c r="K124" s="72">
        <f t="shared" ca="1" si="12"/>
        <v>0</v>
      </c>
      <c r="L124" s="71">
        <f t="shared" ca="1" si="13"/>
        <v>7</v>
      </c>
    </row>
    <row r="125" spans="1:12" s="71" customFormat="1" hidden="1" x14ac:dyDescent="0.25">
      <c r="A125" s="106">
        <f t="shared" ca="1" si="7"/>
        <v>42551</v>
      </c>
      <c r="B125" s="107"/>
      <c r="C125" s="107"/>
      <c r="D125" s="108"/>
      <c r="E125" s="109">
        <f t="shared" ca="1" si="8"/>
        <v>454.76190476190476</v>
      </c>
      <c r="F125" s="72">
        <f ca="1">SUM(E125:OFFSET(E125,-crLead_Time-crSaf_Time+1,0))</f>
        <v>1277.4891774891776</v>
      </c>
      <c r="G125" s="98">
        <f ca="1">IF(F125&gt;=I126,IF(crFixedLot&gt;0,crFixedLot,(INT(SUM(E125:OFFSET(E125,-Simulation!$B$7+1,0))/crRoundingValue)+1)*crRoundingValue),0)</f>
        <v>0</v>
      </c>
      <c r="H125" s="98">
        <f t="shared" ca="1" si="9"/>
        <v>0</v>
      </c>
      <c r="I125" s="72">
        <f t="shared" ca="1" si="10"/>
        <v>7992</v>
      </c>
      <c r="J125" s="72">
        <f t="shared" ca="1" si="11"/>
        <v>7992</v>
      </c>
      <c r="K125" s="72">
        <f t="shared" ca="1" si="12"/>
        <v>0</v>
      </c>
      <c r="L125" s="71">
        <f t="shared" ca="1" si="13"/>
        <v>6</v>
      </c>
    </row>
    <row r="126" spans="1:12" s="71" customFormat="1" hidden="1" x14ac:dyDescent="0.25">
      <c r="A126" s="106">
        <f t="shared" ca="1" si="7"/>
        <v>42550</v>
      </c>
      <c r="B126" s="107"/>
      <c r="C126" s="107"/>
      <c r="D126" s="108"/>
      <c r="E126" s="109">
        <f t="shared" ca="1" si="8"/>
        <v>454.76190476190476</v>
      </c>
      <c r="F126" s="72">
        <f ca="1">SUM(E126:OFFSET(E126,-crLead_Time-crSaf_Time+1,0))</f>
        <v>1320.8874458874459</v>
      </c>
      <c r="G126" s="98">
        <f ca="1">IF(F126&gt;=I127,IF(crFixedLot&gt;0,crFixedLot,(INT(SUM(E126:OFFSET(E126,-Simulation!$B$7+1,0))/crRoundingValue)+1)*crRoundingValue),0)</f>
        <v>0</v>
      </c>
      <c r="H126" s="98">
        <f t="shared" ca="1" si="9"/>
        <v>0</v>
      </c>
      <c r="I126" s="72">
        <f t="shared" ca="1" si="10"/>
        <v>7992</v>
      </c>
      <c r="J126" s="72">
        <f t="shared" ca="1" si="11"/>
        <v>7992</v>
      </c>
      <c r="K126" s="72">
        <f t="shared" ca="1" si="12"/>
        <v>0</v>
      </c>
      <c r="L126" s="71">
        <f t="shared" ca="1" si="13"/>
        <v>6</v>
      </c>
    </row>
    <row r="127" spans="1:12" s="71" customFormat="1" hidden="1" x14ac:dyDescent="0.25">
      <c r="A127" s="106">
        <f t="shared" ca="1" si="7"/>
        <v>42549</v>
      </c>
      <c r="B127" s="107"/>
      <c r="C127" s="107"/>
      <c r="D127" s="108"/>
      <c r="E127" s="109">
        <f t="shared" ca="1" si="8"/>
        <v>454.76190476190476</v>
      </c>
      <c r="F127" s="72">
        <f ca="1">SUM(E127:OFFSET(E127,-crLead_Time-crSaf_Time+1,0))</f>
        <v>1364.2857142857142</v>
      </c>
      <c r="G127" s="98">
        <f ca="1">IF(F127&gt;=I128,IF(crFixedLot&gt;0,crFixedLot,(INT(SUM(E127:OFFSET(E127,-Simulation!$B$7+1,0))/crRoundingValue)+1)*crRoundingValue),0)</f>
        <v>0</v>
      </c>
      <c r="H127" s="98">
        <f t="shared" ca="1" si="9"/>
        <v>0</v>
      </c>
      <c r="I127" s="72">
        <f t="shared" ca="1" si="10"/>
        <v>7992</v>
      </c>
      <c r="J127" s="72">
        <f t="shared" ca="1" si="11"/>
        <v>7992</v>
      </c>
      <c r="K127" s="72">
        <f t="shared" ca="1" si="12"/>
        <v>0</v>
      </c>
      <c r="L127" s="71">
        <f t="shared" ca="1" si="13"/>
        <v>6</v>
      </c>
    </row>
    <row r="128" spans="1:12" s="71" customFormat="1" hidden="1" x14ac:dyDescent="0.25">
      <c r="A128" s="106">
        <f t="shared" ca="1" si="7"/>
        <v>42548</v>
      </c>
      <c r="B128" s="107"/>
      <c r="C128" s="107"/>
      <c r="D128" s="108"/>
      <c r="E128" s="109">
        <f t="shared" ca="1" si="8"/>
        <v>454.76190476190476</v>
      </c>
      <c r="F128" s="72">
        <f ca="1">SUM(E128:OFFSET(E128,-crLead_Time-crSaf_Time+1,0))</f>
        <v>1364.2857142857142</v>
      </c>
      <c r="G128" s="98">
        <f ca="1">IF(F128&gt;=I129,IF(crFixedLot&gt;0,crFixedLot,(INT(SUM(E128:OFFSET(E128,-Simulation!$B$7+1,0))/crRoundingValue)+1)*crRoundingValue),0)</f>
        <v>0</v>
      </c>
      <c r="H128" s="98">
        <f t="shared" ca="1" si="9"/>
        <v>0</v>
      </c>
      <c r="I128" s="72">
        <f t="shared" ca="1" si="10"/>
        <v>7992</v>
      </c>
      <c r="J128" s="72">
        <f t="shared" ca="1" si="11"/>
        <v>7992</v>
      </c>
      <c r="K128" s="72">
        <f t="shared" ca="1" si="12"/>
        <v>0</v>
      </c>
      <c r="L128" s="71">
        <f t="shared" ca="1" si="13"/>
        <v>6</v>
      </c>
    </row>
    <row r="129" spans="1:12" s="71" customFormat="1" hidden="1" x14ac:dyDescent="0.25">
      <c r="A129" s="106">
        <f t="shared" ca="1" si="7"/>
        <v>42547</v>
      </c>
      <c r="B129" s="107"/>
      <c r="C129" s="107"/>
      <c r="D129" s="108"/>
      <c r="E129" s="109">
        <f t="shared" ca="1" si="8"/>
        <v>454.76190476190476</v>
      </c>
      <c r="F129" s="72">
        <f ca="1">SUM(E129:OFFSET(E129,-crLead_Time-crSaf_Time+1,0))</f>
        <v>1364.2857142857142</v>
      </c>
      <c r="G129" s="98">
        <f ca="1">IF(F129&gt;=I130,IF(crFixedLot&gt;0,crFixedLot,(INT(SUM(E129:OFFSET(E129,-Simulation!$B$7+1,0))/crRoundingValue)+1)*crRoundingValue),0)</f>
        <v>0</v>
      </c>
      <c r="H129" s="98">
        <f t="shared" ca="1" si="9"/>
        <v>0</v>
      </c>
      <c r="I129" s="72">
        <f t="shared" ca="1" si="10"/>
        <v>7992</v>
      </c>
      <c r="J129" s="72">
        <f t="shared" ca="1" si="11"/>
        <v>7992</v>
      </c>
      <c r="K129" s="72">
        <f t="shared" ca="1" si="12"/>
        <v>0</v>
      </c>
      <c r="L129" s="71">
        <f t="shared" ca="1" si="13"/>
        <v>6</v>
      </c>
    </row>
    <row r="130" spans="1:12" s="71" customFormat="1" hidden="1" x14ac:dyDescent="0.25">
      <c r="A130" s="106">
        <f t="shared" ref="A130:A193" ca="1" si="14">A131+1</f>
        <v>42546</v>
      </c>
      <c r="B130" s="107"/>
      <c r="C130" s="107"/>
      <c r="D130" s="108"/>
      <c r="E130" s="109">
        <f t="shared" ref="E130:E193" ca="1" si="15">VLOOKUP(MONTH(A130),rForecast,4,FALSE)</f>
        <v>454.76190476190476</v>
      </c>
      <c r="F130" s="72">
        <f ca="1">SUM(E130:OFFSET(E130,-crLead_Time-crSaf_Time+1,0))</f>
        <v>1364.2857142857142</v>
      </c>
      <c r="G130" s="98">
        <f ca="1">IF(F130&gt;=I131,IF(crFixedLot&gt;0,crFixedLot,(INT(SUM(E130:OFFSET(E130,-Simulation!$B$7+1,0))/crRoundingValue)+1)*crRoundingValue),0)</f>
        <v>0</v>
      </c>
      <c r="H130" s="98">
        <f t="shared" ref="H130:H193" ca="1" si="16">OFFSET(G130,crLead_Time,0)</f>
        <v>0</v>
      </c>
      <c r="I130" s="72">
        <f t="shared" ref="I130:I193" ca="1" si="17">I131-C130+G130</f>
        <v>7992</v>
      </c>
      <c r="J130" s="72">
        <f t="shared" ref="J130:J193" ca="1" si="18">J131-C130+H130</f>
        <v>7992</v>
      </c>
      <c r="K130" s="72">
        <f t="shared" ref="K130:K193" ca="1" si="19">IF(AND(J130&lt;0,OFFSET(J130,1,0)&lt;0),IF(J130&lt;OFFSET(J130,1,0),J130-OFFSET(J130,1,0),0),IF(J130&lt;0,J130,0))</f>
        <v>0</v>
      </c>
      <c r="L130" s="71">
        <f t="shared" ca="1" si="13"/>
        <v>6</v>
      </c>
    </row>
    <row r="131" spans="1:12" s="71" customFormat="1" hidden="1" x14ac:dyDescent="0.25">
      <c r="A131" s="106">
        <f t="shared" ca="1" si="14"/>
        <v>42545</v>
      </c>
      <c r="B131" s="107"/>
      <c r="C131" s="107"/>
      <c r="D131" s="108"/>
      <c r="E131" s="109">
        <f t="shared" ca="1" si="15"/>
        <v>454.76190476190476</v>
      </c>
      <c r="F131" s="72">
        <f ca="1">SUM(E131:OFFSET(E131,-crLead_Time-crSaf_Time+1,0))</f>
        <v>1364.2857142857142</v>
      </c>
      <c r="G131" s="98">
        <f ca="1">IF(F131&gt;=I132,IF(crFixedLot&gt;0,crFixedLot,(INT(SUM(E131:OFFSET(E131,-Simulation!$B$7+1,0))/crRoundingValue)+1)*crRoundingValue),0)</f>
        <v>0</v>
      </c>
      <c r="H131" s="98">
        <f t="shared" ca="1" si="16"/>
        <v>0</v>
      </c>
      <c r="I131" s="72">
        <f t="shared" ca="1" si="17"/>
        <v>7992</v>
      </c>
      <c r="J131" s="72">
        <f t="shared" ca="1" si="18"/>
        <v>7992</v>
      </c>
      <c r="K131" s="72">
        <f t="shared" ca="1" si="19"/>
        <v>0</v>
      </c>
      <c r="L131" s="71">
        <f t="shared" ref="L131:L194" ca="1" si="20">MONTH(A131)</f>
        <v>6</v>
      </c>
    </row>
    <row r="132" spans="1:12" s="71" customFormat="1" hidden="1" x14ac:dyDescent="0.25">
      <c r="A132" s="106">
        <f t="shared" ca="1" si="14"/>
        <v>42544</v>
      </c>
      <c r="B132" s="107"/>
      <c r="C132" s="107"/>
      <c r="D132" s="108"/>
      <c r="E132" s="109">
        <f t="shared" ca="1" si="15"/>
        <v>454.76190476190476</v>
      </c>
      <c r="F132" s="72">
        <f ca="1">SUM(E132:OFFSET(E132,-crLead_Time-crSaf_Time+1,0))</f>
        <v>1364.2857142857142</v>
      </c>
      <c r="G132" s="98">
        <f ca="1">IF(F132&gt;=I133,IF(crFixedLot&gt;0,crFixedLot,(INT(SUM(E132:OFFSET(E132,-Simulation!$B$7+1,0))/crRoundingValue)+1)*crRoundingValue),0)</f>
        <v>0</v>
      </c>
      <c r="H132" s="98">
        <f t="shared" ca="1" si="16"/>
        <v>0</v>
      </c>
      <c r="I132" s="72">
        <f t="shared" ca="1" si="17"/>
        <v>7992</v>
      </c>
      <c r="J132" s="72">
        <f t="shared" ca="1" si="18"/>
        <v>7992</v>
      </c>
      <c r="K132" s="72">
        <f t="shared" ca="1" si="19"/>
        <v>0</v>
      </c>
      <c r="L132" s="71">
        <f t="shared" ca="1" si="20"/>
        <v>6</v>
      </c>
    </row>
    <row r="133" spans="1:12" s="71" customFormat="1" hidden="1" x14ac:dyDescent="0.25">
      <c r="A133" s="106">
        <f t="shared" ca="1" si="14"/>
        <v>42543</v>
      </c>
      <c r="B133" s="107"/>
      <c r="C133" s="107"/>
      <c r="D133" s="108"/>
      <c r="E133" s="109">
        <f t="shared" ca="1" si="15"/>
        <v>454.76190476190476</v>
      </c>
      <c r="F133" s="72">
        <f ca="1">SUM(E133:OFFSET(E133,-crLead_Time-crSaf_Time+1,0))</f>
        <v>1364.2857142857142</v>
      </c>
      <c r="G133" s="98">
        <f ca="1">IF(F133&gt;=I134,IF(crFixedLot&gt;0,crFixedLot,(INT(SUM(E133:OFFSET(E133,-Simulation!$B$7+1,0))/crRoundingValue)+1)*crRoundingValue),0)</f>
        <v>0</v>
      </c>
      <c r="H133" s="98">
        <f t="shared" ca="1" si="16"/>
        <v>0</v>
      </c>
      <c r="I133" s="72">
        <f t="shared" ca="1" si="17"/>
        <v>7992</v>
      </c>
      <c r="J133" s="72">
        <f t="shared" ca="1" si="18"/>
        <v>7992</v>
      </c>
      <c r="K133" s="72">
        <f t="shared" ca="1" si="19"/>
        <v>0</v>
      </c>
      <c r="L133" s="71">
        <f t="shared" ca="1" si="20"/>
        <v>6</v>
      </c>
    </row>
    <row r="134" spans="1:12" s="71" customFormat="1" hidden="1" x14ac:dyDescent="0.25">
      <c r="A134" s="106">
        <f t="shared" ca="1" si="14"/>
        <v>42542</v>
      </c>
      <c r="B134" s="107"/>
      <c r="C134" s="107"/>
      <c r="D134" s="108"/>
      <c r="E134" s="109">
        <f t="shared" ca="1" si="15"/>
        <v>454.76190476190476</v>
      </c>
      <c r="F134" s="72">
        <f ca="1">SUM(E134:OFFSET(E134,-crLead_Time-crSaf_Time+1,0))</f>
        <v>1364.2857142857142</v>
      </c>
      <c r="G134" s="98">
        <f ca="1">IF(F134&gt;=I135,IF(crFixedLot&gt;0,crFixedLot,(INT(SUM(E134:OFFSET(E134,-Simulation!$B$7+1,0))/crRoundingValue)+1)*crRoundingValue),0)</f>
        <v>0</v>
      </c>
      <c r="H134" s="98">
        <f t="shared" ca="1" si="16"/>
        <v>0</v>
      </c>
      <c r="I134" s="72">
        <f t="shared" ca="1" si="17"/>
        <v>7992</v>
      </c>
      <c r="J134" s="72">
        <f t="shared" ca="1" si="18"/>
        <v>7992</v>
      </c>
      <c r="K134" s="72">
        <f t="shared" ca="1" si="19"/>
        <v>0</v>
      </c>
      <c r="L134" s="71">
        <f t="shared" ca="1" si="20"/>
        <v>6</v>
      </c>
    </row>
    <row r="135" spans="1:12" s="71" customFormat="1" hidden="1" x14ac:dyDescent="0.25">
      <c r="A135" s="106">
        <f t="shared" ca="1" si="14"/>
        <v>42541</v>
      </c>
      <c r="B135" s="107"/>
      <c r="C135" s="107"/>
      <c r="D135" s="108"/>
      <c r="E135" s="109">
        <f t="shared" ca="1" si="15"/>
        <v>454.76190476190476</v>
      </c>
      <c r="F135" s="72">
        <f ca="1">SUM(E135:OFFSET(E135,-crLead_Time-crSaf_Time+1,0))</f>
        <v>1364.2857142857142</v>
      </c>
      <c r="G135" s="98">
        <f ca="1">IF(F135&gt;=I136,IF(crFixedLot&gt;0,crFixedLot,(INT(SUM(E135:OFFSET(E135,-Simulation!$B$7+1,0))/crRoundingValue)+1)*crRoundingValue),0)</f>
        <v>0</v>
      </c>
      <c r="H135" s="98">
        <f t="shared" ca="1" si="16"/>
        <v>0</v>
      </c>
      <c r="I135" s="72">
        <f t="shared" ca="1" si="17"/>
        <v>7992</v>
      </c>
      <c r="J135" s="72">
        <f t="shared" ca="1" si="18"/>
        <v>7992</v>
      </c>
      <c r="K135" s="72">
        <f t="shared" ca="1" si="19"/>
        <v>0</v>
      </c>
      <c r="L135" s="71">
        <f t="shared" ca="1" si="20"/>
        <v>6</v>
      </c>
    </row>
    <row r="136" spans="1:12" s="71" customFormat="1" hidden="1" x14ac:dyDescent="0.25">
      <c r="A136" s="106">
        <f t="shared" ca="1" si="14"/>
        <v>42540</v>
      </c>
      <c r="B136" s="107"/>
      <c r="C136" s="107"/>
      <c r="D136" s="108"/>
      <c r="E136" s="109">
        <f t="shared" ca="1" si="15"/>
        <v>454.76190476190476</v>
      </c>
      <c r="F136" s="72">
        <f ca="1">SUM(E136:OFFSET(E136,-crLead_Time-crSaf_Time+1,0))</f>
        <v>1364.2857142857142</v>
      </c>
      <c r="G136" s="98">
        <f ca="1">IF(F136&gt;=I137,IF(crFixedLot&gt;0,crFixedLot,(INT(SUM(E136:OFFSET(E136,-Simulation!$B$7+1,0))/crRoundingValue)+1)*crRoundingValue),0)</f>
        <v>0</v>
      </c>
      <c r="H136" s="98">
        <f t="shared" ca="1" si="16"/>
        <v>0</v>
      </c>
      <c r="I136" s="72">
        <f t="shared" ca="1" si="17"/>
        <v>7992</v>
      </c>
      <c r="J136" s="72">
        <f t="shared" ca="1" si="18"/>
        <v>7992</v>
      </c>
      <c r="K136" s="72">
        <f t="shared" ca="1" si="19"/>
        <v>0</v>
      </c>
      <c r="L136" s="71">
        <f t="shared" ca="1" si="20"/>
        <v>6</v>
      </c>
    </row>
    <row r="137" spans="1:12" s="71" customFormat="1" hidden="1" x14ac:dyDescent="0.25">
      <c r="A137" s="106">
        <f t="shared" ca="1" si="14"/>
        <v>42539</v>
      </c>
      <c r="B137" s="107"/>
      <c r="C137" s="107"/>
      <c r="D137" s="108"/>
      <c r="E137" s="109">
        <f t="shared" ca="1" si="15"/>
        <v>454.76190476190476</v>
      </c>
      <c r="F137" s="72">
        <f ca="1">SUM(E137:OFFSET(E137,-crLead_Time-crSaf_Time+1,0))</f>
        <v>1364.2857142857142</v>
      </c>
      <c r="G137" s="98">
        <f ca="1">IF(F137&gt;=I138,IF(crFixedLot&gt;0,crFixedLot,(INT(SUM(E137:OFFSET(E137,-Simulation!$B$7+1,0))/crRoundingValue)+1)*crRoundingValue),0)</f>
        <v>0</v>
      </c>
      <c r="H137" s="98">
        <f t="shared" ca="1" si="16"/>
        <v>0</v>
      </c>
      <c r="I137" s="72">
        <f t="shared" ca="1" si="17"/>
        <v>7992</v>
      </c>
      <c r="J137" s="72">
        <f t="shared" ca="1" si="18"/>
        <v>7992</v>
      </c>
      <c r="K137" s="72">
        <f t="shared" ca="1" si="19"/>
        <v>0</v>
      </c>
      <c r="L137" s="71">
        <f t="shared" ca="1" si="20"/>
        <v>6</v>
      </c>
    </row>
    <row r="138" spans="1:12" s="71" customFormat="1" hidden="1" x14ac:dyDescent="0.25">
      <c r="A138" s="106">
        <f t="shared" ca="1" si="14"/>
        <v>42538</v>
      </c>
      <c r="B138" s="107"/>
      <c r="C138" s="107"/>
      <c r="D138" s="108"/>
      <c r="E138" s="109">
        <f t="shared" ca="1" si="15"/>
        <v>454.76190476190476</v>
      </c>
      <c r="F138" s="72">
        <f ca="1">SUM(E138:OFFSET(E138,-crLead_Time-crSaf_Time+1,0))</f>
        <v>1364.2857142857142</v>
      </c>
      <c r="G138" s="98">
        <f ca="1">IF(F138&gt;=I139,IF(crFixedLot&gt;0,crFixedLot,(INT(SUM(E138:OFFSET(E138,-Simulation!$B$7+1,0))/crRoundingValue)+1)*crRoundingValue),0)</f>
        <v>0</v>
      </c>
      <c r="H138" s="98">
        <f t="shared" ca="1" si="16"/>
        <v>0</v>
      </c>
      <c r="I138" s="72">
        <f t="shared" ca="1" si="17"/>
        <v>7992</v>
      </c>
      <c r="J138" s="72">
        <f t="shared" ca="1" si="18"/>
        <v>7992</v>
      </c>
      <c r="K138" s="72">
        <f t="shared" ca="1" si="19"/>
        <v>0</v>
      </c>
      <c r="L138" s="71">
        <f t="shared" ca="1" si="20"/>
        <v>6</v>
      </c>
    </row>
    <row r="139" spans="1:12" s="71" customFormat="1" hidden="1" x14ac:dyDescent="0.25">
      <c r="A139" s="106">
        <f t="shared" ca="1" si="14"/>
        <v>42537</v>
      </c>
      <c r="B139" s="107"/>
      <c r="C139" s="107"/>
      <c r="D139" s="108"/>
      <c r="E139" s="109">
        <f t="shared" ca="1" si="15"/>
        <v>454.76190476190476</v>
      </c>
      <c r="F139" s="72">
        <f ca="1">SUM(E139:OFFSET(E139,-crLead_Time-crSaf_Time+1,0))</f>
        <v>1364.2857142857142</v>
      </c>
      <c r="G139" s="98">
        <f ca="1">IF(F139&gt;=I140,IF(crFixedLot&gt;0,crFixedLot,(INT(SUM(E139:OFFSET(E139,-Simulation!$B$7+1,0))/crRoundingValue)+1)*crRoundingValue),0)</f>
        <v>0</v>
      </c>
      <c r="H139" s="98">
        <f t="shared" ca="1" si="16"/>
        <v>0</v>
      </c>
      <c r="I139" s="72">
        <f t="shared" ca="1" si="17"/>
        <v>7992</v>
      </c>
      <c r="J139" s="72">
        <f t="shared" ca="1" si="18"/>
        <v>7992</v>
      </c>
      <c r="K139" s="72">
        <f t="shared" ca="1" si="19"/>
        <v>0</v>
      </c>
      <c r="L139" s="71">
        <f t="shared" ca="1" si="20"/>
        <v>6</v>
      </c>
    </row>
    <row r="140" spans="1:12" s="71" customFormat="1" hidden="1" x14ac:dyDescent="0.25">
      <c r="A140" s="106">
        <f t="shared" ca="1" si="14"/>
        <v>42536</v>
      </c>
      <c r="B140" s="107"/>
      <c r="C140" s="107"/>
      <c r="D140" s="108"/>
      <c r="E140" s="109">
        <f t="shared" ca="1" si="15"/>
        <v>454.76190476190476</v>
      </c>
      <c r="F140" s="72">
        <f ca="1">SUM(E140:OFFSET(E140,-crLead_Time-crSaf_Time+1,0))</f>
        <v>1364.2857142857142</v>
      </c>
      <c r="G140" s="98">
        <f ca="1">IF(F140&gt;=I141,IF(crFixedLot&gt;0,crFixedLot,(INT(SUM(E140:OFFSET(E140,-Simulation!$B$7+1,0))/crRoundingValue)+1)*crRoundingValue),0)</f>
        <v>0</v>
      </c>
      <c r="H140" s="98">
        <f t="shared" ca="1" si="16"/>
        <v>0</v>
      </c>
      <c r="I140" s="72">
        <f t="shared" ca="1" si="17"/>
        <v>7992</v>
      </c>
      <c r="J140" s="72">
        <f t="shared" ca="1" si="18"/>
        <v>7992</v>
      </c>
      <c r="K140" s="72">
        <f t="shared" ca="1" si="19"/>
        <v>0</v>
      </c>
      <c r="L140" s="71">
        <f t="shared" ca="1" si="20"/>
        <v>6</v>
      </c>
    </row>
    <row r="141" spans="1:12" s="71" customFormat="1" hidden="1" x14ac:dyDescent="0.25">
      <c r="A141" s="106">
        <f t="shared" ca="1" si="14"/>
        <v>42535</v>
      </c>
      <c r="B141" s="107"/>
      <c r="C141" s="107"/>
      <c r="D141" s="108"/>
      <c r="E141" s="109">
        <f t="shared" ca="1" si="15"/>
        <v>454.76190476190476</v>
      </c>
      <c r="F141" s="72">
        <f ca="1">SUM(E141:OFFSET(E141,-crLead_Time-crSaf_Time+1,0))</f>
        <v>1364.2857142857142</v>
      </c>
      <c r="G141" s="98">
        <f ca="1">IF(F141&gt;=I142,IF(crFixedLot&gt;0,crFixedLot,(INT(SUM(E141:OFFSET(E141,-Simulation!$B$7+1,0))/crRoundingValue)+1)*crRoundingValue),0)</f>
        <v>0</v>
      </c>
      <c r="H141" s="98">
        <f t="shared" ca="1" si="16"/>
        <v>0</v>
      </c>
      <c r="I141" s="72">
        <f t="shared" ca="1" si="17"/>
        <v>7992</v>
      </c>
      <c r="J141" s="72">
        <f t="shared" ca="1" si="18"/>
        <v>7992</v>
      </c>
      <c r="K141" s="72">
        <f t="shared" ca="1" si="19"/>
        <v>0</v>
      </c>
      <c r="L141" s="71">
        <f t="shared" ca="1" si="20"/>
        <v>6</v>
      </c>
    </row>
    <row r="142" spans="1:12" s="71" customFormat="1" hidden="1" x14ac:dyDescent="0.25">
      <c r="A142" s="106">
        <f t="shared" ca="1" si="14"/>
        <v>42534</v>
      </c>
      <c r="B142" s="107"/>
      <c r="C142" s="107"/>
      <c r="D142" s="108"/>
      <c r="E142" s="109">
        <f t="shared" ca="1" si="15"/>
        <v>454.76190476190476</v>
      </c>
      <c r="F142" s="72">
        <f ca="1">SUM(E142:OFFSET(E142,-crLead_Time-crSaf_Time+1,0))</f>
        <v>1364.2857142857142</v>
      </c>
      <c r="G142" s="98">
        <f ca="1">IF(F142&gt;=I143,IF(crFixedLot&gt;0,crFixedLot,(INT(SUM(E142:OFFSET(E142,-Simulation!$B$7+1,0))/crRoundingValue)+1)*crRoundingValue),0)</f>
        <v>0</v>
      </c>
      <c r="H142" s="98">
        <f t="shared" ca="1" si="16"/>
        <v>0</v>
      </c>
      <c r="I142" s="72">
        <f t="shared" ca="1" si="17"/>
        <v>7992</v>
      </c>
      <c r="J142" s="72">
        <f t="shared" ca="1" si="18"/>
        <v>7992</v>
      </c>
      <c r="K142" s="72">
        <f t="shared" ca="1" si="19"/>
        <v>0</v>
      </c>
      <c r="L142" s="71">
        <f t="shared" ca="1" si="20"/>
        <v>6</v>
      </c>
    </row>
    <row r="143" spans="1:12" s="71" customFormat="1" hidden="1" x14ac:dyDescent="0.25">
      <c r="A143" s="106">
        <f t="shared" ca="1" si="14"/>
        <v>42533</v>
      </c>
      <c r="B143" s="107"/>
      <c r="C143" s="107"/>
      <c r="D143" s="108"/>
      <c r="E143" s="109">
        <f t="shared" ca="1" si="15"/>
        <v>454.76190476190476</v>
      </c>
      <c r="F143" s="72">
        <f ca="1">SUM(E143:OFFSET(E143,-crLead_Time-crSaf_Time+1,0))</f>
        <v>1364.2857142857142</v>
      </c>
      <c r="G143" s="98">
        <f ca="1">IF(F143&gt;=I144,IF(crFixedLot&gt;0,crFixedLot,(INT(SUM(E143:OFFSET(E143,-Simulation!$B$7+1,0))/crRoundingValue)+1)*crRoundingValue),0)</f>
        <v>0</v>
      </c>
      <c r="H143" s="98">
        <f t="shared" ca="1" si="16"/>
        <v>0</v>
      </c>
      <c r="I143" s="72">
        <f t="shared" ca="1" si="17"/>
        <v>7992</v>
      </c>
      <c r="J143" s="72">
        <f t="shared" ca="1" si="18"/>
        <v>7992</v>
      </c>
      <c r="K143" s="72">
        <f t="shared" ca="1" si="19"/>
        <v>0</v>
      </c>
      <c r="L143" s="71">
        <f t="shared" ca="1" si="20"/>
        <v>6</v>
      </c>
    </row>
    <row r="144" spans="1:12" s="71" customFormat="1" hidden="1" x14ac:dyDescent="0.25">
      <c r="A144" s="106">
        <f t="shared" ca="1" si="14"/>
        <v>42532</v>
      </c>
      <c r="B144" s="107"/>
      <c r="C144" s="107"/>
      <c r="D144" s="108"/>
      <c r="E144" s="109">
        <f t="shared" ca="1" si="15"/>
        <v>454.76190476190476</v>
      </c>
      <c r="F144" s="72">
        <f ca="1">SUM(E144:OFFSET(E144,-crLead_Time-crSaf_Time+1,0))</f>
        <v>1364.2857142857142</v>
      </c>
      <c r="G144" s="98">
        <f ca="1">IF(F144&gt;=I145,IF(crFixedLot&gt;0,crFixedLot,(INT(SUM(E144:OFFSET(E144,-Simulation!$B$7+1,0))/crRoundingValue)+1)*crRoundingValue),0)</f>
        <v>0</v>
      </c>
      <c r="H144" s="98">
        <f t="shared" ca="1" si="16"/>
        <v>0</v>
      </c>
      <c r="I144" s="72">
        <f t="shared" ca="1" si="17"/>
        <v>7992</v>
      </c>
      <c r="J144" s="72">
        <f t="shared" ca="1" si="18"/>
        <v>7992</v>
      </c>
      <c r="K144" s="72">
        <f t="shared" ca="1" si="19"/>
        <v>0</v>
      </c>
      <c r="L144" s="71">
        <f t="shared" ca="1" si="20"/>
        <v>6</v>
      </c>
    </row>
    <row r="145" spans="1:12" s="71" customFormat="1" hidden="1" x14ac:dyDescent="0.25">
      <c r="A145" s="106">
        <f t="shared" ca="1" si="14"/>
        <v>42531</v>
      </c>
      <c r="B145" s="107"/>
      <c r="C145" s="107"/>
      <c r="D145" s="108"/>
      <c r="E145" s="109">
        <f t="shared" ca="1" si="15"/>
        <v>454.76190476190476</v>
      </c>
      <c r="F145" s="72">
        <f ca="1">SUM(E145:OFFSET(E145,-crLead_Time-crSaf_Time+1,0))</f>
        <v>1364.2857142857142</v>
      </c>
      <c r="G145" s="98">
        <f ca="1">IF(F145&gt;=I146,IF(crFixedLot&gt;0,crFixedLot,(INT(SUM(E145:OFFSET(E145,-Simulation!$B$7+1,0))/crRoundingValue)+1)*crRoundingValue),0)</f>
        <v>0</v>
      </c>
      <c r="H145" s="98">
        <f t="shared" ca="1" si="16"/>
        <v>0</v>
      </c>
      <c r="I145" s="72">
        <f t="shared" ca="1" si="17"/>
        <v>7992</v>
      </c>
      <c r="J145" s="72">
        <f t="shared" ca="1" si="18"/>
        <v>7992</v>
      </c>
      <c r="K145" s="72">
        <f t="shared" ca="1" si="19"/>
        <v>0</v>
      </c>
      <c r="L145" s="71">
        <f t="shared" ca="1" si="20"/>
        <v>6</v>
      </c>
    </row>
    <row r="146" spans="1:12" s="71" customFormat="1" hidden="1" x14ac:dyDescent="0.25">
      <c r="A146" s="106">
        <f t="shared" ca="1" si="14"/>
        <v>42530</v>
      </c>
      <c r="B146" s="107"/>
      <c r="C146" s="107"/>
      <c r="D146" s="108"/>
      <c r="E146" s="109">
        <f t="shared" ca="1" si="15"/>
        <v>454.76190476190476</v>
      </c>
      <c r="F146" s="72">
        <f ca="1">SUM(E146:OFFSET(E146,-crLead_Time-crSaf_Time+1,0))</f>
        <v>1364.2857142857142</v>
      </c>
      <c r="G146" s="98">
        <f ca="1">IF(F146&gt;=I147,IF(crFixedLot&gt;0,crFixedLot,(INT(SUM(E146:OFFSET(E146,-Simulation!$B$7+1,0))/crRoundingValue)+1)*crRoundingValue),0)</f>
        <v>0</v>
      </c>
      <c r="H146" s="98">
        <f t="shared" ca="1" si="16"/>
        <v>0</v>
      </c>
      <c r="I146" s="72">
        <f t="shared" ca="1" si="17"/>
        <v>7992</v>
      </c>
      <c r="J146" s="72">
        <f t="shared" ca="1" si="18"/>
        <v>7992</v>
      </c>
      <c r="K146" s="72">
        <f t="shared" ca="1" si="19"/>
        <v>0</v>
      </c>
      <c r="L146" s="71">
        <f t="shared" ca="1" si="20"/>
        <v>6</v>
      </c>
    </row>
    <row r="147" spans="1:12" s="71" customFormat="1" hidden="1" x14ac:dyDescent="0.25">
      <c r="A147" s="106">
        <f t="shared" ca="1" si="14"/>
        <v>42529</v>
      </c>
      <c r="B147" s="107"/>
      <c r="C147" s="107"/>
      <c r="D147" s="108"/>
      <c r="E147" s="109">
        <f t="shared" ca="1" si="15"/>
        <v>454.76190476190476</v>
      </c>
      <c r="F147" s="72">
        <f ca="1">SUM(E147:OFFSET(E147,-crLead_Time-crSaf_Time+1,0))</f>
        <v>1364.2857142857142</v>
      </c>
      <c r="G147" s="98">
        <f ca="1">IF(F147&gt;=I148,IF(crFixedLot&gt;0,crFixedLot,(INT(SUM(E147:OFFSET(E147,-Simulation!$B$7+1,0))/crRoundingValue)+1)*crRoundingValue),0)</f>
        <v>0</v>
      </c>
      <c r="H147" s="98">
        <f t="shared" ca="1" si="16"/>
        <v>0</v>
      </c>
      <c r="I147" s="72">
        <f t="shared" ca="1" si="17"/>
        <v>7992</v>
      </c>
      <c r="J147" s="72">
        <f t="shared" ca="1" si="18"/>
        <v>7992</v>
      </c>
      <c r="K147" s="72">
        <f t="shared" ca="1" si="19"/>
        <v>0</v>
      </c>
      <c r="L147" s="71">
        <f t="shared" ca="1" si="20"/>
        <v>6</v>
      </c>
    </row>
    <row r="148" spans="1:12" s="71" customFormat="1" hidden="1" x14ac:dyDescent="0.25">
      <c r="A148" s="106">
        <f t="shared" ca="1" si="14"/>
        <v>42528</v>
      </c>
      <c r="B148" s="107"/>
      <c r="C148" s="107"/>
      <c r="D148" s="108"/>
      <c r="E148" s="109">
        <f t="shared" ca="1" si="15"/>
        <v>454.76190476190476</v>
      </c>
      <c r="F148" s="72">
        <f ca="1">SUM(E148:OFFSET(E148,-crLead_Time-crSaf_Time+1,0))</f>
        <v>1364.2857142857142</v>
      </c>
      <c r="G148" s="98">
        <f ca="1">IF(F148&gt;=I149,IF(crFixedLot&gt;0,crFixedLot,(INT(SUM(E148:OFFSET(E148,-Simulation!$B$7+1,0))/crRoundingValue)+1)*crRoundingValue),0)</f>
        <v>0</v>
      </c>
      <c r="H148" s="98">
        <f t="shared" ca="1" si="16"/>
        <v>0</v>
      </c>
      <c r="I148" s="72">
        <f t="shared" ca="1" si="17"/>
        <v>7992</v>
      </c>
      <c r="J148" s="72">
        <f t="shared" ca="1" si="18"/>
        <v>7992</v>
      </c>
      <c r="K148" s="72">
        <f t="shared" ca="1" si="19"/>
        <v>0</v>
      </c>
      <c r="L148" s="71">
        <f t="shared" ca="1" si="20"/>
        <v>6</v>
      </c>
    </row>
    <row r="149" spans="1:12" s="71" customFormat="1" hidden="1" x14ac:dyDescent="0.25">
      <c r="A149" s="106">
        <f t="shared" ca="1" si="14"/>
        <v>42527</v>
      </c>
      <c r="B149" s="107"/>
      <c r="C149" s="107"/>
      <c r="D149" s="108"/>
      <c r="E149" s="109">
        <f t="shared" ca="1" si="15"/>
        <v>454.76190476190476</v>
      </c>
      <c r="F149" s="72">
        <f ca="1">SUM(E149:OFFSET(E149,-crLead_Time-crSaf_Time+1,0))</f>
        <v>1364.2857142857142</v>
      </c>
      <c r="G149" s="98">
        <f ca="1">IF(F149&gt;=I150,IF(crFixedLot&gt;0,crFixedLot,(INT(SUM(E149:OFFSET(E149,-Simulation!$B$7+1,0))/crRoundingValue)+1)*crRoundingValue),0)</f>
        <v>0</v>
      </c>
      <c r="H149" s="98">
        <f t="shared" ca="1" si="16"/>
        <v>0</v>
      </c>
      <c r="I149" s="72">
        <f t="shared" ca="1" si="17"/>
        <v>7992</v>
      </c>
      <c r="J149" s="72">
        <f t="shared" ca="1" si="18"/>
        <v>7992</v>
      </c>
      <c r="K149" s="72">
        <f t="shared" ca="1" si="19"/>
        <v>0</v>
      </c>
      <c r="L149" s="71">
        <f t="shared" ca="1" si="20"/>
        <v>6</v>
      </c>
    </row>
    <row r="150" spans="1:12" s="71" customFormat="1" hidden="1" x14ac:dyDescent="0.25">
      <c r="A150" s="106">
        <f t="shared" ca="1" si="14"/>
        <v>42526</v>
      </c>
      <c r="B150" s="107"/>
      <c r="C150" s="107"/>
      <c r="D150" s="108"/>
      <c r="E150" s="109">
        <f t="shared" ca="1" si="15"/>
        <v>454.76190476190476</v>
      </c>
      <c r="F150" s="72">
        <f ca="1">SUM(E150:OFFSET(E150,-crLead_Time-crSaf_Time+1,0))</f>
        <v>1364.2857142857142</v>
      </c>
      <c r="G150" s="98">
        <f ca="1">IF(F150&gt;=I151,IF(crFixedLot&gt;0,crFixedLot,(INT(SUM(E150:OFFSET(E150,-Simulation!$B$7+1,0))/crRoundingValue)+1)*crRoundingValue),0)</f>
        <v>0</v>
      </c>
      <c r="H150" s="98">
        <f t="shared" ca="1" si="16"/>
        <v>0</v>
      </c>
      <c r="I150" s="72">
        <f t="shared" ca="1" si="17"/>
        <v>7992</v>
      </c>
      <c r="J150" s="72">
        <f t="shared" ca="1" si="18"/>
        <v>7992</v>
      </c>
      <c r="K150" s="72">
        <f t="shared" ca="1" si="19"/>
        <v>0</v>
      </c>
      <c r="L150" s="71">
        <f t="shared" ca="1" si="20"/>
        <v>6</v>
      </c>
    </row>
    <row r="151" spans="1:12" s="71" customFormat="1" hidden="1" x14ac:dyDescent="0.25">
      <c r="A151" s="106">
        <f t="shared" ca="1" si="14"/>
        <v>42525</v>
      </c>
      <c r="B151" s="107"/>
      <c r="C151" s="107"/>
      <c r="D151" s="108"/>
      <c r="E151" s="109">
        <f t="shared" ca="1" si="15"/>
        <v>454.76190476190476</v>
      </c>
      <c r="F151" s="72">
        <f ca="1">SUM(E151:OFFSET(E151,-crLead_Time-crSaf_Time+1,0))</f>
        <v>1364.2857142857142</v>
      </c>
      <c r="G151" s="98">
        <f ca="1">IF(F151&gt;=I152,IF(crFixedLot&gt;0,crFixedLot,(INT(SUM(E151:OFFSET(E151,-Simulation!$B$7+1,0))/crRoundingValue)+1)*crRoundingValue),0)</f>
        <v>0</v>
      </c>
      <c r="H151" s="98">
        <f t="shared" ca="1" si="16"/>
        <v>0</v>
      </c>
      <c r="I151" s="72">
        <f t="shared" ca="1" si="17"/>
        <v>7992</v>
      </c>
      <c r="J151" s="72">
        <f t="shared" ca="1" si="18"/>
        <v>7992</v>
      </c>
      <c r="K151" s="72">
        <f t="shared" ca="1" si="19"/>
        <v>0</v>
      </c>
      <c r="L151" s="71">
        <f t="shared" ca="1" si="20"/>
        <v>6</v>
      </c>
    </row>
    <row r="152" spans="1:12" s="71" customFormat="1" hidden="1" x14ac:dyDescent="0.25">
      <c r="A152" s="106">
        <f t="shared" ca="1" si="14"/>
        <v>42524</v>
      </c>
      <c r="B152" s="107"/>
      <c r="C152" s="107"/>
      <c r="D152" s="108"/>
      <c r="E152" s="109">
        <f t="shared" ca="1" si="15"/>
        <v>454.76190476190476</v>
      </c>
      <c r="F152" s="72">
        <f ca="1">SUM(E152:OFFSET(E152,-crLead_Time-crSaf_Time+1,0))</f>
        <v>1364.2857142857142</v>
      </c>
      <c r="G152" s="98">
        <f ca="1">IF(F152&gt;=I153,IF(crFixedLot&gt;0,crFixedLot,(INT(SUM(E152:OFFSET(E152,-Simulation!$B$7+1,0))/crRoundingValue)+1)*crRoundingValue),0)</f>
        <v>0</v>
      </c>
      <c r="H152" s="98">
        <f t="shared" ca="1" si="16"/>
        <v>0</v>
      </c>
      <c r="I152" s="72">
        <f t="shared" ca="1" si="17"/>
        <v>7992</v>
      </c>
      <c r="J152" s="72">
        <f t="shared" ca="1" si="18"/>
        <v>7992</v>
      </c>
      <c r="K152" s="72">
        <f t="shared" ca="1" si="19"/>
        <v>0</v>
      </c>
      <c r="L152" s="71">
        <f t="shared" ca="1" si="20"/>
        <v>6</v>
      </c>
    </row>
    <row r="153" spans="1:12" s="71" customFormat="1" hidden="1" x14ac:dyDescent="0.25">
      <c r="A153" s="106">
        <f t="shared" ca="1" si="14"/>
        <v>42523</v>
      </c>
      <c r="B153" s="107"/>
      <c r="C153" s="107"/>
      <c r="D153" s="108"/>
      <c r="E153" s="109">
        <f t="shared" ca="1" si="15"/>
        <v>454.76190476190476</v>
      </c>
      <c r="F153" s="72">
        <f ca="1">SUM(E153:OFFSET(E153,-crLead_Time-crSaf_Time+1,0))</f>
        <v>1364.2857142857142</v>
      </c>
      <c r="G153" s="98">
        <f ca="1">IF(F153&gt;=I154,IF(crFixedLot&gt;0,crFixedLot,(INT(SUM(E153:OFFSET(E153,-Simulation!$B$7+1,0))/crRoundingValue)+1)*crRoundingValue),0)</f>
        <v>0</v>
      </c>
      <c r="H153" s="98">
        <f t="shared" ca="1" si="16"/>
        <v>0</v>
      </c>
      <c r="I153" s="72">
        <f t="shared" ca="1" si="17"/>
        <v>7992</v>
      </c>
      <c r="J153" s="72">
        <f t="shared" ca="1" si="18"/>
        <v>7992</v>
      </c>
      <c r="K153" s="72">
        <f t="shared" ca="1" si="19"/>
        <v>0</v>
      </c>
      <c r="L153" s="71">
        <f t="shared" ca="1" si="20"/>
        <v>6</v>
      </c>
    </row>
    <row r="154" spans="1:12" s="71" customFormat="1" hidden="1" x14ac:dyDescent="0.25">
      <c r="A154" s="106">
        <f t="shared" ca="1" si="14"/>
        <v>42522</v>
      </c>
      <c r="B154" s="107"/>
      <c r="C154" s="107"/>
      <c r="D154" s="108"/>
      <c r="E154" s="109">
        <f t="shared" ca="1" si="15"/>
        <v>454.76190476190476</v>
      </c>
      <c r="F154" s="72">
        <f ca="1">SUM(E154:OFFSET(E154,-crLead_Time-crSaf_Time+1,0))</f>
        <v>1364.2857142857142</v>
      </c>
      <c r="G154" s="98">
        <f ca="1">IF(F154&gt;=I155,IF(crFixedLot&gt;0,crFixedLot,(INT(SUM(E154:OFFSET(E154,-Simulation!$B$7+1,0))/crRoundingValue)+1)*crRoundingValue),0)</f>
        <v>0</v>
      </c>
      <c r="H154" s="98">
        <f t="shared" ca="1" si="16"/>
        <v>0</v>
      </c>
      <c r="I154" s="72">
        <f t="shared" ca="1" si="17"/>
        <v>7992</v>
      </c>
      <c r="J154" s="72">
        <f t="shared" ca="1" si="18"/>
        <v>7992</v>
      </c>
      <c r="K154" s="72">
        <f t="shared" ca="1" si="19"/>
        <v>0</v>
      </c>
      <c r="L154" s="71">
        <f t="shared" ca="1" si="20"/>
        <v>6</v>
      </c>
    </row>
    <row r="155" spans="1:12" s="71" customFormat="1" hidden="1" x14ac:dyDescent="0.25">
      <c r="A155" s="106">
        <f t="shared" ca="1" si="14"/>
        <v>42521</v>
      </c>
      <c r="B155" s="107"/>
      <c r="C155" s="107"/>
      <c r="D155" s="108"/>
      <c r="E155" s="109">
        <f t="shared" ca="1" si="15"/>
        <v>242.10526315789474</v>
      </c>
      <c r="F155" s="72">
        <f ca="1">SUM(E155:OFFSET(E155,-crLead_Time-crSaf_Time+1,0))</f>
        <v>1151.6290726817042</v>
      </c>
      <c r="G155" s="98">
        <f ca="1">IF(F155&gt;=I156,IF(crFixedLot&gt;0,crFixedLot,(INT(SUM(E155:OFFSET(E155,-Simulation!$B$7+1,0))/crRoundingValue)+1)*crRoundingValue),0)</f>
        <v>0</v>
      </c>
      <c r="H155" s="98">
        <f t="shared" ca="1" si="16"/>
        <v>0</v>
      </c>
      <c r="I155" s="72">
        <f t="shared" ca="1" si="17"/>
        <v>7992</v>
      </c>
      <c r="J155" s="72">
        <f t="shared" ca="1" si="18"/>
        <v>7992</v>
      </c>
      <c r="K155" s="72">
        <f t="shared" ca="1" si="19"/>
        <v>0</v>
      </c>
      <c r="L155" s="71">
        <f t="shared" ca="1" si="20"/>
        <v>5</v>
      </c>
    </row>
    <row r="156" spans="1:12" s="71" customFormat="1" hidden="1" x14ac:dyDescent="0.25">
      <c r="A156" s="106">
        <f t="shared" ca="1" si="14"/>
        <v>42520</v>
      </c>
      <c r="B156" s="107"/>
      <c r="C156" s="107"/>
      <c r="D156" s="108"/>
      <c r="E156" s="109">
        <f t="shared" ca="1" si="15"/>
        <v>242.10526315789474</v>
      </c>
      <c r="F156" s="72">
        <f ca="1">SUM(E156:OFFSET(E156,-crLead_Time-crSaf_Time+1,0))</f>
        <v>938.97243107769418</v>
      </c>
      <c r="G156" s="98">
        <f ca="1">IF(F156&gt;=I157,IF(crFixedLot&gt;0,crFixedLot,(INT(SUM(E156:OFFSET(E156,-Simulation!$B$7+1,0))/crRoundingValue)+1)*crRoundingValue),0)</f>
        <v>0</v>
      </c>
      <c r="H156" s="98">
        <f t="shared" ca="1" si="16"/>
        <v>0</v>
      </c>
      <c r="I156" s="72">
        <f t="shared" ca="1" si="17"/>
        <v>7992</v>
      </c>
      <c r="J156" s="72">
        <f t="shared" ca="1" si="18"/>
        <v>7992</v>
      </c>
      <c r="K156" s="72">
        <f t="shared" ca="1" si="19"/>
        <v>0</v>
      </c>
      <c r="L156" s="71">
        <f t="shared" ca="1" si="20"/>
        <v>5</v>
      </c>
    </row>
    <row r="157" spans="1:12" s="71" customFormat="1" hidden="1" x14ac:dyDescent="0.25">
      <c r="A157" s="106">
        <f t="shared" ca="1" si="14"/>
        <v>42519</v>
      </c>
      <c r="B157" s="107"/>
      <c r="C157" s="107"/>
      <c r="D157" s="108"/>
      <c r="E157" s="109">
        <f t="shared" ca="1" si="15"/>
        <v>242.10526315789474</v>
      </c>
      <c r="F157" s="72">
        <f ca="1">SUM(E157:OFFSET(E157,-crLead_Time-crSaf_Time+1,0))</f>
        <v>726.31578947368416</v>
      </c>
      <c r="G157" s="98">
        <f ca="1">IF(F157&gt;=I158,IF(crFixedLot&gt;0,crFixedLot,(INT(SUM(E157:OFFSET(E157,-Simulation!$B$7+1,0))/crRoundingValue)+1)*crRoundingValue),0)</f>
        <v>0</v>
      </c>
      <c r="H157" s="98">
        <f t="shared" ca="1" si="16"/>
        <v>0</v>
      </c>
      <c r="I157" s="72">
        <f t="shared" ca="1" si="17"/>
        <v>7992</v>
      </c>
      <c r="J157" s="72">
        <f t="shared" ca="1" si="18"/>
        <v>7992</v>
      </c>
      <c r="K157" s="72">
        <f t="shared" ca="1" si="19"/>
        <v>0</v>
      </c>
      <c r="L157" s="71">
        <f t="shared" ca="1" si="20"/>
        <v>5</v>
      </c>
    </row>
    <row r="158" spans="1:12" s="71" customFormat="1" hidden="1" x14ac:dyDescent="0.25">
      <c r="A158" s="106">
        <f t="shared" ca="1" si="14"/>
        <v>42518</v>
      </c>
      <c r="B158" s="107"/>
      <c r="C158" s="107"/>
      <c r="D158" s="108"/>
      <c r="E158" s="109">
        <f t="shared" ca="1" si="15"/>
        <v>242.10526315789474</v>
      </c>
      <c r="F158" s="72">
        <f ca="1">SUM(E158:OFFSET(E158,-crLead_Time-crSaf_Time+1,0))</f>
        <v>726.31578947368416</v>
      </c>
      <c r="G158" s="98">
        <f ca="1">IF(F158&gt;=I159,IF(crFixedLot&gt;0,crFixedLot,(INT(SUM(E158:OFFSET(E158,-Simulation!$B$7+1,0))/crRoundingValue)+1)*crRoundingValue),0)</f>
        <v>0</v>
      </c>
      <c r="H158" s="98">
        <f t="shared" ca="1" si="16"/>
        <v>0</v>
      </c>
      <c r="I158" s="72">
        <f t="shared" ca="1" si="17"/>
        <v>7992</v>
      </c>
      <c r="J158" s="72">
        <f t="shared" ca="1" si="18"/>
        <v>7992</v>
      </c>
      <c r="K158" s="72">
        <f t="shared" ca="1" si="19"/>
        <v>0</v>
      </c>
      <c r="L158" s="71">
        <f t="shared" ca="1" si="20"/>
        <v>5</v>
      </c>
    </row>
    <row r="159" spans="1:12" s="71" customFormat="1" hidden="1" x14ac:dyDescent="0.25">
      <c r="A159" s="106">
        <f t="shared" ca="1" si="14"/>
        <v>42517</v>
      </c>
      <c r="B159" s="107"/>
      <c r="C159" s="107"/>
      <c r="D159" s="108"/>
      <c r="E159" s="109">
        <f t="shared" ca="1" si="15"/>
        <v>242.10526315789474</v>
      </c>
      <c r="F159" s="72">
        <f ca="1">SUM(E159:OFFSET(E159,-crLead_Time-crSaf_Time+1,0))</f>
        <v>726.31578947368416</v>
      </c>
      <c r="G159" s="98">
        <f ca="1">IF(F159&gt;=I160,IF(crFixedLot&gt;0,crFixedLot,(INT(SUM(E159:OFFSET(E159,-Simulation!$B$7+1,0))/crRoundingValue)+1)*crRoundingValue),0)</f>
        <v>0</v>
      </c>
      <c r="H159" s="98">
        <f t="shared" ca="1" si="16"/>
        <v>0</v>
      </c>
      <c r="I159" s="72">
        <f t="shared" ca="1" si="17"/>
        <v>7992</v>
      </c>
      <c r="J159" s="72">
        <f t="shared" ca="1" si="18"/>
        <v>7992</v>
      </c>
      <c r="K159" s="72">
        <f t="shared" ca="1" si="19"/>
        <v>0</v>
      </c>
      <c r="L159" s="71">
        <f t="shared" ca="1" si="20"/>
        <v>5</v>
      </c>
    </row>
    <row r="160" spans="1:12" s="71" customFormat="1" hidden="1" x14ac:dyDescent="0.25">
      <c r="A160" s="106">
        <f t="shared" ca="1" si="14"/>
        <v>42516</v>
      </c>
      <c r="B160" s="107"/>
      <c r="C160" s="107"/>
      <c r="D160" s="108"/>
      <c r="E160" s="109">
        <f t="shared" ca="1" si="15"/>
        <v>242.10526315789474</v>
      </c>
      <c r="F160" s="72">
        <f ca="1">SUM(E160:OFFSET(E160,-crLead_Time-crSaf_Time+1,0))</f>
        <v>726.31578947368416</v>
      </c>
      <c r="G160" s="98">
        <f ca="1">IF(F160&gt;=I161,IF(crFixedLot&gt;0,crFixedLot,(INT(SUM(E160:OFFSET(E160,-Simulation!$B$7+1,0))/crRoundingValue)+1)*crRoundingValue),0)</f>
        <v>0</v>
      </c>
      <c r="H160" s="98">
        <f t="shared" ca="1" si="16"/>
        <v>0</v>
      </c>
      <c r="I160" s="72">
        <f t="shared" ca="1" si="17"/>
        <v>7992</v>
      </c>
      <c r="J160" s="72">
        <f t="shared" ca="1" si="18"/>
        <v>7992</v>
      </c>
      <c r="K160" s="72">
        <f t="shared" ca="1" si="19"/>
        <v>0</v>
      </c>
      <c r="L160" s="71">
        <f t="shared" ca="1" si="20"/>
        <v>5</v>
      </c>
    </row>
    <row r="161" spans="1:12" s="71" customFormat="1" hidden="1" x14ac:dyDescent="0.25">
      <c r="A161" s="106">
        <f t="shared" ca="1" si="14"/>
        <v>42515</v>
      </c>
      <c r="B161" s="107"/>
      <c r="C161" s="107"/>
      <c r="D161" s="108"/>
      <c r="E161" s="109">
        <f t="shared" ca="1" si="15"/>
        <v>242.10526315789474</v>
      </c>
      <c r="F161" s="72">
        <f ca="1">SUM(E161:OFFSET(E161,-crLead_Time-crSaf_Time+1,0))</f>
        <v>726.31578947368416</v>
      </c>
      <c r="G161" s="98">
        <f ca="1">IF(F161&gt;=I162,IF(crFixedLot&gt;0,crFixedLot,(INT(SUM(E161:OFFSET(E161,-Simulation!$B$7+1,0))/crRoundingValue)+1)*crRoundingValue),0)</f>
        <v>0</v>
      </c>
      <c r="H161" s="98">
        <f t="shared" ca="1" si="16"/>
        <v>0</v>
      </c>
      <c r="I161" s="72">
        <f t="shared" ca="1" si="17"/>
        <v>7992</v>
      </c>
      <c r="J161" s="72">
        <f t="shared" ca="1" si="18"/>
        <v>7992</v>
      </c>
      <c r="K161" s="72">
        <f t="shared" ca="1" si="19"/>
        <v>0</v>
      </c>
      <c r="L161" s="71">
        <f t="shared" ca="1" si="20"/>
        <v>5</v>
      </c>
    </row>
    <row r="162" spans="1:12" s="71" customFormat="1" hidden="1" x14ac:dyDescent="0.25">
      <c r="A162" s="106">
        <f t="shared" ca="1" si="14"/>
        <v>42514</v>
      </c>
      <c r="B162" s="107"/>
      <c r="C162" s="107"/>
      <c r="D162" s="108"/>
      <c r="E162" s="109">
        <f t="shared" ca="1" si="15"/>
        <v>242.10526315789474</v>
      </c>
      <c r="F162" s="72">
        <f ca="1">SUM(E162:OFFSET(E162,-crLead_Time-crSaf_Time+1,0))</f>
        <v>726.31578947368416</v>
      </c>
      <c r="G162" s="98">
        <f ca="1">IF(F162&gt;=I163,IF(crFixedLot&gt;0,crFixedLot,(INT(SUM(E162:OFFSET(E162,-Simulation!$B$7+1,0))/crRoundingValue)+1)*crRoundingValue),0)</f>
        <v>0</v>
      </c>
      <c r="H162" s="98">
        <f t="shared" ca="1" si="16"/>
        <v>0</v>
      </c>
      <c r="I162" s="72">
        <f t="shared" ca="1" si="17"/>
        <v>7992</v>
      </c>
      <c r="J162" s="72">
        <f t="shared" ca="1" si="18"/>
        <v>7992</v>
      </c>
      <c r="K162" s="72">
        <f t="shared" ca="1" si="19"/>
        <v>0</v>
      </c>
      <c r="L162" s="71">
        <f t="shared" ca="1" si="20"/>
        <v>5</v>
      </c>
    </row>
    <row r="163" spans="1:12" s="71" customFormat="1" hidden="1" x14ac:dyDescent="0.25">
      <c r="A163" s="106">
        <f t="shared" ca="1" si="14"/>
        <v>42513</v>
      </c>
      <c r="B163" s="107"/>
      <c r="C163" s="107"/>
      <c r="D163" s="108"/>
      <c r="E163" s="109">
        <f t="shared" ca="1" si="15"/>
        <v>242.10526315789474</v>
      </c>
      <c r="F163" s="72">
        <f ca="1">SUM(E163:OFFSET(E163,-crLead_Time-crSaf_Time+1,0))</f>
        <v>726.31578947368416</v>
      </c>
      <c r="G163" s="98">
        <f ca="1">IF(F163&gt;=I164,IF(crFixedLot&gt;0,crFixedLot,(INT(SUM(E163:OFFSET(E163,-Simulation!$B$7+1,0))/crRoundingValue)+1)*crRoundingValue),0)</f>
        <v>0</v>
      </c>
      <c r="H163" s="98">
        <f t="shared" ca="1" si="16"/>
        <v>0</v>
      </c>
      <c r="I163" s="72">
        <f t="shared" ca="1" si="17"/>
        <v>7992</v>
      </c>
      <c r="J163" s="72">
        <f t="shared" ca="1" si="18"/>
        <v>7992</v>
      </c>
      <c r="K163" s="72">
        <f t="shared" ca="1" si="19"/>
        <v>0</v>
      </c>
      <c r="L163" s="71">
        <f t="shared" ca="1" si="20"/>
        <v>5</v>
      </c>
    </row>
    <row r="164" spans="1:12" s="71" customFormat="1" hidden="1" x14ac:dyDescent="0.25">
      <c r="A164" s="106">
        <f t="shared" ca="1" si="14"/>
        <v>42512</v>
      </c>
      <c r="B164" s="107"/>
      <c r="C164" s="107"/>
      <c r="D164" s="108"/>
      <c r="E164" s="109">
        <f t="shared" ca="1" si="15"/>
        <v>242.10526315789474</v>
      </c>
      <c r="F164" s="72">
        <f ca="1">SUM(E164:OFFSET(E164,-crLead_Time-crSaf_Time+1,0))</f>
        <v>726.31578947368416</v>
      </c>
      <c r="G164" s="98">
        <f ca="1">IF(F164&gt;=I165,IF(crFixedLot&gt;0,crFixedLot,(INT(SUM(E164:OFFSET(E164,-Simulation!$B$7+1,0))/crRoundingValue)+1)*crRoundingValue),0)</f>
        <v>0</v>
      </c>
      <c r="H164" s="98">
        <f t="shared" ca="1" si="16"/>
        <v>0</v>
      </c>
      <c r="I164" s="72">
        <f t="shared" ca="1" si="17"/>
        <v>7992</v>
      </c>
      <c r="J164" s="72">
        <f t="shared" ca="1" si="18"/>
        <v>7992</v>
      </c>
      <c r="K164" s="72">
        <f t="shared" ca="1" si="19"/>
        <v>0</v>
      </c>
      <c r="L164" s="71">
        <f t="shared" ca="1" si="20"/>
        <v>5</v>
      </c>
    </row>
    <row r="165" spans="1:12" s="71" customFormat="1" hidden="1" x14ac:dyDescent="0.25">
      <c r="A165" s="106">
        <f t="shared" ca="1" si="14"/>
        <v>42511</v>
      </c>
      <c r="B165" s="107"/>
      <c r="C165" s="107"/>
      <c r="D165" s="108"/>
      <c r="E165" s="109">
        <f t="shared" ca="1" si="15"/>
        <v>242.10526315789474</v>
      </c>
      <c r="F165" s="72">
        <f ca="1">SUM(E165:OFFSET(E165,-crLead_Time-crSaf_Time+1,0))</f>
        <v>726.31578947368416</v>
      </c>
      <c r="G165" s="98">
        <f ca="1">IF(F165&gt;=I166,IF(crFixedLot&gt;0,crFixedLot,(INT(SUM(E165:OFFSET(E165,-Simulation!$B$7+1,0))/crRoundingValue)+1)*crRoundingValue),0)</f>
        <v>0</v>
      </c>
      <c r="H165" s="98">
        <f t="shared" ca="1" si="16"/>
        <v>0</v>
      </c>
      <c r="I165" s="72">
        <f t="shared" ca="1" si="17"/>
        <v>7992</v>
      </c>
      <c r="J165" s="72">
        <f t="shared" ca="1" si="18"/>
        <v>7992</v>
      </c>
      <c r="K165" s="72">
        <f t="shared" ca="1" si="19"/>
        <v>0</v>
      </c>
      <c r="L165" s="71">
        <f t="shared" ca="1" si="20"/>
        <v>5</v>
      </c>
    </row>
    <row r="166" spans="1:12" s="71" customFormat="1" hidden="1" x14ac:dyDescent="0.25">
      <c r="A166" s="106">
        <f t="shared" ca="1" si="14"/>
        <v>42510</v>
      </c>
      <c r="B166" s="107"/>
      <c r="C166" s="107"/>
      <c r="D166" s="108"/>
      <c r="E166" s="109">
        <f t="shared" ca="1" si="15"/>
        <v>242.10526315789474</v>
      </c>
      <c r="F166" s="72">
        <f ca="1">SUM(E166:OFFSET(E166,-crLead_Time-crSaf_Time+1,0))</f>
        <v>726.31578947368416</v>
      </c>
      <c r="G166" s="98">
        <f ca="1">IF(F166&gt;=I167,IF(crFixedLot&gt;0,crFixedLot,(INT(SUM(E166:OFFSET(E166,-Simulation!$B$7+1,0))/crRoundingValue)+1)*crRoundingValue),0)</f>
        <v>0</v>
      </c>
      <c r="H166" s="98">
        <f t="shared" ca="1" si="16"/>
        <v>0</v>
      </c>
      <c r="I166" s="72">
        <f t="shared" ca="1" si="17"/>
        <v>7992</v>
      </c>
      <c r="J166" s="72">
        <f t="shared" ca="1" si="18"/>
        <v>7992</v>
      </c>
      <c r="K166" s="72">
        <f t="shared" ca="1" si="19"/>
        <v>0</v>
      </c>
      <c r="L166" s="71">
        <f t="shared" ca="1" si="20"/>
        <v>5</v>
      </c>
    </row>
    <row r="167" spans="1:12" s="71" customFormat="1" hidden="1" x14ac:dyDescent="0.25">
      <c r="A167" s="106">
        <f t="shared" ca="1" si="14"/>
        <v>42509</v>
      </c>
      <c r="B167" s="107"/>
      <c r="C167" s="107"/>
      <c r="D167" s="108"/>
      <c r="E167" s="109">
        <f t="shared" ca="1" si="15"/>
        <v>242.10526315789474</v>
      </c>
      <c r="F167" s="72">
        <f ca="1">SUM(E167:OFFSET(E167,-crLead_Time-crSaf_Time+1,0))</f>
        <v>726.31578947368416</v>
      </c>
      <c r="G167" s="98">
        <f ca="1">IF(F167&gt;=I168,IF(crFixedLot&gt;0,crFixedLot,(INT(SUM(E167:OFFSET(E167,-Simulation!$B$7+1,0))/crRoundingValue)+1)*crRoundingValue),0)</f>
        <v>0</v>
      </c>
      <c r="H167" s="98">
        <f t="shared" ca="1" si="16"/>
        <v>0</v>
      </c>
      <c r="I167" s="72">
        <f t="shared" ca="1" si="17"/>
        <v>7992</v>
      </c>
      <c r="J167" s="72">
        <f t="shared" ca="1" si="18"/>
        <v>7992</v>
      </c>
      <c r="K167" s="72">
        <f t="shared" ca="1" si="19"/>
        <v>0</v>
      </c>
      <c r="L167" s="71">
        <f t="shared" ca="1" si="20"/>
        <v>5</v>
      </c>
    </row>
    <row r="168" spans="1:12" s="71" customFormat="1" hidden="1" x14ac:dyDescent="0.25">
      <c r="A168" s="106">
        <f t="shared" ca="1" si="14"/>
        <v>42508</v>
      </c>
      <c r="B168" s="107"/>
      <c r="C168" s="107"/>
      <c r="D168" s="108"/>
      <c r="E168" s="109">
        <f t="shared" ca="1" si="15"/>
        <v>242.10526315789474</v>
      </c>
      <c r="F168" s="72">
        <f ca="1">SUM(E168:OFFSET(E168,-crLead_Time-crSaf_Time+1,0))</f>
        <v>726.31578947368416</v>
      </c>
      <c r="G168" s="98">
        <f ca="1">IF(F168&gt;=I169,IF(crFixedLot&gt;0,crFixedLot,(INT(SUM(E168:OFFSET(E168,-Simulation!$B$7+1,0))/crRoundingValue)+1)*crRoundingValue),0)</f>
        <v>0</v>
      </c>
      <c r="H168" s="98">
        <f t="shared" ca="1" si="16"/>
        <v>0</v>
      </c>
      <c r="I168" s="72">
        <f t="shared" ca="1" si="17"/>
        <v>7992</v>
      </c>
      <c r="J168" s="72">
        <f t="shared" ca="1" si="18"/>
        <v>7992</v>
      </c>
      <c r="K168" s="72">
        <f t="shared" ca="1" si="19"/>
        <v>0</v>
      </c>
      <c r="L168" s="71">
        <f t="shared" ca="1" si="20"/>
        <v>5</v>
      </c>
    </row>
    <row r="169" spans="1:12" s="71" customFormat="1" hidden="1" x14ac:dyDescent="0.25">
      <c r="A169" s="106">
        <f t="shared" ca="1" si="14"/>
        <v>42507</v>
      </c>
      <c r="B169" s="107"/>
      <c r="C169" s="107"/>
      <c r="D169" s="108"/>
      <c r="E169" s="109">
        <f t="shared" ca="1" si="15"/>
        <v>242.10526315789474</v>
      </c>
      <c r="F169" s="72">
        <f ca="1">SUM(E169:OFFSET(E169,-crLead_Time-crSaf_Time+1,0))</f>
        <v>726.31578947368416</v>
      </c>
      <c r="G169" s="98">
        <f ca="1">IF(F169&gt;=I170,IF(crFixedLot&gt;0,crFixedLot,(INT(SUM(E169:OFFSET(E169,-Simulation!$B$7+1,0))/crRoundingValue)+1)*crRoundingValue),0)</f>
        <v>0</v>
      </c>
      <c r="H169" s="98">
        <f t="shared" ca="1" si="16"/>
        <v>0</v>
      </c>
      <c r="I169" s="72">
        <f t="shared" ca="1" si="17"/>
        <v>7992</v>
      </c>
      <c r="J169" s="72">
        <f t="shared" ca="1" si="18"/>
        <v>7992</v>
      </c>
      <c r="K169" s="72">
        <f t="shared" ca="1" si="19"/>
        <v>0</v>
      </c>
      <c r="L169" s="71">
        <f t="shared" ca="1" si="20"/>
        <v>5</v>
      </c>
    </row>
    <row r="170" spans="1:12" s="71" customFormat="1" hidden="1" x14ac:dyDescent="0.25">
      <c r="A170" s="106">
        <f t="shared" ca="1" si="14"/>
        <v>42506</v>
      </c>
      <c r="B170" s="107"/>
      <c r="C170" s="107"/>
      <c r="D170" s="108"/>
      <c r="E170" s="109">
        <f t="shared" ca="1" si="15"/>
        <v>242.10526315789474</v>
      </c>
      <c r="F170" s="72">
        <f ca="1">SUM(E170:OFFSET(E170,-crLead_Time-crSaf_Time+1,0))</f>
        <v>726.31578947368416</v>
      </c>
      <c r="G170" s="98">
        <f ca="1">IF(F170&gt;=I171,IF(crFixedLot&gt;0,crFixedLot,(INT(SUM(E170:OFFSET(E170,-Simulation!$B$7+1,0))/crRoundingValue)+1)*crRoundingValue),0)</f>
        <v>0</v>
      </c>
      <c r="H170" s="98">
        <f t="shared" ca="1" si="16"/>
        <v>0</v>
      </c>
      <c r="I170" s="72">
        <f t="shared" ca="1" si="17"/>
        <v>7992</v>
      </c>
      <c r="J170" s="72">
        <f t="shared" ca="1" si="18"/>
        <v>7992</v>
      </c>
      <c r="K170" s="72">
        <f t="shared" ca="1" si="19"/>
        <v>0</v>
      </c>
      <c r="L170" s="71">
        <f t="shared" ca="1" si="20"/>
        <v>5</v>
      </c>
    </row>
    <row r="171" spans="1:12" s="71" customFormat="1" hidden="1" x14ac:dyDescent="0.25">
      <c r="A171" s="106">
        <f t="shared" ca="1" si="14"/>
        <v>42505</v>
      </c>
      <c r="B171" s="107"/>
      <c r="C171" s="107"/>
      <c r="D171" s="108"/>
      <c r="E171" s="109">
        <f t="shared" ca="1" si="15"/>
        <v>242.10526315789474</v>
      </c>
      <c r="F171" s="72">
        <f ca="1">SUM(E171:OFFSET(E171,-crLead_Time-crSaf_Time+1,0))</f>
        <v>726.31578947368416</v>
      </c>
      <c r="G171" s="98">
        <f ca="1">IF(F171&gt;=I172,IF(crFixedLot&gt;0,crFixedLot,(INT(SUM(E171:OFFSET(E171,-Simulation!$B$7+1,0))/crRoundingValue)+1)*crRoundingValue),0)</f>
        <v>0</v>
      </c>
      <c r="H171" s="98">
        <f t="shared" ca="1" si="16"/>
        <v>0</v>
      </c>
      <c r="I171" s="72">
        <f t="shared" ca="1" si="17"/>
        <v>7992</v>
      </c>
      <c r="J171" s="72">
        <f t="shared" ca="1" si="18"/>
        <v>7992</v>
      </c>
      <c r="K171" s="72">
        <f t="shared" ca="1" si="19"/>
        <v>0</v>
      </c>
      <c r="L171" s="71">
        <f t="shared" ca="1" si="20"/>
        <v>5</v>
      </c>
    </row>
    <row r="172" spans="1:12" s="71" customFormat="1" hidden="1" x14ac:dyDescent="0.25">
      <c r="A172" s="106">
        <f t="shared" ca="1" si="14"/>
        <v>42504</v>
      </c>
      <c r="B172" s="107"/>
      <c r="C172" s="107"/>
      <c r="D172" s="108"/>
      <c r="E172" s="109">
        <f t="shared" ca="1" si="15"/>
        <v>242.10526315789474</v>
      </c>
      <c r="F172" s="72">
        <f ca="1">SUM(E172:OFFSET(E172,-crLead_Time-crSaf_Time+1,0))</f>
        <v>726.31578947368416</v>
      </c>
      <c r="G172" s="98">
        <f ca="1">IF(F172&gt;=I173,IF(crFixedLot&gt;0,crFixedLot,(INT(SUM(E172:OFFSET(E172,-Simulation!$B$7+1,0))/crRoundingValue)+1)*crRoundingValue),0)</f>
        <v>0</v>
      </c>
      <c r="H172" s="98">
        <f t="shared" ca="1" si="16"/>
        <v>0</v>
      </c>
      <c r="I172" s="72">
        <f t="shared" ca="1" si="17"/>
        <v>7992</v>
      </c>
      <c r="J172" s="72">
        <f t="shared" ca="1" si="18"/>
        <v>7992</v>
      </c>
      <c r="K172" s="72">
        <f t="shared" ca="1" si="19"/>
        <v>0</v>
      </c>
      <c r="L172" s="71">
        <f t="shared" ca="1" si="20"/>
        <v>5</v>
      </c>
    </row>
    <row r="173" spans="1:12" s="71" customFormat="1" hidden="1" x14ac:dyDescent="0.25">
      <c r="A173" s="106">
        <f t="shared" ca="1" si="14"/>
        <v>42503</v>
      </c>
      <c r="B173" s="107"/>
      <c r="C173" s="107"/>
      <c r="D173" s="108"/>
      <c r="E173" s="109">
        <f t="shared" ca="1" si="15"/>
        <v>242.10526315789474</v>
      </c>
      <c r="F173" s="72">
        <f ca="1">SUM(E173:OFFSET(E173,-crLead_Time-crSaf_Time+1,0))</f>
        <v>726.31578947368416</v>
      </c>
      <c r="G173" s="98">
        <f ca="1">IF(F173&gt;=I174,IF(crFixedLot&gt;0,crFixedLot,(INT(SUM(E173:OFFSET(E173,-Simulation!$B$7+1,0))/crRoundingValue)+1)*crRoundingValue),0)</f>
        <v>0</v>
      </c>
      <c r="H173" s="98">
        <f t="shared" ca="1" si="16"/>
        <v>0</v>
      </c>
      <c r="I173" s="72">
        <f t="shared" ca="1" si="17"/>
        <v>7992</v>
      </c>
      <c r="J173" s="72">
        <f t="shared" ca="1" si="18"/>
        <v>7992</v>
      </c>
      <c r="K173" s="72">
        <f t="shared" ca="1" si="19"/>
        <v>0</v>
      </c>
      <c r="L173" s="71">
        <f t="shared" ca="1" si="20"/>
        <v>5</v>
      </c>
    </row>
    <row r="174" spans="1:12" s="71" customFormat="1" hidden="1" x14ac:dyDescent="0.25">
      <c r="A174" s="106">
        <f t="shared" ca="1" si="14"/>
        <v>42502</v>
      </c>
      <c r="B174" s="107"/>
      <c r="C174" s="107"/>
      <c r="D174" s="108"/>
      <c r="E174" s="109">
        <f t="shared" ca="1" si="15"/>
        <v>242.10526315789474</v>
      </c>
      <c r="F174" s="72">
        <f ca="1">SUM(E174:OFFSET(E174,-crLead_Time-crSaf_Time+1,0))</f>
        <v>726.31578947368416</v>
      </c>
      <c r="G174" s="98">
        <f ca="1">IF(F174&gt;=I175,IF(crFixedLot&gt;0,crFixedLot,(INT(SUM(E174:OFFSET(E174,-Simulation!$B$7+1,0))/crRoundingValue)+1)*crRoundingValue),0)</f>
        <v>0</v>
      </c>
      <c r="H174" s="98">
        <f t="shared" ca="1" si="16"/>
        <v>0</v>
      </c>
      <c r="I174" s="72">
        <f t="shared" ca="1" si="17"/>
        <v>7992</v>
      </c>
      <c r="J174" s="72">
        <f t="shared" ca="1" si="18"/>
        <v>7992</v>
      </c>
      <c r="K174" s="72">
        <f t="shared" ca="1" si="19"/>
        <v>0</v>
      </c>
      <c r="L174" s="71">
        <f t="shared" ca="1" si="20"/>
        <v>5</v>
      </c>
    </row>
    <row r="175" spans="1:12" s="71" customFormat="1" hidden="1" x14ac:dyDescent="0.25">
      <c r="A175" s="106">
        <f t="shared" ca="1" si="14"/>
        <v>42501</v>
      </c>
      <c r="B175" s="107"/>
      <c r="C175" s="107"/>
      <c r="D175" s="108"/>
      <c r="E175" s="109">
        <f t="shared" ca="1" si="15"/>
        <v>242.10526315789474</v>
      </c>
      <c r="F175" s="72">
        <f ca="1">SUM(E175:OFFSET(E175,-crLead_Time-crSaf_Time+1,0))</f>
        <v>726.31578947368416</v>
      </c>
      <c r="G175" s="98">
        <f ca="1">IF(F175&gt;=I176,IF(crFixedLot&gt;0,crFixedLot,(INT(SUM(E175:OFFSET(E175,-Simulation!$B$7+1,0))/crRoundingValue)+1)*crRoundingValue),0)</f>
        <v>0</v>
      </c>
      <c r="H175" s="98">
        <f t="shared" ca="1" si="16"/>
        <v>0</v>
      </c>
      <c r="I175" s="72">
        <f t="shared" ca="1" si="17"/>
        <v>7992</v>
      </c>
      <c r="J175" s="72">
        <f t="shared" ca="1" si="18"/>
        <v>7992</v>
      </c>
      <c r="K175" s="72">
        <f t="shared" ca="1" si="19"/>
        <v>0</v>
      </c>
      <c r="L175" s="71">
        <f t="shared" ca="1" si="20"/>
        <v>5</v>
      </c>
    </row>
    <row r="176" spans="1:12" s="71" customFormat="1" hidden="1" x14ac:dyDescent="0.25">
      <c r="A176" s="106">
        <f t="shared" ca="1" si="14"/>
        <v>42500</v>
      </c>
      <c r="B176" s="107"/>
      <c r="C176" s="107"/>
      <c r="D176" s="108"/>
      <c r="E176" s="109">
        <f t="shared" ca="1" si="15"/>
        <v>242.10526315789474</v>
      </c>
      <c r="F176" s="72">
        <f ca="1">SUM(E176:OFFSET(E176,-crLead_Time-crSaf_Time+1,0))</f>
        <v>726.31578947368416</v>
      </c>
      <c r="G176" s="98">
        <f ca="1">IF(F176&gt;=I177,IF(crFixedLot&gt;0,crFixedLot,(INT(SUM(E176:OFFSET(E176,-Simulation!$B$7+1,0))/crRoundingValue)+1)*crRoundingValue),0)</f>
        <v>0</v>
      </c>
      <c r="H176" s="98">
        <f t="shared" ca="1" si="16"/>
        <v>0</v>
      </c>
      <c r="I176" s="72">
        <f t="shared" ca="1" si="17"/>
        <v>7992</v>
      </c>
      <c r="J176" s="72">
        <f t="shared" ca="1" si="18"/>
        <v>7992</v>
      </c>
      <c r="K176" s="72">
        <f t="shared" ca="1" si="19"/>
        <v>0</v>
      </c>
      <c r="L176" s="71">
        <f t="shared" ca="1" si="20"/>
        <v>5</v>
      </c>
    </row>
    <row r="177" spans="1:12" s="71" customFormat="1" hidden="1" x14ac:dyDescent="0.25">
      <c r="A177" s="106">
        <f t="shared" ca="1" si="14"/>
        <v>42499</v>
      </c>
      <c r="B177" s="107"/>
      <c r="C177" s="107"/>
      <c r="D177" s="108"/>
      <c r="E177" s="109">
        <f t="shared" ca="1" si="15"/>
        <v>242.10526315789474</v>
      </c>
      <c r="F177" s="72">
        <f ca="1">SUM(E177:OFFSET(E177,-crLead_Time-crSaf_Time+1,0))</f>
        <v>726.31578947368416</v>
      </c>
      <c r="G177" s="98">
        <f ca="1">IF(F177&gt;=I178,IF(crFixedLot&gt;0,crFixedLot,(INT(SUM(E177:OFFSET(E177,-Simulation!$B$7+1,0))/crRoundingValue)+1)*crRoundingValue),0)</f>
        <v>0</v>
      </c>
      <c r="H177" s="98">
        <f t="shared" ca="1" si="16"/>
        <v>0</v>
      </c>
      <c r="I177" s="72">
        <f t="shared" ca="1" si="17"/>
        <v>7992</v>
      </c>
      <c r="J177" s="72">
        <f t="shared" ca="1" si="18"/>
        <v>7992</v>
      </c>
      <c r="K177" s="72">
        <f t="shared" ca="1" si="19"/>
        <v>0</v>
      </c>
      <c r="L177" s="71">
        <f t="shared" ca="1" si="20"/>
        <v>5</v>
      </c>
    </row>
    <row r="178" spans="1:12" s="71" customFormat="1" hidden="1" x14ac:dyDescent="0.25">
      <c r="A178" s="106">
        <f t="shared" ca="1" si="14"/>
        <v>42498</v>
      </c>
      <c r="B178" s="107"/>
      <c r="C178" s="107"/>
      <c r="D178" s="108"/>
      <c r="E178" s="109">
        <f t="shared" ca="1" si="15"/>
        <v>242.10526315789474</v>
      </c>
      <c r="F178" s="72">
        <f ca="1">SUM(E178:OFFSET(E178,-crLead_Time-crSaf_Time+1,0))</f>
        <v>726.31578947368416</v>
      </c>
      <c r="G178" s="98">
        <f ca="1">IF(F178&gt;=I179,IF(crFixedLot&gt;0,crFixedLot,(INT(SUM(E178:OFFSET(E178,-Simulation!$B$7+1,0))/crRoundingValue)+1)*crRoundingValue),0)</f>
        <v>0</v>
      </c>
      <c r="H178" s="98">
        <f t="shared" ca="1" si="16"/>
        <v>0</v>
      </c>
      <c r="I178" s="72">
        <f t="shared" ca="1" si="17"/>
        <v>7992</v>
      </c>
      <c r="J178" s="72">
        <f t="shared" ca="1" si="18"/>
        <v>7992</v>
      </c>
      <c r="K178" s="72">
        <f t="shared" ca="1" si="19"/>
        <v>0</v>
      </c>
      <c r="L178" s="71">
        <f t="shared" ca="1" si="20"/>
        <v>5</v>
      </c>
    </row>
    <row r="179" spans="1:12" s="71" customFormat="1" hidden="1" x14ac:dyDescent="0.25">
      <c r="A179" s="106">
        <f t="shared" ca="1" si="14"/>
        <v>42497</v>
      </c>
      <c r="B179" s="107"/>
      <c r="C179" s="107"/>
      <c r="D179" s="108"/>
      <c r="E179" s="109">
        <f t="shared" ca="1" si="15"/>
        <v>242.10526315789474</v>
      </c>
      <c r="F179" s="72">
        <f ca="1">SUM(E179:OFFSET(E179,-crLead_Time-crSaf_Time+1,0))</f>
        <v>726.31578947368416</v>
      </c>
      <c r="G179" s="98">
        <f ca="1">IF(F179&gt;=I180,IF(crFixedLot&gt;0,crFixedLot,(INT(SUM(E179:OFFSET(E179,-Simulation!$B$7+1,0))/crRoundingValue)+1)*crRoundingValue),0)</f>
        <v>0</v>
      </c>
      <c r="H179" s="98">
        <f t="shared" ca="1" si="16"/>
        <v>0</v>
      </c>
      <c r="I179" s="72">
        <f t="shared" ca="1" si="17"/>
        <v>7992</v>
      </c>
      <c r="J179" s="72">
        <f t="shared" ca="1" si="18"/>
        <v>7992</v>
      </c>
      <c r="K179" s="72">
        <f t="shared" ca="1" si="19"/>
        <v>0</v>
      </c>
      <c r="L179" s="71">
        <f t="shared" ca="1" si="20"/>
        <v>5</v>
      </c>
    </row>
    <row r="180" spans="1:12" s="71" customFormat="1" hidden="1" x14ac:dyDescent="0.25">
      <c r="A180" s="106">
        <f t="shared" ca="1" si="14"/>
        <v>42496</v>
      </c>
      <c r="B180" s="107"/>
      <c r="C180" s="107"/>
      <c r="D180" s="108"/>
      <c r="E180" s="109">
        <f t="shared" ca="1" si="15"/>
        <v>242.10526315789474</v>
      </c>
      <c r="F180" s="72">
        <f ca="1">SUM(E180:OFFSET(E180,-crLead_Time-crSaf_Time+1,0))</f>
        <v>726.31578947368416</v>
      </c>
      <c r="G180" s="98">
        <f ca="1">IF(F180&gt;=I181,IF(crFixedLot&gt;0,crFixedLot,(INT(SUM(E180:OFFSET(E180,-Simulation!$B$7+1,0))/crRoundingValue)+1)*crRoundingValue),0)</f>
        <v>0</v>
      </c>
      <c r="H180" s="98">
        <f t="shared" ca="1" si="16"/>
        <v>0</v>
      </c>
      <c r="I180" s="72">
        <f t="shared" ca="1" si="17"/>
        <v>7992</v>
      </c>
      <c r="J180" s="72">
        <f t="shared" ca="1" si="18"/>
        <v>7992</v>
      </c>
      <c r="K180" s="72">
        <f t="shared" ca="1" si="19"/>
        <v>0</v>
      </c>
      <c r="L180" s="71">
        <f t="shared" ca="1" si="20"/>
        <v>5</v>
      </c>
    </row>
    <row r="181" spans="1:12" s="71" customFormat="1" hidden="1" x14ac:dyDescent="0.25">
      <c r="A181" s="106">
        <f t="shared" ca="1" si="14"/>
        <v>42495</v>
      </c>
      <c r="B181" s="107"/>
      <c r="C181" s="107"/>
      <c r="D181" s="108"/>
      <c r="E181" s="109">
        <f t="shared" ca="1" si="15"/>
        <v>242.10526315789474</v>
      </c>
      <c r="F181" s="72">
        <f ca="1">SUM(E181:OFFSET(E181,-crLead_Time-crSaf_Time+1,0))</f>
        <v>726.31578947368416</v>
      </c>
      <c r="G181" s="98">
        <f ca="1">IF(F181&gt;=I182,IF(crFixedLot&gt;0,crFixedLot,(INT(SUM(E181:OFFSET(E181,-Simulation!$B$7+1,0))/crRoundingValue)+1)*crRoundingValue),0)</f>
        <v>0</v>
      </c>
      <c r="H181" s="98">
        <f t="shared" ca="1" si="16"/>
        <v>0</v>
      </c>
      <c r="I181" s="72">
        <f t="shared" ca="1" si="17"/>
        <v>7992</v>
      </c>
      <c r="J181" s="72">
        <f t="shared" ca="1" si="18"/>
        <v>7992</v>
      </c>
      <c r="K181" s="72">
        <f t="shared" ca="1" si="19"/>
        <v>0</v>
      </c>
      <c r="L181" s="71">
        <f t="shared" ca="1" si="20"/>
        <v>5</v>
      </c>
    </row>
    <row r="182" spans="1:12" s="71" customFormat="1" hidden="1" x14ac:dyDescent="0.25">
      <c r="A182" s="106">
        <f t="shared" ca="1" si="14"/>
        <v>42494</v>
      </c>
      <c r="B182" s="107"/>
      <c r="C182" s="107"/>
      <c r="D182" s="108"/>
      <c r="E182" s="109">
        <f t="shared" ca="1" si="15"/>
        <v>242.10526315789474</v>
      </c>
      <c r="F182" s="72">
        <f ca="1">SUM(E182:OFFSET(E182,-crLead_Time-crSaf_Time+1,0))</f>
        <v>726.31578947368416</v>
      </c>
      <c r="G182" s="98">
        <f ca="1">IF(F182&gt;=I183,IF(crFixedLot&gt;0,crFixedLot,(INT(SUM(E182:OFFSET(E182,-Simulation!$B$7+1,0))/crRoundingValue)+1)*crRoundingValue),0)</f>
        <v>0</v>
      </c>
      <c r="H182" s="98">
        <f t="shared" ca="1" si="16"/>
        <v>0</v>
      </c>
      <c r="I182" s="72">
        <f t="shared" ca="1" si="17"/>
        <v>7992</v>
      </c>
      <c r="J182" s="72">
        <f t="shared" ca="1" si="18"/>
        <v>7992</v>
      </c>
      <c r="K182" s="72">
        <f t="shared" ca="1" si="19"/>
        <v>0</v>
      </c>
      <c r="L182" s="71">
        <f t="shared" ca="1" si="20"/>
        <v>5</v>
      </c>
    </row>
    <row r="183" spans="1:12" s="71" customFormat="1" hidden="1" x14ac:dyDescent="0.25">
      <c r="A183" s="106">
        <f t="shared" ca="1" si="14"/>
        <v>42493</v>
      </c>
      <c r="B183" s="107"/>
      <c r="C183" s="107"/>
      <c r="D183" s="108"/>
      <c r="E183" s="109">
        <f t="shared" ca="1" si="15"/>
        <v>242.10526315789474</v>
      </c>
      <c r="F183" s="72">
        <f ca="1">SUM(E183:OFFSET(E183,-crLead_Time-crSaf_Time+1,0))</f>
        <v>726.31578947368416</v>
      </c>
      <c r="G183" s="98">
        <f ca="1">IF(F183&gt;=I184,IF(crFixedLot&gt;0,crFixedLot,(INT(SUM(E183:OFFSET(E183,-Simulation!$B$7+1,0))/crRoundingValue)+1)*crRoundingValue),0)</f>
        <v>0</v>
      </c>
      <c r="H183" s="98">
        <f t="shared" ca="1" si="16"/>
        <v>0</v>
      </c>
      <c r="I183" s="72">
        <f t="shared" ca="1" si="17"/>
        <v>7992</v>
      </c>
      <c r="J183" s="72">
        <f t="shared" ca="1" si="18"/>
        <v>7992</v>
      </c>
      <c r="K183" s="72">
        <f t="shared" ca="1" si="19"/>
        <v>0</v>
      </c>
      <c r="L183" s="71">
        <f t="shared" ca="1" si="20"/>
        <v>5</v>
      </c>
    </row>
    <row r="184" spans="1:12" s="71" customFormat="1" hidden="1" x14ac:dyDescent="0.25">
      <c r="A184" s="106">
        <f t="shared" ca="1" si="14"/>
        <v>42492</v>
      </c>
      <c r="B184" s="107"/>
      <c r="C184" s="107"/>
      <c r="D184" s="108"/>
      <c r="E184" s="109">
        <f t="shared" ca="1" si="15"/>
        <v>242.10526315789474</v>
      </c>
      <c r="F184" s="72">
        <f ca="1">SUM(E184:OFFSET(E184,-crLead_Time-crSaf_Time+1,0))</f>
        <v>726.31578947368416</v>
      </c>
      <c r="G184" s="98">
        <f ca="1">IF(F184&gt;=I185,IF(crFixedLot&gt;0,crFixedLot,(INT(SUM(E184:OFFSET(E184,-Simulation!$B$7+1,0))/crRoundingValue)+1)*crRoundingValue),0)</f>
        <v>0</v>
      </c>
      <c r="H184" s="98">
        <f t="shared" ca="1" si="16"/>
        <v>0</v>
      </c>
      <c r="I184" s="72">
        <f t="shared" ca="1" si="17"/>
        <v>7992</v>
      </c>
      <c r="J184" s="72">
        <f t="shared" ca="1" si="18"/>
        <v>7992</v>
      </c>
      <c r="K184" s="72">
        <f t="shared" ca="1" si="19"/>
        <v>0</v>
      </c>
      <c r="L184" s="71">
        <f t="shared" ca="1" si="20"/>
        <v>5</v>
      </c>
    </row>
    <row r="185" spans="1:12" s="71" customFormat="1" hidden="1" x14ac:dyDescent="0.25">
      <c r="A185" s="106">
        <f t="shared" ca="1" si="14"/>
        <v>42491</v>
      </c>
      <c r="B185" s="107"/>
      <c r="C185" s="107"/>
      <c r="D185" s="108"/>
      <c r="E185" s="109">
        <f t="shared" ca="1" si="15"/>
        <v>242.10526315789474</v>
      </c>
      <c r="F185" s="72">
        <f ca="1">SUM(E185:OFFSET(E185,-crLead_Time-crSaf_Time+1,0))</f>
        <v>726.31578947368416</v>
      </c>
      <c r="G185" s="98">
        <f ca="1">IF(F185&gt;=I186,IF(crFixedLot&gt;0,crFixedLot,(INT(SUM(E185:OFFSET(E185,-Simulation!$B$7+1,0))/crRoundingValue)+1)*crRoundingValue),0)</f>
        <v>0</v>
      </c>
      <c r="H185" s="98">
        <f t="shared" ca="1" si="16"/>
        <v>0</v>
      </c>
      <c r="I185" s="72">
        <f t="shared" ca="1" si="17"/>
        <v>7992</v>
      </c>
      <c r="J185" s="72">
        <f t="shared" ca="1" si="18"/>
        <v>7992</v>
      </c>
      <c r="K185" s="72">
        <f t="shared" ca="1" si="19"/>
        <v>0</v>
      </c>
      <c r="L185" s="71">
        <f t="shared" ca="1" si="20"/>
        <v>5</v>
      </c>
    </row>
    <row r="186" spans="1:12" s="71" customFormat="1" hidden="1" x14ac:dyDescent="0.25">
      <c r="A186" s="106">
        <f t="shared" ca="1" si="14"/>
        <v>42490</v>
      </c>
      <c r="B186" s="107"/>
      <c r="C186" s="107"/>
      <c r="D186" s="108"/>
      <c r="E186" s="109">
        <f t="shared" ca="1" si="15"/>
        <v>208.0952380952381</v>
      </c>
      <c r="F186" s="72">
        <f ca="1">SUM(E186:OFFSET(E186,-crLead_Time-crSaf_Time+1,0))</f>
        <v>692.30576441102755</v>
      </c>
      <c r="G186" s="98">
        <f ca="1">IF(F186&gt;=I187,IF(crFixedLot&gt;0,crFixedLot,(INT(SUM(E186:OFFSET(E186,-Simulation!$B$7+1,0))/crRoundingValue)+1)*crRoundingValue),0)</f>
        <v>0</v>
      </c>
      <c r="H186" s="98">
        <f t="shared" ca="1" si="16"/>
        <v>0</v>
      </c>
      <c r="I186" s="72">
        <f t="shared" ca="1" si="17"/>
        <v>7992</v>
      </c>
      <c r="J186" s="72">
        <f t="shared" ca="1" si="18"/>
        <v>7992</v>
      </c>
      <c r="K186" s="72">
        <f t="shared" ca="1" si="19"/>
        <v>0</v>
      </c>
      <c r="L186" s="71">
        <f t="shared" ca="1" si="20"/>
        <v>4</v>
      </c>
    </row>
    <row r="187" spans="1:12" s="71" customFormat="1" hidden="1" x14ac:dyDescent="0.25">
      <c r="A187" s="106">
        <f t="shared" ca="1" si="14"/>
        <v>42489</v>
      </c>
      <c r="B187" s="107"/>
      <c r="C187" s="107"/>
      <c r="D187" s="108"/>
      <c r="E187" s="109">
        <f t="shared" ca="1" si="15"/>
        <v>208.0952380952381</v>
      </c>
      <c r="F187" s="72">
        <f ca="1">SUM(E187:OFFSET(E187,-crLead_Time-crSaf_Time+1,0))</f>
        <v>658.29573934837094</v>
      </c>
      <c r="G187" s="98">
        <f ca="1">IF(F187&gt;=I188,IF(crFixedLot&gt;0,crFixedLot,(INT(SUM(E187:OFFSET(E187,-Simulation!$B$7+1,0))/crRoundingValue)+1)*crRoundingValue),0)</f>
        <v>0</v>
      </c>
      <c r="H187" s="98">
        <f t="shared" ca="1" si="16"/>
        <v>0</v>
      </c>
      <c r="I187" s="72">
        <f t="shared" ca="1" si="17"/>
        <v>7992</v>
      </c>
      <c r="J187" s="72">
        <f t="shared" ca="1" si="18"/>
        <v>7992</v>
      </c>
      <c r="K187" s="72">
        <f t="shared" ca="1" si="19"/>
        <v>0</v>
      </c>
      <c r="L187" s="71">
        <f t="shared" ca="1" si="20"/>
        <v>4</v>
      </c>
    </row>
    <row r="188" spans="1:12" s="71" customFormat="1" hidden="1" x14ac:dyDescent="0.25">
      <c r="A188" s="106">
        <f t="shared" ca="1" si="14"/>
        <v>42488</v>
      </c>
      <c r="B188" s="107"/>
      <c r="C188" s="107"/>
      <c r="D188" s="108"/>
      <c r="E188" s="109">
        <f t="shared" ca="1" si="15"/>
        <v>208.0952380952381</v>
      </c>
      <c r="F188" s="72">
        <f ca="1">SUM(E188:OFFSET(E188,-crLead_Time-crSaf_Time+1,0))</f>
        <v>624.28571428571433</v>
      </c>
      <c r="G188" s="98">
        <f ca="1">IF(F188&gt;=I189,IF(crFixedLot&gt;0,crFixedLot,(INT(SUM(E188:OFFSET(E188,-Simulation!$B$7+1,0))/crRoundingValue)+1)*crRoundingValue),0)</f>
        <v>0</v>
      </c>
      <c r="H188" s="98">
        <f t="shared" ca="1" si="16"/>
        <v>0</v>
      </c>
      <c r="I188" s="72">
        <f t="shared" ca="1" si="17"/>
        <v>7992</v>
      </c>
      <c r="J188" s="72">
        <f t="shared" ca="1" si="18"/>
        <v>7992</v>
      </c>
      <c r="K188" s="72">
        <f t="shared" ca="1" si="19"/>
        <v>0</v>
      </c>
      <c r="L188" s="71">
        <f t="shared" ca="1" si="20"/>
        <v>4</v>
      </c>
    </row>
    <row r="189" spans="1:12" s="71" customFormat="1" hidden="1" x14ac:dyDescent="0.25">
      <c r="A189" s="106">
        <f t="shared" ca="1" si="14"/>
        <v>42487</v>
      </c>
      <c r="B189" s="107"/>
      <c r="C189" s="107"/>
      <c r="D189" s="108"/>
      <c r="E189" s="109">
        <f t="shared" ca="1" si="15"/>
        <v>208.0952380952381</v>
      </c>
      <c r="F189" s="72">
        <f ca="1">SUM(E189:OFFSET(E189,-crLead_Time-crSaf_Time+1,0))</f>
        <v>624.28571428571433</v>
      </c>
      <c r="G189" s="98">
        <f ca="1">IF(F189&gt;=I190,IF(crFixedLot&gt;0,crFixedLot,(INT(SUM(E189:OFFSET(E189,-Simulation!$B$7+1,0))/crRoundingValue)+1)*crRoundingValue),0)</f>
        <v>0</v>
      </c>
      <c r="H189" s="98">
        <f t="shared" ca="1" si="16"/>
        <v>0</v>
      </c>
      <c r="I189" s="72">
        <f t="shared" ca="1" si="17"/>
        <v>7992</v>
      </c>
      <c r="J189" s="72">
        <f t="shared" ca="1" si="18"/>
        <v>7992</v>
      </c>
      <c r="K189" s="72">
        <f t="shared" ca="1" si="19"/>
        <v>0</v>
      </c>
      <c r="L189" s="71">
        <f t="shared" ca="1" si="20"/>
        <v>4</v>
      </c>
    </row>
    <row r="190" spans="1:12" s="71" customFormat="1" hidden="1" x14ac:dyDescent="0.25">
      <c r="A190" s="106">
        <f t="shared" ca="1" si="14"/>
        <v>42486</v>
      </c>
      <c r="B190" s="107"/>
      <c r="C190" s="107"/>
      <c r="D190" s="108"/>
      <c r="E190" s="109">
        <f t="shared" ca="1" si="15"/>
        <v>208.0952380952381</v>
      </c>
      <c r="F190" s="72">
        <f ca="1">SUM(E190:OFFSET(E190,-crLead_Time-crSaf_Time+1,0))</f>
        <v>624.28571428571433</v>
      </c>
      <c r="G190" s="98">
        <f ca="1">IF(F190&gt;=I191,IF(crFixedLot&gt;0,crFixedLot,(INT(SUM(E190:OFFSET(E190,-Simulation!$B$7+1,0))/crRoundingValue)+1)*crRoundingValue),0)</f>
        <v>0</v>
      </c>
      <c r="H190" s="98">
        <f t="shared" ca="1" si="16"/>
        <v>0</v>
      </c>
      <c r="I190" s="72">
        <f t="shared" ca="1" si="17"/>
        <v>7992</v>
      </c>
      <c r="J190" s="72">
        <f t="shared" ca="1" si="18"/>
        <v>7992</v>
      </c>
      <c r="K190" s="72">
        <f t="shared" ca="1" si="19"/>
        <v>0</v>
      </c>
      <c r="L190" s="71">
        <f t="shared" ca="1" si="20"/>
        <v>4</v>
      </c>
    </row>
    <row r="191" spans="1:12" s="71" customFormat="1" hidden="1" x14ac:dyDescent="0.25">
      <c r="A191" s="106">
        <f t="shared" ca="1" si="14"/>
        <v>42485</v>
      </c>
      <c r="B191" s="107"/>
      <c r="C191" s="107"/>
      <c r="D191" s="108"/>
      <c r="E191" s="109">
        <f t="shared" ca="1" si="15"/>
        <v>208.0952380952381</v>
      </c>
      <c r="F191" s="72">
        <f ca="1">SUM(E191:OFFSET(E191,-crLead_Time-crSaf_Time+1,0))</f>
        <v>624.28571428571433</v>
      </c>
      <c r="G191" s="98">
        <f ca="1">IF(F191&gt;=I192,IF(crFixedLot&gt;0,crFixedLot,(INT(SUM(E191:OFFSET(E191,-Simulation!$B$7+1,0))/crRoundingValue)+1)*crRoundingValue),0)</f>
        <v>0</v>
      </c>
      <c r="H191" s="98">
        <f t="shared" ca="1" si="16"/>
        <v>0</v>
      </c>
      <c r="I191" s="72">
        <f t="shared" ca="1" si="17"/>
        <v>7992</v>
      </c>
      <c r="J191" s="72">
        <f t="shared" ca="1" si="18"/>
        <v>7992</v>
      </c>
      <c r="K191" s="72">
        <f t="shared" ca="1" si="19"/>
        <v>0</v>
      </c>
      <c r="L191" s="71">
        <f t="shared" ca="1" si="20"/>
        <v>4</v>
      </c>
    </row>
    <row r="192" spans="1:12" s="71" customFormat="1" hidden="1" x14ac:dyDescent="0.25">
      <c r="A192" s="106">
        <f t="shared" ca="1" si="14"/>
        <v>42484</v>
      </c>
      <c r="B192" s="107"/>
      <c r="C192" s="107"/>
      <c r="D192" s="108"/>
      <c r="E192" s="109">
        <f t="shared" ca="1" si="15"/>
        <v>208.0952380952381</v>
      </c>
      <c r="F192" s="72">
        <f ca="1">SUM(E192:OFFSET(E192,-crLead_Time-crSaf_Time+1,0))</f>
        <v>624.28571428571433</v>
      </c>
      <c r="G192" s="98">
        <f ca="1">IF(F192&gt;=I193,IF(crFixedLot&gt;0,crFixedLot,(INT(SUM(E192:OFFSET(E192,-Simulation!$B$7+1,0))/crRoundingValue)+1)*crRoundingValue),0)</f>
        <v>0</v>
      </c>
      <c r="H192" s="98">
        <f t="shared" ca="1" si="16"/>
        <v>0</v>
      </c>
      <c r="I192" s="72">
        <f t="shared" ca="1" si="17"/>
        <v>7992</v>
      </c>
      <c r="J192" s="72">
        <f t="shared" ca="1" si="18"/>
        <v>7992</v>
      </c>
      <c r="K192" s="72">
        <f t="shared" ca="1" si="19"/>
        <v>0</v>
      </c>
      <c r="L192" s="71">
        <f t="shared" ca="1" si="20"/>
        <v>4</v>
      </c>
    </row>
    <row r="193" spans="1:12" s="71" customFormat="1" hidden="1" x14ac:dyDescent="0.25">
      <c r="A193" s="106">
        <f t="shared" ca="1" si="14"/>
        <v>42483</v>
      </c>
      <c r="B193" s="107"/>
      <c r="C193" s="107"/>
      <c r="D193" s="108"/>
      <c r="E193" s="109">
        <f t="shared" ca="1" si="15"/>
        <v>208.0952380952381</v>
      </c>
      <c r="F193" s="72">
        <f ca="1">SUM(E193:OFFSET(E193,-crLead_Time-crSaf_Time+1,0))</f>
        <v>624.28571428571433</v>
      </c>
      <c r="G193" s="98">
        <f ca="1">IF(F193&gt;=I194,IF(crFixedLot&gt;0,crFixedLot,(INT(SUM(E193:OFFSET(E193,-Simulation!$B$7+1,0))/crRoundingValue)+1)*crRoundingValue),0)</f>
        <v>0</v>
      </c>
      <c r="H193" s="98">
        <f t="shared" ca="1" si="16"/>
        <v>0</v>
      </c>
      <c r="I193" s="72">
        <f t="shared" ca="1" si="17"/>
        <v>7992</v>
      </c>
      <c r="J193" s="72">
        <f t="shared" ca="1" si="18"/>
        <v>7992</v>
      </c>
      <c r="K193" s="72">
        <f t="shared" ca="1" si="19"/>
        <v>0</v>
      </c>
      <c r="L193" s="71">
        <f t="shared" ca="1" si="20"/>
        <v>4</v>
      </c>
    </row>
    <row r="194" spans="1:12" s="71" customFormat="1" hidden="1" x14ac:dyDescent="0.25">
      <c r="A194" s="106">
        <f t="shared" ref="A194:A233" ca="1" si="21">A195+1</f>
        <v>42482</v>
      </c>
      <c r="B194" s="107"/>
      <c r="C194" s="107"/>
      <c r="D194" s="108"/>
      <c r="E194" s="109">
        <f t="shared" ref="E194:E257" ca="1" si="22">VLOOKUP(MONTH(A194),rForecast,4,FALSE)</f>
        <v>208.0952380952381</v>
      </c>
      <c r="F194" s="72">
        <f ca="1">SUM(E194:OFFSET(E194,-crLead_Time-crSaf_Time+1,0))</f>
        <v>624.28571428571433</v>
      </c>
      <c r="G194" s="98">
        <f ca="1">IF(F194&gt;=I195,IF(crFixedLot&gt;0,crFixedLot,(INT(SUM(E194:OFFSET(E194,-Simulation!$B$7+1,0))/crRoundingValue)+1)*crRoundingValue),0)</f>
        <v>0</v>
      </c>
      <c r="H194" s="98">
        <f t="shared" ref="H194:H257" ca="1" si="23">OFFSET(G194,crLead_Time,0)</f>
        <v>0</v>
      </c>
      <c r="I194" s="72">
        <f t="shared" ref="I194:I235" ca="1" si="24">I195-C194+G194</f>
        <v>7992</v>
      </c>
      <c r="J194" s="72">
        <f t="shared" ref="J194:J235" ca="1" si="25">J195-C194+H194</f>
        <v>7992</v>
      </c>
      <c r="K194" s="72">
        <f t="shared" ref="K194:K257" ca="1" si="26">IF(AND(J194&lt;0,OFFSET(J194,1,0)&lt;0),IF(J194&lt;OFFSET(J194,1,0),J194-OFFSET(J194,1,0),0),IF(J194&lt;0,J194,0))</f>
        <v>0</v>
      </c>
      <c r="L194" s="71">
        <f t="shared" ca="1" si="20"/>
        <v>4</v>
      </c>
    </row>
    <row r="195" spans="1:12" s="71" customFormat="1" hidden="1" x14ac:dyDescent="0.25">
      <c r="A195" s="106">
        <f t="shared" ca="1" si="21"/>
        <v>42481</v>
      </c>
      <c r="B195" s="107"/>
      <c r="C195" s="107"/>
      <c r="D195" s="108"/>
      <c r="E195" s="109">
        <f t="shared" ca="1" si="22"/>
        <v>208.0952380952381</v>
      </c>
      <c r="F195" s="72">
        <f ca="1">SUM(E195:OFFSET(E195,-crLead_Time-crSaf_Time+1,0))</f>
        <v>624.28571428571433</v>
      </c>
      <c r="G195" s="98">
        <f ca="1">IF(F195&gt;=I196,IF(crFixedLot&gt;0,crFixedLot,(INT(SUM(E195:OFFSET(E195,-Simulation!$B$7+1,0))/crRoundingValue)+1)*crRoundingValue),0)</f>
        <v>0</v>
      </c>
      <c r="H195" s="98">
        <f t="shared" ca="1" si="23"/>
        <v>0</v>
      </c>
      <c r="I195" s="72">
        <f t="shared" ca="1" si="24"/>
        <v>7992</v>
      </c>
      <c r="J195" s="72">
        <f t="shared" ca="1" si="25"/>
        <v>7992</v>
      </c>
      <c r="K195" s="72">
        <f t="shared" ca="1" si="26"/>
        <v>0</v>
      </c>
      <c r="L195" s="71">
        <f t="shared" ref="L195:L258" ca="1" si="27">MONTH(A195)</f>
        <v>4</v>
      </c>
    </row>
    <row r="196" spans="1:12" s="71" customFormat="1" hidden="1" x14ac:dyDescent="0.25">
      <c r="A196" s="106">
        <f t="shared" ca="1" si="21"/>
        <v>42480</v>
      </c>
      <c r="B196" s="107"/>
      <c r="C196" s="107"/>
      <c r="D196" s="108"/>
      <c r="E196" s="109">
        <f t="shared" ca="1" si="22"/>
        <v>208.0952380952381</v>
      </c>
      <c r="F196" s="72">
        <f ca="1">SUM(E196:OFFSET(E196,-crLead_Time-crSaf_Time+1,0))</f>
        <v>624.28571428571433</v>
      </c>
      <c r="G196" s="98">
        <f ca="1">IF(F196&gt;=I197,IF(crFixedLot&gt;0,crFixedLot,(INT(SUM(E196:OFFSET(E196,-Simulation!$B$7+1,0))/crRoundingValue)+1)*crRoundingValue),0)</f>
        <v>0</v>
      </c>
      <c r="H196" s="98">
        <f t="shared" ca="1" si="23"/>
        <v>0</v>
      </c>
      <c r="I196" s="72">
        <f t="shared" ca="1" si="24"/>
        <v>7992</v>
      </c>
      <c r="J196" s="72">
        <f t="shared" ca="1" si="25"/>
        <v>7992</v>
      </c>
      <c r="K196" s="72">
        <f t="shared" ca="1" si="26"/>
        <v>0</v>
      </c>
      <c r="L196" s="71">
        <f t="shared" ca="1" si="27"/>
        <v>4</v>
      </c>
    </row>
    <row r="197" spans="1:12" s="71" customFormat="1" hidden="1" x14ac:dyDescent="0.25">
      <c r="A197" s="106">
        <f t="shared" ca="1" si="21"/>
        <v>42479</v>
      </c>
      <c r="B197" s="107"/>
      <c r="C197" s="107"/>
      <c r="D197" s="108"/>
      <c r="E197" s="109">
        <f t="shared" ca="1" si="22"/>
        <v>208.0952380952381</v>
      </c>
      <c r="F197" s="72">
        <f ca="1">SUM(E197:OFFSET(E197,-crLead_Time-crSaf_Time+1,0))</f>
        <v>624.28571428571433</v>
      </c>
      <c r="G197" s="98">
        <f ca="1">IF(F197&gt;=I198,IF(crFixedLot&gt;0,crFixedLot,(INT(SUM(E197:OFFSET(E197,-Simulation!$B$7+1,0))/crRoundingValue)+1)*crRoundingValue),0)</f>
        <v>0</v>
      </c>
      <c r="H197" s="98">
        <f t="shared" ca="1" si="23"/>
        <v>0</v>
      </c>
      <c r="I197" s="72">
        <f t="shared" ca="1" si="24"/>
        <v>7992</v>
      </c>
      <c r="J197" s="72">
        <f t="shared" ca="1" si="25"/>
        <v>7992</v>
      </c>
      <c r="K197" s="72">
        <f t="shared" ca="1" si="26"/>
        <v>0</v>
      </c>
      <c r="L197" s="71">
        <f t="shared" ca="1" si="27"/>
        <v>4</v>
      </c>
    </row>
    <row r="198" spans="1:12" s="71" customFormat="1" hidden="1" x14ac:dyDescent="0.25">
      <c r="A198" s="106">
        <f t="shared" ca="1" si="21"/>
        <v>42478</v>
      </c>
      <c r="B198" s="107"/>
      <c r="C198" s="107"/>
      <c r="D198" s="108"/>
      <c r="E198" s="109">
        <f t="shared" ca="1" si="22"/>
        <v>208.0952380952381</v>
      </c>
      <c r="F198" s="72">
        <f ca="1">SUM(E198:OFFSET(E198,-crLead_Time-crSaf_Time+1,0))</f>
        <v>624.28571428571433</v>
      </c>
      <c r="G198" s="98">
        <f ca="1">IF(F198&gt;=I199,IF(crFixedLot&gt;0,crFixedLot,(INT(SUM(E198:OFFSET(E198,-Simulation!$B$7+1,0))/crRoundingValue)+1)*crRoundingValue),0)</f>
        <v>0</v>
      </c>
      <c r="H198" s="98">
        <f t="shared" ca="1" si="23"/>
        <v>0</v>
      </c>
      <c r="I198" s="72">
        <f t="shared" ca="1" si="24"/>
        <v>7992</v>
      </c>
      <c r="J198" s="72">
        <f t="shared" ca="1" si="25"/>
        <v>7992</v>
      </c>
      <c r="K198" s="72">
        <f t="shared" ca="1" si="26"/>
        <v>0</v>
      </c>
      <c r="L198" s="71">
        <f t="shared" ca="1" si="27"/>
        <v>4</v>
      </c>
    </row>
    <row r="199" spans="1:12" s="71" customFormat="1" hidden="1" x14ac:dyDescent="0.25">
      <c r="A199" s="106">
        <f t="shared" ca="1" si="21"/>
        <v>42477</v>
      </c>
      <c r="B199" s="107"/>
      <c r="C199" s="107"/>
      <c r="D199" s="108"/>
      <c r="E199" s="109">
        <f t="shared" ca="1" si="22"/>
        <v>208.0952380952381</v>
      </c>
      <c r="F199" s="72">
        <f ca="1">SUM(E199:OFFSET(E199,-crLead_Time-crSaf_Time+1,0))</f>
        <v>624.28571428571433</v>
      </c>
      <c r="G199" s="98">
        <f ca="1">IF(F199&gt;=I200,IF(crFixedLot&gt;0,crFixedLot,(INT(SUM(E199:OFFSET(E199,-Simulation!$B$7+1,0))/crRoundingValue)+1)*crRoundingValue),0)</f>
        <v>0</v>
      </c>
      <c r="H199" s="98">
        <f t="shared" ca="1" si="23"/>
        <v>0</v>
      </c>
      <c r="I199" s="72">
        <f t="shared" ca="1" si="24"/>
        <v>7992</v>
      </c>
      <c r="J199" s="72">
        <f t="shared" ca="1" si="25"/>
        <v>7992</v>
      </c>
      <c r="K199" s="72">
        <f t="shared" ca="1" si="26"/>
        <v>0</v>
      </c>
      <c r="L199" s="71">
        <f t="shared" ca="1" si="27"/>
        <v>4</v>
      </c>
    </row>
    <row r="200" spans="1:12" s="71" customFormat="1" hidden="1" x14ac:dyDescent="0.25">
      <c r="A200" s="106">
        <f t="shared" ca="1" si="21"/>
        <v>42476</v>
      </c>
      <c r="B200" s="107"/>
      <c r="C200" s="107"/>
      <c r="D200" s="108"/>
      <c r="E200" s="109">
        <f t="shared" ca="1" si="22"/>
        <v>208.0952380952381</v>
      </c>
      <c r="F200" s="72">
        <f ca="1">SUM(E200:OFFSET(E200,-crLead_Time-crSaf_Time+1,0))</f>
        <v>624.28571428571433</v>
      </c>
      <c r="G200" s="98">
        <f ca="1">IF(F200&gt;=I201,IF(crFixedLot&gt;0,crFixedLot,(INT(SUM(E200:OFFSET(E200,-Simulation!$B$7+1,0))/crRoundingValue)+1)*crRoundingValue),0)</f>
        <v>0</v>
      </c>
      <c r="H200" s="98">
        <f t="shared" ca="1" si="23"/>
        <v>0</v>
      </c>
      <c r="I200" s="72">
        <f t="shared" ca="1" si="24"/>
        <v>7992</v>
      </c>
      <c r="J200" s="72">
        <f t="shared" ca="1" si="25"/>
        <v>7992</v>
      </c>
      <c r="K200" s="72">
        <f t="shared" ca="1" si="26"/>
        <v>0</v>
      </c>
      <c r="L200" s="71">
        <f t="shared" ca="1" si="27"/>
        <v>4</v>
      </c>
    </row>
    <row r="201" spans="1:12" s="71" customFormat="1" hidden="1" x14ac:dyDescent="0.25">
      <c r="A201" s="106">
        <f t="shared" ca="1" si="21"/>
        <v>42475</v>
      </c>
      <c r="B201" s="107"/>
      <c r="C201" s="107"/>
      <c r="D201" s="108"/>
      <c r="E201" s="109">
        <f t="shared" ca="1" si="22"/>
        <v>208.0952380952381</v>
      </c>
      <c r="F201" s="72">
        <f ca="1">SUM(E201:OFFSET(E201,-crLead_Time-crSaf_Time+1,0))</f>
        <v>624.28571428571433</v>
      </c>
      <c r="G201" s="98">
        <f ca="1">IF(F201&gt;=I202,IF(crFixedLot&gt;0,crFixedLot,(INT(SUM(E201:OFFSET(E201,-Simulation!$B$7+1,0))/crRoundingValue)+1)*crRoundingValue),0)</f>
        <v>0</v>
      </c>
      <c r="H201" s="98">
        <f t="shared" ca="1" si="23"/>
        <v>0</v>
      </c>
      <c r="I201" s="72">
        <f t="shared" ca="1" si="24"/>
        <v>7992</v>
      </c>
      <c r="J201" s="72">
        <f t="shared" ca="1" si="25"/>
        <v>7992</v>
      </c>
      <c r="K201" s="72">
        <f t="shared" ca="1" si="26"/>
        <v>0</v>
      </c>
      <c r="L201" s="71">
        <f t="shared" ca="1" si="27"/>
        <v>4</v>
      </c>
    </row>
    <row r="202" spans="1:12" s="71" customFormat="1" hidden="1" x14ac:dyDescent="0.25">
      <c r="A202" s="106">
        <f t="shared" ca="1" si="21"/>
        <v>42474</v>
      </c>
      <c r="B202" s="107"/>
      <c r="C202" s="107"/>
      <c r="D202" s="108"/>
      <c r="E202" s="109">
        <f t="shared" ca="1" si="22"/>
        <v>208.0952380952381</v>
      </c>
      <c r="F202" s="72">
        <f ca="1">SUM(E202:OFFSET(E202,-crLead_Time-crSaf_Time+1,0))</f>
        <v>624.28571428571433</v>
      </c>
      <c r="G202" s="98">
        <f ca="1">IF(F202&gt;=I203,IF(crFixedLot&gt;0,crFixedLot,(INT(SUM(E202:OFFSET(E202,-Simulation!$B$7+1,0))/crRoundingValue)+1)*crRoundingValue),0)</f>
        <v>0</v>
      </c>
      <c r="H202" s="98">
        <f t="shared" ca="1" si="23"/>
        <v>0</v>
      </c>
      <c r="I202" s="72">
        <f t="shared" ca="1" si="24"/>
        <v>7992</v>
      </c>
      <c r="J202" s="72">
        <f t="shared" ca="1" si="25"/>
        <v>7992</v>
      </c>
      <c r="K202" s="72">
        <f t="shared" ca="1" si="26"/>
        <v>0</v>
      </c>
      <c r="L202" s="71">
        <f t="shared" ca="1" si="27"/>
        <v>4</v>
      </c>
    </row>
    <row r="203" spans="1:12" s="71" customFormat="1" hidden="1" x14ac:dyDescent="0.25">
      <c r="A203" s="106">
        <f t="shared" ca="1" si="21"/>
        <v>42473</v>
      </c>
      <c r="B203" s="107"/>
      <c r="C203" s="107"/>
      <c r="D203" s="108"/>
      <c r="E203" s="109">
        <f t="shared" ca="1" si="22"/>
        <v>208.0952380952381</v>
      </c>
      <c r="F203" s="72">
        <f ca="1">SUM(E203:OFFSET(E203,-crLead_Time-crSaf_Time+1,0))</f>
        <v>624.28571428571433</v>
      </c>
      <c r="G203" s="98">
        <f ca="1">IF(F203&gt;=I204,IF(crFixedLot&gt;0,crFixedLot,(INT(SUM(E203:OFFSET(E203,-Simulation!$B$7+1,0))/crRoundingValue)+1)*crRoundingValue),0)</f>
        <v>0</v>
      </c>
      <c r="H203" s="98">
        <f t="shared" ca="1" si="23"/>
        <v>0</v>
      </c>
      <c r="I203" s="72">
        <f t="shared" ca="1" si="24"/>
        <v>7992</v>
      </c>
      <c r="J203" s="72">
        <f t="shared" ca="1" si="25"/>
        <v>7992</v>
      </c>
      <c r="K203" s="72">
        <f t="shared" ca="1" si="26"/>
        <v>0</v>
      </c>
      <c r="L203" s="71">
        <f t="shared" ca="1" si="27"/>
        <v>4</v>
      </c>
    </row>
    <row r="204" spans="1:12" s="71" customFormat="1" hidden="1" x14ac:dyDescent="0.25">
      <c r="A204" s="106">
        <f t="shared" ca="1" si="21"/>
        <v>42472</v>
      </c>
      <c r="B204" s="107"/>
      <c r="C204" s="107"/>
      <c r="D204" s="108"/>
      <c r="E204" s="109">
        <f t="shared" ca="1" si="22"/>
        <v>208.0952380952381</v>
      </c>
      <c r="F204" s="72">
        <f ca="1">SUM(E204:OFFSET(E204,-crLead_Time-crSaf_Time+1,0))</f>
        <v>624.28571428571433</v>
      </c>
      <c r="G204" s="98">
        <f ca="1">IF(F204&gt;=I205,IF(crFixedLot&gt;0,crFixedLot,(INT(SUM(E204:OFFSET(E204,-Simulation!$B$7+1,0))/crRoundingValue)+1)*crRoundingValue),0)</f>
        <v>0</v>
      </c>
      <c r="H204" s="98">
        <f t="shared" ca="1" si="23"/>
        <v>0</v>
      </c>
      <c r="I204" s="72">
        <f t="shared" ca="1" si="24"/>
        <v>7992</v>
      </c>
      <c r="J204" s="72">
        <f t="shared" ca="1" si="25"/>
        <v>7992</v>
      </c>
      <c r="K204" s="72">
        <f t="shared" ca="1" si="26"/>
        <v>0</v>
      </c>
      <c r="L204" s="71">
        <f t="shared" ca="1" si="27"/>
        <v>4</v>
      </c>
    </row>
    <row r="205" spans="1:12" s="71" customFormat="1" hidden="1" x14ac:dyDescent="0.25">
      <c r="A205" s="106">
        <f t="shared" ca="1" si="21"/>
        <v>42471</v>
      </c>
      <c r="B205" s="107"/>
      <c r="C205" s="107"/>
      <c r="D205" s="108"/>
      <c r="E205" s="109">
        <f t="shared" ca="1" si="22"/>
        <v>208.0952380952381</v>
      </c>
      <c r="F205" s="72">
        <f ca="1">SUM(E205:OFFSET(E205,-crLead_Time-crSaf_Time+1,0))</f>
        <v>624.28571428571433</v>
      </c>
      <c r="G205" s="98">
        <f ca="1">IF(F205&gt;=I206,IF(crFixedLot&gt;0,crFixedLot,(INT(SUM(E205:OFFSET(E205,-Simulation!$B$7+1,0))/crRoundingValue)+1)*crRoundingValue),0)</f>
        <v>0</v>
      </c>
      <c r="H205" s="98">
        <f t="shared" ca="1" si="23"/>
        <v>0</v>
      </c>
      <c r="I205" s="72">
        <f t="shared" ca="1" si="24"/>
        <v>7992</v>
      </c>
      <c r="J205" s="72">
        <f t="shared" ca="1" si="25"/>
        <v>7992</v>
      </c>
      <c r="K205" s="72">
        <f t="shared" ca="1" si="26"/>
        <v>0</v>
      </c>
      <c r="L205" s="71">
        <f t="shared" ca="1" si="27"/>
        <v>4</v>
      </c>
    </row>
    <row r="206" spans="1:12" s="71" customFormat="1" hidden="1" x14ac:dyDescent="0.25">
      <c r="A206" s="106">
        <f t="shared" ca="1" si="21"/>
        <v>42470</v>
      </c>
      <c r="B206" s="107"/>
      <c r="C206" s="107"/>
      <c r="D206" s="108"/>
      <c r="E206" s="109">
        <f t="shared" ca="1" si="22"/>
        <v>208.0952380952381</v>
      </c>
      <c r="F206" s="72">
        <f ca="1">SUM(E206:OFFSET(E206,-crLead_Time-crSaf_Time+1,0))</f>
        <v>624.28571428571433</v>
      </c>
      <c r="G206" s="98">
        <f ca="1">IF(F206&gt;=I207,IF(crFixedLot&gt;0,crFixedLot,(INT(SUM(E206:OFFSET(E206,-Simulation!$B$7+1,0))/crRoundingValue)+1)*crRoundingValue),0)</f>
        <v>0</v>
      </c>
      <c r="H206" s="98">
        <f t="shared" ca="1" si="23"/>
        <v>0</v>
      </c>
      <c r="I206" s="72">
        <f t="shared" ca="1" si="24"/>
        <v>7992</v>
      </c>
      <c r="J206" s="72">
        <f t="shared" ca="1" si="25"/>
        <v>7992</v>
      </c>
      <c r="K206" s="72">
        <f t="shared" ca="1" si="26"/>
        <v>0</v>
      </c>
      <c r="L206" s="71">
        <f t="shared" ca="1" si="27"/>
        <v>4</v>
      </c>
    </row>
    <row r="207" spans="1:12" s="71" customFormat="1" hidden="1" x14ac:dyDescent="0.25">
      <c r="A207" s="106">
        <f t="shared" ca="1" si="21"/>
        <v>42469</v>
      </c>
      <c r="B207" s="107"/>
      <c r="C207" s="107"/>
      <c r="D207" s="108"/>
      <c r="E207" s="109">
        <f t="shared" ca="1" si="22"/>
        <v>208.0952380952381</v>
      </c>
      <c r="F207" s="72">
        <f ca="1">SUM(E207:OFFSET(E207,-crLead_Time-crSaf_Time+1,0))</f>
        <v>624.28571428571433</v>
      </c>
      <c r="G207" s="98">
        <f ca="1">IF(F207&gt;=I208,IF(crFixedLot&gt;0,crFixedLot,(INT(SUM(E207:OFFSET(E207,-Simulation!$B$7+1,0))/crRoundingValue)+1)*crRoundingValue),0)</f>
        <v>0</v>
      </c>
      <c r="H207" s="98">
        <f t="shared" ca="1" si="23"/>
        <v>0</v>
      </c>
      <c r="I207" s="72">
        <f t="shared" ca="1" si="24"/>
        <v>7992</v>
      </c>
      <c r="J207" s="72">
        <f t="shared" ca="1" si="25"/>
        <v>7992</v>
      </c>
      <c r="K207" s="72">
        <f t="shared" ca="1" si="26"/>
        <v>0</v>
      </c>
      <c r="L207" s="71">
        <f t="shared" ca="1" si="27"/>
        <v>4</v>
      </c>
    </row>
    <row r="208" spans="1:12" s="71" customFormat="1" hidden="1" x14ac:dyDescent="0.25">
      <c r="A208" s="106">
        <f t="shared" ca="1" si="21"/>
        <v>42468</v>
      </c>
      <c r="B208" s="107"/>
      <c r="C208" s="107"/>
      <c r="D208" s="108"/>
      <c r="E208" s="109">
        <f t="shared" ca="1" si="22"/>
        <v>208.0952380952381</v>
      </c>
      <c r="F208" s="72">
        <f ca="1">SUM(E208:OFFSET(E208,-crLead_Time-crSaf_Time+1,0))</f>
        <v>624.28571428571433</v>
      </c>
      <c r="G208" s="98">
        <f ca="1">IF(F208&gt;=I209,IF(crFixedLot&gt;0,crFixedLot,(INT(SUM(E208:OFFSET(E208,-Simulation!$B$7+1,0))/crRoundingValue)+1)*crRoundingValue),0)</f>
        <v>0</v>
      </c>
      <c r="H208" s="98">
        <f t="shared" ca="1" si="23"/>
        <v>0</v>
      </c>
      <c r="I208" s="72">
        <f t="shared" ca="1" si="24"/>
        <v>7992</v>
      </c>
      <c r="J208" s="72">
        <f t="shared" ca="1" si="25"/>
        <v>7992</v>
      </c>
      <c r="K208" s="72">
        <f t="shared" ca="1" si="26"/>
        <v>0</v>
      </c>
      <c r="L208" s="71">
        <f t="shared" ca="1" si="27"/>
        <v>4</v>
      </c>
    </row>
    <row r="209" spans="1:12" s="71" customFormat="1" hidden="1" x14ac:dyDescent="0.25">
      <c r="A209" s="106">
        <f t="shared" ca="1" si="21"/>
        <v>42467</v>
      </c>
      <c r="B209" s="107"/>
      <c r="C209" s="107"/>
      <c r="D209" s="108"/>
      <c r="E209" s="109">
        <f t="shared" ca="1" si="22"/>
        <v>208.0952380952381</v>
      </c>
      <c r="F209" s="72">
        <f ca="1">SUM(E209:OFFSET(E209,-crLead_Time-crSaf_Time+1,0))</f>
        <v>624.28571428571433</v>
      </c>
      <c r="G209" s="98">
        <f ca="1">IF(F209&gt;=I210,IF(crFixedLot&gt;0,crFixedLot,(INT(SUM(E209:OFFSET(E209,-Simulation!$B$7+1,0))/crRoundingValue)+1)*crRoundingValue),0)</f>
        <v>0</v>
      </c>
      <c r="H209" s="98">
        <f t="shared" ca="1" si="23"/>
        <v>0</v>
      </c>
      <c r="I209" s="72">
        <f t="shared" ca="1" si="24"/>
        <v>7992</v>
      </c>
      <c r="J209" s="72">
        <f t="shared" ca="1" si="25"/>
        <v>7992</v>
      </c>
      <c r="K209" s="72">
        <f t="shared" ca="1" si="26"/>
        <v>0</v>
      </c>
      <c r="L209" s="71">
        <f t="shared" ca="1" si="27"/>
        <v>4</v>
      </c>
    </row>
    <row r="210" spans="1:12" s="71" customFormat="1" hidden="1" x14ac:dyDescent="0.25">
      <c r="A210" s="106">
        <f t="shared" ca="1" si="21"/>
        <v>42466</v>
      </c>
      <c r="B210" s="107"/>
      <c r="C210" s="107"/>
      <c r="D210" s="108"/>
      <c r="E210" s="109">
        <f t="shared" ca="1" si="22"/>
        <v>208.0952380952381</v>
      </c>
      <c r="F210" s="72">
        <f ca="1">SUM(E210:OFFSET(E210,-crLead_Time-crSaf_Time+1,0))</f>
        <v>624.28571428571433</v>
      </c>
      <c r="G210" s="98">
        <f ca="1">IF(F210&gt;=I211,IF(crFixedLot&gt;0,crFixedLot,(INT(SUM(E210:OFFSET(E210,-Simulation!$B$7+1,0))/crRoundingValue)+1)*crRoundingValue),0)</f>
        <v>0</v>
      </c>
      <c r="H210" s="98">
        <f t="shared" ca="1" si="23"/>
        <v>0</v>
      </c>
      <c r="I210" s="72">
        <f t="shared" ca="1" si="24"/>
        <v>7992</v>
      </c>
      <c r="J210" s="72">
        <f t="shared" ca="1" si="25"/>
        <v>7992</v>
      </c>
      <c r="K210" s="72">
        <f t="shared" ca="1" si="26"/>
        <v>0</v>
      </c>
      <c r="L210" s="71">
        <f t="shared" ca="1" si="27"/>
        <v>4</v>
      </c>
    </row>
    <row r="211" spans="1:12" s="71" customFormat="1" hidden="1" x14ac:dyDescent="0.25">
      <c r="A211" s="106">
        <f t="shared" ca="1" si="21"/>
        <v>42465</v>
      </c>
      <c r="B211" s="107"/>
      <c r="C211" s="107"/>
      <c r="D211" s="108"/>
      <c r="E211" s="109">
        <f t="shared" ca="1" si="22"/>
        <v>208.0952380952381</v>
      </c>
      <c r="F211" s="72">
        <f ca="1">SUM(E211:OFFSET(E211,-crLead_Time-crSaf_Time+1,0))</f>
        <v>624.28571428571433</v>
      </c>
      <c r="G211" s="98">
        <f ca="1">IF(F211&gt;=I212,IF(crFixedLot&gt;0,crFixedLot,(INT(SUM(E211:OFFSET(E211,-Simulation!$B$7+1,0))/crRoundingValue)+1)*crRoundingValue),0)</f>
        <v>0</v>
      </c>
      <c r="H211" s="98">
        <f t="shared" ca="1" si="23"/>
        <v>0</v>
      </c>
      <c r="I211" s="72">
        <f t="shared" ca="1" si="24"/>
        <v>7992</v>
      </c>
      <c r="J211" s="72">
        <f t="shared" ca="1" si="25"/>
        <v>7992</v>
      </c>
      <c r="K211" s="72">
        <f t="shared" ca="1" si="26"/>
        <v>0</v>
      </c>
      <c r="L211" s="71">
        <f t="shared" ca="1" si="27"/>
        <v>4</v>
      </c>
    </row>
    <row r="212" spans="1:12" s="71" customFormat="1" hidden="1" x14ac:dyDescent="0.25">
      <c r="A212" s="106">
        <f t="shared" ca="1" si="21"/>
        <v>42464</v>
      </c>
      <c r="B212" s="107"/>
      <c r="C212" s="107"/>
      <c r="D212" s="108"/>
      <c r="E212" s="109">
        <f t="shared" ca="1" si="22"/>
        <v>208.0952380952381</v>
      </c>
      <c r="F212" s="72">
        <f ca="1">SUM(E212:OFFSET(E212,-crLead_Time-crSaf_Time+1,0))</f>
        <v>624.28571428571433</v>
      </c>
      <c r="G212" s="98">
        <f ca="1">IF(F212&gt;=I213,IF(crFixedLot&gt;0,crFixedLot,(INT(SUM(E212:OFFSET(E212,-Simulation!$B$7+1,0))/crRoundingValue)+1)*crRoundingValue),0)</f>
        <v>0</v>
      </c>
      <c r="H212" s="98">
        <f t="shared" ca="1" si="23"/>
        <v>0</v>
      </c>
      <c r="I212" s="72">
        <f t="shared" ca="1" si="24"/>
        <v>7992</v>
      </c>
      <c r="J212" s="72">
        <f t="shared" ca="1" si="25"/>
        <v>7992</v>
      </c>
      <c r="K212" s="72">
        <f t="shared" ca="1" si="26"/>
        <v>0</v>
      </c>
      <c r="L212" s="71">
        <f t="shared" ca="1" si="27"/>
        <v>4</v>
      </c>
    </row>
    <row r="213" spans="1:12" s="71" customFormat="1" hidden="1" x14ac:dyDescent="0.25">
      <c r="A213" s="106">
        <f t="shared" ca="1" si="21"/>
        <v>42463</v>
      </c>
      <c r="B213" s="107"/>
      <c r="C213" s="107"/>
      <c r="D213" s="108"/>
      <c r="E213" s="109">
        <f t="shared" ca="1" si="22"/>
        <v>208.0952380952381</v>
      </c>
      <c r="F213" s="72">
        <f ca="1">SUM(E213:OFFSET(E213,-crLead_Time-crSaf_Time+1,0))</f>
        <v>624.28571428571433</v>
      </c>
      <c r="G213" s="98">
        <f ca="1">IF(F213&gt;=I214,IF(crFixedLot&gt;0,crFixedLot,(INT(SUM(E213:OFFSET(E213,-Simulation!$B$7+1,0))/crRoundingValue)+1)*crRoundingValue),0)</f>
        <v>0</v>
      </c>
      <c r="H213" s="98">
        <f t="shared" ca="1" si="23"/>
        <v>0</v>
      </c>
      <c r="I213" s="72">
        <f t="shared" ca="1" si="24"/>
        <v>7992</v>
      </c>
      <c r="J213" s="72">
        <f t="shared" ca="1" si="25"/>
        <v>7992</v>
      </c>
      <c r="K213" s="72">
        <f t="shared" ca="1" si="26"/>
        <v>0</v>
      </c>
      <c r="L213" s="71">
        <f t="shared" ca="1" si="27"/>
        <v>4</v>
      </c>
    </row>
    <row r="214" spans="1:12" s="71" customFormat="1" hidden="1" x14ac:dyDescent="0.25">
      <c r="A214" s="106">
        <f t="shared" ca="1" si="21"/>
        <v>42462</v>
      </c>
      <c r="B214" s="107"/>
      <c r="C214" s="107"/>
      <c r="D214" s="108"/>
      <c r="E214" s="109">
        <f t="shared" ca="1" si="22"/>
        <v>208.0952380952381</v>
      </c>
      <c r="F214" s="72">
        <f ca="1">SUM(E214:OFFSET(E214,-crLead_Time-crSaf_Time+1,0))</f>
        <v>624.28571428571433</v>
      </c>
      <c r="G214" s="98">
        <f ca="1">IF(F214&gt;=I215,IF(crFixedLot&gt;0,crFixedLot,(INT(SUM(E214:OFFSET(E214,-Simulation!$B$7+1,0))/crRoundingValue)+1)*crRoundingValue),0)</f>
        <v>0</v>
      </c>
      <c r="H214" s="98">
        <f t="shared" ca="1" si="23"/>
        <v>0</v>
      </c>
      <c r="I214" s="72">
        <f t="shared" ca="1" si="24"/>
        <v>7992</v>
      </c>
      <c r="J214" s="72">
        <f t="shared" ca="1" si="25"/>
        <v>7992</v>
      </c>
      <c r="K214" s="72">
        <f t="shared" ca="1" si="26"/>
        <v>0</v>
      </c>
      <c r="L214" s="71">
        <f t="shared" ca="1" si="27"/>
        <v>4</v>
      </c>
    </row>
    <row r="215" spans="1:12" s="71" customFormat="1" hidden="1" x14ac:dyDescent="0.25">
      <c r="A215" s="106">
        <f t="shared" ca="1" si="21"/>
        <v>42461</v>
      </c>
      <c r="B215" s="107"/>
      <c r="C215" s="107"/>
      <c r="D215" s="108"/>
      <c r="E215" s="109">
        <f t="shared" ca="1" si="22"/>
        <v>208.0952380952381</v>
      </c>
      <c r="F215" s="72">
        <f ca="1">SUM(E215:OFFSET(E215,-crLead_Time-crSaf_Time+1,0))</f>
        <v>624.28571428571433</v>
      </c>
      <c r="G215" s="98">
        <f ca="1">IF(F215&gt;=I216,IF(crFixedLot&gt;0,crFixedLot,(INT(SUM(E215:OFFSET(E215,-Simulation!$B$7+1,0))/crRoundingValue)+1)*crRoundingValue),0)</f>
        <v>0</v>
      </c>
      <c r="H215" s="98">
        <f t="shared" ca="1" si="23"/>
        <v>0</v>
      </c>
      <c r="I215" s="72">
        <f t="shared" ca="1" si="24"/>
        <v>7992</v>
      </c>
      <c r="J215" s="72">
        <f t="shared" ca="1" si="25"/>
        <v>7992</v>
      </c>
      <c r="K215" s="72">
        <f t="shared" ca="1" si="26"/>
        <v>0</v>
      </c>
      <c r="L215" s="71">
        <f t="shared" ca="1" si="27"/>
        <v>4</v>
      </c>
    </row>
    <row r="216" spans="1:12" s="71" customFormat="1" hidden="1" x14ac:dyDescent="0.25">
      <c r="A216" s="106">
        <f t="shared" ca="1" si="21"/>
        <v>42460</v>
      </c>
      <c r="B216" s="107"/>
      <c r="C216" s="107"/>
      <c r="D216" s="108"/>
      <c r="E216" s="109">
        <f t="shared" ca="1" si="22"/>
        <v>258.75</v>
      </c>
      <c r="F216" s="72">
        <f ca="1">SUM(E216:OFFSET(E216,-crLead_Time-crSaf_Time+1,0))</f>
        <v>674.94047619047615</v>
      </c>
      <c r="G216" s="98">
        <f ca="1">IF(F216&gt;=I217,IF(crFixedLot&gt;0,crFixedLot,(INT(SUM(E216:OFFSET(E216,-Simulation!$B$7+1,0))/crRoundingValue)+1)*crRoundingValue),0)</f>
        <v>0</v>
      </c>
      <c r="H216" s="98">
        <f t="shared" ca="1" si="23"/>
        <v>0</v>
      </c>
      <c r="I216" s="72">
        <f t="shared" ca="1" si="24"/>
        <v>7992</v>
      </c>
      <c r="J216" s="72">
        <f t="shared" ca="1" si="25"/>
        <v>7992</v>
      </c>
      <c r="K216" s="72">
        <f t="shared" ca="1" si="26"/>
        <v>0</v>
      </c>
      <c r="L216" s="71">
        <f t="shared" ca="1" si="27"/>
        <v>3</v>
      </c>
    </row>
    <row r="217" spans="1:12" s="71" customFormat="1" hidden="1" x14ac:dyDescent="0.25">
      <c r="A217" s="106">
        <f t="shared" ca="1" si="21"/>
        <v>42459</v>
      </c>
      <c r="B217" s="107"/>
      <c r="C217" s="107"/>
      <c r="D217" s="108"/>
      <c r="E217" s="109">
        <f t="shared" ca="1" si="22"/>
        <v>258.75</v>
      </c>
      <c r="F217" s="72">
        <f ca="1">SUM(E217:OFFSET(E217,-crLead_Time-crSaf_Time+1,0))</f>
        <v>725.59523809523807</v>
      </c>
      <c r="G217" s="98">
        <f ca="1">IF(F217&gt;=I218,IF(crFixedLot&gt;0,crFixedLot,(INT(SUM(E217:OFFSET(E217,-Simulation!$B$7+1,0))/crRoundingValue)+1)*crRoundingValue),0)</f>
        <v>0</v>
      </c>
      <c r="H217" s="98">
        <f t="shared" ca="1" si="23"/>
        <v>0</v>
      </c>
      <c r="I217" s="72">
        <f t="shared" ca="1" si="24"/>
        <v>7992</v>
      </c>
      <c r="J217" s="72">
        <f t="shared" ca="1" si="25"/>
        <v>7992</v>
      </c>
      <c r="K217" s="72">
        <f t="shared" ca="1" si="26"/>
        <v>0</v>
      </c>
      <c r="L217" s="71">
        <f t="shared" ca="1" si="27"/>
        <v>3</v>
      </c>
    </row>
    <row r="218" spans="1:12" s="71" customFormat="1" hidden="1" x14ac:dyDescent="0.25">
      <c r="A218" s="106">
        <f t="shared" ca="1" si="21"/>
        <v>42458</v>
      </c>
      <c r="B218" s="107"/>
      <c r="C218" s="107"/>
      <c r="D218" s="108"/>
      <c r="E218" s="109">
        <f t="shared" ca="1" si="22"/>
        <v>258.75</v>
      </c>
      <c r="F218" s="72">
        <f ca="1">SUM(E218:OFFSET(E218,-crLead_Time-crSaf_Time+1,0))</f>
        <v>776.25</v>
      </c>
      <c r="G218" s="98">
        <f ca="1">IF(F218&gt;=I219,IF(crFixedLot&gt;0,crFixedLot,(INT(SUM(E218:OFFSET(E218,-Simulation!$B$7+1,0))/crRoundingValue)+1)*crRoundingValue),0)</f>
        <v>0</v>
      </c>
      <c r="H218" s="98">
        <f t="shared" ca="1" si="23"/>
        <v>0</v>
      </c>
      <c r="I218" s="72">
        <f t="shared" ca="1" si="24"/>
        <v>7992</v>
      </c>
      <c r="J218" s="72">
        <f t="shared" ca="1" si="25"/>
        <v>7992</v>
      </c>
      <c r="K218" s="72">
        <f t="shared" ca="1" si="26"/>
        <v>0</v>
      </c>
      <c r="L218" s="71">
        <f t="shared" ca="1" si="27"/>
        <v>3</v>
      </c>
    </row>
    <row r="219" spans="1:12" s="71" customFormat="1" hidden="1" x14ac:dyDescent="0.25">
      <c r="A219" s="106">
        <f t="shared" ca="1" si="21"/>
        <v>42457</v>
      </c>
      <c r="B219" s="107"/>
      <c r="C219" s="107"/>
      <c r="D219" s="108"/>
      <c r="E219" s="109">
        <f t="shared" ca="1" si="22"/>
        <v>258.75</v>
      </c>
      <c r="F219" s="72">
        <f ca="1">SUM(E219:OFFSET(E219,-crLead_Time-crSaf_Time+1,0))</f>
        <v>776.25</v>
      </c>
      <c r="G219" s="98">
        <f ca="1">IF(F219&gt;=I220,IF(crFixedLot&gt;0,crFixedLot,(INT(SUM(E219:OFFSET(E219,-Simulation!$B$7+1,0))/crRoundingValue)+1)*crRoundingValue),0)</f>
        <v>0</v>
      </c>
      <c r="H219" s="98">
        <f t="shared" ca="1" si="23"/>
        <v>0</v>
      </c>
      <c r="I219" s="72">
        <f t="shared" ca="1" si="24"/>
        <v>7992</v>
      </c>
      <c r="J219" s="72">
        <f t="shared" ca="1" si="25"/>
        <v>7992</v>
      </c>
      <c r="K219" s="72">
        <f t="shared" ca="1" si="26"/>
        <v>0</v>
      </c>
      <c r="L219" s="71">
        <f t="shared" ca="1" si="27"/>
        <v>3</v>
      </c>
    </row>
    <row r="220" spans="1:12" s="71" customFormat="1" hidden="1" x14ac:dyDescent="0.25">
      <c r="A220" s="106">
        <f t="shared" ca="1" si="21"/>
        <v>42456</v>
      </c>
      <c r="B220" s="107"/>
      <c r="C220" s="107"/>
      <c r="D220" s="108"/>
      <c r="E220" s="109">
        <f t="shared" ca="1" si="22"/>
        <v>258.75</v>
      </c>
      <c r="F220" s="72">
        <f ca="1">SUM(E220:OFFSET(E220,-crLead_Time-crSaf_Time+1,0))</f>
        <v>776.25</v>
      </c>
      <c r="G220" s="98">
        <f ca="1">IF(F220&gt;=I221,IF(crFixedLot&gt;0,crFixedLot,(INT(SUM(E220:OFFSET(E220,-Simulation!$B$7+1,0))/crRoundingValue)+1)*crRoundingValue),0)</f>
        <v>0</v>
      </c>
      <c r="H220" s="98">
        <f t="shared" ca="1" si="23"/>
        <v>0</v>
      </c>
      <c r="I220" s="72">
        <f t="shared" ca="1" si="24"/>
        <v>7992</v>
      </c>
      <c r="J220" s="72">
        <f t="shared" ca="1" si="25"/>
        <v>7992</v>
      </c>
      <c r="K220" s="72">
        <f t="shared" ca="1" si="26"/>
        <v>0</v>
      </c>
      <c r="L220" s="71">
        <f t="shared" ca="1" si="27"/>
        <v>3</v>
      </c>
    </row>
    <row r="221" spans="1:12" s="71" customFormat="1" hidden="1" x14ac:dyDescent="0.25">
      <c r="A221" s="106">
        <f t="shared" ca="1" si="21"/>
        <v>42455</v>
      </c>
      <c r="B221" s="107"/>
      <c r="C221" s="107"/>
      <c r="D221" s="108"/>
      <c r="E221" s="109">
        <f t="shared" ca="1" si="22"/>
        <v>258.75</v>
      </c>
      <c r="F221" s="72">
        <f ca="1">SUM(E221:OFFSET(E221,-crLead_Time-crSaf_Time+1,0))</f>
        <v>776.25</v>
      </c>
      <c r="G221" s="98">
        <f ca="1">IF(F221&gt;=I222,IF(crFixedLot&gt;0,crFixedLot,(INT(SUM(E221:OFFSET(E221,-Simulation!$B$7+1,0))/crRoundingValue)+1)*crRoundingValue),0)</f>
        <v>0</v>
      </c>
      <c r="H221" s="98">
        <f t="shared" ca="1" si="23"/>
        <v>0</v>
      </c>
      <c r="I221" s="72">
        <f t="shared" ca="1" si="24"/>
        <v>7992</v>
      </c>
      <c r="J221" s="72">
        <f t="shared" ca="1" si="25"/>
        <v>7992</v>
      </c>
      <c r="K221" s="72">
        <f t="shared" ca="1" si="26"/>
        <v>0</v>
      </c>
      <c r="L221" s="71">
        <f t="shared" ca="1" si="27"/>
        <v>3</v>
      </c>
    </row>
    <row r="222" spans="1:12" s="71" customFormat="1" hidden="1" x14ac:dyDescent="0.25">
      <c r="A222" s="106">
        <f t="shared" ca="1" si="21"/>
        <v>42454</v>
      </c>
      <c r="B222" s="107"/>
      <c r="C222" s="107"/>
      <c r="D222" s="108"/>
      <c r="E222" s="109">
        <f t="shared" ca="1" si="22"/>
        <v>258.75</v>
      </c>
      <c r="F222" s="72">
        <f ca="1">SUM(E222:OFFSET(E222,-crLead_Time-crSaf_Time+1,0))</f>
        <v>776.25</v>
      </c>
      <c r="G222" s="98">
        <f ca="1">IF(F222&gt;=I223,IF(crFixedLot&gt;0,crFixedLot,(INT(SUM(E222:OFFSET(E222,-Simulation!$B$7+1,0))/crRoundingValue)+1)*crRoundingValue),0)</f>
        <v>0</v>
      </c>
      <c r="H222" s="98">
        <f t="shared" ca="1" si="23"/>
        <v>0</v>
      </c>
      <c r="I222" s="72">
        <f t="shared" ca="1" si="24"/>
        <v>7992</v>
      </c>
      <c r="J222" s="72">
        <f t="shared" ca="1" si="25"/>
        <v>7992</v>
      </c>
      <c r="K222" s="72">
        <f t="shared" ca="1" si="26"/>
        <v>0</v>
      </c>
      <c r="L222" s="71">
        <f t="shared" ca="1" si="27"/>
        <v>3</v>
      </c>
    </row>
    <row r="223" spans="1:12" s="71" customFormat="1" hidden="1" x14ac:dyDescent="0.25">
      <c r="A223" s="106">
        <f t="shared" ca="1" si="21"/>
        <v>42453</v>
      </c>
      <c r="B223" s="107"/>
      <c r="C223" s="107"/>
      <c r="D223" s="108"/>
      <c r="E223" s="109">
        <f t="shared" ca="1" si="22"/>
        <v>258.75</v>
      </c>
      <c r="F223" s="72">
        <f ca="1">SUM(E223:OFFSET(E223,-crLead_Time-crSaf_Time+1,0))</f>
        <v>776.25</v>
      </c>
      <c r="G223" s="98">
        <f ca="1">IF(F223&gt;=I224,IF(crFixedLot&gt;0,crFixedLot,(INT(SUM(E223:OFFSET(E223,-Simulation!$B$7+1,0))/crRoundingValue)+1)*crRoundingValue),0)</f>
        <v>0</v>
      </c>
      <c r="H223" s="98">
        <f t="shared" ca="1" si="23"/>
        <v>0</v>
      </c>
      <c r="I223" s="72">
        <f t="shared" ca="1" si="24"/>
        <v>7992</v>
      </c>
      <c r="J223" s="72">
        <f t="shared" ca="1" si="25"/>
        <v>7992</v>
      </c>
      <c r="K223" s="72">
        <f t="shared" ca="1" si="26"/>
        <v>0</v>
      </c>
      <c r="L223" s="71">
        <f t="shared" ca="1" si="27"/>
        <v>3</v>
      </c>
    </row>
    <row r="224" spans="1:12" s="71" customFormat="1" hidden="1" x14ac:dyDescent="0.25">
      <c r="A224" s="106">
        <f t="shared" ca="1" si="21"/>
        <v>42452</v>
      </c>
      <c r="B224" s="107"/>
      <c r="C224" s="107"/>
      <c r="D224" s="108"/>
      <c r="E224" s="109">
        <f t="shared" ca="1" si="22"/>
        <v>258.75</v>
      </c>
      <c r="F224" s="72">
        <f ca="1">SUM(E224:OFFSET(E224,-crLead_Time-crSaf_Time+1,0))</f>
        <v>776.25</v>
      </c>
      <c r="G224" s="98">
        <f ca="1">IF(F224&gt;=I225,IF(crFixedLot&gt;0,crFixedLot,(INT(SUM(E224:OFFSET(E224,-Simulation!$B$7+1,0))/crRoundingValue)+1)*crRoundingValue),0)</f>
        <v>0</v>
      </c>
      <c r="H224" s="98">
        <f t="shared" ca="1" si="23"/>
        <v>0</v>
      </c>
      <c r="I224" s="72">
        <f t="shared" ca="1" si="24"/>
        <v>7992</v>
      </c>
      <c r="J224" s="72">
        <f t="shared" ca="1" si="25"/>
        <v>7992</v>
      </c>
      <c r="K224" s="72">
        <f t="shared" ca="1" si="26"/>
        <v>0</v>
      </c>
      <c r="L224" s="71">
        <f t="shared" ca="1" si="27"/>
        <v>3</v>
      </c>
    </row>
    <row r="225" spans="1:17" s="71" customFormat="1" hidden="1" x14ac:dyDescent="0.25">
      <c r="A225" s="106">
        <f t="shared" ca="1" si="21"/>
        <v>42451</v>
      </c>
      <c r="B225" s="107"/>
      <c r="C225" s="107"/>
      <c r="D225" s="108"/>
      <c r="E225" s="109">
        <f t="shared" ca="1" si="22"/>
        <v>258.75</v>
      </c>
      <c r="F225" s="72">
        <f ca="1">SUM(E225:OFFSET(E225,-crLead_Time-crSaf_Time+1,0))</f>
        <v>776.25</v>
      </c>
      <c r="G225" s="98">
        <f ca="1">IF(F225&gt;=I226,IF(crFixedLot&gt;0,crFixedLot,(INT(SUM(E225:OFFSET(E225,-Simulation!$B$7+1,0))/crRoundingValue)+1)*crRoundingValue),0)</f>
        <v>0</v>
      </c>
      <c r="H225" s="98">
        <f t="shared" ca="1" si="23"/>
        <v>0</v>
      </c>
      <c r="I225" s="72">
        <f t="shared" ca="1" si="24"/>
        <v>7992</v>
      </c>
      <c r="J225" s="72">
        <f t="shared" ca="1" si="25"/>
        <v>7992</v>
      </c>
      <c r="K225" s="72">
        <f t="shared" ca="1" si="26"/>
        <v>0</v>
      </c>
      <c r="L225" s="71">
        <f t="shared" ca="1" si="27"/>
        <v>3</v>
      </c>
    </row>
    <row r="226" spans="1:17" s="71" customFormat="1" hidden="1" x14ac:dyDescent="0.25">
      <c r="A226" s="106">
        <f t="shared" ca="1" si="21"/>
        <v>42450</v>
      </c>
      <c r="B226" s="107"/>
      <c r="C226" s="107"/>
      <c r="D226" s="108"/>
      <c r="E226" s="109">
        <f t="shared" ca="1" si="22"/>
        <v>258.75</v>
      </c>
      <c r="F226" s="72">
        <f ca="1">SUM(E226:OFFSET(E226,-crLead_Time-crSaf_Time+1,0))</f>
        <v>776.25</v>
      </c>
      <c r="G226" s="98">
        <f ca="1">IF(F226&gt;=I227,IF(crFixedLot&gt;0,crFixedLot,(INT(SUM(E226:OFFSET(E226,-Simulation!$B$7+1,0))/crRoundingValue)+1)*crRoundingValue),0)</f>
        <v>0</v>
      </c>
      <c r="H226" s="98">
        <f t="shared" ca="1" si="23"/>
        <v>0</v>
      </c>
      <c r="I226" s="72">
        <f t="shared" ca="1" si="24"/>
        <v>7992</v>
      </c>
      <c r="J226" s="72">
        <f t="shared" ca="1" si="25"/>
        <v>7992</v>
      </c>
      <c r="K226" s="72">
        <f t="shared" ca="1" si="26"/>
        <v>0</v>
      </c>
      <c r="L226" s="71">
        <f t="shared" ca="1" si="27"/>
        <v>3</v>
      </c>
    </row>
    <row r="227" spans="1:17" s="71" customFormat="1" hidden="1" x14ac:dyDescent="0.25">
      <c r="A227" s="106">
        <f t="shared" ca="1" si="21"/>
        <v>42449</v>
      </c>
      <c r="B227" s="107"/>
      <c r="C227" s="107"/>
      <c r="D227" s="108"/>
      <c r="E227" s="109">
        <f t="shared" ca="1" si="22"/>
        <v>258.75</v>
      </c>
      <c r="F227" s="72">
        <f ca="1">SUM(E227:OFFSET(E227,-crLead_Time-crSaf_Time+1,0))</f>
        <v>776.25</v>
      </c>
      <c r="G227" s="98">
        <f ca="1">IF(F227&gt;=I228,IF(crFixedLot&gt;0,crFixedLot,(INT(SUM(E227:OFFSET(E227,-Simulation!$B$7+1,0))/crRoundingValue)+1)*crRoundingValue),0)</f>
        <v>0</v>
      </c>
      <c r="H227" s="98">
        <f t="shared" ca="1" si="23"/>
        <v>0</v>
      </c>
      <c r="I227" s="72">
        <f t="shared" ca="1" si="24"/>
        <v>7992</v>
      </c>
      <c r="J227" s="72">
        <f t="shared" ca="1" si="25"/>
        <v>7992</v>
      </c>
      <c r="K227" s="72">
        <f t="shared" ca="1" si="26"/>
        <v>0</v>
      </c>
      <c r="L227" s="71">
        <f t="shared" ca="1" si="27"/>
        <v>3</v>
      </c>
    </row>
    <row r="228" spans="1:17" s="71" customFormat="1" hidden="1" x14ac:dyDescent="0.25">
      <c r="A228" s="106">
        <f t="shared" ca="1" si="21"/>
        <v>42448</v>
      </c>
      <c r="B228" s="107"/>
      <c r="C228" s="107"/>
      <c r="D228" s="108"/>
      <c r="E228" s="109">
        <f t="shared" ca="1" si="22"/>
        <v>258.75</v>
      </c>
      <c r="F228" s="72">
        <f ca="1">SUM(E228:OFFSET(E228,-crLead_Time-crSaf_Time+1,0))</f>
        <v>776.25</v>
      </c>
      <c r="G228" s="98">
        <f ca="1">IF(F228&gt;=I229,IF(crFixedLot&gt;0,crFixedLot,(INT(SUM(E228:OFFSET(E228,-Simulation!$B$7+1,0))/crRoundingValue)+1)*crRoundingValue),0)</f>
        <v>0</v>
      </c>
      <c r="H228" s="98">
        <f t="shared" ca="1" si="23"/>
        <v>0</v>
      </c>
      <c r="I228" s="72">
        <f t="shared" ca="1" si="24"/>
        <v>7992</v>
      </c>
      <c r="J228" s="72">
        <f t="shared" ca="1" si="25"/>
        <v>7992</v>
      </c>
      <c r="K228" s="72">
        <f t="shared" ca="1" si="26"/>
        <v>0</v>
      </c>
      <c r="L228" s="71">
        <f t="shared" ca="1" si="27"/>
        <v>3</v>
      </c>
    </row>
    <row r="229" spans="1:17" s="71" customFormat="1" hidden="1" x14ac:dyDescent="0.25">
      <c r="A229" s="106">
        <f t="shared" ca="1" si="21"/>
        <v>42447</v>
      </c>
      <c r="B229" s="107"/>
      <c r="C229" s="107"/>
      <c r="D229" s="108"/>
      <c r="E229" s="109">
        <f t="shared" ca="1" si="22"/>
        <v>258.75</v>
      </c>
      <c r="F229" s="72">
        <f ca="1">SUM(E229:OFFSET(E229,-crLead_Time-crSaf_Time+1,0))</f>
        <v>776.25</v>
      </c>
      <c r="G229" s="98">
        <f ca="1">IF(F229&gt;=I230,IF(crFixedLot&gt;0,crFixedLot,(INT(SUM(E229:OFFSET(E229,-Simulation!$B$7+1,0))/crRoundingValue)+1)*crRoundingValue),0)</f>
        <v>0</v>
      </c>
      <c r="H229" s="98">
        <f t="shared" ca="1" si="23"/>
        <v>0</v>
      </c>
      <c r="I229" s="72">
        <f t="shared" ca="1" si="24"/>
        <v>7992</v>
      </c>
      <c r="J229" s="72">
        <f t="shared" ca="1" si="25"/>
        <v>7992</v>
      </c>
      <c r="K229" s="72">
        <f t="shared" ca="1" si="26"/>
        <v>0</v>
      </c>
      <c r="L229" s="71">
        <f t="shared" ca="1" si="27"/>
        <v>3</v>
      </c>
    </row>
    <row r="230" spans="1:17" s="71" customFormat="1" hidden="1" x14ac:dyDescent="0.25">
      <c r="A230" s="106">
        <f t="shared" ca="1" si="21"/>
        <v>42446</v>
      </c>
      <c r="B230" s="107"/>
      <c r="C230" s="107"/>
      <c r="D230" s="108"/>
      <c r="E230" s="109">
        <f t="shared" ca="1" si="22"/>
        <v>258.75</v>
      </c>
      <c r="F230" s="72">
        <f ca="1">SUM(E230:OFFSET(E230,-crLead_Time-crSaf_Time+1,0))</f>
        <v>776.25</v>
      </c>
      <c r="G230" s="98">
        <f ca="1">IF(F230&gt;=I231,IF(crFixedLot&gt;0,crFixedLot,(INT(SUM(E230:OFFSET(E230,-Simulation!$B$7+1,0))/crRoundingValue)+1)*crRoundingValue),0)</f>
        <v>0</v>
      </c>
      <c r="H230" s="98">
        <f t="shared" ca="1" si="23"/>
        <v>0</v>
      </c>
      <c r="I230" s="72">
        <f t="shared" ca="1" si="24"/>
        <v>7992</v>
      </c>
      <c r="J230" s="72">
        <f t="shared" ca="1" si="25"/>
        <v>7992</v>
      </c>
      <c r="K230" s="72">
        <f t="shared" ca="1" si="26"/>
        <v>0</v>
      </c>
      <c r="L230" s="71">
        <f t="shared" ca="1" si="27"/>
        <v>3</v>
      </c>
    </row>
    <row r="231" spans="1:17" s="71" customFormat="1" hidden="1" x14ac:dyDescent="0.25">
      <c r="A231" s="106">
        <f t="shared" ca="1" si="21"/>
        <v>42445</v>
      </c>
      <c r="B231" s="107"/>
      <c r="C231" s="107"/>
      <c r="D231" s="108"/>
      <c r="E231" s="109">
        <f t="shared" ca="1" si="22"/>
        <v>258.75</v>
      </c>
      <c r="F231" s="72">
        <f ca="1">SUM(E231:OFFSET(E231,-crLead_Time-crSaf_Time+1,0))</f>
        <v>776.25</v>
      </c>
      <c r="G231" s="98">
        <f ca="1">IF(F231&gt;=I232,IF(crFixedLot&gt;0,crFixedLot,(INT(SUM(E231:OFFSET(E231,-Simulation!$B$7+1,0))/crRoundingValue)+1)*crRoundingValue),0)</f>
        <v>0</v>
      </c>
      <c r="H231" s="98">
        <f t="shared" ca="1" si="23"/>
        <v>0</v>
      </c>
      <c r="I231" s="72">
        <f t="shared" ca="1" si="24"/>
        <v>7992</v>
      </c>
      <c r="J231" s="72">
        <f t="shared" ca="1" si="25"/>
        <v>7992</v>
      </c>
      <c r="K231" s="72">
        <f t="shared" ca="1" si="26"/>
        <v>0</v>
      </c>
      <c r="L231" s="71">
        <f t="shared" ca="1" si="27"/>
        <v>3</v>
      </c>
    </row>
    <row r="232" spans="1:17" s="71" customFormat="1" hidden="1" x14ac:dyDescent="0.25">
      <c r="A232" s="106">
        <f t="shared" ca="1" si="21"/>
        <v>42444</v>
      </c>
      <c r="B232" s="107"/>
      <c r="C232" s="107"/>
      <c r="D232" s="108"/>
      <c r="E232" s="109">
        <f t="shared" ca="1" si="22"/>
        <v>258.75</v>
      </c>
      <c r="F232" s="72">
        <f ca="1">SUM(E232:OFFSET(E232,-crLead_Time-crSaf_Time+1,0))</f>
        <v>776.25</v>
      </c>
      <c r="G232" s="98">
        <f ca="1">IF(F232&gt;=I233,IF(crFixedLot&gt;0,crFixedLot,(INT(SUM(E232:OFFSET(E232,-Simulation!$B$7+1,0))/crRoundingValue)+1)*crRoundingValue),0)</f>
        <v>0</v>
      </c>
      <c r="H232" s="98">
        <f t="shared" ca="1" si="23"/>
        <v>0</v>
      </c>
      <c r="I232" s="72">
        <f t="shared" ca="1" si="24"/>
        <v>7992</v>
      </c>
      <c r="J232" s="72">
        <f t="shared" ca="1" si="25"/>
        <v>7992</v>
      </c>
      <c r="K232" s="72">
        <f t="shared" ca="1" si="26"/>
        <v>0</v>
      </c>
      <c r="L232" s="71">
        <f t="shared" ca="1" si="27"/>
        <v>3</v>
      </c>
    </row>
    <row r="233" spans="1:17" s="71" customFormat="1" hidden="1" x14ac:dyDescent="0.25">
      <c r="A233" s="106">
        <f t="shared" ca="1" si="21"/>
        <v>42443</v>
      </c>
      <c r="B233" s="107"/>
      <c r="C233" s="107"/>
      <c r="D233" s="108"/>
      <c r="E233" s="109">
        <f t="shared" ca="1" si="22"/>
        <v>258.75</v>
      </c>
      <c r="F233" s="72">
        <f ca="1">SUM(E233:OFFSET(E233,-crLead_Time-crSaf_Time+1,0))</f>
        <v>776.25</v>
      </c>
      <c r="G233" s="98">
        <f ca="1">IF(F233&gt;=I234,IF(crFixedLot&gt;0,crFixedLot,(INT(SUM(E233:OFFSET(E233,-Simulation!$B$7+1,0))/crRoundingValue)+1)*crRoundingValue),0)</f>
        <v>0</v>
      </c>
      <c r="H233" s="98">
        <f t="shared" ca="1" si="23"/>
        <v>0</v>
      </c>
      <c r="I233" s="72">
        <f t="shared" ca="1" si="24"/>
        <v>7992</v>
      </c>
      <c r="J233" s="72">
        <f t="shared" ca="1" si="25"/>
        <v>7992</v>
      </c>
      <c r="K233" s="72">
        <f t="shared" ca="1" si="26"/>
        <v>0</v>
      </c>
      <c r="L233" s="71">
        <f t="shared" ca="1" si="27"/>
        <v>3</v>
      </c>
    </row>
    <row r="234" spans="1:17" s="71" customFormat="1" hidden="1" x14ac:dyDescent="0.25">
      <c r="A234" s="106">
        <f ca="1">A235+1</f>
        <v>42442</v>
      </c>
      <c r="B234" s="107"/>
      <c r="C234" s="107"/>
      <c r="D234" s="108"/>
      <c r="E234" s="109">
        <f t="shared" ca="1" si="22"/>
        <v>258.75</v>
      </c>
      <c r="F234" s="72">
        <f ca="1">SUM(E234:OFFSET(E234,-crLead_Time-crSaf_Time+1,0))</f>
        <v>776.25</v>
      </c>
      <c r="G234" s="98">
        <f ca="1">IF(F234&gt;=I235,IF(crFixedLot&gt;0,crFixedLot,(INT(SUM(E234:OFFSET(E234,-Simulation!$B$7+1,0))/crRoundingValue)+1)*crRoundingValue),0)</f>
        <v>0</v>
      </c>
      <c r="H234" s="98">
        <f t="shared" ca="1" si="23"/>
        <v>0</v>
      </c>
      <c r="I234" s="72">
        <f t="shared" ca="1" si="24"/>
        <v>7992</v>
      </c>
      <c r="J234" s="72">
        <f t="shared" ca="1" si="25"/>
        <v>7992</v>
      </c>
      <c r="K234" s="72">
        <f t="shared" ca="1" si="26"/>
        <v>0</v>
      </c>
      <c r="L234" s="71">
        <f t="shared" ca="1" si="27"/>
        <v>3</v>
      </c>
    </row>
    <row r="235" spans="1:17" s="71" customFormat="1" hidden="1" x14ac:dyDescent="0.25">
      <c r="A235" s="106">
        <f ca="1">A236+1</f>
        <v>42441</v>
      </c>
      <c r="B235" s="107"/>
      <c r="C235" s="107"/>
      <c r="D235" s="108"/>
      <c r="E235" s="109">
        <f t="shared" ca="1" si="22"/>
        <v>258.75</v>
      </c>
      <c r="F235" s="72">
        <f ca="1">SUM(E235:OFFSET(E235,-crLead_Time-crSaf_Time+1,0))</f>
        <v>776.25</v>
      </c>
      <c r="G235" s="98">
        <f ca="1">IF(F235&gt;=I236,IF(crFixedLot&gt;0,crFixedLot,(INT(SUM(E235:OFFSET(E235,-Simulation!$B$7+1,0))/crRoundingValue)+1)*crRoundingValue),0)</f>
        <v>0</v>
      </c>
      <c r="H235" s="98">
        <f t="shared" ca="1" si="23"/>
        <v>0</v>
      </c>
      <c r="I235" s="72">
        <f t="shared" ca="1" si="24"/>
        <v>7992</v>
      </c>
      <c r="J235" s="72">
        <f t="shared" ca="1" si="25"/>
        <v>7992</v>
      </c>
      <c r="K235" s="72">
        <f t="shared" ca="1" si="26"/>
        <v>0</v>
      </c>
      <c r="L235" s="71">
        <f t="shared" ca="1" si="27"/>
        <v>3</v>
      </c>
    </row>
    <row r="236" spans="1:17" x14ac:dyDescent="0.25">
      <c r="A236" s="132">
        <f ca="1">TODAY()</f>
        <v>42440</v>
      </c>
      <c r="B236" s="133">
        <v>5530</v>
      </c>
      <c r="C236" s="32">
        <v>1150</v>
      </c>
      <c r="D236" s="32">
        <v>28</v>
      </c>
      <c r="E236" s="109">
        <f t="shared" ca="1" si="22"/>
        <v>258.75</v>
      </c>
      <c r="F236" s="72">
        <f ca="1">SUM(E236:OFFSET(E236,-crLead_Time-crSaf_Time+1,0))</f>
        <v>776.25</v>
      </c>
      <c r="G236" s="98">
        <f ca="1">IF(F236&gt;=OFFSET(I236,1,0),IF(crFixedLot&gt;0,crFixedLot,(INT(SUM(E236:OFFSET(E236,-Simulation!$B$7+1,0))/crRoundingValue)+1)*crRoundingValue),0)</f>
        <v>0</v>
      </c>
      <c r="H236" s="98">
        <f t="shared" ca="1" si="23"/>
        <v>0</v>
      </c>
      <c r="I236" s="72">
        <f t="shared" ref="I236:I299" ca="1" si="28">OFFSET(I236,1,0)-C236+G236</f>
        <v>7992</v>
      </c>
      <c r="J236" s="72">
        <f t="shared" ref="J236:J299" ca="1" si="29">OFFSET(J236,1,0)-C236+H236</f>
        <v>7992</v>
      </c>
      <c r="K236" s="72">
        <f t="shared" ca="1" si="26"/>
        <v>0</v>
      </c>
      <c r="L236" s="71">
        <f t="shared" ca="1" si="27"/>
        <v>3</v>
      </c>
      <c r="Q236" s="72"/>
    </row>
    <row r="237" spans="1:17" x14ac:dyDescent="0.25">
      <c r="A237" s="134">
        <v>41436</v>
      </c>
      <c r="B237" s="32">
        <v>5530</v>
      </c>
      <c r="C237" s="32">
        <v>1150</v>
      </c>
      <c r="D237" s="32">
        <v>28</v>
      </c>
      <c r="E237" s="109">
        <f t="shared" ca="1" si="22"/>
        <v>454.76190476190476</v>
      </c>
      <c r="F237" s="72">
        <f ca="1">SUM(E237:OFFSET(E237,-crLead_Time-crSaf_Time+1,0))</f>
        <v>972.26190476190482</v>
      </c>
      <c r="G237" s="98">
        <f ca="1">IF(F237&gt;=OFFSET(I237,1,0),IF(crFixedLot&gt;0,crFixedLot,(INT(SUM(E237:OFFSET(E237,-Simulation!$B$7+1,0))/crRoundingValue)+1)*crRoundingValue),0)</f>
        <v>0</v>
      </c>
      <c r="H237" s="98">
        <f t="shared" ca="1" si="23"/>
        <v>0</v>
      </c>
      <c r="I237" s="72">
        <f t="shared" ca="1" si="28"/>
        <v>9142</v>
      </c>
      <c r="J237" s="72">
        <f t="shared" ca="1" si="29"/>
        <v>9142</v>
      </c>
      <c r="K237" s="72">
        <f t="shared" ca="1" si="26"/>
        <v>0</v>
      </c>
      <c r="L237" s="71">
        <f t="shared" si="27"/>
        <v>6</v>
      </c>
    </row>
    <row r="238" spans="1:17" x14ac:dyDescent="0.25">
      <c r="A238" s="134">
        <v>41435</v>
      </c>
      <c r="B238" s="32">
        <v>6680</v>
      </c>
      <c r="C238" s="32">
        <v>0</v>
      </c>
      <c r="D238" s="32">
        <v>29</v>
      </c>
      <c r="E238" s="109">
        <f t="shared" ca="1" si="22"/>
        <v>454.76190476190476</v>
      </c>
      <c r="F238" s="72">
        <f ca="1">SUM(E238:OFFSET(E238,-crLead_Time-crSaf_Time+1,0))</f>
        <v>1168.2738095238096</v>
      </c>
      <c r="G238" s="98">
        <f ca="1">IF(F238&gt;=OFFSET(I238,1,0),IF(crFixedLot&gt;0,crFixedLot,(INT(SUM(E238:OFFSET(E238,-Simulation!$B$7+1,0))/crRoundingValue)+1)*crRoundingValue),0)</f>
        <v>0</v>
      </c>
      <c r="H238" s="98">
        <f t="shared" ca="1" si="23"/>
        <v>0</v>
      </c>
      <c r="I238" s="72">
        <f t="shared" ca="1" si="28"/>
        <v>10292</v>
      </c>
      <c r="J238" s="72">
        <f t="shared" ca="1" si="29"/>
        <v>10292</v>
      </c>
      <c r="K238" s="72">
        <f t="shared" ca="1" si="26"/>
        <v>0</v>
      </c>
      <c r="L238" s="71">
        <f t="shared" si="27"/>
        <v>6</v>
      </c>
    </row>
    <row r="239" spans="1:17" x14ac:dyDescent="0.25">
      <c r="A239" s="134">
        <v>41432</v>
      </c>
      <c r="B239" s="32">
        <v>6680</v>
      </c>
      <c r="C239" s="32">
        <v>0</v>
      </c>
      <c r="D239" s="32">
        <v>30</v>
      </c>
      <c r="E239" s="109">
        <f t="shared" ca="1" si="22"/>
        <v>454.76190476190476</v>
      </c>
      <c r="F239" s="72">
        <f ca="1">SUM(E239:OFFSET(E239,-crLead_Time-crSaf_Time+1,0))</f>
        <v>1364.2857142857142</v>
      </c>
      <c r="G239" s="98">
        <f ca="1">IF(F239&gt;=OFFSET(I239,1,0),IF(crFixedLot&gt;0,crFixedLot,(INT(SUM(E239:OFFSET(E239,-Simulation!$B$7+1,0))/crRoundingValue)+1)*crRoundingValue),0)</f>
        <v>0</v>
      </c>
      <c r="H239" s="98">
        <f t="shared" ca="1" si="23"/>
        <v>0</v>
      </c>
      <c r="I239" s="72">
        <f t="shared" ca="1" si="28"/>
        <v>10292</v>
      </c>
      <c r="J239" s="72">
        <f t="shared" ca="1" si="29"/>
        <v>10292</v>
      </c>
      <c r="K239" s="72">
        <f t="shared" ca="1" si="26"/>
        <v>0</v>
      </c>
      <c r="L239" s="71">
        <f t="shared" si="27"/>
        <v>6</v>
      </c>
    </row>
    <row r="240" spans="1:17" x14ac:dyDescent="0.25">
      <c r="A240" s="134">
        <v>41431</v>
      </c>
      <c r="B240" s="32">
        <v>6680</v>
      </c>
      <c r="C240" s="32">
        <v>0</v>
      </c>
      <c r="D240" s="32">
        <v>31</v>
      </c>
      <c r="E240" s="109">
        <f t="shared" ca="1" si="22"/>
        <v>454.76190476190476</v>
      </c>
      <c r="F240" s="72">
        <f ca="1">SUM(E240:OFFSET(E240,-crLead_Time-crSaf_Time+1,0))</f>
        <v>1364.2857142857142</v>
      </c>
      <c r="G240" s="98">
        <f ca="1">IF(F240&gt;=OFFSET(I240,1,0),IF(crFixedLot&gt;0,crFixedLot,(INT(SUM(E240:OFFSET(E240,-Simulation!$B$7+1,0))/crRoundingValue)+1)*crRoundingValue),0)</f>
        <v>0</v>
      </c>
      <c r="H240" s="98">
        <f t="shared" ca="1" si="23"/>
        <v>0</v>
      </c>
      <c r="I240" s="72">
        <f t="shared" ca="1" si="28"/>
        <v>10292</v>
      </c>
      <c r="J240" s="72">
        <f t="shared" ca="1" si="29"/>
        <v>10292</v>
      </c>
      <c r="K240" s="72">
        <f t="shared" ca="1" si="26"/>
        <v>0</v>
      </c>
      <c r="L240" s="71">
        <f t="shared" si="27"/>
        <v>6</v>
      </c>
    </row>
    <row r="241" spans="1:15" x14ac:dyDescent="0.25">
      <c r="A241" s="134">
        <v>41430</v>
      </c>
      <c r="B241" s="32">
        <v>6680</v>
      </c>
      <c r="C241" s="32">
        <v>0</v>
      </c>
      <c r="D241" s="32">
        <v>32</v>
      </c>
      <c r="E241" s="109">
        <f t="shared" ca="1" si="22"/>
        <v>454.76190476190476</v>
      </c>
      <c r="F241" s="72">
        <f ca="1">SUM(E241:OFFSET(E241,-crLead_Time-crSaf_Time+1,0))</f>
        <v>1364.2857142857142</v>
      </c>
      <c r="G241" s="98">
        <f ca="1">IF(F241&gt;=OFFSET(I241,1,0),IF(crFixedLot&gt;0,crFixedLot,(INT(SUM(E241:OFFSET(E241,-Simulation!$B$7+1,0))/crRoundingValue)+1)*crRoundingValue),0)</f>
        <v>0</v>
      </c>
      <c r="H241" s="98">
        <f t="shared" ca="1" si="23"/>
        <v>0</v>
      </c>
      <c r="I241" s="72">
        <f t="shared" ca="1" si="28"/>
        <v>10292</v>
      </c>
      <c r="J241" s="72">
        <f t="shared" ca="1" si="29"/>
        <v>10292</v>
      </c>
      <c r="K241" s="72">
        <f t="shared" ca="1" si="26"/>
        <v>0</v>
      </c>
      <c r="L241" s="71">
        <f t="shared" si="27"/>
        <v>6</v>
      </c>
    </row>
    <row r="242" spans="1:15" x14ac:dyDescent="0.25">
      <c r="A242" s="134">
        <v>41429</v>
      </c>
      <c r="B242" s="32">
        <v>6680</v>
      </c>
      <c r="C242" s="32">
        <v>0</v>
      </c>
      <c r="D242" s="32">
        <v>33</v>
      </c>
      <c r="E242" s="109">
        <f t="shared" ca="1" si="22"/>
        <v>454.76190476190476</v>
      </c>
      <c r="F242" s="72">
        <f ca="1">SUM(E242:OFFSET(E242,-crLead_Time-crSaf_Time+1,0))</f>
        <v>1364.2857142857142</v>
      </c>
      <c r="G242" s="98">
        <f ca="1">IF(F242&gt;=OFFSET(I242,1,0),IF(crFixedLot&gt;0,crFixedLot,(INT(SUM(E242:OFFSET(E242,-Simulation!$B$7+1,0))/crRoundingValue)+1)*crRoundingValue),0)</f>
        <v>0</v>
      </c>
      <c r="H242" s="98">
        <f t="shared" ca="1" si="23"/>
        <v>0</v>
      </c>
      <c r="I242" s="72">
        <f t="shared" ca="1" si="28"/>
        <v>10292</v>
      </c>
      <c r="J242" s="72">
        <f t="shared" ca="1" si="29"/>
        <v>10292</v>
      </c>
      <c r="K242" s="72">
        <f t="shared" ca="1" si="26"/>
        <v>0</v>
      </c>
      <c r="L242" s="71">
        <f t="shared" si="27"/>
        <v>6</v>
      </c>
    </row>
    <row r="243" spans="1:15" x14ac:dyDescent="0.25">
      <c r="A243" s="134">
        <v>41428</v>
      </c>
      <c r="B243" s="32">
        <v>6680</v>
      </c>
      <c r="C243" s="32">
        <v>690</v>
      </c>
      <c r="D243" s="32">
        <v>34</v>
      </c>
      <c r="E243" s="109">
        <f t="shared" ca="1" si="22"/>
        <v>454.76190476190476</v>
      </c>
      <c r="F243" s="72">
        <f ca="1">SUM(E243:OFFSET(E243,-crLead_Time-crSaf_Time+1,0))</f>
        <v>1364.2857142857142</v>
      </c>
      <c r="G243" s="98">
        <f ca="1">IF(F243&gt;=OFFSET(I243,1,0),IF(crFixedLot&gt;0,crFixedLot,(INT(SUM(E243:OFFSET(E243,-Simulation!$B$7+1,0))/crRoundingValue)+1)*crRoundingValue),0)</f>
        <v>0</v>
      </c>
      <c r="H243" s="98">
        <f t="shared" ca="1" si="23"/>
        <v>0</v>
      </c>
      <c r="I243" s="72">
        <f t="shared" ca="1" si="28"/>
        <v>10292</v>
      </c>
      <c r="J243" s="72">
        <f t="shared" ca="1" si="29"/>
        <v>10292</v>
      </c>
      <c r="K243" s="72">
        <f t="shared" ca="1" si="26"/>
        <v>0</v>
      </c>
      <c r="L243" s="71">
        <f t="shared" si="27"/>
        <v>6</v>
      </c>
    </row>
    <row r="244" spans="1:15" x14ac:dyDescent="0.25">
      <c r="A244" s="134">
        <v>41425</v>
      </c>
      <c r="B244" s="32">
        <v>7370</v>
      </c>
      <c r="C244" s="32">
        <v>0</v>
      </c>
      <c r="D244" s="32">
        <v>35</v>
      </c>
      <c r="E244" s="109">
        <f t="shared" ca="1" si="22"/>
        <v>242.10526315789474</v>
      </c>
      <c r="F244" s="72">
        <f ca="1">SUM(E244:OFFSET(E244,-crLead_Time-crSaf_Time+1,0))</f>
        <v>1151.6290726817042</v>
      </c>
      <c r="G244" s="98">
        <f ca="1">IF(F244&gt;=OFFSET(I244,1,0),IF(crFixedLot&gt;0,crFixedLot,(INT(SUM(E244:OFFSET(E244,-Simulation!$B$7+1,0))/crRoundingValue)+1)*crRoundingValue),0)</f>
        <v>0</v>
      </c>
      <c r="H244" s="98">
        <f t="shared" ca="1" si="23"/>
        <v>0</v>
      </c>
      <c r="I244" s="72">
        <f t="shared" ca="1" si="28"/>
        <v>10982</v>
      </c>
      <c r="J244" s="72">
        <f t="shared" ca="1" si="29"/>
        <v>10982</v>
      </c>
      <c r="K244" s="72">
        <f t="shared" ca="1" si="26"/>
        <v>0</v>
      </c>
      <c r="L244" s="71">
        <f t="shared" si="27"/>
        <v>5</v>
      </c>
    </row>
    <row r="245" spans="1:15" x14ac:dyDescent="0.25">
      <c r="A245" s="134">
        <v>41424</v>
      </c>
      <c r="B245" s="32">
        <v>7370</v>
      </c>
      <c r="C245" s="32">
        <v>0</v>
      </c>
      <c r="D245" s="32">
        <v>36</v>
      </c>
      <c r="E245" s="109">
        <f t="shared" ca="1" si="22"/>
        <v>242.10526315789474</v>
      </c>
      <c r="F245" s="72">
        <f ca="1">SUM(E245:OFFSET(E245,-crLead_Time-crSaf_Time+1,0))</f>
        <v>938.97243107769418</v>
      </c>
      <c r="G245" s="98">
        <f ca="1">IF(F245&gt;=OFFSET(I245,1,0),IF(crFixedLot&gt;0,crFixedLot,(INT(SUM(E245:OFFSET(E245,-Simulation!$B$7+1,0))/crRoundingValue)+1)*crRoundingValue),0)</f>
        <v>0</v>
      </c>
      <c r="H245" s="98">
        <f t="shared" ca="1" si="23"/>
        <v>0</v>
      </c>
      <c r="I245" s="72">
        <f t="shared" ca="1" si="28"/>
        <v>10982</v>
      </c>
      <c r="J245" s="72">
        <f t="shared" ca="1" si="29"/>
        <v>10982</v>
      </c>
      <c r="K245" s="72">
        <f t="shared" ca="1" si="26"/>
        <v>0</v>
      </c>
      <c r="L245" s="71">
        <f t="shared" si="27"/>
        <v>5</v>
      </c>
    </row>
    <row r="246" spans="1:15" x14ac:dyDescent="0.25">
      <c r="A246" s="134">
        <v>41423</v>
      </c>
      <c r="B246" s="32">
        <v>7370</v>
      </c>
      <c r="C246" s="32">
        <v>0</v>
      </c>
      <c r="D246" s="32">
        <v>37</v>
      </c>
      <c r="E246" s="109">
        <f t="shared" ca="1" si="22"/>
        <v>242.10526315789474</v>
      </c>
      <c r="F246" s="72">
        <f ca="1">SUM(E246:OFFSET(E246,-crLead_Time-crSaf_Time+1,0))</f>
        <v>726.31578947368416</v>
      </c>
      <c r="G246" s="98">
        <f ca="1">IF(F246&gt;=OFFSET(I246,1,0),IF(crFixedLot&gt;0,crFixedLot,(INT(SUM(E246:OFFSET(E246,-Simulation!$B$7+1,0))/crRoundingValue)+1)*crRoundingValue),0)</f>
        <v>0</v>
      </c>
      <c r="H246" s="98">
        <f t="shared" ca="1" si="23"/>
        <v>0</v>
      </c>
      <c r="I246" s="72">
        <f t="shared" ca="1" si="28"/>
        <v>10982</v>
      </c>
      <c r="J246" s="72">
        <f t="shared" ca="1" si="29"/>
        <v>10982</v>
      </c>
      <c r="K246" s="72">
        <f t="shared" ca="1" si="26"/>
        <v>0</v>
      </c>
      <c r="L246" s="71">
        <f t="shared" si="27"/>
        <v>5</v>
      </c>
    </row>
    <row r="247" spans="1:15" x14ac:dyDescent="0.25">
      <c r="A247" s="134">
        <v>41422</v>
      </c>
      <c r="B247" s="32">
        <v>7370</v>
      </c>
      <c r="C247" s="32">
        <v>0</v>
      </c>
      <c r="D247" s="32">
        <v>38</v>
      </c>
      <c r="E247" s="109">
        <f t="shared" ca="1" si="22"/>
        <v>242.10526315789474</v>
      </c>
      <c r="F247" s="72">
        <f ca="1">SUM(E247:OFFSET(E247,-crLead_Time-crSaf_Time+1,0))</f>
        <v>726.31578947368416</v>
      </c>
      <c r="G247" s="98">
        <f ca="1">IF(F247&gt;=OFFSET(I247,1,0),IF(crFixedLot&gt;0,crFixedLot,(INT(SUM(E247:OFFSET(E247,-Simulation!$B$7+1,0))/crRoundingValue)+1)*crRoundingValue),0)</f>
        <v>0</v>
      </c>
      <c r="H247" s="98">
        <f t="shared" ca="1" si="23"/>
        <v>0</v>
      </c>
      <c r="I247" s="72">
        <f t="shared" ca="1" si="28"/>
        <v>10982</v>
      </c>
      <c r="J247" s="72">
        <f t="shared" ca="1" si="29"/>
        <v>10982</v>
      </c>
      <c r="K247" s="72">
        <f t="shared" ca="1" si="26"/>
        <v>0</v>
      </c>
      <c r="L247" s="71">
        <f t="shared" si="27"/>
        <v>5</v>
      </c>
    </row>
    <row r="248" spans="1:15" x14ac:dyDescent="0.25">
      <c r="A248" s="134">
        <v>41421</v>
      </c>
      <c r="B248" s="32">
        <v>7370</v>
      </c>
      <c r="C248" s="32">
        <v>0</v>
      </c>
      <c r="D248" s="32">
        <v>39</v>
      </c>
      <c r="E248" s="109">
        <f t="shared" ca="1" si="22"/>
        <v>242.10526315789474</v>
      </c>
      <c r="F248" s="72">
        <f ca="1">SUM(E248:OFFSET(E248,-crLead_Time-crSaf_Time+1,0))</f>
        <v>726.31578947368416</v>
      </c>
      <c r="G248" s="98">
        <f ca="1">IF(F248&gt;=OFFSET(I248,1,0),IF(crFixedLot&gt;0,crFixedLot,(INT(SUM(E248:OFFSET(E248,-Simulation!$B$7+1,0))/crRoundingValue)+1)*crRoundingValue),0)</f>
        <v>0</v>
      </c>
      <c r="H248" s="98">
        <f t="shared" ca="1" si="23"/>
        <v>0</v>
      </c>
      <c r="I248" s="72">
        <f t="shared" ca="1" si="28"/>
        <v>10982</v>
      </c>
      <c r="J248" s="72">
        <f t="shared" ca="1" si="29"/>
        <v>10982</v>
      </c>
      <c r="K248" s="72">
        <f t="shared" ca="1" si="26"/>
        <v>0</v>
      </c>
      <c r="L248" s="71">
        <f t="shared" si="27"/>
        <v>5</v>
      </c>
    </row>
    <row r="249" spans="1:15" x14ac:dyDescent="0.25">
      <c r="A249" s="134">
        <v>41418</v>
      </c>
      <c r="B249" s="32">
        <v>7370</v>
      </c>
      <c r="C249" s="32">
        <v>0</v>
      </c>
      <c r="D249" s="32">
        <v>40</v>
      </c>
      <c r="E249" s="109">
        <f t="shared" ca="1" si="22"/>
        <v>242.10526315789474</v>
      </c>
      <c r="F249" s="72">
        <f ca="1">SUM(E249:OFFSET(E249,-crLead_Time-crSaf_Time+1,0))</f>
        <v>726.31578947368416</v>
      </c>
      <c r="G249" s="98">
        <f ca="1">IF(F249&gt;=OFFSET(I249,1,0),IF(crFixedLot&gt;0,crFixedLot,(INT(SUM(E249:OFFSET(E249,-Simulation!$B$7+1,0))/crRoundingValue)+1)*crRoundingValue),0)</f>
        <v>0</v>
      </c>
      <c r="H249" s="98">
        <f t="shared" ca="1" si="23"/>
        <v>0</v>
      </c>
      <c r="I249" s="72">
        <f t="shared" ca="1" si="28"/>
        <v>10982</v>
      </c>
      <c r="J249" s="72">
        <f t="shared" ca="1" si="29"/>
        <v>10982</v>
      </c>
      <c r="K249" s="72">
        <f t="shared" ca="1" si="26"/>
        <v>0</v>
      </c>
      <c r="L249" s="71">
        <f t="shared" si="27"/>
        <v>5</v>
      </c>
      <c r="O249" s="72"/>
    </row>
    <row r="250" spans="1:15" x14ac:dyDescent="0.25">
      <c r="A250" s="134">
        <v>41417</v>
      </c>
      <c r="B250" s="32">
        <v>7370</v>
      </c>
      <c r="C250" s="32">
        <v>0</v>
      </c>
      <c r="D250" s="32">
        <v>41</v>
      </c>
      <c r="E250" s="109">
        <f t="shared" ca="1" si="22"/>
        <v>242.10526315789474</v>
      </c>
      <c r="F250" s="72">
        <f ca="1">SUM(E250:OFFSET(E250,-crLead_Time-crSaf_Time+1,0))</f>
        <v>726.31578947368416</v>
      </c>
      <c r="G250" s="98">
        <f ca="1">IF(F250&gt;=OFFSET(I250,1,0),IF(crFixedLot&gt;0,crFixedLot,(INT(SUM(E250:OFFSET(E250,-Simulation!$B$7+1,0))/crRoundingValue)+1)*crRoundingValue),0)</f>
        <v>0</v>
      </c>
      <c r="H250" s="98">
        <f t="shared" ca="1" si="23"/>
        <v>0</v>
      </c>
      <c r="I250" s="72">
        <f t="shared" ca="1" si="28"/>
        <v>10982</v>
      </c>
      <c r="J250" s="72">
        <f t="shared" ca="1" si="29"/>
        <v>10982</v>
      </c>
      <c r="K250" s="72">
        <f t="shared" ca="1" si="26"/>
        <v>0</v>
      </c>
      <c r="L250" s="71">
        <f t="shared" si="27"/>
        <v>5</v>
      </c>
    </row>
    <row r="251" spans="1:15" x14ac:dyDescent="0.25">
      <c r="A251" s="134">
        <v>41416</v>
      </c>
      <c r="B251" s="32">
        <v>7370</v>
      </c>
      <c r="C251" s="32">
        <v>0</v>
      </c>
      <c r="D251" s="32">
        <v>42</v>
      </c>
      <c r="E251" s="109">
        <f t="shared" ca="1" si="22"/>
        <v>242.10526315789474</v>
      </c>
      <c r="F251" s="72">
        <f ca="1">SUM(E251:OFFSET(E251,-crLead_Time-crSaf_Time+1,0))</f>
        <v>726.31578947368416</v>
      </c>
      <c r="G251" s="98">
        <f ca="1">IF(F251&gt;=OFFSET(I251,1,0),IF(crFixedLot&gt;0,crFixedLot,(INT(SUM(E251:OFFSET(E251,-Simulation!$B$7+1,0))/crRoundingValue)+1)*crRoundingValue),0)</f>
        <v>0</v>
      </c>
      <c r="H251" s="98">
        <f t="shared" ca="1" si="23"/>
        <v>0</v>
      </c>
      <c r="I251" s="72">
        <f t="shared" ca="1" si="28"/>
        <v>10982</v>
      </c>
      <c r="J251" s="72">
        <f t="shared" ca="1" si="29"/>
        <v>10982</v>
      </c>
      <c r="K251" s="72">
        <f t="shared" ca="1" si="26"/>
        <v>0</v>
      </c>
      <c r="L251" s="71">
        <f t="shared" si="27"/>
        <v>5</v>
      </c>
    </row>
    <row r="252" spans="1:15" x14ac:dyDescent="0.25">
      <c r="A252" s="134">
        <v>41415</v>
      </c>
      <c r="B252" s="32">
        <v>7370</v>
      </c>
      <c r="C252" s="32">
        <v>0</v>
      </c>
      <c r="D252" s="32">
        <v>43</v>
      </c>
      <c r="E252" s="109">
        <f t="shared" ca="1" si="22"/>
        <v>242.10526315789474</v>
      </c>
      <c r="F252" s="72">
        <f ca="1">SUM(E252:OFFSET(E252,-crLead_Time-crSaf_Time+1,0))</f>
        <v>726.31578947368416</v>
      </c>
      <c r="G252" s="98">
        <f ca="1">IF(F252&gt;=OFFSET(I252,1,0),IF(crFixedLot&gt;0,crFixedLot,(INT(SUM(E252:OFFSET(E252,-Simulation!$B$7+1,0))/crRoundingValue)+1)*crRoundingValue),0)</f>
        <v>0</v>
      </c>
      <c r="H252" s="98">
        <f t="shared" ca="1" si="23"/>
        <v>0</v>
      </c>
      <c r="I252" s="72">
        <f t="shared" ca="1" si="28"/>
        <v>10982</v>
      </c>
      <c r="J252" s="72">
        <f t="shared" ca="1" si="29"/>
        <v>10982</v>
      </c>
      <c r="K252" s="72">
        <f t="shared" ca="1" si="26"/>
        <v>0</v>
      </c>
      <c r="L252" s="71">
        <f t="shared" si="27"/>
        <v>5</v>
      </c>
    </row>
    <row r="253" spans="1:15" x14ac:dyDescent="0.25">
      <c r="A253" s="134">
        <v>41410</v>
      </c>
      <c r="B253" s="32">
        <v>7370</v>
      </c>
      <c r="C253" s="32">
        <v>1150</v>
      </c>
      <c r="D253" s="32">
        <v>44</v>
      </c>
      <c r="E253" s="109">
        <f t="shared" ca="1" si="22"/>
        <v>242.10526315789474</v>
      </c>
      <c r="F253" s="72">
        <f ca="1">SUM(E253:OFFSET(E253,-crLead_Time-crSaf_Time+1,0))</f>
        <v>726.31578947368416</v>
      </c>
      <c r="G253" s="98">
        <f ca="1">IF(F253&gt;=OFFSET(I253,1,0),IF(crFixedLot&gt;0,crFixedLot,(INT(SUM(E253:OFFSET(E253,-Simulation!$B$7+1,0))/crRoundingValue)+1)*crRoundingValue),0)</f>
        <v>0</v>
      </c>
      <c r="H253" s="98">
        <f t="shared" ca="1" si="23"/>
        <v>0</v>
      </c>
      <c r="I253" s="72">
        <f t="shared" ca="1" si="28"/>
        <v>10982</v>
      </c>
      <c r="J253" s="72">
        <f t="shared" ca="1" si="29"/>
        <v>10982</v>
      </c>
      <c r="K253" s="72">
        <f t="shared" ca="1" si="26"/>
        <v>0</v>
      </c>
      <c r="L253" s="71">
        <f t="shared" si="27"/>
        <v>5</v>
      </c>
    </row>
    <row r="254" spans="1:15" x14ac:dyDescent="0.25">
      <c r="A254" s="134">
        <v>41409</v>
      </c>
      <c r="B254" s="32">
        <v>8520</v>
      </c>
      <c r="C254" s="32">
        <v>1150</v>
      </c>
      <c r="D254" s="32">
        <v>45</v>
      </c>
      <c r="E254" s="109">
        <f t="shared" ca="1" si="22"/>
        <v>242.10526315789474</v>
      </c>
      <c r="F254" s="72">
        <f ca="1">SUM(E254:OFFSET(E254,-crLead_Time-crSaf_Time+1,0))</f>
        <v>726.31578947368416</v>
      </c>
      <c r="G254" s="98">
        <f ca="1">IF(F254&gt;=OFFSET(I254,1,0),IF(crFixedLot&gt;0,crFixedLot,(INT(SUM(E254:OFFSET(E254,-Simulation!$B$7+1,0))/crRoundingValue)+1)*crRoundingValue),0)</f>
        <v>0</v>
      </c>
      <c r="H254" s="98">
        <f t="shared" ca="1" si="23"/>
        <v>0</v>
      </c>
      <c r="I254" s="72">
        <f t="shared" ca="1" si="28"/>
        <v>12132</v>
      </c>
      <c r="J254" s="72">
        <f t="shared" ca="1" si="29"/>
        <v>12132</v>
      </c>
      <c r="K254" s="72">
        <f t="shared" ca="1" si="26"/>
        <v>0</v>
      </c>
      <c r="L254" s="71">
        <f t="shared" si="27"/>
        <v>5</v>
      </c>
    </row>
    <row r="255" spans="1:15" x14ac:dyDescent="0.25">
      <c r="A255" s="134">
        <v>41408</v>
      </c>
      <c r="B255" s="32">
        <v>9670</v>
      </c>
      <c r="C255" s="32">
        <v>0</v>
      </c>
      <c r="D255" s="32">
        <v>46</v>
      </c>
      <c r="E255" s="109">
        <f t="shared" ca="1" si="22"/>
        <v>242.10526315789474</v>
      </c>
      <c r="F255" s="72">
        <f ca="1">SUM(E255:OFFSET(E255,-crLead_Time-crSaf_Time+1,0))</f>
        <v>726.31578947368416</v>
      </c>
      <c r="G255" s="98">
        <f ca="1">IF(F255&gt;=OFFSET(I255,1,0),IF(crFixedLot&gt;0,crFixedLot,(INT(SUM(E255:OFFSET(E255,-Simulation!$B$7+1,0))/crRoundingValue)+1)*crRoundingValue),0)</f>
        <v>0</v>
      </c>
      <c r="H255" s="98">
        <f t="shared" ca="1" si="23"/>
        <v>0</v>
      </c>
      <c r="I255" s="72">
        <f t="shared" ca="1" si="28"/>
        <v>13282</v>
      </c>
      <c r="J255" s="72">
        <f t="shared" ca="1" si="29"/>
        <v>13282</v>
      </c>
      <c r="K255" s="72">
        <f t="shared" ca="1" si="26"/>
        <v>0</v>
      </c>
      <c r="L255" s="71">
        <f t="shared" si="27"/>
        <v>5</v>
      </c>
    </row>
    <row r="256" spans="1:15" x14ac:dyDescent="0.25">
      <c r="A256" s="134">
        <v>41407</v>
      </c>
      <c r="B256" s="32">
        <v>9670</v>
      </c>
      <c r="C256" s="32">
        <v>0</v>
      </c>
      <c r="D256" s="32">
        <v>47</v>
      </c>
      <c r="E256" s="109">
        <f t="shared" ca="1" si="22"/>
        <v>242.10526315789474</v>
      </c>
      <c r="F256" s="72">
        <f ca="1">SUM(E256:OFFSET(E256,-crLead_Time-crSaf_Time+1,0))</f>
        <v>726.31578947368416</v>
      </c>
      <c r="G256" s="98">
        <f ca="1">IF(F256&gt;=OFFSET(I256,1,0),IF(crFixedLot&gt;0,crFixedLot,(INT(SUM(E256:OFFSET(E256,-Simulation!$B$7+1,0))/crRoundingValue)+1)*crRoundingValue),0)</f>
        <v>12597</v>
      </c>
      <c r="H256" s="98">
        <f t="shared" ca="1" si="23"/>
        <v>12597</v>
      </c>
      <c r="I256" s="72">
        <f t="shared" ca="1" si="28"/>
        <v>13282</v>
      </c>
      <c r="J256" s="72">
        <f t="shared" ca="1" si="29"/>
        <v>13282</v>
      </c>
      <c r="K256" s="72">
        <f t="shared" ca="1" si="26"/>
        <v>0</v>
      </c>
      <c r="L256" s="71">
        <f t="shared" si="27"/>
        <v>5</v>
      </c>
    </row>
    <row r="257" spans="1:12" x14ac:dyDescent="0.25">
      <c r="A257" s="134">
        <v>41404</v>
      </c>
      <c r="B257" s="32">
        <v>9670</v>
      </c>
      <c r="C257" s="32">
        <v>230</v>
      </c>
      <c r="D257" s="32">
        <v>48</v>
      </c>
      <c r="E257" s="109">
        <f t="shared" ca="1" si="22"/>
        <v>242.10526315789474</v>
      </c>
      <c r="F257" s="72">
        <f ca="1">SUM(E257:OFFSET(E257,-crLead_Time-crSaf_Time+1,0))</f>
        <v>726.31578947368416</v>
      </c>
      <c r="G257" s="98">
        <f ca="1">IF(F257&gt;=OFFSET(I257,1,0),IF(crFixedLot&gt;0,crFixedLot,(INT(SUM(E257:OFFSET(E257,-Simulation!$B$7+1,0))/crRoundingValue)+1)*crRoundingValue),0)</f>
        <v>0</v>
      </c>
      <c r="H257" s="98">
        <f t="shared" ca="1" si="23"/>
        <v>0</v>
      </c>
      <c r="I257" s="72">
        <f t="shared" ca="1" si="28"/>
        <v>685</v>
      </c>
      <c r="J257" s="72">
        <f t="shared" ca="1" si="29"/>
        <v>685</v>
      </c>
      <c r="K257" s="72">
        <f t="shared" ca="1" si="26"/>
        <v>0</v>
      </c>
      <c r="L257" s="71">
        <f t="shared" si="27"/>
        <v>5</v>
      </c>
    </row>
    <row r="258" spans="1:12" x14ac:dyDescent="0.25">
      <c r="A258" s="134">
        <v>41402</v>
      </c>
      <c r="B258" s="32">
        <v>9900</v>
      </c>
      <c r="C258" s="32">
        <v>0</v>
      </c>
      <c r="D258" s="32">
        <v>49</v>
      </c>
      <c r="E258" s="109">
        <f t="shared" ref="E258:E321" ca="1" si="30">VLOOKUP(MONTH(A258),rForecast,4,FALSE)</f>
        <v>242.10526315789474</v>
      </c>
      <c r="F258" s="72">
        <f ca="1">SUM(E258:OFFSET(E258,-crLead_Time-crSaf_Time+1,0))</f>
        <v>726.31578947368416</v>
      </c>
      <c r="G258" s="98">
        <f ca="1">IF(F258&gt;=OFFSET(I258,1,0),IF(crFixedLot&gt;0,crFixedLot,(INT(SUM(E258:OFFSET(E258,-Simulation!$B$7+1,0))/crRoundingValue)+1)*crRoundingValue),0)</f>
        <v>0</v>
      </c>
      <c r="H258" s="98">
        <f t="shared" ref="H258:H321" ca="1" si="31">OFFSET(G258,crLead_Time,0)</f>
        <v>0</v>
      </c>
      <c r="I258" s="72">
        <f t="shared" ca="1" si="28"/>
        <v>915</v>
      </c>
      <c r="J258" s="72">
        <f t="shared" ca="1" si="29"/>
        <v>915</v>
      </c>
      <c r="K258" s="72">
        <f t="shared" ref="K258:K321" ca="1" si="32">IF(AND(J258&lt;0,OFFSET(J258,1,0)&lt;0),IF(J258&lt;OFFSET(J258,1,0),J258-OFFSET(J258,1,0),0),IF(J258&lt;0,J258,0))</f>
        <v>0</v>
      </c>
      <c r="L258" s="71">
        <f t="shared" si="27"/>
        <v>5</v>
      </c>
    </row>
    <row r="259" spans="1:12" x14ac:dyDescent="0.25">
      <c r="A259" s="134">
        <v>41401</v>
      </c>
      <c r="B259" s="32">
        <v>9900</v>
      </c>
      <c r="C259" s="32">
        <v>0</v>
      </c>
      <c r="D259" s="32">
        <v>50</v>
      </c>
      <c r="E259" s="109">
        <f t="shared" ca="1" si="30"/>
        <v>242.10526315789474</v>
      </c>
      <c r="F259" s="72">
        <f ca="1">SUM(E259:OFFSET(E259,-crLead_Time-crSaf_Time+1,0))</f>
        <v>726.31578947368416</v>
      </c>
      <c r="G259" s="98">
        <f ca="1">IF(F259&gt;=OFFSET(I259,1,0),IF(crFixedLot&gt;0,crFixedLot,(INT(SUM(E259:OFFSET(E259,-Simulation!$B$7+1,0))/crRoundingValue)+1)*crRoundingValue),0)</f>
        <v>0</v>
      </c>
      <c r="H259" s="98">
        <f t="shared" ca="1" si="31"/>
        <v>0</v>
      </c>
      <c r="I259" s="72">
        <f t="shared" ca="1" si="28"/>
        <v>915</v>
      </c>
      <c r="J259" s="72">
        <f t="shared" ca="1" si="29"/>
        <v>915</v>
      </c>
      <c r="K259" s="72">
        <f t="shared" ca="1" si="32"/>
        <v>0</v>
      </c>
      <c r="L259" s="71">
        <f t="shared" ref="L259:L322" si="33">MONTH(A259)</f>
        <v>5</v>
      </c>
    </row>
    <row r="260" spans="1:12" x14ac:dyDescent="0.25">
      <c r="A260" s="134">
        <v>41400</v>
      </c>
      <c r="B260" s="32">
        <v>9900</v>
      </c>
      <c r="C260" s="32">
        <v>0</v>
      </c>
      <c r="D260" s="32">
        <v>51</v>
      </c>
      <c r="E260" s="109">
        <f t="shared" ca="1" si="30"/>
        <v>242.10526315789474</v>
      </c>
      <c r="F260" s="72">
        <f ca="1">SUM(E260:OFFSET(E260,-crLead_Time-crSaf_Time+1,0))</f>
        <v>726.31578947368416</v>
      </c>
      <c r="G260" s="98">
        <f ca="1">IF(F260&gt;=OFFSET(I260,1,0),IF(crFixedLot&gt;0,crFixedLot,(INT(SUM(E260:OFFSET(E260,-Simulation!$B$7+1,0))/crRoundingValue)+1)*crRoundingValue),0)</f>
        <v>0</v>
      </c>
      <c r="H260" s="98">
        <f t="shared" ca="1" si="31"/>
        <v>0</v>
      </c>
      <c r="I260" s="72">
        <f t="shared" ca="1" si="28"/>
        <v>915</v>
      </c>
      <c r="J260" s="72">
        <f t="shared" ca="1" si="29"/>
        <v>915</v>
      </c>
      <c r="K260" s="72">
        <f t="shared" ca="1" si="32"/>
        <v>0</v>
      </c>
      <c r="L260" s="71">
        <f t="shared" si="33"/>
        <v>5</v>
      </c>
    </row>
    <row r="261" spans="1:12" x14ac:dyDescent="0.25">
      <c r="A261" s="134">
        <v>41397</v>
      </c>
      <c r="B261" s="32">
        <v>9900</v>
      </c>
      <c r="C261" s="32">
        <v>0</v>
      </c>
      <c r="D261" s="32">
        <v>52</v>
      </c>
      <c r="E261" s="109">
        <f t="shared" ca="1" si="30"/>
        <v>242.10526315789474</v>
      </c>
      <c r="F261" s="72">
        <f ca="1">SUM(E261:OFFSET(E261,-crLead_Time-crSaf_Time+1,0))</f>
        <v>726.31578947368416</v>
      </c>
      <c r="G261" s="98">
        <f ca="1">IF(F261&gt;=OFFSET(I261,1,0),IF(crFixedLot&gt;0,crFixedLot,(INT(SUM(E261:OFFSET(E261,-Simulation!$B$7+1,0))/crRoundingValue)+1)*crRoundingValue),0)</f>
        <v>0</v>
      </c>
      <c r="H261" s="98">
        <f t="shared" ca="1" si="31"/>
        <v>0</v>
      </c>
      <c r="I261" s="72">
        <f t="shared" ca="1" si="28"/>
        <v>915</v>
      </c>
      <c r="J261" s="72">
        <f t="shared" ca="1" si="29"/>
        <v>915</v>
      </c>
      <c r="K261" s="72">
        <f t="shared" ca="1" si="32"/>
        <v>0</v>
      </c>
      <c r="L261" s="71">
        <f t="shared" si="33"/>
        <v>5</v>
      </c>
    </row>
    <row r="262" spans="1:12" x14ac:dyDescent="0.25">
      <c r="A262" s="134">
        <v>41396</v>
      </c>
      <c r="B262" s="32">
        <v>9900</v>
      </c>
      <c r="C262" s="32">
        <v>0</v>
      </c>
      <c r="D262" s="32">
        <v>53</v>
      </c>
      <c r="E262" s="109">
        <f t="shared" ca="1" si="30"/>
        <v>242.10526315789474</v>
      </c>
      <c r="F262" s="72">
        <f ca="1">SUM(E262:OFFSET(E262,-crLead_Time-crSaf_Time+1,0))</f>
        <v>726.31578947368416</v>
      </c>
      <c r="G262" s="98">
        <f ca="1">IF(F262&gt;=OFFSET(I262,1,0),IF(crFixedLot&gt;0,crFixedLot,(INT(SUM(E262:OFFSET(E262,-Simulation!$B$7+1,0))/crRoundingValue)+1)*crRoundingValue),0)</f>
        <v>0</v>
      </c>
      <c r="H262" s="98">
        <f t="shared" ca="1" si="31"/>
        <v>0</v>
      </c>
      <c r="I262" s="72">
        <f t="shared" ca="1" si="28"/>
        <v>915</v>
      </c>
      <c r="J262" s="72">
        <f t="shared" ca="1" si="29"/>
        <v>915</v>
      </c>
      <c r="K262" s="72">
        <f t="shared" ca="1" si="32"/>
        <v>0</v>
      </c>
      <c r="L262" s="71">
        <f t="shared" si="33"/>
        <v>5</v>
      </c>
    </row>
    <row r="263" spans="1:12" x14ac:dyDescent="0.25">
      <c r="A263" s="134">
        <v>41394</v>
      </c>
      <c r="B263" s="32">
        <v>9900</v>
      </c>
      <c r="C263" s="32">
        <v>0</v>
      </c>
      <c r="D263" s="32">
        <v>54</v>
      </c>
      <c r="E263" s="109">
        <f t="shared" ca="1" si="30"/>
        <v>208.0952380952381</v>
      </c>
      <c r="F263" s="72">
        <f ca="1">SUM(E263:OFFSET(E263,-crLead_Time-crSaf_Time+1,0))</f>
        <v>692.30576441102755</v>
      </c>
      <c r="G263" s="98">
        <f ca="1">IF(F263&gt;=OFFSET(I263,1,0),IF(crFixedLot&gt;0,crFixedLot,(INT(SUM(E263:OFFSET(E263,-Simulation!$B$7+1,0))/crRoundingValue)+1)*crRoundingValue),0)</f>
        <v>0</v>
      </c>
      <c r="H263" s="98">
        <f t="shared" ca="1" si="31"/>
        <v>0</v>
      </c>
      <c r="I263" s="72">
        <f t="shared" ca="1" si="28"/>
        <v>915</v>
      </c>
      <c r="J263" s="72">
        <f t="shared" ca="1" si="29"/>
        <v>915</v>
      </c>
      <c r="K263" s="72">
        <f t="shared" ca="1" si="32"/>
        <v>0</v>
      </c>
      <c r="L263" s="71">
        <f t="shared" si="33"/>
        <v>4</v>
      </c>
    </row>
    <row r="264" spans="1:12" x14ac:dyDescent="0.25">
      <c r="A264" s="134">
        <v>41393</v>
      </c>
      <c r="B264" s="32">
        <v>9900</v>
      </c>
      <c r="C264" s="32">
        <v>1840</v>
      </c>
      <c r="D264" s="32">
        <v>55</v>
      </c>
      <c r="E264" s="109">
        <f t="shared" ca="1" si="30"/>
        <v>208.0952380952381</v>
      </c>
      <c r="F264" s="72">
        <f ca="1">SUM(E264:OFFSET(E264,-crLead_Time-crSaf_Time+1,0))</f>
        <v>658.29573934837094</v>
      </c>
      <c r="G264" s="98">
        <f ca="1">IF(F264&gt;=OFFSET(I264,1,0),IF(crFixedLot&gt;0,crFixedLot,(INT(SUM(E264:OFFSET(E264,-Simulation!$B$7+1,0))/crRoundingValue)+1)*crRoundingValue),0)</f>
        <v>0</v>
      </c>
      <c r="H264" s="98">
        <f t="shared" ca="1" si="31"/>
        <v>0</v>
      </c>
      <c r="I264" s="72">
        <f t="shared" ca="1" si="28"/>
        <v>915</v>
      </c>
      <c r="J264" s="72">
        <f t="shared" ca="1" si="29"/>
        <v>915</v>
      </c>
      <c r="K264" s="72">
        <f t="shared" ca="1" si="32"/>
        <v>0</v>
      </c>
      <c r="L264" s="71">
        <f t="shared" si="33"/>
        <v>4</v>
      </c>
    </row>
    <row r="265" spans="1:12" x14ac:dyDescent="0.25">
      <c r="A265" s="134">
        <v>41390</v>
      </c>
      <c r="B265" s="32">
        <v>11740</v>
      </c>
      <c r="C265" s="32">
        <v>40</v>
      </c>
      <c r="D265" s="32">
        <v>56</v>
      </c>
      <c r="E265" s="109">
        <f t="shared" ca="1" si="30"/>
        <v>208.0952380952381</v>
      </c>
      <c r="F265" s="72">
        <f ca="1">SUM(E265:OFFSET(E265,-crLead_Time-crSaf_Time+1,0))</f>
        <v>624.28571428571433</v>
      </c>
      <c r="G265" s="98">
        <f ca="1">IF(F265&gt;=OFFSET(I265,1,0),IF(crFixedLot&gt;0,crFixedLot,(INT(SUM(E265:OFFSET(E265,-Simulation!$B$7+1,0))/crRoundingValue)+1)*crRoundingValue),0)</f>
        <v>0</v>
      </c>
      <c r="H265" s="98">
        <f t="shared" ca="1" si="31"/>
        <v>0</v>
      </c>
      <c r="I265" s="72">
        <f t="shared" ca="1" si="28"/>
        <v>2755</v>
      </c>
      <c r="J265" s="72">
        <f t="shared" ca="1" si="29"/>
        <v>2755</v>
      </c>
      <c r="K265" s="72">
        <f t="shared" ca="1" si="32"/>
        <v>0</v>
      </c>
      <c r="L265" s="71">
        <f t="shared" si="33"/>
        <v>4</v>
      </c>
    </row>
    <row r="266" spans="1:12" x14ac:dyDescent="0.25">
      <c r="A266" s="134">
        <v>41389</v>
      </c>
      <c r="B266" s="32">
        <v>11780</v>
      </c>
      <c r="C266" s="32">
        <v>0</v>
      </c>
      <c r="D266" s="32">
        <v>57</v>
      </c>
      <c r="E266" s="109">
        <f t="shared" ca="1" si="30"/>
        <v>208.0952380952381</v>
      </c>
      <c r="F266" s="72">
        <f ca="1">SUM(E266:OFFSET(E266,-crLead_Time-crSaf_Time+1,0))</f>
        <v>624.28571428571433</v>
      </c>
      <c r="G266" s="98">
        <f ca="1">IF(F266&gt;=OFFSET(I266,1,0),IF(crFixedLot&gt;0,crFixedLot,(INT(SUM(E266:OFFSET(E266,-Simulation!$B$7+1,0))/crRoundingValue)+1)*crRoundingValue),0)</f>
        <v>0</v>
      </c>
      <c r="H266" s="98">
        <f t="shared" ca="1" si="31"/>
        <v>0</v>
      </c>
      <c r="I266" s="72">
        <f t="shared" ca="1" si="28"/>
        <v>2795</v>
      </c>
      <c r="J266" s="72">
        <f t="shared" ca="1" si="29"/>
        <v>2795</v>
      </c>
      <c r="K266" s="72">
        <f t="shared" ca="1" si="32"/>
        <v>0</v>
      </c>
      <c r="L266" s="71">
        <f t="shared" si="33"/>
        <v>4</v>
      </c>
    </row>
    <row r="267" spans="1:12" x14ac:dyDescent="0.25">
      <c r="A267" s="134">
        <v>41388</v>
      </c>
      <c r="B267" s="32">
        <v>11780</v>
      </c>
      <c r="C267" s="32">
        <v>0</v>
      </c>
      <c r="D267" s="32">
        <v>58</v>
      </c>
      <c r="E267" s="109">
        <f t="shared" ca="1" si="30"/>
        <v>208.0952380952381</v>
      </c>
      <c r="F267" s="72">
        <f ca="1">SUM(E267:OFFSET(E267,-crLead_Time-crSaf_Time+1,0))</f>
        <v>624.28571428571433</v>
      </c>
      <c r="G267" s="98">
        <f ca="1">IF(F267&gt;=OFFSET(I267,1,0),IF(crFixedLot&gt;0,crFixedLot,(INT(SUM(E267:OFFSET(E267,-Simulation!$B$7+1,0))/crRoundingValue)+1)*crRoundingValue),0)</f>
        <v>0</v>
      </c>
      <c r="H267" s="98">
        <f t="shared" ca="1" si="31"/>
        <v>0</v>
      </c>
      <c r="I267" s="72">
        <f t="shared" ca="1" si="28"/>
        <v>2795</v>
      </c>
      <c r="J267" s="72">
        <f t="shared" ca="1" si="29"/>
        <v>2795</v>
      </c>
      <c r="K267" s="72">
        <f t="shared" ca="1" si="32"/>
        <v>0</v>
      </c>
      <c r="L267" s="71">
        <f t="shared" si="33"/>
        <v>4</v>
      </c>
    </row>
    <row r="268" spans="1:12" x14ac:dyDescent="0.25">
      <c r="A268" s="134">
        <v>41387</v>
      </c>
      <c r="B268" s="32">
        <v>11780</v>
      </c>
      <c r="C268" s="32">
        <v>0</v>
      </c>
      <c r="D268" s="32">
        <v>59</v>
      </c>
      <c r="E268" s="109">
        <f t="shared" ca="1" si="30"/>
        <v>208.0952380952381</v>
      </c>
      <c r="F268" s="72">
        <f ca="1">SUM(E268:OFFSET(E268,-crLead_Time-crSaf_Time+1,0))</f>
        <v>624.28571428571433</v>
      </c>
      <c r="G268" s="98">
        <f ca="1">IF(F268&gt;=OFFSET(I268,1,0),IF(crFixedLot&gt;0,crFixedLot,(INT(SUM(E268:OFFSET(E268,-Simulation!$B$7+1,0))/crRoundingValue)+1)*crRoundingValue),0)</f>
        <v>0</v>
      </c>
      <c r="H268" s="98">
        <f t="shared" ca="1" si="31"/>
        <v>0</v>
      </c>
      <c r="I268" s="72">
        <f t="shared" ca="1" si="28"/>
        <v>2795</v>
      </c>
      <c r="J268" s="72">
        <f t="shared" ca="1" si="29"/>
        <v>2795</v>
      </c>
      <c r="K268" s="72">
        <f t="shared" ca="1" si="32"/>
        <v>0</v>
      </c>
      <c r="L268" s="71">
        <f t="shared" si="33"/>
        <v>4</v>
      </c>
    </row>
    <row r="269" spans="1:12" x14ac:dyDescent="0.25">
      <c r="A269" s="134">
        <v>41386</v>
      </c>
      <c r="B269" s="32">
        <v>11780</v>
      </c>
      <c r="C269" s="32">
        <v>0</v>
      </c>
      <c r="D269" s="32">
        <v>60</v>
      </c>
      <c r="E269" s="109">
        <f t="shared" ca="1" si="30"/>
        <v>208.0952380952381</v>
      </c>
      <c r="F269" s="72">
        <f ca="1">SUM(E269:OFFSET(E269,-crLead_Time-crSaf_Time+1,0))</f>
        <v>624.28571428571433</v>
      </c>
      <c r="G269" s="98">
        <f ca="1">IF(F269&gt;=OFFSET(I269,1,0),IF(crFixedLot&gt;0,crFixedLot,(INT(SUM(E269:OFFSET(E269,-Simulation!$B$7+1,0))/crRoundingValue)+1)*crRoundingValue),0)</f>
        <v>0</v>
      </c>
      <c r="H269" s="98">
        <f t="shared" ca="1" si="31"/>
        <v>0</v>
      </c>
      <c r="I269" s="72">
        <f t="shared" ca="1" si="28"/>
        <v>2795</v>
      </c>
      <c r="J269" s="72">
        <f t="shared" ca="1" si="29"/>
        <v>2795</v>
      </c>
      <c r="K269" s="72">
        <f t="shared" ca="1" si="32"/>
        <v>0</v>
      </c>
      <c r="L269" s="71">
        <f t="shared" si="33"/>
        <v>4</v>
      </c>
    </row>
    <row r="270" spans="1:12" x14ac:dyDescent="0.25">
      <c r="A270" s="134">
        <v>41383</v>
      </c>
      <c r="B270" s="32">
        <v>11780</v>
      </c>
      <c r="C270" s="32">
        <v>0</v>
      </c>
      <c r="D270" s="32">
        <v>61</v>
      </c>
      <c r="E270" s="109">
        <f t="shared" ca="1" si="30"/>
        <v>208.0952380952381</v>
      </c>
      <c r="F270" s="72">
        <f ca="1">SUM(E270:OFFSET(E270,-crLead_Time-crSaf_Time+1,0))</f>
        <v>624.28571428571433</v>
      </c>
      <c r="G270" s="98">
        <f ca="1">IF(F270&gt;=OFFSET(I270,1,0),IF(crFixedLot&gt;0,crFixedLot,(INT(SUM(E270:OFFSET(E270,-Simulation!$B$7+1,0))/crRoundingValue)+1)*crRoundingValue),0)</f>
        <v>0</v>
      </c>
      <c r="H270" s="98">
        <f t="shared" ca="1" si="31"/>
        <v>0</v>
      </c>
      <c r="I270" s="72">
        <f t="shared" ca="1" si="28"/>
        <v>2795</v>
      </c>
      <c r="J270" s="72">
        <f t="shared" ca="1" si="29"/>
        <v>2795</v>
      </c>
      <c r="K270" s="72">
        <f t="shared" ca="1" si="32"/>
        <v>0</v>
      </c>
      <c r="L270" s="71">
        <f t="shared" si="33"/>
        <v>4</v>
      </c>
    </row>
    <row r="271" spans="1:12" x14ac:dyDescent="0.25">
      <c r="A271" s="134">
        <v>41382</v>
      </c>
      <c r="B271" s="32">
        <v>11780</v>
      </c>
      <c r="C271" s="32">
        <v>0</v>
      </c>
      <c r="D271" s="32">
        <v>62</v>
      </c>
      <c r="E271" s="109">
        <f t="shared" ca="1" si="30"/>
        <v>208.0952380952381</v>
      </c>
      <c r="F271" s="72">
        <f ca="1">SUM(E271:OFFSET(E271,-crLead_Time-crSaf_Time+1,0))</f>
        <v>624.28571428571433</v>
      </c>
      <c r="G271" s="98">
        <f ca="1">IF(F271&gt;=OFFSET(I271,1,0),IF(crFixedLot&gt;0,crFixedLot,(INT(SUM(E271:OFFSET(E271,-Simulation!$B$7+1,0))/crRoundingValue)+1)*crRoundingValue),0)</f>
        <v>0</v>
      </c>
      <c r="H271" s="98">
        <f t="shared" ca="1" si="31"/>
        <v>0</v>
      </c>
      <c r="I271" s="72">
        <f t="shared" ca="1" si="28"/>
        <v>2795</v>
      </c>
      <c r="J271" s="72">
        <f t="shared" ca="1" si="29"/>
        <v>2795</v>
      </c>
      <c r="K271" s="72">
        <f t="shared" ca="1" si="32"/>
        <v>0</v>
      </c>
      <c r="L271" s="71">
        <f t="shared" si="33"/>
        <v>4</v>
      </c>
    </row>
    <row r="272" spans="1:12" x14ac:dyDescent="0.25">
      <c r="A272" s="134">
        <v>41381</v>
      </c>
      <c r="B272" s="32">
        <v>11780</v>
      </c>
      <c r="C272" s="32">
        <v>1150</v>
      </c>
      <c r="D272" s="32">
        <v>63</v>
      </c>
      <c r="E272" s="109">
        <f t="shared" ca="1" si="30"/>
        <v>208.0952380952381</v>
      </c>
      <c r="F272" s="72">
        <f ca="1">SUM(E272:OFFSET(E272,-crLead_Time-crSaf_Time+1,0))</f>
        <v>624.28571428571433</v>
      </c>
      <c r="G272" s="98">
        <f ca="1">IF(F272&gt;=OFFSET(I272,1,0),IF(crFixedLot&gt;0,crFixedLot,(INT(SUM(E272:OFFSET(E272,-Simulation!$B$7+1,0))/crRoundingValue)+1)*crRoundingValue),0)</f>
        <v>0</v>
      </c>
      <c r="H272" s="98">
        <f t="shared" ca="1" si="31"/>
        <v>0</v>
      </c>
      <c r="I272" s="72">
        <f t="shared" ca="1" si="28"/>
        <v>2795</v>
      </c>
      <c r="J272" s="72">
        <f t="shared" ca="1" si="29"/>
        <v>2795</v>
      </c>
      <c r="K272" s="72">
        <f t="shared" ca="1" si="32"/>
        <v>0</v>
      </c>
      <c r="L272" s="71">
        <f t="shared" si="33"/>
        <v>4</v>
      </c>
    </row>
    <row r="273" spans="1:12" x14ac:dyDescent="0.25">
      <c r="A273" s="134">
        <v>41380</v>
      </c>
      <c r="B273" s="32">
        <v>12930</v>
      </c>
      <c r="C273" s="32">
        <v>0</v>
      </c>
      <c r="D273" s="32">
        <v>64</v>
      </c>
      <c r="E273" s="109">
        <f t="shared" ca="1" si="30"/>
        <v>208.0952380952381</v>
      </c>
      <c r="F273" s="72">
        <f ca="1">SUM(E273:OFFSET(E273,-crLead_Time-crSaf_Time+1,0))</f>
        <v>624.28571428571433</v>
      </c>
      <c r="G273" s="98">
        <f ca="1">IF(F273&gt;=OFFSET(I273,1,0),IF(crFixedLot&gt;0,crFixedLot,(INT(SUM(E273:OFFSET(E273,-Simulation!$B$7+1,0))/crRoundingValue)+1)*crRoundingValue),0)</f>
        <v>0</v>
      </c>
      <c r="H273" s="98">
        <f t="shared" ca="1" si="31"/>
        <v>0</v>
      </c>
      <c r="I273" s="72">
        <f t="shared" ca="1" si="28"/>
        <v>3945</v>
      </c>
      <c r="J273" s="72">
        <f t="shared" ca="1" si="29"/>
        <v>3945</v>
      </c>
      <c r="K273" s="72">
        <f t="shared" ca="1" si="32"/>
        <v>0</v>
      </c>
      <c r="L273" s="71">
        <f t="shared" si="33"/>
        <v>4</v>
      </c>
    </row>
    <row r="274" spans="1:12" x14ac:dyDescent="0.25">
      <c r="A274" s="134">
        <v>41379</v>
      </c>
      <c r="B274" s="32">
        <v>12930</v>
      </c>
      <c r="C274" s="32">
        <v>0</v>
      </c>
      <c r="D274" s="32">
        <v>65</v>
      </c>
      <c r="E274" s="109">
        <f t="shared" ca="1" si="30"/>
        <v>208.0952380952381</v>
      </c>
      <c r="F274" s="72">
        <f ca="1">SUM(E274:OFFSET(E274,-crLead_Time-crSaf_Time+1,0))</f>
        <v>624.28571428571433</v>
      </c>
      <c r="G274" s="98">
        <f ca="1">IF(F274&gt;=OFFSET(I274,1,0),IF(crFixedLot&gt;0,crFixedLot,(INT(SUM(E274:OFFSET(E274,-Simulation!$B$7+1,0))/crRoundingValue)+1)*crRoundingValue),0)</f>
        <v>0</v>
      </c>
      <c r="H274" s="98">
        <f t="shared" ca="1" si="31"/>
        <v>0</v>
      </c>
      <c r="I274" s="72">
        <f t="shared" ca="1" si="28"/>
        <v>3945</v>
      </c>
      <c r="J274" s="72">
        <f t="shared" ca="1" si="29"/>
        <v>3945</v>
      </c>
      <c r="K274" s="72">
        <f t="shared" ca="1" si="32"/>
        <v>0</v>
      </c>
      <c r="L274" s="71">
        <f t="shared" si="33"/>
        <v>4</v>
      </c>
    </row>
    <row r="275" spans="1:12" x14ac:dyDescent="0.25">
      <c r="A275" s="134">
        <v>41376</v>
      </c>
      <c r="B275" s="32">
        <v>12930</v>
      </c>
      <c r="C275" s="32">
        <v>10</v>
      </c>
      <c r="D275" s="32">
        <v>66</v>
      </c>
      <c r="E275" s="109">
        <f t="shared" ca="1" si="30"/>
        <v>208.0952380952381</v>
      </c>
      <c r="F275" s="72">
        <f ca="1">SUM(E275:OFFSET(E275,-crLead_Time-crSaf_Time+1,0))</f>
        <v>624.28571428571433</v>
      </c>
      <c r="G275" s="98">
        <f ca="1">IF(F275&gt;=OFFSET(I275,1,0),IF(crFixedLot&gt;0,crFixedLot,(INT(SUM(E275:OFFSET(E275,-Simulation!$B$7+1,0))/crRoundingValue)+1)*crRoundingValue),0)</f>
        <v>0</v>
      </c>
      <c r="H275" s="98">
        <f t="shared" ca="1" si="31"/>
        <v>0</v>
      </c>
      <c r="I275" s="72">
        <f t="shared" ca="1" si="28"/>
        <v>3945</v>
      </c>
      <c r="J275" s="72">
        <f t="shared" ca="1" si="29"/>
        <v>3945</v>
      </c>
      <c r="K275" s="72">
        <f t="shared" ca="1" si="32"/>
        <v>0</v>
      </c>
      <c r="L275" s="71">
        <f t="shared" si="33"/>
        <v>4</v>
      </c>
    </row>
    <row r="276" spans="1:12" x14ac:dyDescent="0.25">
      <c r="A276" s="134">
        <v>41375</v>
      </c>
      <c r="B276" s="32">
        <v>12940</v>
      </c>
      <c r="C276" s="32">
        <v>0</v>
      </c>
      <c r="D276" s="32">
        <v>67</v>
      </c>
      <c r="E276" s="109">
        <f t="shared" ca="1" si="30"/>
        <v>208.0952380952381</v>
      </c>
      <c r="F276" s="72">
        <f ca="1">SUM(E276:OFFSET(E276,-crLead_Time-crSaf_Time+1,0))</f>
        <v>624.28571428571433</v>
      </c>
      <c r="G276" s="98">
        <f ca="1">IF(F276&gt;=OFFSET(I276,1,0),IF(crFixedLot&gt;0,crFixedLot,(INT(SUM(E276:OFFSET(E276,-Simulation!$B$7+1,0))/crRoundingValue)+1)*crRoundingValue),0)</f>
        <v>0</v>
      </c>
      <c r="H276" s="98">
        <f t="shared" ca="1" si="31"/>
        <v>0</v>
      </c>
      <c r="I276" s="72">
        <f t="shared" ca="1" si="28"/>
        <v>3955</v>
      </c>
      <c r="J276" s="72">
        <f t="shared" ca="1" si="29"/>
        <v>3955</v>
      </c>
      <c r="K276" s="72">
        <f t="shared" ca="1" si="32"/>
        <v>0</v>
      </c>
      <c r="L276" s="71">
        <f t="shared" si="33"/>
        <v>4</v>
      </c>
    </row>
    <row r="277" spans="1:12" x14ac:dyDescent="0.25">
      <c r="A277" s="134">
        <v>41374</v>
      </c>
      <c r="B277" s="32">
        <v>12940</v>
      </c>
      <c r="C277" s="32">
        <v>0</v>
      </c>
      <c r="D277" s="32">
        <v>68</v>
      </c>
      <c r="E277" s="109">
        <f t="shared" ca="1" si="30"/>
        <v>208.0952380952381</v>
      </c>
      <c r="F277" s="72">
        <f ca="1">SUM(E277:OFFSET(E277,-crLead_Time-crSaf_Time+1,0))</f>
        <v>624.28571428571433</v>
      </c>
      <c r="G277" s="98">
        <f ca="1">IF(F277&gt;=OFFSET(I277,1,0),IF(crFixedLot&gt;0,crFixedLot,(INT(SUM(E277:OFFSET(E277,-Simulation!$B$7+1,0))/crRoundingValue)+1)*crRoundingValue),0)</f>
        <v>0</v>
      </c>
      <c r="H277" s="98">
        <f t="shared" ca="1" si="31"/>
        <v>0</v>
      </c>
      <c r="I277" s="72">
        <f t="shared" ca="1" si="28"/>
        <v>3955</v>
      </c>
      <c r="J277" s="72">
        <f t="shared" ca="1" si="29"/>
        <v>3955</v>
      </c>
      <c r="K277" s="72">
        <f t="shared" ca="1" si="32"/>
        <v>0</v>
      </c>
      <c r="L277" s="71">
        <f t="shared" si="33"/>
        <v>4</v>
      </c>
    </row>
    <row r="278" spans="1:12" x14ac:dyDescent="0.25">
      <c r="A278" s="134">
        <v>41373</v>
      </c>
      <c r="B278" s="32">
        <v>12940</v>
      </c>
      <c r="C278" s="32">
        <v>1150</v>
      </c>
      <c r="D278" s="32">
        <v>69</v>
      </c>
      <c r="E278" s="109">
        <f t="shared" ca="1" si="30"/>
        <v>208.0952380952381</v>
      </c>
      <c r="F278" s="72">
        <f ca="1">SUM(E278:OFFSET(E278,-crLead_Time-crSaf_Time+1,0))</f>
        <v>624.28571428571433</v>
      </c>
      <c r="G278" s="98">
        <f ca="1">IF(F278&gt;=OFFSET(I278,1,0),IF(crFixedLot&gt;0,crFixedLot,(INT(SUM(E278:OFFSET(E278,-Simulation!$B$7+1,0))/crRoundingValue)+1)*crRoundingValue),0)</f>
        <v>0</v>
      </c>
      <c r="H278" s="98">
        <f t="shared" ca="1" si="31"/>
        <v>0</v>
      </c>
      <c r="I278" s="72">
        <f t="shared" ca="1" si="28"/>
        <v>3955</v>
      </c>
      <c r="J278" s="72">
        <f t="shared" ca="1" si="29"/>
        <v>3955</v>
      </c>
      <c r="K278" s="72">
        <f t="shared" ca="1" si="32"/>
        <v>0</v>
      </c>
      <c r="L278" s="71">
        <f t="shared" si="33"/>
        <v>4</v>
      </c>
    </row>
    <row r="279" spans="1:12" x14ac:dyDescent="0.25">
      <c r="A279" s="134">
        <v>41372</v>
      </c>
      <c r="B279" s="32">
        <v>14090</v>
      </c>
      <c r="C279" s="32">
        <v>0</v>
      </c>
      <c r="D279" s="32">
        <v>70</v>
      </c>
      <c r="E279" s="109">
        <f t="shared" ca="1" si="30"/>
        <v>208.0952380952381</v>
      </c>
      <c r="F279" s="72">
        <f ca="1">SUM(E279:OFFSET(E279,-crLead_Time-crSaf_Time+1,0))</f>
        <v>624.28571428571433</v>
      </c>
      <c r="G279" s="98">
        <f ca="1">IF(F279&gt;=OFFSET(I279,1,0),IF(crFixedLot&gt;0,crFixedLot,(INT(SUM(E279:OFFSET(E279,-Simulation!$B$7+1,0))/crRoundingValue)+1)*crRoundingValue),0)</f>
        <v>0</v>
      </c>
      <c r="H279" s="98">
        <f t="shared" ca="1" si="31"/>
        <v>0</v>
      </c>
      <c r="I279" s="72">
        <f t="shared" ca="1" si="28"/>
        <v>5105</v>
      </c>
      <c r="J279" s="72">
        <f t="shared" ca="1" si="29"/>
        <v>5105</v>
      </c>
      <c r="K279" s="72">
        <f t="shared" ca="1" si="32"/>
        <v>0</v>
      </c>
      <c r="L279" s="71">
        <f t="shared" si="33"/>
        <v>4</v>
      </c>
    </row>
    <row r="280" spans="1:12" x14ac:dyDescent="0.25">
      <c r="A280" s="134">
        <v>41369</v>
      </c>
      <c r="B280" s="32">
        <v>14090</v>
      </c>
      <c r="C280" s="32">
        <v>0</v>
      </c>
      <c r="D280" s="32">
        <v>71</v>
      </c>
      <c r="E280" s="109">
        <f t="shared" ca="1" si="30"/>
        <v>208.0952380952381</v>
      </c>
      <c r="F280" s="72">
        <f ca="1">SUM(E280:OFFSET(E280,-crLead_Time-crSaf_Time+1,0))</f>
        <v>624.28571428571433</v>
      </c>
      <c r="G280" s="98">
        <f ca="1">IF(F280&gt;=OFFSET(I280,1,0),IF(crFixedLot&gt;0,crFixedLot,(INT(SUM(E280:OFFSET(E280,-Simulation!$B$7+1,0))/crRoundingValue)+1)*crRoundingValue),0)</f>
        <v>0</v>
      </c>
      <c r="H280" s="98">
        <f t="shared" ca="1" si="31"/>
        <v>0</v>
      </c>
      <c r="I280" s="72">
        <f t="shared" ca="1" si="28"/>
        <v>5105</v>
      </c>
      <c r="J280" s="72">
        <f t="shared" ca="1" si="29"/>
        <v>5105</v>
      </c>
      <c r="K280" s="72">
        <f t="shared" ca="1" si="32"/>
        <v>0</v>
      </c>
      <c r="L280" s="71">
        <f t="shared" si="33"/>
        <v>4</v>
      </c>
    </row>
    <row r="281" spans="1:12" x14ac:dyDescent="0.25">
      <c r="A281" s="134">
        <v>41368</v>
      </c>
      <c r="B281" s="32">
        <v>14090</v>
      </c>
      <c r="C281" s="32">
        <v>0</v>
      </c>
      <c r="D281" s="32">
        <v>72</v>
      </c>
      <c r="E281" s="109">
        <f t="shared" ca="1" si="30"/>
        <v>208.0952380952381</v>
      </c>
      <c r="F281" s="72">
        <f ca="1">SUM(E281:OFFSET(E281,-crLead_Time-crSaf_Time+1,0))</f>
        <v>624.28571428571433</v>
      </c>
      <c r="G281" s="98">
        <f ca="1">IF(F281&gt;=OFFSET(I281,1,0),IF(crFixedLot&gt;0,crFixedLot,(INT(SUM(E281:OFFSET(E281,-Simulation!$B$7+1,0))/crRoundingValue)+1)*crRoundingValue),0)</f>
        <v>0</v>
      </c>
      <c r="H281" s="98">
        <f t="shared" ca="1" si="31"/>
        <v>0</v>
      </c>
      <c r="I281" s="72">
        <f t="shared" ca="1" si="28"/>
        <v>5105</v>
      </c>
      <c r="J281" s="72">
        <f t="shared" ca="1" si="29"/>
        <v>5105</v>
      </c>
      <c r="K281" s="72">
        <f t="shared" ca="1" si="32"/>
        <v>0</v>
      </c>
      <c r="L281" s="71">
        <f t="shared" si="33"/>
        <v>4</v>
      </c>
    </row>
    <row r="282" spans="1:12" x14ac:dyDescent="0.25">
      <c r="A282" s="134">
        <v>41367</v>
      </c>
      <c r="B282" s="32">
        <v>14090</v>
      </c>
      <c r="C282" s="32">
        <v>0</v>
      </c>
      <c r="D282" s="32">
        <v>73</v>
      </c>
      <c r="E282" s="109">
        <f t="shared" ca="1" si="30"/>
        <v>208.0952380952381</v>
      </c>
      <c r="F282" s="72">
        <f ca="1">SUM(E282:OFFSET(E282,-crLead_Time-crSaf_Time+1,0))</f>
        <v>624.28571428571433</v>
      </c>
      <c r="G282" s="98">
        <f ca="1">IF(F282&gt;=OFFSET(I282,1,0),IF(crFixedLot&gt;0,crFixedLot,(INT(SUM(E282:OFFSET(E282,-Simulation!$B$7+1,0))/crRoundingValue)+1)*crRoundingValue),0)</f>
        <v>0</v>
      </c>
      <c r="H282" s="98">
        <f t="shared" ca="1" si="31"/>
        <v>0</v>
      </c>
      <c r="I282" s="72">
        <f t="shared" ca="1" si="28"/>
        <v>5105</v>
      </c>
      <c r="J282" s="72">
        <f t="shared" ca="1" si="29"/>
        <v>5105</v>
      </c>
      <c r="K282" s="72">
        <f t="shared" ca="1" si="32"/>
        <v>0</v>
      </c>
      <c r="L282" s="71">
        <f t="shared" si="33"/>
        <v>4</v>
      </c>
    </row>
    <row r="283" spans="1:12" x14ac:dyDescent="0.25">
      <c r="A283" s="134">
        <v>41366</v>
      </c>
      <c r="B283" s="32">
        <v>14090</v>
      </c>
      <c r="C283" s="32">
        <v>0</v>
      </c>
      <c r="D283" s="32">
        <v>74</v>
      </c>
      <c r="E283" s="109">
        <f t="shared" ca="1" si="30"/>
        <v>208.0952380952381</v>
      </c>
      <c r="F283" s="72">
        <f ca="1">SUM(E283:OFFSET(E283,-crLead_Time-crSaf_Time+1,0))</f>
        <v>624.28571428571433</v>
      </c>
      <c r="G283" s="98">
        <f ca="1">IF(F283&gt;=OFFSET(I283,1,0),IF(crFixedLot&gt;0,crFixedLot,(INT(SUM(E283:OFFSET(E283,-Simulation!$B$7+1,0))/crRoundingValue)+1)*crRoundingValue),0)</f>
        <v>0</v>
      </c>
      <c r="H283" s="98">
        <f t="shared" ca="1" si="31"/>
        <v>0</v>
      </c>
      <c r="I283" s="72">
        <f t="shared" ca="1" si="28"/>
        <v>5105</v>
      </c>
      <c r="J283" s="72">
        <f t="shared" ca="1" si="29"/>
        <v>5105</v>
      </c>
      <c r="K283" s="72">
        <f t="shared" ca="1" si="32"/>
        <v>0</v>
      </c>
      <c r="L283" s="71">
        <f t="shared" si="33"/>
        <v>4</v>
      </c>
    </row>
    <row r="284" spans="1:12" x14ac:dyDescent="0.25">
      <c r="A284" s="134">
        <v>41360</v>
      </c>
      <c r="B284" s="32">
        <v>14090</v>
      </c>
      <c r="C284" s="32">
        <v>0</v>
      </c>
      <c r="D284" s="32">
        <v>75</v>
      </c>
      <c r="E284" s="109">
        <f t="shared" ca="1" si="30"/>
        <v>258.75</v>
      </c>
      <c r="F284" s="72">
        <f ca="1">SUM(E284:OFFSET(E284,-crLead_Time-crSaf_Time+1,0))</f>
        <v>674.94047619047615</v>
      </c>
      <c r="G284" s="98">
        <f ca="1">IF(F284&gt;=OFFSET(I284,1,0),IF(crFixedLot&gt;0,crFixedLot,(INT(SUM(E284:OFFSET(E284,-Simulation!$B$7+1,0))/crRoundingValue)+1)*crRoundingValue),0)</f>
        <v>0</v>
      </c>
      <c r="H284" s="98">
        <f t="shared" ca="1" si="31"/>
        <v>0</v>
      </c>
      <c r="I284" s="72">
        <f t="shared" ca="1" si="28"/>
        <v>5105</v>
      </c>
      <c r="J284" s="72">
        <f t="shared" ca="1" si="29"/>
        <v>5105</v>
      </c>
      <c r="K284" s="72">
        <f t="shared" ca="1" si="32"/>
        <v>0</v>
      </c>
      <c r="L284" s="71">
        <f t="shared" si="33"/>
        <v>3</v>
      </c>
    </row>
    <row r="285" spans="1:12" x14ac:dyDescent="0.25">
      <c r="A285" s="134">
        <v>41359</v>
      </c>
      <c r="B285" s="32">
        <v>14090</v>
      </c>
      <c r="C285" s="32">
        <v>0</v>
      </c>
      <c r="D285" s="32">
        <v>76</v>
      </c>
      <c r="E285" s="109">
        <f t="shared" ca="1" si="30"/>
        <v>258.75</v>
      </c>
      <c r="F285" s="72">
        <f ca="1">SUM(E285:OFFSET(E285,-crLead_Time-crSaf_Time+1,0))</f>
        <v>725.59523809523807</v>
      </c>
      <c r="G285" s="98">
        <f ca="1">IF(F285&gt;=OFFSET(I285,1,0),IF(crFixedLot&gt;0,crFixedLot,(INT(SUM(E285:OFFSET(E285,-Simulation!$B$7+1,0))/crRoundingValue)+1)*crRoundingValue),0)</f>
        <v>0</v>
      </c>
      <c r="H285" s="98">
        <f t="shared" ca="1" si="31"/>
        <v>0</v>
      </c>
      <c r="I285" s="72">
        <f t="shared" ca="1" si="28"/>
        <v>5105</v>
      </c>
      <c r="J285" s="72">
        <f t="shared" ca="1" si="29"/>
        <v>5105</v>
      </c>
      <c r="K285" s="72">
        <f t="shared" ca="1" si="32"/>
        <v>0</v>
      </c>
      <c r="L285" s="71">
        <f t="shared" si="33"/>
        <v>3</v>
      </c>
    </row>
    <row r="286" spans="1:12" x14ac:dyDescent="0.25">
      <c r="A286" s="134">
        <v>41358</v>
      </c>
      <c r="B286" s="32">
        <v>14090</v>
      </c>
      <c r="C286" s="32">
        <v>1150</v>
      </c>
      <c r="D286" s="32">
        <v>77</v>
      </c>
      <c r="E286" s="109">
        <f t="shared" ca="1" si="30"/>
        <v>258.75</v>
      </c>
      <c r="F286" s="72">
        <f ca="1">SUM(E286:OFFSET(E286,-crLead_Time-crSaf_Time+1,0))</f>
        <v>776.25</v>
      </c>
      <c r="G286" s="98">
        <f ca="1">IF(F286&gt;=OFFSET(I286,1,0),IF(crFixedLot&gt;0,crFixedLot,(INT(SUM(E286:OFFSET(E286,-Simulation!$B$7+1,0))/crRoundingValue)+1)*crRoundingValue),0)</f>
        <v>0</v>
      </c>
      <c r="H286" s="98">
        <f t="shared" ca="1" si="31"/>
        <v>0</v>
      </c>
      <c r="I286" s="72">
        <f t="shared" ca="1" si="28"/>
        <v>5105</v>
      </c>
      <c r="J286" s="72">
        <f t="shared" ca="1" si="29"/>
        <v>5105</v>
      </c>
      <c r="K286" s="72">
        <f t="shared" ca="1" si="32"/>
        <v>0</v>
      </c>
      <c r="L286" s="71">
        <f t="shared" si="33"/>
        <v>3</v>
      </c>
    </row>
    <row r="287" spans="1:12" x14ac:dyDescent="0.25">
      <c r="A287" s="134">
        <v>41355</v>
      </c>
      <c r="B287" s="32">
        <v>15240</v>
      </c>
      <c r="C287" s="32">
        <v>230</v>
      </c>
      <c r="D287" s="32">
        <v>78</v>
      </c>
      <c r="E287" s="109">
        <f t="shared" ca="1" si="30"/>
        <v>258.75</v>
      </c>
      <c r="F287" s="72">
        <f ca="1">SUM(E287:OFFSET(E287,-crLead_Time-crSaf_Time+1,0))</f>
        <v>776.25</v>
      </c>
      <c r="G287" s="98">
        <f ca="1">IF(F287&gt;=OFFSET(I287,1,0),IF(crFixedLot&gt;0,crFixedLot,(INT(SUM(E287:OFFSET(E287,-Simulation!$B$7+1,0))/crRoundingValue)+1)*crRoundingValue),0)</f>
        <v>0</v>
      </c>
      <c r="H287" s="98">
        <f t="shared" ca="1" si="31"/>
        <v>0</v>
      </c>
      <c r="I287" s="72">
        <f t="shared" ca="1" si="28"/>
        <v>6255</v>
      </c>
      <c r="J287" s="72">
        <f t="shared" ca="1" si="29"/>
        <v>6255</v>
      </c>
      <c r="K287" s="72">
        <f t="shared" ca="1" si="32"/>
        <v>0</v>
      </c>
      <c r="L287" s="71">
        <f t="shared" si="33"/>
        <v>3</v>
      </c>
    </row>
    <row r="288" spans="1:12" x14ac:dyDescent="0.25">
      <c r="A288" s="134">
        <v>41354</v>
      </c>
      <c r="B288" s="32">
        <v>15470</v>
      </c>
      <c r="C288" s="32">
        <v>0</v>
      </c>
      <c r="D288" s="32">
        <v>79</v>
      </c>
      <c r="E288" s="109">
        <f t="shared" ca="1" si="30"/>
        <v>258.75</v>
      </c>
      <c r="F288" s="72">
        <f ca="1">SUM(E288:OFFSET(E288,-crLead_Time-crSaf_Time+1,0))</f>
        <v>776.25</v>
      </c>
      <c r="G288" s="98">
        <f ca="1">IF(F288&gt;=OFFSET(I288,1,0),IF(crFixedLot&gt;0,crFixedLot,(INT(SUM(E288:OFFSET(E288,-Simulation!$B$7+1,0))/crRoundingValue)+1)*crRoundingValue),0)</f>
        <v>0</v>
      </c>
      <c r="H288" s="98">
        <f t="shared" ca="1" si="31"/>
        <v>0</v>
      </c>
      <c r="I288" s="72">
        <f t="shared" ca="1" si="28"/>
        <v>6485</v>
      </c>
      <c r="J288" s="72">
        <f t="shared" ca="1" si="29"/>
        <v>6485</v>
      </c>
      <c r="K288" s="72">
        <f t="shared" ca="1" si="32"/>
        <v>0</v>
      </c>
      <c r="L288" s="71">
        <f t="shared" si="33"/>
        <v>3</v>
      </c>
    </row>
    <row r="289" spans="1:12" x14ac:dyDescent="0.25">
      <c r="A289" s="134">
        <v>41353</v>
      </c>
      <c r="B289" s="32">
        <v>15470</v>
      </c>
      <c r="C289" s="32">
        <v>1150</v>
      </c>
      <c r="D289" s="32">
        <v>80</v>
      </c>
      <c r="E289" s="109">
        <f t="shared" ca="1" si="30"/>
        <v>258.75</v>
      </c>
      <c r="F289" s="72">
        <f ca="1">SUM(E289:OFFSET(E289,-crLead_Time-crSaf_Time+1,0))</f>
        <v>776.25</v>
      </c>
      <c r="G289" s="98">
        <f ca="1">IF(F289&gt;=OFFSET(I289,1,0),IF(crFixedLot&gt;0,crFixedLot,(INT(SUM(E289:OFFSET(E289,-Simulation!$B$7+1,0))/crRoundingValue)+1)*crRoundingValue),0)</f>
        <v>0</v>
      </c>
      <c r="H289" s="98">
        <f t="shared" ca="1" si="31"/>
        <v>0</v>
      </c>
      <c r="I289" s="72">
        <f t="shared" ca="1" si="28"/>
        <v>6485</v>
      </c>
      <c r="J289" s="72">
        <f t="shared" ca="1" si="29"/>
        <v>6485</v>
      </c>
      <c r="K289" s="72">
        <f t="shared" ca="1" si="32"/>
        <v>0</v>
      </c>
      <c r="L289" s="71">
        <f t="shared" si="33"/>
        <v>3</v>
      </c>
    </row>
    <row r="290" spans="1:12" x14ac:dyDescent="0.25">
      <c r="A290" s="134">
        <v>41352</v>
      </c>
      <c r="B290" s="32">
        <v>16620</v>
      </c>
      <c r="C290" s="32">
        <v>0</v>
      </c>
      <c r="D290" s="32">
        <v>81</v>
      </c>
      <c r="E290" s="109">
        <f t="shared" ca="1" si="30"/>
        <v>258.75</v>
      </c>
      <c r="F290" s="72">
        <f ca="1">SUM(E290:OFFSET(E290,-crLead_Time-crSaf_Time+1,0))</f>
        <v>776.25</v>
      </c>
      <c r="G290" s="98">
        <f ca="1">IF(F290&gt;=OFFSET(I290,1,0),IF(crFixedLot&gt;0,crFixedLot,(INT(SUM(E290:OFFSET(E290,-Simulation!$B$7+1,0))/crRoundingValue)+1)*crRoundingValue),0)</f>
        <v>0</v>
      </c>
      <c r="H290" s="98">
        <f t="shared" ca="1" si="31"/>
        <v>0</v>
      </c>
      <c r="I290" s="72">
        <f t="shared" ca="1" si="28"/>
        <v>7635</v>
      </c>
      <c r="J290" s="72">
        <f t="shared" ca="1" si="29"/>
        <v>7635</v>
      </c>
      <c r="K290" s="72">
        <f t="shared" ca="1" si="32"/>
        <v>0</v>
      </c>
      <c r="L290" s="71">
        <f t="shared" si="33"/>
        <v>3</v>
      </c>
    </row>
    <row r="291" spans="1:12" x14ac:dyDescent="0.25">
      <c r="A291" s="134">
        <v>41351</v>
      </c>
      <c r="B291" s="32">
        <v>16620</v>
      </c>
      <c r="C291" s="32">
        <v>0</v>
      </c>
      <c r="D291" s="32">
        <v>82</v>
      </c>
      <c r="E291" s="109">
        <f t="shared" ca="1" si="30"/>
        <v>258.75</v>
      </c>
      <c r="F291" s="72">
        <f ca="1">SUM(E291:OFFSET(E291,-crLead_Time-crSaf_Time+1,0))</f>
        <v>776.25</v>
      </c>
      <c r="G291" s="98">
        <f ca="1">IF(F291&gt;=OFFSET(I291,1,0),IF(crFixedLot&gt;0,crFixedLot,(INT(SUM(E291:OFFSET(E291,-Simulation!$B$7+1,0))/crRoundingValue)+1)*crRoundingValue),0)</f>
        <v>0</v>
      </c>
      <c r="H291" s="98">
        <f t="shared" ca="1" si="31"/>
        <v>0</v>
      </c>
      <c r="I291" s="72">
        <f t="shared" ca="1" si="28"/>
        <v>7635</v>
      </c>
      <c r="J291" s="72">
        <f t="shared" ca="1" si="29"/>
        <v>7635</v>
      </c>
      <c r="K291" s="72">
        <f t="shared" ca="1" si="32"/>
        <v>0</v>
      </c>
      <c r="L291" s="71">
        <f t="shared" si="33"/>
        <v>3</v>
      </c>
    </row>
    <row r="292" spans="1:12" x14ac:dyDescent="0.25">
      <c r="A292" s="134">
        <v>41348</v>
      </c>
      <c r="B292" s="32">
        <v>16620</v>
      </c>
      <c r="C292" s="32">
        <v>0</v>
      </c>
      <c r="D292" s="32">
        <v>83</v>
      </c>
      <c r="E292" s="109">
        <f t="shared" ca="1" si="30"/>
        <v>258.75</v>
      </c>
      <c r="F292" s="72">
        <f ca="1">SUM(E292:OFFSET(E292,-crLead_Time-crSaf_Time+1,0))</f>
        <v>776.25</v>
      </c>
      <c r="G292" s="98">
        <f ca="1">IF(F292&gt;=OFFSET(I292,1,0),IF(crFixedLot&gt;0,crFixedLot,(INT(SUM(E292:OFFSET(E292,-Simulation!$B$7+1,0))/crRoundingValue)+1)*crRoundingValue),0)</f>
        <v>0</v>
      </c>
      <c r="H292" s="98">
        <f t="shared" ca="1" si="31"/>
        <v>0</v>
      </c>
      <c r="I292" s="72">
        <f t="shared" ca="1" si="28"/>
        <v>7635</v>
      </c>
      <c r="J292" s="72">
        <f t="shared" ca="1" si="29"/>
        <v>7635</v>
      </c>
      <c r="K292" s="72">
        <f t="shared" ca="1" si="32"/>
        <v>0</v>
      </c>
      <c r="L292" s="71">
        <f t="shared" si="33"/>
        <v>3</v>
      </c>
    </row>
    <row r="293" spans="1:12" x14ac:dyDescent="0.25">
      <c r="A293" s="134">
        <v>41347</v>
      </c>
      <c r="B293" s="32">
        <v>16620</v>
      </c>
      <c r="C293" s="32">
        <v>0</v>
      </c>
      <c r="D293" s="32">
        <v>84</v>
      </c>
      <c r="E293" s="109">
        <f t="shared" ca="1" si="30"/>
        <v>258.75</v>
      </c>
      <c r="F293" s="72">
        <f ca="1">SUM(E293:OFFSET(E293,-crLead_Time-crSaf_Time+1,0))</f>
        <v>776.25</v>
      </c>
      <c r="G293" s="98">
        <f ca="1">IF(F293&gt;=OFFSET(I293,1,0),IF(crFixedLot&gt;0,crFixedLot,(INT(SUM(E293:OFFSET(E293,-Simulation!$B$7+1,0))/crRoundingValue)+1)*crRoundingValue),0)</f>
        <v>0</v>
      </c>
      <c r="H293" s="98">
        <f t="shared" ca="1" si="31"/>
        <v>0</v>
      </c>
      <c r="I293" s="72">
        <f t="shared" ca="1" si="28"/>
        <v>7635</v>
      </c>
      <c r="J293" s="72">
        <f t="shared" ca="1" si="29"/>
        <v>7635</v>
      </c>
      <c r="K293" s="72">
        <f t="shared" ca="1" si="32"/>
        <v>0</v>
      </c>
      <c r="L293" s="71">
        <f t="shared" si="33"/>
        <v>3</v>
      </c>
    </row>
    <row r="294" spans="1:12" x14ac:dyDescent="0.25">
      <c r="A294" s="134">
        <v>41346</v>
      </c>
      <c r="B294" s="32">
        <v>16620</v>
      </c>
      <c r="C294" s="32">
        <v>0</v>
      </c>
      <c r="D294" s="32">
        <v>85</v>
      </c>
      <c r="E294" s="109">
        <f t="shared" ca="1" si="30"/>
        <v>258.75</v>
      </c>
      <c r="F294" s="72">
        <f ca="1">SUM(E294:OFFSET(E294,-crLead_Time-crSaf_Time+1,0))</f>
        <v>776.25</v>
      </c>
      <c r="G294" s="98">
        <f ca="1">IF(F294&gt;=OFFSET(I294,1,0),IF(crFixedLot&gt;0,crFixedLot,(INT(SUM(E294:OFFSET(E294,-Simulation!$B$7+1,0))/crRoundingValue)+1)*crRoundingValue),0)</f>
        <v>0</v>
      </c>
      <c r="H294" s="98">
        <f t="shared" ca="1" si="31"/>
        <v>0</v>
      </c>
      <c r="I294" s="72">
        <f t="shared" ca="1" si="28"/>
        <v>7635</v>
      </c>
      <c r="J294" s="72">
        <f t="shared" ca="1" si="29"/>
        <v>7635</v>
      </c>
      <c r="K294" s="72">
        <f t="shared" ca="1" si="32"/>
        <v>0</v>
      </c>
      <c r="L294" s="71">
        <f t="shared" si="33"/>
        <v>3</v>
      </c>
    </row>
    <row r="295" spans="1:12" x14ac:dyDescent="0.25">
      <c r="A295" s="134">
        <v>41345</v>
      </c>
      <c r="B295" s="32">
        <v>16620</v>
      </c>
      <c r="C295" s="32">
        <v>0</v>
      </c>
      <c r="D295" s="32">
        <v>86</v>
      </c>
      <c r="E295" s="109">
        <f t="shared" ca="1" si="30"/>
        <v>258.75</v>
      </c>
      <c r="F295" s="72">
        <f ca="1">SUM(E295:OFFSET(E295,-crLead_Time-crSaf_Time+1,0))</f>
        <v>776.25</v>
      </c>
      <c r="G295" s="98">
        <f ca="1">IF(F295&gt;=OFFSET(I295,1,0),IF(crFixedLot&gt;0,crFixedLot,(INT(SUM(E295:OFFSET(E295,-Simulation!$B$7+1,0))/crRoundingValue)+1)*crRoundingValue),0)</f>
        <v>0</v>
      </c>
      <c r="H295" s="98">
        <f t="shared" ca="1" si="31"/>
        <v>0</v>
      </c>
      <c r="I295" s="72">
        <f t="shared" ca="1" si="28"/>
        <v>7635</v>
      </c>
      <c r="J295" s="72">
        <f t="shared" ca="1" si="29"/>
        <v>7635</v>
      </c>
      <c r="K295" s="72">
        <f t="shared" ca="1" si="32"/>
        <v>0</v>
      </c>
      <c r="L295" s="71">
        <f t="shared" si="33"/>
        <v>3</v>
      </c>
    </row>
    <row r="296" spans="1:12" x14ac:dyDescent="0.25">
      <c r="A296" s="134">
        <v>41344</v>
      </c>
      <c r="B296" s="32">
        <v>3560</v>
      </c>
      <c r="C296" s="32">
        <v>0</v>
      </c>
      <c r="D296" s="32">
        <v>17</v>
      </c>
      <c r="E296" s="109">
        <f t="shared" ca="1" si="30"/>
        <v>258.75</v>
      </c>
      <c r="F296" s="72">
        <f ca="1">SUM(E296:OFFSET(E296,-crLead_Time-crSaf_Time+1,0))</f>
        <v>776.25</v>
      </c>
      <c r="G296" s="98">
        <f ca="1">IF(F296&gt;=OFFSET(I296,1,0),IF(crFixedLot&gt;0,crFixedLot,(INT(SUM(E296:OFFSET(E296,-Simulation!$B$7+1,0))/crRoundingValue)+1)*crRoundingValue),0)</f>
        <v>0</v>
      </c>
      <c r="H296" s="98">
        <f t="shared" ca="1" si="31"/>
        <v>0</v>
      </c>
      <c r="I296" s="72">
        <f t="shared" ca="1" si="28"/>
        <v>7635</v>
      </c>
      <c r="J296" s="72">
        <f t="shared" ca="1" si="29"/>
        <v>7635</v>
      </c>
      <c r="K296" s="72">
        <f t="shared" ca="1" si="32"/>
        <v>0</v>
      </c>
      <c r="L296" s="71">
        <f t="shared" si="33"/>
        <v>3</v>
      </c>
    </row>
    <row r="297" spans="1:12" x14ac:dyDescent="0.25">
      <c r="A297" s="134">
        <v>41341</v>
      </c>
      <c r="B297" s="32">
        <v>3560</v>
      </c>
      <c r="C297" s="32">
        <v>0</v>
      </c>
      <c r="D297" s="32">
        <v>18</v>
      </c>
      <c r="E297" s="109">
        <f t="shared" ca="1" si="30"/>
        <v>258.75</v>
      </c>
      <c r="F297" s="72">
        <f ca="1">SUM(E297:OFFSET(E297,-crLead_Time-crSaf_Time+1,0))</f>
        <v>776.25</v>
      </c>
      <c r="G297" s="98">
        <f ca="1">IF(F297&gt;=OFFSET(I297,1,0),IF(crFixedLot&gt;0,crFixedLot,(INT(SUM(E297:OFFSET(E297,-Simulation!$B$7+1,0))/crRoundingValue)+1)*crRoundingValue),0)</f>
        <v>0</v>
      </c>
      <c r="H297" s="98">
        <f t="shared" ca="1" si="31"/>
        <v>0</v>
      </c>
      <c r="I297" s="72">
        <f t="shared" ca="1" si="28"/>
        <v>7635</v>
      </c>
      <c r="J297" s="72">
        <f t="shared" ca="1" si="29"/>
        <v>7635</v>
      </c>
      <c r="K297" s="72">
        <f t="shared" ca="1" si="32"/>
        <v>0</v>
      </c>
      <c r="L297" s="71">
        <f t="shared" si="33"/>
        <v>3</v>
      </c>
    </row>
    <row r="298" spans="1:12" x14ac:dyDescent="0.25">
      <c r="A298" s="134">
        <v>41340</v>
      </c>
      <c r="B298" s="32">
        <v>3560</v>
      </c>
      <c r="C298" s="32">
        <v>1150</v>
      </c>
      <c r="D298" s="32">
        <v>19</v>
      </c>
      <c r="E298" s="109">
        <f t="shared" ca="1" si="30"/>
        <v>258.75</v>
      </c>
      <c r="F298" s="72">
        <f ca="1">SUM(E298:OFFSET(E298,-crLead_Time-crSaf_Time+1,0))</f>
        <v>776.25</v>
      </c>
      <c r="G298" s="98">
        <f ca="1">IF(F298&gt;=OFFSET(I298,1,0),IF(crFixedLot&gt;0,crFixedLot,(INT(SUM(E298:OFFSET(E298,-Simulation!$B$7+1,0))/crRoundingValue)+1)*crRoundingValue),0)</f>
        <v>0</v>
      </c>
      <c r="H298" s="98">
        <f t="shared" ca="1" si="31"/>
        <v>0</v>
      </c>
      <c r="I298" s="72">
        <f t="shared" ca="1" si="28"/>
        <v>7635</v>
      </c>
      <c r="J298" s="72">
        <f t="shared" ca="1" si="29"/>
        <v>7635</v>
      </c>
      <c r="K298" s="72">
        <f t="shared" ca="1" si="32"/>
        <v>0</v>
      </c>
      <c r="L298" s="71">
        <f t="shared" si="33"/>
        <v>3</v>
      </c>
    </row>
    <row r="299" spans="1:12" x14ac:dyDescent="0.25">
      <c r="A299" s="134">
        <v>41339</v>
      </c>
      <c r="B299" s="32">
        <v>4710</v>
      </c>
      <c r="C299" s="32">
        <v>0</v>
      </c>
      <c r="D299" s="32">
        <v>20</v>
      </c>
      <c r="E299" s="109">
        <f t="shared" ca="1" si="30"/>
        <v>258.75</v>
      </c>
      <c r="F299" s="72">
        <f ca="1">SUM(E299:OFFSET(E299,-crLead_Time-crSaf_Time+1,0))</f>
        <v>776.25</v>
      </c>
      <c r="G299" s="98">
        <f ca="1">IF(F299&gt;=OFFSET(I299,1,0),IF(crFixedLot&gt;0,crFixedLot,(INT(SUM(E299:OFFSET(E299,-Simulation!$B$7+1,0))/crRoundingValue)+1)*crRoundingValue),0)</f>
        <v>0</v>
      </c>
      <c r="H299" s="98">
        <f t="shared" ca="1" si="31"/>
        <v>0</v>
      </c>
      <c r="I299" s="72">
        <f t="shared" ca="1" si="28"/>
        <v>8785</v>
      </c>
      <c r="J299" s="72">
        <f t="shared" ca="1" si="29"/>
        <v>8785</v>
      </c>
      <c r="K299" s="72">
        <f t="shared" ca="1" si="32"/>
        <v>0</v>
      </c>
      <c r="L299" s="71">
        <f t="shared" si="33"/>
        <v>3</v>
      </c>
    </row>
    <row r="300" spans="1:12" x14ac:dyDescent="0.25">
      <c r="A300" s="134">
        <v>41338</v>
      </c>
      <c r="B300" s="32">
        <v>4710</v>
      </c>
      <c r="C300" s="32">
        <v>0</v>
      </c>
      <c r="D300" s="32">
        <v>21</v>
      </c>
      <c r="E300" s="109">
        <f t="shared" ca="1" si="30"/>
        <v>258.75</v>
      </c>
      <c r="F300" s="72">
        <f ca="1">SUM(E300:OFFSET(E300,-crLead_Time-crSaf_Time+1,0))</f>
        <v>776.25</v>
      </c>
      <c r="G300" s="98">
        <f ca="1">IF(F300&gt;=OFFSET(I300,1,0),IF(crFixedLot&gt;0,crFixedLot,(INT(SUM(E300:OFFSET(E300,-Simulation!$B$7+1,0))/crRoundingValue)+1)*crRoundingValue),0)</f>
        <v>0</v>
      </c>
      <c r="H300" s="98">
        <f t="shared" ca="1" si="31"/>
        <v>0</v>
      </c>
      <c r="I300" s="72">
        <f t="shared" ref="I300:I363" ca="1" si="34">OFFSET(I300,1,0)-C300+G300</f>
        <v>8785</v>
      </c>
      <c r="J300" s="72">
        <f t="shared" ref="J300:J363" ca="1" si="35">OFFSET(J300,1,0)-C300+H300</f>
        <v>8785</v>
      </c>
      <c r="K300" s="72">
        <f t="shared" ca="1" si="32"/>
        <v>0</v>
      </c>
      <c r="L300" s="71">
        <f t="shared" si="33"/>
        <v>3</v>
      </c>
    </row>
    <row r="301" spans="1:12" x14ac:dyDescent="0.25">
      <c r="A301" s="134">
        <v>41337</v>
      </c>
      <c r="B301" s="32">
        <v>4710</v>
      </c>
      <c r="C301" s="32">
        <v>0</v>
      </c>
      <c r="D301" s="32">
        <v>22</v>
      </c>
      <c r="E301" s="109">
        <f t="shared" ca="1" si="30"/>
        <v>258.75</v>
      </c>
      <c r="F301" s="72">
        <f ca="1">SUM(E301:OFFSET(E301,-crLead_Time-crSaf_Time+1,0))</f>
        <v>776.25</v>
      </c>
      <c r="G301" s="98">
        <f ca="1">IF(F301&gt;=OFFSET(I301,1,0),IF(crFixedLot&gt;0,crFixedLot,(INT(SUM(E301:OFFSET(E301,-Simulation!$B$7+1,0))/crRoundingValue)+1)*crRoundingValue),0)</f>
        <v>0</v>
      </c>
      <c r="H301" s="98">
        <f t="shared" ca="1" si="31"/>
        <v>0</v>
      </c>
      <c r="I301" s="72">
        <f t="shared" ca="1" si="34"/>
        <v>8785</v>
      </c>
      <c r="J301" s="72">
        <f t="shared" ca="1" si="35"/>
        <v>8785</v>
      </c>
      <c r="K301" s="72">
        <f t="shared" ca="1" si="32"/>
        <v>0</v>
      </c>
      <c r="L301" s="71">
        <f t="shared" si="33"/>
        <v>3</v>
      </c>
    </row>
    <row r="302" spans="1:12" x14ac:dyDescent="0.25">
      <c r="A302" s="134">
        <v>41334</v>
      </c>
      <c r="B302" s="32">
        <v>4710</v>
      </c>
      <c r="C302" s="32">
        <v>20</v>
      </c>
      <c r="D302" s="32">
        <v>23</v>
      </c>
      <c r="E302" s="109">
        <f t="shared" ca="1" si="30"/>
        <v>258.75</v>
      </c>
      <c r="F302" s="72">
        <f ca="1">SUM(E302:OFFSET(E302,-crLead_Time-crSaf_Time+1,0))</f>
        <v>776.25</v>
      </c>
      <c r="G302" s="98">
        <f ca="1">IF(F302&gt;=OFFSET(I302,1,0),IF(crFixedLot&gt;0,crFixedLot,(INT(SUM(E302:OFFSET(E302,-Simulation!$B$7+1,0))/crRoundingValue)+1)*crRoundingValue),0)</f>
        <v>0</v>
      </c>
      <c r="H302" s="98">
        <f t="shared" ca="1" si="31"/>
        <v>0</v>
      </c>
      <c r="I302" s="72">
        <f t="shared" ca="1" si="34"/>
        <v>8785</v>
      </c>
      <c r="J302" s="72">
        <f t="shared" ca="1" si="35"/>
        <v>8785</v>
      </c>
      <c r="K302" s="72">
        <f t="shared" ca="1" si="32"/>
        <v>0</v>
      </c>
      <c r="L302" s="71">
        <f t="shared" si="33"/>
        <v>3</v>
      </c>
    </row>
    <row r="303" spans="1:12" x14ac:dyDescent="0.25">
      <c r="A303" s="134">
        <v>41333</v>
      </c>
      <c r="B303" s="32">
        <v>4730</v>
      </c>
      <c r="C303" s="32">
        <v>0</v>
      </c>
      <c r="D303" s="32">
        <v>24</v>
      </c>
      <c r="E303" s="109">
        <f t="shared" ca="1" si="30"/>
        <v>126.5</v>
      </c>
      <c r="F303" s="72">
        <f ca="1">SUM(E303:OFFSET(E303,-crLead_Time-crSaf_Time+1,0))</f>
        <v>644</v>
      </c>
      <c r="G303" s="98">
        <f ca="1">IF(F303&gt;=OFFSET(I303,1,0),IF(crFixedLot&gt;0,crFixedLot,(INT(SUM(E303:OFFSET(E303,-Simulation!$B$7+1,0))/crRoundingValue)+1)*crRoundingValue),0)</f>
        <v>0</v>
      </c>
      <c r="H303" s="98">
        <f t="shared" ca="1" si="31"/>
        <v>0</v>
      </c>
      <c r="I303" s="72">
        <f t="shared" ca="1" si="34"/>
        <v>8805</v>
      </c>
      <c r="J303" s="72">
        <f t="shared" ca="1" si="35"/>
        <v>8805</v>
      </c>
      <c r="K303" s="72">
        <f t="shared" ca="1" si="32"/>
        <v>0</v>
      </c>
      <c r="L303" s="71">
        <f t="shared" si="33"/>
        <v>2</v>
      </c>
    </row>
    <row r="304" spans="1:12" x14ac:dyDescent="0.25">
      <c r="A304" s="134">
        <v>41332</v>
      </c>
      <c r="B304" s="32">
        <v>4730</v>
      </c>
      <c r="C304" s="32">
        <v>230</v>
      </c>
      <c r="D304" s="32">
        <v>25</v>
      </c>
      <c r="E304" s="109">
        <f t="shared" ca="1" si="30"/>
        <v>126.5</v>
      </c>
      <c r="F304" s="72">
        <f ca="1">SUM(E304:OFFSET(E304,-crLead_Time-crSaf_Time+1,0))</f>
        <v>511.75</v>
      </c>
      <c r="G304" s="98">
        <f ca="1">IF(F304&gt;=OFFSET(I304,1,0),IF(crFixedLot&gt;0,crFixedLot,(INT(SUM(E304:OFFSET(E304,-Simulation!$B$7+1,0))/crRoundingValue)+1)*crRoundingValue),0)</f>
        <v>10266</v>
      </c>
      <c r="H304" s="98">
        <f t="shared" ca="1" si="31"/>
        <v>10266</v>
      </c>
      <c r="I304" s="72">
        <f t="shared" ca="1" si="34"/>
        <v>8805</v>
      </c>
      <c r="J304" s="72">
        <f t="shared" ca="1" si="35"/>
        <v>8805</v>
      </c>
      <c r="K304" s="72">
        <f t="shared" ca="1" si="32"/>
        <v>0</v>
      </c>
      <c r="L304" s="71">
        <f t="shared" si="33"/>
        <v>2</v>
      </c>
    </row>
    <row r="305" spans="1:12" x14ac:dyDescent="0.25">
      <c r="A305" s="134">
        <v>41331</v>
      </c>
      <c r="B305" s="32">
        <v>4960</v>
      </c>
      <c r="C305" s="32">
        <v>3450</v>
      </c>
      <c r="D305" s="32">
        <v>26</v>
      </c>
      <c r="E305" s="109">
        <f t="shared" ca="1" si="30"/>
        <v>126.5</v>
      </c>
      <c r="F305" s="72">
        <f ca="1">SUM(E305:OFFSET(E305,-crLead_Time-crSaf_Time+1,0))</f>
        <v>379.5</v>
      </c>
      <c r="G305" s="98">
        <f ca="1">IF(F305&gt;=OFFSET(I305,1,0),IF(crFixedLot&gt;0,crFixedLot,(INT(SUM(E305:OFFSET(E305,-Simulation!$B$7+1,0))/crRoundingValue)+1)*crRoundingValue),0)</f>
        <v>0</v>
      </c>
      <c r="H305" s="98">
        <f t="shared" ca="1" si="31"/>
        <v>0</v>
      </c>
      <c r="I305" s="72">
        <f t="shared" ca="1" si="34"/>
        <v>-1231</v>
      </c>
      <c r="J305" s="72">
        <f t="shared" ca="1" si="35"/>
        <v>-1231</v>
      </c>
      <c r="K305" s="72">
        <f t="shared" ca="1" si="32"/>
        <v>-1231</v>
      </c>
      <c r="L305" s="71">
        <f t="shared" si="33"/>
        <v>2</v>
      </c>
    </row>
    <row r="306" spans="1:12" x14ac:dyDescent="0.25">
      <c r="A306" s="134">
        <v>41330</v>
      </c>
      <c r="B306" s="32">
        <v>8410</v>
      </c>
      <c r="C306" s="32">
        <v>1150</v>
      </c>
      <c r="D306" s="32">
        <v>27</v>
      </c>
      <c r="E306" s="109">
        <f t="shared" ca="1" si="30"/>
        <v>126.5</v>
      </c>
      <c r="F306" s="72">
        <f ca="1">SUM(E306:OFFSET(E306,-crLead_Time-crSaf_Time+1,0))</f>
        <v>379.5</v>
      </c>
      <c r="G306" s="98">
        <f ca="1">IF(F306&gt;=OFFSET(I306,1,0),IF(crFixedLot&gt;0,crFixedLot,(INT(SUM(E306:OFFSET(E306,-Simulation!$B$7+1,0))/crRoundingValue)+1)*crRoundingValue),0)</f>
        <v>0</v>
      </c>
      <c r="H306" s="98">
        <f t="shared" ca="1" si="31"/>
        <v>0</v>
      </c>
      <c r="I306" s="72">
        <f t="shared" ca="1" si="34"/>
        <v>2219</v>
      </c>
      <c r="J306" s="72">
        <f t="shared" ca="1" si="35"/>
        <v>2219</v>
      </c>
      <c r="K306" s="72">
        <f t="shared" ca="1" si="32"/>
        <v>0</v>
      </c>
      <c r="L306" s="71">
        <f t="shared" si="33"/>
        <v>2</v>
      </c>
    </row>
    <row r="307" spans="1:12" x14ac:dyDescent="0.25">
      <c r="A307" s="134">
        <v>41327</v>
      </c>
      <c r="B307" s="32">
        <v>9560</v>
      </c>
      <c r="C307" s="32">
        <v>0</v>
      </c>
      <c r="D307" s="32">
        <v>28</v>
      </c>
      <c r="E307" s="109">
        <f t="shared" ca="1" si="30"/>
        <v>126.5</v>
      </c>
      <c r="F307" s="72">
        <f ca="1">SUM(E307:OFFSET(E307,-crLead_Time-crSaf_Time+1,0))</f>
        <v>379.5</v>
      </c>
      <c r="G307" s="98">
        <f ca="1">IF(F307&gt;=OFFSET(I307,1,0),IF(crFixedLot&gt;0,crFixedLot,(INT(SUM(E307:OFFSET(E307,-Simulation!$B$7+1,0))/crRoundingValue)+1)*crRoundingValue),0)</f>
        <v>0</v>
      </c>
      <c r="H307" s="98">
        <f t="shared" ca="1" si="31"/>
        <v>0</v>
      </c>
      <c r="I307" s="72">
        <f t="shared" ca="1" si="34"/>
        <v>3369</v>
      </c>
      <c r="J307" s="72">
        <f t="shared" ca="1" si="35"/>
        <v>3369</v>
      </c>
      <c r="K307" s="72">
        <f t="shared" ca="1" si="32"/>
        <v>0</v>
      </c>
      <c r="L307" s="71">
        <f t="shared" si="33"/>
        <v>2</v>
      </c>
    </row>
    <row r="308" spans="1:12" x14ac:dyDescent="0.25">
      <c r="A308" s="134">
        <v>41326</v>
      </c>
      <c r="B308" s="32">
        <v>9560</v>
      </c>
      <c r="C308" s="32">
        <v>2400</v>
      </c>
      <c r="D308" s="32">
        <v>29</v>
      </c>
      <c r="E308" s="109">
        <f t="shared" ca="1" si="30"/>
        <v>126.5</v>
      </c>
      <c r="F308" s="72">
        <f ca="1">SUM(E308:OFFSET(E308,-crLead_Time-crSaf_Time+1,0))</f>
        <v>379.5</v>
      </c>
      <c r="G308" s="98">
        <f ca="1">IF(F308&gt;=OFFSET(I308,1,0),IF(crFixedLot&gt;0,crFixedLot,(INT(SUM(E308:OFFSET(E308,-Simulation!$B$7+1,0))/crRoundingValue)+1)*crRoundingValue),0)</f>
        <v>0</v>
      </c>
      <c r="H308" s="98">
        <f t="shared" ca="1" si="31"/>
        <v>0</v>
      </c>
      <c r="I308" s="72">
        <f t="shared" ca="1" si="34"/>
        <v>3369</v>
      </c>
      <c r="J308" s="72">
        <f t="shared" ca="1" si="35"/>
        <v>3369</v>
      </c>
      <c r="K308" s="72">
        <f t="shared" ca="1" si="32"/>
        <v>0</v>
      </c>
      <c r="L308" s="71">
        <f t="shared" si="33"/>
        <v>2</v>
      </c>
    </row>
    <row r="309" spans="1:12" x14ac:dyDescent="0.25">
      <c r="A309" s="134">
        <v>41325</v>
      </c>
      <c r="B309" s="32">
        <v>11960</v>
      </c>
      <c r="C309" s="32">
        <v>1150</v>
      </c>
      <c r="D309" s="32">
        <v>30</v>
      </c>
      <c r="E309" s="109">
        <f t="shared" ca="1" si="30"/>
        <v>126.5</v>
      </c>
      <c r="F309" s="72">
        <f ca="1">SUM(E309:OFFSET(E309,-crLead_Time-crSaf_Time+1,0))</f>
        <v>379.5</v>
      </c>
      <c r="G309" s="98">
        <f ca="1">IF(F309&gt;=OFFSET(I309,1,0),IF(crFixedLot&gt;0,crFixedLot,(INT(SUM(E309:OFFSET(E309,-Simulation!$B$7+1,0))/crRoundingValue)+1)*crRoundingValue),0)</f>
        <v>0</v>
      </c>
      <c r="H309" s="98">
        <f t="shared" ca="1" si="31"/>
        <v>0</v>
      </c>
      <c r="I309" s="72">
        <f t="shared" ca="1" si="34"/>
        <v>5769</v>
      </c>
      <c r="J309" s="72">
        <f t="shared" ca="1" si="35"/>
        <v>5769</v>
      </c>
      <c r="K309" s="72">
        <f t="shared" ca="1" si="32"/>
        <v>0</v>
      </c>
      <c r="L309" s="71">
        <f t="shared" si="33"/>
        <v>2</v>
      </c>
    </row>
    <row r="310" spans="1:12" x14ac:dyDescent="0.25">
      <c r="A310" s="134">
        <v>41324</v>
      </c>
      <c r="B310" s="32">
        <v>13110</v>
      </c>
      <c r="C310" s="32">
        <v>0</v>
      </c>
      <c r="D310" s="32">
        <v>31</v>
      </c>
      <c r="E310" s="109">
        <f t="shared" ca="1" si="30"/>
        <v>126.5</v>
      </c>
      <c r="F310" s="72">
        <f ca="1">SUM(E310:OFFSET(E310,-crLead_Time-crSaf_Time+1,0))</f>
        <v>379.5</v>
      </c>
      <c r="G310" s="98">
        <f ca="1">IF(F310&gt;=OFFSET(I310,1,0),IF(crFixedLot&gt;0,crFixedLot,(INT(SUM(E310:OFFSET(E310,-Simulation!$B$7+1,0))/crRoundingValue)+1)*crRoundingValue),0)</f>
        <v>0</v>
      </c>
      <c r="H310" s="98">
        <f t="shared" ca="1" si="31"/>
        <v>0</v>
      </c>
      <c r="I310" s="72">
        <f t="shared" ca="1" si="34"/>
        <v>6919</v>
      </c>
      <c r="J310" s="72">
        <f t="shared" ca="1" si="35"/>
        <v>6919</v>
      </c>
      <c r="K310" s="72">
        <f t="shared" ca="1" si="32"/>
        <v>0</v>
      </c>
      <c r="L310" s="71">
        <f t="shared" si="33"/>
        <v>2</v>
      </c>
    </row>
    <row r="311" spans="1:12" x14ac:dyDescent="0.25">
      <c r="A311" s="134">
        <v>41323</v>
      </c>
      <c r="B311" s="32">
        <v>13110</v>
      </c>
      <c r="C311" s="32">
        <v>0</v>
      </c>
      <c r="D311" s="32">
        <v>32</v>
      </c>
      <c r="E311" s="109">
        <f t="shared" ca="1" si="30"/>
        <v>126.5</v>
      </c>
      <c r="F311" s="72">
        <f ca="1">SUM(E311:OFFSET(E311,-crLead_Time-crSaf_Time+1,0))</f>
        <v>379.5</v>
      </c>
      <c r="G311" s="98">
        <f ca="1">IF(F311&gt;=OFFSET(I311,1,0),IF(crFixedLot&gt;0,crFixedLot,(INT(SUM(E311:OFFSET(E311,-Simulation!$B$7+1,0))/crRoundingValue)+1)*crRoundingValue),0)</f>
        <v>0</v>
      </c>
      <c r="H311" s="98">
        <f t="shared" ca="1" si="31"/>
        <v>0</v>
      </c>
      <c r="I311" s="72">
        <f t="shared" ca="1" si="34"/>
        <v>6919</v>
      </c>
      <c r="J311" s="72">
        <f t="shared" ca="1" si="35"/>
        <v>6919</v>
      </c>
      <c r="K311" s="72">
        <f t="shared" ca="1" si="32"/>
        <v>0</v>
      </c>
      <c r="L311" s="71">
        <f t="shared" si="33"/>
        <v>2</v>
      </c>
    </row>
    <row r="312" spans="1:12" x14ac:dyDescent="0.25">
      <c r="A312" s="134">
        <v>41320</v>
      </c>
      <c r="B312" s="32">
        <v>13110</v>
      </c>
      <c r="C312" s="32">
        <v>230</v>
      </c>
      <c r="D312" s="32">
        <v>33</v>
      </c>
      <c r="E312" s="109">
        <f t="shared" ca="1" si="30"/>
        <v>126.5</v>
      </c>
      <c r="F312" s="72">
        <f ca="1">SUM(E312:OFFSET(E312,-crLead_Time-crSaf_Time+1,0))</f>
        <v>379.5</v>
      </c>
      <c r="G312" s="98">
        <f ca="1">IF(F312&gt;=OFFSET(I312,1,0),IF(crFixedLot&gt;0,crFixedLot,(INT(SUM(E312:OFFSET(E312,-Simulation!$B$7+1,0))/crRoundingValue)+1)*crRoundingValue),0)</f>
        <v>0</v>
      </c>
      <c r="H312" s="98">
        <f t="shared" ca="1" si="31"/>
        <v>0</v>
      </c>
      <c r="I312" s="72">
        <f t="shared" ca="1" si="34"/>
        <v>6919</v>
      </c>
      <c r="J312" s="72">
        <f t="shared" ca="1" si="35"/>
        <v>6919</v>
      </c>
      <c r="K312" s="72">
        <f t="shared" ca="1" si="32"/>
        <v>0</v>
      </c>
      <c r="L312" s="71">
        <f t="shared" si="33"/>
        <v>2</v>
      </c>
    </row>
    <row r="313" spans="1:12" x14ac:dyDescent="0.25">
      <c r="A313" s="134">
        <v>41319</v>
      </c>
      <c r="B313" s="32">
        <v>13340</v>
      </c>
      <c r="C313" s="32">
        <v>0</v>
      </c>
      <c r="D313" s="32">
        <v>34</v>
      </c>
      <c r="E313" s="109">
        <f t="shared" ca="1" si="30"/>
        <v>126.5</v>
      </c>
      <c r="F313" s="72">
        <f ca="1">SUM(E313:OFFSET(E313,-crLead_Time-crSaf_Time+1,0))</f>
        <v>379.5</v>
      </c>
      <c r="G313" s="98">
        <f ca="1">IF(F313&gt;=OFFSET(I313,1,0),IF(crFixedLot&gt;0,crFixedLot,(INT(SUM(E313:OFFSET(E313,-Simulation!$B$7+1,0))/crRoundingValue)+1)*crRoundingValue),0)</f>
        <v>0</v>
      </c>
      <c r="H313" s="98">
        <f t="shared" ca="1" si="31"/>
        <v>0</v>
      </c>
      <c r="I313" s="72">
        <f t="shared" ca="1" si="34"/>
        <v>7149</v>
      </c>
      <c r="J313" s="72">
        <f t="shared" ca="1" si="35"/>
        <v>7149</v>
      </c>
      <c r="K313" s="72">
        <f t="shared" ca="1" si="32"/>
        <v>0</v>
      </c>
      <c r="L313" s="71">
        <f t="shared" si="33"/>
        <v>2</v>
      </c>
    </row>
    <row r="314" spans="1:12" x14ac:dyDescent="0.25">
      <c r="A314" s="134">
        <v>41318</v>
      </c>
      <c r="B314" s="32">
        <v>13340</v>
      </c>
      <c r="C314" s="32">
        <v>0</v>
      </c>
      <c r="D314" s="32">
        <v>35</v>
      </c>
      <c r="E314" s="109">
        <f t="shared" ca="1" si="30"/>
        <v>126.5</v>
      </c>
      <c r="F314" s="72">
        <f ca="1">SUM(E314:OFFSET(E314,-crLead_Time-crSaf_Time+1,0))</f>
        <v>379.5</v>
      </c>
      <c r="G314" s="98">
        <f ca="1">IF(F314&gt;=OFFSET(I314,1,0),IF(crFixedLot&gt;0,crFixedLot,(INT(SUM(E314:OFFSET(E314,-Simulation!$B$7+1,0))/crRoundingValue)+1)*crRoundingValue),0)</f>
        <v>0</v>
      </c>
      <c r="H314" s="98">
        <f t="shared" ca="1" si="31"/>
        <v>0</v>
      </c>
      <c r="I314" s="72">
        <f t="shared" ca="1" si="34"/>
        <v>7149</v>
      </c>
      <c r="J314" s="72">
        <f t="shared" ca="1" si="35"/>
        <v>7149</v>
      </c>
      <c r="K314" s="72">
        <f t="shared" ca="1" si="32"/>
        <v>0</v>
      </c>
      <c r="L314" s="71">
        <f t="shared" si="33"/>
        <v>2</v>
      </c>
    </row>
    <row r="315" spans="1:12" x14ac:dyDescent="0.25">
      <c r="A315" s="134">
        <v>41317</v>
      </c>
      <c r="B315" s="32">
        <v>13340</v>
      </c>
      <c r="C315" s="32">
        <v>690</v>
      </c>
      <c r="D315" s="32">
        <v>36</v>
      </c>
      <c r="E315" s="109">
        <f t="shared" ca="1" si="30"/>
        <v>126.5</v>
      </c>
      <c r="F315" s="72">
        <f ca="1">SUM(E315:OFFSET(E315,-crLead_Time-crSaf_Time+1,0))</f>
        <v>379.5</v>
      </c>
      <c r="G315" s="98">
        <f ca="1">IF(F315&gt;=OFFSET(I315,1,0),IF(crFixedLot&gt;0,crFixedLot,(INT(SUM(E315:OFFSET(E315,-Simulation!$B$7+1,0))/crRoundingValue)+1)*crRoundingValue),0)</f>
        <v>0</v>
      </c>
      <c r="H315" s="98">
        <f t="shared" ca="1" si="31"/>
        <v>0</v>
      </c>
      <c r="I315" s="72">
        <f t="shared" ca="1" si="34"/>
        <v>7149</v>
      </c>
      <c r="J315" s="72">
        <f t="shared" ca="1" si="35"/>
        <v>7149</v>
      </c>
      <c r="K315" s="72">
        <f t="shared" ca="1" si="32"/>
        <v>0</v>
      </c>
      <c r="L315" s="71">
        <f t="shared" si="33"/>
        <v>2</v>
      </c>
    </row>
    <row r="316" spans="1:12" x14ac:dyDescent="0.25">
      <c r="A316" s="134">
        <v>41316</v>
      </c>
      <c r="B316" s="32">
        <v>14030</v>
      </c>
      <c r="C316" s="32">
        <v>0</v>
      </c>
      <c r="D316" s="32">
        <v>37</v>
      </c>
      <c r="E316" s="109">
        <f t="shared" ca="1" si="30"/>
        <v>126.5</v>
      </c>
      <c r="F316" s="72">
        <f ca="1">SUM(E316:OFFSET(E316,-crLead_Time-crSaf_Time+1,0))</f>
        <v>379.5</v>
      </c>
      <c r="G316" s="98">
        <f ca="1">IF(F316&gt;=OFFSET(I316,1,0),IF(crFixedLot&gt;0,crFixedLot,(INT(SUM(E316:OFFSET(E316,-Simulation!$B$7+1,0))/crRoundingValue)+1)*crRoundingValue),0)</f>
        <v>0</v>
      </c>
      <c r="H316" s="98">
        <f t="shared" ca="1" si="31"/>
        <v>0</v>
      </c>
      <c r="I316" s="72">
        <f t="shared" ca="1" si="34"/>
        <v>7839</v>
      </c>
      <c r="J316" s="72">
        <f t="shared" ca="1" si="35"/>
        <v>7839</v>
      </c>
      <c r="K316" s="72">
        <f t="shared" ca="1" si="32"/>
        <v>0</v>
      </c>
      <c r="L316" s="71">
        <f t="shared" si="33"/>
        <v>2</v>
      </c>
    </row>
    <row r="317" spans="1:12" x14ac:dyDescent="0.25">
      <c r="A317" s="134">
        <v>41313</v>
      </c>
      <c r="B317" s="32">
        <v>14030</v>
      </c>
      <c r="C317" s="32">
        <v>0</v>
      </c>
      <c r="D317" s="32">
        <v>38</v>
      </c>
      <c r="E317" s="109">
        <f t="shared" ca="1" si="30"/>
        <v>126.5</v>
      </c>
      <c r="F317" s="72">
        <f ca="1">SUM(E317:OFFSET(E317,-crLead_Time-crSaf_Time+1,0))</f>
        <v>379.5</v>
      </c>
      <c r="G317" s="98">
        <f ca="1">IF(F317&gt;=OFFSET(I317,1,0),IF(crFixedLot&gt;0,crFixedLot,(INT(SUM(E317:OFFSET(E317,-Simulation!$B$7+1,0))/crRoundingValue)+1)*crRoundingValue),0)</f>
        <v>0</v>
      </c>
      <c r="H317" s="98">
        <f t="shared" ca="1" si="31"/>
        <v>0</v>
      </c>
      <c r="I317" s="72">
        <f t="shared" ca="1" si="34"/>
        <v>7839</v>
      </c>
      <c r="J317" s="72">
        <f t="shared" ca="1" si="35"/>
        <v>7839</v>
      </c>
      <c r="K317" s="72">
        <f t="shared" ca="1" si="32"/>
        <v>0</v>
      </c>
      <c r="L317" s="71">
        <f t="shared" si="33"/>
        <v>2</v>
      </c>
    </row>
    <row r="318" spans="1:12" x14ac:dyDescent="0.25">
      <c r="A318" s="134">
        <v>41312</v>
      </c>
      <c r="B318" s="32">
        <v>14030</v>
      </c>
      <c r="C318" s="32">
        <v>1150</v>
      </c>
      <c r="D318" s="32">
        <v>39</v>
      </c>
      <c r="E318" s="109">
        <f t="shared" ca="1" si="30"/>
        <v>126.5</v>
      </c>
      <c r="F318" s="72">
        <f ca="1">SUM(E318:OFFSET(E318,-crLead_Time-crSaf_Time+1,0))</f>
        <v>379.5</v>
      </c>
      <c r="G318" s="98">
        <f ca="1">IF(F318&gt;=OFFSET(I318,1,0),IF(crFixedLot&gt;0,crFixedLot,(INT(SUM(E318:OFFSET(E318,-Simulation!$B$7+1,0))/crRoundingValue)+1)*crRoundingValue),0)</f>
        <v>9022</v>
      </c>
      <c r="H318" s="98">
        <f t="shared" ca="1" si="31"/>
        <v>9022</v>
      </c>
      <c r="I318" s="72">
        <f t="shared" ca="1" si="34"/>
        <v>7839</v>
      </c>
      <c r="J318" s="72">
        <f t="shared" ca="1" si="35"/>
        <v>7839</v>
      </c>
      <c r="K318" s="72">
        <f t="shared" ca="1" si="32"/>
        <v>0</v>
      </c>
      <c r="L318" s="71">
        <f t="shared" si="33"/>
        <v>2</v>
      </c>
    </row>
    <row r="319" spans="1:12" x14ac:dyDescent="0.25">
      <c r="A319" s="134">
        <v>41311</v>
      </c>
      <c r="B319" s="32">
        <v>15180</v>
      </c>
      <c r="C319" s="32">
        <v>1150</v>
      </c>
      <c r="D319" s="32">
        <v>40</v>
      </c>
      <c r="E319" s="109">
        <f t="shared" ca="1" si="30"/>
        <v>126.5</v>
      </c>
      <c r="F319" s="72">
        <f ca="1">SUM(E319:OFFSET(E319,-crLead_Time-crSaf_Time+1,0))</f>
        <v>379.5</v>
      </c>
      <c r="G319" s="98">
        <f ca="1">IF(F319&gt;=OFFSET(I319,1,0),IF(crFixedLot&gt;0,crFixedLot,(INT(SUM(E319:OFFSET(E319,-Simulation!$B$7+1,0))/crRoundingValue)+1)*crRoundingValue),0)</f>
        <v>0</v>
      </c>
      <c r="H319" s="98">
        <f t="shared" ca="1" si="31"/>
        <v>0</v>
      </c>
      <c r="I319" s="72">
        <f t="shared" ca="1" si="34"/>
        <v>-33</v>
      </c>
      <c r="J319" s="72">
        <f t="shared" ca="1" si="35"/>
        <v>-33</v>
      </c>
      <c r="K319" s="72">
        <f t="shared" ca="1" si="32"/>
        <v>-33</v>
      </c>
      <c r="L319" s="71">
        <f t="shared" si="33"/>
        <v>2</v>
      </c>
    </row>
    <row r="320" spans="1:12" x14ac:dyDescent="0.25">
      <c r="A320" s="134">
        <v>41310</v>
      </c>
      <c r="B320" s="32">
        <v>16330</v>
      </c>
      <c r="C320" s="32">
        <v>0</v>
      </c>
      <c r="D320" s="32">
        <v>41</v>
      </c>
      <c r="E320" s="109">
        <f t="shared" ca="1" si="30"/>
        <v>126.5</v>
      </c>
      <c r="F320" s="72">
        <f ca="1">SUM(E320:OFFSET(E320,-crLead_Time-crSaf_Time+1,0))</f>
        <v>379.5</v>
      </c>
      <c r="G320" s="98">
        <f ca="1">IF(F320&gt;=OFFSET(I320,1,0),IF(crFixedLot&gt;0,crFixedLot,(INT(SUM(E320:OFFSET(E320,-Simulation!$B$7+1,0))/crRoundingValue)+1)*crRoundingValue),0)</f>
        <v>0</v>
      </c>
      <c r="H320" s="98">
        <f t="shared" ca="1" si="31"/>
        <v>0</v>
      </c>
      <c r="I320" s="72">
        <f t="shared" ca="1" si="34"/>
        <v>1117</v>
      </c>
      <c r="J320" s="72">
        <f t="shared" ca="1" si="35"/>
        <v>1117</v>
      </c>
      <c r="K320" s="72">
        <f t="shared" ca="1" si="32"/>
        <v>0</v>
      </c>
      <c r="L320" s="71">
        <f t="shared" si="33"/>
        <v>2</v>
      </c>
    </row>
    <row r="321" spans="1:12" x14ac:dyDescent="0.25">
      <c r="A321" s="134">
        <v>41309</v>
      </c>
      <c r="B321" s="32">
        <v>16330</v>
      </c>
      <c r="C321" s="32">
        <v>0</v>
      </c>
      <c r="D321" s="32">
        <v>42</v>
      </c>
      <c r="E321" s="109">
        <f t="shared" ca="1" si="30"/>
        <v>126.5</v>
      </c>
      <c r="F321" s="72">
        <f ca="1">SUM(E321:OFFSET(E321,-crLead_Time-crSaf_Time+1,0))</f>
        <v>379.5</v>
      </c>
      <c r="G321" s="98">
        <f ca="1">IF(F321&gt;=OFFSET(I321,1,0),IF(crFixedLot&gt;0,crFixedLot,(INT(SUM(E321:OFFSET(E321,-Simulation!$B$7+1,0))/crRoundingValue)+1)*crRoundingValue),0)</f>
        <v>0</v>
      </c>
      <c r="H321" s="98">
        <f t="shared" ca="1" si="31"/>
        <v>0</v>
      </c>
      <c r="I321" s="72">
        <f t="shared" ca="1" si="34"/>
        <v>1117</v>
      </c>
      <c r="J321" s="72">
        <f t="shared" ca="1" si="35"/>
        <v>1117</v>
      </c>
      <c r="K321" s="72">
        <f t="shared" ca="1" si="32"/>
        <v>0</v>
      </c>
      <c r="L321" s="71">
        <f t="shared" si="33"/>
        <v>2</v>
      </c>
    </row>
    <row r="322" spans="1:12" x14ac:dyDescent="0.25">
      <c r="A322" s="134">
        <v>41306</v>
      </c>
      <c r="B322" s="32">
        <v>16330</v>
      </c>
      <c r="C322" s="32">
        <v>0</v>
      </c>
      <c r="D322" s="32">
        <v>43</v>
      </c>
      <c r="E322" s="109">
        <f t="shared" ref="E322:E385" ca="1" si="36">VLOOKUP(MONTH(A322),rForecast,4,FALSE)</f>
        <v>126.5</v>
      </c>
      <c r="F322" s="72">
        <f ca="1">SUM(E322:OFFSET(E322,-crLead_Time-crSaf_Time+1,0))</f>
        <v>379.5</v>
      </c>
      <c r="G322" s="98">
        <f ca="1">IF(F322&gt;=OFFSET(I322,1,0),IF(crFixedLot&gt;0,crFixedLot,(INT(SUM(E322:OFFSET(E322,-Simulation!$B$7+1,0))/crRoundingValue)+1)*crRoundingValue),0)</f>
        <v>0</v>
      </c>
      <c r="H322" s="98">
        <f t="shared" ref="H322:H385" ca="1" si="37">OFFSET(G322,crLead_Time,0)</f>
        <v>0</v>
      </c>
      <c r="I322" s="72">
        <f t="shared" ca="1" si="34"/>
        <v>1117</v>
      </c>
      <c r="J322" s="72">
        <f t="shared" ca="1" si="35"/>
        <v>1117</v>
      </c>
      <c r="K322" s="72">
        <f t="shared" ref="K322:K385" ca="1" si="38">IF(AND(J322&lt;0,OFFSET(J322,1,0)&lt;0),IF(J322&lt;OFFSET(J322,1,0),J322-OFFSET(J322,1,0),0),IF(J322&lt;0,J322,0))</f>
        <v>0</v>
      </c>
      <c r="L322" s="71">
        <f t="shared" si="33"/>
        <v>2</v>
      </c>
    </row>
    <row r="323" spans="1:12" x14ac:dyDescent="0.25">
      <c r="A323" s="134">
        <v>41305</v>
      </c>
      <c r="B323" s="32">
        <v>16330</v>
      </c>
      <c r="C323" s="32">
        <v>0</v>
      </c>
      <c r="D323" s="32">
        <v>44</v>
      </c>
      <c r="E323" s="109">
        <f t="shared" ca="1" si="36"/>
        <v>182.17391304347825</v>
      </c>
      <c r="F323" s="72">
        <f ca="1">SUM(E323:OFFSET(E323,-crLead_Time-crSaf_Time+1,0))</f>
        <v>435.17391304347825</v>
      </c>
      <c r="G323" s="98">
        <f ca="1">IF(F323&gt;=OFFSET(I323,1,0),IF(crFixedLot&gt;0,crFixedLot,(INT(SUM(E323:OFFSET(E323,-Simulation!$B$7+1,0))/crRoundingValue)+1)*crRoundingValue),0)</f>
        <v>0</v>
      </c>
      <c r="H323" s="98">
        <f t="shared" ca="1" si="37"/>
        <v>0</v>
      </c>
      <c r="I323" s="72">
        <f t="shared" ca="1" si="34"/>
        <v>1117</v>
      </c>
      <c r="J323" s="72">
        <f t="shared" ca="1" si="35"/>
        <v>1117</v>
      </c>
      <c r="K323" s="72">
        <f t="shared" ca="1" si="38"/>
        <v>0</v>
      </c>
      <c r="L323" s="71">
        <f t="shared" ref="L323:L386" si="39">MONTH(A323)</f>
        <v>1</v>
      </c>
    </row>
    <row r="324" spans="1:12" x14ac:dyDescent="0.25">
      <c r="A324" s="134">
        <v>41304</v>
      </c>
      <c r="B324" s="32">
        <v>16330</v>
      </c>
      <c r="C324" s="32">
        <v>0</v>
      </c>
      <c r="D324" s="32">
        <v>45</v>
      </c>
      <c r="E324" s="109">
        <f t="shared" ca="1" si="36"/>
        <v>182.17391304347825</v>
      </c>
      <c r="F324" s="72">
        <f ca="1">SUM(E324:OFFSET(E324,-crLead_Time-crSaf_Time+1,0))</f>
        <v>490.8478260869565</v>
      </c>
      <c r="G324" s="98">
        <f ca="1">IF(F324&gt;=OFFSET(I324,1,0),IF(crFixedLot&gt;0,crFixedLot,(INT(SUM(E324:OFFSET(E324,-Simulation!$B$7+1,0))/crRoundingValue)+1)*crRoundingValue),0)</f>
        <v>0</v>
      </c>
      <c r="H324" s="98">
        <f t="shared" ca="1" si="37"/>
        <v>0</v>
      </c>
      <c r="I324" s="72">
        <f t="shared" ca="1" si="34"/>
        <v>1117</v>
      </c>
      <c r="J324" s="72">
        <f t="shared" ca="1" si="35"/>
        <v>1117</v>
      </c>
      <c r="K324" s="72">
        <f t="shared" ca="1" si="38"/>
        <v>0</v>
      </c>
      <c r="L324" s="71">
        <f t="shared" si="39"/>
        <v>1</v>
      </c>
    </row>
    <row r="325" spans="1:12" x14ac:dyDescent="0.25">
      <c r="A325" s="134">
        <v>41303</v>
      </c>
      <c r="B325" s="32">
        <v>16330</v>
      </c>
      <c r="C325" s="32">
        <v>1380</v>
      </c>
      <c r="D325" s="32">
        <v>46</v>
      </c>
      <c r="E325" s="109">
        <f t="shared" ca="1" si="36"/>
        <v>182.17391304347825</v>
      </c>
      <c r="F325" s="72">
        <f ca="1">SUM(E325:OFFSET(E325,-crLead_Time-crSaf_Time+1,0))</f>
        <v>546.52173913043475</v>
      </c>
      <c r="G325" s="98">
        <f ca="1">IF(F325&gt;=OFFSET(I325,1,0),IF(crFixedLot&gt;0,crFixedLot,(INT(SUM(E325:OFFSET(E325,-Simulation!$B$7+1,0))/crRoundingValue)+1)*crRoundingValue),0)</f>
        <v>0</v>
      </c>
      <c r="H325" s="98">
        <f t="shared" ca="1" si="37"/>
        <v>0</v>
      </c>
      <c r="I325" s="72">
        <f t="shared" ca="1" si="34"/>
        <v>1117</v>
      </c>
      <c r="J325" s="72">
        <f t="shared" ca="1" si="35"/>
        <v>1117</v>
      </c>
      <c r="K325" s="72">
        <f t="shared" ca="1" si="38"/>
        <v>0</v>
      </c>
      <c r="L325" s="71">
        <f t="shared" si="39"/>
        <v>1</v>
      </c>
    </row>
    <row r="326" spans="1:12" x14ac:dyDescent="0.25">
      <c r="A326" s="134">
        <v>41302</v>
      </c>
      <c r="B326" s="32">
        <v>17710</v>
      </c>
      <c r="C326" s="32">
        <v>690</v>
      </c>
      <c r="D326" s="32">
        <v>47</v>
      </c>
      <c r="E326" s="109">
        <f t="shared" ca="1" si="36"/>
        <v>182.17391304347825</v>
      </c>
      <c r="F326" s="72">
        <f ca="1">SUM(E326:OFFSET(E326,-crLead_Time-crSaf_Time+1,0))</f>
        <v>546.52173913043475</v>
      </c>
      <c r="G326" s="98">
        <f ca="1">IF(F326&gt;=OFFSET(I326,1,0),IF(crFixedLot&gt;0,crFixedLot,(INT(SUM(E326:OFFSET(E326,-Simulation!$B$7+1,0))/crRoundingValue)+1)*crRoundingValue),0)</f>
        <v>0</v>
      </c>
      <c r="H326" s="98">
        <f t="shared" ca="1" si="37"/>
        <v>0</v>
      </c>
      <c r="I326" s="72">
        <f t="shared" ca="1" si="34"/>
        <v>2497</v>
      </c>
      <c r="J326" s="72">
        <f t="shared" ca="1" si="35"/>
        <v>2497</v>
      </c>
      <c r="K326" s="72">
        <f t="shared" ca="1" si="38"/>
        <v>0</v>
      </c>
      <c r="L326" s="71">
        <f t="shared" si="39"/>
        <v>1</v>
      </c>
    </row>
    <row r="327" spans="1:12" x14ac:dyDescent="0.25">
      <c r="A327" s="134">
        <v>41299</v>
      </c>
      <c r="B327" s="32">
        <v>18400</v>
      </c>
      <c r="C327" s="32">
        <v>0</v>
      </c>
      <c r="D327" s="32">
        <v>48</v>
      </c>
      <c r="E327" s="109">
        <f t="shared" ca="1" si="36"/>
        <v>182.17391304347825</v>
      </c>
      <c r="F327" s="72">
        <f ca="1">SUM(E327:OFFSET(E327,-crLead_Time-crSaf_Time+1,0))</f>
        <v>546.52173913043475</v>
      </c>
      <c r="G327" s="98">
        <f ca="1">IF(F327&gt;=OFFSET(I327,1,0),IF(crFixedLot&gt;0,crFixedLot,(INT(SUM(E327:OFFSET(E327,-Simulation!$B$7+1,0))/crRoundingValue)+1)*crRoundingValue),0)</f>
        <v>0</v>
      </c>
      <c r="H327" s="98">
        <f t="shared" ca="1" si="37"/>
        <v>0</v>
      </c>
      <c r="I327" s="72">
        <f t="shared" ca="1" si="34"/>
        <v>3187</v>
      </c>
      <c r="J327" s="72">
        <f t="shared" ca="1" si="35"/>
        <v>3187</v>
      </c>
      <c r="K327" s="72">
        <f t="shared" ca="1" si="38"/>
        <v>0</v>
      </c>
      <c r="L327" s="71">
        <f t="shared" si="39"/>
        <v>1</v>
      </c>
    </row>
    <row r="328" spans="1:12" x14ac:dyDescent="0.25">
      <c r="A328" s="134">
        <v>41298</v>
      </c>
      <c r="B328" s="32">
        <v>18400</v>
      </c>
      <c r="C328" s="32">
        <v>0</v>
      </c>
      <c r="D328" s="32">
        <v>49</v>
      </c>
      <c r="E328" s="109">
        <f t="shared" ca="1" si="36"/>
        <v>182.17391304347825</v>
      </c>
      <c r="F328" s="72">
        <f ca="1">SUM(E328:OFFSET(E328,-crLead_Time-crSaf_Time+1,0))</f>
        <v>546.52173913043475</v>
      </c>
      <c r="G328" s="98">
        <f ca="1">IF(F328&gt;=OFFSET(I328,1,0),IF(crFixedLot&gt;0,crFixedLot,(INT(SUM(E328:OFFSET(E328,-Simulation!$B$7+1,0))/crRoundingValue)+1)*crRoundingValue),0)</f>
        <v>0</v>
      </c>
      <c r="H328" s="98">
        <f t="shared" ca="1" si="37"/>
        <v>0</v>
      </c>
      <c r="I328" s="72">
        <f t="shared" ca="1" si="34"/>
        <v>3187</v>
      </c>
      <c r="J328" s="72">
        <f t="shared" ca="1" si="35"/>
        <v>3187</v>
      </c>
      <c r="K328" s="72">
        <f t="shared" ca="1" si="38"/>
        <v>0</v>
      </c>
      <c r="L328" s="71">
        <f t="shared" si="39"/>
        <v>1</v>
      </c>
    </row>
    <row r="329" spans="1:12" x14ac:dyDescent="0.25">
      <c r="A329" s="134">
        <v>41297</v>
      </c>
      <c r="B329" s="32">
        <v>18400</v>
      </c>
      <c r="C329" s="32">
        <v>0</v>
      </c>
      <c r="D329" s="32">
        <v>50</v>
      </c>
      <c r="E329" s="109">
        <f t="shared" ca="1" si="36"/>
        <v>182.17391304347825</v>
      </c>
      <c r="F329" s="72">
        <f ca="1">SUM(E329:OFFSET(E329,-crLead_Time-crSaf_Time+1,0))</f>
        <v>546.52173913043475</v>
      </c>
      <c r="G329" s="98">
        <f ca="1">IF(F329&gt;=OFFSET(I329,1,0),IF(crFixedLot&gt;0,crFixedLot,(INT(SUM(E329:OFFSET(E329,-Simulation!$B$7+1,0))/crRoundingValue)+1)*crRoundingValue),0)</f>
        <v>0</v>
      </c>
      <c r="H329" s="98">
        <f t="shared" ca="1" si="37"/>
        <v>0</v>
      </c>
      <c r="I329" s="72">
        <f t="shared" ca="1" si="34"/>
        <v>3187</v>
      </c>
      <c r="J329" s="72">
        <f t="shared" ca="1" si="35"/>
        <v>3187</v>
      </c>
      <c r="K329" s="72">
        <f t="shared" ca="1" si="38"/>
        <v>0</v>
      </c>
      <c r="L329" s="71">
        <f t="shared" si="39"/>
        <v>1</v>
      </c>
    </row>
    <row r="330" spans="1:12" x14ac:dyDescent="0.25">
      <c r="A330" s="134">
        <v>41296</v>
      </c>
      <c r="B330" s="32">
        <v>18400</v>
      </c>
      <c r="C330" s="32">
        <v>0</v>
      </c>
      <c r="D330" s="32">
        <v>51</v>
      </c>
      <c r="E330" s="109">
        <f t="shared" ca="1" si="36"/>
        <v>182.17391304347825</v>
      </c>
      <c r="F330" s="72">
        <f ca="1">SUM(E330:OFFSET(E330,-crLead_Time-crSaf_Time+1,0))</f>
        <v>546.52173913043475</v>
      </c>
      <c r="G330" s="98">
        <f ca="1">IF(F330&gt;=OFFSET(I330,1,0),IF(crFixedLot&gt;0,crFixedLot,(INT(SUM(E330:OFFSET(E330,-Simulation!$B$7+1,0))/crRoundingValue)+1)*crRoundingValue),0)</f>
        <v>0</v>
      </c>
      <c r="H330" s="98">
        <f t="shared" ca="1" si="37"/>
        <v>0</v>
      </c>
      <c r="I330" s="72">
        <f t="shared" ca="1" si="34"/>
        <v>3187</v>
      </c>
      <c r="J330" s="72">
        <f t="shared" ca="1" si="35"/>
        <v>3187</v>
      </c>
      <c r="K330" s="72">
        <f t="shared" ca="1" si="38"/>
        <v>0</v>
      </c>
      <c r="L330" s="71">
        <f t="shared" si="39"/>
        <v>1</v>
      </c>
    </row>
    <row r="331" spans="1:12" x14ac:dyDescent="0.25">
      <c r="A331" s="134">
        <v>41295</v>
      </c>
      <c r="B331" s="32">
        <v>18400</v>
      </c>
      <c r="C331" s="32">
        <v>0</v>
      </c>
      <c r="D331" s="32">
        <v>52</v>
      </c>
      <c r="E331" s="109">
        <f t="shared" ca="1" si="36"/>
        <v>182.17391304347825</v>
      </c>
      <c r="F331" s="72">
        <f ca="1">SUM(E331:OFFSET(E331,-crLead_Time-crSaf_Time+1,0))</f>
        <v>546.52173913043475</v>
      </c>
      <c r="G331" s="98">
        <f ca="1">IF(F331&gt;=OFFSET(I331,1,0),IF(crFixedLot&gt;0,crFixedLot,(INT(SUM(E331:OFFSET(E331,-Simulation!$B$7+1,0))/crRoundingValue)+1)*crRoundingValue),0)</f>
        <v>0</v>
      </c>
      <c r="H331" s="98">
        <f t="shared" ca="1" si="37"/>
        <v>0</v>
      </c>
      <c r="I331" s="72">
        <f t="shared" ca="1" si="34"/>
        <v>3187</v>
      </c>
      <c r="J331" s="72">
        <f t="shared" ca="1" si="35"/>
        <v>3187</v>
      </c>
      <c r="K331" s="72">
        <f t="shared" ca="1" si="38"/>
        <v>0</v>
      </c>
      <c r="L331" s="71">
        <f t="shared" si="39"/>
        <v>1</v>
      </c>
    </row>
    <row r="332" spans="1:12" x14ac:dyDescent="0.25">
      <c r="A332" s="134">
        <v>41292</v>
      </c>
      <c r="B332" s="32">
        <v>18400</v>
      </c>
      <c r="C332" s="32">
        <v>0</v>
      </c>
      <c r="D332" s="32">
        <v>53</v>
      </c>
      <c r="E332" s="109">
        <f t="shared" ca="1" si="36"/>
        <v>182.17391304347825</v>
      </c>
      <c r="F332" s="72">
        <f ca="1">SUM(E332:OFFSET(E332,-crLead_Time-crSaf_Time+1,0))</f>
        <v>546.52173913043475</v>
      </c>
      <c r="G332" s="98">
        <f ca="1">IF(F332&gt;=OFFSET(I332,1,0),IF(crFixedLot&gt;0,crFixedLot,(INT(SUM(E332:OFFSET(E332,-Simulation!$B$7+1,0))/crRoundingValue)+1)*crRoundingValue),0)</f>
        <v>0</v>
      </c>
      <c r="H332" s="98">
        <f t="shared" ca="1" si="37"/>
        <v>0</v>
      </c>
      <c r="I332" s="72">
        <f t="shared" ca="1" si="34"/>
        <v>3187</v>
      </c>
      <c r="J332" s="72">
        <f t="shared" ca="1" si="35"/>
        <v>3187</v>
      </c>
      <c r="K332" s="72">
        <f t="shared" ca="1" si="38"/>
        <v>0</v>
      </c>
      <c r="L332" s="71">
        <f t="shared" si="39"/>
        <v>1</v>
      </c>
    </row>
    <row r="333" spans="1:12" x14ac:dyDescent="0.25">
      <c r="A333" s="134">
        <v>41291</v>
      </c>
      <c r="B333" s="32">
        <v>18400</v>
      </c>
      <c r="C333" s="32">
        <v>0</v>
      </c>
      <c r="D333" s="32">
        <v>54</v>
      </c>
      <c r="E333" s="109">
        <f t="shared" ca="1" si="36"/>
        <v>182.17391304347825</v>
      </c>
      <c r="F333" s="72">
        <f ca="1">SUM(E333:OFFSET(E333,-crLead_Time-crSaf_Time+1,0))</f>
        <v>546.52173913043475</v>
      </c>
      <c r="G333" s="98">
        <f ca="1">IF(F333&gt;=OFFSET(I333,1,0),IF(crFixedLot&gt;0,crFixedLot,(INT(SUM(E333:OFFSET(E333,-Simulation!$B$7+1,0))/crRoundingValue)+1)*crRoundingValue),0)</f>
        <v>0</v>
      </c>
      <c r="H333" s="98">
        <f t="shared" ca="1" si="37"/>
        <v>0</v>
      </c>
      <c r="I333" s="72">
        <f t="shared" ca="1" si="34"/>
        <v>3187</v>
      </c>
      <c r="J333" s="72">
        <f t="shared" ca="1" si="35"/>
        <v>3187</v>
      </c>
      <c r="K333" s="72">
        <f t="shared" ca="1" si="38"/>
        <v>0</v>
      </c>
      <c r="L333" s="71">
        <f t="shared" si="39"/>
        <v>1</v>
      </c>
    </row>
    <row r="334" spans="1:12" x14ac:dyDescent="0.25">
      <c r="A334" s="134">
        <v>41290</v>
      </c>
      <c r="B334" s="32">
        <v>18400</v>
      </c>
      <c r="C334" s="32">
        <v>0</v>
      </c>
      <c r="D334" s="32">
        <v>55</v>
      </c>
      <c r="E334" s="109">
        <f t="shared" ca="1" si="36"/>
        <v>182.17391304347825</v>
      </c>
      <c r="F334" s="72">
        <f ca="1">SUM(E334:OFFSET(E334,-crLead_Time-crSaf_Time+1,0))</f>
        <v>546.52173913043475</v>
      </c>
      <c r="G334" s="98">
        <f ca="1">IF(F334&gt;=OFFSET(I334,1,0),IF(crFixedLot&gt;0,crFixedLot,(INT(SUM(E334:OFFSET(E334,-Simulation!$B$7+1,0))/crRoundingValue)+1)*crRoundingValue),0)</f>
        <v>0</v>
      </c>
      <c r="H334" s="98">
        <f t="shared" ca="1" si="37"/>
        <v>0</v>
      </c>
      <c r="I334" s="72">
        <f t="shared" ca="1" si="34"/>
        <v>3187</v>
      </c>
      <c r="J334" s="72">
        <f t="shared" ca="1" si="35"/>
        <v>3187</v>
      </c>
      <c r="K334" s="72">
        <f t="shared" ca="1" si="38"/>
        <v>0</v>
      </c>
      <c r="L334" s="71">
        <f t="shared" si="39"/>
        <v>1</v>
      </c>
    </row>
    <row r="335" spans="1:12" x14ac:dyDescent="0.25">
      <c r="A335" s="134">
        <v>41289</v>
      </c>
      <c r="B335" s="32">
        <v>18400</v>
      </c>
      <c r="C335" s="32">
        <v>1150</v>
      </c>
      <c r="D335" s="32">
        <v>56</v>
      </c>
      <c r="E335" s="109">
        <f t="shared" ca="1" si="36"/>
        <v>182.17391304347825</v>
      </c>
      <c r="F335" s="72">
        <f ca="1">SUM(E335:OFFSET(E335,-crLead_Time-crSaf_Time+1,0))</f>
        <v>546.52173913043475</v>
      </c>
      <c r="G335" s="98">
        <f ca="1">IF(F335&gt;=OFFSET(I335,1,0),IF(crFixedLot&gt;0,crFixedLot,(INT(SUM(E335:OFFSET(E335,-Simulation!$B$7+1,0))/crRoundingValue)+1)*crRoundingValue),0)</f>
        <v>0</v>
      </c>
      <c r="H335" s="98">
        <f t="shared" ca="1" si="37"/>
        <v>0</v>
      </c>
      <c r="I335" s="72">
        <f t="shared" ca="1" si="34"/>
        <v>3187</v>
      </c>
      <c r="J335" s="72">
        <f t="shared" ca="1" si="35"/>
        <v>3187</v>
      </c>
      <c r="K335" s="72">
        <f t="shared" ca="1" si="38"/>
        <v>0</v>
      </c>
      <c r="L335" s="71">
        <f t="shared" si="39"/>
        <v>1</v>
      </c>
    </row>
    <row r="336" spans="1:12" x14ac:dyDescent="0.25">
      <c r="A336" s="134">
        <v>41288</v>
      </c>
      <c r="B336" s="32">
        <v>19550</v>
      </c>
      <c r="C336" s="32">
        <v>0</v>
      </c>
      <c r="D336" s="32">
        <v>57</v>
      </c>
      <c r="E336" s="109">
        <f t="shared" ca="1" si="36"/>
        <v>182.17391304347825</v>
      </c>
      <c r="F336" s="72">
        <f ca="1">SUM(E336:OFFSET(E336,-crLead_Time-crSaf_Time+1,0))</f>
        <v>546.52173913043475</v>
      </c>
      <c r="G336" s="98">
        <f ca="1">IF(F336&gt;=OFFSET(I336,1,0),IF(crFixedLot&gt;0,crFixedLot,(INT(SUM(E336:OFFSET(E336,-Simulation!$B$7+1,0))/crRoundingValue)+1)*crRoundingValue),0)</f>
        <v>0</v>
      </c>
      <c r="H336" s="98">
        <f t="shared" ca="1" si="37"/>
        <v>0</v>
      </c>
      <c r="I336" s="72">
        <f t="shared" ca="1" si="34"/>
        <v>4337</v>
      </c>
      <c r="J336" s="72">
        <f t="shared" ca="1" si="35"/>
        <v>4337</v>
      </c>
      <c r="K336" s="72">
        <f t="shared" ca="1" si="38"/>
        <v>0</v>
      </c>
      <c r="L336" s="71">
        <f t="shared" si="39"/>
        <v>1</v>
      </c>
    </row>
    <row r="337" spans="1:12" x14ac:dyDescent="0.25">
      <c r="A337" s="134">
        <v>41285</v>
      </c>
      <c r="B337" s="32">
        <v>19550</v>
      </c>
      <c r="C337" s="32">
        <v>0</v>
      </c>
      <c r="D337" s="32">
        <v>58</v>
      </c>
      <c r="E337" s="109">
        <f t="shared" ca="1" si="36"/>
        <v>182.17391304347825</v>
      </c>
      <c r="F337" s="72">
        <f ca="1">SUM(E337:OFFSET(E337,-crLead_Time-crSaf_Time+1,0))</f>
        <v>546.52173913043475</v>
      </c>
      <c r="G337" s="98">
        <f ca="1">IF(F337&gt;=OFFSET(I337,1,0),IF(crFixedLot&gt;0,crFixedLot,(INT(SUM(E337:OFFSET(E337,-Simulation!$B$7+1,0))/crRoundingValue)+1)*crRoundingValue),0)</f>
        <v>0</v>
      </c>
      <c r="H337" s="98">
        <f t="shared" ca="1" si="37"/>
        <v>0</v>
      </c>
      <c r="I337" s="72">
        <f t="shared" ca="1" si="34"/>
        <v>4337</v>
      </c>
      <c r="J337" s="72">
        <f t="shared" ca="1" si="35"/>
        <v>4337</v>
      </c>
      <c r="K337" s="72">
        <f t="shared" ca="1" si="38"/>
        <v>0</v>
      </c>
      <c r="L337" s="71">
        <f t="shared" si="39"/>
        <v>1</v>
      </c>
    </row>
    <row r="338" spans="1:12" x14ac:dyDescent="0.25">
      <c r="A338" s="134">
        <v>41284</v>
      </c>
      <c r="B338" s="32">
        <v>19550</v>
      </c>
      <c r="C338" s="32">
        <v>0</v>
      </c>
      <c r="D338" s="32">
        <v>59</v>
      </c>
      <c r="E338" s="109">
        <f t="shared" ca="1" si="36"/>
        <v>182.17391304347825</v>
      </c>
      <c r="F338" s="72">
        <f ca="1">SUM(E338:OFFSET(E338,-crLead_Time-crSaf_Time+1,0))</f>
        <v>546.52173913043475</v>
      </c>
      <c r="G338" s="98">
        <f ca="1">IF(F338&gt;=OFFSET(I338,1,0),IF(crFixedLot&gt;0,crFixedLot,(INT(SUM(E338:OFFSET(E338,-Simulation!$B$7+1,0))/crRoundingValue)+1)*crRoundingValue),0)</f>
        <v>0</v>
      </c>
      <c r="H338" s="98">
        <f t="shared" ca="1" si="37"/>
        <v>0</v>
      </c>
      <c r="I338" s="72">
        <f t="shared" ca="1" si="34"/>
        <v>4337</v>
      </c>
      <c r="J338" s="72">
        <f t="shared" ca="1" si="35"/>
        <v>4337</v>
      </c>
      <c r="K338" s="72">
        <f t="shared" ca="1" si="38"/>
        <v>0</v>
      </c>
      <c r="L338" s="71">
        <f t="shared" si="39"/>
        <v>1</v>
      </c>
    </row>
    <row r="339" spans="1:12" x14ac:dyDescent="0.25">
      <c r="A339" s="134">
        <v>41283</v>
      </c>
      <c r="B339" s="32">
        <v>19550</v>
      </c>
      <c r="C339" s="32">
        <v>0</v>
      </c>
      <c r="D339" s="32">
        <v>60</v>
      </c>
      <c r="E339" s="109">
        <f t="shared" ca="1" si="36"/>
        <v>182.17391304347825</v>
      </c>
      <c r="F339" s="72">
        <f ca="1">SUM(E339:OFFSET(E339,-crLead_Time-crSaf_Time+1,0))</f>
        <v>546.52173913043475</v>
      </c>
      <c r="G339" s="98">
        <f ca="1">IF(F339&gt;=OFFSET(I339,1,0),IF(crFixedLot&gt;0,crFixedLot,(INT(SUM(E339:OFFSET(E339,-Simulation!$B$7+1,0))/crRoundingValue)+1)*crRoundingValue),0)</f>
        <v>0</v>
      </c>
      <c r="H339" s="98">
        <f t="shared" ca="1" si="37"/>
        <v>0</v>
      </c>
      <c r="I339" s="72">
        <f t="shared" ca="1" si="34"/>
        <v>4337</v>
      </c>
      <c r="J339" s="72">
        <f t="shared" ca="1" si="35"/>
        <v>4337</v>
      </c>
      <c r="K339" s="72">
        <f t="shared" ca="1" si="38"/>
        <v>0</v>
      </c>
      <c r="L339" s="71">
        <f t="shared" si="39"/>
        <v>1</v>
      </c>
    </row>
    <row r="340" spans="1:12" x14ac:dyDescent="0.25">
      <c r="A340" s="134">
        <v>41282</v>
      </c>
      <c r="B340" s="32">
        <v>5950</v>
      </c>
      <c r="C340" s="32">
        <v>40</v>
      </c>
      <c r="D340" s="32">
        <v>24</v>
      </c>
      <c r="E340" s="109">
        <f t="shared" ca="1" si="36"/>
        <v>182.17391304347825</v>
      </c>
      <c r="F340" s="72">
        <f ca="1">SUM(E340:OFFSET(E340,-crLead_Time-crSaf_Time+1,0))</f>
        <v>546.52173913043475</v>
      </c>
      <c r="G340" s="98">
        <f ca="1">IF(F340&gt;=OFFSET(I340,1,0),IF(crFixedLot&gt;0,crFixedLot,(INT(SUM(E340:OFFSET(E340,-Simulation!$B$7+1,0))/crRoundingValue)+1)*crRoundingValue),0)</f>
        <v>0</v>
      </c>
      <c r="H340" s="98">
        <f t="shared" ca="1" si="37"/>
        <v>0</v>
      </c>
      <c r="I340" s="72">
        <f t="shared" ca="1" si="34"/>
        <v>4337</v>
      </c>
      <c r="J340" s="72">
        <f t="shared" ca="1" si="35"/>
        <v>4337</v>
      </c>
      <c r="K340" s="72">
        <f t="shared" ca="1" si="38"/>
        <v>0</v>
      </c>
      <c r="L340" s="71">
        <f t="shared" si="39"/>
        <v>1</v>
      </c>
    </row>
    <row r="341" spans="1:12" x14ac:dyDescent="0.25">
      <c r="A341" s="134">
        <v>41281</v>
      </c>
      <c r="B341" s="32">
        <v>1620</v>
      </c>
      <c r="C341" s="32">
        <v>0</v>
      </c>
      <c r="D341" s="32">
        <v>14</v>
      </c>
      <c r="E341" s="109">
        <f t="shared" ca="1" si="36"/>
        <v>182.17391304347825</v>
      </c>
      <c r="F341" s="72">
        <f ca="1">SUM(E341:OFFSET(E341,-crLead_Time-crSaf_Time+1,0))</f>
        <v>546.52173913043475</v>
      </c>
      <c r="G341" s="98">
        <f ca="1">IF(F341&gt;=OFFSET(I341,1,0),IF(crFixedLot&gt;0,crFixedLot,(INT(SUM(E341:OFFSET(E341,-Simulation!$B$7+1,0))/crRoundingValue)+1)*crRoundingValue),0)</f>
        <v>0</v>
      </c>
      <c r="H341" s="98">
        <f t="shared" ca="1" si="37"/>
        <v>0</v>
      </c>
      <c r="I341" s="72">
        <f t="shared" ca="1" si="34"/>
        <v>4377</v>
      </c>
      <c r="J341" s="72">
        <f t="shared" ca="1" si="35"/>
        <v>4377</v>
      </c>
      <c r="K341" s="72">
        <f t="shared" ca="1" si="38"/>
        <v>0</v>
      </c>
      <c r="L341" s="71">
        <f t="shared" si="39"/>
        <v>1</v>
      </c>
    </row>
    <row r="342" spans="1:12" x14ac:dyDescent="0.25">
      <c r="A342" s="134">
        <v>41278</v>
      </c>
      <c r="B342" s="32">
        <v>1620</v>
      </c>
      <c r="C342" s="32">
        <v>1150</v>
      </c>
      <c r="D342" s="32">
        <v>15</v>
      </c>
      <c r="E342" s="109">
        <f t="shared" ca="1" si="36"/>
        <v>182.17391304347825</v>
      </c>
      <c r="F342" s="72">
        <f ca="1">SUM(E342:OFFSET(E342,-crLead_Time-crSaf_Time+1,0))</f>
        <v>546.52173913043475</v>
      </c>
      <c r="G342" s="98">
        <f ca="1">IF(F342&gt;=OFFSET(I342,1,0),IF(crFixedLot&gt;0,crFixedLot,(INT(SUM(E342:OFFSET(E342,-Simulation!$B$7+1,0))/crRoundingValue)+1)*crRoundingValue),0)</f>
        <v>0</v>
      </c>
      <c r="H342" s="98">
        <f t="shared" ca="1" si="37"/>
        <v>0</v>
      </c>
      <c r="I342" s="72">
        <f t="shared" ca="1" si="34"/>
        <v>4377</v>
      </c>
      <c r="J342" s="72">
        <f t="shared" ca="1" si="35"/>
        <v>4377</v>
      </c>
      <c r="K342" s="72">
        <f t="shared" ca="1" si="38"/>
        <v>0</v>
      </c>
      <c r="L342" s="71">
        <f t="shared" si="39"/>
        <v>1</v>
      </c>
    </row>
    <row r="343" spans="1:12" x14ac:dyDescent="0.25">
      <c r="A343" s="134">
        <v>41277</v>
      </c>
      <c r="B343" s="32">
        <v>2770</v>
      </c>
      <c r="C343" s="32">
        <v>0</v>
      </c>
      <c r="D343" s="32">
        <v>16</v>
      </c>
      <c r="E343" s="109">
        <f t="shared" ca="1" si="36"/>
        <v>182.17391304347825</v>
      </c>
      <c r="F343" s="72">
        <f ca="1">SUM(E343:OFFSET(E343,-crLead_Time-crSaf_Time+1,0))</f>
        <v>546.52173913043475</v>
      </c>
      <c r="G343" s="98">
        <f ca="1">IF(F343&gt;=OFFSET(I343,1,0),IF(crFixedLot&gt;0,crFixedLot,(INT(SUM(E343:OFFSET(E343,-Simulation!$B$7+1,0))/crRoundingValue)+1)*crRoundingValue),0)</f>
        <v>0</v>
      </c>
      <c r="H343" s="98">
        <f t="shared" ca="1" si="37"/>
        <v>0</v>
      </c>
      <c r="I343" s="72">
        <f t="shared" ca="1" si="34"/>
        <v>5527</v>
      </c>
      <c r="J343" s="72">
        <f t="shared" ca="1" si="35"/>
        <v>5527</v>
      </c>
      <c r="K343" s="72">
        <f t="shared" ca="1" si="38"/>
        <v>0</v>
      </c>
      <c r="L343" s="71">
        <f t="shared" si="39"/>
        <v>1</v>
      </c>
    </row>
    <row r="344" spans="1:12" x14ac:dyDescent="0.25">
      <c r="A344" s="134">
        <v>41276</v>
      </c>
      <c r="B344" s="32">
        <v>2770</v>
      </c>
      <c r="C344" s="32">
        <v>0</v>
      </c>
      <c r="D344" s="32">
        <v>17</v>
      </c>
      <c r="E344" s="109">
        <f t="shared" ca="1" si="36"/>
        <v>182.17391304347825</v>
      </c>
      <c r="F344" s="72">
        <f ca="1">SUM(E344:OFFSET(E344,-crLead_Time-crSaf_Time+1,0))</f>
        <v>546.52173913043475</v>
      </c>
      <c r="G344" s="98">
        <f ca="1">IF(F344&gt;=OFFSET(I344,1,0),IF(crFixedLot&gt;0,crFixedLot,(INT(SUM(E344:OFFSET(E344,-Simulation!$B$7+1,0))/crRoundingValue)+1)*crRoundingValue),0)</f>
        <v>0</v>
      </c>
      <c r="H344" s="98">
        <f t="shared" ca="1" si="37"/>
        <v>0</v>
      </c>
      <c r="I344" s="72">
        <f t="shared" ca="1" si="34"/>
        <v>5527</v>
      </c>
      <c r="J344" s="72">
        <f t="shared" ca="1" si="35"/>
        <v>5527</v>
      </c>
      <c r="K344" s="72">
        <f t="shared" ca="1" si="38"/>
        <v>0</v>
      </c>
      <c r="L344" s="71">
        <f t="shared" si="39"/>
        <v>1</v>
      </c>
    </row>
    <row r="345" spans="1:12" x14ac:dyDescent="0.25">
      <c r="A345" s="134">
        <v>41271</v>
      </c>
      <c r="B345" s="32">
        <v>2770</v>
      </c>
      <c r="C345" s="32">
        <v>0</v>
      </c>
      <c r="D345" s="32">
        <v>18</v>
      </c>
      <c r="E345" s="109">
        <f t="shared" ca="1" si="36"/>
        <v>217.64705882352942</v>
      </c>
      <c r="F345" s="72">
        <f ca="1">SUM(E345:OFFSET(E345,-crLead_Time-crSaf_Time+1,0))</f>
        <v>581.99488491048589</v>
      </c>
      <c r="G345" s="98">
        <f ca="1">IF(F345&gt;=OFFSET(I345,1,0),IF(crFixedLot&gt;0,crFixedLot,(INT(SUM(E345:OFFSET(E345,-Simulation!$B$7+1,0))/crRoundingValue)+1)*crRoundingValue),0)</f>
        <v>0</v>
      </c>
      <c r="H345" s="98">
        <f t="shared" ca="1" si="37"/>
        <v>0</v>
      </c>
      <c r="I345" s="72">
        <f t="shared" ca="1" si="34"/>
        <v>5527</v>
      </c>
      <c r="J345" s="72">
        <f t="shared" ca="1" si="35"/>
        <v>5527</v>
      </c>
      <c r="K345" s="72">
        <f t="shared" ca="1" si="38"/>
        <v>0</v>
      </c>
      <c r="L345" s="71">
        <f t="shared" si="39"/>
        <v>12</v>
      </c>
    </row>
    <row r="346" spans="1:12" x14ac:dyDescent="0.25">
      <c r="A346" s="134">
        <v>41270</v>
      </c>
      <c r="B346" s="32">
        <v>2770</v>
      </c>
      <c r="C346" s="32">
        <v>0</v>
      </c>
      <c r="D346" s="32">
        <v>19</v>
      </c>
      <c r="E346" s="109">
        <f t="shared" ca="1" si="36"/>
        <v>217.64705882352942</v>
      </c>
      <c r="F346" s="72">
        <f ca="1">SUM(E346:OFFSET(E346,-crLead_Time-crSaf_Time+1,0))</f>
        <v>617.46803069053703</v>
      </c>
      <c r="G346" s="98">
        <f ca="1">IF(F346&gt;=OFFSET(I346,1,0),IF(crFixedLot&gt;0,crFixedLot,(INT(SUM(E346:OFFSET(E346,-Simulation!$B$7+1,0))/crRoundingValue)+1)*crRoundingValue),0)</f>
        <v>0</v>
      </c>
      <c r="H346" s="98">
        <f t="shared" ca="1" si="37"/>
        <v>0</v>
      </c>
      <c r="I346" s="72">
        <f t="shared" ca="1" si="34"/>
        <v>5527</v>
      </c>
      <c r="J346" s="72">
        <f t="shared" ca="1" si="35"/>
        <v>5527</v>
      </c>
      <c r="K346" s="72">
        <f t="shared" ca="1" si="38"/>
        <v>0</v>
      </c>
      <c r="L346" s="71">
        <f t="shared" si="39"/>
        <v>12</v>
      </c>
    </row>
    <row r="347" spans="1:12" x14ac:dyDescent="0.25">
      <c r="A347" s="134">
        <v>41264</v>
      </c>
      <c r="B347" s="32">
        <v>2770</v>
      </c>
      <c r="C347" s="32">
        <v>0</v>
      </c>
      <c r="D347" s="32">
        <v>20</v>
      </c>
      <c r="E347" s="109">
        <f t="shared" ca="1" si="36"/>
        <v>217.64705882352942</v>
      </c>
      <c r="F347" s="72">
        <f ca="1">SUM(E347:OFFSET(E347,-crLead_Time-crSaf_Time+1,0))</f>
        <v>652.94117647058829</v>
      </c>
      <c r="G347" s="98">
        <f ca="1">IF(F347&gt;=OFFSET(I347,1,0),IF(crFixedLot&gt;0,crFixedLot,(INT(SUM(E347:OFFSET(E347,-Simulation!$B$7+1,0))/crRoundingValue)+1)*crRoundingValue),0)</f>
        <v>0</v>
      </c>
      <c r="H347" s="98">
        <f t="shared" ca="1" si="37"/>
        <v>0</v>
      </c>
      <c r="I347" s="72">
        <f t="shared" ca="1" si="34"/>
        <v>5527</v>
      </c>
      <c r="J347" s="72">
        <f t="shared" ca="1" si="35"/>
        <v>5527</v>
      </c>
      <c r="K347" s="72">
        <f t="shared" ca="1" si="38"/>
        <v>0</v>
      </c>
      <c r="L347" s="71">
        <f t="shared" si="39"/>
        <v>12</v>
      </c>
    </row>
    <row r="348" spans="1:12" x14ac:dyDescent="0.25">
      <c r="A348" s="134">
        <v>41263</v>
      </c>
      <c r="B348" s="32">
        <v>2770</v>
      </c>
      <c r="C348" s="32">
        <v>690</v>
      </c>
      <c r="D348" s="32">
        <v>21</v>
      </c>
      <c r="E348" s="109">
        <f t="shared" ca="1" si="36"/>
        <v>217.64705882352942</v>
      </c>
      <c r="F348" s="72">
        <f ca="1">SUM(E348:OFFSET(E348,-crLead_Time-crSaf_Time+1,0))</f>
        <v>652.94117647058829</v>
      </c>
      <c r="G348" s="98">
        <f ca="1">IF(F348&gt;=OFFSET(I348,1,0),IF(crFixedLot&gt;0,crFixedLot,(INT(SUM(E348:OFFSET(E348,-Simulation!$B$7+1,0))/crRoundingValue)+1)*crRoundingValue),0)</f>
        <v>0</v>
      </c>
      <c r="H348" s="98">
        <f t="shared" ca="1" si="37"/>
        <v>0</v>
      </c>
      <c r="I348" s="72">
        <f t="shared" ca="1" si="34"/>
        <v>5527</v>
      </c>
      <c r="J348" s="72">
        <f t="shared" ca="1" si="35"/>
        <v>5527</v>
      </c>
      <c r="K348" s="72">
        <f t="shared" ca="1" si="38"/>
        <v>0</v>
      </c>
      <c r="L348" s="71">
        <f t="shared" si="39"/>
        <v>12</v>
      </c>
    </row>
    <row r="349" spans="1:12" x14ac:dyDescent="0.25">
      <c r="A349" s="134">
        <v>41262</v>
      </c>
      <c r="B349" s="32">
        <v>3460</v>
      </c>
      <c r="C349" s="32">
        <v>1150</v>
      </c>
      <c r="D349" s="32">
        <v>22</v>
      </c>
      <c r="E349" s="109">
        <f t="shared" ca="1" si="36"/>
        <v>217.64705882352942</v>
      </c>
      <c r="F349" s="72">
        <f ca="1">SUM(E349:OFFSET(E349,-crLead_Time-crSaf_Time+1,0))</f>
        <v>652.94117647058829</v>
      </c>
      <c r="G349" s="98">
        <f ca="1">IF(F349&gt;=OFFSET(I349,1,0),IF(crFixedLot&gt;0,crFixedLot,(INT(SUM(E349:OFFSET(E349,-Simulation!$B$7+1,0))/crRoundingValue)+1)*crRoundingValue),0)</f>
        <v>0</v>
      </c>
      <c r="H349" s="98">
        <f t="shared" ca="1" si="37"/>
        <v>0</v>
      </c>
      <c r="I349" s="72">
        <f t="shared" ca="1" si="34"/>
        <v>6217</v>
      </c>
      <c r="J349" s="72">
        <f t="shared" ca="1" si="35"/>
        <v>6217</v>
      </c>
      <c r="K349" s="72">
        <f t="shared" ca="1" si="38"/>
        <v>0</v>
      </c>
      <c r="L349" s="71">
        <f t="shared" si="39"/>
        <v>12</v>
      </c>
    </row>
    <row r="350" spans="1:12" x14ac:dyDescent="0.25">
      <c r="A350" s="134">
        <v>41261</v>
      </c>
      <c r="B350" s="32">
        <v>4610</v>
      </c>
      <c r="C350" s="32">
        <v>1150</v>
      </c>
      <c r="D350" s="32">
        <v>23</v>
      </c>
      <c r="E350" s="109">
        <f t="shared" ca="1" si="36"/>
        <v>217.64705882352942</v>
      </c>
      <c r="F350" s="72">
        <f ca="1">SUM(E350:OFFSET(E350,-crLead_Time-crSaf_Time+1,0))</f>
        <v>652.94117647058829</v>
      </c>
      <c r="G350" s="98">
        <f ca="1">IF(F350&gt;=OFFSET(I350,1,0),IF(crFixedLot&gt;0,crFixedLot,(INT(SUM(E350:OFFSET(E350,-Simulation!$B$7+1,0))/crRoundingValue)+1)*crRoundingValue),0)</f>
        <v>0</v>
      </c>
      <c r="H350" s="98">
        <f t="shared" ca="1" si="37"/>
        <v>0</v>
      </c>
      <c r="I350" s="72">
        <f t="shared" ca="1" si="34"/>
        <v>7367</v>
      </c>
      <c r="J350" s="72">
        <f t="shared" ca="1" si="35"/>
        <v>7367</v>
      </c>
      <c r="K350" s="72">
        <f t="shared" ca="1" si="38"/>
        <v>0</v>
      </c>
      <c r="L350" s="71">
        <f t="shared" si="39"/>
        <v>12</v>
      </c>
    </row>
    <row r="351" spans="1:12" x14ac:dyDescent="0.25">
      <c r="A351" s="134">
        <v>41260</v>
      </c>
      <c r="B351" s="32">
        <v>5760</v>
      </c>
      <c r="C351" s="32">
        <v>0</v>
      </c>
      <c r="D351" s="32">
        <v>24</v>
      </c>
      <c r="E351" s="109">
        <f t="shared" ca="1" si="36"/>
        <v>217.64705882352942</v>
      </c>
      <c r="F351" s="72">
        <f ca="1">SUM(E351:OFFSET(E351,-crLead_Time-crSaf_Time+1,0))</f>
        <v>652.94117647058829</v>
      </c>
      <c r="G351" s="98">
        <f ca="1">IF(F351&gt;=OFFSET(I351,1,0),IF(crFixedLot&gt;0,crFixedLot,(INT(SUM(E351:OFFSET(E351,-Simulation!$B$7+1,0))/crRoundingValue)+1)*crRoundingValue),0)</f>
        <v>0</v>
      </c>
      <c r="H351" s="98">
        <f t="shared" ca="1" si="37"/>
        <v>0</v>
      </c>
      <c r="I351" s="72">
        <f t="shared" ca="1" si="34"/>
        <v>8517</v>
      </c>
      <c r="J351" s="72">
        <f t="shared" ca="1" si="35"/>
        <v>8517</v>
      </c>
      <c r="K351" s="72">
        <f t="shared" ca="1" si="38"/>
        <v>0</v>
      </c>
      <c r="L351" s="71">
        <f t="shared" si="39"/>
        <v>12</v>
      </c>
    </row>
    <row r="352" spans="1:12" x14ac:dyDescent="0.25">
      <c r="A352" s="134">
        <v>41257</v>
      </c>
      <c r="B352" s="32">
        <v>5760</v>
      </c>
      <c r="C352" s="32">
        <v>0</v>
      </c>
      <c r="D352" s="32">
        <v>25</v>
      </c>
      <c r="E352" s="109">
        <f t="shared" ca="1" si="36"/>
        <v>217.64705882352942</v>
      </c>
      <c r="F352" s="72">
        <f ca="1">SUM(E352:OFFSET(E352,-crLead_Time-crSaf_Time+1,0))</f>
        <v>652.94117647058829</v>
      </c>
      <c r="G352" s="98">
        <f ca="1">IF(F352&gt;=OFFSET(I352,1,0),IF(crFixedLot&gt;0,crFixedLot,(INT(SUM(E352:OFFSET(E352,-Simulation!$B$7+1,0))/crRoundingValue)+1)*crRoundingValue),0)</f>
        <v>0</v>
      </c>
      <c r="H352" s="98">
        <f t="shared" ca="1" si="37"/>
        <v>0</v>
      </c>
      <c r="I352" s="72">
        <f t="shared" ca="1" si="34"/>
        <v>8517</v>
      </c>
      <c r="J352" s="72">
        <f t="shared" ca="1" si="35"/>
        <v>8517</v>
      </c>
      <c r="K352" s="72">
        <f t="shared" ca="1" si="38"/>
        <v>0</v>
      </c>
      <c r="L352" s="71">
        <f t="shared" si="39"/>
        <v>12</v>
      </c>
    </row>
    <row r="353" spans="1:12" x14ac:dyDescent="0.25">
      <c r="A353" s="134">
        <v>41256</v>
      </c>
      <c r="B353" s="32">
        <v>5760</v>
      </c>
      <c r="C353" s="32">
        <v>0</v>
      </c>
      <c r="D353" s="32">
        <v>26</v>
      </c>
      <c r="E353" s="109">
        <f t="shared" ca="1" si="36"/>
        <v>217.64705882352942</v>
      </c>
      <c r="F353" s="72">
        <f ca="1">SUM(E353:OFFSET(E353,-crLead_Time-crSaf_Time+1,0))</f>
        <v>652.94117647058829</v>
      </c>
      <c r="G353" s="98">
        <f ca="1">IF(F353&gt;=OFFSET(I353,1,0),IF(crFixedLot&gt;0,crFixedLot,(INT(SUM(E353:OFFSET(E353,-Simulation!$B$7+1,0))/crRoundingValue)+1)*crRoundingValue),0)</f>
        <v>0</v>
      </c>
      <c r="H353" s="98">
        <f t="shared" ca="1" si="37"/>
        <v>0</v>
      </c>
      <c r="I353" s="72">
        <f t="shared" ca="1" si="34"/>
        <v>8517</v>
      </c>
      <c r="J353" s="72">
        <f t="shared" ca="1" si="35"/>
        <v>8517</v>
      </c>
      <c r="K353" s="72">
        <f t="shared" ca="1" si="38"/>
        <v>0</v>
      </c>
      <c r="L353" s="71">
        <f t="shared" si="39"/>
        <v>12</v>
      </c>
    </row>
    <row r="354" spans="1:12" x14ac:dyDescent="0.25">
      <c r="A354" s="134">
        <v>41255</v>
      </c>
      <c r="B354" s="32">
        <v>5760</v>
      </c>
      <c r="C354" s="32">
        <v>0</v>
      </c>
      <c r="D354" s="32">
        <v>27</v>
      </c>
      <c r="E354" s="109">
        <f t="shared" ca="1" si="36"/>
        <v>217.64705882352942</v>
      </c>
      <c r="F354" s="72">
        <f ca="1">SUM(E354:OFFSET(E354,-crLead_Time-crSaf_Time+1,0))</f>
        <v>652.94117647058829</v>
      </c>
      <c r="G354" s="98">
        <f ca="1">IF(F354&gt;=OFFSET(I354,1,0),IF(crFixedLot&gt;0,crFixedLot,(INT(SUM(E354:OFFSET(E354,-Simulation!$B$7+1,0))/crRoundingValue)+1)*crRoundingValue),0)</f>
        <v>0</v>
      </c>
      <c r="H354" s="98">
        <f t="shared" ca="1" si="37"/>
        <v>0</v>
      </c>
      <c r="I354" s="72">
        <f t="shared" ca="1" si="34"/>
        <v>8517</v>
      </c>
      <c r="J354" s="72">
        <f t="shared" ca="1" si="35"/>
        <v>8517</v>
      </c>
      <c r="K354" s="72">
        <f t="shared" ca="1" si="38"/>
        <v>0</v>
      </c>
      <c r="L354" s="71">
        <f t="shared" si="39"/>
        <v>12</v>
      </c>
    </row>
    <row r="355" spans="1:12" x14ac:dyDescent="0.25">
      <c r="A355" s="134">
        <v>41254</v>
      </c>
      <c r="B355" s="32">
        <v>5760</v>
      </c>
      <c r="C355" s="32">
        <v>690</v>
      </c>
      <c r="D355" s="32">
        <v>28</v>
      </c>
      <c r="E355" s="109">
        <f t="shared" ca="1" si="36"/>
        <v>217.64705882352942</v>
      </c>
      <c r="F355" s="72">
        <f ca="1">SUM(E355:OFFSET(E355,-crLead_Time-crSaf_Time+1,0))</f>
        <v>652.94117647058829</v>
      </c>
      <c r="G355" s="98">
        <f ca="1">IF(F355&gt;=OFFSET(I355,1,0),IF(crFixedLot&gt;0,crFixedLot,(INT(SUM(E355:OFFSET(E355,-Simulation!$B$7+1,0))/crRoundingValue)+1)*crRoundingValue),0)</f>
        <v>0</v>
      </c>
      <c r="H355" s="98">
        <f t="shared" ca="1" si="37"/>
        <v>0</v>
      </c>
      <c r="I355" s="72">
        <f t="shared" ca="1" si="34"/>
        <v>8517</v>
      </c>
      <c r="J355" s="72">
        <f t="shared" ca="1" si="35"/>
        <v>8517</v>
      </c>
      <c r="K355" s="72">
        <f t="shared" ca="1" si="38"/>
        <v>0</v>
      </c>
      <c r="L355" s="71">
        <f t="shared" si="39"/>
        <v>12</v>
      </c>
    </row>
    <row r="356" spans="1:12" x14ac:dyDescent="0.25">
      <c r="A356" s="134">
        <v>41253</v>
      </c>
      <c r="B356" s="32">
        <v>6450</v>
      </c>
      <c r="C356" s="32">
        <v>0</v>
      </c>
      <c r="D356" s="32">
        <v>29</v>
      </c>
      <c r="E356" s="109">
        <f t="shared" ca="1" si="36"/>
        <v>217.64705882352942</v>
      </c>
      <c r="F356" s="72">
        <f ca="1">SUM(E356:OFFSET(E356,-crLead_Time-crSaf_Time+1,0))</f>
        <v>652.94117647058829</v>
      </c>
      <c r="G356" s="98">
        <f ca="1">IF(F356&gt;=OFFSET(I356,1,0),IF(crFixedLot&gt;0,crFixedLot,(INT(SUM(E356:OFFSET(E356,-Simulation!$B$7+1,0))/crRoundingValue)+1)*crRoundingValue),0)</f>
        <v>0</v>
      </c>
      <c r="H356" s="98">
        <f t="shared" ca="1" si="37"/>
        <v>0</v>
      </c>
      <c r="I356" s="72">
        <f t="shared" ca="1" si="34"/>
        <v>9207</v>
      </c>
      <c r="J356" s="72">
        <f t="shared" ca="1" si="35"/>
        <v>9207</v>
      </c>
      <c r="K356" s="72">
        <f t="shared" ca="1" si="38"/>
        <v>0</v>
      </c>
      <c r="L356" s="71">
        <f t="shared" si="39"/>
        <v>12</v>
      </c>
    </row>
    <row r="357" spans="1:12" x14ac:dyDescent="0.25">
      <c r="A357" s="134">
        <v>41250</v>
      </c>
      <c r="B357" s="32">
        <v>6450</v>
      </c>
      <c r="C357" s="32">
        <v>0</v>
      </c>
      <c r="D357" s="32">
        <v>30</v>
      </c>
      <c r="E357" s="109">
        <f t="shared" ca="1" si="36"/>
        <v>217.64705882352942</v>
      </c>
      <c r="F357" s="72">
        <f ca="1">SUM(E357:OFFSET(E357,-crLead_Time-crSaf_Time+1,0))</f>
        <v>652.94117647058829</v>
      </c>
      <c r="G357" s="98">
        <f ca="1">IF(F357&gt;=OFFSET(I357,1,0),IF(crFixedLot&gt;0,crFixedLot,(INT(SUM(E357:OFFSET(E357,-Simulation!$B$7+1,0))/crRoundingValue)+1)*crRoundingValue),0)</f>
        <v>0</v>
      </c>
      <c r="H357" s="98">
        <f t="shared" ca="1" si="37"/>
        <v>0</v>
      </c>
      <c r="I357" s="72">
        <f t="shared" ca="1" si="34"/>
        <v>9207</v>
      </c>
      <c r="J357" s="72">
        <f t="shared" ca="1" si="35"/>
        <v>9207</v>
      </c>
      <c r="K357" s="72">
        <f t="shared" ca="1" si="38"/>
        <v>0</v>
      </c>
      <c r="L357" s="71">
        <f t="shared" si="39"/>
        <v>12</v>
      </c>
    </row>
    <row r="358" spans="1:12" x14ac:dyDescent="0.25">
      <c r="A358" s="134">
        <v>41249</v>
      </c>
      <c r="B358" s="32">
        <v>6450</v>
      </c>
      <c r="C358" s="32">
        <v>1150</v>
      </c>
      <c r="D358" s="32">
        <v>31</v>
      </c>
      <c r="E358" s="109">
        <f t="shared" ca="1" si="36"/>
        <v>217.64705882352942</v>
      </c>
      <c r="F358" s="72">
        <f ca="1">SUM(E358:OFFSET(E358,-crLead_Time-crSaf_Time+1,0))</f>
        <v>652.94117647058829</v>
      </c>
      <c r="G358" s="98">
        <f ca="1">IF(F358&gt;=OFFSET(I358,1,0),IF(crFixedLot&gt;0,crFixedLot,(INT(SUM(E358:OFFSET(E358,-Simulation!$B$7+1,0))/crRoundingValue)+1)*crRoundingValue),0)</f>
        <v>0</v>
      </c>
      <c r="H358" s="98">
        <f t="shared" ca="1" si="37"/>
        <v>0</v>
      </c>
      <c r="I358" s="72">
        <f t="shared" ca="1" si="34"/>
        <v>9207</v>
      </c>
      <c r="J358" s="72">
        <f t="shared" ca="1" si="35"/>
        <v>9207</v>
      </c>
      <c r="K358" s="72">
        <f t="shared" ca="1" si="38"/>
        <v>0</v>
      </c>
      <c r="L358" s="71">
        <f t="shared" si="39"/>
        <v>12</v>
      </c>
    </row>
    <row r="359" spans="1:12" x14ac:dyDescent="0.25">
      <c r="A359" s="134">
        <v>41248</v>
      </c>
      <c r="B359" s="32">
        <v>7600</v>
      </c>
      <c r="C359" s="32">
        <v>1150</v>
      </c>
      <c r="D359" s="32">
        <v>32</v>
      </c>
      <c r="E359" s="109">
        <f t="shared" ca="1" si="36"/>
        <v>217.64705882352942</v>
      </c>
      <c r="F359" s="72">
        <f ca="1">SUM(E359:OFFSET(E359,-crLead_Time-crSaf_Time+1,0))</f>
        <v>652.94117647058829</v>
      </c>
      <c r="G359" s="98">
        <f ca="1">IF(F359&gt;=OFFSET(I359,1,0),IF(crFixedLot&gt;0,crFixedLot,(INT(SUM(E359:OFFSET(E359,-Simulation!$B$7+1,0))/crRoundingValue)+1)*crRoundingValue),0)</f>
        <v>0</v>
      </c>
      <c r="H359" s="98">
        <f t="shared" ca="1" si="37"/>
        <v>0</v>
      </c>
      <c r="I359" s="72">
        <f t="shared" ca="1" si="34"/>
        <v>10357</v>
      </c>
      <c r="J359" s="72">
        <f t="shared" ca="1" si="35"/>
        <v>10357</v>
      </c>
      <c r="K359" s="72">
        <f t="shared" ca="1" si="38"/>
        <v>0</v>
      </c>
      <c r="L359" s="71">
        <f t="shared" si="39"/>
        <v>12</v>
      </c>
    </row>
    <row r="360" spans="1:12" x14ac:dyDescent="0.25">
      <c r="A360" s="134">
        <v>41247</v>
      </c>
      <c r="B360" s="32">
        <v>8750</v>
      </c>
      <c r="C360" s="32">
        <v>0</v>
      </c>
      <c r="D360" s="32">
        <v>33</v>
      </c>
      <c r="E360" s="109">
        <f t="shared" ca="1" si="36"/>
        <v>217.64705882352942</v>
      </c>
      <c r="F360" s="72">
        <f ca="1">SUM(E360:OFFSET(E360,-crLead_Time-crSaf_Time+1,0))</f>
        <v>652.94117647058829</v>
      </c>
      <c r="G360" s="98">
        <f ca="1">IF(F360&gt;=OFFSET(I360,1,0),IF(crFixedLot&gt;0,crFixedLot,(INT(SUM(E360:OFFSET(E360,-Simulation!$B$7+1,0))/crRoundingValue)+1)*crRoundingValue),0)</f>
        <v>0</v>
      </c>
      <c r="H360" s="98">
        <f t="shared" ca="1" si="37"/>
        <v>0</v>
      </c>
      <c r="I360" s="72">
        <f t="shared" ca="1" si="34"/>
        <v>11507</v>
      </c>
      <c r="J360" s="72">
        <f t="shared" ca="1" si="35"/>
        <v>11507</v>
      </c>
      <c r="K360" s="72">
        <f t="shared" ca="1" si="38"/>
        <v>0</v>
      </c>
      <c r="L360" s="71">
        <f t="shared" si="39"/>
        <v>12</v>
      </c>
    </row>
    <row r="361" spans="1:12" x14ac:dyDescent="0.25">
      <c r="A361" s="134">
        <v>41246</v>
      </c>
      <c r="B361" s="32">
        <v>8750</v>
      </c>
      <c r="C361" s="32">
        <v>0</v>
      </c>
      <c r="D361" s="32">
        <v>34</v>
      </c>
      <c r="E361" s="109">
        <f t="shared" ca="1" si="36"/>
        <v>217.64705882352942</v>
      </c>
      <c r="F361" s="72">
        <f ca="1">SUM(E361:OFFSET(E361,-crLead_Time-crSaf_Time+1,0))</f>
        <v>652.94117647058829</v>
      </c>
      <c r="G361" s="98">
        <f ca="1">IF(F361&gt;=OFFSET(I361,1,0),IF(crFixedLot&gt;0,crFixedLot,(INT(SUM(E361:OFFSET(E361,-Simulation!$B$7+1,0))/crRoundingValue)+1)*crRoundingValue),0)</f>
        <v>0</v>
      </c>
      <c r="H361" s="98">
        <f t="shared" ca="1" si="37"/>
        <v>0</v>
      </c>
      <c r="I361" s="72">
        <f t="shared" ca="1" si="34"/>
        <v>11507</v>
      </c>
      <c r="J361" s="72">
        <f t="shared" ca="1" si="35"/>
        <v>11507</v>
      </c>
      <c r="K361" s="72">
        <f t="shared" ca="1" si="38"/>
        <v>0</v>
      </c>
      <c r="L361" s="71">
        <f t="shared" si="39"/>
        <v>12</v>
      </c>
    </row>
    <row r="362" spans="1:12" x14ac:dyDescent="0.25">
      <c r="A362" s="134">
        <v>41243</v>
      </c>
      <c r="B362" s="32">
        <v>8750</v>
      </c>
      <c r="C362" s="32">
        <v>0</v>
      </c>
      <c r="D362" s="32">
        <v>35</v>
      </c>
      <c r="E362" s="109">
        <f t="shared" ca="1" si="36"/>
        <v>527.27272727272725</v>
      </c>
      <c r="F362" s="72">
        <f ca="1">SUM(E362:OFFSET(E362,-crLead_Time-crSaf_Time+1,0))</f>
        <v>962.56684491978604</v>
      </c>
      <c r="G362" s="98">
        <f ca="1">IF(F362&gt;=OFFSET(I362,1,0),IF(crFixedLot&gt;0,crFixedLot,(INT(SUM(E362:OFFSET(E362,-Simulation!$B$7+1,0))/crRoundingValue)+1)*crRoundingValue),0)</f>
        <v>0</v>
      </c>
      <c r="H362" s="98">
        <f t="shared" ca="1" si="37"/>
        <v>0</v>
      </c>
      <c r="I362" s="72">
        <f t="shared" ca="1" si="34"/>
        <v>11507</v>
      </c>
      <c r="J362" s="72">
        <f t="shared" ca="1" si="35"/>
        <v>11507</v>
      </c>
      <c r="K362" s="72">
        <f t="shared" ca="1" si="38"/>
        <v>0</v>
      </c>
      <c r="L362" s="71">
        <f t="shared" si="39"/>
        <v>11</v>
      </c>
    </row>
    <row r="363" spans="1:12" x14ac:dyDescent="0.25">
      <c r="A363" s="134">
        <v>41242</v>
      </c>
      <c r="B363" s="32">
        <v>8750</v>
      </c>
      <c r="C363" s="32">
        <v>0</v>
      </c>
      <c r="D363" s="32">
        <v>36</v>
      </c>
      <c r="E363" s="109">
        <f t="shared" ca="1" si="36"/>
        <v>527.27272727272725</v>
      </c>
      <c r="F363" s="72">
        <f ca="1">SUM(E363:OFFSET(E363,-crLead_Time-crSaf_Time+1,0))</f>
        <v>1272.1925133689838</v>
      </c>
      <c r="G363" s="98">
        <f ca="1">IF(F363&gt;=OFFSET(I363,1,0),IF(crFixedLot&gt;0,crFixedLot,(INT(SUM(E363:OFFSET(E363,-Simulation!$B$7+1,0))/crRoundingValue)+1)*crRoundingValue),0)</f>
        <v>0</v>
      </c>
      <c r="H363" s="98">
        <f t="shared" ca="1" si="37"/>
        <v>0</v>
      </c>
      <c r="I363" s="72">
        <f t="shared" ca="1" si="34"/>
        <v>11507</v>
      </c>
      <c r="J363" s="72">
        <f t="shared" ca="1" si="35"/>
        <v>11507</v>
      </c>
      <c r="K363" s="72">
        <f t="shared" ca="1" si="38"/>
        <v>0</v>
      </c>
      <c r="L363" s="71">
        <f t="shared" si="39"/>
        <v>11</v>
      </c>
    </row>
    <row r="364" spans="1:12" x14ac:dyDescent="0.25">
      <c r="A364" s="134">
        <v>41241</v>
      </c>
      <c r="B364" s="32">
        <v>8750</v>
      </c>
      <c r="C364" s="32">
        <v>100</v>
      </c>
      <c r="D364" s="32">
        <v>37</v>
      </c>
      <c r="E364" s="109">
        <f t="shared" ca="1" si="36"/>
        <v>527.27272727272725</v>
      </c>
      <c r="F364" s="72">
        <f ca="1">SUM(E364:OFFSET(E364,-crLead_Time-crSaf_Time+1,0))</f>
        <v>1581.8181818181818</v>
      </c>
      <c r="G364" s="98">
        <f ca="1">IF(F364&gt;=OFFSET(I364,1,0),IF(crFixedLot&gt;0,crFixedLot,(INT(SUM(E364:OFFSET(E364,-Simulation!$B$7+1,0))/crRoundingValue)+1)*crRoundingValue),0)</f>
        <v>0</v>
      </c>
      <c r="H364" s="98">
        <f t="shared" ca="1" si="37"/>
        <v>0</v>
      </c>
      <c r="I364" s="72">
        <f t="shared" ref="I364:I427" ca="1" si="40">OFFSET(I364,1,0)-C364+G364</f>
        <v>11507</v>
      </c>
      <c r="J364" s="72">
        <f t="shared" ref="J364:J427" ca="1" si="41">OFFSET(J364,1,0)-C364+H364</f>
        <v>11507</v>
      </c>
      <c r="K364" s="72">
        <f t="shared" ca="1" si="38"/>
        <v>0</v>
      </c>
      <c r="L364" s="71">
        <f t="shared" si="39"/>
        <v>11</v>
      </c>
    </row>
    <row r="365" spans="1:12" x14ac:dyDescent="0.25">
      <c r="A365" s="134">
        <v>41240</v>
      </c>
      <c r="B365" s="32">
        <v>8850</v>
      </c>
      <c r="C365" s="32">
        <v>690</v>
      </c>
      <c r="D365" s="32">
        <v>38</v>
      </c>
      <c r="E365" s="109">
        <f t="shared" ca="1" si="36"/>
        <v>527.27272727272725</v>
      </c>
      <c r="F365" s="72">
        <f ca="1">SUM(E365:OFFSET(E365,-crLead_Time-crSaf_Time+1,0))</f>
        <v>1581.8181818181818</v>
      </c>
      <c r="G365" s="98">
        <f ca="1">IF(F365&gt;=OFFSET(I365,1,0),IF(crFixedLot&gt;0,crFixedLot,(INT(SUM(E365:OFFSET(E365,-Simulation!$B$7+1,0))/crRoundingValue)+1)*crRoundingValue),0)</f>
        <v>0</v>
      </c>
      <c r="H365" s="98">
        <f t="shared" ca="1" si="37"/>
        <v>0</v>
      </c>
      <c r="I365" s="72">
        <f t="shared" ca="1" si="40"/>
        <v>11607</v>
      </c>
      <c r="J365" s="72">
        <f t="shared" ca="1" si="41"/>
        <v>11607</v>
      </c>
      <c r="K365" s="72">
        <f t="shared" ca="1" si="38"/>
        <v>0</v>
      </c>
      <c r="L365" s="71">
        <f t="shared" si="39"/>
        <v>11</v>
      </c>
    </row>
    <row r="366" spans="1:12" x14ac:dyDescent="0.25">
      <c r="A366" s="134">
        <v>41239</v>
      </c>
      <c r="B366" s="32">
        <v>9540</v>
      </c>
      <c r="C366" s="32">
        <v>0</v>
      </c>
      <c r="D366" s="32">
        <v>39</v>
      </c>
      <c r="E366" s="109">
        <f t="shared" ca="1" si="36"/>
        <v>527.27272727272725</v>
      </c>
      <c r="F366" s="72">
        <f ca="1">SUM(E366:OFFSET(E366,-crLead_Time-crSaf_Time+1,0))</f>
        <v>1581.8181818181818</v>
      </c>
      <c r="G366" s="98">
        <f ca="1">IF(F366&gt;=OFFSET(I366,1,0),IF(crFixedLot&gt;0,crFixedLot,(INT(SUM(E366:OFFSET(E366,-Simulation!$B$7+1,0))/crRoundingValue)+1)*crRoundingValue),0)</f>
        <v>0</v>
      </c>
      <c r="H366" s="98">
        <f t="shared" ca="1" si="37"/>
        <v>0</v>
      </c>
      <c r="I366" s="72">
        <f t="shared" ca="1" si="40"/>
        <v>12297</v>
      </c>
      <c r="J366" s="72">
        <f t="shared" ca="1" si="41"/>
        <v>12297</v>
      </c>
      <c r="K366" s="72">
        <f t="shared" ca="1" si="38"/>
        <v>0</v>
      </c>
      <c r="L366" s="71">
        <f t="shared" si="39"/>
        <v>11</v>
      </c>
    </row>
    <row r="367" spans="1:12" x14ac:dyDescent="0.25">
      <c r="A367" s="134">
        <v>41236</v>
      </c>
      <c r="B367" s="32">
        <v>9540</v>
      </c>
      <c r="C367" s="32">
        <v>230</v>
      </c>
      <c r="D367" s="32">
        <v>40</v>
      </c>
      <c r="E367" s="109">
        <f t="shared" ca="1" si="36"/>
        <v>527.27272727272725</v>
      </c>
      <c r="F367" s="72">
        <f ca="1">SUM(E367:OFFSET(E367,-crLead_Time-crSaf_Time+1,0))</f>
        <v>1581.8181818181818</v>
      </c>
      <c r="G367" s="98">
        <f ca="1">IF(F367&gt;=OFFSET(I367,1,0),IF(crFixedLot&gt;0,crFixedLot,(INT(SUM(E367:OFFSET(E367,-Simulation!$B$7+1,0))/crRoundingValue)+1)*crRoundingValue),0)</f>
        <v>0</v>
      </c>
      <c r="H367" s="98">
        <f t="shared" ca="1" si="37"/>
        <v>0</v>
      </c>
      <c r="I367" s="72">
        <f t="shared" ca="1" si="40"/>
        <v>12297</v>
      </c>
      <c r="J367" s="72">
        <f t="shared" ca="1" si="41"/>
        <v>12297</v>
      </c>
      <c r="K367" s="72">
        <f t="shared" ca="1" si="38"/>
        <v>0</v>
      </c>
      <c r="L367" s="71">
        <f t="shared" si="39"/>
        <v>11</v>
      </c>
    </row>
    <row r="368" spans="1:12" x14ac:dyDescent="0.25">
      <c r="A368" s="134">
        <v>41235</v>
      </c>
      <c r="B368" s="32">
        <v>9770</v>
      </c>
      <c r="C368" s="32">
        <v>20</v>
      </c>
      <c r="D368" s="32">
        <v>41</v>
      </c>
      <c r="E368" s="109">
        <f t="shared" ca="1" si="36"/>
        <v>527.27272727272725</v>
      </c>
      <c r="F368" s="72">
        <f ca="1">SUM(E368:OFFSET(E368,-crLead_Time-crSaf_Time+1,0))</f>
        <v>1581.8181818181818</v>
      </c>
      <c r="G368" s="98">
        <f ca="1">IF(F368&gt;=OFFSET(I368,1,0),IF(crFixedLot&gt;0,crFixedLot,(INT(SUM(E368:OFFSET(E368,-Simulation!$B$7+1,0))/crRoundingValue)+1)*crRoundingValue),0)</f>
        <v>11217</v>
      </c>
      <c r="H368" s="98">
        <f t="shared" ca="1" si="37"/>
        <v>11217</v>
      </c>
      <c r="I368" s="72">
        <f t="shared" ca="1" si="40"/>
        <v>12527</v>
      </c>
      <c r="J368" s="72">
        <f t="shared" ca="1" si="41"/>
        <v>12527</v>
      </c>
      <c r="K368" s="72">
        <f t="shared" ca="1" si="38"/>
        <v>0</v>
      </c>
      <c r="L368" s="71">
        <f t="shared" si="39"/>
        <v>11</v>
      </c>
    </row>
    <row r="369" spans="1:12" x14ac:dyDescent="0.25">
      <c r="A369" s="134">
        <v>41234</v>
      </c>
      <c r="B369" s="32">
        <v>9790</v>
      </c>
      <c r="C369" s="32">
        <v>1150</v>
      </c>
      <c r="D369" s="32">
        <v>42</v>
      </c>
      <c r="E369" s="109">
        <f t="shared" ca="1" si="36"/>
        <v>527.27272727272725</v>
      </c>
      <c r="F369" s="72">
        <f ca="1">SUM(E369:OFFSET(E369,-crLead_Time-crSaf_Time+1,0))</f>
        <v>1581.8181818181818</v>
      </c>
      <c r="G369" s="98">
        <f ca="1">IF(F369&gt;=OFFSET(I369,1,0),IF(crFixedLot&gt;0,crFixedLot,(INT(SUM(E369:OFFSET(E369,-Simulation!$B$7+1,0))/crRoundingValue)+1)*crRoundingValue),0)</f>
        <v>0</v>
      </c>
      <c r="H369" s="98">
        <f t="shared" ca="1" si="37"/>
        <v>0</v>
      </c>
      <c r="I369" s="72">
        <f t="shared" ca="1" si="40"/>
        <v>1330</v>
      </c>
      <c r="J369" s="72">
        <f t="shared" ca="1" si="41"/>
        <v>1330</v>
      </c>
      <c r="K369" s="72">
        <f t="shared" ca="1" si="38"/>
        <v>0</v>
      </c>
      <c r="L369" s="71">
        <f t="shared" si="39"/>
        <v>11</v>
      </c>
    </row>
    <row r="370" spans="1:12" x14ac:dyDescent="0.25">
      <c r="A370" s="134">
        <v>41233</v>
      </c>
      <c r="B370" s="32">
        <v>10940</v>
      </c>
      <c r="C370" s="32">
        <v>0</v>
      </c>
      <c r="D370" s="32">
        <v>43</v>
      </c>
      <c r="E370" s="109">
        <f t="shared" ca="1" si="36"/>
        <v>527.27272727272725</v>
      </c>
      <c r="F370" s="72">
        <f ca="1">SUM(E370:OFFSET(E370,-crLead_Time-crSaf_Time+1,0))</f>
        <v>1581.8181818181818</v>
      </c>
      <c r="G370" s="98">
        <f ca="1">IF(F370&gt;=OFFSET(I370,1,0),IF(crFixedLot&gt;0,crFixedLot,(INT(SUM(E370:OFFSET(E370,-Simulation!$B$7+1,0))/crRoundingValue)+1)*crRoundingValue),0)</f>
        <v>0</v>
      </c>
      <c r="H370" s="98">
        <f t="shared" ca="1" si="37"/>
        <v>0</v>
      </c>
      <c r="I370" s="72">
        <f t="shared" ca="1" si="40"/>
        <v>2480</v>
      </c>
      <c r="J370" s="72">
        <f t="shared" ca="1" si="41"/>
        <v>2480</v>
      </c>
      <c r="K370" s="72">
        <f t="shared" ca="1" si="38"/>
        <v>0</v>
      </c>
      <c r="L370" s="71">
        <f t="shared" si="39"/>
        <v>11</v>
      </c>
    </row>
    <row r="371" spans="1:12" x14ac:dyDescent="0.25">
      <c r="A371" s="134">
        <v>41232</v>
      </c>
      <c r="B371" s="32">
        <v>10940</v>
      </c>
      <c r="C371" s="32">
        <v>0</v>
      </c>
      <c r="D371" s="32">
        <v>44</v>
      </c>
      <c r="E371" s="109">
        <f t="shared" ca="1" si="36"/>
        <v>527.27272727272725</v>
      </c>
      <c r="F371" s="72">
        <f ca="1">SUM(E371:OFFSET(E371,-crLead_Time-crSaf_Time+1,0))</f>
        <v>1581.8181818181818</v>
      </c>
      <c r="G371" s="98">
        <f ca="1">IF(F371&gt;=OFFSET(I371,1,0),IF(crFixedLot&gt;0,crFixedLot,(INT(SUM(E371:OFFSET(E371,-Simulation!$B$7+1,0))/crRoundingValue)+1)*crRoundingValue),0)</f>
        <v>0</v>
      </c>
      <c r="H371" s="98">
        <f t="shared" ca="1" si="37"/>
        <v>0</v>
      </c>
      <c r="I371" s="72">
        <f t="shared" ca="1" si="40"/>
        <v>2480</v>
      </c>
      <c r="J371" s="72">
        <f t="shared" ca="1" si="41"/>
        <v>2480</v>
      </c>
      <c r="K371" s="72">
        <f t="shared" ca="1" si="38"/>
        <v>0</v>
      </c>
      <c r="L371" s="71">
        <f t="shared" si="39"/>
        <v>11</v>
      </c>
    </row>
    <row r="372" spans="1:12" x14ac:dyDescent="0.25">
      <c r="A372" s="134">
        <v>41229</v>
      </c>
      <c r="B372" s="32">
        <v>10940</v>
      </c>
      <c r="C372" s="32">
        <v>230</v>
      </c>
      <c r="D372" s="32">
        <v>45</v>
      </c>
      <c r="E372" s="109">
        <f t="shared" ca="1" si="36"/>
        <v>527.27272727272725</v>
      </c>
      <c r="F372" s="72">
        <f ca="1">SUM(E372:OFFSET(E372,-crLead_Time-crSaf_Time+1,0))</f>
        <v>1581.8181818181818</v>
      </c>
      <c r="G372" s="98">
        <f ca="1">IF(F372&gt;=OFFSET(I372,1,0),IF(crFixedLot&gt;0,crFixedLot,(INT(SUM(E372:OFFSET(E372,-Simulation!$B$7+1,0))/crRoundingValue)+1)*crRoundingValue),0)</f>
        <v>0</v>
      </c>
      <c r="H372" s="98">
        <f t="shared" ca="1" si="37"/>
        <v>0</v>
      </c>
      <c r="I372" s="72">
        <f t="shared" ca="1" si="40"/>
        <v>2480</v>
      </c>
      <c r="J372" s="72">
        <f t="shared" ca="1" si="41"/>
        <v>2480</v>
      </c>
      <c r="K372" s="72">
        <f t="shared" ca="1" si="38"/>
        <v>0</v>
      </c>
      <c r="L372" s="71">
        <f t="shared" si="39"/>
        <v>11</v>
      </c>
    </row>
    <row r="373" spans="1:12" x14ac:dyDescent="0.25">
      <c r="A373" s="134">
        <v>41228</v>
      </c>
      <c r="B373" s="32">
        <v>11170</v>
      </c>
      <c r="C373" s="32">
        <v>0</v>
      </c>
      <c r="D373" s="32">
        <v>46</v>
      </c>
      <c r="E373" s="109">
        <f t="shared" ca="1" si="36"/>
        <v>527.27272727272725</v>
      </c>
      <c r="F373" s="72">
        <f ca="1">SUM(E373:OFFSET(E373,-crLead_Time-crSaf_Time+1,0))</f>
        <v>1581.8181818181818</v>
      </c>
      <c r="G373" s="98">
        <f ca="1">IF(F373&gt;=OFFSET(I373,1,0),IF(crFixedLot&gt;0,crFixedLot,(INT(SUM(E373:OFFSET(E373,-Simulation!$B$7+1,0))/crRoundingValue)+1)*crRoundingValue),0)</f>
        <v>0</v>
      </c>
      <c r="H373" s="98">
        <f t="shared" ca="1" si="37"/>
        <v>0</v>
      </c>
      <c r="I373" s="72">
        <f t="shared" ca="1" si="40"/>
        <v>2710</v>
      </c>
      <c r="J373" s="72">
        <f t="shared" ca="1" si="41"/>
        <v>2710</v>
      </c>
      <c r="K373" s="72">
        <f t="shared" ca="1" si="38"/>
        <v>0</v>
      </c>
      <c r="L373" s="71">
        <f t="shared" si="39"/>
        <v>11</v>
      </c>
    </row>
    <row r="374" spans="1:12" x14ac:dyDescent="0.25">
      <c r="A374" s="134">
        <v>41227</v>
      </c>
      <c r="B374" s="32">
        <v>11170</v>
      </c>
      <c r="C374" s="32">
        <v>0</v>
      </c>
      <c r="D374" s="32">
        <v>47</v>
      </c>
      <c r="E374" s="109">
        <f t="shared" ca="1" si="36"/>
        <v>527.27272727272725</v>
      </c>
      <c r="F374" s="72">
        <f ca="1">SUM(E374:OFFSET(E374,-crLead_Time-crSaf_Time+1,0))</f>
        <v>1581.8181818181818</v>
      </c>
      <c r="G374" s="98">
        <f ca="1">IF(F374&gt;=OFFSET(I374,1,0),IF(crFixedLot&gt;0,crFixedLot,(INT(SUM(E374:OFFSET(E374,-Simulation!$B$7+1,0))/crRoundingValue)+1)*crRoundingValue),0)</f>
        <v>0</v>
      </c>
      <c r="H374" s="98">
        <f t="shared" ca="1" si="37"/>
        <v>0</v>
      </c>
      <c r="I374" s="72">
        <f t="shared" ca="1" si="40"/>
        <v>2710</v>
      </c>
      <c r="J374" s="72">
        <f t="shared" ca="1" si="41"/>
        <v>2710</v>
      </c>
      <c r="K374" s="72">
        <f t="shared" ca="1" si="38"/>
        <v>0</v>
      </c>
      <c r="L374" s="71">
        <f t="shared" si="39"/>
        <v>11</v>
      </c>
    </row>
    <row r="375" spans="1:12" x14ac:dyDescent="0.25">
      <c r="A375" s="134">
        <v>41226</v>
      </c>
      <c r="B375" s="32">
        <v>11170</v>
      </c>
      <c r="C375" s="32">
        <v>690</v>
      </c>
      <c r="D375" s="32">
        <v>48</v>
      </c>
      <c r="E375" s="109">
        <f t="shared" ca="1" si="36"/>
        <v>527.27272727272725</v>
      </c>
      <c r="F375" s="72">
        <f ca="1">SUM(E375:OFFSET(E375,-crLead_Time-crSaf_Time+1,0))</f>
        <v>1581.8181818181818</v>
      </c>
      <c r="G375" s="98">
        <f ca="1">IF(F375&gt;=OFFSET(I375,1,0),IF(crFixedLot&gt;0,crFixedLot,(INT(SUM(E375:OFFSET(E375,-Simulation!$B$7+1,0))/crRoundingValue)+1)*crRoundingValue),0)</f>
        <v>0</v>
      </c>
      <c r="H375" s="98">
        <f t="shared" ca="1" si="37"/>
        <v>0</v>
      </c>
      <c r="I375" s="72">
        <f t="shared" ca="1" si="40"/>
        <v>2710</v>
      </c>
      <c r="J375" s="72">
        <f t="shared" ca="1" si="41"/>
        <v>2710</v>
      </c>
      <c r="K375" s="72">
        <f t="shared" ca="1" si="38"/>
        <v>0</v>
      </c>
      <c r="L375" s="71">
        <f t="shared" si="39"/>
        <v>11</v>
      </c>
    </row>
    <row r="376" spans="1:12" x14ac:dyDescent="0.25">
      <c r="A376" s="134">
        <v>41225</v>
      </c>
      <c r="B376" s="32">
        <v>11860</v>
      </c>
      <c r="C376" s="32">
        <v>0</v>
      </c>
      <c r="D376" s="32">
        <v>49</v>
      </c>
      <c r="E376" s="109">
        <f t="shared" ca="1" si="36"/>
        <v>527.27272727272725</v>
      </c>
      <c r="F376" s="72">
        <f ca="1">SUM(E376:OFFSET(E376,-crLead_Time-crSaf_Time+1,0))</f>
        <v>1581.8181818181818</v>
      </c>
      <c r="G376" s="98">
        <f ca="1">IF(F376&gt;=OFFSET(I376,1,0),IF(crFixedLot&gt;0,crFixedLot,(INT(SUM(E376:OFFSET(E376,-Simulation!$B$7+1,0))/crRoundingValue)+1)*crRoundingValue),0)</f>
        <v>0</v>
      </c>
      <c r="H376" s="98">
        <f t="shared" ca="1" si="37"/>
        <v>0</v>
      </c>
      <c r="I376" s="72">
        <f t="shared" ca="1" si="40"/>
        <v>3400</v>
      </c>
      <c r="J376" s="72">
        <f t="shared" ca="1" si="41"/>
        <v>3400</v>
      </c>
      <c r="K376" s="72">
        <f t="shared" ca="1" si="38"/>
        <v>0</v>
      </c>
      <c r="L376" s="71">
        <f t="shared" si="39"/>
        <v>11</v>
      </c>
    </row>
    <row r="377" spans="1:12" x14ac:dyDescent="0.25">
      <c r="A377" s="134">
        <v>41222</v>
      </c>
      <c r="B377" s="32">
        <v>11860</v>
      </c>
      <c r="C377" s="32">
        <v>0</v>
      </c>
      <c r="D377" s="32">
        <v>50</v>
      </c>
      <c r="E377" s="109">
        <f t="shared" ca="1" si="36"/>
        <v>527.27272727272725</v>
      </c>
      <c r="F377" s="72">
        <f ca="1">SUM(E377:OFFSET(E377,-crLead_Time-crSaf_Time+1,0))</f>
        <v>1581.8181818181818</v>
      </c>
      <c r="G377" s="98">
        <f ca="1">IF(F377&gt;=OFFSET(I377,1,0),IF(crFixedLot&gt;0,crFixedLot,(INT(SUM(E377:OFFSET(E377,-Simulation!$B$7+1,0))/crRoundingValue)+1)*crRoundingValue),0)</f>
        <v>0</v>
      </c>
      <c r="H377" s="98">
        <f t="shared" ca="1" si="37"/>
        <v>0</v>
      </c>
      <c r="I377" s="72">
        <f t="shared" ca="1" si="40"/>
        <v>3400</v>
      </c>
      <c r="J377" s="72">
        <f t="shared" ca="1" si="41"/>
        <v>3400</v>
      </c>
      <c r="K377" s="72">
        <f t="shared" ca="1" si="38"/>
        <v>0</v>
      </c>
      <c r="L377" s="71">
        <f t="shared" si="39"/>
        <v>11</v>
      </c>
    </row>
    <row r="378" spans="1:12" x14ac:dyDescent="0.25">
      <c r="A378" s="134">
        <v>41221</v>
      </c>
      <c r="B378" s="32">
        <v>11860</v>
      </c>
      <c r="C378" s="32">
        <v>1150</v>
      </c>
      <c r="D378" s="32">
        <v>51</v>
      </c>
      <c r="E378" s="109">
        <f t="shared" ca="1" si="36"/>
        <v>527.27272727272725</v>
      </c>
      <c r="F378" s="72">
        <f ca="1">SUM(E378:OFFSET(E378,-crLead_Time-crSaf_Time+1,0))</f>
        <v>1581.8181818181818</v>
      </c>
      <c r="G378" s="98">
        <f ca="1">IF(F378&gt;=OFFSET(I378,1,0),IF(crFixedLot&gt;0,crFixedLot,(INT(SUM(E378:OFFSET(E378,-Simulation!$B$7+1,0))/crRoundingValue)+1)*crRoundingValue),0)</f>
        <v>0</v>
      </c>
      <c r="H378" s="98">
        <f t="shared" ca="1" si="37"/>
        <v>0</v>
      </c>
      <c r="I378" s="72">
        <f t="shared" ca="1" si="40"/>
        <v>3400</v>
      </c>
      <c r="J378" s="72">
        <f t="shared" ca="1" si="41"/>
        <v>3400</v>
      </c>
      <c r="K378" s="72">
        <f t="shared" ca="1" si="38"/>
        <v>0</v>
      </c>
      <c r="L378" s="71">
        <f t="shared" si="39"/>
        <v>11</v>
      </c>
    </row>
    <row r="379" spans="1:12" x14ac:dyDescent="0.25">
      <c r="A379" s="134">
        <v>41220</v>
      </c>
      <c r="B379" s="32">
        <v>13010</v>
      </c>
      <c r="C379" s="32">
        <v>0</v>
      </c>
      <c r="D379" s="32">
        <v>52</v>
      </c>
      <c r="E379" s="109">
        <f t="shared" ca="1" si="36"/>
        <v>527.27272727272725</v>
      </c>
      <c r="F379" s="72">
        <f ca="1">SUM(E379:OFFSET(E379,-crLead_Time-crSaf_Time+1,0))</f>
        <v>1581.8181818181818</v>
      </c>
      <c r="G379" s="98">
        <f ca="1">IF(F379&gt;=OFFSET(I379,1,0),IF(crFixedLot&gt;0,crFixedLot,(INT(SUM(E379:OFFSET(E379,-Simulation!$B$7+1,0))/crRoundingValue)+1)*crRoundingValue),0)</f>
        <v>0</v>
      </c>
      <c r="H379" s="98">
        <f t="shared" ca="1" si="37"/>
        <v>0</v>
      </c>
      <c r="I379" s="72">
        <f t="shared" ca="1" si="40"/>
        <v>4550</v>
      </c>
      <c r="J379" s="72">
        <f t="shared" ca="1" si="41"/>
        <v>4550</v>
      </c>
      <c r="K379" s="72">
        <f t="shared" ca="1" si="38"/>
        <v>0</v>
      </c>
      <c r="L379" s="71">
        <f t="shared" si="39"/>
        <v>11</v>
      </c>
    </row>
    <row r="380" spans="1:12" x14ac:dyDescent="0.25">
      <c r="A380" s="134">
        <v>41219</v>
      </c>
      <c r="B380" s="32">
        <v>13010</v>
      </c>
      <c r="C380" s="32">
        <v>0</v>
      </c>
      <c r="D380" s="32">
        <v>53</v>
      </c>
      <c r="E380" s="109">
        <f t="shared" ca="1" si="36"/>
        <v>527.27272727272725</v>
      </c>
      <c r="F380" s="72">
        <f ca="1">SUM(E380:OFFSET(E380,-crLead_Time-crSaf_Time+1,0))</f>
        <v>1581.8181818181818</v>
      </c>
      <c r="G380" s="98">
        <f ca="1">IF(F380&gt;=OFFSET(I380,1,0),IF(crFixedLot&gt;0,crFixedLot,(INT(SUM(E380:OFFSET(E380,-Simulation!$B$7+1,0))/crRoundingValue)+1)*crRoundingValue),0)</f>
        <v>0</v>
      </c>
      <c r="H380" s="98">
        <f t="shared" ca="1" si="37"/>
        <v>0</v>
      </c>
      <c r="I380" s="72">
        <f t="shared" ca="1" si="40"/>
        <v>4550</v>
      </c>
      <c r="J380" s="72">
        <f t="shared" ca="1" si="41"/>
        <v>4550</v>
      </c>
      <c r="K380" s="72">
        <f t="shared" ca="1" si="38"/>
        <v>0</v>
      </c>
      <c r="L380" s="71">
        <f t="shared" si="39"/>
        <v>11</v>
      </c>
    </row>
    <row r="381" spans="1:12" x14ac:dyDescent="0.25">
      <c r="A381" s="134">
        <v>41218</v>
      </c>
      <c r="B381" s="32">
        <v>13010</v>
      </c>
      <c r="C381" s="32">
        <v>0</v>
      </c>
      <c r="D381" s="32">
        <v>54</v>
      </c>
      <c r="E381" s="109">
        <f t="shared" ca="1" si="36"/>
        <v>527.27272727272725</v>
      </c>
      <c r="F381" s="72">
        <f ca="1">SUM(E381:OFFSET(E381,-crLead_Time-crSaf_Time+1,0))</f>
        <v>1581.8181818181818</v>
      </c>
      <c r="G381" s="98">
        <f ca="1">IF(F381&gt;=OFFSET(I381,1,0),IF(crFixedLot&gt;0,crFixedLot,(INT(SUM(E381:OFFSET(E381,-Simulation!$B$7+1,0))/crRoundingValue)+1)*crRoundingValue),0)</f>
        <v>0</v>
      </c>
      <c r="H381" s="98">
        <f t="shared" ca="1" si="37"/>
        <v>0</v>
      </c>
      <c r="I381" s="72">
        <f t="shared" ca="1" si="40"/>
        <v>4550</v>
      </c>
      <c r="J381" s="72">
        <f t="shared" ca="1" si="41"/>
        <v>4550</v>
      </c>
      <c r="K381" s="72">
        <f t="shared" ca="1" si="38"/>
        <v>0</v>
      </c>
      <c r="L381" s="71">
        <f t="shared" si="39"/>
        <v>11</v>
      </c>
    </row>
    <row r="382" spans="1:12" x14ac:dyDescent="0.25">
      <c r="A382" s="134">
        <v>41215</v>
      </c>
      <c r="B382" s="32">
        <v>13010</v>
      </c>
      <c r="C382" s="32">
        <v>0</v>
      </c>
      <c r="D382" s="32">
        <v>55</v>
      </c>
      <c r="E382" s="109">
        <f t="shared" ca="1" si="36"/>
        <v>527.27272727272725</v>
      </c>
      <c r="F382" s="72">
        <f ca="1">SUM(E382:OFFSET(E382,-crLead_Time-crSaf_Time+1,0))</f>
        <v>1581.8181818181818</v>
      </c>
      <c r="G382" s="98">
        <f ca="1">IF(F382&gt;=OFFSET(I382,1,0),IF(crFixedLot&gt;0,crFixedLot,(INT(SUM(E382:OFFSET(E382,-Simulation!$B$7+1,0))/crRoundingValue)+1)*crRoundingValue),0)</f>
        <v>0</v>
      </c>
      <c r="H382" s="98">
        <f t="shared" ca="1" si="37"/>
        <v>0</v>
      </c>
      <c r="I382" s="72">
        <f t="shared" ca="1" si="40"/>
        <v>4550</v>
      </c>
      <c r="J382" s="72">
        <f t="shared" ca="1" si="41"/>
        <v>4550</v>
      </c>
      <c r="K382" s="72">
        <f t="shared" ca="1" si="38"/>
        <v>0</v>
      </c>
      <c r="L382" s="71">
        <f t="shared" si="39"/>
        <v>11</v>
      </c>
    </row>
    <row r="383" spans="1:12" x14ac:dyDescent="0.25">
      <c r="A383" s="134">
        <v>41214</v>
      </c>
      <c r="B383" s="32">
        <v>13010</v>
      </c>
      <c r="C383" s="32">
        <v>0</v>
      </c>
      <c r="D383" s="32">
        <v>56</v>
      </c>
      <c r="E383" s="109">
        <f t="shared" ca="1" si="36"/>
        <v>527.27272727272725</v>
      </c>
      <c r="F383" s="72">
        <f ca="1">SUM(E383:OFFSET(E383,-crLead_Time-crSaf_Time+1,0))</f>
        <v>1581.8181818181818</v>
      </c>
      <c r="G383" s="98">
        <f ca="1">IF(F383&gt;=OFFSET(I383,1,0),IF(crFixedLot&gt;0,crFixedLot,(INT(SUM(E383:OFFSET(E383,-Simulation!$B$7+1,0))/crRoundingValue)+1)*crRoundingValue),0)</f>
        <v>0</v>
      </c>
      <c r="H383" s="98">
        <f t="shared" ca="1" si="37"/>
        <v>0</v>
      </c>
      <c r="I383" s="72">
        <f t="shared" ca="1" si="40"/>
        <v>4550</v>
      </c>
      <c r="J383" s="72">
        <f t="shared" ca="1" si="41"/>
        <v>4550</v>
      </c>
      <c r="K383" s="72">
        <f t="shared" ca="1" si="38"/>
        <v>0</v>
      </c>
      <c r="L383" s="71">
        <f t="shared" si="39"/>
        <v>11</v>
      </c>
    </row>
    <row r="384" spans="1:12" x14ac:dyDescent="0.25">
      <c r="A384" s="134">
        <v>41213</v>
      </c>
      <c r="B384" s="32">
        <v>13010</v>
      </c>
      <c r="C384" s="32">
        <v>0</v>
      </c>
      <c r="D384" s="32">
        <v>57</v>
      </c>
      <c r="E384" s="109">
        <f t="shared" ca="1" si="36"/>
        <v>191.7391304347826</v>
      </c>
      <c r="F384" s="72">
        <f ca="1">SUM(E384:OFFSET(E384,-crLead_Time-crSaf_Time+1,0))</f>
        <v>1246.284584980237</v>
      </c>
      <c r="G384" s="98">
        <f ca="1">IF(F384&gt;=OFFSET(I384,1,0),IF(crFixedLot&gt;0,crFixedLot,(INT(SUM(E384:OFFSET(E384,-Simulation!$B$7+1,0))/crRoundingValue)+1)*crRoundingValue),0)</f>
        <v>0</v>
      </c>
      <c r="H384" s="98">
        <f t="shared" ca="1" si="37"/>
        <v>0</v>
      </c>
      <c r="I384" s="72">
        <f t="shared" ca="1" si="40"/>
        <v>4550</v>
      </c>
      <c r="J384" s="72">
        <f t="shared" ca="1" si="41"/>
        <v>4550</v>
      </c>
      <c r="K384" s="72">
        <f t="shared" ca="1" si="38"/>
        <v>0</v>
      </c>
      <c r="L384" s="71">
        <f t="shared" si="39"/>
        <v>10</v>
      </c>
    </row>
    <row r="385" spans="1:12" x14ac:dyDescent="0.25">
      <c r="A385" s="134">
        <v>41212</v>
      </c>
      <c r="B385" s="32">
        <v>13010</v>
      </c>
      <c r="C385" s="32">
        <v>0</v>
      </c>
      <c r="D385" s="32">
        <v>58</v>
      </c>
      <c r="E385" s="109">
        <f t="shared" ca="1" si="36"/>
        <v>191.7391304347826</v>
      </c>
      <c r="F385" s="72">
        <f ca="1">SUM(E385:OFFSET(E385,-crLead_Time-crSaf_Time+1,0))</f>
        <v>910.7509881422925</v>
      </c>
      <c r="G385" s="98">
        <f ca="1">IF(F385&gt;=OFFSET(I385,1,0),IF(crFixedLot&gt;0,crFixedLot,(INT(SUM(E385:OFFSET(E385,-Simulation!$B$7+1,0))/crRoundingValue)+1)*crRoundingValue),0)</f>
        <v>0</v>
      </c>
      <c r="H385" s="98">
        <f t="shared" ca="1" si="37"/>
        <v>0</v>
      </c>
      <c r="I385" s="72">
        <f t="shared" ca="1" si="40"/>
        <v>4550</v>
      </c>
      <c r="J385" s="72">
        <f t="shared" ca="1" si="41"/>
        <v>4550</v>
      </c>
      <c r="K385" s="72">
        <f t="shared" ca="1" si="38"/>
        <v>0</v>
      </c>
      <c r="L385" s="71">
        <f t="shared" si="39"/>
        <v>10</v>
      </c>
    </row>
    <row r="386" spans="1:12" x14ac:dyDescent="0.25">
      <c r="A386" s="134">
        <v>41211</v>
      </c>
      <c r="B386" s="32">
        <v>13010</v>
      </c>
      <c r="C386" s="32">
        <v>0</v>
      </c>
      <c r="D386" s="32">
        <v>59</v>
      </c>
      <c r="E386" s="109">
        <f t="shared" ref="E386:E449" ca="1" si="42">VLOOKUP(MONTH(A386),rForecast,4,FALSE)</f>
        <v>191.7391304347826</v>
      </c>
      <c r="F386" s="72">
        <f ca="1">SUM(E386:OFFSET(E386,-crLead_Time-crSaf_Time+1,0))</f>
        <v>575.21739130434776</v>
      </c>
      <c r="G386" s="98">
        <f ca="1">IF(F386&gt;=OFFSET(I386,1,0),IF(crFixedLot&gt;0,crFixedLot,(INT(SUM(E386:OFFSET(E386,-Simulation!$B$7+1,0))/crRoundingValue)+1)*crRoundingValue),0)</f>
        <v>0</v>
      </c>
      <c r="H386" s="98">
        <f t="shared" ref="H386:H449" ca="1" si="43">OFFSET(G386,crLead_Time,0)</f>
        <v>0</v>
      </c>
      <c r="I386" s="72">
        <f t="shared" ca="1" si="40"/>
        <v>4550</v>
      </c>
      <c r="J386" s="72">
        <f t="shared" ca="1" si="41"/>
        <v>4550</v>
      </c>
      <c r="K386" s="72">
        <f t="shared" ref="K386:K449" ca="1" si="44">IF(AND(J386&lt;0,OFFSET(J386,1,0)&lt;0),IF(J386&lt;OFFSET(J386,1,0),J386-OFFSET(J386,1,0),0),IF(J386&lt;0,J386,0))</f>
        <v>0</v>
      </c>
      <c r="L386" s="71">
        <f t="shared" si="39"/>
        <v>10</v>
      </c>
    </row>
    <row r="387" spans="1:12" x14ac:dyDescent="0.25">
      <c r="A387" s="134">
        <v>41208</v>
      </c>
      <c r="B387" s="32">
        <v>13010</v>
      </c>
      <c r="C387" s="32">
        <v>80</v>
      </c>
      <c r="D387" s="32">
        <v>60</v>
      </c>
      <c r="E387" s="109">
        <f t="shared" ca="1" si="42"/>
        <v>191.7391304347826</v>
      </c>
      <c r="F387" s="72">
        <f ca="1">SUM(E387:OFFSET(E387,-crLead_Time-crSaf_Time+1,0))</f>
        <v>575.21739130434776</v>
      </c>
      <c r="G387" s="98">
        <f ca="1">IF(F387&gt;=OFFSET(I387,1,0),IF(crFixedLot&gt;0,crFixedLot,(INT(SUM(E387:OFFSET(E387,-Simulation!$B$7+1,0))/crRoundingValue)+1)*crRoundingValue),0)</f>
        <v>0</v>
      </c>
      <c r="H387" s="98">
        <f t="shared" ca="1" si="43"/>
        <v>0</v>
      </c>
      <c r="I387" s="72">
        <f t="shared" ca="1" si="40"/>
        <v>4550</v>
      </c>
      <c r="J387" s="72">
        <f t="shared" ca="1" si="41"/>
        <v>4550</v>
      </c>
      <c r="K387" s="72">
        <f t="shared" ca="1" si="44"/>
        <v>0</v>
      </c>
      <c r="L387" s="71">
        <f t="shared" ref="L387:L450" si="45">MONTH(A387)</f>
        <v>10</v>
      </c>
    </row>
    <row r="388" spans="1:12" x14ac:dyDescent="0.25">
      <c r="A388" s="134">
        <v>41207</v>
      </c>
      <c r="B388" s="32">
        <v>13090</v>
      </c>
      <c r="C388" s="32">
        <v>0</v>
      </c>
      <c r="D388" s="32">
        <v>61</v>
      </c>
      <c r="E388" s="109">
        <f t="shared" ca="1" si="42"/>
        <v>191.7391304347826</v>
      </c>
      <c r="F388" s="72">
        <f ca="1">SUM(E388:OFFSET(E388,-crLead_Time-crSaf_Time+1,0))</f>
        <v>575.21739130434776</v>
      </c>
      <c r="G388" s="98">
        <f ca="1">IF(F388&gt;=OFFSET(I388,1,0),IF(crFixedLot&gt;0,crFixedLot,(INT(SUM(E388:OFFSET(E388,-Simulation!$B$7+1,0))/crRoundingValue)+1)*crRoundingValue),0)</f>
        <v>0</v>
      </c>
      <c r="H388" s="98">
        <f t="shared" ca="1" si="43"/>
        <v>0</v>
      </c>
      <c r="I388" s="72">
        <f t="shared" ca="1" si="40"/>
        <v>4630</v>
      </c>
      <c r="J388" s="72">
        <f t="shared" ca="1" si="41"/>
        <v>4630</v>
      </c>
      <c r="K388" s="72">
        <f t="shared" ca="1" si="44"/>
        <v>0</v>
      </c>
      <c r="L388" s="71">
        <f t="shared" si="45"/>
        <v>10</v>
      </c>
    </row>
    <row r="389" spans="1:12" x14ac:dyDescent="0.25">
      <c r="A389" s="134">
        <v>41206</v>
      </c>
      <c r="B389" s="32">
        <v>13090</v>
      </c>
      <c r="C389" s="32">
        <v>1150</v>
      </c>
      <c r="D389" s="32">
        <v>62</v>
      </c>
      <c r="E389" s="109">
        <f t="shared" ca="1" si="42"/>
        <v>191.7391304347826</v>
      </c>
      <c r="F389" s="72">
        <f ca="1">SUM(E389:OFFSET(E389,-crLead_Time-crSaf_Time+1,0))</f>
        <v>575.21739130434776</v>
      </c>
      <c r="G389" s="98">
        <f ca="1">IF(F389&gt;=OFFSET(I389,1,0),IF(crFixedLot&gt;0,crFixedLot,(INT(SUM(E389:OFFSET(E389,-Simulation!$B$7+1,0))/crRoundingValue)+1)*crRoundingValue),0)</f>
        <v>0</v>
      </c>
      <c r="H389" s="98">
        <f t="shared" ca="1" si="43"/>
        <v>0</v>
      </c>
      <c r="I389" s="72">
        <f t="shared" ca="1" si="40"/>
        <v>4630</v>
      </c>
      <c r="J389" s="72">
        <f t="shared" ca="1" si="41"/>
        <v>4630</v>
      </c>
      <c r="K389" s="72">
        <f t="shared" ca="1" si="44"/>
        <v>0</v>
      </c>
      <c r="L389" s="71">
        <f t="shared" si="45"/>
        <v>10</v>
      </c>
    </row>
    <row r="390" spans="1:12" x14ac:dyDescent="0.25">
      <c r="A390" s="134">
        <v>41205</v>
      </c>
      <c r="B390" s="32">
        <v>14240</v>
      </c>
      <c r="C390" s="32">
        <v>690</v>
      </c>
      <c r="D390" s="32">
        <v>63</v>
      </c>
      <c r="E390" s="109">
        <f t="shared" ca="1" si="42"/>
        <v>191.7391304347826</v>
      </c>
      <c r="F390" s="72">
        <f ca="1">SUM(E390:OFFSET(E390,-crLead_Time-crSaf_Time+1,0))</f>
        <v>575.21739130434776</v>
      </c>
      <c r="G390" s="98">
        <f ca="1">IF(F390&gt;=OFFSET(I390,1,0),IF(crFixedLot&gt;0,crFixedLot,(INT(SUM(E390:OFFSET(E390,-Simulation!$B$7+1,0))/crRoundingValue)+1)*crRoundingValue),0)</f>
        <v>0</v>
      </c>
      <c r="H390" s="98">
        <f t="shared" ca="1" si="43"/>
        <v>0</v>
      </c>
      <c r="I390" s="72">
        <f t="shared" ca="1" si="40"/>
        <v>5780</v>
      </c>
      <c r="J390" s="72">
        <f t="shared" ca="1" si="41"/>
        <v>5780</v>
      </c>
      <c r="K390" s="72">
        <f t="shared" ca="1" si="44"/>
        <v>0</v>
      </c>
      <c r="L390" s="71">
        <f t="shared" si="45"/>
        <v>10</v>
      </c>
    </row>
    <row r="391" spans="1:12" x14ac:dyDescent="0.25">
      <c r="A391" s="134">
        <v>41204</v>
      </c>
      <c r="B391" s="32">
        <v>14930</v>
      </c>
      <c r="C391" s="32">
        <v>0</v>
      </c>
      <c r="D391" s="32">
        <v>64</v>
      </c>
      <c r="E391" s="109">
        <f t="shared" ca="1" si="42"/>
        <v>191.7391304347826</v>
      </c>
      <c r="F391" s="72">
        <f ca="1">SUM(E391:OFFSET(E391,-crLead_Time-crSaf_Time+1,0))</f>
        <v>575.21739130434776</v>
      </c>
      <c r="G391" s="98">
        <f ca="1">IF(F391&gt;=OFFSET(I391,1,0),IF(crFixedLot&gt;0,crFixedLot,(INT(SUM(E391:OFFSET(E391,-Simulation!$B$7+1,0))/crRoundingValue)+1)*crRoundingValue),0)</f>
        <v>0</v>
      </c>
      <c r="H391" s="98">
        <f t="shared" ca="1" si="43"/>
        <v>0</v>
      </c>
      <c r="I391" s="72">
        <f t="shared" ca="1" si="40"/>
        <v>6470</v>
      </c>
      <c r="J391" s="72">
        <f t="shared" ca="1" si="41"/>
        <v>6470</v>
      </c>
      <c r="K391" s="72">
        <f t="shared" ca="1" si="44"/>
        <v>0</v>
      </c>
      <c r="L391" s="71">
        <f t="shared" si="45"/>
        <v>10</v>
      </c>
    </row>
    <row r="392" spans="1:12" x14ac:dyDescent="0.25">
      <c r="A392" s="134">
        <v>41201</v>
      </c>
      <c r="B392" s="32">
        <v>14930</v>
      </c>
      <c r="C392" s="32">
        <v>0</v>
      </c>
      <c r="D392" s="32">
        <v>65</v>
      </c>
      <c r="E392" s="109">
        <f t="shared" ca="1" si="42"/>
        <v>191.7391304347826</v>
      </c>
      <c r="F392" s="72">
        <f ca="1">SUM(E392:OFFSET(E392,-crLead_Time-crSaf_Time+1,0))</f>
        <v>575.21739130434776</v>
      </c>
      <c r="G392" s="98">
        <f ca="1">IF(F392&gt;=OFFSET(I392,1,0),IF(crFixedLot&gt;0,crFixedLot,(INT(SUM(E392:OFFSET(E392,-Simulation!$B$7+1,0))/crRoundingValue)+1)*crRoundingValue),0)</f>
        <v>0</v>
      </c>
      <c r="H392" s="98">
        <f t="shared" ca="1" si="43"/>
        <v>0</v>
      </c>
      <c r="I392" s="72">
        <f t="shared" ca="1" si="40"/>
        <v>6470</v>
      </c>
      <c r="J392" s="72">
        <f t="shared" ca="1" si="41"/>
        <v>6470</v>
      </c>
      <c r="K392" s="72">
        <f t="shared" ca="1" si="44"/>
        <v>0</v>
      </c>
      <c r="L392" s="71">
        <f t="shared" si="45"/>
        <v>10</v>
      </c>
    </row>
    <row r="393" spans="1:12" x14ac:dyDescent="0.25">
      <c r="A393" s="134">
        <v>41200</v>
      </c>
      <c r="B393" s="32">
        <v>14930</v>
      </c>
      <c r="C393" s="32">
        <v>0</v>
      </c>
      <c r="D393" s="32">
        <v>66</v>
      </c>
      <c r="E393" s="109">
        <f t="shared" ca="1" si="42"/>
        <v>191.7391304347826</v>
      </c>
      <c r="F393" s="72">
        <f ca="1">SUM(E393:OFFSET(E393,-crLead_Time-crSaf_Time+1,0))</f>
        <v>575.21739130434776</v>
      </c>
      <c r="G393" s="98">
        <f ca="1">IF(F393&gt;=OFFSET(I393,1,0),IF(crFixedLot&gt;0,crFixedLot,(INT(SUM(E393:OFFSET(E393,-Simulation!$B$7+1,0))/crRoundingValue)+1)*crRoundingValue),0)</f>
        <v>0</v>
      </c>
      <c r="H393" s="98">
        <f t="shared" ca="1" si="43"/>
        <v>0</v>
      </c>
      <c r="I393" s="72">
        <f t="shared" ca="1" si="40"/>
        <v>6470</v>
      </c>
      <c r="J393" s="72">
        <f t="shared" ca="1" si="41"/>
        <v>6470</v>
      </c>
      <c r="K393" s="72">
        <f t="shared" ca="1" si="44"/>
        <v>0</v>
      </c>
      <c r="L393" s="71">
        <f t="shared" si="45"/>
        <v>10</v>
      </c>
    </row>
    <row r="394" spans="1:12" x14ac:dyDescent="0.25">
      <c r="A394" s="134">
        <v>41199</v>
      </c>
      <c r="B394" s="32">
        <v>14930</v>
      </c>
      <c r="C394" s="32">
        <v>0</v>
      </c>
      <c r="D394" s="32">
        <v>67</v>
      </c>
      <c r="E394" s="109">
        <f t="shared" ca="1" si="42"/>
        <v>191.7391304347826</v>
      </c>
      <c r="F394" s="72">
        <f ca="1">SUM(E394:OFFSET(E394,-crLead_Time-crSaf_Time+1,0))</f>
        <v>575.21739130434776</v>
      </c>
      <c r="G394" s="98">
        <f ca="1">IF(F394&gt;=OFFSET(I394,1,0),IF(crFixedLot&gt;0,crFixedLot,(INT(SUM(E394:OFFSET(E394,-Simulation!$B$7+1,0))/crRoundingValue)+1)*crRoundingValue),0)</f>
        <v>0</v>
      </c>
      <c r="H394" s="98">
        <f t="shared" ca="1" si="43"/>
        <v>0</v>
      </c>
      <c r="I394" s="72">
        <f t="shared" ca="1" si="40"/>
        <v>6470</v>
      </c>
      <c r="J394" s="72">
        <f t="shared" ca="1" si="41"/>
        <v>6470</v>
      </c>
      <c r="K394" s="72">
        <f t="shared" ca="1" si="44"/>
        <v>0</v>
      </c>
      <c r="L394" s="71">
        <f t="shared" si="45"/>
        <v>10</v>
      </c>
    </row>
    <row r="395" spans="1:12" x14ac:dyDescent="0.25">
      <c r="A395" s="134">
        <v>41198</v>
      </c>
      <c r="B395" s="32">
        <v>14930</v>
      </c>
      <c r="C395" s="32">
        <v>0</v>
      </c>
      <c r="D395" s="32">
        <v>68</v>
      </c>
      <c r="E395" s="109">
        <f t="shared" ca="1" si="42"/>
        <v>191.7391304347826</v>
      </c>
      <c r="F395" s="72">
        <f ca="1">SUM(E395:OFFSET(E395,-crLead_Time-crSaf_Time+1,0))</f>
        <v>575.21739130434776</v>
      </c>
      <c r="G395" s="98">
        <f ca="1">IF(F395&gt;=OFFSET(I395,1,0),IF(crFixedLot&gt;0,crFixedLot,(INT(SUM(E395:OFFSET(E395,-Simulation!$B$7+1,0))/crRoundingValue)+1)*crRoundingValue),0)</f>
        <v>0</v>
      </c>
      <c r="H395" s="98">
        <f t="shared" ca="1" si="43"/>
        <v>0</v>
      </c>
      <c r="I395" s="72">
        <f t="shared" ca="1" si="40"/>
        <v>6470</v>
      </c>
      <c r="J395" s="72">
        <f t="shared" ca="1" si="41"/>
        <v>6470</v>
      </c>
      <c r="K395" s="72">
        <f t="shared" ca="1" si="44"/>
        <v>0</v>
      </c>
      <c r="L395" s="71">
        <f t="shared" si="45"/>
        <v>10</v>
      </c>
    </row>
    <row r="396" spans="1:12" x14ac:dyDescent="0.25">
      <c r="A396" s="134">
        <v>41197</v>
      </c>
      <c r="B396" s="32">
        <v>14930</v>
      </c>
      <c r="C396" s="32">
        <v>1150</v>
      </c>
      <c r="D396" s="32">
        <v>69</v>
      </c>
      <c r="E396" s="109">
        <f t="shared" ca="1" si="42"/>
        <v>191.7391304347826</v>
      </c>
      <c r="F396" s="72">
        <f ca="1">SUM(E396:OFFSET(E396,-crLead_Time-crSaf_Time+1,0))</f>
        <v>575.21739130434776</v>
      </c>
      <c r="G396" s="98">
        <f ca="1">IF(F396&gt;=OFFSET(I396,1,0),IF(crFixedLot&gt;0,crFixedLot,(INT(SUM(E396:OFFSET(E396,-Simulation!$B$7+1,0))/crRoundingValue)+1)*crRoundingValue),0)</f>
        <v>0</v>
      </c>
      <c r="H396" s="98">
        <f t="shared" ca="1" si="43"/>
        <v>0</v>
      </c>
      <c r="I396" s="72">
        <f t="shared" ca="1" si="40"/>
        <v>6470</v>
      </c>
      <c r="J396" s="72">
        <f t="shared" ca="1" si="41"/>
        <v>6470</v>
      </c>
      <c r="K396" s="72">
        <f t="shared" ca="1" si="44"/>
        <v>0</v>
      </c>
      <c r="L396" s="71">
        <f t="shared" si="45"/>
        <v>10</v>
      </c>
    </row>
    <row r="397" spans="1:12" x14ac:dyDescent="0.25">
      <c r="A397" s="134">
        <v>41194</v>
      </c>
      <c r="B397" s="32">
        <v>16080</v>
      </c>
      <c r="C397" s="32">
        <v>230</v>
      </c>
      <c r="D397" s="32">
        <v>70</v>
      </c>
      <c r="E397" s="109">
        <f t="shared" ca="1" si="42"/>
        <v>191.7391304347826</v>
      </c>
      <c r="F397" s="72">
        <f ca="1">SUM(E397:OFFSET(E397,-crLead_Time-crSaf_Time+1,0))</f>
        <v>575.21739130434776</v>
      </c>
      <c r="G397" s="98">
        <f ca="1">IF(F397&gt;=OFFSET(I397,1,0),IF(crFixedLot&gt;0,crFixedLot,(INT(SUM(E397:OFFSET(E397,-Simulation!$B$7+1,0))/crRoundingValue)+1)*crRoundingValue),0)</f>
        <v>0</v>
      </c>
      <c r="H397" s="98">
        <f t="shared" ca="1" si="43"/>
        <v>0</v>
      </c>
      <c r="I397" s="72">
        <f t="shared" ca="1" si="40"/>
        <v>7620</v>
      </c>
      <c r="J397" s="72">
        <f t="shared" ca="1" si="41"/>
        <v>7620</v>
      </c>
      <c r="K397" s="72">
        <f t="shared" ca="1" si="44"/>
        <v>0</v>
      </c>
      <c r="L397" s="71">
        <f t="shared" si="45"/>
        <v>10</v>
      </c>
    </row>
    <row r="398" spans="1:12" x14ac:dyDescent="0.25">
      <c r="A398" s="134">
        <v>41193</v>
      </c>
      <c r="B398" s="32">
        <v>16310</v>
      </c>
      <c r="C398" s="32">
        <v>10</v>
      </c>
      <c r="D398" s="32">
        <v>71</v>
      </c>
      <c r="E398" s="109">
        <f t="shared" ca="1" si="42"/>
        <v>191.7391304347826</v>
      </c>
      <c r="F398" s="72">
        <f ca="1">SUM(E398:OFFSET(E398,-crLead_Time-crSaf_Time+1,0))</f>
        <v>575.21739130434776</v>
      </c>
      <c r="G398" s="98">
        <f ca="1">IF(F398&gt;=OFFSET(I398,1,0),IF(crFixedLot&gt;0,crFixedLot,(INT(SUM(E398:OFFSET(E398,-Simulation!$B$7+1,0))/crRoundingValue)+1)*crRoundingValue),0)</f>
        <v>0</v>
      </c>
      <c r="H398" s="98">
        <f t="shared" ca="1" si="43"/>
        <v>0</v>
      </c>
      <c r="I398" s="72">
        <f t="shared" ca="1" si="40"/>
        <v>7850</v>
      </c>
      <c r="J398" s="72">
        <f t="shared" ca="1" si="41"/>
        <v>7850</v>
      </c>
      <c r="K398" s="72">
        <f t="shared" ca="1" si="44"/>
        <v>0</v>
      </c>
      <c r="L398" s="71">
        <f t="shared" si="45"/>
        <v>10</v>
      </c>
    </row>
    <row r="399" spans="1:12" x14ac:dyDescent="0.25">
      <c r="A399" s="134">
        <v>41192</v>
      </c>
      <c r="B399" s="32">
        <v>16330</v>
      </c>
      <c r="C399" s="32">
        <v>0</v>
      </c>
      <c r="D399" s="32">
        <v>72</v>
      </c>
      <c r="E399" s="109">
        <f t="shared" ca="1" si="42"/>
        <v>191.7391304347826</v>
      </c>
      <c r="F399" s="72">
        <f ca="1">SUM(E399:OFFSET(E399,-crLead_Time-crSaf_Time+1,0))</f>
        <v>575.21739130434776</v>
      </c>
      <c r="G399" s="98">
        <f ca="1">IF(F399&gt;=OFFSET(I399,1,0),IF(crFixedLot&gt;0,crFixedLot,(INT(SUM(E399:OFFSET(E399,-Simulation!$B$7+1,0))/crRoundingValue)+1)*crRoundingValue),0)</f>
        <v>0</v>
      </c>
      <c r="H399" s="98">
        <f t="shared" ca="1" si="43"/>
        <v>0</v>
      </c>
      <c r="I399" s="72">
        <f t="shared" ca="1" si="40"/>
        <v>7860</v>
      </c>
      <c r="J399" s="72">
        <f t="shared" ca="1" si="41"/>
        <v>7860</v>
      </c>
      <c r="K399" s="72">
        <f t="shared" ca="1" si="44"/>
        <v>0</v>
      </c>
      <c r="L399" s="71">
        <f t="shared" si="45"/>
        <v>10</v>
      </c>
    </row>
    <row r="400" spans="1:12" x14ac:dyDescent="0.25">
      <c r="A400" s="134">
        <v>41191</v>
      </c>
      <c r="B400" s="32">
        <v>16330</v>
      </c>
      <c r="C400" s="32">
        <v>0</v>
      </c>
      <c r="D400" s="32">
        <v>73</v>
      </c>
      <c r="E400" s="109">
        <f t="shared" ca="1" si="42"/>
        <v>191.7391304347826</v>
      </c>
      <c r="F400" s="72">
        <f ca="1">SUM(E400:OFFSET(E400,-crLead_Time-crSaf_Time+1,0))</f>
        <v>575.21739130434776</v>
      </c>
      <c r="G400" s="98">
        <f ca="1">IF(F400&gt;=OFFSET(I400,1,0),IF(crFixedLot&gt;0,crFixedLot,(INT(SUM(E400:OFFSET(E400,-Simulation!$B$7+1,0))/crRoundingValue)+1)*crRoundingValue),0)</f>
        <v>0</v>
      </c>
      <c r="H400" s="98">
        <f t="shared" ca="1" si="43"/>
        <v>0</v>
      </c>
      <c r="I400" s="72">
        <f t="shared" ca="1" si="40"/>
        <v>7860</v>
      </c>
      <c r="J400" s="72">
        <f t="shared" ca="1" si="41"/>
        <v>7860</v>
      </c>
      <c r="K400" s="72">
        <f t="shared" ca="1" si="44"/>
        <v>0</v>
      </c>
      <c r="L400" s="71">
        <f t="shared" si="45"/>
        <v>10</v>
      </c>
    </row>
    <row r="401" spans="1:12" x14ac:dyDescent="0.25">
      <c r="A401" s="134">
        <v>41190</v>
      </c>
      <c r="B401" s="32">
        <v>16330</v>
      </c>
      <c r="C401" s="32">
        <v>690</v>
      </c>
      <c r="D401" s="32">
        <v>74</v>
      </c>
      <c r="E401" s="109">
        <f t="shared" ca="1" si="42"/>
        <v>191.7391304347826</v>
      </c>
      <c r="F401" s="72">
        <f ca="1">SUM(E401:OFFSET(E401,-crLead_Time-crSaf_Time+1,0))</f>
        <v>575.21739130434776</v>
      </c>
      <c r="G401" s="98">
        <f ca="1">IF(F401&gt;=OFFSET(I401,1,0),IF(crFixedLot&gt;0,crFixedLot,(INT(SUM(E401:OFFSET(E401,-Simulation!$B$7+1,0))/crRoundingValue)+1)*crRoundingValue),0)</f>
        <v>0</v>
      </c>
      <c r="H401" s="98">
        <f t="shared" ca="1" si="43"/>
        <v>0</v>
      </c>
      <c r="I401" s="72">
        <f t="shared" ca="1" si="40"/>
        <v>7860</v>
      </c>
      <c r="J401" s="72">
        <f t="shared" ca="1" si="41"/>
        <v>7860</v>
      </c>
      <c r="K401" s="72">
        <f t="shared" ca="1" si="44"/>
        <v>0</v>
      </c>
      <c r="L401" s="71">
        <f t="shared" si="45"/>
        <v>10</v>
      </c>
    </row>
    <row r="402" spans="1:12" x14ac:dyDescent="0.25">
      <c r="A402" s="134">
        <v>41187</v>
      </c>
      <c r="B402" s="32">
        <v>8050</v>
      </c>
      <c r="C402" s="32">
        <v>0</v>
      </c>
      <c r="D402" s="32">
        <v>36</v>
      </c>
      <c r="E402" s="109">
        <f t="shared" ca="1" si="42"/>
        <v>191.7391304347826</v>
      </c>
      <c r="F402" s="72">
        <f ca="1">SUM(E402:OFFSET(E402,-crLead_Time-crSaf_Time+1,0))</f>
        <v>575.21739130434776</v>
      </c>
      <c r="G402" s="98">
        <f ca="1">IF(F402&gt;=OFFSET(I402,1,0),IF(crFixedLot&gt;0,crFixedLot,(INT(SUM(E402:OFFSET(E402,-Simulation!$B$7+1,0))/crRoundingValue)+1)*crRoundingValue),0)</f>
        <v>0</v>
      </c>
      <c r="H402" s="98">
        <f t="shared" ca="1" si="43"/>
        <v>0</v>
      </c>
      <c r="I402" s="72">
        <f t="shared" ca="1" si="40"/>
        <v>8550</v>
      </c>
      <c r="J402" s="72">
        <f t="shared" ca="1" si="41"/>
        <v>8550</v>
      </c>
      <c r="K402" s="72">
        <f t="shared" ca="1" si="44"/>
        <v>0</v>
      </c>
      <c r="L402" s="71">
        <f t="shared" si="45"/>
        <v>10</v>
      </c>
    </row>
    <row r="403" spans="1:12" x14ac:dyDescent="0.25">
      <c r="A403" s="134">
        <v>41186</v>
      </c>
      <c r="B403" s="32">
        <v>0</v>
      </c>
      <c r="C403" s="32">
        <v>450</v>
      </c>
      <c r="D403" s="32">
        <v>0</v>
      </c>
      <c r="E403" s="109">
        <f t="shared" ca="1" si="42"/>
        <v>191.7391304347826</v>
      </c>
      <c r="F403" s="72">
        <f ca="1">SUM(E403:OFFSET(E403,-crLead_Time-crSaf_Time+1,0))</f>
        <v>575.21739130434776</v>
      </c>
      <c r="G403" s="98">
        <f ca="1">IF(F403&gt;=OFFSET(I403,1,0),IF(crFixedLot&gt;0,crFixedLot,(INT(SUM(E403:OFFSET(E403,-Simulation!$B$7+1,0))/crRoundingValue)+1)*crRoundingValue),0)</f>
        <v>0</v>
      </c>
      <c r="H403" s="98">
        <f t="shared" ca="1" si="43"/>
        <v>0</v>
      </c>
      <c r="I403" s="72">
        <f t="shared" ca="1" si="40"/>
        <v>8550</v>
      </c>
      <c r="J403" s="72">
        <f t="shared" ca="1" si="41"/>
        <v>8550</v>
      </c>
      <c r="K403" s="72">
        <f t="shared" ca="1" si="44"/>
        <v>0</v>
      </c>
      <c r="L403" s="71">
        <f t="shared" si="45"/>
        <v>10</v>
      </c>
    </row>
    <row r="404" spans="1:12" x14ac:dyDescent="0.25">
      <c r="A404" s="134">
        <v>41185</v>
      </c>
      <c r="B404" s="32">
        <v>450</v>
      </c>
      <c r="C404" s="32">
        <v>1150</v>
      </c>
      <c r="D404" s="32">
        <v>2</v>
      </c>
      <c r="E404" s="109">
        <f t="shared" ca="1" si="42"/>
        <v>191.7391304347826</v>
      </c>
      <c r="F404" s="72">
        <f ca="1">SUM(E404:OFFSET(E404,-crLead_Time-crSaf_Time+1,0))</f>
        <v>575.21739130434776</v>
      </c>
      <c r="G404" s="98">
        <f ca="1">IF(F404&gt;=OFFSET(I404,1,0),IF(crFixedLot&gt;0,crFixedLot,(INT(SUM(E404:OFFSET(E404,-Simulation!$B$7+1,0))/crRoundingValue)+1)*crRoundingValue),0)</f>
        <v>0</v>
      </c>
      <c r="H404" s="98">
        <f t="shared" ca="1" si="43"/>
        <v>0</v>
      </c>
      <c r="I404" s="72">
        <f t="shared" ca="1" si="40"/>
        <v>9000</v>
      </c>
      <c r="J404" s="72">
        <f t="shared" ca="1" si="41"/>
        <v>9000</v>
      </c>
      <c r="K404" s="72">
        <f t="shared" ca="1" si="44"/>
        <v>0</v>
      </c>
      <c r="L404" s="71">
        <f t="shared" si="45"/>
        <v>10</v>
      </c>
    </row>
    <row r="405" spans="1:12" x14ac:dyDescent="0.25">
      <c r="A405" s="134">
        <v>41184</v>
      </c>
      <c r="B405" s="32">
        <v>1600</v>
      </c>
      <c r="C405" s="32">
        <v>3450</v>
      </c>
      <c r="D405" s="32">
        <v>3</v>
      </c>
      <c r="E405" s="109">
        <f t="shared" ca="1" si="42"/>
        <v>191.7391304347826</v>
      </c>
      <c r="F405" s="72">
        <f ca="1">SUM(E405:OFFSET(E405,-crLead_Time-crSaf_Time+1,0))</f>
        <v>575.21739130434776</v>
      </c>
      <c r="G405" s="98">
        <f ca="1">IF(F405&gt;=OFFSET(I405,1,0),IF(crFixedLot&gt;0,crFixedLot,(INT(SUM(E405:OFFSET(E405,-Simulation!$B$7+1,0))/crRoundingValue)+1)*crRoundingValue),0)</f>
        <v>0</v>
      </c>
      <c r="H405" s="98">
        <f t="shared" ca="1" si="43"/>
        <v>0</v>
      </c>
      <c r="I405" s="72">
        <f t="shared" ca="1" si="40"/>
        <v>10150</v>
      </c>
      <c r="J405" s="72">
        <f t="shared" ca="1" si="41"/>
        <v>10150</v>
      </c>
      <c r="K405" s="72">
        <f t="shared" ca="1" si="44"/>
        <v>0</v>
      </c>
      <c r="L405" s="71">
        <f t="shared" si="45"/>
        <v>10</v>
      </c>
    </row>
    <row r="406" spans="1:12" x14ac:dyDescent="0.25">
      <c r="A406" s="134">
        <v>41183</v>
      </c>
      <c r="B406" s="32">
        <v>5050</v>
      </c>
      <c r="C406" s="32">
        <v>0</v>
      </c>
      <c r="D406" s="32">
        <v>4</v>
      </c>
      <c r="E406" s="109">
        <f t="shared" ca="1" si="42"/>
        <v>191.7391304347826</v>
      </c>
      <c r="F406" s="72">
        <f ca="1">SUM(E406:OFFSET(E406,-crLead_Time-crSaf_Time+1,0))</f>
        <v>575.21739130434776</v>
      </c>
      <c r="G406" s="98">
        <f ca="1">IF(F406&gt;=OFFSET(I406,1,0),IF(crFixedLot&gt;0,crFixedLot,(INT(SUM(E406:OFFSET(E406,-Simulation!$B$7+1,0))/crRoundingValue)+1)*crRoundingValue),0)</f>
        <v>0</v>
      </c>
      <c r="H406" s="98">
        <f t="shared" ca="1" si="43"/>
        <v>0</v>
      </c>
      <c r="I406" s="72">
        <f t="shared" ca="1" si="40"/>
        <v>13600</v>
      </c>
      <c r="J406" s="72">
        <f t="shared" ca="1" si="41"/>
        <v>13600</v>
      </c>
      <c r="K406" s="72">
        <f t="shared" ca="1" si="44"/>
        <v>0</v>
      </c>
      <c r="L406" s="71">
        <f t="shared" si="45"/>
        <v>10</v>
      </c>
    </row>
    <row r="407" spans="1:12" x14ac:dyDescent="0.25">
      <c r="A407" s="134">
        <v>41180</v>
      </c>
      <c r="B407" s="32">
        <v>5050</v>
      </c>
      <c r="C407" s="32">
        <v>0</v>
      </c>
      <c r="D407" s="32">
        <v>5</v>
      </c>
      <c r="E407" s="109">
        <f t="shared" ca="1" si="42"/>
        <v>299</v>
      </c>
      <c r="F407" s="72">
        <f ca="1">SUM(E407:OFFSET(E407,-crLead_Time-crSaf_Time+1,0))</f>
        <v>682.47826086956525</v>
      </c>
      <c r="G407" s="98">
        <f ca="1">IF(F407&gt;=OFFSET(I407,1,0),IF(crFixedLot&gt;0,crFixedLot,(INT(SUM(E407:OFFSET(E407,-Simulation!$B$7+1,0))/crRoundingValue)+1)*crRoundingValue),0)</f>
        <v>0</v>
      </c>
      <c r="H407" s="98">
        <f t="shared" ca="1" si="43"/>
        <v>0</v>
      </c>
      <c r="I407" s="72">
        <f t="shared" ca="1" si="40"/>
        <v>13600</v>
      </c>
      <c r="J407" s="72">
        <f t="shared" ca="1" si="41"/>
        <v>13600</v>
      </c>
      <c r="K407" s="72">
        <f t="shared" ca="1" si="44"/>
        <v>0</v>
      </c>
      <c r="L407" s="71">
        <f t="shared" si="45"/>
        <v>9</v>
      </c>
    </row>
    <row r="408" spans="1:12" x14ac:dyDescent="0.25">
      <c r="A408" s="134">
        <v>41179</v>
      </c>
      <c r="B408" s="32">
        <v>5050</v>
      </c>
      <c r="C408" s="32">
        <v>1150</v>
      </c>
      <c r="D408" s="32">
        <v>6</v>
      </c>
      <c r="E408" s="109">
        <f t="shared" ca="1" si="42"/>
        <v>299</v>
      </c>
      <c r="F408" s="72">
        <f ca="1">SUM(E408:OFFSET(E408,-crLead_Time-crSaf_Time+1,0))</f>
        <v>789.73913043478262</v>
      </c>
      <c r="G408" s="98">
        <f ca="1">IF(F408&gt;=OFFSET(I408,1,0),IF(crFixedLot&gt;0,crFixedLot,(INT(SUM(E408:OFFSET(E408,-Simulation!$B$7+1,0))/crRoundingValue)+1)*crRoundingValue),0)</f>
        <v>0</v>
      </c>
      <c r="H408" s="98">
        <f t="shared" ca="1" si="43"/>
        <v>0</v>
      </c>
      <c r="I408" s="72">
        <f t="shared" ca="1" si="40"/>
        <v>13600</v>
      </c>
      <c r="J408" s="72">
        <f t="shared" ca="1" si="41"/>
        <v>13600</v>
      </c>
      <c r="K408" s="72">
        <f t="shared" ca="1" si="44"/>
        <v>0</v>
      </c>
      <c r="L408" s="71">
        <f t="shared" si="45"/>
        <v>9</v>
      </c>
    </row>
    <row r="409" spans="1:12" x14ac:dyDescent="0.25">
      <c r="A409" s="134">
        <v>41178</v>
      </c>
      <c r="B409" s="32">
        <v>6200</v>
      </c>
      <c r="C409" s="32">
        <v>0</v>
      </c>
      <c r="D409" s="32">
        <v>7</v>
      </c>
      <c r="E409" s="109">
        <f t="shared" ca="1" si="42"/>
        <v>299</v>
      </c>
      <c r="F409" s="72">
        <f ca="1">SUM(E409:OFFSET(E409,-crLead_Time-crSaf_Time+1,0))</f>
        <v>897</v>
      </c>
      <c r="G409" s="98">
        <f ca="1">IF(F409&gt;=OFFSET(I409,1,0),IF(crFixedLot&gt;0,crFixedLot,(INT(SUM(E409:OFFSET(E409,-Simulation!$B$7+1,0))/crRoundingValue)+1)*crRoundingValue),0)</f>
        <v>0</v>
      </c>
      <c r="H409" s="98">
        <f t="shared" ca="1" si="43"/>
        <v>0</v>
      </c>
      <c r="I409" s="72">
        <f t="shared" ca="1" si="40"/>
        <v>14750</v>
      </c>
      <c r="J409" s="72">
        <f t="shared" ca="1" si="41"/>
        <v>14750</v>
      </c>
      <c r="K409" s="72">
        <f t="shared" ca="1" si="44"/>
        <v>0</v>
      </c>
      <c r="L409" s="71">
        <f t="shared" si="45"/>
        <v>9</v>
      </c>
    </row>
    <row r="410" spans="1:12" x14ac:dyDescent="0.25">
      <c r="A410" s="134">
        <v>41177</v>
      </c>
      <c r="B410" s="32">
        <v>6200</v>
      </c>
      <c r="C410" s="32">
        <v>20</v>
      </c>
      <c r="D410" s="32">
        <v>8</v>
      </c>
      <c r="E410" s="109">
        <f t="shared" ca="1" si="42"/>
        <v>299</v>
      </c>
      <c r="F410" s="72">
        <f ca="1">SUM(E410:OFFSET(E410,-crLead_Time-crSaf_Time+1,0))</f>
        <v>897</v>
      </c>
      <c r="G410" s="98">
        <f ca="1">IF(F410&gt;=OFFSET(I410,1,0),IF(crFixedLot&gt;0,crFixedLot,(INT(SUM(E410:OFFSET(E410,-Simulation!$B$7+1,0))/crRoundingValue)+1)*crRoundingValue),0)</f>
        <v>15097</v>
      </c>
      <c r="H410" s="98">
        <f t="shared" ca="1" si="43"/>
        <v>15097</v>
      </c>
      <c r="I410" s="72">
        <f t="shared" ca="1" si="40"/>
        <v>14750</v>
      </c>
      <c r="J410" s="72">
        <f t="shared" ca="1" si="41"/>
        <v>14750</v>
      </c>
      <c r="K410" s="72">
        <f t="shared" ca="1" si="44"/>
        <v>0</v>
      </c>
      <c r="L410" s="71">
        <f t="shared" si="45"/>
        <v>9</v>
      </c>
    </row>
    <row r="411" spans="1:12" x14ac:dyDescent="0.25">
      <c r="A411" s="134">
        <v>41176</v>
      </c>
      <c r="B411" s="32">
        <v>6220</v>
      </c>
      <c r="C411" s="32">
        <v>2300</v>
      </c>
      <c r="D411" s="32">
        <v>9</v>
      </c>
      <c r="E411" s="109">
        <f t="shared" ca="1" si="42"/>
        <v>299</v>
      </c>
      <c r="F411" s="72">
        <f ca="1">SUM(E411:OFFSET(E411,-crLead_Time-crSaf_Time+1,0))</f>
        <v>897</v>
      </c>
      <c r="G411" s="98">
        <f ca="1">IF(F411&gt;=OFFSET(I411,1,0),IF(crFixedLot&gt;0,crFixedLot,(INT(SUM(E411:OFFSET(E411,-Simulation!$B$7+1,0))/crRoundingValue)+1)*crRoundingValue),0)</f>
        <v>0</v>
      </c>
      <c r="H411" s="98">
        <f t="shared" ca="1" si="43"/>
        <v>0</v>
      </c>
      <c r="I411" s="72">
        <f t="shared" ca="1" si="40"/>
        <v>-327</v>
      </c>
      <c r="J411" s="72">
        <f t="shared" ca="1" si="41"/>
        <v>-327</v>
      </c>
      <c r="K411" s="72">
        <f t="shared" ca="1" si="44"/>
        <v>-327</v>
      </c>
      <c r="L411" s="71">
        <f t="shared" si="45"/>
        <v>9</v>
      </c>
    </row>
    <row r="412" spans="1:12" x14ac:dyDescent="0.25">
      <c r="A412" s="134">
        <v>41173</v>
      </c>
      <c r="B412" s="32">
        <v>8520</v>
      </c>
      <c r="C412" s="32">
        <v>690</v>
      </c>
      <c r="D412" s="32">
        <v>10</v>
      </c>
      <c r="E412" s="109">
        <f t="shared" ca="1" si="42"/>
        <v>299</v>
      </c>
      <c r="F412" s="72">
        <f ca="1">SUM(E412:OFFSET(E412,-crLead_Time-crSaf_Time+1,0))</f>
        <v>897</v>
      </c>
      <c r="G412" s="98">
        <f ca="1">IF(F412&gt;=OFFSET(I412,1,0),IF(crFixedLot&gt;0,crFixedLot,(INT(SUM(E412:OFFSET(E412,-Simulation!$B$7+1,0))/crRoundingValue)+1)*crRoundingValue),0)</f>
        <v>0</v>
      </c>
      <c r="H412" s="98">
        <f t="shared" ca="1" si="43"/>
        <v>0</v>
      </c>
      <c r="I412" s="72">
        <f t="shared" ca="1" si="40"/>
        <v>1973</v>
      </c>
      <c r="J412" s="72">
        <f t="shared" ca="1" si="41"/>
        <v>1973</v>
      </c>
      <c r="K412" s="72">
        <f t="shared" ca="1" si="44"/>
        <v>0</v>
      </c>
      <c r="L412" s="71">
        <f t="shared" si="45"/>
        <v>9</v>
      </c>
    </row>
    <row r="413" spans="1:12" x14ac:dyDescent="0.25">
      <c r="A413" s="134">
        <v>41172</v>
      </c>
      <c r="B413" s="32">
        <v>9210</v>
      </c>
      <c r="C413" s="32">
        <v>0</v>
      </c>
      <c r="D413" s="32">
        <v>11</v>
      </c>
      <c r="E413" s="109">
        <f t="shared" ca="1" si="42"/>
        <v>299</v>
      </c>
      <c r="F413" s="72">
        <f ca="1">SUM(E413:OFFSET(E413,-crLead_Time-crSaf_Time+1,0))</f>
        <v>897</v>
      </c>
      <c r="G413" s="98">
        <f ca="1">IF(F413&gt;=OFFSET(I413,1,0),IF(crFixedLot&gt;0,crFixedLot,(INT(SUM(E413:OFFSET(E413,-Simulation!$B$7+1,0))/crRoundingValue)+1)*crRoundingValue),0)</f>
        <v>0</v>
      </c>
      <c r="H413" s="98">
        <f t="shared" ca="1" si="43"/>
        <v>0</v>
      </c>
      <c r="I413" s="72">
        <f t="shared" ca="1" si="40"/>
        <v>2663</v>
      </c>
      <c r="J413" s="72">
        <f t="shared" ca="1" si="41"/>
        <v>2663</v>
      </c>
      <c r="K413" s="72">
        <f t="shared" ca="1" si="44"/>
        <v>0</v>
      </c>
      <c r="L413" s="71">
        <f t="shared" si="45"/>
        <v>9</v>
      </c>
    </row>
    <row r="414" spans="1:12" x14ac:dyDescent="0.25">
      <c r="A414" s="134">
        <v>41171</v>
      </c>
      <c r="B414" s="32">
        <v>9210</v>
      </c>
      <c r="C414" s="32">
        <v>1150</v>
      </c>
      <c r="D414" s="32">
        <v>12</v>
      </c>
      <c r="E414" s="109">
        <f t="shared" ca="1" si="42"/>
        <v>299</v>
      </c>
      <c r="F414" s="72">
        <f ca="1">SUM(E414:OFFSET(E414,-crLead_Time-crSaf_Time+1,0))</f>
        <v>897</v>
      </c>
      <c r="G414" s="98">
        <f ca="1">IF(F414&gt;=OFFSET(I414,1,0),IF(crFixedLot&gt;0,crFixedLot,(INT(SUM(E414:OFFSET(E414,-Simulation!$B$7+1,0))/crRoundingValue)+1)*crRoundingValue),0)</f>
        <v>0</v>
      </c>
      <c r="H414" s="98">
        <f t="shared" ca="1" si="43"/>
        <v>0</v>
      </c>
      <c r="I414" s="72">
        <f t="shared" ca="1" si="40"/>
        <v>2663</v>
      </c>
      <c r="J414" s="72">
        <f t="shared" ca="1" si="41"/>
        <v>2663</v>
      </c>
      <c r="K414" s="72">
        <f t="shared" ca="1" si="44"/>
        <v>0</v>
      </c>
      <c r="L414" s="71">
        <f t="shared" si="45"/>
        <v>9</v>
      </c>
    </row>
    <row r="415" spans="1:12" x14ac:dyDescent="0.25">
      <c r="A415" s="134">
        <v>41170</v>
      </c>
      <c r="B415" s="32">
        <v>10360</v>
      </c>
      <c r="C415" s="32">
        <v>1150</v>
      </c>
      <c r="D415" s="32">
        <v>13</v>
      </c>
      <c r="E415" s="109">
        <f t="shared" ca="1" si="42"/>
        <v>299</v>
      </c>
      <c r="F415" s="72">
        <f ca="1">SUM(E415:OFFSET(E415,-crLead_Time-crSaf_Time+1,0))</f>
        <v>897</v>
      </c>
      <c r="G415" s="98">
        <f ca="1">IF(F415&gt;=OFFSET(I415,1,0),IF(crFixedLot&gt;0,crFixedLot,(INT(SUM(E415:OFFSET(E415,-Simulation!$B$7+1,0))/crRoundingValue)+1)*crRoundingValue),0)</f>
        <v>0</v>
      </c>
      <c r="H415" s="98">
        <f t="shared" ca="1" si="43"/>
        <v>0</v>
      </c>
      <c r="I415" s="72">
        <f t="shared" ca="1" si="40"/>
        <v>3813</v>
      </c>
      <c r="J415" s="72">
        <f t="shared" ca="1" si="41"/>
        <v>3813</v>
      </c>
      <c r="K415" s="72">
        <f t="shared" ca="1" si="44"/>
        <v>0</v>
      </c>
      <c r="L415" s="71">
        <f t="shared" si="45"/>
        <v>9</v>
      </c>
    </row>
    <row r="416" spans="1:12" x14ac:dyDescent="0.25">
      <c r="A416" s="134">
        <v>41169</v>
      </c>
      <c r="B416" s="32">
        <v>11430</v>
      </c>
      <c r="C416" s="32">
        <v>0</v>
      </c>
      <c r="D416" s="32">
        <v>12</v>
      </c>
      <c r="E416" s="109">
        <f t="shared" ca="1" si="42"/>
        <v>299</v>
      </c>
      <c r="F416" s="72">
        <f ca="1">SUM(E416:OFFSET(E416,-crLead_Time-crSaf_Time+1,0))</f>
        <v>897</v>
      </c>
      <c r="G416" s="98">
        <f ca="1">IF(F416&gt;=OFFSET(I416,1,0),IF(crFixedLot&gt;0,crFixedLot,(INT(SUM(E416:OFFSET(E416,-Simulation!$B$7+1,0))/crRoundingValue)+1)*crRoundingValue),0)</f>
        <v>0</v>
      </c>
      <c r="H416" s="98">
        <f t="shared" ca="1" si="43"/>
        <v>0</v>
      </c>
      <c r="I416" s="72">
        <f t="shared" ca="1" si="40"/>
        <v>4963</v>
      </c>
      <c r="J416" s="72">
        <f t="shared" ca="1" si="41"/>
        <v>4963</v>
      </c>
      <c r="K416" s="72">
        <f t="shared" ca="1" si="44"/>
        <v>0</v>
      </c>
      <c r="L416" s="71">
        <f t="shared" si="45"/>
        <v>9</v>
      </c>
    </row>
    <row r="417" spans="1:12" x14ac:dyDescent="0.25">
      <c r="A417" s="134">
        <v>41166</v>
      </c>
      <c r="B417" s="32">
        <v>4530</v>
      </c>
      <c r="C417" s="32">
        <v>0</v>
      </c>
      <c r="D417" s="32">
        <v>5</v>
      </c>
      <c r="E417" s="109">
        <f t="shared" ca="1" si="42"/>
        <v>299</v>
      </c>
      <c r="F417" s="72">
        <f ca="1">SUM(E417:OFFSET(E417,-crLead_Time-crSaf_Time+1,0))</f>
        <v>897</v>
      </c>
      <c r="G417" s="98">
        <f ca="1">IF(F417&gt;=OFFSET(I417,1,0),IF(crFixedLot&gt;0,crFixedLot,(INT(SUM(E417:OFFSET(E417,-Simulation!$B$7+1,0))/crRoundingValue)+1)*crRoundingValue),0)</f>
        <v>0</v>
      </c>
      <c r="H417" s="98">
        <f t="shared" ca="1" si="43"/>
        <v>0</v>
      </c>
      <c r="I417" s="72">
        <f t="shared" ca="1" si="40"/>
        <v>4963</v>
      </c>
      <c r="J417" s="72">
        <f t="shared" ca="1" si="41"/>
        <v>4963</v>
      </c>
      <c r="K417" s="72">
        <f t="shared" ca="1" si="44"/>
        <v>0</v>
      </c>
      <c r="L417" s="71">
        <f t="shared" si="45"/>
        <v>9</v>
      </c>
    </row>
    <row r="418" spans="1:12" x14ac:dyDescent="0.25">
      <c r="A418" s="134">
        <v>41165</v>
      </c>
      <c r="B418" s="32">
        <v>4530</v>
      </c>
      <c r="C418" s="32">
        <v>100</v>
      </c>
      <c r="D418" s="32">
        <v>6</v>
      </c>
      <c r="E418" s="109">
        <f t="shared" ca="1" si="42"/>
        <v>299</v>
      </c>
      <c r="F418" s="72">
        <f ca="1">SUM(E418:OFFSET(E418,-crLead_Time-crSaf_Time+1,0))</f>
        <v>897</v>
      </c>
      <c r="G418" s="98">
        <f ca="1">IF(F418&gt;=OFFSET(I418,1,0),IF(crFixedLot&gt;0,crFixedLot,(INT(SUM(E418:OFFSET(E418,-Simulation!$B$7+1,0))/crRoundingValue)+1)*crRoundingValue),0)</f>
        <v>0</v>
      </c>
      <c r="H418" s="98">
        <f t="shared" ca="1" si="43"/>
        <v>0</v>
      </c>
      <c r="I418" s="72">
        <f t="shared" ca="1" si="40"/>
        <v>4963</v>
      </c>
      <c r="J418" s="72">
        <f t="shared" ca="1" si="41"/>
        <v>4963</v>
      </c>
      <c r="K418" s="72">
        <f t="shared" ca="1" si="44"/>
        <v>0</v>
      </c>
      <c r="L418" s="71">
        <f t="shared" si="45"/>
        <v>9</v>
      </c>
    </row>
    <row r="419" spans="1:12" x14ac:dyDescent="0.25">
      <c r="A419" s="134">
        <v>41164</v>
      </c>
      <c r="B419" s="32">
        <v>4630</v>
      </c>
      <c r="C419" s="32">
        <v>0</v>
      </c>
      <c r="D419" s="32">
        <v>7</v>
      </c>
      <c r="E419" s="109">
        <f t="shared" ca="1" si="42"/>
        <v>299</v>
      </c>
      <c r="F419" s="72">
        <f ca="1">SUM(E419:OFFSET(E419,-crLead_Time-crSaf_Time+1,0))</f>
        <v>897</v>
      </c>
      <c r="G419" s="98">
        <f ca="1">IF(F419&gt;=OFFSET(I419,1,0),IF(crFixedLot&gt;0,crFixedLot,(INT(SUM(E419:OFFSET(E419,-Simulation!$B$7+1,0))/crRoundingValue)+1)*crRoundingValue),0)</f>
        <v>0</v>
      </c>
      <c r="H419" s="98">
        <f t="shared" ca="1" si="43"/>
        <v>0</v>
      </c>
      <c r="I419" s="72">
        <f t="shared" ca="1" si="40"/>
        <v>5063</v>
      </c>
      <c r="J419" s="72">
        <f t="shared" ca="1" si="41"/>
        <v>5063</v>
      </c>
      <c r="K419" s="72">
        <f t="shared" ca="1" si="44"/>
        <v>0</v>
      </c>
      <c r="L419" s="71">
        <f t="shared" si="45"/>
        <v>9</v>
      </c>
    </row>
    <row r="420" spans="1:12" x14ac:dyDescent="0.25">
      <c r="A420" s="134">
        <v>41163</v>
      </c>
      <c r="B420" s="32">
        <v>4630</v>
      </c>
      <c r="C420" s="32">
        <v>1150</v>
      </c>
      <c r="D420" s="32">
        <v>8</v>
      </c>
      <c r="E420" s="109">
        <f t="shared" ca="1" si="42"/>
        <v>299</v>
      </c>
      <c r="F420" s="72">
        <f ca="1">SUM(E420:OFFSET(E420,-crLead_Time-crSaf_Time+1,0))</f>
        <v>897</v>
      </c>
      <c r="G420" s="98">
        <f ca="1">IF(F420&gt;=OFFSET(I420,1,0),IF(crFixedLot&gt;0,crFixedLot,(INT(SUM(E420:OFFSET(E420,-Simulation!$B$7+1,0))/crRoundingValue)+1)*crRoundingValue),0)</f>
        <v>0</v>
      </c>
      <c r="H420" s="98">
        <f t="shared" ca="1" si="43"/>
        <v>0</v>
      </c>
      <c r="I420" s="72">
        <f t="shared" ca="1" si="40"/>
        <v>5063</v>
      </c>
      <c r="J420" s="72">
        <f t="shared" ca="1" si="41"/>
        <v>5063</v>
      </c>
      <c r="K420" s="72">
        <f t="shared" ca="1" si="44"/>
        <v>0</v>
      </c>
      <c r="L420" s="71">
        <f t="shared" si="45"/>
        <v>9</v>
      </c>
    </row>
    <row r="421" spans="1:12" x14ac:dyDescent="0.25">
      <c r="A421" s="134">
        <v>41162</v>
      </c>
      <c r="B421" s="32">
        <v>5780</v>
      </c>
      <c r="C421" s="32">
        <v>0</v>
      </c>
      <c r="D421" s="32">
        <v>9</v>
      </c>
      <c r="E421" s="109">
        <f t="shared" ca="1" si="42"/>
        <v>299</v>
      </c>
      <c r="F421" s="72">
        <f ca="1">SUM(E421:OFFSET(E421,-crLead_Time-crSaf_Time+1,0))</f>
        <v>897</v>
      </c>
      <c r="G421" s="98">
        <f ca="1">IF(F421&gt;=OFFSET(I421,1,0),IF(crFixedLot&gt;0,crFixedLot,(INT(SUM(E421:OFFSET(E421,-Simulation!$B$7+1,0))/crRoundingValue)+1)*crRoundingValue),0)</f>
        <v>0</v>
      </c>
      <c r="H421" s="98">
        <f t="shared" ca="1" si="43"/>
        <v>0</v>
      </c>
      <c r="I421" s="72">
        <f t="shared" ca="1" si="40"/>
        <v>6213</v>
      </c>
      <c r="J421" s="72">
        <f t="shared" ca="1" si="41"/>
        <v>6213</v>
      </c>
      <c r="K421" s="72">
        <f t="shared" ca="1" si="44"/>
        <v>0</v>
      </c>
      <c r="L421" s="71">
        <f t="shared" si="45"/>
        <v>9</v>
      </c>
    </row>
    <row r="422" spans="1:12" x14ac:dyDescent="0.25">
      <c r="A422" s="134">
        <v>41159</v>
      </c>
      <c r="B422" s="32">
        <v>5780</v>
      </c>
      <c r="C422" s="32">
        <v>0</v>
      </c>
      <c r="D422" s="32">
        <v>10</v>
      </c>
      <c r="E422" s="109">
        <f t="shared" ca="1" si="42"/>
        <v>299</v>
      </c>
      <c r="F422" s="72">
        <f ca="1">SUM(E422:OFFSET(E422,-crLead_Time-crSaf_Time+1,0))</f>
        <v>897</v>
      </c>
      <c r="G422" s="98">
        <f ca="1">IF(F422&gt;=OFFSET(I422,1,0),IF(crFixedLot&gt;0,crFixedLot,(INT(SUM(E422:OFFSET(E422,-Simulation!$B$7+1,0))/crRoundingValue)+1)*crRoundingValue),0)</f>
        <v>0</v>
      </c>
      <c r="H422" s="98">
        <f t="shared" ca="1" si="43"/>
        <v>0</v>
      </c>
      <c r="I422" s="72">
        <f t="shared" ca="1" si="40"/>
        <v>6213</v>
      </c>
      <c r="J422" s="72">
        <f t="shared" ca="1" si="41"/>
        <v>6213</v>
      </c>
      <c r="K422" s="72">
        <f t="shared" ca="1" si="44"/>
        <v>0</v>
      </c>
      <c r="L422" s="71">
        <f t="shared" si="45"/>
        <v>9</v>
      </c>
    </row>
    <row r="423" spans="1:12" x14ac:dyDescent="0.25">
      <c r="A423" s="134">
        <v>41158</v>
      </c>
      <c r="B423" s="32">
        <v>5780</v>
      </c>
      <c r="C423" s="32">
        <v>0</v>
      </c>
      <c r="D423" s="32">
        <v>11</v>
      </c>
      <c r="E423" s="109">
        <f t="shared" ca="1" si="42"/>
        <v>299</v>
      </c>
      <c r="F423" s="72">
        <f ca="1">SUM(E423:OFFSET(E423,-crLead_Time-crSaf_Time+1,0))</f>
        <v>897</v>
      </c>
      <c r="G423" s="98">
        <f ca="1">IF(F423&gt;=OFFSET(I423,1,0),IF(crFixedLot&gt;0,crFixedLot,(INT(SUM(E423:OFFSET(E423,-Simulation!$B$7+1,0))/crRoundingValue)+1)*crRoundingValue),0)</f>
        <v>0</v>
      </c>
      <c r="H423" s="98">
        <f t="shared" ca="1" si="43"/>
        <v>0</v>
      </c>
      <c r="I423" s="72">
        <f t="shared" ca="1" si="40"/>
        <v>6213</v>
      </c>
      <c r="J423" s="72">
        <f t="shared" ca="1" si="41"/>
        <v>6213</v>
      </c>
      <c r="K423" s="72">
        <f t="shared" ca="1" si="44"/>
        <v>0</v>
      </c>
      <c r="L423" s="71">
        <f t="shared" si="45"/>
        <v>9</v>
      </c>
    </row>
    <row r="424" spans="1:12" x14ac:dyDescent="0.25">
      <c r="A424" s="134">
        <v>41157</v>
      </c>
      <c r="B424" s="32">
        <v>5780</v>
      </c>
      <c r="C424" s="32">
        <v>0</v>
      </c>
      <c r="D424" s="32">
        <v>12</v>
      </c>
      <c r="E424" s="109">
        <f t="shared" ca="1" si="42"/>
        <v>299</v>
      </c>
      <c r="F424" s="72">
        <f ca="1">SUM(E424:OFFSET(E424,-crLead_Time-crSaf_Time+1,0))</f>
        <v>897</v>
      </c>
      <c r="G424" s="98">
        <f ca="1">IF(F424&gt;=OFFSET(I424,1,0),IF(crFixedLot&gt;0,crFixedLot,(INT(SUM(E424:OFFSET(E424,-Simulation!$B$7+1,0))/crRoundingValue)+1)*crRoundingValue),0)</f>
        <v>0</v>
      </c>
      <c r="H424" s="98">
        <f t="shared" ca="1" si="43"/>
        <v>0</v>
      </c>
      <c r="I424" s="72">
        <f t="shared" ca="1" si="40"/>
        <v>6213</v>
      </c>
      <c r="J424" s="72">
        <f t="shared" ca="1" si="41"/>
        <v>6213</v>
      </c>
      <c r="K424" s="72">
        <f t="shared" ca="1" si="44"/>
        <v>0</v>
      </c>
      <c r="L424" s="71">
        <f t="shared" si="45"/>
        <v>9</v>
      </c>
    </row>
    <row r="425" spans="1:12" x14ac:dyDescent="0.25">
      <c r="A425" s="134">
        <v>41156</v>
      </c>
      <c r="B425" s="32">
        <v>5780</v>
      </c>
      <c r="C425" s="32">
        <v>1840</v>
      </c>
      <c r="D425" s="32">
        <v>13</v>
      </c>
      <c r="E425" s="109">
        <f t="shared" ca="1" si="42"/>
        <v>299</v>
      </c>
      <c r="F425" s="72">
        <f ca="1">SUM(E425:OFFSET(E425,-crLead_Time-crSaf_Time+1,0))</f>
        <v>897</v>
      </c>
      <c r="G425" s="98">
        <f ca="1">IF(F425&gt;=OFFSET(I425,1,0),IF(crFixedLot&gt;0,crFixedLot,(INT(SUM(E425:OFFSET(E425,-Simulation!$B$7+1,0))/crRoundingValue)+1)*crRoundingValue),0)</f>
        <v>0</v>
      </c>
      <c r="H425" s="98">
        <f t="shared" ca="1" si="43"/>
        <v>0</v>
      </c>
      <c r="I425" s="72">
        <f t="shared" ca="1" si="40"/>
        <v>6213</v>
      </c>
      <c r="J425" s="72">
        <f t="shared" ca="1" si="41"/>
        <v>6213</v>
      </c>
      <c r="K425" s="72">
        <f t="shared" ca="1" si="44"/>
        <v>0</v>
      </c>
      <c r="L425" s="71">
        <f t="shared" si="45"/>
        <v>9</v>
      </c>
    </row>
    <row r="426" spans="1:12" x14ac:dyDescent="0.25">
      <c r="A426" s="134">
        <v>41155</v>
      </c>
      <c r="B426" s="32">
        <v>7620</v>
      </c>
      <c r="C426" s="32">
        <v>0</v>
      </c>
      <c r="D426" s="32">
        <v>14</v>
      </c>
      <c r="E426" s="109">
        <f t="shared" ca="1" si="42"/>
        <v>299</v>
      </c>
      <c r="F426" s="72">
        <f ca="1">SUM(E426:OFFSET(E426,-crLead_Time-crSaf_Time+1,0))</f>
        <v>897</v>
      </c>
      <c r="G426" s="98">
        <f ca="1">IF(F426&gt;=OFFSET(I426,1,0),IF(crFixedLot&gt;0,crFixedLot,(INT(SUM(E426:OFFSET(E426,-Simulation!$B$7+1,0))/crRoundingValue)+1)*crRoundingValue),0)</f>
        <v>0</v>
      </c>
      <c r="H426" s="98">
        <f t="shared" ca="1" si="43"/>
        <v>0</v>
      </c>
      <c r="I426" s="72">
        <f t="shared" ca="1" si="40"/>
        <v>8053</v>
      </c>
      <c r="J426" s="72">
        <f t="shared" ca="1" si="41"/>
        <v>8053</v>
      </c>
      <c r="K426" s="72">
        <f t="shared" ca="1" si="44"/>
        <v>0</v>
      </c>
      <c r="L426" s="71">
        <f t="shared" si="45"/>
        <v>9</v>
      </c>
    </row>
    <row r="427" spans="1:12" x14ac:dyDescent="0.25">
      <c r="A427" s="134">
        <v>41152</v>
      </c>
      <c r="B427" s="32">
        <v>7620</v>
      </c>
      <c r="C427" s="32">
        <v>0</v>
      </c>
      <c r="D427" s="32">
        <v>15</v>
      </c>
      <c r="E427" s="109">
        <f t="shared" ca="1" si="42"/>
        <v>185.21739130434781</v>
      </c>
      <c r="F427" s="72">
        <f ca="1">SUM(E427:OFFSET(E427,-crLead_Time-crSaf_Time+1,0))</f>
        <v>783.21739130434776</v>
      </c>
      <c r="G427" s="98">
        <f ca="1">IF(F427&gt;=OFFSET(I427,1,0),IF(crFixedLot&gt;0,crFixedLot,(INT(SUM(E427:OFFSET(E427,-Simulation!$B$7+1,0))/crRoundingValue)+1)*crRoundingValue),0)</f>
        <v>0</v>
      </c>
      <c r="H427" s="98">
        <f t="shared" ca="1" si="43"/>
        <v>0</v>
      </c>
      <c r="I427" s="72">
        <f t="shared" ca="1" si="40"/>
        <v>8053</v>
      </c>
      <c r="J427" s="72">
        <f t="shared" ca="1" si="41"/>
        <v>8053</v>
      </c>
      <c r="K427" s="72">
        <f t="shared" ca="1" si="44"/>
        <v>0</v>
      </c>
      <c r="L427" s="71">
        <f t="shared" si="45"/>
        <v>8</v>
      </c>
    </row>
    <row r="428" spans="1:12" x14ac:dyDescent="0.25">
      <c r="A428" s="134">
        <v>41151</v>
      </c>
      <c r="B428" s="32">
        <v>7620</v>
      </c>
      <c r="C428" s="32">
        <v>0</v>
      </c>
      <c r="D428" s="32">
        <v>16</v>
      </c>
      <c r="E428" s="109">
        <f t="shared" ca="1" si="42"/>
        <v>185.21739130434781</v>
      </c>
      <c r="F428" s="72">
        <f ca="1">SUM(E428:OFFSET(E428,-crLead_Time-crSaf_Time+1,0))</f>
        <v>669.43478260869563</v>
      </c>
      <c r="G428" s="98">
        <f ca="1">IF(F428&gt;=OFFSET(I428,1,0),IF(crFixedLot&gt;0,crFixedLot,(INT(SUM(E428:OFFSET(E428,-Simulation!$B$7+1,0))/crRoundingValue)+1)*crRoundingValue),0)</f>
        <v>0</v>
      </c>
      <c r="H428" s="98">
        <f t="shared" ca="1" si="43"/>
        <v>0</v>
      </c>
      <c r="I428" s="72">
        <f t="shared" ref="I428:I484" ca="1" si="46">OFFSET(I428,1,0)-C428+G428</f>
        <v>8053</v>
      </c>
      <c r="J428" s="72">
        <f t="shared" ref="J428:J484" ca="1" si="47">OFFSET(J428,1,0)-C428+H428</f>
        <v>8053</v>
      </c>
      <c r="K428" s="72">
        <f t="shared" ca="1" si="44"/>
        <v>0</v>
      </c>
      <c r="L428" s="71">
        <f t="shared" si="45"/>
        <v>8</v>
      </c>
    </row>
    <row r="429" spans="1:12" x14ac:dyDescent="0.25">
      <c r="A429" s="134">
        <v>41150</v>
      </c>
      <c r="B429" s="32">
        <v>7620</v>
      </c>
      <c r="C429" s="32">
        <v>0</v>
      </c>
      <c r="D429" s="32">
        <v>17</v>
      </c>
      <c r="E429" s="109">
        <f t="shared" ca="1" si="42"/>
        <v>185.21739130434781</v>
      </c>
      <c r="F429" s="72">
        <f ca="1">SUM(E429:OFFSET(E429,-crLead_Time-crSaf_Time+1,0))</f>
        <v>555.6521739130435</v>
      </c>
      <c r="G429" s="98">
        <f ca="1">IF(F429&gt;=OFFSET(I429,1,0),IF(crFixedLot&gt;0,crFixedLot,(INT(SUM(E429:OFFSET(E429,-Simulation!$B$7+1,0))/crRoundingValue)+1)*crRoundingValue),0)</f>
        <v>0</v>
      </c>
      <c r="H429" s="98">
        <f t="shared" ca="1" si="43"/>
        <v>0</v>
      </c>
      <c r="I429" s="72">
        <f t="shared" ca="1" si="46"/>
        <v>8053</v>
      </c>
      <c r="J429" s="72">
        <f t="shared" ca="1" si="47"/>
        <v>8053</v>
      </c>
      <c r="K429" s="72">
        <f t="shared" ca="1" si="44"/>
        <v>0</v>
      </c>
      <c r="L429" s="71">
        <f t="shared" si="45"/>
        <v>8</v>
      </c>
    </row>
    <row r="430" spans="1:12" x14ac:dyDescent="0.25">
      <c r="A430" s="134">
        <v>41149</v>
      </c>
      <c r="B430" s="32">
        <v>7620</v>
      </c>
      <c r="C430" s="32">
        <v>0</v>
      </c>
      <c r="D430" s="32">
        <v>18</v>
      </c>
      <c r="E430" s="109">
        <f t="shared" ca="1" si="42"/>
        <v>185.21739130434781</v>
      </c>
      <c r="F430" s="72">
        <f ca="1">SUM(E430:OFFSET(E430,-crLead_Time-crSaf_Time+1,0))</f>
        <v>555.6521739130435</v>
      </c>
      <c r="G430" s="98">
        <f ca="1">IF(F430&gt;=OFFSET(I430,1,0),IF(crFixedLot&gt;0,crFixedLot,(INT(SUM(E430:OFFSET(E430,-Simulation!$B$7+1,0))/crRoundingValue)+1)*crRoundingValue),0)</f>
        <v>0</v>
      </c>
      <c r="H430" s="98">
        <f t="shared" ca="1" si="43"/>
        <v>0</v>
      </c>
      <c r="I430" s="72">
        <f t="shared" ca="1" si="46"/>
        <v>8053</v>
      </c>
      <c r="J430" s="72">
        <f t="shared" ca="1" si="47"/>
        <v>8053</v>
      </c>
      <c r="K430" s="72">
        <f t="shared" ca="1" si="44"/>
        <v>0</v>
      </c>
      <c r="L430" s="71">
        <f t="shared" si="45"/>
        <v>8</v>
      </c>
    </row>
    <row r="431" spans="1:12" x14ac:dyDescent="0.25">
      <c r="A431" s="134">
        <v>41148</v>
      </c>
      <c r="B431" s="32">
        <v>7620</v>
      </c>
      <c r="C431" s="32">
        <v>0</v>
      </c>
      <c r="D431" s="32">
        <v>19</v>
      </c>
      <c r="E431" s="109">
        <f t="shared" ca="1" si="42"/>
        <v>185.21739130434781</v>
      </c>
      <c r="F431" s="72">
        <f ca="1">SUM(E431:OFFSET(E431,-crLead_Time-crSaf_Time+1,0))</f>
        <v>555.6521739130435</v>
      </c>
      <c r="G431" s="98">
        <f ca="1">IF(F431&gt;=OFFSET(I431,1,0),IF(crFixedLot&gt;0,crFixedLot,(INT(SUM(E431:OFFSET(E431,-Simulation!$B$7+1,0))/crRoundingValue)+1)*crRoundingValue),0)</f>
        <v>0</v>
      </c>
      <c r="H431" s="98">
        <f t="shared" ca="1" si="43"/>
        <v>0</v>
      </c>
      <c r="I431" s="72">
        <f t="shared" ca="1" si="46"/>
        <v>8053</v>
      </c>
      <c r="J431" s="72">
        <f t="shared" ca="1" si="47"/>
        <v>8053</v>
      </c>
      <c r="K431" s="72">
        <f t="shared" ca="1" si="44"/>
        <v>0</v>
      </c>
      <c r="L431" s="71">
        <f t="shared" si="45"/>
        <v>8</v>
      </c>
    </row>
    <row r="432" spans="1:12" x14ac:dyDescent="0.25">
      <c r="A432" s="134">
        <v>41145</v>
      </c>
      <c r="B432" s="32">
        <v>7620</v>
      </c>
      <c r="C432" s="32">
        <v>460</v>
      </c>
      <c r="D432" s="32">
        <v>20</v>
      </c>
      <c r="E432" s="109">
        <f t="shared" ca="1" si="42"/>
        <v>185.21739130434781</v>
      </c>
      <c r="F432" s="72">
        <f ca="1">SUM(E432:OFFSET(E432,-crLead_Time-crSaf_Time+1,0))</f>
        <v>555.6521739130435</v>
      </c>
      <c r="G432" s="98">
        <f ca="1">IF(F432&gt;=OFFSET(I432,1,0),IF(crFixedLot&gt;0,crFixedLot,(INT(SUM(E432:OFFSET(E432,-Simulation!$B$7+1,0))/crRoundingValue)+1)*crRoundingValue),0)</f>
        <v>0</v>
      </c>
      <c r="H432" s="98">
        <f t="shared" ca="1" si="43"/>
        <v>0</v>
      </c>
      <c r="I432" s="72">
        <f t="shared" ca="1" si="46"/>
        <v>8053</v>
      </c>
      <c r="J432" s="72">
        <f t="shared" ca="1" si="47"/>
        <v>8053</v>
      </c>
      <c r="K432" s="72">
        <f t="shared" ca="1" si="44"/>
        <v>0</v>
      </c>
      <c r="L432" s="71">
        <f t="shared" si="45"/>
        <v>8</v>
      </c>
    </row>
    <row r="433" spans="1:12" x14ac:dyDescent="0.25">
      <c r="A433" s="134">
        <v>41144</v>
      </c>
      <c r="B433" s="32">
        <v>8080</v>
      </c>
      <c r="C433" s="32">
        <v>1150</v>
      </c>
      <c r="D433" s="32">
        <v>21</v>
      </c>
      <c r="E433" s="109">
        <f t="shared" ca="1" si="42"/>
        <v>185.21739130434781</v>
      </c>
      <c r="F433" s="72">
        <f ca="1">SUM(E433:OFFSET(E433,-crLead_Time-crSaf_Time+1,0))</f>
        <v>555.6521739130435</v>
      </c>
      <c r="G433" s="98">
        <f ca="1">IF(F433&gt;=OFFSET(I433,1,0),IF(crFixedLot&gt;0,crFixedLot,(INT(SUM(E433:OFFSET(E433,-Simulation!$B$7+1,0))/crRoundingValue)+1)*crRoundingValue),0)</f>
        <v>0</v>
      </c>
      <c r="H433" s="98">
        <f t="shared" ca="1" si="43"/>
        <v>0</v>
      </c>
      <c r="I433" s="72">
        <f t="shared" ca="1" si="46"/>
        <v>8513</v>
      </c>
      <c r="J433" s="72">
        <f t="shared" ca="1" si="47"/>
        <v>8513</v>
      </c>
      <c r="K433" s="72">
        <f t="shared" ca="1" si="44"/>
        <v>0</v>
      </c>
      <c r="L433" s="71">
        <f t="shared" si="45"/>
        <v>8</v>
      </c>
    </row>
    <row r="434" spans="1:12" x14ac:dyDescent="0.25">
      <c r="A434" s="134">
        <v>41143</v>
      </c>
      <c r="B434" s="32">
        <v>9260</v>
      </c>
      <c r="C434" s="32">
        <v>1150</v>
      </c>
      <c r="D434" s="32">
        <v>22</v>
      </c>
      <c r="E434" s="109">
        <f t="shared" ca="1" si="42"/>
        <v>185.21739130434781</v>
      </c>
      <c r="F434" s="72">
        <f ca="1">SUM(E434:OFFSET(E434,-crLead_Time-crSaf_Time+1,0))</f>
        <v>555.6521739130435</v>
      </c>
      <c r="G434" s="98">
        <f ca="1">IF(F434&gt;=OFFSET(I434,1,0),IF(crFixedLot&gt;0,crFixedLot,(INT(SUM(E434:OFFSET(E434,-Simulation!$B$7+1,0))/crRoundingValue)+1)*crRoundingValue),0)</f>
        <v>0</v>
      </c>
      <c r="H434" s="98">
        <f t="shared" ca="1" si="43"/>
        <v>0</v>
      </c>
      <c r="I434" s="72">
        <f t="shared" ca="1" si="46"/>
        <v>9663</v>
      </c>
      <c r="J434" s="72">
        <f t="shared" ca="1" si="47"/>
        <v>9663</v>
      </c>
      <c r="K434" s="72">
        <f t="shared" ca="1" si="44"/>
        <v>0</v>
      </c>
      <c r="L434" s="71">
        <f t="shared" si="45"/>
        <v>8</v>
      </c>
    </row>
    <row r="435" spans="1:12" x14ac:dyDescent="0.25">
      <c r="A435" s="134">
        <v>41142</v>
      </c>
      <c r="B435" s="32">
        <v>10410</v>
      </c>
      <c r="C435" s="32">
        <v>0</v>
      </c>
      <c r="D435" s="32">
        <v>23</v>
      </c>
      <c r="E435" s="109">
        <f t="shared" ca="1" si="42"/>
        <v>185.21739130434781</v>
      </c>
      <c r="F435" s="72">
        <f ca="1">SUM(E435:OFFSET(E435,-crLead_Time-crSaf_Time+1,0))</f>
        <v>555.6521739130435</v>
      </c>
      <c r="G435" s="98">
        <f ca="1">IF(F435&gt;=OFFSET(I435,1,0),IF(crFixedLot&gt;0,crFixedLot,(INT(SUM(E435:OFFSET(E435,-Simulation!$B$7+1,0))/crRoundingValue)+1)*crRoundingValue),0)</f>
        <v>0</v>
      </c>
      <c r="H435" s="98">
        <f t="shared" ca="1" si="43"/>
        <v>0</v>
      </c>
      <c r="I435" s="72">
        <f t="shared" ca="1" si="46"/>
        <v>10813</v>
      </c>
      <c r="J435" s="72">
        <f t="shared" ca="1" si="47"/>
        <v>10813</v>
      </c>
      <c r="K435" s="72">
        <f t="shared" ca="1" si="44"/>
        <v>0</v>
      </c>
      <c r="L435" s="71">
        <f t="shared" si="45"/>
        <v>8</v>
      </c>
    </row>
    <row r="436" spans="1:12" x14ac:dyDescent="0.25">
      <c r="A436" s="134">
        <v>41141</v>
      </c>
      <c r="B436" s="32">
        <v>10410</v>
      </c>
      <c r="C436" s="32">
        <v>0</v>
      </c>
      <c r="D436" s="32">
        <v>24</v>
      </c>
      <c r="E436" s="109">
        <f t="shared" ca="1" si="42"/>
        <v>185.21739130434781</v>
      </c>
      <c r="F436" s="72">
        <f ca="1">SUM(E436:OFFSET(E436,-crLead_Time-crSaf_Time+1,0))</f>
        <v>555.6521739130435</v>
      </c>
      <c r="G436" s="98">
        <f ca="1">IF(F436&gt;=OFFSET(I436,1,0),IF(crFixedLot&gt;0,crFixedLot,(INT(SUM(E436:OFFSET(E436,-Simulation!$B$7+1,0))/crRoundingValue)+1)*crRoundingValue),0)</f>
        <v>0</v>
      </c>
      <c r="H436" s="98">
        <f t="shared" ca="1" si="43"/>
        <v>0</v>
      </c>
      <c r="I436" s="72">
        <f t="shared" ca="1" si="46"/>
        <v>10813</v>
      </c>
      <c r="J436" s="72">
        <f t="shared" ca="1" si="47"/>
        <v>10813</v>
      </c>
      <c r="K436" s="72">
        <f t="shared" ca="1" si="44"/>
        <v>0</v>
      </c>
      <c r="L436" s="71">
        <f t="shared" si="45"/>
        <v>8</v>
      </c>
    </row>
    <row r="437" spans="1:12" x14ac:dyDescent="0.25">
      <c r="A437" s="135">
        <v>41138</v>
      </c>
      <c r="B437" s="30">
        <v>10410</v>
      </c>
      <c r="C437" s="30">
        <v>230</v>
      </c>
      <c r="D437" s="30">
        <v>25</v>
      </c>
      <c r="E437" s="109">
        <f t="shared" ca="1" si="42"/>
        <v>185.21739130434781</v>
      </c>
      <c r="F437" s="72">
        <f ca="1">SUM(E437:OFFSET(E437,-crLead_Time-crSaf_Time+1,0))</f>
        <v>555.6521739130435</v>
      </c>
      <c r="G437" s="98">
        <f ca="1">IF(F437&gt;=OFFSET(I437,1,0),IF(crFixedLot&gt;0,crFixedLot,(INT(SUM(E437:OFFSET(E437,-Simulation!$B$7+1,0))/crRoundingValue)+1)*crRoundingValue),0)</f>
        <v>0</v>
      </c>
      <c r="H437" s="98">
        <f t="shared" ca="1" si="43"/>
        <v>0</v>
      </c>
      <c r="I437" s="72">
        <f t="shared" ca="1" si="46"/>
        <v>10813</v>
      </c>
      <c r="J437" s="72">
        <f t="shared" ca="1" si="47"/>
        <v>10813</v>
      </c>
      <c r="K437" s="72">
        <f t="shared" ca="1" si="44"/>
        <v>0</v>
      </c>
      <c r="L437" s="71">
        <f t="shared" si="45"/>
        <v>8</v>
      </c>
    </row>
    <row r="438" spans="1:12" x14ac:dyDescent="0.25">
      <c r="A438" s="135">
        <v>41137</v>
      </c>
      <c r="B438" s="30">
        <v>10640</v>
      </c>
      <c r="C438" s="30">
        <v>0</v>
      </c>
      <c r="D438" s="30">
        <v>26</v>
      </c>
      <c r="E438" s="109">
        <f t="shared" ca="1" si="42"/>
        <v>185.21739130434781</v>
      </c>
      <c r="F438" s="72">
        <f ca="1">SUM(E438:OFFSET(E438,-crLead_Time-crSaf_Time+1,0))</f>
        <v>555.6521739130435</v>
      </c>
      <c r="G438" s="98">
        <f ca="1">IF(F438&gt;=OFFSET(I438,1,0),IF(crFixedLot&gt;0,crFixedLot,(INT(SUM(E438:OFFSET(E438,-Simulation!$B$7+1,0))/crRoundingValue)+1)*crRoundingValue),0)</f>
        <v>0</v>
      </c>
      <c r="H438" s="98">
        <f t="shared" ca="1" si="43"/>
        <v>0</v>
      </c>
      <c r="I438" s="72">
        <f t="shared" ca="1" si="46"/>
        <v>11043</v>
      </c>
      <c r="J438" s="72">
        <f t="shared" ca="1" si="47"/>
        <v>11043</v>
      </c>
      <c r="K438" s="72">
        <f t="shared" ca="1" si="44"/>
        <v>0</v>
      </c>
      <c r="L438" s="71">
        <f t="shared" si="45"/>
        <v>8</v>
      </c>
    </row>
    <row r="439" spans="1:12" x14ac:dyDescent="0.25">
      <c r="A439" s="135">
        <v>41136</v>
      </c>
      <c r="B439" s="30">
        <v>10640</v>
      </c>
      <c r="C439" s="30">
        <v>0</v>
      </c>
      <c r="D439" s="30">
        <v>27</v>
      </c>
      <c r="E439" s="109">
        <f t="shared" ca="1" si="42"/>
        <v>185.21739130434781</v>
      </c>
      <c r="F439" s="72">
        <f ca="1">SUM(E439:OFFSET(E439,-crLead_Time-crSaf_Time+1,0))</f>
        <v>555.6521739130435</v>
      </c>
      <c r="G439" s="98">
        <f ca="1">IF(F439&gt;=OFFSET(I439,1,0),IF(crFixedLot&gt;0,crFixedLot,(INT(SUM(E439:OFFSET(E439,-Simulation!$B$7+1,0))/crRoundingValue)+1)*crRoundingValue),0)</f>
        <v>0</v>
      </c>
      <c r="H439" s="98">
        <f t="shared" ca="1" si="43"/>
        <v>0</v>
      </c>
      <c r="I439" s="72">
        <f t="shared" ca="1" si="46"/>
        <v>11043</v>
      </c>
      <c r="J439" s="72">
        <f t="shared" ca="1" si="47"/>
        <v>11043</v>
      </c>
      <c r="K439" s="72">
        <f t="shared" ca="1" si="44"/>
        <v>0</v>
      </c>
      <c r="L439" s="71">
        <f t="shared" si="45"/>
        <v>8</v>
      </c>
    </row>
    <row r="440" spans="1:12" x14ac:dyDescent="0.25">
      <c r="A440" s="135">
        <v>41135</v>
      </c>
      <c r="B440" s="30">
        <v>10640</v>
      </c>
      <c r="C440" s="30">
        <v>0</v>
      </c>
      <c r="D440" s="30">
        <v>28</v>
      </c>
      <c r="E440" s="109">
        <f t="shared" ca="1" si="42"/>
        <v>185.21739130434781</v>
      </c>
      <c r="F440" s="72">
        <f ca="1">SUM(E440:OFFSET(E440,-crLead_Time-crSaf_Time+1,0))</f>
        <v>555.6521739130435</v>
      </c>
      <c r="G440" s="98">
        <f ca="1">IF(F440&gt;=OFFSET(I440,1,0),IF(crFixedLot&gt;0,crFixedLot,(INT(SUM(E440:OFFSET(E440,-Simulation!$B$7+1,0))/crRoundingValue)+1)*crRoundingValue),0)</f>
        <v>10683</v>
      </c>
      <c r="H440" s="98">
        <f t="shared" ca="1" si="43"/>
        <v>10683</v>
      </c>
      <c r="I440" s="72">
        <f t="shared" ca="1" si="46"/>
        <v>11043</v>
      </c>
      <c r="J440" s="72">
        <f t="shared" ca="1" si="47"/>
        <v>11043</v>
      </c>
      <c r="K440" s="72">
        <f t="shared" ca="1" si="44"/>
        <v>0</v>
      </c>
      <c r="L440" s="71">
        <f t="shared" si="45"/>
        <v>8</v>
      </c>
    </row>
    <row r="441" spans="1:12" x14ac:dyDescent="0.25">
      <c r="A441" s="135">
        <v>41134</v>
      </c>
      <c r="B441" s="30">
        <v>10640</v>
      </c>
      <c r="C441" s="30">
        <v>230</v>
      </c>
      <c r="D441" s="30">
        <v>29</v>
      </c>
      <c r="E441" s="109">
        <f t="shared" ca="1" si="42"/>
        <v>185.21739130434781</v>
      </c>
      <c r="F441" s="72">
        <f ca="1">SUM(E441:OFFSET(E441,-crLead_Time-crSaf_Time+1,0))</f>
        <v>555.6521739130435</v>
      </c>
      <c r="G441" s="98">
        <f ca="1">IF(F441&gt;=OFFSET(I441,1,0),IF(crFixedLot&gt;0,crFixedLot,(INT(SUM(E441:OFFSET(E441,-Simulation!$B$7+1,0))/crRoundingValue)+1)*crRoundingValue),0)</f>
        <v>0</v>
      </c>
      <c r="H441" s="98">
        <f t="shared" ca="1" si="43"/>
        <v>0</v>
      </c>
      <c r="I441" s="72">
        <f t="shared" ca="1" si="46"/>
        <v>360</v>
      </c>
      <c r="J441" s="72">
        <f t="shared" ca="1" si="47"/>
        <v>360</v>
      </c>
      <c r="K441" s="72">
        <f t="shared" ca="1" si="44"/>
        <v>0</v>
      </c>
      <c r="L441" s="71">
        <f t="shared" si="45"/>
        <v>8</v>
      </c>
    </row>
    <row r="442" spans="1:12" x14ac:dyDescent="0.25">
      <c r="A442" s="135">
        <v>41131</v>
      </c>
      <c r="B442" s="30">
        <v>10870</v>
      </c>
      <c r="C442" s="30">
        <v>0</v>
      </c>
      <c r="D442" s="30">
        <v>30</v>
      </c>
      <c r="E442" s="109">
        <f t="shared" ca="1" si="42"/>
        <v>185.21739130434781</v>
      </c>
      <c r="F442" s="72">
        <f ca="1">SUM(E442:OFFSET(E442,-crLead_Time-crSaf_Time+1,0))</f>
        <v>555.6521739130435</v>
      </c>
      <c r="G442" s="98">
        <f ca="1">IF(F442&gt;=OFFSET(I442,1,0),IF(crFixedLot&gt;0,crFixedLot,(INT(SUM(E442:OFFSET(E442,-Simulation!$B$7+1,0))/crRoundingValue)+1)*crRoundingValue),0)</f>
        <v>0</v>
      </c>
      <c r="H442" s="98">
        <f t="shared" ca="1" si="43"/>
        <v>0</v>
      </c>
      <c r="I442" s="72">
        <f t="shared" ca="1" si="46"/>
        <v>590</v>
      </c>
      <c r="J442" s="72">
        <f t="shared" ca="1" si="47"/>
        <v>590</v>
      </c>
      <c r="K442" s="72">
        <f t="shared" ca="1" si="44"/>
        <v>0</v>
      </c>
      <c r="L442" s="71">
        <f t="shared" si="45"/>
        <v>8</v>
      </c>
    </row>
    <row r="443" spans="1:12" x14ac:dyDescent="0.25">
      <c r="A443" s="135">
        <v>41130</v>
      </c>
      <c r="B443" s="30">
        <v>10870</v>
      </c>
      <c r="C443" s="30">
        <v>1150</v>
      </c>
      <c r="D443" s="30">
        <v>31</v>
      </c>
      <c r="E443" s="109">
        <f t="shared" ca="1" si="42"/>
        <v>185.21739130434781</v>
      </c>
      <c r="F443" s="72">
        <f ca="1">SUM(E443:OFFSET(E443,-crLead_Time-crSaf_Time+1,0))</f>
        <v>555.6521739130435</v>
      </c>
      <c r="G443" s="98">
        <f ca="1">IF(F443&gt;=OFFSET(I443,1,0),IF(crFixedLot&gt;0,crFixedLot,(INT(SUM(E443:OFFSET(E443,-Simulation!$B$7+1,0))/crRoundingValue)+1)*crRoundingValue),0)</f>
        <v>0</v>
      </c>
      <c r="H443" s="98">
        <f t="shared" ca="1" si="43"/>
        <v>0</v>
      </c>
      <c r="I443" s="72">
        <f t="shared" ca="1" si="46"/>
        <v>590</v>
      </c>
      <c r="J443" s="72">
        <f t="shared" ca="1" si="47"/>
        <v>590</v>
      </c>
      <c r="K443" s="72">
        <f t="shared" ca="1" si="44"/>
        <v>0</v>
      </c>
      <c r="L443" s="71">
        <f t="shared" si="45"/>
        <v>8</v>
      </c>
    </row>
    <row r="444" spans="1:12" x14ac:dyDescent="0.25">
      <c r="A444" s="135">
        <v>41129</v>
      </c>
      <c r="B444" s="30">
        <v>12020</v>
      </c>
      <c r="C444" s="30">
        <v>0</v>
      </c>
      <c r="D444" s="30">
        <v>32</v>
      </c>
      <c r="E444" s="109">
        <f t="shared" ca="1" si="42"/>
        <v>185.21739130434781</v>
      </c>
      <c r="F444" s="72">
        <f ca="1">SUM(E444:OFFSET(E444,-crLead_Time-crSaf_Time+1,0))</f>
        <v>555.6521739130435</v>
      </c>
      <c r="G444" s="98">
        <f ca="1">IF(F444&gt;=OFFSET(I444,1,0),IF(crFixedLot&gt;0,crFixedLot,(INT(SUM(E444:OFFSET(E444,-Simulation!$B$7+1,0))/crRoundingValue)+1)*crRoundingValue),0)</f>
        <v>0</v>
      </c>
      <c r="H444" s="98">
        <f t="shared" ca="1" si="43"/>
        <v>0</v>
      </c>
      <c r="I444" s="72">
        <f t="shared" ca="1" si="46"/>
        <v>1740</v>
      </c>
      <c r="J444" s="72">
        <f t="shared" ca="1" si="47"/>
        <v>1740</v>
      </c>
      <c r="K444" s="72">
        <f t="shared" ca="1" si="44"/>
        <v>0</v>
      </c>
      <c r="L444" s="71">
        <f t="shared" si="45"/>
        <v>8</v>
      </c>
    </row>
    <row r="445" spans="1:12" x14ac:dyDescent="0.25">
      <c r="A445" s="135">
        <v>41128</v>
      </c>
      <c r="B445" s="30">
        <v>12020</v>
      </c>
      <c r="C445" s="30">
        <v>230</v>
      </c>
      <c r="D445" s="30">
        <v>33</v>
      </c>
      <c r="E445" s="109">
        <f t="shared" ca="1" si="42"/>
        <v>185.21739130434781</v>
      </c>
      <c r="F445" s="72">
        <f ca="1">SUM(E445:OFFSET(E445,-crLead_Time-crSaf_Time+1,0))</f>
        <v>555.6521739130435</v>
      </c>
      <c r="G445" s="98">
        <f ca="1">IF(F445&gt;=OFFSET(I445,1,0),IF(crFixedLot&gt;0,crFixedLot,(INT(SUM(E445:OFFSET(E445,-Simulation!$B$7+1,0))/crRoundingValue)+1)*crRoundingValue),0)</f>
        <v>0</v>
      </c>
      <c r="H445" s="98">
        <f t="shared" ca="1" si="43"/>
        <v>0</v>
      </c>
      <c r="I445" s="72">
        <f t="shared" ca="1" si="46"/>
        <v>1740</v>
      </c>
      <c r="J445" s="72">
        <f t="shared" ca="1" si="47"/>
        <v>1740</v>
      </c>
      <c r="K445" s="72">
        <f t="shared" ca="1" si="44"/>
        <v>0</v>
      </c>
      <c r="L445" s="71">
        <f t="shared" si="45"/>
        <v>8</v>
      </c>
    </row>
    <row r="446" spans="1:12" x14ac:dyDescent="0.25">
      <c r="A446" s="135">
        <v>41127</v>
      </c>
      <c r="B446" s="30">
        <v>12250</v>
      </c>
      <c r="C446" s="30">
        <v>0</v>
      </c>
      <c r="D446" s="30">
        <v>34</v>
      </c>
      <c r="E446" s="109">
        <f t="shared" ca="1" si="42"/>
        <v>185.21739130434781</v>
      </c>
      <c r="F446" s="72">
        <f ca="1">SUM(E446:OFFSET(E446,-crLead_Time-crSaf_Time+1,0))</f>
        <v>555.6521739130435</v>
      </c>
      <c r="G446" s="98">
        <f ca="1">IF(F446&gt;=OFFSET(I446,1,0),IF(crFixedLot&gt;0,crFixedLot,(INT(SUM(E446:OFFSET(E446,-Simulation!$B$7+1,0))/crRoundingValue)+1)*crRoundingValue),0)</f>
        <v>0</v>
      </c>
      <c r="H446" s="98">
        <f t="shared" ca="1" si="43"/>
        <v>0</v>
      </c>
      <c r="I446" s="72">
        <f t="shared" ca="1" si="46"/>
        <v>1970</v>
      </c>
      <c r="J446" s="72">
        <f t="shared" ca="1" si="47"/>
        <v>1970</v>
      </c>
      <c r="K446" s="72">
        <f t="shared" ca="1" si="44"/>
        <v>0</v>
      </c>
      <c r="L446" s="71">
        <f t="shared" si="45"/>
        <v>8</v>
      </c>
    </row>
    <row r="447" spans="1:12" x14ac:dyDescent="0.25">
      <c r="A447" s="135">
        <v>41124</v>
      </c>
      <c r="B447" s="30">
        <v>12250</v>
      </c>
      <c r="C447" s="30">
        <v>0</v>
      </c>
      <c r="D447" s="30">
        <v>35</v>
      </c>
      <c r="E447" s="109">
        <f t="shared" ca="1" si="42"/>
        <v>185.21739130434781</v>
      </c>
      <c r="F447" s="72">
        <f ca="1">SUM(E447:OFFSET(E447,-crLead_Time-crSaf_Time+1,0))</f>
        <v>555.6521739130435</v>
      </c>
      <c r="G447" s="98">
        <f ca="1">IF(F447&gt;=OFFSET(I447,1,0),IF(crFixedLot&gt;0,crFixedLot,(INT(SUM(E447:OFFSET(E447,-Simulation!$B$7+1,0))/crRoundingValue)+1)*crRoundingValue),0)</f>
        <v>0</v>
      </c>
      <c r="H447" s="98">
        <f t="shared" ca="1" si="43"/>
        <v>0</v>
      </c>
      <c r="I447" s="72">
        <f t="shared" ca="1" si="46"/>
        <v>1970</v>
      </c>
      <c r="J447" s="72">
        <f t="shared" ca="1" si="47"/>
        <v>1970</v>
      </c>
      <c r="K447" s="72">
        <f t="shared" ca="1" si="44"/>
        <v>0</v>
      </c>
      <c r="L447" s="71">
        <f t="shared" si="45"/>
        <v>8</v>
      </c>
    </row>
    <row r="448" spans="1:12" x14ac:dyDescent="0.25">
      <c r="A448" s="135">
        <v>41123</v>
      </c>
      <c r="B448" s="30">
        <v>12250</v>
      </c>
      <c r="C448" s="30">
        <v>0</v>
      </c>
      <c r="D448" s="30">
        <v>36</v>
      </c>
      <c r="E448" s="109">
        <f t="shared" ca="1" si="42"/>
        <v>185.21739130434781</v>
      </c>
      <c r="F448" s="72">
        <f ca="1">SUM(E448:OFFSET(E448,-crLead_Time-crSaf_Time+1,0))</f>
        <v>555.6521739130435</v>
      </c>
      <c r="G448" s="98">
        <f ca="1">IF(F448&gt;=OFFSET(I448,1,0),IF(crFixedLot&gt;0,crFixedLot,(INT(SUM(E448:OFFSET(E448,-Simulation!$B$7+1,0))/crRoundingValue)+1)*crRoundingValue),0)</f>
        <v>0</v>
      </c>
      <c r="H448" s="98">
        <f t="shared" ca="1" si="43"/>
        <v>0</v>
      </c>
      <c r="I448" s="72">
        <f t="shared" ca="1" si="46"/>
        <v>1970</v>
      </c>
      <c r="J448" s="72">
        <f t="shared" ca="1" si="47"/>
        <v>1970</v>
      </c>
      <c r="K448" s="72">
        <f t="shared" ca="1" si="44"/>
        <v>0</v>
      </c>
      <c r="L448" s="71">
        <f t="shared" si="45"/>
        <v>8</v>
      </c>
    </row>
    <row r="449" spans="1:12" x14ac:dyDescent="0.25">
      <c r="A449" s="135">
        <v>41122</v>
      </c>
      <c r="B449" s="30">
        <v>12250</v>
      </c>
      <c r="C449" s="30">
        <v>0</v>
      </c>
      <c r="D449" s="30">
        <v>37</v>
      </c>
      <c r="E449" s="109">
        <f t="shared" ca="1" si="42"/>
        <v>185.21739130434781</v>
      </c>
      <c r="F449" s="72">
        <f ca="1">SUM(E449:OFFSET(E449,-crLead_Time-crSaf_Time+1,0))</f>
        <v>555.6521739130435</v>
      </c>
      <c r="G449" s="98">
        <f ca="1">IF(F449&gt;=OFFSET(I449,1,0),IF(crFixedLot&gt;0,crFixedLot,(INT(SUM(E449:OFFSET(E449,-Simulation!$B$7+1,0))/crRoundingValue)+1)*crRoundingValue),0)</f>
        <v>0</v>
      </c>
      <c r="H449" s="98">
        <f t="shared" ca="1" si="43"/>
        <v>0</v>
      </c>
      <c r="I449" s="72">
        <f t="shared" ca="1" si="46"/>
        <v>1970</v>
      </c>
      <c r="J449" s="72">
        <f t="shared" ca="1" si="47"/>
        <v>1970</v>
      </c>
      <c r="K449" s="72">
        <f t="shared" ca="1" si="44"/>
        <v>0</v>
      </c>
      <c r="L449" s="71">
        <f t="shared" si="45"/>
        <v>8</v>
      </c>
    </row>
    <row r="450" spans="1:12" x14ac:dyDescent="0.25">
      <c r="A450" s="135">
        <v>41121</v>
      </c>
      <c r="B450" s="30">
        <v>12250</v>
      </c>
      <c r="C450" s="30">
        <v>0</v>
      </c>
      <c r="D450" s="30">
        <v>38</v>
      </c>
      <c r="E450" s="109">
        <f t="shared" ref="E450:E484" ca="1" si="48">VLOOKUP(MONTH(A450),rForecast,4,FALSE)</f>
        <v>411.36363636363637</v>
      </c>
      <c r="F450" s="72">
        <f ca="1">SUM(E450:OFFSET(E450,-crLead_Time-crSaf_Time+1,0))</f>
        <v>781.798418972332</v>
      </c>
      <c r="G450" s="98">
        <f ca="1">IF(F450&gt;=OFFSET(I450,1,0),IF(crFixedLot&gt;0,crFixedLot,(INT(SUM(E450:OFFSET(E450,-Simulation!$B$7+1,0))/crRoundingValue)+1)*crRoundingValue),0)</f>
        <v>0</v>
      </c>
      <c r="H450" s="98">
        <f t="shared" ref="H450:H484" ca="1" si="49">OFFSET(G450,crLead_Time,0)</f>
        <v>0</v>
      </c>
      <c r="I450" s="72">
        <f t="shared" ca="1" si="46"/>
        <v>1970</v>
      </c>
      <c r="J450" s="72">
        <f t="shared" ca="1" si="47"/>
        <v>1970</v>
      </c>
      <c r="K450" s="72">
        <f t="shared" ref="K450:K485" ca="1" si="50">IF(AND(J450&lt;0,OFFSET(J450,1,0)&lt;0),IF(J450&lt;OFFSET(J450,1,0),J450-OFFSET(J450,1,0),0),IF(J450&lt;0,J450,0))</f>
        <v>0</v>
      </c>
      <c r="L450" s="71">
        <f t="shared" si="45"/>
        <v>7</v>
      </c>
    </row>
    <row r="451" spans="1:12" x14ac:dyDescent="0.25">
      <c r="A451" s="135">
        <v>41120</v>
      </c>
      <c r="B451" s="30">
        <v>12250</v>
      </c>
      <c r="C451" s="30">
        <v>0</v>
      </c>
      <c r="D451" s="30">
        <v>39</v>
      </c>
      <c r="E451" s="109">
        <f t="shared" ca="1" si="48"/>
        <v>411.36363636363637</v>
      </c>
      <c r="F451" s="72">
        <f ca="1">SUM(E451:OFFSET(E451,-crLead_Time-crSaf_Time+1,0))</f>
        <v>1007.9446640316206</v>
      </c>
      <c r="G451" s="98">
        <f ca="1">IF(F451&gt;=OFFSET(I451,1,0),IF(crFixedLot&gt;0,crFixedLot,(INT(SUM(E451:OFFSET(E451,-Simulation!$B$7+1,0))/crRoundingValue)+1)*crRoundingValue),0)</f>
        <v>0</v>
      </c>
      <c r="H451" s="98">
        <f t="shared" ca="1" si="49"/>
        <v>0</v>
      </c>
      <c r="I451" s="72">
        <f t="shared" ca="1" si="46"/>
        <v>1970</v>
      </c>
      <c r="J451" s="72">
        <f t="shared" ca="1" si="47"/>
        <v>1970</v>
      </c>
      <c r="K451" s="72">
        <f t="shared" ca="1" si="50"/>
        <v>0</v>
      </c>
      <c r="L451" s="71">
        <f t="shared" ref="L451:L484" si="51">MONTH(A451)</f>
        <v>7</v>
      </c>
    </row>
    <row r="452" spans="1:12" x14ac:dyDescent="0.25">
      <c r="A452" s="135">
        <v>41117</v>
      </c>
      <c r="B452" s="30">
        <v>12250</v>
      </c>
      <c r="C452" s="30">
        <v>0</v>
      </c>
      <c r="D452" s="30">
        <v>40</v>
      </c>
      <c r="E452" s="109">
        <f t="shared" ca="1" si="48"/>
        <v>411.36363636363637</v>
      </c>
      <c r="F452" s="72">
        <f ca="1">SUM(E452:OFFSET(E452,-crLead_Time-crSaf_Time+1,0))</f>
        <v>1234.090909090909</v>
      </c>
      <c r="G452" s="98">
        <f ca="1">IF(F452&gt;=OFFSET(I452,1,0),IF(crFixedLot&gt;0,crFixedLot,(INT(SUM(E452:OFFSET(E452,-Simulation!$B$7+1,0))/crRoundingValue)+1)*crRoundingValue),0)</f>
        <v>0</v>
      </c>
      <c r="H452" s="98">
        <f t="shared" ca="1" si="49"/>
        <v>0</v>
      </c>
      <c r="I452" s="72">
        <f t="shared" ca="1" si="46"/>
        <v>1970</v>
      </c>
      <c r="J452" s="72">
        <f t="shared" ca="1" si="47"/>
        <v>1970</v>
      </c>
      <c r="K452" s="72">
        <f t="shared" ca="1" si="50"/>
        <v>0</v>
      </c>
      <c r="L452" s="71">
        <f t="shared" si="51"/>
        <v>7</v>
      </c>
    </row>
    <row r="453" spans="1:12" x14ac:dyDescent="0.25">
      <c r="A453" s="135">
        <v>41116</v>
      </c>
      <c r="B453" s="30">
        <v>12250</v>
      </c>
      <c r="C453" s="30">
        <v>0</v>
      </c>
      <c r="D453" s="30">
        <v>41</v>
      </c>
      <c r="E453" s="109">
        <f t="shared" ca="1" si="48"/>
        <v>411.36363636363637</v>
      </c>
      <c r="F453" s="72">
        <f ca="1">SUM(E453:OFFSET(E453,-crLead_Time-crSaf_Time+1,0))</f>
        <v>1234.090909090909</v>
      </c>
      <c r="G453" s="98">
        <f ca="1">IF(F453&gt;=OFFSET(I453,1,0),IF(crFixedLot&gt;0,crFixedLot,(INT(SUM(E453:OFFSET(E453,-Simulation!$B$7+1,0))/crRoundingValue)+1)*crRoundingValue),0)</f>
        <v>0</v>
      </c>
      <c r="H453" s="98">
        <f t="shared" ca="1" si="49"/>
        <v>0</v>
      </c>
      <c r="I453" s="72">
        <f t="shared" ca="1" si="46"/>
        <v>1970</v>
      </c>
      <c r="J453" s="72">
        <f t="shared" ca="1" si="47"/>
        <v>1970</v>
      </c>
      <c r="K453" s="72">
        <f t="shared" ca="1" si="50"/>
        <v>0</v>
      </c>
      <c r="L453" s="71">
        <f t="shared" si="51"/>
        <v>7</v>
      </c>
    </row>
    <row r="454" spans="1:12" x14ac:dyDescent="0.25">
      <c r="A454" s="135">
        <v>41115</v>
      </c>
      <c r="B454" s="30">
        <v>12250</v>
      </c>
      <c r="C454" s="30">
        <v>0</v>
      </c>
      <c r="D454" s="30">
        <v>42</v>
      </c>
      <c r="E454" s="109">
        <f t="shared" ca="1" si="48"/>
        <v>411.36363636363637</v>
      </c>
      <c r="F454" s="72">
        <f ca="1">SUM(E454:OFFSET(E454,-crLead_Time-crSaf_Time+1,0))</f>
        <v>1234.090909090909</v>
      </c>
      <c r="G454" s="98">
        <f ca="1">IF(F454&gt;=OFFSET(I454,1,0),IF(crFixedLot&gt;0,crFixedLot,(INT(SUM(E454:OFFSET(E454,-Simulation!$B$7+1,0))/crRoundingValue)+1)*crRoundingValue),0)</f>
        <v>0</v>
      </c>
      <c r="H454" s="98">
        <f t="shared" ca="1" si="49"/>
        <v>0</v>
      </c>
      <c r="I454" s="72">
        <f t="shared" ca="1" si="46"/>
        <v>1970</v>
      </c>
      <c r="J454" s="72">
        <f t="shared" ca="1" si="47"/>
        <v>1970</v>
      </c>
      <c r="K454" s="72">
        <f t="shared" ca="1" si="50"/>
        <v>0</v>
      </c>
      <c r="L454" s="71">
        <f t="shared" si="51"/>
        <v>7</v>
      </c>
    </row>
    <row r="455" spans="1:12" x14ac:dyDescent="0.25">
      <c r="A455" s="135">
        <v>41114</v>
      </c>
      <c r="B455" s="30">
        <v>12250</v>
      </c>
      <c r="C455" s="30">
        <v>1150</v>
      </c>
      <c r="D455" s="30">
        <v>43</v>
      </c>
      <c r="E455" s="109">
        <f t="shared" ca="1" si="48"/>
        <v>411.36363636363637</v>
      </c>
      <c r="F455" s="72">
        <f ca="1">SUM(E455:OFFSET(E455,-crLead_Time-crSaf_Time+1,0))</f>
        <v>1234.090909090909</v>
      </c>
      <c r="G455" s="98">
        <f ca="1">IF(F455&gt;=OFFSET(I455,1,0),IF(crFixedLot&gt;0,crFixedLot,(INT(SUM(E455:OFFSET(E455,-Simulation!$B$7+1,0))/crRoundingValue)+1)*crRoundingValue),0)</f>
        <v>0</v>
      </c>
      <c r="H455" s="98">
        <f t="shared" ca="1" si="49"/>
        <v>0</v>
      </c>
      <c r="I455" s="72">
        <f t="shared" ca="1" si="46"/>
        <v>1970</v>
      </c>
      <c r="J455" s="72">
        <f t="shared" ca="1" si="47"/>
        <v>1970</v>
      </c>
      <c r="K455" s="72">
        <f t="shared" ca="1" si="50"/>
        <v>0</v>
      </c>
      <c r="L455" s="71">
        <f t="shared" si="51"/>
        <v>7</v>
      </c>
    </row>
    <row r="456" spans="1:12" x14ac:dyDescent="0.25">
      <c r="A456" s="135">
        <v>41113</v>
      </c>
      <c r="B456" s="30">
        <v>13400</v>
      </c>
      <c r="C456" s="30">
        <v>460</v>
      </c>
      <c r="D456" s="30">
        <v>44</v>
      </c>
      <c r="E456" s="109">
        <f t="shared" ca="1" si="48"/>
        <v>411.36363636363637</v>
      </c>
      <c r="F456" s="72">
        <f ca="1">SUM(E456:OFFSET(E456,-crLead_Time-crSaf_Time+1,0))</f>
        <v>1234.090909090909</v>
      </c>
      <c r="G456" s="98">
        <f ca="1">IF(F456&gt;=OFFSET(I456,1,0),IF(crFixedLot&gt;0,crFixedLot,(INT(SUM(E456:OFFSET(E456,-Simulation!$B$7+1,0))/crRoundingValue)+1)*crRoundingValue),0)</f>
        <v>0</v>
      </c>
      <c r="H456" s="98">
        <f t="shared" ca="1" si="49"/>
        <v>0</v>
      </c>
      <c r="I456" s="72">
        <f t="shared" ca="1" si="46"/>
        <v>3120</v>
      </c>
      <c r="J456" s="72">
        <f t="shared" ca="1" si="47"/>
        <v>3120</v>
      </c>
      <c r="K456" s="72">
        <f t="shared" ca="1" si="50"/>
        <v>0</v>
      </c>
      <c r="L456" s="71">
        <f t="shared" si="51"/>
        <v>7</v>
      </c>
    </row>
    <row r="457" spans="1:12" x14ac:dyDescent="0.25">
      <c r="A457" s="135">
        <v>41110</v>
      </c>
      <c r="B457" s="30">
        <v>13860</v>
      </c>
      <c r="C457" s="30">
        <v>0</v>
      </c>
      <c r="D457" s="30">
        <v>45</v>
      </c>
      <c r="E457" s="109">
        <f t="shared" ca="1" si="48"/>
        <v>411.36363636363637</v>
      </c>
      <c r="F457" s="72">
        <f ca="1">SUM(E457:OFFSET(E457,-crLead_Time-crSaf_Time+1,0))</f>
        <v>1234.090909090909</v>
      </c>
      <c r="G457" s="98">
        <f ca="1">IF(F457&gt;=OFFSET(I457,1,0),IF(crFixedLot&gt;0,crFixedLot,(INT(SUM(E457:OFFSET(E457,-Simulation!$B$7+1,0))/crRoundingValue)+1)*crRoundingValue),0)</f>
        <v>0</v>
      </c>
      <c r="H457" s="98">
        <f t="shared" ca="1" si="49"/>
        <v>0</v>
      </c>
      <c r="I457" s="72">
        <f t="shared" ca="1" si="46"/>
        <v>3580</v>
      </c>
      <c r="J457" s="72">
        <f t="shared" ca="1" si="47"/>
        <v>3580</v>
      </c>
      <c r="K457" s="72">
        <f t="shared" ca="1" si="50"/>
        <v>0</v>
      </c>
      <c r="L457" s="71">
        <f t="shared" si="51"/>
        <v>7</v>
      </c>
    </row>
    <row r="458" spans="1:12" x14ac:dyDescent="0.25">
      <c r="A458" s="135">
        <v>41109</v>
      </c>
      <c r="B458" s="30">
        <v>13860</v>
      </c>
      <c r="C458" s="30">
        <v>0</v>
      </c>
      <c r="D458" s="30">
        <v>46</v>
      </c>
      <c r="E458" s="109">
        <f t="shared" ca="1" si="48"/>
        <v>411.36363636363637</v>
      </c>
      <c r="F458" s="72">
        <f ca="1">SUM(E458:OFFSET(E458,-crLead_Time-crSaf_Time+1,0))</f>
        <v>1234.090909090909</v>
      </c>
      <c r="G458" s="98">
        <f ca="1">IF(F458&gt;=OFFSET(I458,1,0),IF(crFixedLot&gt;0,crFixedLot,(INT(SUM(E458:OFFSET(E458,-Simulation!$B$7+1,0))/crRoundingValue)+1)*crRoundingValue),0)</f>
        <v>0</v>
      </c>
      <c r="H458" s="98">
        <f t="shared" ca="1" si="49"/>
        <v>0</v>
      </c>
      <c r="I458" s="72">
        <f t="shared" ca="1" si="46"/>
        <v>3580</v>
      </c>
      <c r="J458" s="72">
        <f t="shared" ca="1" si="47"/>
        <v>3580</v>
      </c>
      <c r="K458" s="72">
        <f t="shared" ca="1" si="50"/>
        <v>0</v>
      </c>
      <c r="L458" s="71">
        <f t="shared" si="51"/>
        <v>7</v>
      </c>
    </row>
    <row r="459" spans="1:12" x14ac:dyDescent="0.25">
      <c r="A459" s="135">
        <v>41108</v>
      </c>
      <c r="B459" s="30">
        <v>13860</v>
      </c>
      <c r="C459" s="30">
        <v>1150</v>
      </c>
      <c r="D459" s="30">
        <v>47</v>
      </c>
      <c r="E459" s="109">
        <f t="shared" ca="1" si="48"/>
        <v>411.36363636363637</v>
      </c>
      <c r="F459" s="72">
        <f ca="1">SUM(E459:OFFSET(E459,-crLead_Time-crSaf_Time+1,0))</f>
        <v>1234.090909090909</v>
      </c>
      <c r="G459" s="98">
        <f ca="1">IF(F459&gt;=OFFSET(I459,1,0),IF(crFixedLot&gt;0,crFixedLot,(INT(SUM(E459:OFFSET(E459,-Simulation!$B$7+1,0))/crRoundingValue)+1)*crRoundingValue),0)</f>
        <v>0</v>
      </c>
      <c r="H459" s="98">
        <f t="shared" ca="1" si="49"/>
        <v>0</v>
      </c>
      <c r="I459" s="72">
        <f t="shared" ca="1" si="46"/>
        <v>3580</v>
      </c>
      <c r="J459" s="72">
        <f t="shared" ca="1" si="47"/>
        <v>3580</v>
      </c>
      <c r="K459" s="72">
        <f t="shared" ca="1" si="50"/>
        <v>0</v>
      </c>
      <c r="L459" s="71">
        <f t="shared" si="51"/>
        <v>7</v>
      </c>
    </row>
    <row r="460" spans="1:12" x14ac:dyDescent="0.25">
      <c r="A460" s="135">
        <v>41107</v>
      </c>
      <c r="B460" s="30">
        <v>15010</v>
      </c>
      <c r="C460" s="30">
        <v>0</v>
      </c>
      <c r="D460" s="30">
        <v>48</v>
      </c>
      <c r="E460" s="109">
        <f t="shared" ca="1" si="48"/>
        <v>411.36363636363637</v>
      </c>
      <c r="F460" s="72">
        <f ca="1">SUM(E460:OFFSET(E460,-crLead_Time-crSaf_Time+1,0))</f>
        <v>1234.090909090909</v>
      </c>
      <c r="G460" s="98">
        <f ca="1">IF(F460&gt;=OFFSET(I460,1,0),IF(crFixedLot&gt;0,crFixedLot,(INT(SUM(E460:OFFSET(E460,-Simulation!$B$7+1,0))/crRoundingValue)+1)*crRoundingValue),0)</f>
        <v>0</v>
      </c>
      <c r="H460" s="98">
        <f t="shared" ca="1" si="49"/>
        <v>0</v>
      </c>
      <c r="I460" s="72">
        <f t="shared" ca="1" si="46"/>
        <v>4730</v>
      </c>
      <c r="J460" s="72">
        <f t="shared" ca="1" si="47"/>
        <v>4730</v>
      </c>
      <c r="K460" s="72">
        <f t="shared" ca="1" si="50"/>
        <v>0</v>
      </c>
      <c r="L460" s="71">
        <f t="shared" si="51"/>
        <v>7</v>
      </c>
    </row>
    <row r="461" spans="1:12" x14ac:dyDescent="0.25">
      <c r="A461" s="135">
        <v>41106</v>
      </c>
      <c r="B461" s="30">
        <v>15010</v>
      </c>
      <c r="C461" s="30">
        <v>0</v>
      </c>
      <c r="D461" s="30">
        <v>49</v>
      </c>
      <c r="E461" s="109">
        <f t="shared" ca="1" si="48"/>
        <v>411.36363636363637</v>
      </c>
      <c r="F461" s="72">
        <f ca="1">SUM(E461:OFFSET(E461,-crLead_Time-crSaf_Time+1,0))</f>
        <v>1234.090909090909</v>
      </c>
      <c r="G461" s="98">
        <f ca="1">IF(F461&gt;=OFFSET(I461,1,0),IF(crFixedLot&gt;0,crFixedLot,(INT(SUM(E461:OFFSET(E461,-Simulation!$B$7+1,0))/crRoundingValue)+1)*crRoundingValue),0)</f>
        <v>0</v>
      </c>
      <c r="H461" s="98">
        <f t="shared" ca="1" si="49"/>
        <v>0</v>
      </c>
      <c r="I461" s="72">
        <f t="shared" ca="1" si="46"/>
        <v>4730</v>
      </c>
      <c r="J461" s="72">
        <f t="shared" ca="1" si="47"/>
        <v>4730</v>
      </c>
      <c r="K461" s="72">
        <f t="shared" ca="1" si="50"/>
        <v>0</v>
      </c>
      <c r="L461" s="71">
        <f t="shared" si="51"/>
        <v>7</v>
      </c>
    </row>
    <row r="462" spans="1:12" x14ac:dyDescent="0.25">
      <c r="A462" s="135">
        <v>41103</v>
      </c>
      <c r="B462" s="30">
        <v>15010</v>
      </c>
      <c r="C462" s="30">
        <v>0</v>
      </c>
      <c r="D462" s="30">
        <v>50</v>
      </c>
      <c r="E462" s="109">
        <f t="shared" ca="1" si="48"/>
        <v>411.36363636363637</v>
      </c>
      <c r="F462" s="72">
        <f ca="1">SUM(E462:OFFSET(E462,-crLead_Time-crSaf_Time+1,0))</f>
        <v>1234.090909090909</v>
      </c>
      <c r="G462" s="98">
        <f ca="1">IF(F462&gt;=OFFSET(I462,1,0),IF(crFixedLot&gt;0,crFixedLot,(INT(SUM(E462:OFFSET(E462,-Simulation!$B$7+1,0))/crRoundingValue)+1)*crRoundingValue),0)</f>
        <v>0</v>
      </c>
      <c r="H462" s="98">
        <f t="shared" ca="1" si="49"/>
        <v>0</v>
      </c>
      <c r="I462" s="72">
        <f t="shared" ca="1" si="46"/>
        <v>4730</v>
      </c>
      <c r="J462" s="72">
        <f t="shared" ca="1" si="47"/>
        <v>4730</v>
      </c>
      <c r="K462" s="72">
        <f t="shared" ca="1" si="50"/>
        <v>0</v>
      </c>
      <c r="L462" s="71">
        <f t="shared" si="51"/>
        <v>7</v>
      </c>
    </row>
    <row r="463" spans="1:12" x14ac:dyDescent="0.25">
      <c r="A463" s="135">
        <v>41102</v>
      </c>
      <c r="B463" s="30">
        <v>15010</v>
      </c>
      <c r="C463" s="30">
        <v>0</v>
      </c>
      <c r="D463" s="30">
        <v>51</v>
      </c>
      <c r="E463" s="109">
        <f t="shared" ca="1" si="48"/>
        <v>411.36363636363637</v>
      </c>
      <c r="F463" s="72">
        <f ca="1">SUM(E463:OFFSET(E463,-crLead_Time-crSaf_Time+1,0))</f>
        <v>1234.090909090909</v>
      </c>
      <c r="G463" s="98">
        <f ca="1">IF(F463&gt;=OFFSET(I463,1,0),IF(crFixedLot&gt;0,crFixedLot,(INT(SUM(E463:OFFSET(E463,-Simulation!$B$7+1,0))/crRoundingValue)+1)*crRoundingValue),0)</f>
        <v>0</v>
      </c>
      <c r="H463" s="98">
        <f t="shared" ca="1" si="49"/>
        <v>0</v>
      </c>
      <c r="I463" s="72">
        <f t="shared" ca="1" si="46"/>
        <v>4730</v>
      </c>
      <c r="J463" s="72">
        <f t="shared" ca="1" si="47"/>
        <v>4730</v>
      </c>
      <c r="K463" s="72">
        <f t="shared" ca="1" si="50"/>
        <v>0</v>
      </c>
      <c r="L463" s="71">
        <f t="shared" si="51"/>
        <v>7</v>
      </c>
    </row>
    <row r="464" spans="1:12" x14ac:dyDescent="0.25">
      <c r="A464" s="135">
        <v>41101</v>
      </c>
      <c r="B464" s="30">
        <v>15010</v>
      </c>
      <c r="C464" s="30">
        <v>0</v>
      </c>
      <c r="D464" s="30">
        <v>52</v>
      </c>
      <c r="E464" s="109">
        <f t="shared" ca="1" si="48"/>
        <v>411.36363636363637</v>
      </c>
      <c r="F464" s="72">
        <f ca="1">SUM(E464:OFFSET(E464,-crLead_Time-crSaf_Time+1,0))</f>
        <v>1234.090909090909</v>
      </c>
      <c r="G464" s="98">
        <f ca="1">IF(F464&gt;=OFFSET(I464,1,0),IF(crFixedLot&gt;0,crFixedLot,(INT(SUM(E464:OFFSET(E464,-Simulation!$B$7+1,0))/crRoundingValue)+1)*crRoundingValue),0)</f>
        <v>0</v>
      </c>
      <c r="H464" s="98">
        <f t="shared" ca="1" si="49"/>
        <v>0</v>
      </c>
      <c r="I464" s="72">
        <f t="shared" ca="1" si="46"/>
        <v>4730</v>
      </c>
      <c r="J464" s="72">
        <f t="shared" ca="1" si="47"/>
        <v>4730</v>
      </c>
      <c r="K464" s="72">
        <f t="shared" ca="1" si="50"/>
        <v>0</v>
      </c>
      <c r="L464" s="71">
        <f t="shared" si="51"/>
        <v>7</v>
      </c>
    </row>
    <row r="465" spans="1:12" x14ac:dyDescent="0.25">
      <c r="A465" s="135">
        <v>41100</v>
      </c>
      <c r="B465" s="30">
        <v>15010</v>
      </c>
      <c r="C465" s="30">
        <v>0</v>
      </c>
      <c r="D465" s="30">
        <v>53</v>
      </c>
      <c r="E465" s="109">
        <f t="shared" ca="1" si="48"/>
        <v>411.36363636363637</v>
      </c>
      <c r="F465" s="72">
        <f ca="1">SUM(E465:OFFSET(E465,-crLead_Time-crSaf_Time+1,0))</f>
        <v>1234.090909090909</v>
      </c>
      <c r="G465" s="98">
        <f ca="1">IF(F465&gt;=OFFSET(I465,1,0),IF(crFixedLot&gt;0,crFixedLot,(INT(SUM(E465:OFFSET(E465,-Simulation!$B$7+1,0))/crRoundingValue)+1)*crRoundingValue),0)</f>
        <v>0</v>
      </c>
      <c r="H465" s="98">
        <f t="shared" ca="1" si="49"/>
        <v>0</v>
      </c>
      <c r="I465" s="72">
        <f t="shared" ca="1" si="46"/>
        <v>4730</v>
      </c>
      <c r="J465" s="72">
        <f t="shared" ca="1" si="47"/>
        <v>4730</v>
      </c>
      <c r="K465" s="72">
        <f t="shared" ca="1" si="50"/>
        <v>0</v>
      </c>
      <c r="L465" s="71">
        <f t="shared" si="51"/>
        <v>7</v>
      </c>
    </row>
    <row r="466" spans="1:12" x14ac:dyDescent="0.25">
      <c r="A466" s="135">
        <v>41099</v>
      </c>
      <c r="B466" s="30">
        <v>15010</v>
      </c>
      <c r="C466" s="30">
        <v>460</v>
      </c>
      <c r="D466" s="30">
        <v>54</v>
      </c>
      <c r="E466" s="109">
        <f t="shared" ca="1" si="48"/>
        <v>411.36363636363637</v>
      </c>
      <c r="F466" s="72">
        <f ca="1">SUM(E466:OFFSET(E466,-crLead_Time-crSaf_Time+1,0))</f>
        <v>1234.090909090909</v>
      </c>
      <c r="G466" s="98">
        <f ca="1">IF(F466&gt;=OFFSET(I466,1,0),IF(crFixedLot&gt;0,crFixedLot,(INT(SUM(E466:OFFSET(E466,-Simulation!$B$7+1,0))/crRoundingValue)+1)*crRoundingValue),0)</f>
        <v>0</v>
      </c>
      <c r="H466" s="98">
        <f t="shared" ca="1" si="49"/>
        <v>0</v>
      </c>
      <c r="I466" s="72">
        <f t="shared" ca="1" si="46"/>
        <v>4730</v>
      </c>
      <c r="J466" s="72">
        <f t="shared" ca="1" si="47"/>
        <v>4730</v>
      </c>
      <c r="K466" s="72">
        <f t="shared" ca="1" si="50"/>
        <v>0</v>
      </c>
      <c r="L466" s="71">
        <f t="shared" si="51"/>
        <v>7</v>
      </c>
    </row>
    <row r="467" spans="1:12" x14ac:dyDescent="0.25">
      <c r="A467" s="135">
        <v>41096</v>
      </c>
      <c r="B467" s="30">
        <v>15470</v>
      </c>
      <c r="C467" s="30">
        <v>0</v>
      </c>
      <c r="D467" s="30">
        <v>55</v>
      </c>
      <c r="E467" s="109">
        <f t="shared" ca="1" si="48"/>
        <v>411.36363636363637</v>
      </c>
      <c r="F467" s="72">
        <f ca="1">SUM(E467:OFFSET(E467,-crLead_Time-crSaf_Time+1,0))</f>
        <v>1234.090909090909</v>
      </c>
      <c r="G467" s="98">
        <f ca="1">IF(F467&gt;=OFFSET(I467,1,0),IF(crFixedLot&gt;0,crFixedLot,(INT(SUM(E467:OFFSET(E467,-Simulation!$B$7+1,0))/crRoundingValue)+1)*crRoundingValue),0)</f>
        <v>0</v>
      </c>
      <c r="H467" s="98">
        <f t="shared" ca="1" si="49"/>
        <v>0</v>
      </c>
      <c r="I467" s="72">
        <f t="shared" ca="1" si="46"/>
        <v>5190</v>
      </c>
      <c r="J467" s="72">
        <f t="shared" ca="1" si="47"/>
        <v>5190</v>
      </c>
      <c r="K467" s="72">
        <f t="shared" ca="1" si="50"/>
        <v>0</v>
      </c>
      <c r="L467" s="71">
        <f t="shared" si="51"/>
        <v>7</v>
      </c>
    </row>
    <row r="468" spans="1:12" x14ac:dyDescent="0.25">
      <c r="A468" s="135">
        <v>41095</v>
      </c>
      <c r="B468" s="30">
        <v>15470</v>
      </c>
      <c r="C468" s="30">
        <v>1150</v>
      </c>
      <c r="D468" s="30">
        <v>56</v>
      </c>
      <c r="E468" s="109">
        <f t="shared" ca="1" si="48"/>
        <v>411.36363636363637</v>
      </c>
      <c r="F468" s="72">
        <f ca="1">SUM(E468:OFFSET(E468,-crLead_Time-crSaf_Time+1,0))</f>
        <v>1234.090909090909</v>
      </c>
      <c r="G468" s="98">
        <f ca="1">IF(F468&gt;=OFFSET(I468,1,0),IF(crFixedLot&gt;0,crFixedLot,(INT(SUM(E468:OFFSET(E468,-Simulation!$B$7+1,0))/crRoundingValue)+1)*crRoundingValue),0)</f>
        <v>0</v>
      </c>
      <c r="H468" s="98">
        <f t="shared" ca="1" si="49"/>
        <v>0</v>
      </c>
      <c r="I468" s="72">
        <f t="shared" ca="1" si="46"/>
        <v>5190</v>
      </c>
      <c r="J468" s="72">
        <f t="shared" ca="1" si="47"/>
        <v>5190</v>
      </c>
      <c r="K468" s="72">
        <f t="shared" ca="1" si="50"/>
        <v>0</v>
      </c>
      <c r="L468" s="71">
        <f t="shared" si="51"/>
        <v>7</v>
      </c>
    </row>
    <row r="469" spans="1:12" x14ac:dyDescent="0.25">
      <c r="A469" s="135">
        <v>41094</v>
      </c>
      <c r="B469" s="30">
        <v>16620</v>
      </c>
      <c r="C469" s="30">
        <v>0</v>
      </c>
      <c r="D469" s="30">
        <v>57</v>
      </c>
      <c r="E469" s="109">
        <f t="shared" ca="1" si="48"/>
        <v>411.36363636363637</v>
      </c>
      <c r="F469" s="72">
        <f ca="1">SUM(E469:OFFSET(E469,-crLead_Time-crSaf_Time+1,0))</f>
        <v>1234.090909090909</v>
      </c>
      <c r="G469" s="98">
        <f ca="1">IF(F469&gt;=OFFSET(I469,1,0),IF(crFixedLot&gt;0,crFixedLot,(INT(SUM(E469:OFFSET(E469,-Simulation!$B$7+1,0))/crRoundingValue)+1)*crRoundingValue),0)</f>
        <v>0</v>
      </c>
      <c r="H469" s="98">
        <f t="shared" ca="1" si="49"/>
        <v>0</v>
      </c>
      <c r="I469" s="72">
        <f t="shared" ca="1" si="46"/>
        <v>6340</v>
      </c>
      <c r="J469" s="72">
        <f t="shared" ca="1" si="47"/>
        <v>6340</v>
      </c>
      <c r="K469" s="72">
        <f t="shared" ca="1" si="50"/>
        <v>0</v>
      </c>
      <c r="L469" s="71">
        <f t="shared" si="51"/>
        <v>7</v>
      </c>
    </row>
    <row r="470" spans="1:12" x14ac:dyDescent="0.25">
      <c r="A470" s="135">
        <v>41093</v>
      </c>
      <c r="B470" s="30">
        <v>16620</v>
      </c>
      <c r="C470" s="30">
        <v>0</v>
      </c>
      <c r="D470" s="30">
        <v>58</v>
      </c>
      <c r="E470" s="109">
        <f t="shared" ca="1" si="48"/>
        <v>411.36363636363637</v>
      </c>
      <c r="F470" s="72">
        <f ca="1">SUM(E470:OFFSET(E470,-crLead_Time-crSaf_Time+1,0))</f>
        <v>1234.090909090909</v>
      </c>
      <c r="G470" s="98">
        <f ca="1">IF(F470&gt;=OFFSET(I470,1,0),IF(crFixedLot&gt;0,crFixedLot,(INT(SUM(E470:OFFSET(E470,-Simulation!$B$7+1,0))/crRoundingValue)+1)*crRoundingValue),0)</f>
        <v>0</v>
      </c>
      <c r="H470" s="98">
        <f t="shared" ca="1" si="49"/>
        <v>0</v>
      </c>
      <c r="I470" s="72">
        <f t="shared" ca="1" si="46"/>
        <v>6340</v>
      </c>
      <c r="J470" s="72">
        <f t="shared" ca="1" si="47"/>
        <v>6340</v>
      </c>
      <c r="K470" s="72">
        <f t="shared" ca="1" si="50"/>
        <v>0</v>
      </c>
      <c r="L470" s="71">
        <f t="shared" si="51"/>
        <v>7</v>
      </c>
    </row>
    <row r="471" spans="1:12" x14ac:dyDescent="0.25">
      <c r="A471" s="135">
        <v>41092</v>
      </c>
      <c r="B471" s="30">
        <v>16620</v>
      </c>
      <c r="C471" s="30">
        <v>0</v>
      </c>
      <c r="D471" s="30">
        <v>59</v>
      </c>
      <c r="E471" s="109">
        <f t="shared" ca="1" si="48"/>
        <v>411.36363636363637</v>
      </c>
      <c r="F471" s="72">
        <f ca="1">SUM(E471:OFFSET(E471,-crLead_Time-crSaf_Time+1,0))</f>
        <v>1234.090909090909</v>
      </c>
      <c r="G471" s="98">
        <f ca="1">IF(F471&gt;=OFFSET(I471,1,0),IF(crFixedLot&gt;0,crFixedLot,(INT(SUM(E471:OFFSET(E471,-Simulation!$B$7+1,0))/crRoundingValue)+1)*crRoundingValue),0)</f>
        <v>0</v>
      </c>
      <c r="H471" s="98">
        <f t="shared" ca="1" si="49"/>
        <v>0</v>
      </c>
      <c r="I471" s="72">
        <f t="shared" ca="1" si="46"/>
        <v>6340</v>
      </c>
      <c r="J471" s="72">
        <f t="shared" ca="1" si="47"/>
        <v>6340</v>
      </c>
      <c r="K471" s="72">
        <f t="shared" ca="1" si="50"/>
        <v>0</v>
      </c>
      <c r="L471" s="71">
        <f t="shared" si="51"/>
        <v>7</v>
      </c>
    </row>
    <row r="472" spans="1:12" x14ac:dyDescent="0.25">
      <c r="A472" s="135">
        <v>41089</v>
      </c>
      <c r="B472" s="30">
        <v>16620</v>
      </c>
      <c r="C472" s="30">
        <v>0</v>
      </c>
      <c r="D472" s="30">
        <v>60</v>
      </c>
      <c r="E472" s="109">
        <f t="shared" ca="1" si="48"/>
        <v>454.76190476190476</v>
      </c>
      <c r="F472" s="72">
        <f ca="1">SUM(E472:OFFSET(E472,-crLead_Time-crSaf_Time+1,0))</f>
        <v>1277.4891774891776</v>
      </c>
      <c r="G472" s="98">
        <f ca="1">IF(F472&gt;=OFFSET(I472,1,0),IF(crFixedLot&gt;0,crFixedLot,(INT(SUM(E472:OFFSET(E472,-Simulation!$B$7+1,0))/crRoundingValue)+1)*crRoundingValue),0)</f>
        <v>0</v>
      </c>
      <c r="H472" s="98">
        <f t="shared" ca="1" si="49"/>
        <v>0</v>
      </c>
      <c r="I472" s="72">
        <f t="shared" ca="1" si="46"/>
        <v>6340</v>
      </c>
      <c r="J472" s="72">
        <f t="shared" ca="1" si="47"/>
        <v>6340</v>
      </c>
      <c r="K472" s="72">
        <f t="shared" ca="1" si="50"/>
        <v>0</v>
      </c>
      <c r="L472" s="71">
        <f t="shared" si="51"/>
        <v>6</v>
      </c>
    </row>
    <row r="473" spans="1:12" x14ac:dyDescent="0.25">
      <c r="A473" s="135">
        <v>41088</v>
      </c>
      <c r="B473" s="30">
        <v>16620</v>
      </c>
      <c r="C473" s="30">
        <v>0</v>
      </c>
      <c r="D473" s="30">
        <v>61</v>
      </c>
      <c r="E473" s="109">
        <f t="shared" ca="1" si="48"/>
        <v>454.76190476190476</v>
      </c>
      <c r="F473" s="72">
        <f ca="1">SUM(E473:OFFSET(E473,-crLead_Time-crSaf_Time+1,0))</f>
        <v>1320.8874458874459</v>
      </c>
      <c r="G473" s="98">
        <f ca="1">IF(F473&gt;=OFFSET(I473,1,0),IF(crFixedLot&gt;0,crFixedLot,(INT(SUM(E473:OFFSET(E473,-Simulation!$B$7+1,0))/crRoundingValue)+1)*crRoundingValue),0)</f>
        <v>0</v>
      </c>
      <c r="H473" s="98">
        <f t="shared" ca="1" si="49"/>
        <v>0</v>
      </c>
      <c r="I473" s="72">
        <f t="shared" ca="1" si="46"/>
        <v>6340</v>
      </c>
      <c r="J473" s="72">
        <f t="shared" ca="1" si="47"/>
        <v>6340</v>
      </c>
      <c r="K473" s="72">
        <f t="shared" ca="1" si="50"/>
        <v>0</v>
      </c>
      <c r="L473" s="71">
        <f t="shared" si="51"/>
        <v>6</v>
      </c>
    </row>
    <row r="474" spans="1:12" x14ac:dyDescent="0.25">
      <c r="A474" s="135">
        <v>41087</v>
      </c>
      <c r="B474" s="30">
        <v>16620</v>
      </c>
      <c r="C474" s="30">
        <v>1150</v>
      </c>
      <c r="D474" s="30">
        <v>62</v>
      </c>
      <c r="E474" s="109">
        <f t="shared" ca="1" si="48"/>
        <v>454.76190476190476</v>
      </c>
      <c r="F474" s="72">
        <f ca="1">SUM(E474:OFFSET(E474,-crLead_Time-crSaf_Time+1,0))</f>
        <v>1364.2857142857142</v>
      </c>
      <c r="G474" s="98">
        <f ca="1">IF(F474&gt;=OFFSET(I474,1,0),IF(crFixedLot&gt;0,crFixedLot,(INT(SUM(E474:OFFSET(E474,-Simulation!$B$7+1,0))/crRoundingValue)+1)*crRoundingValue),0)</f>
        <v>0</v>
      </c>
      <c r="H474" s="98">
        <f t="shared" ca="1" si="49"/>
        <v>0</v>
      </c>
      <c r="I474" s="72">
        <f t="shared" ca="1" si="46"/>
        <v>6340</v>
      </c>
      <c r="J474" s="72">
        <f t="shared" ca="1" si="47"/>
        <v>6340</v>
      </c>
      <c r="K474" s="72">
        <f t="shared" ca="1" si="50"/>
        <v>0</v>
      </c>
      <c r="L474" s="71">
        <f t="shared" si="51"/>
        <v>6</v>
      </c>
    </row>
    <row r="475" spans="1:12" x14ac:dyDescent="0.25">
      <c r="A475" s="135">
        <v>41086</v>
      </c>
      <c r="B475" s="30">
        <v>17770</v>
      </c>
      <c r="C475" s="30">
        <v>460</v>
      </c>
      <c r="D475" s="30">
        <v>63</v>
      </c>
      <c r="E475" s="109">
        <f t="shared" ca="1" si="48"/>
        <v>454.76190476190476</v>
      </c>
      <c r="F475" s="72">
        <f ca="1">SUM(E475:OFFSET(E475,-crLead_Time-crSaf_Time+1,0))</f>
        <v>1364.2857142857142</v>
      </c>
      <c r="G475" s="98">
        <f ca="1">IF(F475&gt;=OFFSET(I475,1,0),IF(crFixedLot&gt;0,crFixedLot,(INT(SUM(E475:OFFSET(E475,-Simulation!$B$7+1,0))/crRoundingValue)+1)*crRoundingValue),0)</f>
        <v>0</v>
      </c>
      <c r="H475" s="98">
        <f t="shared" ca="1" si="49"/>
        <v>0</v>
      </c>
      <c r="I475" s="72">
        <f t="shared" ca="1" si="46"/>
        <v>7490</v>
      </c>
      <c r="J475" s="72">
        <f t="shared" ca="1" si="47"/>
        <v>7490</v>
      </c>
      <c r="K475" s="72">
        <f t="shared" ca="1" si="50"/>
        <v>0</v>
      </c>
      <c r="L475" s="71">
        <f t="shared" si="51"/>
        <v>6</v>
      </c>
    </row>
    <row r="476" spans="1:12" x14ac:dyDescent="0.25">
      <c r="A476" s="135">
        <v>41085</v>
      </c>
      <c r="B476" s="30">
        <v>18230</v>
      </c>
      <c r="C476" s="30">
        <v>0</v>
      </c>
      <c r="D476" s="30">
        <v>64</v>
      </c>
      <c r="E476" s="109">
        <f t="shared" ca="1" si="48"/>
        <v>454.76190476190476</v>
      </c>
      <c r="F476" s="72">
        <f ca="1">SUM(E476:OFFSET(E476,-crLead_Time-crSaf_Time+1,0))</f>
        <v>1364.2857142857142</v>
      </c>
      <c r="G476" s="98">
        <f ca="1">IF(F476&gt;=OFFSET(I476,1,0),IF(crFixedLot&gt;0,crFixedLot,(INT(SUM(E476:OFFSET(E476,-Simulation!$B$7+1,0))/crRoundingValue)+1)*crRoundingValue),0)</f>
        <v>0</v>
      </c>
      <c r="H476" s="98">
        <f t="shared" ca="1" si="49"/>
        <v>0</v>
      </c>
      <c r="I476" s="72">
        <f t="shared" ca="1" si="46"/>
        <v>7950</v>
      </c>
      <c r="J476" s="72">
        <f t="shared" ca="1" si="47"/>
        <v>7950</v>
      </c>
      <c r="K476" s="72">
        <f t="shared" ca="1" si="50"/>
        <v>0</v>
      </c>
      <c r="L476" s="71">
        <f t="shared" si="51"/>
        <v>6</v>
      </c>
    </row>
    <row r="477" spans="1:12" x14ac:dyDescent="0.25">
      <c r="A477" s="135">
        <v>41082</v>
      </c>
      <c r="B477" s="30">
        <v>7910</v>
      </c>
      <c r="C477" s="30">
        <v>0</v>
      </c>
      <c r="D477" s="30">
        <v>42</v>
      </c>
      <c r="E477" s="109">
        <f t="shared" ca="1" si="48"/>
        <v>454.76190476190476</v>
      </c>
      <c r="F477" s="72">
        <f ca="1">SUM(E477:OFFSET(E477,-crLead_Time-crSaf_Time+1,0))</f>
        <v>1364.2857142857142</v>
      </c>
      <c r="G477" s="98">
        <f ca="1">IF(F477&gt;=OFFSET(I477,1,0),IF(crFixedLot&gt;0,crFixedLot,(INT(SUM(E477:OFFSET(E477,-Simulation!$B$7+1,0))/crRoundingValue)+1)*crRoundingValue),0)</f>
        <v>0</v>
      </c>
      <c r="H477" s="98">
        <f t="shared" ca="1" si="49"/>
        <v>0</v>
      </c>
      <c r="I477" s="72">
        <f t="shared" ca="1" si="46"/>
        <v>7950</v>
      </c>
      <c r="J477" s="72">
        <f t="shared" ca="1" si="47"/>
        <v>7950</v>
      </c>
      <c r="K477" s="72">
        <f t="shared" ca="1" si="50"/>
        <v>0</v>
      </c>
      <c r="L477" s="71">
        <f t="shared" si="51"/>
        <v>6</v>
      </c>
    </row>
    <row r="478" spans="1:12" x14ac:dyDescent="0.25">
      <c r="A478" s="135">
        <v>41081</v>
      </c>
      <c r="B478" s="30">
        <v>7910</v>
      </c>
      <c r="C478" s="30">
        <v>0</v>
      </c>
      <c r="D478" s="30">
        <v>43</v>
      </c>
      <c r="E478" s="109">
        <f t="shared" ca="1" si="48"/>
        <v>454.76190476190476</v>
      </c>
      <c r="F478" s="72">
        <f ca="1">SUM(E478:OFFSET(E478,-crLead_Time-crSaf_Time+1,0))</f>
        <v>1364.2857142857142</v>
      </c>
      <c r="G478" s="98">
        <f ca="1">IF(F478&gt;=OFFSET(I478,1,0),IF(crFixedLot&gt;0,crFixedLot,(INT(SUM(E478:OFFSET(E478,-Simulation!$B$7+1,0))/crRoundingValue)+1)*crRoundingValue),0)</f>
        <v>0</v>
      </c>
      <c r="H478" s="98">
        <f t="shared" ca="1" si="49"/>
        <v>0</v>
      </c>
      <c r="I478" s="72">
        <f t="shared" ca="1" si="46"/>
        <v>7950</v>
      </c>
      <c r="J478" s="72">
        <f t="shared" ca="1" si="47"/>
        <v>7950</v>
      </c>
      <c r="K478" s="72">
        <f t="shared" ca="1" si="50"/>
        <v>0</v>
      </c>
      <c r="L478" s="71">
        <f t="shared" si="51"/>
        <v>6</v>
      </c>
    </row>
    <row r="479" spans="1:12" x14ac:dyDescent="0.25">
      <c r="A479" s="135">
        <v>41080</v>
      </c>
      <c r="B479" s="30">
        <v>7910</v>
      </c>
      <c r="C479" s="30">
        <v>0</v>
      </c>
      <c r="D479" s="30">
        <v>44</v>
      </c>
      <c r="E479" s="109">
        <f t="shared" ca="1" si="48"/>
        <v>454.76190476190476</v>
      </c>
      <c r="F479" s="72">
        <f ca="1">SUM(E479:OFFSET(E479,-crLead_Time-crSaf_Time+1,0))</f>
        <v>1364.2857142857142</v>
      </c>
      <c r="G479" s="98">
        <f ca="1">IF(F479&gt;=OFFSET(I479,1,0),IF(crFixedLot&gt;0,crFixedLot,(INT(SUM(E479:OFFSET(E479,-Simulation!$B$7+1,0))/crRoundingValue)+1)*crRoundingValue),0)</f>
        <v>0</v>
      </c>
      <c r="H479" s="98">
        <f t="shared" ca="1" si="49"/>
        <v>0</v>
      </c>
      <c r="I479" s="72">
        <f t="shared" ca="1" si="46"/>
        <v>7950</v>
      </c>
      <c r="J479" s="72">
        <f t="shared" ca="1" si="47"/>
        <v>7950</v>
      </c>
      <c r="K479" s="72">
        <f t="shared" ca="1" si="50"/>
        <v>0</v>
      </c>
      <c r="L479" s="71">
        <f t="shared" si="51"/>
        <v>6</v>
      </c>
    </row>
    <row r="480" spans="1:12" x14ac:dyDescent="0.25">
      <c r="A480" s="135">
        <v>41079</v>
      </c>
      <c r="B480" s="30">
        <v>7910</v>
      </c>
      <c r="C480" s="30">
        <v>1150</v>
      </c>
      <c r="D480" s="30">
        <v>45</v>
      </c>
      <c r="E480" s="109">
        <f t="shared" ca="1" si="48"/>
        <v>454.76190476190476</v>
      </c>
      <c r="F480" s="72">
        <f ca="1">SUM(E480:OFFSET(E480,-crLead_Time-crSaf_Time+1,0))</f>
        <v>1364.2857142857142</v>
      </c>
      <c r="G480" s="98">
        <f ca="1">IF(F480&gt;=OFFSET(I480,1,0),IF(crFixedLot&gt;0,crFixedLot,(INT(SUM(E480:OFFSET(E480,-Simulation!$B$7+1,0))/crRoundingValue)+1)*crRoundingValue),0)</f>
        <v>0</v>
      </c>
      <c r="H480" s="98">
        <f t="shared" ca="1" si="49"/>
        <v>0</v>
      </c>
      <c r="I480" s="72">
        <f t="shared" ca="1" si="46"/>
        <v>7950</v>
      </c>
      <c r="J480" s="72">
        <f t="shared" ca="1" si="47"/>
        <v>7950</v>
      </c>
      <c r="K480" s="72">
        <f t="shared" ca="1" si="50"/>
        <v>0</v>
      </c>
      <c r="L480" s="71">
        <f t="shared" si="51"/>
        <v>6</v>
      </c>
    </row>
    <row r="481" spans="1:12" x14ac:dyDescent="0.25">
      <c r="A481" s="135">
        <v>41078</v>
      </c>
      <c r="B481" s="30">
        <v>9060</v>
      </c>
      <c r="C481" s="30">
        <v>0</v>
      </c>
      <c r="D481" s="30">
        <v>46</v>
      </c>
      <c r="E481" s="109">
        <f t="shared" ca="1" si="48"/>
        <v>454.76190476190476</v>
      </c>
      <c r="F481" s="72">
        <f ca="1">SUM(E481:OFFSET(E481,-crLead_Time-crSaf_Time+1,0))</f>
        <v>1364.2857142857142</v>
      </c>
      <c r="G481" s="98">
        <f ca="1">IF(F481&gt;=OFFSET(I481,1,0),IF(crFixedLot&gt;0,crFixedLot,(INT(SUM(E481:OFFSET(E481,-Simulation!$B$7+1,0))/crRoundingValue)+1)*crRoundingValue),0)</f>
        <v>0</v>
      </c>
      <c r="H481" s="98">
        <f t="shared" ca="1" si="49"/>
        <v>0</v>
      </c>
      <c r="I481" s="72">
        <f t="shared" ca="1" si="46"/>
        <v>9100</v>
      </c>
      <c r="J481" s="72">
        <f t="shared" ca="1" si="47"/>
        <v>9100</v>
      </c>
      <c r="K481" s="72">
        <f t="shared" ca="1" si="50"/>
        <v>0</v>
      </c>
      <c r="L481" s="71">
        <f t="shared" si="51"/>
        <v>6</v>
      </c>
    </row>
    <row r="482" spans="1:12" x14ac:dyDescent="0.25">
      <c r="A482" s="135">
        <v>41075</v>
      </c>
      <c r="B482" s="30">
        <v>9060</v>
      </c>
      <c r="C482" s="30">
        <v>460</v>
      </c>
      <c r="D482" s="30">
        <v>47</v>
      </c>
      <c r="E482" s="109">
        <f t="shared" ca="1" si="48"/>
        <v>454.76190476190476</v>
      </c>
      <c r="F482" s="72">
        <f ca="1">SUM(E482:OFFSET(E482,-crLead_Time-crSaf_Time+1,0))</f>
        <v>1364.2857142857142</v>
      </c>
      <c r="G482" s="98">
        <f ca="1">IF(F482&gt;=OFFSET(I482,1,0),IF(crFixedLot&gt;0,crFixedLot,(INT(SUM(E482:OFFSET(E482,-Simulation!$B$7+1,0))/crRoundingValue)+1)*crRoundingValue),0)</f>
        <v>0</v>
      </c>
      <c r="H482" s="98">
        <f t="shared" ca="1" si="49"/>
        <v>0</v>
      </c>
      <c r="I482" s="72">
        <f t="shared" ca="1" si="46"/>
        <v>9100</v>
      </c>
      <c r="J482" s="72">
        <f t="shared" ca="1" si="47"/>
        <v>9100</v>
      </c>
      <c r="K482" s="72">
        <f t="shared" ca="1" si="50"/>
        <v>0</v>
      </c>
      <c r="L482" s="71">
        <f t="shared" si="51"/>
        <v>6</v>
      </c>
    </row>
    <row r="483" spans="1:12" x14ac:dyDescent="0.25">
      <c r="A483" s="135">
        <v>41074</v>
      </c>
      <c r="B483" s="30">
        <v>9520</v>
      </c>
      <c r="C483" s="30">
        <v>0</v>
      </c>
      <c r="D483" s="30">
        <v>48</v>
      </c>
      <c r="E483" s="109">
        <f t="shared" ca="1" si="48"/>
        <v>454.76190476190476</v>
      </c>
      <c r="F483" s="72">
        <f ca="1">SUM(E483:OFFSET(E483,-crLead_Time-crSaf_Time+1,0))</f>
        <v>1364.2857142857142</v>
      </c>
      <c r="G483" s="98">
        <f ca="1">IF(F483&gt;=OFFSET(I483,1,0),IF(crFixedLot&gt;0,crFixedLot,(INT(SUM(E483:OFFSET(E483,-Simulation!$B$7+1,0))/crRoundingValue)+1)*crRoundingValue),0)</f>
        <v>0</v>
      </c>
      <c r="H483" s="98">
        <f t="shared" ca="1" si="49"/>
        <v>0</v>
      </c>
      <c r="I483" s="72">
        <f t="shared" ca="1" si="46"/>
        <v>9560</v>
      </c>
      <c r="J483" s="72">
        <f t="shared" ca="1" si="47"/>
        <v>9560</v>
      </c>
      <c r="K483" s="72">
        <f t="shared" ca="1" si="50"/>
        <v>0</v>
      </c>
      <c r="L483" s="71">
        <f t="shared" si="51"/>
        <v>6</v>
      </c>
    </row>
    <row r="484" spans="1:12" x14ac:dyDescent="0.25">
      <c r="A484" s="135">
        <v>41073</v>
      </c>
      <c r="B484" s="30">
        <v>9560</v>
      </c>
      <c r="C484" s="30">
        <v>0</v>
      </c>
      <c r="D484" s="30">
        <v>49</v>
      </c>
      <c r="E484" s="109">
        <f t="shared" ca="1" si="48"/>
        <v>454.76190476190476</v>
      </c>
      <c r="F484" s="72">
        <f ca="1">SUM(E484:OFFSET(E484,-crLead_Time-crSaf_Time+1,0))</f>
        <v>1364.2857142857142</v>
      </c>
      <c r="G484" s="98">
        <f ca="1">IF(F484&gt;=OFFSET(I484,1,0),IF(crFixedLot&gt;0,crFixedLot,(INT(SUM(E484:OFFSET(E484,-Simulation!$B$7+1,0))/crRoundingValue)+1)*crRoundingValue),0)</f>
        <v>0</v>
      </c>
      <c r="H484" s="98">
        <f t="shared" ca="1" si="49"/>
        <v>0</v>
      </c>
      <c r="I484" s="72">
        <f t="shared" ca="1" si="46"/>
        <v>9560</v>
      </c>
      <c r="J484" s="72">
        <f t="shared" ca="1" si="47"/>
        <v>9560</v>
      </c>
      <c r="K484" s="72">
        <f t="shared" ca="1" si="50"/>
        <v>0</v>
      </c>
      <c r="L484" s="71">
        <f t="shared" si="51"/>
        <v>6</v>
      </c>
    </row>
    <row r="485" spans="1:12" x14ac:dyDescent="0.25">
      <c r="A485" s="135">
        <v>41072</v>
      </c>
      <c r="B485" s="30">
        <v>9560</v>
      </c>
      <c r="C485" s="30">
        <v>460</v>
      </c>
      <c r="D485" s="30">
        <v>50</v>
      </c>
      <c r="E485" s="109"/>
      <c r="F485" s="72">
        <f>Simulation!B8</f>
        <v>9560</v>
      </c>
      <c r="I485" s="72">
        <f>F485</f>
        <v>9560</v>
      </c>
      <c r="J485" s="72">
        <f>I485</f>
        <v>9560</v>
      </c>
      <c r="K485" s="72">
        <f t="shared" ca="1" si="50"/>
        <v>0</v>
      </c>
      <c r="L485" s="71"/>
    </row>
    <row r="486" spans="1:12" x14ac:dyDescent="0.25">
      <c r="A486" s="135">
        <v>40932</v>
      </c>
      <c r="B486" s="30"/>
      <c r="C486" s="30"/>
      <c r="D486" s="30"/>
      <c r="E486" s="109"/>
      <c r="F486" s="72"/>
      <c r="I486" s="72"/>
      <c r="J486" s="72"/>
      <c r="K486" s="72"/>
      <c r="L486" s="71"/>
    </row>
    <row r="487" spans="1:12" x14ac:dyDescent="0.25">
      <c r="A487" s="135">
        <v>40627</v>
      </c>
      <c r="B487" s="30"/>
      <c r="C487" s="30"/>
      <c r="D487" s="30"/>
      <c r="E487" s="109"/>
      <c r="F487" s="72"/>
      <c r="J487" s="72"/>
      <c r="K487" s="72"/>
    </row>
    <row r="488" spans="1:12" x14ac:dyDescent="0.25">
      <c r="A488" s="135">
        <v>40626</v>
      </c>
      <c r="B488" s="30"/>
      <c r="C488" s="30"/>
      <c r="D488" s="30"/>
    </row>
    <row r="489" spans="1:12" x14ac:dyDescent="0.25">
      <c r="A489" s="135">
        <v>40625</v>
      </c>
      <c r="B489" s="30"/>
      <c r="C489" s="30"/>
      <c r="D489" s="30"/>
    </row>
    <row r="490" spans="1:12" x14ac:dyDescent="0.25"/>
    <row r="491" spans="1:12" x14ac:dyDescent="0.25"/>
  </sheetData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LogLLS">
    <tabColor rgb="FFC00000"/>
  </sheetPr>
  <dimension ref="A1:J1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453125" defaultRowHeight="12.5" x14ac:dyDescent="0.25"/>
  <cols>
    <col min="1" max="1" width="10.453125" style="60" customWidth="1"/>
    <col min="2" max="2" width="12.54296875" style="60" bestFit="1" customWidth="1"/>
    <col min="3" max="3" width="10.54296875" style="60" customWidth="1"/>
    <col min="4" max="4" width="8.54296875" style="60" customWidth="1"/>
    <col min="5" max="5" width="16.453125" style="72" bestFit="1" customWidth="1"/>
    <col min="6" max="6" width="20.26953125" style="72" bestFit="1" customWidth="1"/>
    <col min="7" max="7" width="17.26953125" style="72" bestFit="1" customWidth="1"/>
    <col min="8" max="8" width="20.453125" style="72" bestFit="1" customWidth="1"/>
    <col min="9" max="9" width="11.81640625" style="60" bestFit="1" customWidth="1"/>
    <col min="10" max="10" width="12.81640625" style="95" bestFit="1" customWidth="1"/>
    <col min="11" max="16384" width="11.453125" style="60"/>
  </cols>
  <sheetData>
    <row r="1" spans="1:10" ht="13" x14ac:dyDescent="0.3">
      <c r="A1" s="63" t="s">
        <v>409</v>
      </c>
      <c r="B1" s="63" t="s">
        <v>135</v>
      </c>
      <c r="C1" s="63" t="s">
        <v>478</v>
      </c>
      <c r="D1" s="63" t="s">
        <v>411</v>
      </c>
      <c r="E1" s="94" t="s">
        <v>413</v>
      </c>
      <c r="F1" s="94" t="s">
        <v>414</v>
      </c>
      <c r="G1" s="94" t="s">
        <v>416</v>
      </c>
      <c r="H1" s="94" t="s">
        <v>418</v>
      </c>
      <c r="I1" s="63" t="s">
        <v>459</v>
      </c>
      <c r="J1" s="110" t="s">
        <v>420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LogForecast">
    <tabColor rgb="FFC00000"/>
  </sheetPr>
  <dimension ref="A1:R101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453125" defaultRowHeight="12.5" x14ac:dyDescent="0.25"/>
  <cols>
    <col min="1" max="12" width="10" style="60" bestFit="1" customWidth="1"/>
    <col min="13" max="13" width="13.1796875" style="95" bestFit="1" customWidth="1"/>
    <col min="14" max="14" width="14.1796875" style="95" bestFit="1" customWidth="1"/>
    <col min="15" max="15" width="16.453125" style="72" bestFit="1" customWidth="1"/>
    <col min="16" max="16" width="20.26953125" style="72" bestFit="1" customWidth="1"/>
    <col min="17" max="16384" width="11.453125" style="60"/>
  </cols>
  <sheetData>
    <row r="1" spans="1:18" ht="13" x14ac:dyDescent="0.3">
      <c r="A1" s="63" t="s">
        <v>449</v>
      </c>
      <c r="B1" s="63" t="s">
        <v>450</v>
      </c>
      <c r="C1" s="63" t="s">
        <v>452</v>
      </c>
      <c r="D1" s="63" t="s">
        <v>453</v>
      </c>
      <c r="E1" s="63" t="s">
        <v>454</v>
      </c>
      <c r="F1" s="63" t="s">
        <v>455</v>
      </c>
      <c r="G1" s="63" t="s">
        <v>456</v>
      </c>
      <c r="H1" s="63" t="s">
        <v>457</v>
      </c>
      <c r="I1" s="63" t="s">
        <v>458</v>
      </c>
      <c r="J1" s="63" t="s">
        <v>460</v>
      </c>
      <c r="K1" s="63" t="s">
        <v>461</v>
      </c>
      <c r="L1" s="63" t="s">
        <v>462</v>
      </c>
      <c r="M1" s="110" t="s">
        <v>479</v>
      </c>
      <c r="N1" s="110" t="s">
        <v>464</v>
      </c>
      <c r="O1" s="94" t="s">
        <v>413</v>
      </c>
      <c r="P1" s="94" t="s">
        <v>414</v>
      </c>
      <c r="R1" s="95" t="e">
        <f>AVERAGE(M2:M101)</f>
        <v>#DIV/0!</v>
      </c>
    </row>
    <row r="2" spans="1:18" x14ac:dyDescent="0.25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89"/>
      <c r="N2" s="89"/>
    </row>
    <row r="3" spans="1:18" x14ac:dyDescent="0.25">
      <c r="A3" s="72"/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89"/>
      <c r="N3" s="89"/>
    </row>
    <row r="4" spans="1:18" x14ac:dyDescent="0.25">
      <c r="A4" s="72"/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89"/>
      <c r="N4" s="89"/>
    </row>
    <row r="5" spans="1:18" x14ac:dyDescent="0.25">
      <c r="A5" s="72"/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89"/>
      <c r="N5" s="89"/>
    </row>
    <row r="6" spans="1:18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89"/>
      <c r="N6" s="89"/>
    </row>
    <row r="7" spans="1:18" x14ac:dyDescent="0.25">
      <c r="A7" s="72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89"/>
      <c r="N7" s="89"/>
    </row>
    <row r="8" spans="1:18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89"/>
      <c r="N8" s="89"/>
    </row>
    <row r="9" spans="1:18" x14ac:dyDescent="0.25">
      <c r="A9" s="72"/>
      <c r="B9" s="72"/>
      <c r="C9" s="72"/>
      <c r="D9" s="72"/>
      <c r="E9" s="72"/>
      <c r="F9" s="72"/>
      <c r="G9" s="72"/>
      <c r="H9" s="72"/>
      <c r="I9" s="72"/>
      <c r="J9" s="72"/>
      <c r="K9" s="72"/>
      <c r="L9" s="72"/>
      <c r="M9" s="89"/>
      <c r="N9" s="89"/>
    </row>
    <row r="10" spans="1:18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89"/>
      <c r="N10" s="89"/>
    </row>
    <row r="11" spans="1:18" x14ac:dyDescent="0.25">
      <c r="A11" s="72"/>
      <c r="B11" s="72"/>
      <c r="C11" s="72"/>
      <c r="D11" s="72"/>
      <c r="E11" s="72"/>
      <c r="F11" s="72"/>
      <c r="G11" s="72"/>
      <c r="H11" s="72"/>
      <c r="I11" s="72"/>
      <c r="J11" s="72"/>
      <c r="K11" s="72"/>
      <c r="L11" s="72"/>
      <c r="M11" s="89"/>
      <c r="N11" s="89"/>
    </row>
    <row r="12" spans="1:18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89"/>
      <c r="N12" s="89"/>
    </row>
    <row r="13" spans="1:18" x14ac:dyDescent="0.25">
      <c r="A13" s="72"/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89"/>
      <c r="N13" s="89"/>
    </row>
    <row r="14" spans="1:18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89"/>
      <c r="N14" s="89"/>
    </row>
    <row r="15" spans="1:18" x14ac:dyDescent="0.25">
      <c r="A15" s="72"/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89"/>
      <c r="N15" s="89"/>
    </row>
    <row r="16" spans="1:18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89"/>
      <c r="N16" s="89"/>
    </row>
    <row r="17" spans="1:14" x14ac:dyDescent="0.25">
      <c r="A17" s="72"/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89"/>
      <c r="N17" s="89"/>
    </row>
    <row r="18" spans="1:14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89"/>
      <c r="N18" s="89"/>
    </row>
    <row r="19" spans="1:14" x14ac:dyDescent="0.25">
      <c r="A19" s="72"/>
      <c r="B19" s="72"/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89"/>
      <c r="N19" s="89"/>
    </row>
    <row r="20" spans="1:14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89"/>
      <c r="N20" s="89"/>
    </row>
    <row r="21" spans="1:14" x14ac:dyDescent="0.25">
      <c r="A21" s="72"/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89"/>
      <c r="N21" s="89"/>
    </row>
    <row r="22" spans="1:14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89"/>
      <c r="N22" s="89"/>
    </row>
    <row r="23" spans="1:14" x14ac:dyDescent="0.25">
      <c r="A23" s="72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89"/>
      <c r="N23" s="89"/>
    </row>
    <row r="24" spans="1:14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89"/>
      <c r="N24" s="89"/>
    </row>
    <row r="25" spans="1:14" x14ac:dyDescent="0.25">
      <c r="A25" s="72"/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89"/>
      <c r="N25" s="89"/>
    </row>
    <row r="26" spans="1:14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89"/>
      <c r="N26" s="89"/>
    </row>
    <row r="27" spans="1:14" x14ac:dyDescent="0.25">
      <c r="A27" s="72"/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89"/>
      <c r="N27" s="89"/>
    </row>
    <row r="28" spans="1:14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89"/>
      <c r="N28" s="89"/>
    </row>
    <row r="29" spans="1:14" x14ac:dyDescent="0.25">
      <c r="A29" s="72"/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89"/>
      <c r="N29" s="89"/>
    </row>
    <row r="30" spans="1:14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89"/>
      <c r="N30" s="89"/>
    </row>
    <row r="31" spans="1:14" x14ac:dyDescent="0.25">
      <c r="A31" s="72"/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89"/>
      <c r="N31" s="89"/>
    </row>
    <row r="32" spans="1:14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89"/>
      <c r="N32" s="89"/>
    </row>
    <row r="33" spans="1:14" x14ac:dyDescent="0.25">
      <c r="A33" s="72"/>
      <c r="B33" s="72"/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89"/>
      <c r="N33" s="89"/>
    </row>
    <row r="34" spans="1:14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89"/>
      <c r="N34" s="89"/>
    </row>
    <row r="35" spans="1:14" x14ac:dyDescent="0.25">
      <c r="A35" s="72"/>
      <c r="B35" s="72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89"/>
      <c r="N35" s="89"/>
    </row>
    <row r="36" spans="1:14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89"/>
      <c r="N36" s="89"/>
    </row>
    <row r="37" spans="1:14" x14ac:dyDescent="0.25">
      <c r="A37" s="72"/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89"/>
      <c r="N37" s="89"/>
    </row>
    <row r="38" spans="1:14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89"/>
      <c r="N38" s="89"/>
    </row>
    <row r="39" spans="1:14" x14ac:dyDescent="0.25">
      <c r="A39" s="72"/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89"/>
      <c r="N39" s="89"/>
    </row>
    <row r="40" spans="1:14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89"/>
      <c r="N40" s="89"/>
    </row>
    <row r="41" spans="1:14" x14ac:dyDescent="0.25">
      <c r="A41" s="72"/>
      <c r="B41" s="72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89"/>
      <c r="N41" s="89"/>
    </row>
    <row r="42" spans="1:14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89"/>
      <c r="N42" s="89"/>
    </row>
    <row r="43" spans="1:14" x14ac:dyDescent="0.25">
      <c r="A43" s="72"/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89"/>
      <c r="N43" s="89"/>
    </row>
    <row r="44" spans="1:14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89"/>
      <c r="N44" s="89"/>
    </row>
    <row r="45" spans="1:14" x14ac:dyDescent="0.25">
      <c r="A45" s="72"/>
      <c r="B45" s="72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89"/>
      <c r="N45" s="89"/>
    </row>
    <row r="46" spans="1:14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89"/>
      <c r="N46" s="89"/>
    </row>
    <row r="47" spans="1:14" x14ac:dyDescent="0.25">
      <c r="A47" s="72"/>
      <c r="B47" s="72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89"/>
      <c r="N47" s="89"/>
    </row>
    <row r="48" spans="1:14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89"/>
      <c r="N48" s="89"/>
    </row>
    <row r="49" spans="1:14" x14ac:dyDescent="0.25">
      <c r="A49" s="72"/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89"/>
      <c r="N49" s="89"/>
    </row>
    <row r="50" spans="1:14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89"/>
      <c r="N50" s="89"/>
    </row>
    <row r="51" spans="1:14" x14ac:dyDescent="0.25">
      <c r="A51" s="72"/>
      <c r="B51" s="7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89"/>
      <c r="N51" s="89"/>
    </row>
    <row r="52" spans="1:14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89"/>
      <c r="N52" s="89"/>
    </row>
    <row r="53" spans="1:14" x14ac:dyDescent="0.25">
      <c r="A53" s="72"/>
      <c r="B53" s="7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89"/>
      <c r="N53" s="89"/>
    </row>
    <row r="54" spans="1:14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89"/>
      <c r="N54" s="89"/>
    </row>
    <row r="55" spans="1:14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89"/>
      <c r="N55" s="89"/>
    </row>
    <row r="56" spans="1:14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89"/>
      <c r="N56" s="89"/>
    </row>
    <row r="57" spans="1:14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89"/>
      <c r="N57" s="89"/>
    </row>
    <row r="58" spans="1:14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89"/>
      <c r="N58" s="89"/>
    </row>
    <row r="59" spans="1:14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89"/>
      <c r="N59" s="89"/>
    </row>
    <row r="60" spans="1:14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89"/>
      <c r="N60" s="89"/>
    </row>
    <row r="61" spans="1:14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89"/>
      <c r="N61" s="89"/>
    </row>
    <row r="62" spans="1:14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89"/>
      <c r="N62" s="89"/>
    </row>
    <row r="63" spans="1:14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89"/>
      <c r="N63" s="89"/>
    </row>
    <row r="64" spans="1:14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89"/>
      <c r="N64" s="89"/>
    </row>
    <row r="65" spans="1:14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89"/>
      <c r="N65" s="89"/>
    </row>
    <row r="66" spans="1:14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89"/>
      <c r="N66" s="89"/>
    </row>
    <row r="67" spans="1:14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89"/>
      <c r="N67" s="89"/>
    </row>
    <row r="68" spans="1:14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89"/>
      <c r="N68" s="89"/>
    </row>
    <row r="69" spans="1:14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89"/>
      <c r="N69" s="89"/>
    </row>
    <row r="70" spans="1:14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89"/>
      <c r="N70" s="89"/>
    </row>
    <row r="71" spans="1:14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89"/>
      <c r="N71" s="89"/>
    </row>
    <row r="72" spans="1:14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89"/>
      <c r="N72" s="89"/>
    </row>
    <row r="73" spans="1:14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89"/>
      <c r="N73" s="89"/>
    </row>
    <row r="74" spans="1:14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89"/>
      <c r="N74" s="89"/>
    </row>
    <row r="75" spans="1:14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89"/>
      <c r="N75" s="89"/>
    </row>
    <row r="76" spans="1:14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89"/>
      <c r="N76" s="89"/>
    </row>
    <row r="77" spans="1:14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89"/>
      <c r="N77" s="89"/>
    </row>
    <row r="78" spans="1:14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89"/>
      <c r="N78" s="89"/>
    </row>
    <row r="79" spans="1:14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89"/>
      <c r="N79" s="89"/>
    </row>
    <row r="80" spans="1:14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89"/>
      <c r="N80" s="89"/>
    </row>
    <row r="81" spans="1:14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89"/>
      <c r="N81" s="89"/>
    </row>
    <row r="82" spans="1:14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89"/>
      <c r="N82" s="89"/>
    </row>
    <row r="83" spans="1:14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89"/>
      <c r="N83" s="89"/>
    </row>
    <row r="84" spans="1:14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89"/>
      <c r="N84" s="89"/>
    </row>
    <row r="85" spans="1:14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89"/>
      <c r="N85" s="89"/>
    </row>
    <row r="86" spans="1:14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89"/>
      <c r="N86" s="89"/>
    </row>
    <row r="87" spans="1:14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89"/>
      <c r="N87" s="89"/>
    </row>
    <row r="88" spans="1:14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89"/>
      <c r="N88" s="89"/>
    </row>
    <row r="89" spans="1:14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89"/>
      <c r="N89" s="89"/>
    </row>
    <row r="90" spans="1:14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89"/>
      <c r="N90" s="89"/>
    </row>
    <row r="91" spans="1:14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89"/>
      <c r="N91" s="89"/>
    </row>
    <row r="92" spans="1:14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89"/>
      <c r="N92" s="89"/>
    </row>
    <row r="93" spans="1:14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89"/>
      <c r="N93" s="89"/>
    </row>
    <row r="94" spans="1:14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89"/>
      <c r="N94" s="89"/>
    </row>
    <row r="95" spans="1:14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89"/>
      <c r="N95" s="89"/>
    </row>
    <row r="96" spans="1:14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89"/>
      <c r="N96" s="89"/>
    </row>
    <row r="97" spans="1:14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89"/>
      <c r="N97" s="89"/>
    </row>
    <row r="98" spans="1:14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89"/>
      <c r="N98" s="89"/>
    </row>
    <row r="99" spans="1:14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89"/>
      <c r="N99" s="89"/>
    </row>
    <row r="100" spans="1:14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89"/>
      <c r="N100" s="89"/>
    </row>
    <row r="101" spans="1:14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89"/>
      <c r="N101" s="89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LogStockIn">
    <tabColor rgb="FFC00000"/>
  </sheetPr>
  <dimension ref="A1:K5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453125" defaultRowHeight="12.5" x14ac:dyDescent="0.25"/>
  <cols>
    <col min="1" max="1" width="10.453125" style="60" bestFit="1" customWidth="1"/>
    <col min="2" max="2" width="12.54296875" style="60" bestFit="1" customWidth="1"/>
    <col min="3" max="3" width="10.54296875" style="60" bestFit="1" customWidth="1"/>
    <col min="4" max="4" width="8.54296875" style="60" bestFit="1" customWidth="1"/>
    <col min="5" max="5" width="16.453125" style="60" bestFit="1" customWidth="1"/>
    <col min="6" max="6" width="20.26953125" style="60" bestFit="1" customWidth="1"/>
    <col min="7" max="7" width="17.26953125" style="60" bestFit="1" customWidth="1"/>
    <col min="8" max="8" width="20.453125" style="60" bestFit="1" customWidth="1"/>
    <col min="9" max="9" width="11.81640625" style="95" bestFit="1" customWidth="1"/>
    <col min="10" max="16384" width="11.453125" style="60"/>
  </cols>
  <sheetData>
    <row r="1" spans="1:11" ht="13" x14ac:dyDescent="0.3">
      <c r="A1" s="63" t="s">
        <v>409</v>
      </c>
      <c r="B1" s="63" t="s">
        <v>135</v>
      </c>
      <c r="C1" s="63" t="s">
        <v>125</v>
      </c>
      <c r="D1" s="63" t="s">
        <v>411</v>
      </c>
      <c r="E1" s="63" t="s">
        <v>413</v>
      </c>
      <c r="F1" s="63" t="s">
        <v>414</v>
      </c>
      <c r="G1" s="63" t="s">
        <v>416</v>
      </c>
      <c r="H1" s="63" t="s">
        <v>418</v>
      </c>
      <c r="I1" s="110" t="s">
        <v>420</v>
      </c>
    </row>
    <row r="2" spans="1:11" x14ac:dyDescent="0.25">
      <c r="E2" s="72"/>
      <c r="F2" s="72"/>
      <c r="G2" s="111"/>
      <c r="H2" s="72"/>
    </row>
    <row r="3" spans="1:11" x14ac:dyDescent="0.25">
      <c r="E3" s="72"/>
      <c r="F3" s="72"/>
      <c r="G3" s="111"/>
      <c r="H3" s="72"/>
    </row>
    <row r="4" spans="1:11" x14ac:dyDescent="0.25">
      <c r="E4" s="72"/>
      <c r="F4" s="72"/>
      <c r="G4" s="111"/>
      <c r="H4" s="72"/>
    </row>
    <row r="5" spans="1:11" x14ac:dyDescent="0.25">
      <c r="E5" s="72"/>
      <c r="F5" s="72"/>
      <c r="G5" s="111"/>
      <c r="H5" s="72"/>
    </row>
    <row r="6" spans="1:11" x14ac:dyDescent="0.25">
      <c r="E6" s="72"/>
      <c r="F6" s="72"/>
      <c r="G6" s="111"/>
      <c r="H6" s="72"/>
    </row>
    <row r="7" spans="1:11" x14ac:dyDescent="0.25">
      <c r="E7" s="72"/>
      <c r="F7" s="72"/>
      <c r="G7" s="111"/>
      <c r="H7" s="72"/>
    </row>
    <row r="8" spans="1:11" x14ac:dyDescent="0.25">
      <c r="E8" s="72"/>
      <c r="F8" s="72"/>
      <c r="G8" s="111"/>
      <c r="H8" s="72"/>
    </row>
    <row r="9" spans="1:11" x14ac:dyDescent="0.25">
      <c r="E9" s="72"/>
      <c r="F9" s="72"/>
      <c r="G9" s="111"/>
      <c r="H9" s="72"/>
    </row>
    <row r="10" spans="1:11" x14ac:dyDescent="0.25">
      <c r="E10" s="72"/>
      <c r="F10" s="72"/>
      <c r="G10" s="111"/>
      <c r="H10" s="72"/>
      <c r="K10" s="112"/>
    </row>
    <row r="11" spans="1:11" x14ac:dyDescent="0.25">
      <c r="E11" s="72"/>
      <c r="F11" s="72"/>
      <c r="G11" s="111"/>
      <c r="H11" s="72"/>
    </row>
    <row r="12" spans="1:11" x14ac:dyDescent="0.25">
      <c r="E12" s="72"/>
      <c r="F12" s="72"/>
      <c r="G12" s="111"/>
      <c r="H12" s="72"/>
    </row>
    <row r="13" spans="1:11" x14ac:dyDescent="0.25">
      <c r="E13" s="72"/>
      <c r="F13" s="72"/>
      <c r="G13" s="111"/>
      <c r="H13" s="72"/>
    </row>
    <row r="14" spans="1:11" x14ac:dyDescent="0.25">
      <c r="E14" s="72"/>
      <c r="F14" s="72"/>
      <c r="G14" s="111"/>
      <c r="H14" s="72"/>
    </row>
    <row r="15" spans="1:11" x14ac:dyDescent="0.25">
      <c r="E15" s="72"/>
      <c r="F15" s="72"/>
      <c r="G15" s="111"/>
      <c r="H15" s="72"/>
    </row>
    <row r="16" spans="1:11" x14ac:dyDescent="0.25">
      <c r="E16" s="72"/>
      <c r="F16" s="72"/>
      <c r="G16" s="111"/>
      <c r="H16" s="72"/>
    </row>
    <row r="17" spans="5:8" x14ac:dyDescent="0.25">
      <c r="E17" s="72"/>
      <c r="F17" s="72"/>
      <c r="G17" s="111"/>
      <c r="H17" s="72"/>
    </row>
    <row r="18" spans="5:8" x14ac:dyDescent="0.25">
      <c r="E18" s="72"/>
      <c r="F18" s="72"/>
      <c r="G18" s="111"/>
      <c r="H18" s="72"/>
    </row>
    <row r="19" spans="5:8" x14ac:dyDescent="0.25">
      <c r="E19" s="72"/>
      <c r="F19" s="72"/>
      <c r="G19" s="111"/>
      <c r="H19" s="72"/>
    </row>
    <row r="20" spans="5:8" x14ac:dyDescent="0.25">
      <c r="E20" s="72"/>
      <c r="F20" s="72"/>
      <c r="G20" s="111"/>
      <c r="H20" s="72"/>
    </row>
    <row r="21" spans="5:8" x14ac:dyDescent="0.25">
      <c r="E21" s="72"/>
      <c r="F21" s="72"/>
      <c r="G21" s="111"/>
      <c r="H21" s="72"/>
    </row>
    <row r="22" spans="5:8" x14ac:dyDescent="0.25">
      <c r="E22" s="72"/>
      <c r="F22" s="72"/>
      <c r="G22" s="111"/>
      <c r="H22" s="72"/>
    </row>
    <row r="23" spans="5:8" x14ac:dyDescent="0.25">
      <c r="E23" s="72"/>
      <c r="F23" s="72"/>
      <c r="G23" s="111"/>
      <c r="H23" s="72"/>
    </row>
    <row r="24" spans="5:8" x14ac:dyDescent="0.25">
      <c r="E24" s="72"/>
      <c r="F24" s="72"/>
      <c r="G24" s="111"/>
      <c r="H24" s="72"/>
    </row>
    <row r="25" spans="5:8" x14ac:dyDescent="0.25">
      <c r="E25" s="72"/>
      <c r="F25" s="72"/>
      <c r="G25" s="111"/>
      <c r="H25" s="72"/>
    </row>
    <row r="26" spans="5:8" x14ac:dyDescent="0.25">
      <c r="E26" s="72"/>
      <c r="F26" s="72"/>
      <c r="G26" s="111"/>
      <c r="H26" s="72"/>
    </row>
    <row r="27" spans="5:8" x14ac:dyDescent="0.25">
      <c r="E27" s="72"/>
      <c r="F27" s="72"/>
      <c r="G27" s="111"/>
      <c r="H27" s="72"/>
    </row>
    <row r="28" spans="5:8" x14ac:dyDescent="0.25">
      <c r="E28" s="72"/>
      <c r="F28" s="72"/>
      <c r="G28" s="111"/>
      <c r="H28" s="72"/>
    </row>
    <row r="29" spans="5:8" x14ac:dyDescent="0.25">
      <c r="E29" s="72"/>
      <c r="F29" s="72"/>
      <c r="G29" s="111"/>
      <c r="H29" s="72"/>
    </row>
    <row r="30" spans="5:8" x14ac:dyDescent="0.25">
      <c r="E30" s="72"/>
      <c r="F30" s="72"/>
      <c r="G30" s="111"/>
      <c r="H30" s="72"/>
    </row>
    <row r="31" spans="5:8" x14ac:dyDescent="0.25">
      <c r="E31" s="72"/>
      <c r="F31" s="72"/>
      <c r="G31" s="111"/>
      <c r="H31" s="72"/>
    </row>
    <row r="32" spans="5:8" x14ac:dyDescent="0.25">
      <c r="E32" s="72"/>
      <c r="F32" s="72"/>
      <c r="G32" s="111"/>
      <c r="H32" s="72"/>
    </row>
    <row r="33" spans="5:8" x14ac:dyDescent="0.25">
      <c r="E33" s="72"/>
      <c r="F33" s="72"/>
      <c r="G33" s="111"/>
      <c r="H33" s="72"/>
    </row>
    <row r="34" spans="5:8" x14ac:dyDescent="0.25">
      <c r="E34" s="72"/>
      <c r="F34" s="72"/>
      <c r="G34" s="111"/>
      <c r="H34" s="72"/>
    </row>
    <row r="35" spans="5:8" x14ac:dyDescent="0.25">
      <c r="E35" s="72"/>
      <c r="F35" s="72"/>
      <c r="G35" s="111"/>
      <c r="H35" s="72"/>
    </row>
    <row r="36" spans="5:8" x14ac:dyDescent="0.25">
      <c r="E36" s="72"/>
      <c r="F36" s="72"/>
      <c r="G36" s="111"/>
      <c r="H36" s="72"/>
    </row>
    <row r="37" spans="5:8" x14ac:dyDescent="0.25">
      <c r="E37" s="72"/>
      <c r="F37" s="72"/>
      <c r="G37" s="111"/>
      <c r="H37" s="72"/>
    </row>
    <row r="38" spans="5:8" x14ac:dyDescent="0.25">
      <c r="E38" s="72"/>
      <c r="F38" s="72"/>
      <c r="G38" s="111"/>
      <c r="H38" s="72"/>
    </row>
    <row r="39" spans="5:8" x14ac:dyDescent="0.25">
      <c r="E39" s="72"/>
      <c r="F39" s="72"/>
      <c r="G39" s="111"/>
      <c r="H39" s="72"/>
    </row>
    <row r="40" spans="5:8" x14ac:dyDescent="0.25">
      <c r="E40" s="72"/>
      <c r="F40" s="72"/>
      <c r="G40" s="111"/>
      <c r="H40" s="72"/>
    </row>
    <row r="41" spans="5:8" x14ac:dyDescent="0.25">
      <c r="E41" s="72"/>
      <c r="F41" s="72"/>
      <c r="G41" s="111"/>
      <c r="H41" s="72"/>
    </row>
    <row r="42" spans="5:8" x14ac:dyDescent="0.25">
      <c r="E42" s="72"/>
      <c r="F42" s="72"/>
      <c r="G42" s="111"/>
      <c r="H42" s="72"/>
    </row>
    <row r="43" spans="5:8" x14ac:dyDescent="0.25">
      <c r="E43" s="72"/>
      <c r="F43" s="72"/>
      <c r="G43" s="111"/>
      <c r="H43" s="72"/>
    </row>
    <row r="44" spans="5:8" x14ac:dyDescent="0.25">
      <c r="E44" s="72"/>
      <c r="F44" s="72"/>
      <c r="G44" s="111"/>
      <c r="H44" s="72"/>
    </row>
    <row r="45" spans="5:8" x14ac:dyDescent="0.25">
      <c r="E45" s="72"/>
      <c r="F45" s="72"/>
      <c r="G45" s="111"/>
      <c r="H45" s="72"/>
    </row>
    <row r="46" spans="5:8" x14ac:dyDescent="0.25">
      <c r="E46" s="72"/>
      <c r="F46" s="72"/>
      <c r="G46" s="111"/>
      <c r="H46" s="72"/>
    </row>
    <row r="47" spans="5:8" x14ac:dyDescent="0.25">
      <c r="E47" s="72"/>
      <c r="F47" s="72"/>
      <c r="G47" s="111"/>
      <c r="H47" s="72"/>
    </row>
    <row r="48" spans="5:8" x14ac:dyDescent="0.25">
      <c r="E48" s="72"/>
      <c r="F48" s="72"/>
      <c r="G48" s="111"/>
      <c r="H48" s="72"/>
    </row>
    <row r="49" spans="5:8" x14ac:dyDescent="0.25">
      <c r="E49" s="72"/>
      <c r="F49" s="72"/>
      <c r="G49" s="111"/>
      <c r="H49" s="72"/>
    </row>
    <row r="50" spans="5:8" x14ac:dyDescent="0.25">
      <c r="E50" s="72"/>
      <c r="F50" s="72"/>
      <c r="G50" s="111"/>
      <c r="H50" s="72"/>
    </row>
    <row r="51" spans="5:8" x14ac:dyDescent="0.25">
      <c r="E51" s="72"/>
      <c r="F51" s="72"/>
      <c r="G51" s="111"/>
      <c r="H51" s="72"/>
    </row>
    <row r="52" spans="5:8" x14ac:dyDescent="0.25">
      <c r="E52" s="72"/>
      <c r="F52" s="72"/>
      <c r="G52" s="111"/>
      <c r="H52" s="72"/>
    </row>
    <row r="53" spans="5:8" x14ac:dyDescent="0.25">
      <c r="E53" s="72"/>
      <c r="F53" s="72"/>
      <c r="G53" s="111"/>
      <c r="H53" s="72"/>
    </row>
    <row r="54" spans="5:8" x14ac:dyDescent="0.25">
      <c r="E54" s="72"/>
      <c r="F54" s="72"/>
      <c r="G54" s="111"/>
      <c r="H54" s="72"/>
    </row>
    <row r="55" spans="5:8" x14ac:dyDescent="0.25">
      <c r="E55" s="72"/>
      <c r="F55" s="72"/>
      <c r="G55" s="111"/>
      <c r="H55" s="72"/>
    </row>
    <row r="56" spans="5:8" x14ac:dyDescent="0.25">
      <c r="E56" s="72"/>
      <c r="F56" s="72"/>
      <c r="G56" s="111"/>
      <c r="H56" s="72"/>
    </row>
    <row r="57" spans="5:8" x14ac:dyDescent="0.25">
      <c r="E57" s="72"/>
      <c r="F57" s="72"/>
      <c r="G57" s="111"/>
      <c r="H57" s="72"/>
    </row>
    <row r="58" spans="5:8" x14ac:dyDescent="0.25">
      <c r="E58" s="72"/>
      <c r="F58" s="72"/>
      <c r="G58" s="111"/>
      <c r="H58" s="72"/>
    </row>
    <row r="59" spans="5:8" x14ac:dyDescent="0.25">
      <c r="E59" s="72"/>
      <c r="F59" s="72"/>
      <c r="G59" s="111"/>
      <c r="H59" s="72"/>
    </row>
    <row r="60" spans="5:8" x14ac:dyDescent="0.25">
      <c r="E60" s="72"/>
      <c r="F60" s="72"/>
      <c r="G60" s="111"/>
      <c r="H60" s="72"/>
    </row>
    <row r="61" spans="5:8" x14ac:dyDescent="0.25">
      <c r="E61" s="72"/>
      <c r="F61" s="72"/>
      <c r="G61" s="111"/>
      <c r="H61" s="72"/>
    </row>
    <row r="62" spans="5:8" x14ac:dyDescent="0.25">
      <c r="E62" s="72"/>
      <c r="F62" s="72"/>
      <c r="G62" s="111"/>
      <c r="H62" s="72"/>
    </row>
    <row r="63" spans="5:8" x14ac:dyDescent="0.25">
      <c r="E63" s="72"/>
      <c r="F63" s="72"/>
      <c r="G63" s="111"/>
      <c r="H63" s="72"/>
    </row>
    <row r="64" spans="5:8" x14ac:dyDescent="0.25">
      <c r="E64" s="72"/>
      <c r="F64" s="72"/>
      <c r="G64" s="111"/>
      <c r="H64" s="72"/>
    </row>
    <row r="65" spans="5:8" x14ac:dyDescent="0.25">
      <c r="E65" s="72"/>
      <c r="F65" s="72"/>
      <c r="G65" s="111"/>
      <c r="H65" s="72"/>
    </row>
    <row r="66" spans="5:8" x14ac:dyDescent="0.25">
      <c r="E66" s="72"/>
      <c r="F66" s="72"/>
      <c r="G66" s="111"/>
      <c r="H66" s="72"/>
    </row>
    <row r="67" spans="5:8" x14ac:dyDescent="0.25">
      <c r="E67" s="72"/>
      <c r="F67" s="72"/>
      <c r="G67" s="111"/>
      <c r="H67" s="72"/>
    </row>
    <row r="68" spans="5:8" x14ac:dyDescent="0.25">
      <c r="E68" s="72"/>
      <c r="F68" s="72"/>
      <c r="G68" s="111"/>
      <c r="H68" s="72"/>
    </row>
    <row r="69" spans="5:8" x14ac:dyDescent="0.25">
      <c r="E69" s="72"/>
      <c r="F69" s="72"/>
      <c r="G69" s="111"/>
      <c r="H69" s="72"/>
    </row>
    <row r="70" spans="5:8" x14ac:dyDescent="0.25">
      <c r="E70" s="72"/>
      <c r="F70" s="72"/>
      <c r="G70" s="111"/>
      <c r="H70" s="72"/>
    </row>
    <row r="71" spans="5:8" x14ac:dyDescent="0.25">
      <c r="E71" s="72"/>
      <c r="F71" s="72"/>
      <c r="G71" s="111"/>
      <c r="H71" s="72"/>
    </row>
    <row r="72" spans="5:8" x14ac:dyDescent="0.25">
      <c r="E72" s="72"/>
      <c r="F72" s="72"/>
      <c r="G72" s="111"/>
      <c r="H72" s="72"/>
    </row>
    <row r="73" spans="5:8" x14ac:dyDescent="0.25">
      <c r="E73" s="72"/>
      <c r="F73" s="72"/>
      <c r="G73" s="111"/>
      <c r="H73" s="72"/>
    </row>
    <row r="74" spans="5:8" x14ac:dyDescent="0.25">
      <c r="E74" s="72"/>
      <c r="F74" s="72"/>
      <c r="G74" s="111"/>
      <c r="H74" s="72"/>
    </row>
    <row r="75" spans="5:8" x14ac:dyDescent="0.25">
      <c r="E75" s="72"/>
      <c r="F75" s="72"/>
      <c r="G75" s="111"/>
      <c r="H75" s="72"/>
    </row>
    <row r="76" spans="5:8" x14ac:dyDescent="0.25">
      <c r="E76" s="72"/>
      <c r="F76" s="72"/>
      <c r="G76" s="111"/>
      <c r="H76" s="72"/>
    </row>
    <row r="77" spans="5:8" x14ac:dyDescent="0.25">
      <c r="E77" s="72"/>
      <c r="F77" s="72"/>
      <c r="G77" s="111"/>
      <c r="H77" s="72"/>
    </row>
    <row r="78" spans="5:8" x14ac:dyDescent="0.25">
      <c r="E78" s="72"/>
      <c r="F78" s="72"/>
      <c r="G78" s="111"/>
      <c r="H78" s="72"/>
    </row>
    <row r="79" spans="5:8" x14ac:dyDescent="0.25">
      <c r="E79" s="72"/>
      <c r="F79" s="72"/>
      <c r="G79" s="111"/>
      <c r="H79" s="72"/>
    </row>
    <row r="80" spans="5:8" x14ac:dyDescent="0.25">
      <c r="E80" s="72"/>
      <c r="F80" s="72"/>
      <c r="G80" s="111"/>
      <c r="H80" s="72"/>
    </row>
    <row r="81" spans="5:8" x14ac:dyDescent="0.25">
      <c r="E81" s="72"/>
      <c r="F81" s="72"/>
      <c r="G81" s="111"/>
      <c r="H81" s="72"/>
    </row>
    <row r="82" spans="5:8" x14ac:dyDescent="0.25">
      <c r="E82" s="72"/>
      <c r="F82" s="72"/>
      <c r="G82" s="111"/>
      <c r="H82" s="72"/>
    </row>
    <row r="83" spans="5:8" x14ac:dyDescent="0.25">
      <c r="E83" s="72"/>
      <c r="F83" s="72"/>
      <c r="G83" s="111"/>
      <c r="H83" s="72"/>
    </row>
    <row r="84" spans="5:8" x14ac:dyDescent="0.25">
      <c r="E84" s="72"/>
      <c r="F84" s="72"/>
      <c r="G84" s="111"/>
      <c r="H84" s="72"/>
    </row>
    <row r="85" spans="5:8" x14ac:dyDescent="0.25">
      <c r="E85" s="72"/>
      <c r="F85" s="72"/>
      <c r="G85" s="111"/>
      <c r="H85" s="72"/>
    </row>
    <row r="86" spans="5:8" x14ac:dyDescent="0.25">
      <c r="E86" s="72"/>
      <c r="F86" s="72"/>
      <c r="G86" s="111"/>
      <c r="H86" s="72"/>
    </row>
    <row r="87" spans="5:8" x14ac:dyDescent="0.25">
      <c r="E87" s="72"/>
      <c r="F87" s="72"/>
      <c r="G87" s="111"/>
      <c r="H87" s="72"/>
    </row>
    <row r="88" spans="5:8" x14ac:dyDescent="0.25">
      <c r="E88" s="72"/>
      <c r="F88" s="72"/>
      <c r="G88" s="111"/>
      <c r="H88" s="72"/>
    </row>
    <row r="89" spans="5:8" x14ac:dyDescent="0.25">
      <c r="E89" s="72"/>
      <c r="F89" s="72"/>
      <c r="G89" s="111"/>
      <c r="H89" s="72"/>
    </row>
    <row r="90" spans="5:8" x14ac:dyDescent="0.25">
      <c r="E90" s="72"/>
      <c r="F90" s="72"/>
      <c r="G90" s="111"/>
      <c r="H90" s="72"/>
    </row>
    <row r="91" spans="5:8" x14ac:dyDescent="0.25">
      <c r="E91" s="72"/>
      <c r="F91" s="72"/>
      <c r="G91" s="111"/>
      <c r="H91" s="72"/>
    </row>
    <row r="92" spans="5:8" x14ac:dyDescent="0.25">
      <c r="E92" s="72"/>
      <c r="F92" s="72"/>
      <c r="G92" s="111"/>
      <c r="H92" s="72"/>
    </row>
    <row r="93" spans="5:8" x14ac:dyDescent="0.25">
      <c r="E93" s="72"/>
      <c r="F93" s="72"/>
      <c r="G93" s="111"/>
      <c r="H93" s="72"/>
    </row>
    <row r="94" spans="5:8" x14ac:dyDescent="0.25">
      <c r="E94" s="72"/>
      <c r="F94" s="72"/>
      <c r="G94" s="111"/>
      <c r="H94" s="72"/>
    </row>
    <row r="95" spans="5:8" x14ac:dyDescent="0.25">
      <c r="E95" s="72"/>
      <c r="F95" s="72"/>
      <c r="G95" s="111"/>
      <c r="H95" s="72"/>
    </row>
    <row r="96" spans="5:8" x14ac:dyDescent="0.25">
      <c r="E96" s="72"/>
      <c r="F96" s="72"/>
      <c r="G96" s="111"/>
      <c r="H96" s="72"/>
    </row>
    <row r="97" spans="5:8" x14ac:dyDescent="0.25">
      <c r="E97" s="72"/>
      <c r="F97" s="72"/>
      <c r="G97" s="111"/>
      <c r="H97" s="72"/>
    </row>
    <row r="98" spans="5:8" x14ac:dyDescent="0.25">
      <c r="E98" s="72"/>
      <c r="F98" s="72"/>
      <c r="G98" s="111"/>
      <c r="H98" s="72"/>
    </row>
    <row r="99" spans="5:8" x14ac:dyDescent="0.25">
      <c r="E99" s="72"/>
      <c r="F99" s="72"/>
      <c r="G99" s="111"/>
      <c r="H99" s="72"/>
    </row>
    <row r="100" spans="5:8" x14ac:dyDescent="0.25">
      <c r="E100" s="72"/>
      <c r="F100" s="72"/>
      <c r="G100" s="111"/>
      <c r="H100" s="72"/>
    </row>
    <row r="101" spans="5:8" x14ac:dyDescent="0.25">
      <c r="E101" s="72"/>
      <c r="F101" s="72"/>
      <c r="G101" s="111"/>
      <c r="H101" s="72"/>
    </row>
    <row r="102" spans="5:8" x14ac:dyDescent="0.25">
      <c r="E102" s="72"/>
      <c r="F102" s="72"/>
      <c r="G102" s="111"/>
      <c r="H102" s="72"/>
    </row>
    <row r="103" spans="5:8" x14ac:dyDescent="0.25">
      <c r="E103" s="72"/>
      <c r="F103" s="72"/>
      <c r="G103" s="111"/>
      <c r="H103" s="72"/>
    </row>
    <row r="104" spans="5:8" x14ac:dyDescent="0.25">
      <c r="E104" s="72"/>
      <c r="F104" s="72"/>
      <c r="G104" s="111"/>
      <c r="H104" s="72"/>
    </row>
    <row r="105" spans="5:8" x14ac:dyDescent="0.25">
      <c r="E105" s="72"/>
      <c r="F105" s="72"/>
      <c r="G105" s="111"/>
      <c r="H105" s="72"/>
    </row>
    <row r="106" spans="5:8" x14ac:dyDescent="0.25">
      <c r="E106" s="72"/>
      <c r="F106" s="72"/>
      <c r="G106" s="111"/>
      <c r="H106" s="72"/>
    </row>
    <row r="107" spans="5:8" x14ac:dyDescent="0.25">
      <c r="E107" s="72"/>
      <c r="F107" s="72"/>
      <c r="G107" s="111"/>
      <c r="H107" s="72"/>
    </row>
    <row r="108" spans="5:8" x14ac:dyDescent="0.25">
      <c r="E108" s="72"/>
      <c r="F108" s="72"/>
      <c r="G108" s="111"/>
      <c r="H108" s="72"/>
    </row>
    <row r="109" spans="5:8" x14ac:dyDescent="0.25">
      <c r="E109" s="72"/>
      <c r="F109" s="72"/>
      <c r="G109" s="111"/>
      <c r="H109" s="72"/>
    </row>
    <row r="110" spans="5:8" x14ac:dyDescent="0.25">
      <c r="E110" s="72"/>
      <c r="F110" s="72"/>
      <c r="G110" s="111"/>
      <c r="H110" s="72"/>
    </row>
    <row r="111" spans="5:8" x14ac:dyDescent="0.25">
      <c r="E111" s="72"/>
      <c r="F111" s="72"/>
      <c r="G111" s="111"/>
      <c r="H111" s="72"/>
    </row>
    <row r="112" spans="5:8" x14ac:dyDescent="0.25">
      <c r="E112" s="72"/>
      <c r="F112" s="72"/>
      <c r="G112" s="111"/>
      <c r="H112" s="72"/>
    </row>
    <row r="113" spans="5:8" x14ac:dyDescent="0.25">
      <c r="E113" s="72"/>
      <c r="F113" s="72"/>
      <c r="G113" s="111"/>
      <c r="H113" s="72"/>
    </row>
    <row r="114" spans="5:8" x14ac:dyDescent="0.25">
      <c r="E114" s="72"/>
      <c r="F114" s="72"/>
      <c r="G114" s="111"/>
      <c r="H114" s="72"/>
    </row>
    <row r="115" spans="5:8" x14ac:dyDescent="0.25">
      <c r="E115" s="72"/>
      <c r="F115" s="72"/>
      <c r="G115" s="111"/>
      <c r="H115" s="72"/>
    </row>
    <row r="116" spans="5:8" x14ac:dyDescent="0.25">
      <c r="E116" s="72"/>
      <c r="F116" s="72"/>
      <c r="G116" s="111"/>
      <c r="H116" s="72"/>
    </row>
    <row r="117" spans="5:8" x14ac:dyDescent="0.25">
      <c r="E117" s="72"/>
      <c r="F117" s="72"/>
      <c r="G117" s="111"/>
      <c r="H117" s="72"/>
    </row>
    <row r="118" spans="5:8" x14ac:dyDescent="0.25">
      <c r="E118" s="72"/>
      <c r="F118" s="72"/>
      <c r="G118" s="111"/>
      <c r="H118" s="72"/>
    </row>
    <row r="119" spans="5:8" x14ac:dyDescent="0.25">
      <c r="E119" s="72"/>
      <c r="F119" s="72"/>
      <c r="G119" s="111"/>
      <c r="H119" s="72"/>
    </row>
    <row r="120" spans="5:8" x14ac:dyDescent="0.25">
      <c r="E120" s="72"/>
      <c r="F120" s="72"/>
      <c r="G120" s="111"/>
      <c r="H120" s="72"/>
    </row>
    <row r="121" spans="5:8" x14ac:dyDescent="0.25">
      <c r="E121" s="72"/>
      <c r="F121" s="72"/>
      <c r="G121" s="111"/>
      <c r="H121" s="72"/>
    </row>
    <row r="122" spans="5:8" x14ac:dyDescent="0.25">
      <c r="E122" s="72"/>
      <c r="F122" s="72"/>
      <c r="G122" s="111"/>
      <c r="H122" s="72"/>
    </row>
    <row r="123" spans="5:8" x14ac:dyDescent="0.25">
      <c r="E123" s="72"/>
      <c r="F123" s="72"/>
      <c r="G123" s="111"/>
      <c r="H123" s="72"/>
    </row>
    <row r="124" spans="5:8" x14ac:dyDescent="0.25">
      <c r="E124" s="72"/>
      <c r="F124" s="72"/>
      <c r="G124" s="111"/>
      <c r="H124" s="72"/>
    </row>
    <row r="125" spans="5:8" x14ac:dyDescent="0.25">
      <c r="E125" s="72"/>
      <c r="F125" s="72"/>
      <c r="G125" s="111"/>
      <c r="H125" s="72"/>
    </row>
    <row r="126" spans="5:8" x14ac:dyDescent="0.25">
      <c r="E126" s="72"/>
      <c r="F126" s="72"/>
      <c r="G126" s="111"/>
      <c r="H126" s="72"/>
    </row>
    <row r="127" spans="5:8" x14ac:dyDescent="0.25">
      <c r="E127" s="72"/>
      <c r="F127" s="72"/>
      <c r="G127" s="111"/>
      <c r="H127" s="72"/>
    </row>
    <row r="128" spans="5:8" x14ac:dyDescent="0.25">
      <c r="E128" s="72"/>
      <c r="F128" s="72"/>
      <c r="G128" s="111"/>
      <c r="H128" s="72"/>
    </row>
    <row r="129" spans="5:8" x14ac:dyDescent="0.25">
      <c r="E129" s="72"/>
      <c r="F129" s="72"/>
      <c r="G129" s="111"/>
      <c r="H129" s="72"/>
    </row>
    <row r="130" spans="5:8" x14ac:dyDescent="0.25">
      <c r="E130" s="72"/>
      <c r="F130" s="72"/>
      <c r="G130" s="111"/>
      <c r="H130" s="72"/>
    </row>
    <row r="131" spans="5:8" x14ac:dyDescent="0.25">
      <c r="E131" s="72"/>
      <c r="F131" s="72"/>
      <c r="G131" s="111"/>
      <c r="H131" s="72"/>
    </row>
    <row r="132" spans="5:8" x14ac:dyDescent="0.25">
      <c r="E132" s="72"/>
      <c r="F132" s="72"/>
      <c r="G132" s="111"/>
      <c r="H132" s="72"/>
    </row>
    <row r="133" spans="5:8" x14ac:dyDescent="0.25">
      <c r="E133" s="72"/>
      <c r="F133" s="72"/>
      <c r="G133" s="111"/>
      <c r="H133" s="72"/>
    </row>
    <row r="134" spans="5:8" x14ac:dyDescent="0.25">
      <c r="E134" s="72"/>
      <c r="F134" s="72"/>
      <c r="G134" s="111"/>
      <c r="H134" s="72"/>
    </row>
    <row r="135" spans="5:8" x14ac:dyDescent="0.25">
      <c r="E135" s="72"/>
      <c r="F135" s="72"/>
      <c r="G135" s="111"/>
      <c r="H135" s="72"/>
    </row>
    <row r="136" spans="5:8" x14ac:dyDescent="0.25">
      <c r="E136" s="72"/>
      <c r="F136" s="72"/>
      <c r="G136" s="111"/>
      <c r="H136" s="72"/>
    </row>
    <row r="137" spans="5:8" x14ac:dyDescent="0.25">
      <c r="E137" s="72"/>
      <c r="F137" s="72"/>
      <c r="G137" s="111"/>
      <c r="H137" s="72"/>
    </row>
    <row r="138" spans="5:8" x14ac:dyDescent="0.25">
      <c r="E138" s="72"/>
      <c r="F138" s="72"/>
      <c r="G138" s="111"/>
      <c r="H138" s="72"/>
    </row>
    <row r="139" spans="5:8" x14ac:dyDescent="0.25">
      <c r="E139" s="72"/>
      <c r="F139" s="72"/>
      <c r="G139" s="111"/>
      <c r="H139" s="72"/>
    </row>
    <row r="140" spans="5:8" x14ac:dyDescent="0.25">
      <c r="E140" s="72"/>
      <c r="F140" s="72"/>
      <c r="G140" s="111"/>
      <c r="H140" s="72"/>
    </row>
    <row r="141" spans="5:8" x14ac:dyDescent="0.25">
      <c r="E141" s="72"/>
      <c r="F141" s="72"/>
      <c r="G141" s="111"/>
      <c r="H141" s="72"/>
    </row>
    <row r="142" spans="5:8" x14ac:dyDescent="0.25">
      <c r="E142" s="72"/>
      <c r="F142" s="72"/>
      <c r="G142" s="111"/>
      <c r="H142" s="72"/>
    </row>
    <row r="143" spans="5:8" x14ac:dyDescent="0.25">
      <c r="E143" s="72"/>
      <c r="F143" s="72"/>
      <c r="G143" s="111"/>
      <c r="H143" s="72"/>
    </row>
    <row r="144" spans="5:8" x14ac:dyDescent="0.25">
      <c r="E144" s="72"/>
      <c r="F144" s="72"/>
      <c r="G144" s="111"/>
      <c r="H144" s="72"/>
    </row>
    <row r="145" spans="5:8" x14ac:dyDescent="0.25">
      <c r="E145" s="72"/>
      <c r="F145" s="72"/>
      <c r="G145" s="111"/>
      <c r="H145" s="72"/>
    </row>
    <row r="146" spans="5:8" x14ac:dyDescent="0.25">
      <c r="E146" s="72"/>
      <c r="F146" s="72"/>
      <c r="G146" s="111"/>
      <c r="H146" s="72"/>
    </row>
    <row r="147" spans="5:8" x14ac:dyDescent="0.25">
      <c r="E147" s="72"/>
      <c r="F147" s="72"/>
      <c r="G147" s="111"/>
      <c r="H147" s="72"/>
    </row>
    <row r="148" spans="5:8" x14ac:dyDescent="0.25">
      <c r="E148" s="72"/>
      <c r="F148" s="72"/>
      <c r="G148" s="111"/>
      <c r="H148" s="72"/>
    </row>
    <row r="149" spans="5:8" x14ac:dyDescent="0.25">
      <c r="E149" s="72"/>
      <c r="F149" s="72"/>
      <c r="G149" s="111"/>
      <c r="H149" s="72"/>
    </row>
    <row r="150" spans="5:8" x14ac:dyDescent="0.25">
      <c r="E150" s="72"/>
      <c r="F150" s="72"/>
      <c r="G150" s="111"/>
      <c r="H150" s="72"/>
    </row>
    <row r="151" spans="5:8" x14ac:dyDescent="0.25">
      <c r="E151" s="72"/>
      <c r="F151" s="72"/>
      <c r="G151" s="111"/>
      <c r="H151" s="72"/>
    </row>
    <row r="152" spans="5:8" x14ac:dyDescent="0.25">
      <c r="E152" s="72"/>
      <c r="F152" s="72"/>
      <c r="G152" s="111"/>
      <c r="H152" s="72"/>
    </row>
    <row r="153" spans="5:8" x14ac:dyDescent="0.25">
      <c r="E153" s="72"/>
      <c r="F153" s="72"/>
      <c r="G153" s="111"/>
      <c r="H153" s="72"/>
    </row>
    <row r="154" spans="5:8" x14ac:dyDescent="0.25">
      <c r="E154" s="72"/>
      <c r="F154" s="72"/>
      <c r="G154" s="111"/>
      <c r="H154" s="72"/>
    </row>
    <row r="155" spans="5:8" x14ac:dyDescent="0.25">
      <c r="E155" s="72"/>
      <c r="F155" s="72"/>
      <c r="G155" s="111"/>
      <c r="H155" s="72"/>
    </row>
    <row r="156" spans="5:8" x14ac:dyDescent="0.25">
      <c r="E156" s="72"/>
      <c r="F156" s="72"/>
      <c r="G156" s="111"/>
      <c r="H156" s="72"/>
    </row>
    <row r="157" spans="5:8" x14ac:dyDescent="0.25">
      <c r="E157" s="72"/>
      <c r="F157" s="72"/>
      <c r="G157" s="111"/>
      <c r="H157" s="72"/>
    </row>
    <row r="158" spans="5:8" x14ac:dyDescent="0.25">
      <c r="E158" s="72"/>
      <c r="F158" s="72"/>
      <c r="G158" s="111"/>
      <c r="H158" s="72"/>
    </row>
    <row r="159" spans="5:8" x14ac:dyDescent="0.25">
      <c r="E159" s="72"/>
      <c r="F159" s="72"/>
      <c r="G159" s="111"/>
      <c r="H159" s="72"/>
    </row>
    <row r="160" spans="5:8" x14ac:dyDescent="0.25">
      <c r="E160" s="72"/>
      <c r="F160" s="72"/>
      <c r="G160" s="111"/>
      <c r="H160" s="72"/>
    </row>
    <row r="161" spans="5:8" x14ac:dyDescent="0.25">
      <c r="E161" s="72"/>
      <c r="F161" s="72"/>
      <c r="G161" s="111"/>
      <c r="H161" s="72"/>
    </row>
    <row r="162" spans="5:8" x14ac:dyDescent="0.25">
      <c r="E162" s="72"/>
      <c r="F162" s="72"/>
      <c r="G162" s="111"/>
      <c r="H162" s="72"/>
    </row>
    <row r="163" spans="5:8" x14ac:dyDescent="0.25">
      <c r="E163" s="72"/>
      <c r="F163" s="72"/>
      <c r="G163" s="111"/>
      <c r="H163" s="72"/>
    </row>
    <row r="164" spans="5:8" x14ac:dyDescent="0.25">
      <c r="E164" s="72"/>
      <c r="F164" s="72"/>
      <c r="G164" s="111"/>
      <c r="H164" s="72"/>
    </row>
    <row r="165" spans="5:8" x14ac:dyDescent="0.25">
      <c r="E165" s="72"/>
      <c r="F165" s="72"/>
      <c r="G165" s="111"/>
      <c r="H165" s="72"/>
    </row>
    <row r="166" spans="5:8" x14ac:dyDescent="0.25">
      <c r="E166" s="72"/>
      <c r="F166" s="72"/>
      <c r="G166" s="111"/>
      <c r="H166" s="72"/>
    </row>
    <row r="167" spans="5:8" x14ac:dyDescent="0.25">
      <c r="E167" s="72"/>
      <c r="F167" s="72"/>
      <c r="G167" s="111"/>
      <c r="H167" s="72"/>
    </row>
    <row r="168" spans="5:8" x14ac:dyDescent="0.25">
      <c r="E168" s="72"/>
      <c r="F168" s="72"/>
      <c r="G168" s="111"/>
      <c r="H168" s="72"/>
    </row>
    <row r="169" spans="5:8" x14ac:dyDescent="0.25">
      <c r="E169" s="72"/>
      <c r="F169" s="72"/>
      <c r="G169" s="111"/>
      <c r="H169" s="72"/>
    </row>
    <row r="170" spans="5:8" x14ac:dyDescent="0.25">
      <c r="E170" s="72"/>
      <c r="F170" s="72"/>
      <c r="G170" s="111"/>
      <c r="H170" s="72"/>
    </row>
    <row r="171" spans="5:8" x14ac:dyDescent="0.25">
      <c r="E171" s="72"/>
      <c r="F171" s="72"/>
      <c r="G171" s="111"/>
      <c r="H171" s="72"/>
    </row>
    <row r="172" spans="5:8" x14ac:dyDescent="0.25">
      <c r="E172" s="72"/>
      <c r="F172" s="72"/>
      <c r="G172" s="111"/>
      <c r="H172" s="72"/>
    </row>
    <row r="173" spans="5:8" x14ac:dyDescent="0.25">
      <c r="E173" s="72"/>
      <c r="F173" s="72"/>
      <c r="G173" s="111"/>
      <c r="H173" s="72"/>
    </row>
    <row r="174" spans="5:8" x14ac:dyDescent="0.25">
      <c r="E174" s="72"/>
      <c r="F174" s="72"/>
      <c r="G174" s="111"/>
      <c r="H174" s="72"/>
    </row>
    <row r="175" spans="5:8" x14ac:dyDescent="0.25">
      <c r="E175" s="72"/>
      <c r="F175" s="72"/>
      <c r="G175" s="111"/>
      <c r="H175" s="72"/>
    </row>
    <row r="176" spans="5:8" x14ac:dyDescent="0.25">
      <c r="E176" s="72"/>
      <c r="F176" s="72"/>
      <c r="G176" s="111"/>
      <c r="H176" s="72"/>
    </row>
    <row r="177" spans="5:8" x14ac:dyDescent="0.25">
      <c r="E177" s="72"/>
      <c r="F177" s="72"/>
      <c r="G177" s="111"/>
      <c r="H177" s="72"/>
    </row>
    <row r="178" spans="5:8" x14ac:dyDescent="0.25">
      <c r="E178" s="72"/>
      <c r="F178" s="72"/>
      <c r="G178" s="111"/>
      <c r="H178" s="72"/>
    </row>
    <row r="179" spans="5:8" x14ac:dyDescent="0.25">
      <c r="E179" s="72"/>
      <c r="F179" s="72"/>
      <c r="G179" s="111"/>
      <c r="H179" s="72"/>
    </row>
    <row r="180" spans="5:8" x14ac:dyDescent="0.25">
      <c r="E180" s="72"/>
      <c r="F180" s="72"/>
      <c r="G180" s="111"/>
      <c r="H180" s="72"/>
    </row>
    <row r="181" spans="5:8" x14ac:dyDescent="0.25">
      <c r="E181" s="72"/>
      <c r="F181" s="72"/>
      <c r="G181" s="111"/>
      <c r="H181" s="72"/>
    </row>
    <row r="182" spans="5:8" x14ac:dyDescent="0.25">
      <c r="E182" s="72"/>
      <c r="F182" s="72"/>
      <c r="G182" s="111"/>
      <c r="H182" s="72"/>
    </row>
    <row r="183" spans="5:8" x14ac:dyDescent="0.25">
      <c r="E183" s="72"/>
      <c r="F183" s="72"/>
      <c r="G183" s="111"/>
      <c r="H183" s="72"/>
    </row>
    <row r="184" spans="5:8" x14ac:dyDescent="0.25">
      <c r="E184" s="72"/>
      <c r="F184" s="72"/>
      <c r="G184" s="111"/>
      <c r="H184" s="72"/>
    </row>
    <row r="185" spans="5:8" x14ac:dyDescent="0.25">
      <c r="E185" s="72"/>
      <c r="F185" s="72"/>
      <c r="G185" s="111"/>
      <c r="H185" s="72"/>
    </row>
    <row r="186" spans="5:8" x14ac:dyDescent="0.25">
      <c r="E186" s="72"/>
      <c r="F186" s="72"/>
      <c r="G186" s="111"/>
      <c r="H186" s="72"/>
    </row>
    <row r="187" spans="5:8" x14ac:dyDescent="0.25">
      <c r="E187" s="72"/>
      <c r="F187" s="72"/>
      <c r="G187" s="111"/>
      <c r="H187" s="72"/>
    </row>
    <row r="188" spans="5:8" x14ac:dyDescent="0.25">
      <c r="E188" s="72"/>
      <c r="F188" s="72"/>
      <c r="G188" s="111"/>
      <c r="H188" s="72"/>
    </row>
    <row r="189" spans="5:8" x14ac:dyDescent="0.25">
      <c r="E189" s="72"/>
      <c r="F189" s="72"/>
      <c r="G189" s="111"/>
      <c r="H189" s="72"/>
    </row>
    <row r="190" spans="5:8" x14ac:dyDescent="0.25">
      <c r="E190" s="72"/>
      <c r="F190" s="72"/>
      <c r="G190" s="111"/>
      <c r="H190" s="72"/>
    </row>
    <row r="191" spans="5:8" x14ac:dyDescent="0.25">
      <c r="E191" s="72"/>
      <c r="F191" s="72"/>
      <c r="G191" s="111"/>
      <c r="H191" s="72"/>
    </row>
    <row r="192" spans="5:8" x14ac:dyDescent="0.25">
      <c r="E192" s="72"/>
      <c r="F192" s="72"/>
      <c r="G192" s="111"/>
      <c r="H192" s="72"/>
    </row>
    <row r="193" spans="5:8" x14ac:dyDescent="0.25">
      <c r="E193" s="72"/>
      <c r="F193" s="72"/>
      <c r="G193" s="111"/>
      <c r="H193" s="72"/>
    </row>
    <row r="194" spans="5:8" x14ac:dyDescent="0.25">
      <c r="E194" s="72"/>
      <c r="F194" s="72"/>
      <c r="G194" s="111"/>
      <c r="H194" s="72"/>
    </row>
    <row r="195" spans="5:8" x14ac:dyDescent="0.25">
      <c r="E195" s="72"/>
      <c r="F195" s="72"/>
      <c r="G195" s="111"/>
      <c r="H195" s="72"/>
    </row>
    <row r="196" spans="5:8" x14ac:dyDescent="0.25">
      <c r="E196" s="72"/>
      <c r="F196" s="72"/>
      <c r="G196" s="111"/>
      <c r="H196" s="72"/>
    </row>
    <row r="197" spans="5:8" x14ac:dyDescent="0.25">
      <c r="E197" s="72"/>
      <c r="F197" s="72"/>
      <c r="G197" s="111"/>
      <c r="H197" s="72"/>
    </row>
    <row r="198" spans="5:8" x14ac:dyDescent="0.25">
      <c r="E198" s="72"/>
      <c r="F198" s="72"/>
      <c r="G198" s="111"/>
      <c r="H198" s="72"/>
    </row>
    <row r="199" spans="5:8" x14ac:dyDescent="0.25">
      <c r="E199" s="72"/>
      <c r="F199" s="72"/>
      <c r="G199" s="111"/>
      <c r="H199" s="72"/>
    </row>
    <row r="200" spans="5:8" x14ac:dyDescent="0.25">
      <c r="E200" s="72"/>
      <c r="F200" s="72"/>
      <c r="G200" s="111"/>
      <c r="H200" s="72"/>
    </row>
    <row r="201" spans="5:8" x14ac:dyDescent="0.25">
      <c r="E201" s="72"/>
      <c r="F201" s="72"/>
      <c r="G201" s="111"/>
      <c r="H201" s="72"/>
    </row>
    <row r="202" spans="5:8" x14ac:dyDescent="0.25">
      <c r="E202" s="72"/>
      <c r="F202" s="72"/>
      <c r="G202" s="111"/>
      <c r="H202" s="72"/>
    </row>
    <row r="203" spans="5:8" x14ac:dyDescent="0.25">
      <c r="E203" s="72"/>
      <c r="F203" s="72"/>
      <c r="G203" s="111"/>
      <c r="H203" s="72"/>
    </row>
    <row r="204" spans="5:8" x14ac:dyDescent="0.25">
      <c r="E204" s="72"/>
      <c r="F204" s="72"/>
      <c r="G204" s="111"/>
      <c r="H204" s="72"/>
    </row>
    <row r="205" spans="5:8" x14ac:dyDescent="0.25">
      <c r="E205" s="72"/>
      <c r="F205" s="72"/>
      <c r="G205" s="111"/>
      <c r="H205" s="72"/>
    </row>
    <row r="206" spans="5:8" x14ac:dyDescent="0.25">
      <c r="E206" s="72"/>
      <c r="F206" s="72"/>
      <c r="G206" s="111"/>
      <c r="H206" s="72"/>
    </row>
    <row r="207" spans="5:8" x14ac:dyDescent="0.25">
      <c r="E207" s="72"/>
      <c r="F207" s="72"/>
      <c r="G207" s="111"/>
      <c r="H207" s="72"/>
    </row>
    <row r="208" spans="5:8" x14ac:dyDescent="0.25">
      <c r="E208" s="72"/>
      <c r="F208" s="72"/>
      <c r="G208" s="111"/>
      <c r="H208" s="72"/>
    </row>
    <row r="209" spans="5:8" x14ac:dyDescent="0.25">
      <c r="E209" s="72"/>
      <c r="F209" s="72"/>
      <c r="G209" s="111"/>
      <c r="H209" s="72"/>
    </row>
    <row r="210" spans="5:8" x14ac:dyDescent="0.25">
      <c r="E210" s="72"/>
      <c r="F210" s="72"/>
      <c r="G210" s="111"/>
      <c r="H210" s="72"/>
    </row>
    <row r="211" spans="5:8" x14ac:dyDescent="0.25">
      <c r="E211" s="72"/>
      <c r="F211" s="72"/>
      <c r="G211" s="111"/>
      <c r="H211" s="72"/>
    </row>
    <row r="212" spans="5:8" x14ac:dyDescent="0.25">
      <c r="E212" s="72"/>
      <c r="F212" s="72"/>
      <c r="G212" s="111"/>
      <c r="H212" s="72"/>
    </row>
    <row r="213" spans="5:8" x14ac:dyDescent="0.25">
      <c r="E213" s="72"/>
      <c r="F213" s="72"/>
      <c r="G213" s="111"/>
      <c r="H213" s="72"/>
    </row>
    <row r="214" spans="5:8" x14ac:dyDescent="0.25">
      <c r="E214" s="72"/>
      <c r="F214" s="72"/>
      <c r="G214" s="111"/>
      <c r="H214" s="72"/>
    </row>
    <row r="215" spans="5:8" x14ac:dyDescent="0.25">
      <c r="E215" s="72"/>
      <c r="F215" s="72"/>
      <c r="G215" s="111"/>
      <c r="H215" s="72"/>
    </row>
    <row r="216" spans="5:8" x14ac:dyDescent="0.25">
      <c r="E216" s="72"/>
      <c r="F216" s="72"/>
      <c r="G216" s="111"/>
      <c r="H216" s="72"/>
    </row>
    <row r="217" spans="5:8" x14ac:dyDescent="0.25">
      <c r="E217" s="72"/>
      <c r="F217" s="72"/>
      <c r="G217" s="111"/>
      <c r="H217" s="72"/>
    </row>
    <row r="218" spans="5:8" x14ac:dyDescent="0.25">
      <c r="E218" s="72"/>
      <c r="F218" s="72"/>
      <c r="G218" s="111"/>
      <c r="H218" s="72"/>
    </row>
    <row r="219" spans="5:8" x14ac:dyDescent="0.25">
      <c r="E219" s="72"/>
      <c r="F219" s="72"/>
      <c r="G219" s="111"/>
      <c r="H219" s="72"/>
    </row>
    <row r="220" spans="5:8" x14ac:dyDescent="0.25">
      <c r="E220" s="72"/>
      <c r="F220" s="72"/>
      <c r="G220" s="111"/>
      <c r="H220" s="72"/>
    </row>
    <row r="221" spans="5:8" x14ac:dyDescent="0.25">
      <c r="E221" s="72"/>
      <c r="F221" s="72"/>
      <c r="G221" s="111"/>
      <c r="H221" s="72"/>
    </row>
    <row r="222" spans="5:8" x14ac:dyDescent="0.25">
      <c r="E222" s="72"/>
      <c r="F222" s="72"/>
      <c r="G222" s="111"/>
      <c r="H222" s="72"/>
    </row>
    <row r="223" spans="5:8" x14ac:dyDescent="0.25">
      <c r="E223" s="72"/>
      <c r="F223" s="72"/>
      <c r="G223" s="111"/>
      <c r="H223" s="72"/>
    </row>
    <row r="224" spans="5:8" x14ac:dyDescent="0.25">
      <c r="E224" s="72"/>
      <c r="F224" s="72"/>
      <c r="G224" s="111"/>
      <c r="H224" s="72"/>
    </row>
    <row r="225" spans="5:8" x14ac:dyDescent="0.25">
      <c r="E225" s="72"/>
      <c r="F225" s="72"/>
      <c r="G225" s="111"/>
      <c r="H225" s="72"/>
    </row>
    <row r="226" spans="5:8" x14ac:dyDescent="0.25">
      <c r="E226" s="72"/>
      <c r="F226" s="72"/>
      <c r="G226" s="111"/>
      <c r="H226" s="72"/>
    </row>
    <row r="227" spans="5:8" x14ac:dyDescent="0.25">
      <c r="E227" s="72"/>
      <c r="F227" s="72"/>
      <c r="G227" s="111"/>
      <c r="H227" s="72"/>
    </row>
    <row r="228" spans="5:8" x14ac:dyDescent="0.25">
      <c r="E228" s="72"/>
      <c r="F228" s="72"/>
      <c r="G228" s="111"/>
      <c r="H228" s="72"/>
    </row>
    <row r="229" spans="5:8" x14ac:dyDescent="0.25">
      <c r="E229" s="72"/>
      <c r="F229" s="72"/>
      <c r="G229" s="111"/>
      <c r="H229" s="72"/>
    </row>
    <row r="230" spans="5:8" x14ac:dyDescent="0.25">
      <c r="E230" s="72"/>
      <c r="F230" s="72"/>
      <c r="G230" s="111"/>
      <c r="H230" s="72"/>
    </row>
    <row r="231" spans="5:8" x14ac:dyDescent="0.25">
      <c r="E231" s="72"/>
      <c r="F231" s="72"/>
      <c r="G231" s="111"/>
      <c r="H231" s="72"/>
    </row>
    <row r="232" spans="5:8" x14ac:dyDescent="0.25">
      <c r="E232" s="72"/>
      <c r="F232" s="72"/>
      <c r="G232" s="111"/>
      <c r="H232" s="72"/>
    </row>
    <row r="233" spans="5:8" x14ac:dyDescent="0.25">
      <c r="E233" s="72"/>
      <c r="F233" s="72"/>
      <c r="G233" s="111"/>
      <c r="H233" s="72"/>
    </row>
    <row r="234" spans="5:8" x14ac:dyDescent="0.25">
      <c r="E234" s="72"/>
      <c r="F234" s="72"/>
      <c r="G234" s="111"/>
      <c r="H234" s="72"/>
    </row>
    <row r="235" spans="5:8" x14ac:dyDescent="0.25">
      <c r="E235" s="72"/>
      <c r="F235" s="72"/>
      <c r="G235" s="111"/>
      <c r="H235" s="72"/>
    </row>
    <row r="236" spans="5:8" x14ac:dyDescent="0.25">
      <c r="E236" s="72"/>
      <c r="F236" s="72"/>
      <c r="G236" s="111"/>
      <c r="H236" s="72"/>
    </row>
    <row r="237" spans="5:8" x14ac:dyDescent="0.25">
      <c r="E237" s="72"/>
      <c r="F237" s="72"/>
      <c r="G237" s="111"/>
      <c r="H237" s="72"/>
    </row>
    <row r="238" spans="5:8" x14ac:dyDescent="0.25">
      <c r="E238" s="72"/>
      <c r="F238" s="72"/>
      <c r="G238" s="111"/>
      <c r="H238" s="72"/>
    </row>
    <row r="239" spans="5:8" x14ac:dyDescent="0.25">
      <c r="E239" s="72"/>
      <c r="F239" s="72"/>
      <c r="G239" s="111"/>
      <c r="H239" s="72"/>
    </row>
    <row r="240" spans="5:8" x14ac:dyDescent="0.25">
      <c r="E240" s="72"/>
      <c r="F240" s="72"/>
      <c r="G240" s="111"/>
      <c r="H240" s="72"/>
    </row>
    <row r="241" spans="5:8" x14ac:dyDescent="0.25">
      <c r="E241" s="72"/>
      <c r="F241" s="72"/>
      <c r="G241" s="111"/>
      <c r="H241" s="72"/>
    </row>
    <row r="242" spans="5:8" x14ac:dyDescent="0.25">
      <c r="E242" s="72"/>
      <c r="F242" s="72"/>
      <c r="G242" s="111"/>
      <c r="H242" s="72"/>
    </row>
    <row r="243" spans="5:8" x14ac:dyDescent="0.25">
      <c r="E243" s="72"/>
      <c r="F243" s="72"/>
      <c r="G243" s="111"/>
      <c r="H243" s="72"/>
    </row>
    <row r="244" spans="5:8" x14ac:dyDescent="0.25">
      <c r="E244" s="72"/>
      <c r="F244" s="72"/>
      <c r="G244" s="111"/>
      <c r="H244" s="72"/>
    </row>
    <row r="245" spans="5:8" x14ac:dyDescent="0.25">
      <c r="E245" s="72"/>
      <c r="F245" s="72"/>
      <c r="G245" s="111"/>
      <c r="H245" s="72"/>
    </row>
    <row r="246" spans="5:8" x14ac:dyDescent="0.25">
      <c r="E246" s="72"/>
      <c r="F246" s="72"/>
      <c r="G246" s="111"/>
      <c r="H246" s="72"/>
    </row>
    <row r="247" spans="5:8" x14ac:dyDescent="0.25">
      <c r="E247" s="72"/>
      <c r="F247" s="72"/>
      <c r="G247" s="111"/>
      <c r="H247" s="72"/>
    </row>
    <row r="248" spans="5:8" x14ac:dyDescent="0.25">
      <c r="E248" s="72"/>
      <c r="F248" s="72"/>
      <c r="G248" s="111"/>
      <c r="H248" s="72"/>
    </row>
    <row r="249" spans="5:8" x14ac:dyDescent="0.25">
      <c r="E249" s="72"/>
      <c r="F249" s="72"/>
      <c r="G249" s="111"/>
      <c r="H249" s="72"/>
    </row>
    <row r="250" spans="5:8" x14ac:dyDescent="0.25">
      <c r="E250" s="72"/>
      <c r="F250" s="72"/>
      <c r="G250" s="111"/>
      <c r="H250" s="72"/>
    </row>
    <row r="251" spans="5:8" x14ac:dyDescent="0.25">
      <c r="E251" s="72"/>
      <c r="F251" s="72"/>
      <c r="G251" s="111"/>
      <c r="H251" s="72"/>
    </row>
    <row r="252" spans="5:8" x14ac:dyDescent="0.25">
      <c r="E252" s="72"/>
      <c r="F252" s="72"/>
      <c r="G252" s="111"/>
      <c r="H252" s="72"/>
    </row>
    <row r="253" spans="5:8" x14ac:dyDescent="0.25">
      <c r="E253" s="72"/>
      <c r="F253" s="72"/>
      <c r="G253" s="111"/>
      <c r="H253" s="72"/>
    </row>
    <row r="254" spans="5:8" x14ac:dyDescent="0.25">
      <c r="E254" s="72"/>
      <c r="F254" s="72"/>
      <c r="G254" s="111"/>
      <c r="H254" s="72"/>
    </row>
    <row r="255" spans="5:8" x14ac:dyDescent="0.25">
      <c r="E255" s="72"/>
      <c r="F255" s="72"/>
      <c r="G255" s="111"/>
      <c r="H255" s="72"/>
    </row>
    <row r="256" spans="5:8" x14ac:dyDescent="0.25">
      <c r="E256" s="72"/>
      <c r="F256" s="72"/>
      <c r="G256" s="111"/>
      <c r="H256" s="72"/>
    </row>
    <row r="257" spans="5:8" x14ac:dyDescent="0.25">
      <c r="E257" s="72"/>
      <c r="F257" s="72"/>
      <c r="G257" s="111"/>
      <c r="H257" s="72"/>
    </row>
    <row r="258" spans="5:8" x14ac:dyDescent="0.25">
      <c r="E258" s="72"/>
      <c r="F258" s="72"/>
      <c r="G258" s="111"/>
      <c r="H258" s="72"/>
    </row>
    <row r="259" spans="5:8" x14ac:dyDescent="0.25">
      <c r="E259" s="72"/>
      <c r="F259" s="72"/>
      <c r="G259" s="111"/>
      <c r="H259" s="72"/>
    </row>
    <row r="260" spans="5:8" x14ac:dyDescent="0.25">
      <c r="E260" s="72"/>
      <c r="F260" s="72"/>
      <c r="G260" s="111"/>
      <c r="H260" s="72"/>
    </row>
    <row r="261" spans="5:8" x14ac:dyDescent="0.25">
      <c r="E261" s="72"/>
      <c r="F261" s="72"/>
      <c r="G261" s="111"/>
      <c r="H261" s="72"/>
    </row>
    <row r="262" spans="5:8" x14ac:dyDescent="0.25">
      <c r="E262" s="72"/>
      <c r="F262" s="72"/>
      <c r="G262" s="111"/>
      <c r="H262" s="72"/>
    </row>
    <row r="263" spans="5:8" x14ac:dyDescent="0.25">
      <c r="E263" s="72"/>
      <c r="F263" s="72"/>
      <c r="G263" s="111"/>
      <c r="H263" s="72"/>
    </row>
    <row r="264" spans="5:8" x14ac:dyDescent="0.25">
      <c r="E264" s="72"/>
      <c r="F264" s="72"/>
      <c r="G264" s="111"/>
      <c r="H264" s="72"/>
    </row>
    <row r="265" spans="5:8" x14ac:dyDescent="0.25">
      <c r="E265" s="72"/>
      <c r="F265" s="72"/>
      <c r="G265" s="111"/>
      <c r="H265" s="72"/>
    </row>
    <row r="266" spans="5:8" x14ac:dyDescent="0.25">
      <c r="E266" s="72"/>
      <c r="F266" s="72"/>
      <c r="G266" s="111"/>
      <c r="H266" s="72"/>
    </row>
    <row r="267" spans="5:8" x14ac:dyDescent="0.25">
      <c r="E267" s="72"/>
      <c r="F267" s="72"/>
      <c r="G267" s="111"/>
      <c r="H267" s="72"/>
    </row>
    <row r="268" spans="5:8" x14ac:dyDescent="0.25">
      <c r="E268" s="72"/>
      <c r="F268" s="72"/>
      <c r="G268" s="111"/>
      <c r="H268" s="72"/>
    </row>
    <row r="269" spans="5:8" x14ac:dyDescent="0.25">
      <c r="E269" s="72"/>
      <c r="F269" s="72"/>
      <c r="G269" s="111"/>
      <c r="H269" s="72"/>
    </row>
    <row r="270" spans="5:8" x14ac:dyDescent="0.25">
      <c r="E270" s="72"/>
      <c r="F270" s="72"/>
      <c r="G270" s="111"/>
      <c r="H270" s="72"/>
    </row>
    <row r="271" spans="5:8" x14ac:dyDescent="0.25">
      <c r="E271" s="72"/>
      <c r="F271" s="72"/>
      <c r="G271" s="111"/>
      <c r="H271" s="72"/>
    </row>
    <row r="272" spans="5:8" x14ac:dyDescent="0.25">
      <c r="E272" s="72"/>
      <c r="F272" s="72"/>
      <c r="G272" s="111"/>
      <c r="H272" s="72"/>
    </row>
    <row r="273" spans="5:8" x14ac:dyDescent="0.25">
      <c r="E273" s="72"/>
      <c r="F273" s="72"/>
      <c r="G273" s="111"/>
      <c r="H273" s="72"/>
    </row>
    <row r="274" spans="5:8" x14ac:dyDescent="0.25">
      <c r="E274" s="72"/>
      <c r="F274" s="72"/>
      <c r="G274" s="111"/>
      <c r="H274" s="72"/>
    </row>
    <row r="275" spans="5:8" x14ac:dyDescent="0.25">
      <c r="E275" s="72"/>
      <c r="F275" s="72"/>
      <c r="G275" s="111"/>
      <c r="H275" s="72"/>
    </row>
    <row r="276" spans="5:8" x14ac:dyDescent="0.25">
      <c r="E276" s="72"/>
      <c r="F276" s="72"/>
      <c r="G276" s="111"/>
      <c r="H276" s="72"/>
    </row>
    <row r="277" spans="5:8" x14ac:dyDescent="0.25">
      <c r="E277" s="72"/>
      <c r="F277" s="72"/>
      <c r="G277" s="111"/>
      <c r="H277" s="72"/>
    </row>
    <row r="278" spans="5:8" x14ac:dyDescent="0.25">
      <c r="E278" s="72"/>
      <c r="F278" s="72"/>
      <c r="G278" s="111"/>
      <c r="H278" s="72"/>
    </row>
    <row r="279" spans="5:8" x14ac:dyDescent="0.25">
      <c r="E279" s="72"/>
      <c r="F279" s="72"/>
      <c r="G279" s="111"/>
      <c r="H279" s="72"/>
    </row>
    <row r="280" spans="5:8" x14ac:dyDescent="0.25">
      <c r="E280" s="72"/>
      <c r="F280" s="72"/>
      <c r="G280" s="111"/>
      <c r="H280" s="72"/>
    </row>
    <row r="281" spans="5:8" x14ac:dyDescent="0.25">
      <c r="E281" s="72"/>
      <c r="F281" s="72"/>
      <c r="G281" s="111"/>
      <c r="H281" s="72"/>
    </row>
    <row r="282" spans="5:8" x14ac:dyDescent="0.25">
      <c r="E282" s="72"/>
      <c r="F282" s="72"/>
      <c r="G282" s="111"/>
      <c r="H282" s="72"/>
    </row>
    <row r="283" spans="5:8" x14ac:dyDescent="0.25">
      <c r="E283" s="72"/>
      <c r="F283" s="72"/>
      <c r="G283" s="111"/>
      <c r="H283" s="72"/>
    </row>
    <row r="284" spans="5:8" x14ac:dyDescent="0.25">
      <c r="E284" s="72"/>
      <c r="F284" s="72"/>
      <c r="G284" s="111"/>
      <c r="H284" s="72"/>
    </row>
    <row r="285" spans="5:8" x14ac:dyDescent="0.25">
      <c r="E285" s="72"/>
      <c r="F285" s="72"/>
      <c r="G285" s="111"/>
      <c r="H285" s="72"/>
    </row>
    <row r="286" spans="5:8" x14ac:dyDescent="0.25">
      <c r="E286" s="72"/>
      <c r="F286" s="72"/>
      <c r="G286" s="111"/>
      <c r="H286" s="72"/>
    </row>
    <row r="287" spans="5:8" x14ac:dyDescent="0.25">
      <c r="E287" s="72"/>
      <c r="F287" s="72"/>
      <c r="G287" s="111"/>
      <c r="H287" s="72"/>
    </row>
    <row r="288" spans="5:8" x14ac:dyDescent="0.25">
      <c r="E288" s="72"/>
      <c r="F288" s="72"/>
      <c r="G288" s="111"/>
      <c r="H288" s="72"/>
    </row>
    <row r="289" spans="5:8" x14ac:dyDescent="0.25">
      <c r="E289" s="72"/>
      <c r="F289" s="72"/>
      <c r="G289" s="111"/>
      <c r="H289" s="72"/>
    </row>
    <row r="290" spans="5:8" x14ac:dyDescent="0.25">
      <c r="E290" s="72"/>
      <c r="F290" s="72"/>
      <c r="G290" s="111"/>
      <c r="H290" s="72"/>
    </row>
    <row r="291" spans="5:8" x14ac:dyDescent="0.25">
      <c r="E291" s="72"/>
      <c r="F291" s="72"/>
      <c r="G291" s="111"/>
      <c r="H291" s="72"/>
    </row>
    <row r="292" spans="5:8" x14ac:dyDescent="0.25">
      <c r="E292" s="72"/>
      <c r="F292" s="72"/>
      <c r="G292" s="111"/>
      <c r="H292" s="72"/>
    </row>
    <row r="293" spans="5:8" x14ac:dyDescent="0.25">
      <c r="E293" s="72"/>
      <c r="F293" s="72"/>
      <c r="G293" s="111"/>
      <c r="H293" s="72"/>
    </row>
    <row r="294" spans="5:8" x14ac:dyDescent="0.25">
      <c r="E294" s="72"/>
      <c r="F294" s="72"/>
      <c r="G294" s="111"/>
      <c r="H294" s="72"/>
    </row>
    <row r="295" spans="5:8" x14ac:dyDescent="0.25">
      <c r="E295" s="72"/>
      <c r="F295" s="72"/>
      <c r="G295" s="111"/>
      <c r="H295" s="72"/>
    </row>
    <row r="296" spans="5:8" x14ac:dyDescent="0.25">
      <c r="E296" s="72"/>
      <c r="F296" s="72"/>
      <c r="G296" s="111"/>
      <c r="H296" s="72"/>
    </row>
    <row r="297" spans="5:8" x14ac:dyDescent="0.25">
      <c r="E297" s="72"/>
      <c r="F297" s="72"/>
      <c r="G297" s="111"/>
      <c r="H297" s="72"/>
    </row>
    <row r="298" spans="5:8" x14ac:dyDescent="0.25">
      <c r="E298" s="72"/>
      <c r="F298" s="72"/>
      <c r="G298" s="111"/>
      <c r="H298" s="72"/>
    </row>
    <row r="299" spans="5:8" x14ac:dyDescent="0.25">
      <c r="E299" s="72"/>
      <c r="F299" s="72"/>
      <c r="G299" s="111"/>
      <c r="H299" s="72"/>
    </row>
    <row r="300" spans="5:8" x14ac:dyDescent="0.25">
      <c r="E300" s="72"/>
      <c r="F300" s="72"/>
      <c r="G300" s="111"/>
      <c r="H300" s="72"/>
    </row>
    <row r="301" spans="5:8" x14ac:dyDescent="0.25">
      <c r="E301" s="72"/>
      <c r="F301" s="72"/>
      <c r="G301" s="111"/>
      <c r="H301" s="72"/>
    </row>
    <row r="302" spans="5:8" x14ac:dyDescent="0.25">
      <c r="E302" s="72"/>
      <c r="F302" s="72"/>
      <c r="G302" s="111"/>
      <c r="H302" s="72"/>
    </row>
    <row r="303" spans="5:8" x14ac:dyDescent="0.25">
      <c r="E303" s="72"/>
      <c r="F303" s="72"/>
      <c r="G303" s="111"/>
      <c r="H303" s="72"/>
    </row>
    <row r="304" spans="5:8" x14ac:dyDescent="0.25">
      <c r="E304" s="72"/>
      <c r="F304" s="72"/>
      <c r="G304" s="111"/>
      <c r="H304" s="72"/>
    </row>
    <row r="305" spans="5:8" x14ac:dyDescent="0.25">
      <c r="E305" s="72"/>
      <c r="F305" s="72"/>
      <c r="G305" s="111"/>
      <c r="H305" s="72"/>
    </row>
    <row r="306" spans="5:8" x14ac:dyDescent="0.25">
      <c r="E306" s="72"/>
      <c r="F306" s="72"/>
      <c r="G306" s="111"/>
      <c r="H306" s="72"/>
    </row>
    <row r="307" spans="5:8" x14ac:dyDescent="0.25">
      <c r="E307" s="72"/>
      <c r="F307" s="72"/>
      <c r="G307" s="111"/>
      <c r="H307" s="72"/>
    </row>
    <row r="308" spans="5:8" x14ac:dyDescent="0.25">
      <c r="E308" s="72"/>
      <c r="F308" s="72"/>
      <c r="G308" s="111"/>
      <c r="H308" s="72"/>
    </row>
    <row r="309" spans="5:8" x14ac:dyDescent="0.25">
      <c r="E309" s="72"/>
      <c r="F309" s="72"/>
      <c r="G309" s="111"/>
      <c r="H309" s="72"/>
    </row>
    <row r="310" spans="5:8" x14ac:dyDescent="0.25">
      <c r="E310" s="72"/>
      <c r="F310" s="72"/>
      <c r="G310" s="111"/>
      <c r="H310" s="72"/>
    </row>
    <row r="311" spans="5:8" x14ac:dyDescent="0.25">
      <c r="E311" s="72"/>
      <c r="F311" s="72"/>
      <c r="G311" s="111"/>
      <c r="H311" s="72"/>
    </row>
    <row r="312" spans="5:8" x14ac:dyDescent="0.25">
      <c r="E312" s="72"/>
      <c r="F312" s="72"/>
      <c r="G312" s="111"/>
      <c r="H312" s="72"/>
    </row>
    <row r="313" spans="5:8" x14ac:dyDescent="0.25">
      <c r="E313" s="72"/>
      <c r="F313" s="72"/>
      <c r="G313" s="111"/>
      <c r="H313" s="72"/>
    </row>
    <row r="314" spans="5:8" x14ac:dyDescent="0.25">
      <c r="E314" s="72"/>
      <c r="F314" s="72"/>
      <c r="G314" s="111"/>
      <c r="H314" s="72"/>
    </row>
    <row r="315" spans="5:8" x14ac:dyDescent="0.25">
      <c r="E315" s="72"/>
      <c r="F315" s="72"/>
      <c r="G315" s="111"/>
      <c r="H315" s="72"/>
    </row>
    <row r="316" spans="5:8" x14ac:dyDescent="0.25">
      <c r="E316" s="72"/>
      <c r="F316" s="72"/>
      <c r="G316" s="111"/>
      <c r="H316" s="72"/>
    </row>
    <row r="317" spans="5:8" x14ac:dyDescent="0.25">
      <c r="E317" s="72"/>
      <c r="F317" s="72"/>
      <c r="G317" s="111"/>
      <c r="H317" s="72"/>
    </row>
    <row r="318" spans="5:8" x14ac:dyDescent="0.25">
      <c r="E318" s="72"/>
      <c r="F318" s="72"/>
      <c r="G318" s="111"/>
      <c r="H318" s="72"/>
    </row>
    <row r="319" spans="5:8" x14ac:dyDescent="0.25">
      <c r="E319" s="72"/>
      <c r="F319" s="72"/>
      <c r="G319" s="111"/>
      <c r="H319" s="72"/>
    </row>
    <row r="320" spans="5:8" x14ac:dyDescent="0.25">
      <c r="E320" s="72"/>
      <c r="F320" s="72"/>
      <c r="G320" s="111"/>
      <c r="H320" s="72"/>
    </row>
    <row r="321" spans="5:8" x14ac:dyDescent="0.25">
      <c r="E321" s="72"/>
      <c r="F321" s="72"/>
      <c r="G321" s="111"/>
      <c r="H321" s="72"/>
    </row>
    <row r="322" spans="5:8" x14ac:dyDescent="0.25">
      <c r="E322" s="72"/>
      <c r="F322" s="72"/>
      <c r="G322" s="111"/>
      <c r="H322" s="72"/>
    </row>
    <row r="323" spans="5:8" x14ac:dyDescent="0.25">
      <c r="E323" s="72"/>
      <c r="F323" s="72"/>
      <c r="G323" s="111"/>
      <c r="H323" s="72"/>
    </row>
    <row r="324" spans="5:8" x14ac:dyDescent="0.25">
      <c r="E324" s="72"/>
      <c r="F324" s="72"/>
      <c r="G324" s="111"/>
      <c r="H324" s="72"/>
    </row>
    <row r="325" spans="5:8" x14ac:dyDescent="0.25">
      <c r="E325" s="72"/>
      <c r="F325" s="72"/>
      <c r="G325" s="111"/>
      <c r="H325" s="72"/>
    </row>
    <row r="326" spans="5:8" x14ac:dyDescent="0.25">
      <c r="E326" s="72"/>
      <c r="F326" s="72"/>
      <c r="G326" s="111"/>
      <c r="H326" s="72"/>
    </row>
    <row r="327" spans="5:8" x14ac:dyDescent="0.25">
      <c r="E327" s="72"/>
      <c r="F327" s="72"/>
      <c r="G327" s="111"/>
      <c r="H327" s="111"/>
    </row>
    <row r="328" spans="5:8" x14ac:dyDescent="0.25">
      <c r="E328" s="72"/>
      <c r="F328" s="72"/>
      <c r="G328" s="111"/>
      <c r="H328" s="111"/>
    </row>
    <row r="329" spans="5:8" x14ac:dyDescent="0.25">
      <c r="E329" s="72"/>
      <c r="F329" s="72"/>
      <c r="G329" s="111"/>
      <c r="H329" s="111"/>
    </row>
    <row r="330" spans="5:8" x14ac:dyDescent="0.25">
      <c r="E330" s="72"/>
      <c r="F330" s="72"/>
      <c r="G330" s="111"/>
      <c r="H330" s="111"/>
    </row>
    <row r="331" spans="5:8" x14ac:dyDescent="0.25">
      <c r="E331" s="72"/>
      <c r="F331" s="72"/>
      <c r="G331" s="111"/>
      <c r="H331" s="111"/>
    </row>
    <row r="332" spans="5:8" x14ac:dyDescent="0.25">
      <c r="E332" s="72"/>
      <c r="F332" s="72"/>
      <c r="G332" s="111"/>
      <c r="H332" s="111"/>
    </row>
    <row r="333" spans="5:8" x14ac:dyDescent="0.25">
      <c r="E333" s="72"/>
      <c r="F333" s="72"/>
      <c r="G333" s="111"/>
      <c r="H333" s="111"/>
    </row>
    <row r="334" spans="5:8" x14ac:dyDescent="0.25">
      <c r="E334" s="72"/>
      <c r="F334" s="72"/>
      <c r="G334" s="111"/>
      <c r="H334" s="111"/>
    </row>
    <row r="335" spans="5:8" x14ac:dyDescent="0.25">
      <c r="E335" s="72"/>
      <c r="F335" s="72"/>
      <c r="G335" s="111"/>
      <c r="H335" s="111"/>
    </row>
    <row r="336" spans="5:8" x14ac:dyDescent="0.25">
      <c r="E336" s="72"/>
      <c r="F336" s="72"/>
      <c r="G336" s="111"/>
      <c r="H336" s="111"/>
    </row>
    <row r="337" spans="5:8" x14ac:dyDescent="0.25">
      <c r="E337" s="72"/>
      <c r="F337" s="72"/>
      <c r="G337" s="111"/>
      <c r="H337" s="111"/>
    </row>
    <row r="338" spans="5:8" x14ac:dyDescent="0.25">
      <c r="E338" s="72"/>
      <c r="F338" s="72"/>
      <c r="G338" s="111"/>
      <c r="H338" s="111"/>
    </row>
    <row r="339" spans="5:8" x14ac:dyDescent="0.25">
      <c r="E339" s="72"/>
      <c r="F339" s="72"/>
      <c r="G339" s="111"/>
      <c r="H339" s="111"/>
    </row>
    <row r="340" spans="5:8" x14ac:dyDescent="0.25">
      <c r="E340" s="72"/>
      <c r="F340" s="72"/>
      <c r="G340" s="111"/>
      <c r="H340" s="111"/>
    </row>
    <row r="341" spans="5:8" x14ac:dyDescent="0.25">
      <c r="E341" s="72"/>
      <c r="F341" s="72"/>
      <c r="G341" s="111"/>
      <c r="H341" s="111"/>
    </row>
    <row r="342" spans="5:8" x14ac:dyDescent="0.25">
      <c r="E342" s="72"/>
      <c r="F342" s="72"/>
      <c r="G342" s="111"/>
      <c r="H342" s="111"/>
    </row>
    <row r="343" spans="5:8" x14ac:dyDescent="0.25">
      <c r="E343" s="72"/>
      <c r="F343" s="72"/>
      <c r="G343" s="111"/>
      <c r="H343" s="111"/>
    </row>
    <row r="344" spans="5:8" x14ac:dyDescent="0.25">
      <c r="E344" s="72"/>
      <c r="F344" s="72"/>
      <c r="G344" s="111"/>
      <c r="H344" s="111"/>
    </row>
    <row r="345" spans="5:8" x14ac:dyDescent="0.25">
      <c r="E345" s="72"/>
      <c r="F345" s="72"/>
      <c r="G345" s="111"/>
      <c r="H345" s="111"/>
    </row>
    <row r="346" spans="5:8" x14ac:dyDescent="0.25">
      <c r="E346" s="72"/>
      <c r="F346" s="72"/>
      <c r="G346" s="111"/>
      <c r="H346" s="111"/>
    </row>
    <row r="347" spans="5:8" x14ac:dyDescent="0.25">
      <c r="E347" s="72"/>
      <c r="F347" s="72"/>
      <c r="G347" s="111"/>
      <c r="H347" s="111"/>
    </row>
    <row r="348" spans="5:8" x14ac:dyDescent="0.25">
      <c r="E348" s="72"/>
      <c r="F348" s="72"/>
      <c r="G348" s="111"/>
      <c r="H348" s="111"/>
    </row>
    <row r="349" spans="5:8" x14ac:dyDescent="0.25">
      <c r="E349" s="72"/>
      <c r="F349" s="72"/>
      <c r="G349" s="111"/>
      <c r="H349" s="111"/>
    </row>
    <row r="350" spans="5:8" x14ac:dyDescent="0.25">
      <c r="E350" s="72"/>
      <c r="F350" s="72"/>
      <c r="G350" s="111"/>
      <c r="H350" s="111"/>
    </row>
    <row r="351" spans="5:8" x14ac:dyDescent="0.25">
      <c r="E351" s="72"/>
      <c r="F351" s="72"/>
      <c r="G351" s="111"/>
      <c r="H351" s="111"/>
    </row>
    <row r="352" spans="5:8" x14ac:dyDescent="0.25">
      <c r="E352" s="72"/>
      <c r="F352" s="72"/>
      <c r="G352" s="111"/>
      <c r="H352" s="111"/>
    </row>
    <row r="353" spans="5:8" x14ac:dyDescent="0.25">
      <c r="E353" s="72"/>
      <c r="F353" s="72"/>
      <c r="G353" s="111"/>
      <c r="H353" s="111"/>
    </row>
    <row r="354" spans="5:8" x14ac:dyDescent="0.25">
      <c r="E354" s="72"/>
      <c r="F354" s="72"/>
      <c r="G354" s="111"/>
      <c r="H354" s="111"/>
    </row>
    <row r="355" spans="5:8" x14ac:dyDescent="0.25">
      <c r="E355" s="72"/>
      <c r="F355" s="72"/>
      <c r="G355" s="111"/>
      <c r="H355" s="111"/>
    </row>
    <row r="356" spans="5:8" x14ac:dyDescent="0.25">
      <c r="E356" s="72"/>
      <c r="F356" s="72"/>
      <c r="G356" s="111"/>
      <c r="H356" s="111"/>
    </row>
    <row r="357" spans="5:8" x14ac:dyDescent="0.25">
      <c r="E357" s="72"/>
      <c r="F357" s="72"/>
      <c r="G357" s="111"/>
      <c r="H357" s="111"/>
    </row>
    <row r="358" spans="5:8" x14ac:dyDescent="0.25">
      <c r="E358" s="72"/>
      <c r="F358" s="72"/>
      <c r="G358" s="111"/>
      <c r="H358" s="111"/>
    </row>
    <row r="359" spans="5:8" x14ac:dyDescent="0.25">
      <c r="E359" s="72"/>
      <c r="F359" s="72"/>
      <c r="G359" s="111"/>
      <c r="H359" s="111"/>
    </row>
    <row r="360" spans="5:8" x14ac:dyDescent="0.25">
      <c r="E360" s="72"/>
      <c r="F360" s="72"/>
      <c r="G360" s="111"/>
      <c r="H360" s="111"/>
    </row>
    <row r="361" spans="5:8" x14ac:dyDescent="0.25">
      <c r="E361" s="72"/>
      <c r="F361" s="72"/>
      <c r="G361" s="111"/>
      <c r="H361" s="111"/>
    </row>
    <row r="362" spans="5:8" x14ac:dyDescent="0.25">
      <c r="E362" s="72"/>
      <c r="F362" s="72"/>
      <c r="G362" s="111"/>
      <c r="H362" s="111"/>
    </row>
    <row r="363" spans="5:8" x14ac:dyDescent="0.25">
      <c r="E363" s="72"/>
      <c r="F363" s="72"/>
      <c r="G363" s="111"/>
      <c r="H363" s="111"/>
    </row>
    <row r="364" spans="5:8" x14ac:dyDescent="0.25">
      <c r="E364" s="72"/>
      <c r="F364" s="72"/>
      <c r="G364" s="111"/>
      <c r="H364" s="111"/>
    </row>
    <row r="365" spans="5:8" x14ac:dyDescent="0.25">
      <c r="E365" s="72"/>
      <c r="F365" s="72"/>
      <c r="G365" s="111"/>
      <c r="H365" s="111"/>
    </row>
    <row r="366" spans="5:8" x14ac:dyDescent="0.25">
      <c r="E366" s="72"/>
      <c r="F366" s="72"/>
      <c r="G366" s="111"/>
      <c r="H366" s="111"/>
    </row>
    <row r="367" spans="5:8" x14ac:dyDescent="0.25">
      <c r="E367" s="72"/>
      <c r="F367" s="72"/>
      <c r="G367" s="111"/>
      <c r="H367" s="111"/>
    </row>
    <row r="368" spans="5:8" x14ac:dyDescent="0.25">
      <c r="E368" s="72"/>
      <c r="F368" s="72"/>
      <c r="G368" s="111"/>
      <c r="H368" s="111"/>
    </row>
    <row r="369" spans="5:8" x14ac:dyDescent="0.25">
      <c r="E369" s="72"/>
      <c r="F369" s="72"/>
      <c r="G369" s="111"/>
      <c r="H369" s="111"/>
    </row>
    <row r="370" spans="5:8" x14ac:dyDescent="0.25">
      <c r="E370" s="72"/>
      <c r="F370" s="72"/>
      <c r="G370" s="111"/>
      <c r="H370" s="111"/>
    </row>
    <row r="371" spans="5:8" x14ac:dyDescent="0.25">
      <c r="E371" s="72"/>
      <c r="F371" s="72"/>
      <c r="G371" s="111"/>
      <c r="H371" s="111"/>
    </row>
    <row r="372" spans="5:8" x14ac:dyDescent="0.25">
      <c r="E372" s="72"/>
      <c r="F372" s="72"/>
      <c r="G372" s="111"/>
      <c r="H372" s="111"/>
    </row>
    <row r="373" spans="5:8" x14ac:dyDescent="0.25">
      <c r="E373" s="72"/>
      <c r="F373" s="72"/>
      <c r="G373" s="111"/>
      <c r="H373" s="111"/>
    </row>
    <row r="374" spans="5:8" x14ac:dyDescent="0.25">
      <c r="E374" s="72"/>
      <c r="F374" s="72"/>
      <c r="G374" s="111"/>
      <c r="H374" s="111"/>
    </row>
    <row r="375" spans="5:8" x14ac:dyDescent="0.25">
      <c r="E375" s="72"/>
      <c r="F375" s="72"/>
      <c r="G375" s="111"/>
      <c r="H375" s="111"/>
    </row>
    <row r="376" spans="5:8" x14ac:dyDescent="0.25">
      <c r="E376" s="72"/>
      <c r="F376" s="72"/>
      <c r="G376" s="111"/>
      <c r="H376" s="111"/>
    </row>
    <row r="377" spans="5:8" x14ac:dyDescent="0.25">
      <c r="E377" s="72"/>
      <c r="F377" s="72"/>
      <c r="G377" s="111"/>
      <c r="H377" s="111"/>
    </row>
    <row r="378" spans="5:8" x14ac:dyDescent="0.25">
      <c r="E378" s="72"/>
      <c r="F378" s="72"/>
      <c r="G378" s="111"/>
      <c r="H378" s="111"/>
    </row>
    <row r="379" spans="5:8" x14ac:dyDescent="0.25">
      <c r="E379" s="72"/>
      <c r="F379" s="72"/>
      <c r="G379" s="111"/>
      <c r="H379" s="111"/>
    </row>
    <row r="380" spans="5:8" x14ac:dyDescent="0.25">
      <c r="E380" s="72"/>
      <c r="F380" s="72"/>
      <c r="G380" s="111"/>
      <c r="H380" s="111"/>
    </row>
    <row r="381" spans="5:8" x14ac:dyDescent="0.25">
      <c r="E381" s="72"/>
      <c r="F381" s="72"/>
      <c r="G381" s="111"/>
      <c r="H381" s="111"/>
    </row>
    <row r="382" spans="5:8" x14ac:dyDescent="0.25">
      <c r="E382" s="72"/>
      <c r="F382" s="72"/>
      <c r="G382" s="111"/>
      <c r="H382" s="111"/>
    </row>
    <row r="383" spans="5:8" x14ac:dyDescent="0.25">
      <c r="E383" s="72"/>
      <c r="F383" s="72"/>
      <c r="G383" s="111"/>
      <c r="H383" s="111"/>
    </row>
    <row r="384" spans="5:8" x14ac:dyDescent="0.25">
      <c r="E384" s="72"/>
      <c r="F384" s="72"/>
      <c r="G384" s="111"/>
      <c r="H384" s="111"/>
    </row>
    <row r="385" spans="5:8" x14ac:dyDescent="0.25">
      <c r="E385" s="72"/>
      <c r="F385" s="72"/>
      <c r="G385" s="111"/>
      <c r="H385" s="111"/>
    </row>
    <row r="386" spans="5:8" x14ac:dyDescent="0.25">
      <c r="E386" s="72"/>
      <c r="F386" s="72"/>
      <c r="G386" s="111"/>
      <c r="H386" s="111"/>
    </row>
    <row r="387" spans="5:8" x14ac:dyDescent="0.25">
      <c r="E387" s="72"/>
      <c r="F387" s="72"/>
      <c r="G387" s="111"/>
      <c r="H387" s="111"/>
    </row>
    <row r="388" spans="5:8" x14ac:dyDescent="0.25">
      <c r="E388" s="72"/>
      <c r="F388" s="72"/>
      <c r="G388" s="111"/>
      <c r="H388" s="111"/>
    </row>
    <row r="389" spans="5:8" x14ac:dyDescent="0.25">
      <c r="E389" s="72"/>
      <c r="F389" s="72"/>
      <c r="G389" s="111"/>
      <c r="H389" s="111"/>
    </row>
    <row r="390" spans="5:8" x14ac:dyDescent="0.25">
      <c r="E390" s="72"/>
      <c r="F390" s="72"/>
      <c r="G390" s="111"/>
      <c r="H390" s="111"/>
    </row>
    <row r="391" spans="5:8" x14ac:dyDescent="0.25">
      <c r="E391" s="72"/>
      <c r="F391" s="72"/>
      <c r="G391" s="111"/>
      <c r="H391" s="111"/>
    </row>
    <row r="392" spans="5:8" x14ac:dyDescent="0.25">
      <c r="E392" s="72"/>
      <c r="F392" s="72"/>
      <c r="G392" s="111"/>
      <c r="H392" s="111"/>
    </row>
    <row r="393" spans="5:8" x14ac:dyDescent="0.25">
      <c r="E393" s="72"/>
      <c r="F393" s="72"/>
      <c r="G393" s="111"/>
      <c r="H393" s="111"/>
    </row>
    <row r="394" spans="5:8" x14ac:dyDescent="0.25">
      <c r="E394" s="72"/>
      <c r="F394" s="72"/>
      <c r="G394" s="111"/>
      <c r="H394" s="111"/>
    </row>
    <row r="395" spans="5:8" x14ac:dyDescent="0.25">
      <c r="E395" s="72"/>
      <c r="F395" s="72"/>
      <c r="G395" s="111"/>
      <c r="H395" s="111"/>
    </row>
    <row r="396" spans="5:8" x14ac:dyDescent="0.25">
      <c r="E396" s="72"/>
      <c r="F396" s="72"/>
      <c r="G396" s="111"/>
      <c r="H396" s="111"/>
    </row>
    <row r="397" spans="5:8" x14ac:dyDescent="0.25">
      <c r="E397" s="72"/>
      <c r="F397" s="72"/>
      <c r="G397" s="111"/>
      <c r="H397" s="111"/>
    </row>
    <row r="398" spans="5:8" x14ac:dyDescent="0.25">
      <c r="E398" s="72"/>
      <c r="F398" s="72"/>
      <c r="G398" s="111"/>
      <c r="H398" s="111"/>
    </row>
    <row r="399" spans="5:8" x14ac:dyDescent="0.25">
      <c r="E399" s="72"/>
      <c r="F399" s="72"/>
      <c r="G399" s="111"/>
      <c r="H399" s="111"/>
    </row>
    <row r="400" spans="5:8" x14ac:dyDescent="0.25">
      <c r="E400" s="72"/>
      <c r="F400" s="72"/>
      <c r="G400" s="111"/>
      <c r="H400" s="111"/>
    </row>
    <row r="401" spans="5:8" x14ac:dyDescent="0.25">
      <c r="E401" s="72"/>
      <c r="F401" s="72"/>
      <c r="G401" s="111"/>
      <c r="H401" s="111"/>
    </row>
    <row r="402" spans="5:8" x14ac:dyDescent="0.25">
      <c r="E402" s="72"/>
      <c r="F402" s="72"/>
      <c r="G402" s="111"/>
      <c r="H402" s="111"/>
    </row>
    <row r="403" spans="5:8" x14ac:dyDescent="0.25">
      <c r="E403" s="72"/>
      <c r="F403" s="72"/>
      <c r="G403" s="111"/>
      <c r="H403" s="111"/>
    </row>
    <row r="404" spans="5:8" x14ac:dyDescent="0.25">
      <c r="E404" s="72"/>
      <c r="F404" s="72"/>
      <c r="G404" s="111"/>
      <c r="H404" s="111"/>
    </row>
    <row r="405" spans="5:8" x14ac:dyDescent="0.25">
      <c r="E405" s="72"/>
      <c r="F405" s="72"/>
      <c r="G405" s="111"/>
      <c r="H405" s="111"/>
    </row>
    <row r="406" spans="5:8" x14ac:dyDescent="0.25">
      <c r="E406" s="72"/>
      <c r="F406" s="72"/>
      <c r="G406" s="111"/>
      <c r="H406" s="111"/>
    </row>
    <row r="407" spans="5:8" x14ac:dyDescent="0.25">
      <c r="E407" s="72"/>
      <c r="F407" s="72"/>
      <c r="G407" s="111"/>
      <c r="H407" s="111"/>
    </row>
    <row r="408" spans="5:8" x14ac:dyDescent="0.25">
      <c r="E408" s="72"/>
      <c r="F408" s="72"/>
      <c r="G408" s="111"/>
      <c r="H408" s="111"/>
    </row>
    <row r="409" spans="5:8" x14ac:dyDescent="0.25">
      <c r="E409" s="72"/>
      <c r="F409" s="72"/>
      <c r="G409" s="111"/>
      <c r="H409" s="111"/>
    </row>
    <row r="410" spans="5:8" x14ac:dyDescent="0.25">
      <c r="E410" s="72"/>
      <c r="F410" s="72"/>
      <c r="G410" s="111"/>
      <c r="H410" s="111"/>
    </row>
    <row r="411" spans="5:8" x14ac:dyDescent="0.25">
      <c r="E411" s="72"/>
      <c r="F411" s="72"/>
      <c r="G411" s="111"/>
      <c r="H411" s="111"/>
    </row>
    <row r="412" spans="5:8" x14ac:dyDescent="0.25">
      <c r="E412" s="72"/>
      <c r="F412" s="72"/>
      <c r="G412" s="111"/>
      <c r="H412" s="111"/>
    </row>
    <row r="413" spans="5:8" x14ac:dyDescent="0.25">
      <c r="E413" s="72"/>
      <c r="F413" s="72"/>
      <c r="G413" s="111"/>
      <c r="H413" s="111"/>
    </row>
    <row r="414" spans="5:8" x14ac:dyDescent="0.25">
      <c r="E414" s="72"/>
      <c r="F414" s="72"/>
      <c r="G414" s="111"/>
      <c r="H414" s="111"/>
    </row>
    <row r="415" spans="5:8" x14ac:dyDescent="0.25">
      <c r="E415" s="72"/>
      <c r="F415" s="72"/>
      <c r="G415" s="111"/>
      <c r="H415" s="111"/>
    </row>
    <row r="416" spans="5:8" x14ac:dyDescent="0.25">
      <c r="E416" s="72"/>
      <c r="F416" s="72"/>
      <c r="G416" s="111"/>
      <c r="H416" s="111"/>
    </row>
    <row r="417" spans="5:8" x14ac:dyDescent="0.25">
      <c r="E417" s="72"/>
      <c r="F417" s="72"/>
      <c r="G417" s="111"/>
      <c r="H417" s="111"/>
    </row>
    <row r="418" spans="5:8" x14ac:dyDescent="0.25">
      <c r="E418" s="72"/>
      <c r="F418" s="72"/>
      <c r="G418" s="111"/>
      <c r="H418" s="111"/>
    </row>
    <row r="419" spans="5:8" x14ac:dyDescent="0.25">
      <c r="E419" s="72"/>
      <c r="F419" s="72"/>
      <c r="G419" s="111"/>
      <c r="H419" s="111"/>
    </row>
    <row r="420" spans="5:8" x14ac:dyDescent="0.25">
      <c r="E420" s="72"/>
      <c r="F420" s="72"/>
      <c r="G420" s="111"/>
      <c r="H420" s="111"/>
    </row>
    <row r="421" spans="5:8" x14ac:dyDescent="0.25">
      <c r="E421" s="72"/>
      <c r="F421" s="72"/>
      <c r="G421" s="111"/>
      <c r="H421" s="111"/>
    </row>
    <row r="422" spans="5:8" x14ac:dyDescent="0.25">
      <c r="E422" s="72"/>
      <c r="F422" s="72"/>
      <c r="G422" s="111"/>
      <c r="H422" s="111"/>
    </row>
    <row r="423" spans="5:8" x14ac:dyDescent="0.25">
      <c r="E423" s="72"/>
      <c r="F423" s="72"/>
      <c r="G423" s="111"/>
      <c r="H423" s="111"/>
    </row>
    <row r="424" spans="5:8" x14ac:dyDescent="0.25">
      <c r="E424" s="72"/>
      <c r="F424" s="72"/>
      <c r="G424" s="111"/>
      <c r="H424" s="111"/>
    </row>
    <row r="425" spans="5:8" x14ac:dyDescent="0.25">
      <c r="E425" s="72"/>
      <c r="F425" s="72"/>
      <c r="G425" s="111"/>
      <c r="H425" s="111"/>
    </row>
    <row r="426" spans="5:8" x14ac:dyDescent="0.25">
      <c r="E426" s="72"/>
      <c r="F426" s="72"/>
      <c r="G426" s="111"/>
      <c r="H426" s="111"/>
    </row>
    <row r="427" spans="5:8" x14ac:dyDescent="0.25">
      <c r="E427" s="72"/>
      <c r="F427" s="72"/>
      <c r="G427" s="111"/>
      <c r="H427" s="111"/>
    </row>
    <row r="428" spans="5:8" x14ac:dyDescent="0.25">
      <c r="E428" s="72"/>
      <c r="F428" s="72"/>
      <c r="G428" s="111"/>
      <c r="H428" s="111"/>
    </row>
    <row r="429" spans="5:8" x14ac:dyDescent="0.25">
      <c r="E429" s="72"/>
      <c r="F429" s="72"/>
      <c r="G429" s="111"/>
      <c r="H429" s="111"/>
    </row>
    <row r="430" spans="5:8" x14ac:dyDescent="0.25">
      <c r="E430" s="72"/>
      <c r="F430" s="72"/>
      <c r="G430" s="111"/>
      <c r="H430" s="111"/>
    </row>
    <row r="431" spans="5:8" x14ac:dyDescent="0.25">
      <c r="E431" s="72"/>
      <c r="F431" s="72"/>
      <c r="G431" s="111"/>
      <c r="H431" s="111"/>
    </row>
    <row r="432" spans="5:8" x14ac:dyDescent="0.25">
      <c r="E432" s="72"/>
      <c r="F432" s="72"/>
      <c r="G432" s="111"/>
      <c r="H432" s="111"/>
    </row>
    <row r="433" spans="5:8" x14ac:dyDescent="0.25">
      <c r="E433" s="72"/>
      <c r="F433" s="72"/>
      <c r="G433" s="111"/>
      <c r="H433" s="111"/>
    </row>
    <row r="434" spans="5:8" x14ac:dyDescent="0.25">
      <c r="E434" s="72"/>
      <c r="F434" s="72"/>
      <c r="G434" s="111"/>
      <c r="H434" s="111"/>
    </row>
    <row r="435" spans="5:8" x14ac:dyDescent="0.25">
      <c r="E435" s="72"/>
      <c r="F435" s="72"/>
      <c r="G435" s="111"/>
      <c r="H435" s="111"/>
    </row>
    <row r="436" spans="5:8" x14ac:dyDescent="0.25">
      <c r="E436" s="72"/>
      <c r="F436" s="72"/>
      <c r="G436" s="111"/>
      <c r="H436" s="111"/>
    </row>
    <row r="437" spans="5:8" x14ac:dyDescent="0.25">
      <c r="E437" s="72"/>
      <c r="F437" s="72"/>
      <c r="G437" s="111"/>
      <c r="H437" s="111"/>
    </row>
    <row r="438" spans="5:8" x14ac:dyDescent="0.25">
      <c r="E438" s="72"/>
      <c r="F438" s="72"/>
      <c r="G438" s="111"/>
      <c r="H438" s="111"/>
    </row>
    <row r="439" spans="5:8" x14ac:dyDescent="0.25">
      <c r="E439" s="72"/>
      <c r="F439" s="72"/>
      <c r="G439" s="111"/>
      <c r="H439" s="111"/>
    </row>
    <row r="440" spans="5:8" x14ac:dyDescent="0.25">
      <c r="E440" s="72"/>
      <c r="F440" s="72"/>
      <c r="G440" s="111"/>
      <c r="H440" s="111"/>
    </row>
    <row r="441" spans="5:8" x14ac:dyDescent="0.25">
      <c r="E441" s="72"/>
      <c r="F441" s="72"/>
      <c r="G441" s="111"/>
      <c r="H441" s="111"/>
    </row>
    <row r="442" spans="5:8" x14ac:dyDescent="0.25">
      <c r="E442" s="72"/>
      <c r="F442" s="72"/>
      <c r="G442" s="111"/>
      <c r="H442" s="111"/>
    </row>
    <row r="443" spans="5:8" x14ac:dyDescent="0.25">
      <c r="E443" s="72"/>
      <c r="F443" s="72"/>
      <c r="G443" s="111"/>
      <c r="H443" s="111"/>
    </row>
    <row r="444" spans="5:8" x14ac:dyDescent="0.25">
      <c r="E444" s="72"/>
      <c r="F444" s="72"/>
      <c r="G444" s="111"/>
      <c r="H444" s="111"/>
    </row>
    <row r="445" spans="5:8" x14ac:dyDescent="0.25">
      <c r="E445" s="72"/>
      <c r="F445" s="72"/>
      <c r="G445" s="111"/>
      <c r="H445" s="111"/>
    </row>
    <row r="446" spans="5:8" x14ac:dyDescent="0.25">
      <c r="E446" s="72"/>
      <c r="F446" s="72"/>
      <c r="G446" s="111"/>
      <c r="H446" s="111"/>
    </row>
    <row r="447" spans="5:8" x14ac:dyDescent="0.25">
      <c r="E447" s="72"/>
      <c r="F447" s="72"/>
      <c r="G447" s="111"/>
      <c r="H447" s="111"/>
    </row>
    <row r="448" spans="5:8" x14ac:dyDescent="0.25">
      <c r="E448" s="72"/>
      <c r="F448" s="72"/>
      <c r="G448" s="111"/>
      <c r="H448" s="111"/>
    </row>
    <row r="449" spans="5:8" x14ac:dyDescent="0.25">
      <c r="E449" s="72"/>
      <c r="F449" s="72"/>
      <c r="G449" s="111"/>
      <c r="H449" s="111"/>
    </row>
    <row r="450" spans="5:8" x14ac:dyDescent="0.25">
      <c r="E450" s="72"/>
      <c r="F450" s="72"/>
      <c r="G450" s="111"/>
      <c r="H450" s="111"/>
    </row>
    <row r="451" spans="5:8" x14ac:dyDescent="0.25">
      <c r="E451" s="72"/>
      <c r="F451" s="72"/>
      <c r="G451" s="111"/>
      <c r="H451" s="111"/>
    </row>
    <row r="452" spans="5:8" x14ac:dyDescent="0.25">
      <c r="E452" s="72"/>
      <c r="F452" s="72"/>
      <c r="G452" s="111"/>
      <c r="H452" s="111"/>
    </row>
    <row r="453" spans="5:8" x14ac:dyDescent="0.25">
      <c r="E453" s="72"/>
      <c r="F453" s="72"/>
      <c r="G453" s="111"/>
      <c r="H453" s="111"/>
    </row>
    <row r="454" spans="5:8" x14ac:dyDescent="0.25">
      <c r="E454" s="72"/>
      <c r="F454" s="72"/>
      <c r="G454" s="111"/>
      <c r="H454" s="111"/>
    </row>
    <row r="455" spans="5:8" x14ac:dyDescent="0.25">
      <c r="E455" s="72"/>
      <c r="F455" s="72"/>
      <c r="G455" s="111"/>
      <c r="H455" s="111"/>
    </row>
    <row r="456" spans="5:8" x14ac:dyDescent="0.25">
      <c r="E456" s="72"/>
      <c r="F456" s="72"/>
      <c r="G456" s="111"/>
      <c r="H456" s="111"/>
    </row>
    <row r="457" spans="5:8" x14ac:dyDescent="0.25">
      <c r="E457" s="72"/>
      <c r="F457" s="72"/>
      <c r="G457" s="111"/>
      <c r="H457" s="111"/>
    </row>
    <row r="458" spans="5:8" x14ac:dyDescent="0.25">
      <c r="E458" s="72"/>
      <c r="F458" s="72"/>
      <c r="G458" s="111"/>
      <c r="H458" s="111"/>
    </row>
    <row r="459" spans="5:8" x14ac:dyDescent="0.25">
      <c r="E459" s="72"/>
      <c r="F459" s="72"/>
      <c r="G459" s="111"/>
      <c r="H459" s="111"/>
    </row>
    <row r="460" spans="5:8" x14ac:dyDescent="0.25">
      <c r="E460" s="72"/>
      <c r="F460" s="72"/>
      <c r="G460" s="111"/>
      <c r="H460" s="111"/>
    </row>
    <row r="461" spans="5:8" x14ac:dyDescent="0.25">
      <c r="E461" s="72"/>
      <c r="F461" s="72"/>
      <c r="G461" s="111"/>
      <c r="H461" s="111"/>
    </row>
    <row r="462" spans="5:8" x14ac:dyDescent="0.25">
      <c r="E462" s="72"/>
      <c r="F462" s="72"/>
      <c r="G462" s="111"/>
      <c r="H462" s="111"/>
    </row>
    <row r="463" spans="5:8" x14ac:dyDescent="0.25">
      <c r="E463" s="72"/>
      <c r="F463" s="72"/>
      <c r="G463" s="111"/>
      <c r="H463" s="111"/>
    </row>
    <row r="464" spans="5:8" x14ac:dyDescent="0.25">
      <c r="E464" s="72"/>
      <c r="F464" s="72"/>
      <c r="G464" s="111"/>
      <c r="H464" s="111"/>
    </row>
    <row r="465" spans="5:8" x14ac:dyDescent="0.25">
      <c r="E465" s="72"/>
      <c r="F465" s="72"/>
      <c r="G465" s="111"/>
      <c r="H465" s="111"/>
    </row>
    <row r="466" spans="5:8" x14ac:dyDescent="0.25">
      <c r="E466" s="72"/>
      <c r="F466" s="72"/>
      <c r="G466" s="111"/>
      <c r="H466" s="111"/>
    </row>
    <row r="467" spans="5:8" x14ac:dyDescent="0.25">
      <c r="E467" s="72"/>
      <c r="F467" s="72"/>
      <c r="G467" s="111"/>
      <c r="H467" s="111"/>
    </row>
    <row r="468" spans="5:8" x14ac:dyDescent="0.25">
      <c r="E468" s="72"/>
      <c r="F468" s="72"/>
      <c r="G468" s="111"/>
      <c r="H468" s="111"/>
    </row>
    <row r="469" spans="5:8" x14ac:dyDescent="0.25">
      <c r="E469" s="72"/>
      <c r="F469" s="72"/>
      <c r="G469" s="111"/>
      <c r="H469" s="111"/>
    </row>
    <row r="470" spans="5:8" x14ac:dyDescent="0.25">
      <c r="E470" s="72"/>
      <c r="F470" s="72"/>
      <c r="G470" s="111"/>
      <c r="H470" s="111"/>
    </row>
    <row r="471" spans="5:8" x14ac:dyDescent="0.25">
      <c r="E471" s="72"/>
      <c r="F471" s="72"/>
      <c r="G471" s="111"/>
      <c r="H471" s="111"/>
    </row>
    <row r="472" spans="5:8" x14ac:dyDescent="0.25">
      <c r="E472" s="72"/>
      <c r="F472" s="72"/>
      <c r="G472" s="111"/>
      <c r="H472" s="111"/>
    </row>
    <row r="473" spans="5:8" x14ac:dyDescent="0.25">
      <c r="E473" s="72"/>
      <c r="F473" s="72"/>
      <c r="G473" s="111"/>
      <c r="H473" s="111"/>
    </row>
    <row r="474" spans="5:8" x14ac:dyDescent="0.25">
      <c r="E474" s="72"/>
      <c r="F474" s="72"/>
      <c r="G474" s="111"/>
      <c r="H474" s="111"/>
    </row>
    <row r="475" spans="5:8" x14ac:dyDescent="0.25">
      <c r="E475" s="72"/>
      <c r="F475" s="72"/>
      <c r="G475" s="111"/>
      <c r="H475" s="111"/>
    </row>
    <row r="476" spans="5:8" x14ac:dyDescent="0.25">
      <c r="E476" s="72"/>
      <c r="F476" s="72"/>
      <c r="G476" s="111"/>
      <c r="H476" s="111"/>
    </row>
    <row r="477" spans="5:8" x14ac:dyDescent="0.25">
      <c r="E477" s="72"/>
      <c r="F477" s="72"/>
      <c r="G477" s="111"/>
      <c r="H477" s="111"/>
    </row>
    <row r="478" spans="5:8" x14ac:dyDescent="0.25">
      <c r="E478" s="72"/>
      <c r="F478" s="72"/>
      <c r="G478" s="111"/>
      <c r="H478" s="111"/>
    </row>
    <row r="479" spans="5:8" x14ac:dyDescent="0.25">
      <c r="E479" s="72"/>
      <c r="F479" s="72"/>
      <c r="G479" s="111"/>
      <c r="H479" s="111"/>
    </row>
    <row r="480" spans="5:8" x14ac:dyDescent="0.25">
      <c r="E480" s="72"/>
      <c r="F480" s="72"/>
      <c r="G480" s="111"/>
      <c r="H480" s="111"/>
    </row>
    <row r="481" spans="5:8" x14ac:dyDescent="0.25">
      <c r="E481" s="72"/>
      <c r="F481" s="72"/>
      <c r="G481" s="111"/>
      <c r="H481" s="111"/>
    </row>
    <row r="482" spans="5:8" x14ac:dyDescent="0.25">
      <c r="E482" s="72"/>
      <c r="F482" s="72"/>
      <c r="G482" s="111"/>
      <c r="H482" s="111"/>
    </row>
    <row r="483" spans="5:8" x14ac:dyDescent="0.25">
      <c r="E483" s="72"/>
      <c r="F483" s="72"/>
      <c r="G483" s="111"/>
      <c r="H483" s="111"/>
    </row>
    <row r="484" spans="5:8" x14ac:dyDescent="0.25">
      <c r="E484" s="72"/>
      <c r="F484" s="72"/>
      <c r="G484" s="111"/>
      <c r="H484" s="111"/>
    </row>
    <row r="485" spans="5:8" x14ac:dyDescent="0.25">
      <c r="E485" s="72"/>
      <c r="F485" s="72"/>
      <c r="G485" s="111"/>
      <c r="H485" s="111"/>
    </row>
    <row r="486" spans="5:8" x14ac:dyDescent="0.25">
      <c r="E486" s="72"/>
      <c r="F486" s="72"/>
      <c r="G486" s="111"/>
      <c r="H486" s="111"/>
    </row>
    <row r="487" spans="5:8" x14ac:dyDescent="0.25">
      <c r="E487" s="72"/>
      <c r="F487" s="72"/>
      <c r="G487" s="111"/>
      <c r="H487" s="111"/>
    </row>
    <row r="488" spans="5:8" x14ac:dyDescent="0.25">
      <c r="E488" s="72"/>
      <c r="F488" s="72"/>
      <c r="G488" s="111"/>
      <c r="H488" s="111"/>
    </row>
    <row r="489" spans="5:8" x14ac:dyDescent="0.25">
      <c r="E489" s="72"/>
      <c r="F489" s="72"/>
      <c r="G489" s="111"/>
      <c r="H489" s="111"/>
    </row>
    <row r="490" spans="5:8" x14ac:dyDescent="0.25">
      <c r="E490" s="72"/>
      <c r="F490" s="72"/>
      <c r="G490" s="111"/>
      <c r="H490" s="111"/>
    </row>
    <row r="491" spans="5:8" x14ac:dyDescent="0.25">
      <c r="E491" s="72"/>
      <c r="F491" s="72"/>
      <c r="G491" s="111"/>
      <c r="H491" s="111"/>
    </row>
    <row r="492" spans="5:8" x14ac:dyDescent="0.25">
      <c r="E492" s="72"/>
      <c r="F492" s="72"/>
      <c r="G492" s="111"/>
      <c r="H492" s="111"/>
    </row>
    <row r="493" spans="5:8" x14ac:dyDescent="0.25">
      <c r="E493" s="72"/>
      <c r="F493" s="72"/>
      <c r="G493" s="111"/>
      <c r="H493" s="111"/>
    </row>
    <row r="494" spans="5:8" x14ac:dyDescent="0.25">
      <c r="E494" s="72"/>
      <c r="F494" s="72"/>
      <c r="G494" s="111"/>
      <c r="H494" s="111"/>
    </row>
    <row r="495" spans="5:8" x14ac:dyDescent="0.25">
      <c r="E495" s="72"/>
      <c r="F495" s="72"/>
      <c r="G495" s="111"/>
      <c r="H495" s="111"/>
    </row>
    <row r="496" spans="5:8" x14ac:dyDescent="0.25">
      <c r="E496" s="72"/>
      <c r="F496" s="72"/>
      <c r="G496" s="111"/>
      <c r="H496" s="111"/>
    </row>
    <row r="497" spans="5:8" x14ac:dyDescent="0.25">
      <c r="E497" s="72"/>
      <c r="F497" s="72"/>
      <c r="G497" s="111"/>
      <c r="H497" s="111"/>
    </row>
    <row r="498" spans="5:8" x14ac:dyDescent="0.25">
      <c r="E498" s="72"/>
      <c r="F498" s="72"/>
      <c r="G498" s="111"/>
      <c r="H498" s="111"/>
    </row>
    <row r="499" spans="5:8" x14ac:dyDescent="0.25">
      <c r="E499" s="72"/>
      <c r="F499" s="72"/>
      <c r="G499" s="111"/>
      <c r="H499" s="111"/>
    </row>
    <row r="500" spans="5:8" x14ac:dyDescent="0.25">
      <c r="E500" s="72"/>
      <c r="F500" s="72"/>
      <c r="G500" s="111"/>
      <c r="H500" s="111"/>
    </row>
    <row r="501" spans="5:8" x14ac:dyDescent="0.25">
      <c r="E501" s="72"/>
      <c r="F501" s="72"/>
      <c r="G501" s="111"/>
      <c r="H501" s="111"/>
    </row>
    <row r="502" spans="5:8" x14ac:dyDescent="0.25">
      <c r="E502" s="72"/>
      <c r="F502" s="72"/>
      <c r="G502" s="111"/>
      <c r="H502" s="111"/>
    </row>
    <row r="503" spans="5:8" x14ac:dyDescent="0.25">
      <c r="E503" s="72"/>
      <c r="F503" s="72"/>
      <c r="G503" s="111"/>
      <c r="H503" s="111"/>
    </row>
    <row r="504" spans="5:8" x14ac:dyDescent="0.25">
      <c r="E504" s="72"/>
      <c r="F504" s="72"/>
      <c r="G504" s="111"/>
      <c r="H504" s="111"/>
    </row>
    <row r="505" spans="5:8" x14ac:dyDescent="0.25">
      <c r="E505" s="72"/>
      <c r="F505" s="72"/>
      <c r="G505" s="111"/>
      <c r="H505" s="111"/>
    </row>
    <row r="506" spans="5:8" x14ac:dyDescent="0.25">
      <c r="E506" s="72"/>
      <c r="F506" s="72"/>
      <c r="G506" s="111"/>
      <c r="H506" s="111"/>
    </row>
    <row r="507" spans="5:8" x14ac:dyDescent="0.25">
      <c r="E507" s="72"/>
      <c r="F507" s="72"/>
      <c r="G507" s="111"/>
      <c r="H507" s="111"/>
    </row>
    <row r="508" spans="5:8" x14ac:dyDescent="0.25">
      <c r="E508" s="72"/>
      <c r="F508" s="72"/>
      <c r="G508" s="111"/>
      <c r="H508" s="111"/>
    </row>
    <row r="509" spans="5:8" x14ac:dyDescent="0.25">
      <c r="E509" s="72"/>
      <c r="F509" s="72"/>
      <c r="G509" s="111"/>
      <c r="H509" s="111"/>
    </row>
    <row r="510" spans="5:8" x14ac:dyDescent="0.25">
      <c r="E510" s="72"/>
      <c r="F510" s="72"/>
      <c r="G510" s="111"/>
      <c r="H510" s="111"/>
    </row>
    <row r="511" spans="5:8" x14ac:dyDescent="0.25">
      <c r="E511" s="72"/>
      <c r="F511" s="72"/>
      <c r="G511" s="111"/>
      <c r="H511" s="111"/>
    </row>
    <row r="512" spans="5:8" x14ac:dyDescent="0.25">
      <c r="E512" s="72"/>
      <c r="F512" s="72"/>
      <c r="G512" s="111"/>
      <c r="H512" s="111"/>
    </row>
    <row r="513" spans="5:8" x14ac:dyDescent="0.25">
      <c r="E513" s="72"/>
      <c r="F513" s="72"/>
      <c r="G513" s="111"/>
      <c r="H513" s="111"/>
    </row>
    <row r="514" spans="5:8" x14ac:dyDescent="0.25">
      <c r="E514" s="72"/>
      <c r="F514" s="72"/>
      <c r="G514" s="111"/>
      <c r="H514" s="111"/>
    </row>
    <row r="515" spans="5:8" x14ac:dyDescent="0.25">
      <c r="E515" s="72"/>
      <c r="F515" s="72"/>
      <c r="G515" s="111"/>
      <c r="H515" s="111"/>
    </row>
    <row r="516" spans="5:8" x14ac:dyDescent="0.25">
      <c r="E516" s="72"/>
      <c r="F516" s="72"/>
      <c r="G516" s="111"/>
      <c r="H516" s="111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10">
    <tabColor rgb="FFFF8080"/>
  </sheetPr>
  <dimension ref="A1:W633"/>
  <sheetViews>
    <sheetView showGridLines="0" zoomScale="85" workbookViewId="0">
      <pane ySplit="1" topLeftCell="A250" activePane="bottomLeft" state="frozen"/>
      <selection activeCell="B3" sqref="B3"/>
      <selection pane="bottomLeft" activeCell="T257" sqref="T257"/>
    </sheetView>
  </sheetViews>
  <sheetFormatPr defaultColWidth="11.453125" defaultRowHeight="12.5" x14ac:dyDescent="0.25"/>
  <cols>
    <col min="1" max="1" width="10.26953125" style="30" customWidth="1"/>
    <col min="2" max="2" width="13.26953125" style="30" bestFit="1" customWidth="1"/>
    <col min="3" max="3" width="10.26953125" style="30" customWidth="1"/>
    <col min="4" max="4" width="20.453125" style="30" bestFit="1" customWidth="1"/>
    <col min="5" max="5" width="9.54296875" style="30" customWidth="1"/>
    <col min="6" max="6" width="14.54296875" style="30" bestFit="1" customWidth="1"/>
    <col min="7" max="7" width="12.453125" style="30" customWidth="1"/>
    <col min="8" max="8" width="5.26953125" style="30" customWidth="1"/>
    <col min="9" max="9" width="7" style="30" customWidth="1"/>
    <col min="10" max="10" width="9.54296875" style="30" customWidth="1"/>
    <col min="11" max="11" width="8.26953125" style="30" bestFit="1" customWidth="1"/>
    <col min="12" max="12" width="9.453125" style="30" customWidth="1"/>
    <col min="13" max="13" width="16.54296875" style="30" bestFit="1" customWidth="1"/>
    <col min="14" max="14" width="14.81640625" style="30" bestFit="1" customWidth="1"/>
    <col min="15" max="15" width="9.453125" style="30" customWidth="1"/>
    <col min="16" max="16" width="5.1796875" style="30" bestFit="1" customWidth="1"/>
    <col min="17" max="17" width="12.26953125" style="30" bestFit="1" customWidth="1"/>
    <col min="18" max="18" width="5.81640625" style="30" customWidth="1"/>
    <col min="19" max="19" width="25.26953125" style="30" bestFit="1" customWidth="1"/>
    <col min="20" max="16384" width="11.453125" style="30"/>
  </cols>
  <sheetData>
    <row r="1" spans="1:20" ht="13" x14ac:dyDescent="0.3">
      <c r="A1" s="136" t="s">
        <v>320</v>
      </c>
      <c r="B1" s="120" t="s">
        <v>322</v>
      </c>
      <c r="C1" s="120" t="s">
        <v>324</v>
      </c>
      <c r="D1" s="31" t="s">
        <v>326</v>
      </c>
      <c r="E1" s="120">
        <v>196038</v>
      </c>
      <c r="F1" s="120" t="s">
        <v>330</v>
      </c>
      <c r="G1" s="137" t="s">
        <v>332</v>
      </c>
      <c r="H1" s="120" t="s">
        <v>194</v>
      </c>
      <c r="I1" s="120" t="s">
        <v>193</v>
      </c>
      <c r="J1" s="120" t="s">
        <v>192</v>
      </c>
      <c r="K1" s="120" t="s">
        <v>480</v>
      </c>
      <c r="L1" s="120" t="s">
        <v>481</v>
      </c>
      <c r="M1" s="120" t="str">
        <f>"Roll Sales "&amp;LeadTime&amp;" days"</f>
        <v>Roll Sales 5 days</v>
      </c>
      <c r="N1" s="120" t="s">
        <v>482</v>
      </c>
      <c r="O1" s="120" t="s">
        <v>483</v>
      </c>
      <c r="P1" s="120" t="s">
        <v>446</v>
      </c>
      <c r="Q1" s="120" t="s">
        <v>484</v>
      </c>
      <c r="S1" s="120" t="s">
        <v>485</v>
      </c>
      <c r="T1" s="30">
        <v>249</v>
      </c>
    </row>
    <row r="2" spans="1:20" x14ac:dyDescent="0.25">
      <c r="A2" s="138">
        <v>41800</v>
      </c>
      <c r="B2" s="32"/>
      <c r="C2" s="32"/>
      <c r="E2" s="32"/>
      <c r="F2" s="32">
        <f t="shared" ref="F2:F65" si="0">ActCov</f>
        <v>0</v>
      </c>
      <c r="G2" s="30" t="str">
        <f ca="1">IF(A2&gt;TODAY(),"Requirements","History")</f>
        <v>History</v>
      </c>
      <c r="H2" s="30">
        <f>YEAR(A2)</f>
        <v>2014</v>
      </c>
      <c r="I2" s="30">
        <f>MONTH(A2)</f>
        <v>6</v>
      </c>
      <c r="J2" s="30">
        <f t="shared" ref="J2:J65" si="1">IF(WEEKDAY(DATE(YEAR(A2),1,1),2)&gt;4,WEEKNUM(A2,2)-1,WEEKNUM(A2,2))</f>
        <v>24</v>
      </c>
      <c r="K2" s="30">
        <v>1</v>
      </c>
      <c r="L2" s="30">
        <f ca="1">SUM(K2:OFFSET(RngToDay,ROWS(Dates),10))</f>
        <v>499</v>
      </c>
      <c r="O2" s="30">
        <v>2</v>
      </c>
      <c r="P2" s="32"/>
      <c r="Q2" s="32"/>
      <c r="S2" s="30" t="s">
        <v>486</v>
      </c>
      <c r="T2" s="30">
        <v>0</v>
      </c>
    </row>
    <row r="3" spans="1:20" x14ac:dyDescent="0.25">
      <c r="A3" s="138">
        <v>41796</v>
      </c>
      <c r="B3" s="32"/>
      <c r="C3" s="32"/>
      <c r="E3" s="32"/>
      <c r="F3" s="32">
        <f t="shared" si="0"/>
        <v>0</v>
      </c>
      <c r="G3" s="30" t="str">
        <f t="shared" ref="G3:G66" ca="1" si="2">IF(A3&gt;TODAY(),"Requirements","History")</f>
        <v>History</v>
      </c>
      <c r="H3" s="30">
        <f t="shared" ref="H3:H66" si="3">YEAR(A3)</f>
        <v>2014</v>
      </c>
      <c r="I3" s="30">
        <f t="shared" ref="I3:I66" si="4">MONTH(A3)</f>
        <v>6</v>
      </c>
      <c r="J3" s="30">
        <f t="shared" si="1"/>
        <v>23</v>
      </c>
      <c r="K3" s="30">
        <v>1</v>
      </c>
      <c r="L3" s="30">
        <f ca="1">SUM(K3:OFFSET(RngToDay,ROWS(Dates),10))</f>
        <v>498</v>
      </c>
      <c r="O3" s="30">
        <f>O2+1</f>
        <v>3</v>
      </c>
      <c r="P3" s="32"/>
      <c r="Q3" s="32"/>
    </row>
    <row r="4" spans="1:20" x14ac:dyDescent="0.25">
      <c r="A4" s="138">
        <v>41795</v>
      </c>
      <c r="B4" s="32"/>
      <c r="C4" s="32"/>
      <c r="E4" s="32"/>
      <c r="F4" s="32">
        <f t="shared" si="0"/>
        <v>0</v>
      </c>
      <c r="G4" s="30" t="str">
        <f t="shared" ca="1" si="2"/>
        <v>History</v>
      </c>
      <c r="H4" s="30">
        <f t="shared" si="3"/>
        <v>2014</v>
      </c>
      <c r="I4" s="30">
        <f t="shared" si="4"/>
        <v>6</v>
      </c>
      <c r="J4" s="30">
        <f t="shared" si="1"/>
        <v>23</v>
      </c>
      <c r="K4" s="30">
        <v>1</v>
      </c>
      <c r="L4" s="30">
        <f ca="1">SUM(K4:OFFSET(RngToDay,ROWS(Dates),10))</f>
        <v>497</v>
      </c>
      <c r="O4" s="30">
        <f t="shared" ref="O4:O67" si="5">O3+1</f>
        <v>4</v>
      </c>
      <c r="P4" s="32"/>
      <c r="Q4" s="32"/>
    </row>
    <row r="5" spans="1:20" x14ac:dyDescent="0.25">
      <c r="A5" s="138">
        <v>41794</v>
      </c>
      <c r="B5" s="32"/>
      <c r="C5" s="32"/>
      <c r="E5" s="32"/>
      <c r="F5" s="32">
        <f t="shared" si="0"/>
        <v>0</v>
      </c>
      <c r="G5" s="30" t="str">
        <f t="shared" ca="1" si="2"/>
        <v>History</v>
      </c>
      <c r="H5" s="30">
        <f t="shared" si="3"/>
        <v>2014</v>
      </c>
      <c r="I5" s="30">
        <f t="shared" si="4"/>
        <v>6</v>
      </c>
      <c r="J5" s="30">
        <f t="shared" si="1"/>
        <v>23</v>
      </c>
      <c r="K5" s="30">
        <v>1</v>
      </c>
      <c r="L5" s="30">
        <f ca="1">SUM(K5:OFFSET(RngToDay,ROWS(Dates),10))</f>
        <v>496</v>
      </c>
      <c r="O5" s="30">
        <f t="shared" si="5"/>
        <v>5</v>
      </c>
      <c r="P5" s="32"/>
      <c r="Q5" s="32"/>
    </row>
    <row r="6" spans="1:20" x14ac:dyDescent="0.25">
      <c r="A6" s="138">
        <v>41793</v>
      </c>
      <c r="B6" s="32"/>
      <c r="C6" s="32"/>
      <c r="E6" s="32"/>
      <c r="F6" s="32">
        <f t="shared" si="0"/>
        <v>0</v>
      </c>
      <c r="G6" s="30" t="str">
        <f t="shared" ca="1" si="2"/>
        <v>History</v>
      </c>
      <c r="H6" s="30">
        <f t="shared" si="3"/>
        <v>2014</v>
      </c>
      <c r="I6" s="30">
        <f t="shared" si="4"/>
        <v>6</v>
      </c>
      <c r="J6" s="30">
        <f t="shared" si="1"/>
        <v>23</v>
      </c>
      <c r="K6" s="30">
        <v>1</v>
      </c>
      <c r="L6" s="30">
        <f ca="1">SUM(K6:OFFSET(RngToDay,ROWS(Dates),10))</f>
        <v>495</v>
      </c>
      <c r="O6" s="30">
        <f t="shared" si="5"/>
        <v>6</v>
      </c>
      <c r="P6" s="32"/>
      <c r="Q6" s="32"/>
    </row>
    <row r="7" spans="1:20" x14ac:dyDescent="0.25">
      <c r="A7" s="138">
        <v>41792</v>
      </c>
      <c r="B7" s="32"/>
      <c r="C7" s="32"/>
      <c r="E7" s="32"/>
      <c r="F7" s="32">
        <f t="shared" si="0"/>
        <v>0</v>
      </c>
      <c r="G7" s="30" t="str">
        <f t="shared" ca="1" si="2"/>
        <v>History</v>
      </c>
      <c r="H7" s="30">
        <f t="shared" si="3"/>
        <v>2014</v>
      </c>
      <c r="I7" s="30">
        <f t="shared" si="4"/>
        <v>6</v>
      </c>
      <c r="J7" s="30">
        <f t="shared" si="1"/>
        <v>23</v>
      </c>
      <c r="K7" s="30">
        <v>1</v>
      </c>
      <c r="L7" s="30">
        <f ca="1">SUM(K7:OFFSET(RngToDay,ROWS(Dates),10))</f>
        <v>494</v>
      </c>
      <c r="O7" s="30">
        <f t="shared" si="5"/>
        <v>7</v>
      </c>
      <c r="P7" s="32"/>
      <c r="Q7" s="32"/>
    </row>
    <row r="8" spans="1:20" x14ac:dyDescent="0.25">
      <c r="A8" s="138">
        <v>41789</v>
      </c>
      <c r="B8" s="32"/>
      <c r="C8" s="32"/>
      <c r="E8" s="32"/>
      <c r="F8" s="32">
        <f t="shared" si="0"/>
        <v>0</v>
      </c>
      <c r="G8" s="30" t="str">
        <f t="shared" ca="1" si="2"/>
        <v>History</v>
      </c>
      <c r="H8" s="30">
        <f t="shared" si="3"/>
        <v>2014</v>
      </c>
      <c r="I8" s="30">
        <f t="shared" si="4"/>
        <v>5</v>
      </c>
      <c r="J8" s="30">
        <f t="shared" si="1"/>
        <v>22</v>
      </c>
      <c r="K8" s="30">
        <v>1</v>
      </c>
      <c r="L8" s="30">
        <f ca="1">SUM(K8:OFFSET(RngToDay,ROWS(Dates),10))</f>
        <v>493</v>
      </c>
      <c r="O8" s="30">
        <f t="shared" si="5"/>
        <v>8</v>
      </c>
      <c r="P8" s="32"/>
      <c r="Q8" s="32"/>
    </row>
    <row r="9" spans="1:20" x14ac:dyDescent="0.25">
      <c r="A9" s="138">
        <v>41787</v>
      </c>
      <c r="B9" s="32"/>
      <c r="C9" s="32"/>
      <c r="E9" s="32"/>
      <c r="F9" s="32">
        <f t="shared" si="0"/>
        <v>0</v>
      </c>
      <c r="G9" s="30" t="str">
        <f t="shared" ca="1" si="2"/>
        <v>History</v>
      </c>
      <c r="H9" s="30">
        <f t="shared" si="3"/>
        <v>2014</v>
      </c>
      <c r="I9" s="30">
        <f t="shared" si="4"/>
        <v>5</v>
      </c>
      <c r="J9" s="30">
        <f t="shared" si="1"/>
        <v>22</v>
      </c>
      <c r="K9" s="30">
        <v>1</v>
      </c>
      <c r="L9" s="30">
        <f ca="1">SUM(K9:OFFSET(RngToDay,ROWS(Dates),10))</f>
        <v>492</v>
      </c>
      <c r="O9" s="30">
        <f t="shared" si="5"/>
        <v>9</v>
      </c>
      <c r="P9" s="32"/>
      <c r="Q9" s="32"/>
    </row>
    <row r="10" spans="1:20" x14ac:dyDescent="0.25">
      <c r="A10" s="138">
        <v>41786</v>
      </c>
      <c r="B10" s="32"/>
      <c r="C10" s="32"/>
      <c r="E10" s="32"/>
      <c r="F10" s="32">
        <f t="shared" si="0"/>
        <v>0</v>
      </c>
      <c r="G10" s="30" t="str">
        <f t="shared" ca="1" si="2"/>
        <v>History</v>
      </c>
      <c r="H10" s="30">
        <f t="shared" si="3"/>
        <v>2014</v>
      </c>
      <c r="I10" s="30">
        <f t="shared" si="4"/>
        <v>5</v>
      </c>
      <c r="J10" s="30">
        <f t="shared" si="1"/>
        <v>22</v>
      </c>
      <c r="K10" s="30">
        <v>1</v>
      </c>
      <c r="L10" s="30">
        <f ca="1">SUM(K10:OFFSET(RngToDay,ROWS(Dates),10))</f>
        <v>491</v>
      </c>
      <c r="O10" s="30">
        <f t="shared" si="5"/>
        <v>10</v>
      </c>
      <c r="P10" s="32"/>
      <c r="Q10" s="32"/>
    </row>
    <row r="11" spans="1:20" x14ac:dyDescent="0.25">
      <c r="A11" s="138">
        <v>41785</v>
      </c>
      <c r="B11" s="32"/>
      <c r="C11" s="32"/>
      <c r="E11" s="32"/>
      <c r="F11" s="32">
        <f t="shared" si="0"/>
        <v>0</v>
      </c>
      <c r="G11" s="30" t="str">
        <f t="shared" ca="1" si="2"/>
        <v>History</v>
      </c>
      <c r="H11" s="30">
        <f t="shared" si="3"/>
        <v>2014</v>
      </c>
      <c r="I11" s="30">
        <f t="shared" si="4"/>
        <v>5</v>
      </c>
      <c r="J11" s="30">
        <f t="shared" si="1"/>
        <v>22</v>
      </c>
      <c r="K11" s="30">
        <v>1</v>
      </c>
      <c r="L11" s="30">
        <f ca="1">SUM(K11:OFFSET(RngToDay,ROWS(Dates),10))</f>
        <v>490</v>
      </c>
      <c r="O11" s="30">
        <f t="shared" si="5"/>
        <v>11</v>
      </c>
      <c r="P11" s="32"/>
      <c r="Q11" s="32"/>
    </row>
    <row r="12" spans="1:20" x14ac:dyDescent="0.25">
      <c r="A12" s="138">
        <v>41782</v>
      </c>
      <c r="B12" s="32"/>
      <c r="C12" s="32"/>
      <c r="E12" s="32"/>
      <c r="F12" s="32">
        <f t="shared" si="0"/>
        <v>0</v>
      </c>
      <c r="G12" s="30" t="str">
        <f t="shared" ca="1" si="2"/>
        <v>History</v>
      </c>
      <c r="H12" s="30">
        <f t="shared" si="3"/>
        <v>2014</v>
      </c>
      <c r="I12" s="30">
        <f t="shared" si="4"/>
        <v>5</v>
      </c>
      <c r="J12" s="30">
        <f t="shared" si="1"/>
        <v>21</v>
      </c>
      <c r="K12" s="30">
        <v>1</v>
      </c>
      <c r="L12" s="30">
        <f ca="1">SUM(K12:OFFSET(RngToDay,ROWS(Dates),10))</f>
        <v>489</v>
      </c>
      <c r="O12" s="30">
        <f t="shared" si="5"/>
        <v>12</v>
      </c>
      <c r="P12" s="32"/>
      <c r="Q12" s="32"/>
    </row>
    <row r="13" spans="1:20" x14ac:dyDescent="0.25">
      <c r="A13" s="138">
        <v>41781</v>
      </c>
      <c r="B13" s="32"/>
      <c r="C13" s="32"/>
      <c r="E13" s="32"/>
      <c r="F13" s="32">
        <f t="shared" si="0"/>
        <v>0</v>
      </c>
      <c r="G13" s="30" t="str">
        <f t="shared" ca="1" si="2"/>
        <v>History</v>
      </c>
      <c r="H13" s="30">
        <f t="shared" si="3"/>
        <v>2014</v>
      </c>
      <c r="I13" s="30">
        <f t="shared" si="4"/>
        <v>5</v>
      </c>
      <c r="J13" s="30">
        <f t="shared" si="1"/>
        <v>21</v>
      </c>
      <c r="K13" s="30">
        <v>1</v>
      </c>
      <c r="L13" s="30">
        <f ca="1">SUM(K13:OFFSET(RngToDay,ROWS(Dates),10))</f>
        <v>488</v>
      </c>
      <c r="O13" s="30">
        <f t="shared" si="5"/>
        <v>13</v>
      </c>
      <c r="P13" s="32"/>
      <c r="Q13" s="32"/>
    </row>
    <row r="14" spans="1:20" x14ac:dyDescent="0.25">
      <c r="A14" s="138">
        <v>41780</v>
      </c>
      <c r="B14" s="32"/>
      <c r="C14" s="32"/>
      <c r="E14" s="32"/>
      <c r="F14" s="32">
        <f t="shared" si="0"/>
        <v>0</v>
      </c>
      <c r="G14" s="30" t="str">
        <f t="shared" ca="1" si="2"/>
        <v>History</v>
      </c>
      <c r="H14" s="30">
        <f t="shared" si="3"/>
        <v>2014</v>
      </c>
      <c r="I14" s="30">
        <f t="shared" si="4"/>
        <v>5</v>
      </c>
      <c r="J14" s="30">
        <f t="shared" si="1"/>
        <v>21</v>
      </c>
      <c r="K14" s="30">
        <v>1</v>
      </c>
      <c r="L14" s="30">
        <f ca="1">SUM(K14:OFFSET(RngToDay,ROWS(Dates),10))</f>
        <v>487</v>
      </c>
      <c r="O14" s="30">
        <f t="shared" si="5"/>
        <v>14</v>
      </c>
      <c r="P14" s="32"/>
      <c r="Q14" s="32"/>
    </row>
    <row r="15" spans="1:20" x14ac:dyDescent="0.25">
      <c r="A15" s="138">
        <v>41779</v>
      </c>
      <c r="B15" s="32"/>
      <c r="C15" s="32"/>
      <c r="E15" s="32"/>
      <c r="F15" s="32">
        <f t="shared" si="0"/>
        <v>0</v>
      </c>
      <c r="G15" s="30" t="str">
        <f t="shared" ca="1" si="2"/>
        <v>History</v>
      </c>
      <c r="H15" s="30">
        <f t="shared" si="3"/>
        <v>2014</v>
      </c>
      <c r="I15" s="30">
        <f t="shared" si="4"/>
        <v>5</v>
      </c>
      <c r="J15" s="30">
        <f t="shared" si="1"/>
        <v>21</v>
      </c>
      <c r="K15" s="30">
        <v>1</v>
      </c>
      <c r="L15" s="30">
        <f ca="1">SUM(K15:OFFSET(RngToDay,ROWS(Dates),10))</f>
        <v>486</v>
      </c>
      <c r="O15" s="30">
        <f t="shared" si="5"/>
        <v>15</v>
      </c>
      <c r="P15" s="32"/>
      <c r="Q15" s="32"/>
    </row>
    <row r="16" spans="1:20" x14ac:dyDescent="0.25">
      <c r="A16" s="138">
        <v>41778</v>
      </c>
      <c r="B16" s="32"/>
      <c r="C16" s="32"/>
      <c r="E16" s="32"/>
      <c r="F16" s="32">
        <f t="shared" si="0"/>
        <v>0</v>
      </c>
      <c r="G16" s="30" t="str">
        <f t="shared" ca="1" si="2"/>
        <v>History</v>
      </c>
      <c r="H16" s="30">
        <f t="shared" si="3"/>
        <v>2014</v>
      </c>
      <c r="I16" s="30">
        <f t="shared" si="4"/>
        <v>5</v>
      </c>
      <c r="J16" s="30">
        <f t="shared" si="1"/>
        <v>21</v>
      </c>
      <c r="K16" s="30">
        <v>1</v>
      </c>
      <c r="L16" s="30">
        <f ca="1">SUM(K16:OFFSET(RngToDay,ROWS(Dates),10))</f>
        <v>485</v>
      </c>
      <c r="O16" s="30">
        <f t="shared" si="5"/>
        <v>16</v>
      </c>
      <c r="P16" s="32"/>
      <c r="Q16" s="32"/>
    </row>
    <row r="17" spans="1:17" x14ac:dyDescent="0.25">
      <c r="A17" s="138">
        <v>41775</v>
      </c>
      <c r="B17" s="32"/>
      <c r="C17" s="32"/>
      <c r="E17" s="32"/>
      <c r="F17" s="32">
        <f t="shared" si="0"/>
        <v>0</v>
      </c>
      <c r="G17" s="30" t="str">
        <f t="shared" ca="1" si="2"/>
        <v>History</v>
      </c>
      <c r="H17" s="30">
        <f t="shared" si="3"/>
        <v>2014</v>
      </c>
      <c r="I17" s="30">
        <f t="shared" si="4"/>
        <v>5</v>
      </c>
      <c r="J17" s="30">
        <f t="shared" si="1"/>
        <v>20</v>
      </c>
      <c r="K17" s="30">
        <v>1</v>
      </c>
      <c r="L17" s="30">
        <f ca="1">SUM(K17:OFFSET(RngToDay,ROWS(Dates),10))</f>
        <v>484</v>
      </c>
      <c r="O17" s="30">
        <f t="shared" si="5"/>
        <v>17</v>
      </c>
      <c r="P17" s="32"/>
      <c r="Q17" s="32"/>
    </row>
    <row r="18" spans="1:17" x14ac:dyDescent="0.25">
      <c r="A18" s="138">
        <v>41774</v>
      </c>
      <c r="B18" s="32"/>
      <c r="C18" s="32"/>
      <c r="E18" s="32"/>
      <c r="F18" s="32">
        <f t="shared" si="0"/>
        <v>0</v>
      </c>
      <c r="G18" s="30" t="str">
        <f t="shared" ca="1" si="2"/>
        <v>History</v>
      </c>
      <c r="H18" s="30">
        <f t="shared" si="3"/>
        <v>2014</v>
      </c>
      <c r="I18" s="30">
        <f t="shared" si="4"/>
        <v>5</v>
      </c>
      <c r="J18" s="30">
        <f t="shared" si="1"/>
        <v>20</v>
      </c>
      <c r="K18" s="30">
        <v>1</v>
      </c>
      <c r="L18" s="30">
        <f ca="1">SUM(K18:OFFSET(RngToDay,ROWS(Dates),10))</f>
        <v>483</v>
      </c>
      <c r="O18" s="30">
        <f t="shared" si="5"/>
        <v>18</v>
      </c>
      <c r="P18" s="32"/>
      <c r="Q18" s="32"/>
    </row>
    <row r="19" spans="1:17" x14ac:dyDescent="0.25">
      <c r="A19" s="138">
        <v>41773</v>
      </c>
      <c r="B19" s="32"/>
      <c r="C19" s="32"/>
      <c r="E19" s="32"/>
      <c r="F19" s="32">
        <f t="shared" si="0"/>
        <v>0</v>
      </c>
      <c r="G19" s="30" t="str">
        <f t="shared" ca="1" si="2"/>
        <v>History</v>
      </c>
      <c r="H19" s="30">
        <f t="shared" si="3"/>
        <v>2014</v>
      </c>
      <c r="I19" s="30">
        <f t="shared" si="4"/>
        <v>5</v>
      </c>
      <c r="J19" s="30">
        <f t="shared" si="1"/>
        <v>20</v>
      </c>
      <c r="K19" s="30">
        <v>1</v>
      </c>
      <c r="L19" s="30">
        <f ca="1">SUM(K19:OFFSET(RngToDay,ROWS(Dates),10))</f>
        <v>482</v>
      </c>
      <c r="O19" s="30">
        <f t="shared" si="5"/>
        <v>19</v>
      </c>
      <c r="P19" s="32"/>
      <c r="Q19" s="32"/>
    </row>
    <row r="20" spans="1:17" x14ac:dyDescent="0.25">
      <c r="A20" s="138">
        <v>41772</v>
      </c>
      <c r="B20" s="32"/>
      <c r="C20" s="32"/>
      <c r="E20" s="32"/>
      <c r="F20" s="32">
        <f t="shared" si="0"/>
        <v>0</v>
      </c>
      <c r="G20" s="30" t="str">
        <f t="shared" ca="1" si="2"/>
        <v>History</v>
      </c>
      <c r="H20" s="30">
        <f t="shared" si="3"/>
        <v>2014</v>
      </c>
      <c r="I20" s="30">
        <f t="shared" si="4"/>
        <v>5</v>
      </c>
      <c r="J20" s="30">
        <f t="shared" si="1"/>
        <v>20</v>
      </c>
      <c r="K20" s="30">
        <v>1</v>
      </c>
      <c r="L20" s="30">
        <f ca="1">SUM(K20:OFFSET(RngToDay,ROWS(Dates),10))</f>
        <v>481</v>
      </c>
      <c r="O20" s="30">
        <f t="shared" si="5"/>
        <v>20</v>
      </c>
      <c r="P20" s="32"/>
      <c r="Q20" s="32"/>
    </row>
    <row r="21" spans="1:17" x14ac:dyDescent="0.25">
      <c r="A21" s="138">
        <v>41771</v>
      </c>
      <c r="B21" s="32"/>
      <c r="C21" s="32"/>
      <c r="E21" s="32"/>
      <c r="F21" s="32">
        <f t="shared" si="0"/>
        <v>0</v>
      </c>
      <c r="G21" s="30" t="str">
        <f t="shared" ca="1" si="2"/>
        <v>History</v>
      </c>
      <c r="H21" s="30">
        <f t="shared" si="3"/>
        <v>2014</v>
      </c>
      <c r="I21" s="30">
        <f t="shared" si="4"/>
        <v>5</v>
      </c>
      <c r="J21" s="30">
        <f t="shared" si="1"/>
        <v>20</v>
      </c>
      <c r="K21" s="30">
        <v>1</v>
      </c>
      <c r="L21" s="30">
        <f ca="1">SUM(K21:OFFSET(RngToDay,ROWS(Dates),10))</f>
        <v>480</v>
      </c>
      <c r="O21" s="30">
        <f t="shared" si="5"/>
        <v>21</v>
      </c>
      <c r="P21" s="32"/>
      <c r="Q21" s="32"/>
    </row>
    <row r="22" spans="1:17" x14ac:dyDescent="0.25">
      <c r="A22" s="138">
        <v>41768</v>
      </c>
      <c r="B22" s="32"/>
      <c r="C22" s="32"/>
      <c r="E22" s="32"/>
      <c r="F22" s="32">
        <f t="shared" si="0"/>
        <v>0</v>
      </c>
      <c r="G22" s="30" t="str">
        <f t="shared" ca="1" si="2"/>
        <v>History</v>
      </c>
      <c r="H22" s="30">
        <f t="shared" si="3"/>
        <v>2014</v>
      </c>
      <c r="I22" s="30">
        <f t="shared" si="4"/>
        <v>5</v>
      </c>
      <c r="J22" s="30">
        <f t="shared" si="1"/>
        <v>19</v>
      </c>
      <c r="K22" s="30">
        <v>1</v>
      </c>
      <c r="L22" s="30">
        <f ca="1">SUM(K22:OFFSET(RngToDay,ROWS(Dates),10))</f>
        <v>479</v>
      </c>
      <c r="O22" s="30">
        <f t="shared" si="5"/>
        <v>22</v>
      </c>
      <c r="P22" s="32"/>
      <c r="Q22" s="32"/>
    </row>
    <row r="23" spans="1:17" x14ac:dyDescent="0.25">
      <c r="A23" s="138">
        <v>41767</v>
      </c>
      <c r="B23" s="32"/>
      <c r="C23" s="32"/>
      <c r="E23" s="32"/>
      <c r="F23" s="32">
        <f t="shared" si="0"/>
        <v>0</v>
      </c>
      <c r="G23" s="30" t="str">
        <f t="shared" ca="1" si="2"/>
        <v>History</v>
      </c>
      <c r="H23" s="30">
        <f t="shared" si="3"/>
        <v>2014</v>
      </c>
      <c r="I23" s="30">
        <f t="shared" si="4"/>
        <v>5</v>
      </c>
      <c r="J23" s="30">
        <f t="shared" si="1"/>
        <v>19</v>
      </c>
      <c r="K23" s="30">
        <v>1</v>
      </c>
      <c r="L23" s="30">
        <f ca="1">SUM(K23:OFFSET(RngToDay,ROWS(Dates),10))</f>
        <v>478</v>
      </c>
      <c r="O23" s="30">
        <f t="shared" si="5"/>
        <v>23</v>
      </c>
      <c r="P23" s="32"/>
      <c r="Q23" s="32"/>
    </row>
    <row r="24" spans="1:17" x14ac:dyDescent="0.25">
      <c r="A24" s="138">
        <v>41766</v>
      </c>
      <c r="B24" s="32"/>
      <c r="C24" s="32"/>
      <c r="E24" s="32"/>
      <c r="F24" s="32">
        <f t="shared" si="0"/>
        <v>0</v>
      </c>
      <c r="G24" s="30" t="str">
        <f t="shared" ca="1" si="2"/>
        <v>History</v>
      </c>
      <c r="H24" s="30">
        <f t="shared" si="3"/>
        <v>2014</v>
      </c>
      <c r="I24" s="30">
        <f t="shared" si="4"/>
        <v>5</v>
      </c>
      <c r="J24" s="30">
        <f t="shared" si="1"/>
        <v>19</v>
      </c>
      <c r="K24" s="30">
        <v>1</v>
      </c>
      <c r="L24" s="30">
        <f ca="1">SUM(K24:OFFSET(RngToDay,ROWS(Dates),10))</f>
        <v>477</v>
      </c>
      <c r="O24" s="30">
        <f t="shared" si="5"/>
        <v>24</v>
      </c>
      <c r="P24" s="32"/>
      <c r="Q24" s="32"/>
    </row>
    <row r="25" spans="1:17" x14ac:dyDescent="0.25">
      <c r="A25" s="138">
        <v>41765</v>
      </c>
      <c r="B25" s="32"/>
      <c r="C25" s="32"/>
      <c r="E25" s="32"/>
      <c r="F25" s="32">
        <f t="shared" si="0"/>
        <v>0</v>
      </c>
      <c r="G25" s="30" t="str">
        <f t="shared" ca="1" si="2"/>
        <v>History</v>
      </c>
      <c r="H25" s="30">
        <f t="shared" si="3"/>
        <v>2014</v>
      </c>
      <c r="I25" s="30">
        <f t="shared" si="4"/>
        <v>5</v>
      </c>
      <c r="J25" s="30">
        <f t="shared" si="1"/>
        <v>19</v>
      </c>
      <c r="K25" s="30">
        <v>1</v>
      </c>
      <c r="L25" s="30">
        <f ca="1">SUM(K25:OFFSET(RngToDay,ROWS(Dates),10))</f>
        <v>476</v>
      </c>
      <c r="O25" s="30">
        <f t="shared" si="5"/>
        <v>25</v>
      </c>
      <c r="P25" s="32"/>
      <c r="Q25" s="32"/>
    </row>
    <row r="26" spans="1:17" x14ac:dyDescent="0.25">
      <c r="A26" s="138">
        <v>41764</v>
      </c>
      <c r="B26" s="32"/>
      <c r="C26" s="32"/>
      <c r="E26" s="32"/>
      <c r="F26" s="32">
        <f t="shared" si="0"/>
        <v>0</v>
      </c>
      <c r="G26" s="30" t="str">
        <f t="shared" ca="1" si="2"/>
        <v>History</v>
      </c>
      <c r="H26" s="30">
        <f t="shared" si="3"/>
        <v>2014</v>
      </c>
      <c r="I26" s="30">
        <f t="shared" si="4"/>
        <v>5</v>
      </c>
      <c r="J26" s="30">
        <f t="shared" si="1"/>
        <v>19</v>
      </c>
      <c r="K26" s="30">
        <v>1</v>
      </c>
      <c r="L26" s="30">
        <f ca="1">SUM(K26:OFFSET(RngToDay,ROWS(Dates),10))</f>
        <v>475</v>
      </c>
      <c r="O26" s="30">
        <f t="shared" si="5"/>
        <v>26</v>
      </c>
      <c r="P26" s="32"/>
      <c r="Q26" s="32"/>
    </row>
    <row r="27" spans="1:17" x14ac:dyDescent="0.25">
      <c r="A27" s="138">
        <v>41761</v>
      </c>
      <c r="B27" s="32"/>
      <c r="C27" s="32"/>
      <c r="E27" s="32"/>
      <c r="F27" s="32">
        <f t="shared" si="0"/>
        <v>0</v>
      </c>
      <c r="G27" s="30" t="str">
        <f t="shared" ca="1" si="2"/>
        <v>History</v>
      </c>
      <c r="H27" s="30">
        <f t="shared" si="3"/>
        <v>2014</v>
      </c>
      <c r="I27" s="30">
        <f t="shared" si="4"/>
        <v>5</v>
      </c>
      <c r="J27" s="30">
        <f t="shared" si="1"/>
        <v>18</v>
      </c>
      <c r="K27" s="30">
        <v>1</v>
      </c>
      <c r="L27" s="30">
        <f ca="1">SUM(K27:OFFSET(RngToDay,ROWS(Dates),10))</f>
        <v>474</v>
      </c>
      <c r="O27" s="30">
        <f t="shared" si="5"/>
        <v>27</v>
      </c>
      <c r="P27" s="32"/>
      <c r="Q27" s="32"/>
    </row>
    <row r="28" spans="1:17" x14ac:dyDescent="0.25">
      <c r="A28" s="138">
        <v>41759</v>
      </c>
      <c r="B28" s="32"/>
      <c r="C28" s="32"/>
      <c r="E28" s="32"/>
      <c r="F28" s="32">
        <f t="shared" si="0"/>
        <v>0</v>
      </c>
      <c r="G28" s="30" t="str">
        <f t="shared" ca="1" si="2"/>
        <v>History</v>
      </c>
      <c r="H28" s="30">
        <f t="shared" si="3"/>
        <v>2014</v>
      </c>
      <c r="I28" s="30">
        <f t="shared" si="4"/>
        <v>4</v>
      </c>
      <c r="J28" s="30">
        <f t="shared" si="1"/>
        <v>18</v>
      </c>
      <c r="K28" s="30">
        <v>1</v>
      </c>
      <c r="L28" s="30">
        <f ca="1">SUM(K28:OFFSET(RngToDay,ROWS(Dates),10))</f>
        <v>473</v>
      </c>
      <c r="O28" s="30">
        <f t="shared" si="5"/>
        <v>28</v>
      </c>
      <c r="P28" s="32"/>
      <c r="Q28" s="32"/>
    </row>
    <row r="29" spans="1:17" x14ac:dyDescent="0.25">
      <c r="A29" s="138">
        <v>41758</v>
      </c>
      <c r="B29" s="32"/>
      <c r="C29" s="32"/>
      <c r="E29" s="32"/>
      <c r="F29" s="32">
        <f t="shared" si="0"/>
        <v>0</v>
      </c>
      <c r="G29" s="30" t="str">
        <f t="shared" ca="1" si="2"/>
        <v>History</v>
      </c>
      <c r="H29" s="30">
        <f t="shared" si="3"/>
        <v>2014</v>
      </c>
      <c r="I29" s="30">
        <f t="shared" si="4"/>
        <v>4</v>
      </c>
      <c r="J29" s="30">
        <f t="shared" si="1"/>
        <v>18</v>
      </c>
      <c r="K29" s="30">
        <v>1</v>
      </c>
      <c r="L29" s="30">
        <f ca="1">SUM(K29:OFFSET(RngToDay,ROWS(Dates),10))</f>
        <v>472</v>
      </c>
      <c r="O29" s="30">
        <f t="shared" si="5"/>
        <v>29</v>
      </c>
      <c r="P29" s="32"/>
      <c r="Q29" s="32"/>
    </row>
    <row r="30" spans="1:17" x14ac:dyDescent="0.25">
      <c r="A30" s="138">
        <v>41757</v>
      </c>
      <c r="B30" s="32"/>
      <c r="C30" s="32"/>
      <c r="E30" s="32"/>
      <c r="F30" s="32">
        <f t="shared" si="0"/>
        <v>0</v>
      </c>
      <c r="G30" s="30" t="str">
        <f t="shared" ca="1" si="2"/>
        <v>History</v>
      </c>
      <c r="H30" s="30">
        <f t="shared" si="3"/>
        <v>2014</v>
      </c>
      <c r="I30" s="30">
        <f t="shared" si="4"/>
        <v>4</v>
      </c>
      <c r="J30" s="30">
        <f t="shared" si="1"/>
        <v>18</v>
      </c>
      <c r="K30" s="30">
        <v>1</v>
      </c>
      <c r="L30" s="30">
        <f ca="1">SUM(K30:OFFSET(RngToDay,ROWS(Dates),10))</f>
        <v>471</v>
      </c>
      <c r="O30" s="30">
        <f t="shared" si="5"/>
        <v>30</v>
      </c>
      <c r="P30" s="32"/>
      <c r="Q30" s="32"/>
    </row>
    <row r="31" spans="1:17" x14ac:dyDescent="0.25">
      <c r="A31" s="138">
        <v>41754</v>
      </c>
      <c r="B31" s="32"/>
      <c r="C31" s="32"/>
      <c r="E31" s="32"/>
      <c r="F31" s="32">
        <f t="shared" si="0"/>
        <v>0</v>
      </c>
      <c r="G31" s="30" t="str">
        <f t="shared" ca="1" si="2"/>
        <v>History</v>
      </c>
      <c r="H31" s="30">
        <f t="shared" si="3"/>
        <v>2014</v>
      </c>
      <c r="I31" s="30">
        <f t="shared" si="4"/>
        <v>4</v>
      </c>
      <c r="J31" s="30">
        <f t="shared" si="1"/>
        <v>17</v>
      </c>
      <c r="K31" s="30">
        <v>1</v>
      </c>
      <c r="L31" s="30">
        <f ca="1">SUM(K31:OFFSET(RngToDay,ROWS(Dates),10))</f>
        <v>470</v>
      </c>
      <c r="O31" s="30">
        <f t="shared" si="5"/>
        <v>31</v>
      </c>
      <c r="P31" s="32"/>
      <c r="Q31" s="32"/>
    </row>
    <row r="32" spans="1:17" x14ac:dyDescent="0.25">
      <c r="A32" s="138">
        <v>41753</v>
      </c>
      <c r="B32" s="32"/>
      <c r="C32" s="32"/>
      <c r="E32" s="32"/>
      <c r="F32" s="32">
        <f t="shared" si="0"/>
        <v>0</v>
      </c>
      <c r="G32" s="30" t="str">
        <f t="shared" ca="1" si="2"/>
        <v>History</v>
      </c>
      <c r="H32" s="30">
        <f t="shared" si="3"/>
        <v>2014</v>
      </c>
      <c r="I32" s="30">
        <f t="shared" si="4"/>
        <v>4</v>
      </c>
      <c r="J32" s="30">
        <f t="shared" si="1"/>
        <v>17</v>
      </c>
      <c r="K32" s="30">
        <v>1</v>
      </c>
      <c r="L32" s="30">
        <f ca="1">SUM(K32:OFFSET(RngToDay,ROWS(Dates),10))</f>
        <v>469</v>
      </c>
      <c r="O32" s="30">
        <f t="shared" si="5"/>
        <v>32</v>
      </c>
      <c r="P32" s="32"/>
      <c r="Q32" s="32"/>
    </row>
    <row r="33" spans="1:17" x14ac:dyDescent="0.25">
      <c r="A33" s="138">
        <v>41752</v>
      </c>
      <c r="B33" s="32"/>
      <c r="C33" s="32"/>
      <c r="E33" s="32"/>
      <c r="F33" s="32">
        <f t="shared" si="0"/>
        <v>0</v>
      </c>
      <c r="G33" s="30" t="str">
        <f t="shared" ca="1" si="2"/>
        <v>History</v>
      </c>
      <c r="H33" s="30">
        <f t="shared" si="3"/>
        <v>2014</v>
      </c>
      <c r="I33" s="30">
        <f t="shared" si="4"/>
        <v>4</v>
      </c>
      <c r="J33" s="30">
        <f t="shared" si="1"/>
        <v>17</v>
      </c>
      <c r="K33" s="30">
        <v>1</v>
      </c>
      <c r="L33" s="30">
        <f ca="1">SUM(K33:OFFSET(RngToDay,ROWS(Dates),10))</f>
        <v>468</v>
      </c>
      <c r="O33" s="30">
        <f t="shared" si="5"/>
        <v>33</v>
      </c>
      <c r="P33" s="32"/>
      <c r="Q33" s="32"/>
    </row>
    <row r="34" spans="1:17" x14ac:dyDescent="0.25">
      <c r="A34" s="138">
        <v>41751</v>
      </c>
      <c r="B34" s="32"/>
      <c r="C34" s="32"/>
      <c r="E34" s="32"/>
      <c r="F34" s="32">
        <f t="shared" si="0"/>
        <v>0</v>
      </c>
      <c r="G34" s="30" t="str">
        <f t="shared" ca="1" si="2"/>
        <v>History</v>
      </c>
      <c r="H34" s="30">
        <f t="shared" si="3"/>
        <v>2014</v>
      </c>
      <c r="I34" s="30">
        <f t="shared" si="4"/>
        <v>4</v>
      </c>
      <c r="J34" s="30">
        <f t="shared" si="1"/>
        <v>17</v>
      </c>
      <c r="K34" s="30">
        <v>1</v>
      </c>
      <c r="L34" s="30">
        <f ca="1">SUM(K34:OFFSET(RngToDay,ROWS(Dates),10))</f>
        <v>467</v>
      </c>
      <c r="O34" s="30">
        <f t="shared" si="5"/>
        <v>34</v>
      </c>
      <c r="P34" s="32"/>
      <c r="Q34" s="32"/>
    </row>
    <row r="35" spans="1:17" x14ac:dyDescent="0.25">
      <c r="A35" s="138">
        <v>41745</v>
      </c>
      <c r="B35" s="32"/>
      <c r="C35" s="32"/>
      <c r="E35" s="32"/>
      <c r="F35" s="32">
        <f t="shared" si="0"/>
        <v>0</v>
      </c>
      <c r="G35" s="30" t="str">
        <f t="shared" ca="1" si="2"/>
        <v>History</v>
      </c>
      <c r="H35" s="30">
        <f t="shared" si="3"/>
        <v>2014</v>
      </c>
      <c r="I35" s="30">
        <f t="shared" si="4"/>
        <v>4</v>
      </c>
      <c r="J35" s="30">
        <f t="shared" si="1"/>
        <v>16</v>
      </c>
      <c r="K35" s="30">
        <v>1</v>
      </c>
      <c r="L35" s="30">
        <f ca="1">SUM(K35:OFFSET(RngToDay,ROWS(Dates),10))</f>
        <v>466</v>
      </c>
      <c r="O35" s="30">
        <f t="shared" si="5"/>
        <v>35</v>
      </c>
      <c r="P35" s="32"/>
      <c r="Q35" s="32"/>
    </row>
    <row r="36" spans="1:17" x14ac:dyDescent="0.25">
      <c r="A36" s="138">
        <v>41744</v>
      </c>
      <c r="B36" s="32"/>
      <c r="C36" s="32"/>
      <c r="E36" s="32"/>
      <c r="F36" s="32">
        <f t="shared" si="0"/>
        <v>0</v>
      </c>
      <c r="G36" s="30" t="str">
        <f t="shared" ca="1" si="2"/>
        <v>History</v>
      </c>
      <c r="H36" s="30">
        <f t="shared" si="3"/>
        <v>2014</v>
      </c>
      <c r="I36" s="30">
        <f t="shared" si="4"/>
        <v>4</v>
      </c>
      <c r="J36" s="30">
        <f t="shared" si="1"/>
        <v>16</v>
      </c>
      <c r="K36" s="30">
        <v>1</v>
      </c>
      <c r="L36" s="30">
        <f ca="1">SUM(K36:OFFSET(RngToDay,ROWS(Dates),10))</f>
        <v>465</v>
      </c>
      <c r="O36" s="30">
        <f t="shared" si="5"/>
        <v>36</v>
      </c>
      <c r="P36" s="32"/>
      <c r="Q36" s="32"/>
    </row>
    <row r="37" spans="1:17" x14ac:dyDescent="0.25">
      <c r="A37" s="138">
        <v>41743</v>
      </c>
      <c r="B37" s="32"/>
      <c r="C37" s="32"/>
      <c r="E37" s="32"/>
      <c r="F37" s="32">
        <f t="shared" si="0"/>
        <v>0</v>
      </c>
      <c r="G37" s="30" t="str">
        <f t="shared" ca="1" si="2"/>
        <v>History</v>
      </c>
      <c r="H37" s="30">
        <f t="shared" si="3"/>
        <v>2014</v>
      </c>
      <c r="I37" s="30">
        <f t="shared" si="4"/>
        <v>4</v>
      </c>
      <c r="J37" s="30">
        <f t="shared" si="1"/>
        <v>16</v>
      </c>
      <c r="K37" s="30">
        <v>1</v>
      </c>
      <c r="L37" s="30">
        <f ca="1">SUM(K37:OFFSET(RngToDay,ROWS(Dates),10))</f>
        <v>464</v>
      </c>
      <c r="O37" s="30">
        <f t="shared" si="5"/>
        <v>37</v>
      </c>
      <c r="P37" s="32"/>
      <c r="Q37" s="32"/>
    </row>
    <row r="38" spans="1:17" x14ac:dyDescent="0.25">
      <c r="A38" s="138">
        <v>41740</v>
      </c>
      <c r="B38" s="32"/>
      <c r="C38" s="32"/>
      <c r="E38" s="32"/>
      <c r="F38" s="32">
        <f t="shared" si="0"/>
        <v>0</v>
      </c>
      <c r="G38" s="30" t="str">
        <f t="shared" ca="1" si="2"/>
        <v>History</v>
      </c>
      <c r="H38" s="30">
        <f t="shared" si="3"/>
        <v>2014</v>
      </c>
      <c r="I38" s="30">
        <f t="shared" si="4"/>
        <v>4</v>
      </c>
      <c r="J38" s="30">
        <f t="shared" si="1"/>
        <v>15</v>
      </c>
      <c r="K38" s="30">
        <v>1</v>
      </c>
      <c r="L38" s="30">
        <f ca="1">SUM(K38:OFFSET(RngToDay,ROWS(Dates),10))</f>
        <v>463</v>
      </c>
      <c r="O38" s="30">
        <f t="shared" si="5"/>
        <v>38</v>
      </c>
      <c r="P38" s="32"/>
      <c r="Q38" s="32"/>
    </row>
    <row r="39" spans="1:17" x14ac:dyDescent="0.25">
      <c r="A39" s="138">
        <v>41739</v>
      </c>
      <c r="B39" s="32"/>
      <c r="C39" s="32"/>
      <c r="E39" s="32"/>
      <c r="F39" s="32">
        <f t="shared" si="0"/>
        <v>0</v>
      </c>
      <c r="G39" s="30" t="str">
        <f t="shared" ca="1" si="2"/>
        <v>History</v>
      </c>
      <c r="H39" s="30">
        <f t="shared" si="3"/>
        <v>2014</v>
      </c>
      <c r="I39" s="30">
        <f t="shared" si="4"/>
        <v>4</v>
      </c>
      <c r="J39" s="30">
        <f t="shared" si="1"/>
        <v>15</v>
      </c>
      <c r="K39" s="30">
        <v>1</v>
      </c>
      <c r="L39" s="30">
        <f ca="1">SUM(K39:OFFSET(RngToDay,ROWS(Dates),10))</f>
        <v>462</v>
      </c>
      <c r="O39" s="30">
        <f t="shared" si="5"/>
        <v>39</v>
      </c>
      <c r="P39" s="32"/>
      <c r="Q39" s="32"/>
    </row>
    <row r="40" spans="1:17" x14ac:dyDescent="0.25">
      <c r="A40" s="138">
        <v>41738</v>
      </c>
      <c r="B40" s="32"/>
      <c r="C40" s="32"/>
      <c r="E40" s="32"/>
      <c r="F40" s="32">
        <f t="shared" si="0"/>
        <v>0</v>
      </c>
      <c r="G40" s="30" t="str">
        <f t="shared" ca="1" si="2"/>
        <v>History</v>
      </c>
      <c r="H40" s="30">
        <f t="shared" si="3"/>
        <v>2014</v>
      </c>
      <c r="I40" s="30">
        <f t="shared" si="4"/>
        <v>4</v>
      </c>
      <c r="J40" s="30">
        <f t="shared" si="1"/>
        <v>15</v>
      </c>
      <c r="K40" s="30">
        <v>1</v>
      </c>
      <c r="L40" s="30">
        <f ca="1">SUM(K40:OFFSET(RngToDay,ROWS(Dates),10))</f>
        <v>461</v>
      </c>
      <c r="O40" s="30">
        <f t="shared" si="5"/>
        <v>40</v>
      </c>
      <c r="P40" s="32"/>
      <c r="Q40" s="32"/>
    </row>
    <row r="41" spans="1:17" x14ac:dyDescent="0.25">
      <c r="A41" s="138">
        <v>41737</v>
      </c>
      <c r="B41" s="32"/>
      <c r="C41" s="32"/>
      <c r="E41" s="32"/>
      <c r="F41" s="32">
        <f t="shared" si="0"/>
        <v>0</v>
      </c>
      <c r="G41" s="30" t="str">
        <f t="shared" ca="1" si="2"/>
        <v>History</v>
      </c>
      <c r="H41" s="30">
        <f t="shared" si="3"/>
        <v>2014</v>
      </c>
      <c r="I41" s="30">
        <f t="shared" si="4"/>
        <v>4</v>
      </c>
      <c r="J41" s="30">
        <f t="shared" si="1"/>
        <v>15</v>
      </c>
      <c r="K41" s="30">
        <v>1</v>
      </c>
      <c r="L41" s="30">
        <f ca="1">SUM(K41:OFFSET(RngToDay,ROWS(Dates),10))</f>
        <v>460</v>
      </c>
      <c r="O41" s="30">
        <f t="shared" si="5"/>
        <v>41</v>
      </c>
      <c r="P41" s="32"/>
      <c r="Q41" s="32"/>
    </row>
    <row r="42" spans="1:17" x14ac:dyDescent="0.25">
      <c r="A42" s="138">
        <v>41736</v>
      </c>
      <c r="B42" s="32"/>
      <c r="C42" s="32"/>
      <c r="E42" s="32"/>
      <c r="F42" s="32">
        <f t="shared" si="0"/>
        <v>0</v>
      </c>
      <c r="G42" s="30" t="str">
        <f t="shared" ca="1" si="2"/>
        <v>History</v>
      </c>
      <c r="H42" s="30">
        <f t="shared" si="3"/>
        <v>2014</v>
      </c>
      <c r="I42" s="30">
        <f t="shared" si="4"/>
        <v>4</v>
      </c>
      <c r="J42" s="30">
        <f t="shared" si="1"/>
        <v>15</v>
      </c>
      <c r="K42" s="30">
        <v>1</v>
      </c>
      <c r="L42" s="30">
        <f ca="1">SUM(K42:OFFSET(RngToDay,ROWS(Dates),10))</f>
        <v>459</v>
      </c>
      <c r="O42" s="30">
        <f t="shared" si="5"/>
        <v>42</v>
      </c>
      <c r="P42" s="32"/>
      <c r="Q42" s="32"/>
    </row>
    <row r="43" spans="1:17" x14ac:dyDescent="0.25">
      <c r="A43" s="138">
        <v>41733</v>
      </c>
      <c r="B43" s="32"/>
      <c r="C43" s="32"/>
      <c r="E43" s="32"/>
      <c r="F43" s="32">
        <f t="shared" si="0"/>
        <v>0</v>
      </c>
      <c r="G43" s="30" t="str">
        <f t="shared" ca="1" si="2"/>
        <v>History</v>
      </c>
      <c r="H43" s="30">
        <f t="shared" si="3"/>
        <v>2014</v>
      </c>
      <c r="I43" s="30">
        <f t="shared" si="4"/>
        <v>4</v>
      </c>
      <c r="J43" s="30">
        <f t="shared" si="1"/>
        <v>14</v>
      </c>
      <c r="K43" s="30">
        <v>1</v>
      </c>
      <c r="L43" s="30">
        <f ca="1">SUM(K43:OFFSET(RngToDay,ROWS(Dates),10))</f>
        <v>458</v>
      </c>
      <c r="O43" s="30">
        <f t="shared" si="5"/>
        <v>43</v>
      </c>
      <c r="P43" s="32"/>
      <c r="Q43" s="32"/>
    </row>
    <row r="44" spans="1:17" x14ac:dyDescent="0.25">
      <c r="A44" s="138">
        <v>41732</v>
      </c>
      <c r="B44" s="32"/>
      <c r="C44" s="32"/>
      <c r="E44" s="32"/>
      <c r="F44" s="32">
        <f t="shared" si="0"/>
        <v>0</v>
      </c>
      <c r="G44" s="30" t="str">
        <f t="shared" ca="1" si="2"/>
        <v>History</v>
      </c>
      <c r="H44" s="30">
        <f t="shared" si="3"/>
        <v>2014</v>
      </c>
      <c r="I44" s="30">
        <f t="shared" si="4"/>
        <v>4</v>
      </c>
      <c r="J44" s="30">
        <f t="shared" si="1"/>
        <v>14</v>
      </c>
      <c r="K44" s="30">
        <v>1</v>
      </c>
      <c r="L44" s="30">
        <f ca="1">SUM(K44:OFFSET(RngToDay,ROWS(Dates),10))</f>
        <v>457</v>
      </c>
      <c r="O44" s="30">
        <f t="shared" si="5"/>
        <v>44</v>
      </c>
      <c r="P44" s="32"/>
      <c r="Q44" s="32"/>
    </row>
    <row r="45" spans="1:17" x14ac:dyDescent="0.25">
      <c r="A45" s="138">
        <v>41731</v>
      </c>
      <c r="B45" s="32"/>
      <c r="C45" s="32"/>
      <c r="E45" s="32"/>
      <c r="F45" s="32">
        <f t="shared" si="0"/>
        <v>0</v>
      </c>
      <c r="G45" s="30" t="str">
        <f t="shared" ca="1" si="2"/>
        <v>History</v>
      </c>
      <c r="H45" s="30">
        <f t="shared" si="3"/>
        <v>2014</v>
      </c>
      <c r="I45" s="30">
        <f t="shared" si="4"/>
        <v>4</v>
      </c>
      <c r="J45" s="30">
        <f t="shared" si="1"/>
        <v>14</v>
      </c>
      <c r="K45" s="30">
        <v>1</v>
      </c>
      <c r="L45" s="30">
        <f ca="1">SUM(K45:OFFSET(RngToDay,ROWS(Dates),10))</f>
        <v>456</v>
      </c>
      <c r="O45" s="30">
        <f t="shared" si="5"/>
        <v>45</v>
      </c>
      <c r="P45" s="32"/>
      <c r="Q45" s="32"/>
    </row>
    <row r="46" spans="1:17" x14ac:dyDescent="0.25">
      <c r="A46" s="138">
        <v>41730</v>
      </c>
      <c r="B46" s="32"/>
      <c r="C46" s="32"/>
      <c r="E46" s="32"/>
      <c r="F46" s="32">
        <f t="shared" si="0"/>
        <v>0</v>
      </c>
      <c r="G46" s="30" t="str">
        <f t="shared" ca="1" si="2"/>
        <v>History</v>
      </c>
      <c r="H46" s="30">
        <f t="shared" si="3"/>
        <v>2014</v>
      </c>
      <c r="I46" s="30">
        <f t="shared" si="4"/>
        <v>4</v>
      </c>
      <c r="J46" s="30">
        <f t="shared" si="1"/>
        <v>14</v>
      </c>
      <c r="K46" s="30">
        <v>1</v>
      </c>
      <c r="L46" s="30">
        <f ca="1">SUM(K46:OFFSET(RngToDay,ROWS(Dates),10))</f>
        <v>455</v>
      </c>
      <c r="O46" s="30">
        <f t="shared" si="5"/>
        <v>46</v>
      </c>
      <c r="P46" s="32"/>
      <c r="Q46" s="32"/>
    </row>
    <row r="47" spans="1:17" x14ac:dyDescent="0.25">
      <c r="A47" s="138">
        <v>41729</v>
      </c>
      <c r="B47" s="32"/>
      <c r="C47" s="32"/>
      <c r="E47" s="32"/>
      <c r="F47" s="32">
        <f t="shared" si="0"/>
        <v>0</v>
      </c>
      <c r="G47" s="30" t="str">
        <f t="shared" ca="1" si="2"/>
        <v>History</v>
      </c>
      <c r="H47" s="30">
        <f t="shared" si="3"/>
        <v>2014</v>
      </c>
      <c r="I47" s="30">
        <f t="shared" si="4"/>
        <v>3</v>
      </c>
      <c r="J47" s="30">
        <f t="shared" si="1"/>
        <v>14</v>
      </c>
      <c r="K47" s="30">
        <v>1</v>
      </c>
      <c r="L47" s="30">
        <f ca="1">SUM(K47:OFFSET(RngToDay,ROWS(Dates),10))</f>
        <v>454</v>
      </c>
      <c r="O47" s="30">
        <f t="shared" si="5"/>
        <v>47</v>
      </c>
      <c r="P47" s="32"/>
      <c r="Q47" s="32"/>
    </row>
    <row r="48" spans="1:17" x14ac:dyDescent="0.25">
      <c r="A48" s="138">
        <v>41726</v>
      </c>
      <c r="B48" s="32"/>
      <c r="C48" s="32"/>
      <c r="E48" s="32"/>
      <c r="F48" s="32">
        <f t="shared" si="0"/>
        <v>0</v>
      </c>
      <c r="G48" s="30" t="str">
        <f t="shared" ca="1" si="2"/>
        <v>History</v>
      </c>
      <c r="H48" s="30">
        <f t="shared" si="3"/>
        <v>2014</v>
      </c>
      <c r="I48" s="30">
        <f t="shared" si="4"/>
        <v>3</v>
      </c>
      <c r="J48" s="30">
        <f t="shared" si="1"/>
        <v>13</v>
      </c>
      <c r="K48" s="30">
        <v>1</v>
      </c>
      <c r="L48" s="30">
        <f ca="1">SUM(K48:OFFSET(RngToDay,ROWS(Dates),10))</f>
        <v>453</v>
      </c>
      <c r="O48" s="30">
        <f t="shared" si="5"/>
        <v>48</v>
      </c>
      <c r="P48" s="32"/>
      <c r="Q48" s="32"/>
    </row>
    <row r="49" spans="1:17" x14ac:dyDescent="0.25">
      <c r="A49" s="138">
        <v>41725</v>
      </c>
      <c r="B49" s="32"/>
      <c r="C49" s="32"/>
      <c r="E49" s="32"/>
      <c r="F49" s="32">
        <f t="shared" si="0"/>
        <v>0</v>
      </c>
      <c r="G49" s="30" t="str">
        <f t="shared" ca="1" si="2"/>
        <v>History</v>
      </c>
      <c r="H49" s="30">
        <f t="shared" si="3"/>
        <v>2014</v>
      </c>
      <c r="I49" s="30">
        <f t="shared" si="4"/>
        <v>3</v>
      </c>
      <c r="J49" s="30">
        <f t="shared" si="1"/>
        <v>13</v>
      </c>
      <c r="K49" s="30">
        <v>1</v>
      </c>
      <c r="L49" s="30">
        <f ca="1">SUM(K49:OFFSET(RngToDay,ROWS(Dates),10))</f>
        <v>452</v>
      </c>
      <c r="O49" s="30">
        <f t="shared" si="5"/>
        <v>49</v>
      </c>
      <c r="P49" s="32"/>
      <c r="Q49" s="32"/>
    </row>
    <row r="50" spans="1:17" x14ac:dyDescent="0.25">
      <c r="A50" s="138">
        <v>41724</v>
      </c>
      <c r="B50" s="32"/>
      <c r="C50" s="32"/>
      <c r="E50" s="32"/>
      <c r="F50" s="32">
        <f t="shared" si="0"/>
        <v>0</v>
      </c>
      <c r="G50" s="30" t="str">
        <f t="shared" ca="1" si="2"/>
        <v>History</v>
      </c>
      <c r="H50" s="30">
        <f t="shared" si="3"/>
        <v>2014</v>
      </c>
      <c r="I50" s="30">
        <f t="shared" si="4"/>
        <v>3</v>
      </c>
      <c r="J50" s="30">
        <f t="shared" si="1"/>
        <v>13</v>
      </c>
      <c r="K50" s="30">
        <v>1</v>
      </c>
      <c r="L50" s="30">
        <f ca="1">SUM(K50:OFFSET(RngToDay,ROWS(Dates),10))</f>
        <v>451</v>
      </c>
      <c r="O50" s="30">
        <f t="shared" si="5"/>
        <v>50</v>
      </c>
      <c r="P50" s="32"/>
      <c r="Q50" s="32"/>
    </row>
    <row r="51" spans="1:17" x14ac:dyDescent="0.25">
      <c r="A51" s="138">
        <v>41723</v>
      </c>
      <c r="B51" s="32"/>
      <c r="C51" s="32"/>
      <c r="E51" s="32"/>
      <c r="F51" s="32">
        <f t="shared" si="0"/>
        <v>0</v>
      </c>
      <c r="G51" s="30" t="str">
        <f t="shared" ca="1" si="2"/>
        <v>History</v>
      </c>
      <c r="H51" s="30">
        <f t="shared" si="3"/>
        <v>2014</v>
      </c>
      <c r="I51" s="30">
        <f t="shared" si="4"/>
        <v>3</v>
      </c>
      <c r="J51" s="30">
        <f t="shared" si="1"/>
        <v>13</v>
      </c>
      <c r="K51" s="30">
        <v>1</v>
      </c>
      <c r="L51" s="30">
        <f ca="1">SUM(K51:OFFSET(RngToDay,ROWS(Dates),10))</f>
        <v>450</v>
      </c>
      <c r="O51" s="30">
        <f t="shared" si="5"/>
        <v>51</v>
      </c>
      <c r="P51" s="32"/>
      <c r="Q51" s="32"/>
    </row>
    <row r="52" spans="1:17" x14ac:dyDescent="0.25">
      <c r="A52" s="138">
        <v>41722</v>
      </c>
      <c r="B52" s="32"/>
      <c r="C52" s="32"/>
      <c r="E52" s="32"/>
      <c r="F52" s="32">
        <f t="shared" si="0"/>
        <v>0</v>
      </c>
      <c r="G52" s="30" t="str">
        <f t="shared" ca="1" si="2"/>
        <v>History</v>
      </c>
      <c r="H52" s="30">
        <f t="shared" si="3"/>
        <v>2014</v>
      </c>
      <c r="I52" s="30">
        <f t="shared" si="4"/>
        <v>3</v>
      </c>
      <c r="J52" s="30">
        <f t="shared" si="1"/>
        <v>13</v>
      </c>
      <c r="K52" s="30">
        <v>1</v>
      </c>
      <c r="L52" s="30">
        <f ca="1">SUM(K52:OFFSET(RngToDay,ROWS(Dates),10))</f>
        <v>449</v>
      </c>
      <c r="O52" s="30">
        <f t="shared" si="5"/>
        <v>52</v>
      </c>
      <c r="P52" s="32"/>
      <c r="Q52" s="32"/>
    </row>
    <row r="53" spans="1:17" x14ac:dyDescent="0.25">
      <c r="A53" s="138">
        <v>41719</v>
      </c>
      <c r="B53" s="32"/>
      <c r="C53" s="32"/>
      <c r="E53" s="32"/>
      <c r="F53" s="32">
        <f t="shared" si="0"/>
        <v>0</v>
      </c>
      <c r="G53" s="30" t="str">
        <f t="shared" ca="1" si="2"/>
        <v>History</v>
      </c>
      <c r="H53" s="30">
        <f t="shared" si="3"/>
        <v>2014</v>
      </c>
      <c r="I53" s="30">
        <f t="shared" si="4"/>
        <v>3</v>
      </c>
      <c r="J53" s="30">
        <f t="shared" si="1"/>
        <v>12</v>
      </c>
      <c r="K53" s="30">
        <v>1</v>
      </c>
      <c r="L53" s="30">
        <f ca="1">SUM(K53:OFFSET(RngToDay,ROWS(Dates),10))</f>
        <v>448</v>
      </c>
      <c r="O53" s="30">
        <f t="shared" si="5"/>
        <v>53</v>
      </c>
      <c r="P53" s="32"/>
      <c r="Q53" s="32"/>
    </row>
    <row r="54" spans="1:17" x14ac:dyDescent="0.25">
      <c r="A54" s="138">
        <v>41718</v>
      </c>
      <c r="B54" s="32"/>
      <c r="C54" s="32"/>
      <c r="E54" s="32"/>
      <c r="F54" s="32">
        <f t="shared" si="0"/>
        <v>0</v>
      </c>
      <c r="G54" s="30" t="str">
        <f t="shared" ca="1" si="2"/>
        <v>History</v>
      </c>
      <c r="H54" s="30">
        <f t="shared" si="3"/>
        <v>2014</v>
      </c>
      <c r="I54" s="30">
        <f t="shared" si="4"/>
        <v>3</v>
      </c>
      <c r="J54" s="30">
        <f t="shared" si="1"/>
        <v>12</v>
      </c>
      <c r="K54" s="30">
        <v>1</v>
      </c>
      <c r="L54" s="30">
        <f ca="1">SUM(K54:OFFSET(RngToDay,ROWS(Dates),10))</f>
        <v>447</v>
      </c>
      <c r="O54" s="30">
        <f t="shared" si="5"/>
        <v>54</v>
      </c>
      <c r="P54" s="32"/>
      <c r="Q54" s="32"/>
    </row>
    <row r="55" spans="1:17" x14ac:dyDescent="0.25">
      <c r="A55" s="138">
        <v>41717</v>
      </c>
      <c r="B55" s="32"/>
      <c r="C55" s="32"/>
      <c r="E55" s="32"/>
      <c r="F55" s="32">
        <f t="shared" si="0"/>
        <v>0</v>
      </c>
      <c r="G55" s="30" t="str">
        <f t="shared" ca="1" si="2"/>
        <v>History</v>
      </c>
      <c r="H55" s="30">
        <f t="shared" si="3"/>
        <v>2014</v>
      </c>
      <c r="I55" s="30">
        <f t="shared" si="4"/>
        <v>3</v>
      </c>
      <c r="J55" s="30">
        <f t="shared" si="1"/>
        <v>12</v>
      </c>
      <c r="K55" s="30">
        <v>1</v>
      </c>
      <c r="L55" s="30">
        <f ca="1">SUM(K55:OFFSET(RngToDay,ROWS(Dates),10))</f>
        <v>446</v>
      </c>
      <c r="O55" s="30">
        <f t="shared" si="5"/>
        <v>55</v>
      </c>
      <c r="P55" s="32"/>
      <c r="Q55" s="32"/>
    </row>
    <row r="56" spans="1:17" x14ac:dyDescent="0.25">
      <c r="A56" s="138">
        <v>41716</v>
      </c>
      <c r="B56" s="32"/>
      <c r="C56" s="32"/>
      <c r="E56" s="32"/>
      <c r="F56" s="32">
        <f t="shared" si="0"/>
        <v>0</v>
      </c>
      <c r="G56" s="30" t="str">
        <f t="shared" ca="1" si="2"/>
        <v>History</v>
      </c>
      <c r="H56" s="30">
        <f t="shared" si="3"/>
        <v>2014</v>
      </c>
      <c r="I56" s="30">
        <f t="shared" si="4"/>
        <v>3</v>
      </c>
      <c r="J56" s="30">
        <f t="shared" si="1"/>
        <v>12</v>
      </c>
      <c r="K56" s="30">
        <v>1</v>
      </c>
      <c r="L56" s="30">
        <f ca="1">SUM(K56:OFFSET(RngToDay,ROWS(Dates),10))</f>
        <v>445</v>
      </c>
      <c r="O56" s="30">
        <f t="shared" si="5"/>
        <v>56</v>
      </c>
      <c r="P56" s="32"/>
      <c r="Q56" s="32"/>
    </row>
    <row r="57" spans="1:17" x14ac:dyDescent="0.25">
      <c r="A57" s="138">
        <v>41715</v>
      </c>
      <c r="B57" s="32"/>
      <c r="C57" s="32"/>
      <c r="E57" s="32"/>
      <c r="F57" s="32">
        <f t="shared" si="0"/>
        <v>0</v>
      </c>
      <c r="G57" s="30" t="str">
        <f t="shared" ca="1" si="2"/>
        <v>History</v>
      </c>
      <c r="H57" s="30">
        <f t="shared" si="3"/>
        <v>2014</v>
      </c>
      <c r="I57" s="30">
        <f t="shared" si="4"/>
        <v>3</v>
      </c>
      <c r="J57" s="30">
        <f t="shared" si="1"/>
        <v>12</v>
      </c>
      <c r="K57" s="30">
        <v>1</v>
      </c>
      <c r="L57" s="30">
        <f ca="1">SUM(K57:OFFSET(RngToDay,ROWS(Dates),10))</f>
        <v>444</v>
      </c>
      <c r="O57" s="30">
        <f t="shared" si="5"/>
        <v>57</v>
      </c>
      <c r="P57" s="32"/>
      <c r="Q57" s="32"/>
    </row>
    <row r="58" spans="1:17" x14ac:dyDescent="0.25">
      <c r="A58" s="138">
        <v>41712</v>
      </c>
      <c r="B58" s="32"/>
      <c r="C58" s="32"/>
      <c r="E58" s="32"/>
      <c r="F58" s="32">
        <f t="shared" si="0"/>
        <v>0</v>
      </c>
      <c r="G58" s="30" t="str">
        <f t="shared" ca="1" si="2"/>
        <v>History</v>
      </c>
      <c r="H58" s="30">
        <f t="shared" si="3"/>
        <v>2014</v>
      </c>
      <c r="I58" s="30">
        <f t="shared" si="4"/>
        <v>3</v>
      </c>
      <c r="J58" s="30">
        <f t="shared" si="1"/>
        <v>11</v>
      </c>
      <c r="K58" s="30">
        <v>1</v>
      </c>
      <c r="L58" s="30">
        <f ca="1">SUM(K58:OFFSET(RngToDay,ROWS(Dates),10))</f>
        <v>443</v>
      </c>
      <c r="O58" s="30">
        <f t="shared" si="5"/>
        <v>58</v>
      </c>
      <c r="P58" s="32"/>
      <c r="Q58" s="32"/>
    </row>
    <row r="59" spans="1:17" x14ac:dyDescent="0.25">
      <c r="A59" s="138">
        <v>41711</v>
      </c>
      <c r="B59" s="32"/>
      <c r="C59" s="32"/>
      <c r="E59" s="32"/>
      <c r="F59" s="32">
        <f t="shared" si="0"/>
        <v>0</v>
      </c>
      <c r="G59" s="30" t="str">
        <f t="shared" ca="1" si="2"/>
        <v>History</v>
      </c>
      <c r="H59" s="30">
        <f t="shared" si="3"/>
        <v>2014</v>
      </c>
      <c r="I59" s="30">
        <f t="shared" si="4"/>
        <v>3</v>
      </c>
      <c r="J59" s="30">
        <f t="shared" si="1"/>
        <v>11</v>
      </c>
      <c r="K59" s="30">
        <v>1</v>
      </c>
      <c r="L59" s="30">
        <f ca="1">SUM(K59:OFFSET(RngToDay,ROWS(Dates),10))</f>
        <v>442</v>
      </c>
      <c r="O59" s="30">
        <f t="shared" si="5"/>
        <v>59</v>
      </c>
      <c r="P59" s="32"/>
      <c r="Q59" s="32"/>
    </row>
    <row r="60" spans="1:17" x14ac:dyDescent="0.25">
      <c r="A60" s="138">
        <v>41710</v>
      </c>
      <c r="B60" s="32"/>
      <c r="C60" s="32"/>
      <c r="E60" s="32"/>
      <c r="F60" s="32">
        <f t="shared" si="0"/>
        <v>0</v>
      </c>
      <c r="G60" s="30" t="str">
        <f t="shared" ca="1" si="2"/>
        <v>History</v>
      </c>
      <c r="H60" s="30">
        <f t="shared" si="3"/>
        <v>2014</v>
      </c>
      <c r="I60" s="30">
        <f t="shared" si="4"/>
        <v>3</v>
      </c>
      <c r="J60" s="30">
        <f t="shared" si="1"/>
        <v>11</v>
      </c>
      <c r="K60" s="30">
        <v>1</v>
      </c>
      <c r="L60" s="30">
        <f ca="1">SUM(K60:OFFSET(RngToDay,ROWS(Dates),10))</f>
        <v>441</v>
      </c>
      <c r="O60" s="30">
        <f t="shared" si="5"/>
        <v>60</v>
      </c>
      <c r="P60" s="32"/>
      <c r="Q60" s="32"/>
    </row>
    <row r="61" spans="1:17" x14ac:dyDescent="0.25">
      <c r="A61" s="138">
        <v>41709</v>
      </c>
      <c r="B61" s="32"/>
      <c r="C61" s="32"/>
      <c r="E61" s="32"/>
      <c r="F61" s="32">
        <f t="shared" si="0"/>
        <v>0</v>
      </c>
      <c r="G61" s="30" t="str">
        <f t="shared" ca="1" si="2"/>
        <v>History</v>
      </c>
      <c r="H61" s="30">
        <f t="shared" si="3"/>
        <v>2014</v>
      </c>
      <c r="I61" s="30">
        <f t="shared" si="4"/>
        <v>3</v>
      </c>
      <c r="J61" s="30">
        <f t="shared" si="1"/>
        <v>11</v>
      </c>
      <c r="K61" s="30">
        <v>1</v>
      </c>
      <c r="L61" s="30">
        <f ca="1">SUM(K61:OFFSET(RngToDay,ROWS(Dates),10))</f>
        <v>440</v>
      </c>
      <c r="O61" s="30">
        <f t="shared" si="5"/>
        <v>61</v>
      </c>
      <c r="P61" s="32"/>
      <c r="Q61" s="32"/>
    </row>
    <row r="62" spans="1:17" x14ac:dyDescent="0.25">
      <c r="A62" s="138">
        <v>41708</v>
      </c>
      <c r="B62" s="32"/>
      <c r="C62" s="32"/>
      <c r="E62" s="32"/>
      <c r="F62" s="32">
        <f t="shared" si="0"/>
        <v>0</v>
      </c>
      <c r="G62" s="30" t="str">
        <f t="shared" ca="1" si="2"/>
        <v>History</v>
      </c>
      <c r="H62" s="30">
        <f t="shared" si="3"/>
        <v>2014</v>
      </c>
      <c r="I62" s="30">
        <f t="shared" si="4"/>
        <v>3</v>
      </c>
      <c r="J62" s="30">
        <f t="shared" si="1"/>
        <v>11</v>
      </c>
      <c r="K62" s="30">
        <v>1</v>
      </c>
      <c r="L62" s="30">
        <f ca="1">SUM(K62:OFFSET(RngToDay,ROWS(Dates),10))</f>
        <v>439</v>
      </c>
      <c r="O62" s="30">
        <f t="shared" si="5"/>
        <v>62</v>
      </c>
      <c r="P62" s="32"/>
      <c r="Q62" s="32"/>
    </row>
    <row r="63" spans="1:17" x14ac:dyDescent="0.25">
      <c r="A63" s="138">
        <v>41705</v>
      </c>
      <c r="B63" s="32"/>
      <c r="C63" s="32"/>
      <c r="E63" s="32"/>
      <c r="F63" s="32">
        <f t="shared" si="0"/>
        <v>0</v>
      </c>
      <c r="G63" s="30" t="str">
        <f t="shared" ca="1" si="2"/>
        <v>History</v>
      </c>
      <c r="H63" s="30">
        <f t="shared" si="3"/>
        <v>2014</v>
      </c>
      <c r="I63" s="30">
        <f t="shared" si="4"/>
        <v>3</v>
      </c>
      <c r="J63" s="30">
        <f t="shared" si="1"/>
        <v>10</v>
      </c>
      <c r="K63" s="30">
        <v>1</v>
      </c>
      <c r="L63" s="30">
        <f ca="1">SUM(K63:OFFSET(RngToDay,ROWS(Dates),10))</f>
        <v>438</v>
      </c>
      <c r="O63" s="30">
        <f t="shared" si="5"/>
        <v>63</v>
      </c>
      <c r="P63" s="32"/>
      <c r="Q63" s="32"/>
    </row>
    <row r="64" spans="1:17" x14ac:dyDescent="0.25">
      <c r="A64" s="138">
        <v>41704</v>
      </c>
      <c r="B64" s="32"/>
      <c r="C64" s="32"/>
      <c r="E64" s="32"/>
      <c r="F64" s="32">
        <f t="shared" si="0"/>
        <v>0</v>
      </c>
      <c r="G64" s="30" t="str">
        <f t="shared" ca="1" si="2"/>
        <v>History</v>
      </c>
      <c r="H64" s="30">
        <f t="shared" si="3"/>
        <v>2014</v>
      </c>
      <c r="I64" s="30">
        <f t="shared" si="4"/>
        <v>3</v>
      </c>
      <c r="J64" s="30">
        <f t="shared" si="1"/>
        <v>10</v>
      </c>
      <c r="K64" s="30">
        <v>1</v>
      </c>
      <c r="L64" s="30">
        <f ca="1">SUM(K64:OFFSET(RngToDay,ROWS(Dates),10))</f>
        <v>437</v>
      </c>
      <c r="O64" s="30">
        <f t="shared" si="5"/>
        <v>64</v>
      </c>
      <c r="P64" s="32"/>
      <c r="Q64" s="32"/>
    </row>
    <row r="65" spans="1:17" x14ac:dyDescent="0.25">
      <c r="A65" s="138">
        <v>41703</v>
      </c>
      <c r="B65" s="32"/>
      <c r="C65" s="32"/>
      <c r="E65" s="32"/>
      <c r="F65" s="32">
        <f t="shared" si="0"/>
        <v>0</v>
      </c>
      <c r="G65" s="30" t="str">
        <f t="shared" ca="1" si="2"/>
        <v>History</v>
      </c>
      <c r="H65" s="30">
        <f t="shared" si="3"/>
        <v>2014</v>
      </c>
      <c r="I65" s="30">
        <f t="shared" si="4"/>
        <v>3</v>
      </c>
      <c r="J65" s="30">
        <f t="shared" si="1"/>
        <v>10</v>
      </c>
      <c r="K65" s="30">
        <v>1</v>
      </c>
      <c r="L65" s="30">
        <f ca="1">SUM(K65:OFFSET(RngToDay,ROWS(Dates),10))</f>
        <v>436</v>
      </c>
      <c r="O65" s="30">
        <f t="shared" si="5"/>
        <v>65</v>
      </c>
      <c r="P65" s="32"/>
      <c r="Q65" s="32"/>
    </row>
    <row r="66" spans="1:17" x14ac:dyDescent="0.25">
      <c r="A66" s="138">
        <v>41702</v>
      </c>
      <c r="B66" s="32"/>
      <c r="C66" s="32"/>
      <c r="E66" s="32"/>
      <c r="F66" s="32">
        <f t="shared" ref="F66:F80" si="6">ActCov</f>
        <v>0</v>
      </c>
      <c r="G66" s="30" t="str">
        <f t="shared" ca="1" si="2"/>
        <v>History</v>
      </c>
      <c r="H66" s="30">
        <f t="shared" si="3"/>
        <v>2014</v>
      </c>
      <c r="I66" s="30">
        <f t="shared" si="4"/>
        <v>3</v>
      </c>
      <c r="J66" s="30">
        <f t="shared" ref="J66:J129" si="7">IF(WEEKDAY(DATE(YEAR(A66),1,1),2)&gt;4,WEEKNUM(A66,2)-1,WEEKNUM(A66,2))</f>
        <v>10</v>
      </c>
      <c r="K66" s="30">
        <v>1</v>
      </c>
      <c r="L66" s="30">
        <f ca="1">SUM(K66:OFFSET(RngToDay,ROWS(Dates),10))</f>
        <v>435</v>
      </c>
      <c r="O66" s="30">
        <f t="shared" si="5"/>
        <v>66</v>
      </c>
      <c r="P66" s="32"/>
      <c r="Q66" s="32"/>
    </row>
    <row r="67" spans="1:17" x14ac:dyDescent="0.25">
      <c r="A67" s="138">
        <v>41701</v>
      </c>
      <c r="B67" s="32"/>
      <c r="C67" s="32"/>
      <c r="E67" s="32"/>
      <c r="F67" s="32">
        <f t="shared" si="6"/>
        <v>0</v>
      </c>
      <c r="G67" s="30" t="str">
        <f t="shared" ref="G67:G130" ca="1" si="8">IF(A67&gt;TODAY(),"Requirements","History")</f>
        <v>History</v>
      </c>
      <c r="H67" s="30">
        <f t="shared" ref="H67:H130" si="9">YEAR(A67)</f>
        <v>2014</v>
      </c>
      <c r="I67" s="30">
        <f t="shared" ref="I67:I130" si="10">MONTH(A67)</f>
        <v>3</v>
      </c>
      <c r="J67" s="30">
        <f t="shared" si="7"/>
        <v>10</v>
      </c>
      <c r="K67" s="30">
        <v>1</v>
      </c>
      <c r="L67" s="30">
        <f ca="1">SUM(K67:OFFSET(RngToDay,ROWS(Dates),10))</f>
        <v>434</v>
      </c>
      <c r="O67" s="30">
        <f t="shared" si="5"/>
        <v>67</v>
      </c>
      <c r="P67" s="32"/>
      <c r="Q67" s="32"/>
    </row>
    <row r="68" spans="1:17" x14ac:dyDescent="0.25">
      <c r="A68" s="138">
        <v>41698</v>
      </c>
      <c r="B68" s="32"/>
      <c r="C68" s="32"/>
      <c r="E68" s="32"/>
      <c r="F68" s="32">
        <f t="shared" si="6"/>
        <v>0</v>
      </c>
      <c r="G68" s="30" t="str">
        <f t="shared" ca="1" si="8"/>
        <v>History</v>
      </c>
      <c r="H68" s="30">
        <f t="shared" si="9"/>
        <v>2014</v>
      </c>
      <c r="I68" s="30">
        <f t="shared" si="10"/>
        <v>2</v>
      </c>
      <c r="J68" s="30">
        <f t="shared" si="7"/>
        <v>9</v>
      </c>
      <c r="K68" s="30">
        <v>1</v>
      </c>
      <c r="L68" s="30">
        <f ca="1">SUM(K68:OFFSET(RngToDay,ROWS(Dates),10))</f>
        <v>433</v>
      </c>
      <c r="O68" s="30">
        <f t="shared" ref="O68:O131" si="11">O67+1</f>
        <v>68</v>
      </c>
      <c r="P68" s="32"/>
      <c r="Q68" s="32"/>
    </row>
    <row r="69" spans="1:17" x14ac:dyDescent="0.25">
      <c r="A69" s="138">
        <v>41697</v>
      </c>
      <c r="B69" s="32"/>
      <c r="C69" s="32"/>
      <c r="E69" s="32"/>
      <c r="F69" s="32">
        <f t="shared" si="6"/>
        <v>0</v>
      </c>
      <c r="G69" s="30" t="str">
        <f t="shared" ca="1" si="8"/>
        <v>History</v>
      </c>
      <c r="H69" s="30">
        <f t="shared" si="9"/>
        <v>2014</v>
      </c>
      <c r="I69" s="30">
        <f t="shared" si="10"/>
        <v>2</v>
      </c>
      <c r="J69" s="30">
        <f t="shared" si="7"/>
        <v>9</v>
      </c>
      <c r="K69" s="30">
        <v>1</v>
      </c>
      <c r="L69" s="30">
        <f ca="1">SUM(K69:OFFSET(RngToDay,ROWS(Dates),10))</f>
        <v>432</v>
      </c>
      <c r="O69" s="30">
        <f t="shared" si="11"/>
        <v>69</v>
      </c>
      <c r="P69" s="32"/>
      <c r="Q69" s="32"/>
    </row>
    <row r="70" spans="1:17" x14ac:dyDescent="0.25">
      <c r="A70" s="138">
        <v>41696</v>
      </c>
      <c r="B70" s="32"/>
      <c r="C70" s="32"/>
      <c r="E70" s="32"/>
      <c r="F70" s="32">
        <f t="shared" si="6"/>
        <v>0</v>
      </c>
      <c r="G70" s="30" t="str">
        <f t="shared" ca="1" si="8"/>
        <v>History</v>
      </c>
      <c r="H70" s="30">
        <f t="shared" si="9"/>
        <v>2014</v>
      </c>
      <c r="I70" s="30">
        <f t="shared" si="10"/>
        <v>2</v>
      </c>
      <c r="J70" s="30">
        <f t="shared" si="7"/>
        <v>9</v>
      </c>
      <c r="K70" s="30">
        <v>1</v>
      </c>
      <c r="L70" s="30">
        <f ca="1">SUM(K70:OFFSET(RngToDay,ROWS(Dates),10))</f>
        <v>431</v>
      </c>
      <c r="O70" s="30">
        <f t="shared" si="11"/>
        <v>70</v>
      </c>
      <c r="P70" s="32"/>
      <c r="Q70" s="32"/>
    </row>
    <row r="71" spans="1:17" x14ac:dyDescent="0.25">
      <c r="A71" s="138">
        <v>41695</v>
      </c>
      <c r="B71" s="32"/>
      <c r="C71" s="32"/>
      <c r="E71" s="32"/>
      <c r="F71" s="32">
        <f t="shared" si="6"/>
        <v>0</v>
      </c>
      <c r="G71" s="30" t="str">
        <f t="shared" ca="1" si="8"/>
        <v>History</v>
      </c>
      <c r="H71" s="30">
        <f t="shared" si="9"/>
        <v>2014</v>
      </c>
      <c r="I71" s="30">
        <f t="shared" si="10"/>
        <v>2</v>
      </c>
      <c r="J71" s="30">
        <f t="shared" si="7"/>
        <v>9</v>
      </c>
      <c r="K71" s="30">
        <v>1</v>
      </c>
      <c r="L71" s="30">
        <f ca="1">SUM(K71:OFFSET(RngToDay,ROWS(Dates),10))</f>
        <v>430</v>
      </c>
      <c r="O71" s="30">
        <f t="shared" si="11"/>
        <v>71</v>
      </c>
      <c r="P71" s="32"/>
      <c r="Q71" s="32"/>
    </row>
    <row r="72" spans="1:17" x14ac:dyDescent="0.25">
      <c r="A72" s="138">
        <v>41694</v>
      </c>
      <c r="B72" s="32"/>
      <c r="C72" s="32"/>
      <c r="E72" s="32"/>
      <c r="F72" s="32">
        <f t="shared" si="6"/>
        <v>0</v>
      </c>
      <c r="G72" s="30" t="str">
        <f t="shared" ca="1" si="8"/>
        <v>History</v>
      </c>
      <c r="H72" s="30">
        <f t="shared" si="9"/>
        <v>2014</v>
      </c>
      <c r="I72" s="30">
        <f t="shared" si="10"/>
        <v>2</v>
      </c>
      <c r="J72" s="30">
        <f t="shared" si="7"/>
        <v>9</v>
      </c>
      <c r="K72" s="30">
        <v>1</v>
      </c>
      <c r="L72" s="30">
        <f ca="1">SUM(K72:OFFSET(RngToDay,ROWS(Dates),10))</f>
        <v>429</v>
      </c>
      <c r="O72" s="30">
        <f t="shared" si="11"/>
        <v>72</v>
      </c>
      <c r="P72" s="32"/>
      <c r="Q72" s="32"/>
    </row>
    <row r="73" spans="1:17" x14ac:dyDescent="0.25">
      <c r="A73" s="138">
        <v>41691</v>
      </c>
      <c r="B73" s="32"/>
      <c r="C73" s="32"/>
      <c r="E73" s="32"/>
      <c r="F73" s="32">
        <f t="shared" si="6"/>
        <v>0</v>
      </c>
      <c r="G73" s="30" t="str">
        <f t="shared" ca="1" si="8"/>
        <v>History</v>
      </c>
      <c r="H73" s="30">
        <f t="shared" si="9"/>
        <v>2014</v>
      </c>
      <c r="I73" s="30">
        <f t="shared" si="10"/>
        <v>2</v>
      </c>
      <c r="J73" s="30">
        <f t="shared" si="7"/>
        <v>8</v>
      </c>
      <c r="K73" s="30">
        <v>1</v>
      </c>
      <c r="L73" s="30">
        <f ca="1">SUM(K73:OFFSET(RngToDay,ROWS(Dates),10))</f>
        <v>428</v>
      </c>
      <c r="O73" s="30">
        <f t="shared" si="11"/>
        <v>73</v>
      </c>
      <c r="P73" s="32"/>
      <c r="Q73" s="32"/>
    </row>
    <row r="74" spans="1:17" x14ac:dyDescent="0.25">
      <c r="A74" s="138">
        <v>41690</v>
      </c>
      <c r="B74" s="32"/>
      <c r="C74" s="32"/>
      <c r="E74" s="32"/>
      <c r="F74" s="32">
        <f t="shared" si="6"/>
        <v>0</v>
      </c>
      <c r="G74" s="30" t="str">
        <f t="shared" ca="1" si="8"/>
        <v>History</v>
      </c>
      <c r="H74" s="30">
        <f t="shared" si="9"/>
        <v>2014</v>
      </c>
      <c r="I74" s="30">
        <f t="shared" si="10"/>
        <v>2</v>
      </c>
      <c r="J74" s="30">
        <f t="shared" si="7"/>
        <v>8</v>
      </c>
      <c r="K74" s="30">
        <v>1</v>
      </c>
      <c r="L74" s="30">
        <f ca="1">SUM(K74:OFFSET(RngToDay,ROWS(Dates),10))</f>
        <v>427</v>
      </c>
      <c r="O74" s="30">
        <f t="shared" si="11"/>
        <v>74</v>
      </c>
      <c r="P74" s="32"/>
      <c r="Q74" s="32"/>
    </row>
    <row r="75" spans="1:17" x14ac:dyDescent="0.25">
      <c r="A75" s="138">
        <v>41689</v>
      </c>
      <c r="B75" s="32"/>
      <c r="C75" s="32"/>
      <c r="E75" s="32"/>
      <c r="F75" s="32">
        <f t="shared" si="6"/>
        <v>0</v>
      </c>
      <c r="G75" s="30" t="str">
        <f t="shared" ca="1" si="8"/>
        <v>History</v>
      </c>
      <c r="H75" s="30">
        <f t="shared" si="9"/>
        <v>2014</v>
      </c>
      <c r="I75" s="30">
        <f t="shared" si="10"/>
        <v>2</v>
      </c>
      <c r="J75" s="30">
        <f t="shared" si="7"/>
        <v>8</v>
      </c>
      <c r="K75" s="30">
        <v>1</v>
      </c>
      <c r="L75" s="30">
        <f ca="1">SUM(K75:OFFSET(RngToDay,ROWS(Dates),10))</f>
        <v>426</v>
      </c>
      <c r="O75" s="30">
        <f t="shared" si="11"/>
        <v>75</v>
      </c>
      <c r="P75" s="32"/>
      <c r="Q75" s="32"/>
    </row>
    <row r="76" spans="1:17" x14ac:dyDescent="0.25">
      <c r="A76" s="138">
        <v>41688</v>
      </c>
      <c r="B76" s="32"/>
      <c r="C76" s="32"/>
      <c r="E76" s="32"/>
      <c r="F76" s="32">
        <f t="shared" si="6"/>
        <v>0</v>
      </c>
      <c r="G76" s="30" t="str">
        <f t="shared" ca="1" si="8"/>
        <v>History</v>
      </c>
      <c r="H76" s="30">
        <f t="shared" si="9"/>
        <v>2014</v>
      </c>
      <c r="I76" s="30">
        <f t="shared" si="10"/>
        <v>2</v>
      </c>
      <c r="J76" s="30">
        <f t="shared" si="7"/>
        <v>8</v>
      </c>
      <c r="K76" s="30">
        <v>1</v>
      </c>
      <c r="L76" s="30">
        <f ca="1">SUM(K76:OFFSET(RngToDay,ROWS(Dates),10))</f>
        <v>425</v>
      </c>
      <c r="O76" s="30">
        <f t="shared" si="11"/>
        <v>76</v>
      </c>
      <c r="P76" s="32"/>
      <c r="Q76" s="32"/>
    </row>
    <row r="77" spans="1:17" x14ac:dyDescent="0.25">
      <c r="A77" s="138">
        <v>41687</v>
      </c>
      <c r="B77" s="32"/>
      <c r="C77" s="32"/>
      <c r="E77" s="32"/>
      <c r="F77" s="32">
        <f t="shared" si="6"/>
        <v>0</v>
      </c>
      <c r="G77" s="30" t="str">
        <f t="shared" ca="1" si="8"/>
        <v>History</v>
      </c>
      <c r="H77" s="30">
        <f t="shared" si="9"/>
        <v>2014</v>
      </c>
      <c r="I77" s="30">
        <f t="shared" si="10"/>
        <v>2</v>
      </c>
      <c r="J77" s="30">
        <f t="shared" si="7"/>
        <v>8</v>
      </c>
      <c r="K77" s="30">
        <v>1</v>
      </c>
      <c r="L77" s="30">
        <f ca="1">SUM(K77:OFFSET(RngToDay,ROWS(Dates),10))</f>
        <v>424</v>
      </c>
      <c r="O77" s="30">
        <f t="shared" si="11"/>
        <v>77</v>
      </c>
      <c r="P77" s="32"/>
      <c r="Q77" s="32"/>
    </row>
    <row r="78" spans="1:17" x14ac:dyDescent="0.25">
      <c r="A78" s="138">
        <v>41684</v>
      </c>
      <c r="B78" s="32"/>
      <c r="C78" s="32"/>
      <c r="E78" s="32"/>
      <c r="F78" s="32">
        <f t="shared" si="6"/>
        <v>0</v>
      </c>
      <c r="G78" s="30" t="str">
        <f t="shared" ca="1" si="8"/>
        <v>History</v>
      </c>
      <c r="H78" s="30">
        <f t="shared" si="9"/>
        <v>2014</v>
      </c>
      <c r="I78" s="30">
        <f t="shared" si="10"/>
        <v>2</v>
      </c>
      <c r="J78" s="30">
        <f t="shared" si="7"/>
        <v>7</v>
      </c>
      <c r="K78" s="30">
        <v>1</v>
      </c>
      <c r="L78" s="30">
        <f ca="1">SUM(K78:OFFSET(RngToDay,ROWS(Dates),10))</f>
        <v>423</v>
      </c>
      <c r="O78" s="30">
        <f t="shared" si="11"/>
        <v>78</v>
      </c>
      <c r="P78" s="32"/>
      <c r="Q78" s="32"/>
    </row>
    <row r="79" spans="1:17" x14ac:dyDescent="0.25">
      <c r="A79" s="138">
        <v>41683</v>
      </c>
      <c r="B79" s="32"/>
      <c r="C79" s="32"/>
      <c r="E79" s="32"/>
      <c r="F79" s="32">
        <f t="shared" si="6"/>
        <v>0</v>
      </c>
      <c r="G79" s="30" t="str">
        <f t="shared" ca="1" si="8"/>
        <v>History</v>
      </c>
      <c r="H79" s="30">
        <f t="shared" si="9"/>
        <v>2014</v>
      </c>
      <c r="I79" s="30">
        <f t="shared" si="10"/>
        <v>2</v>
      </c>
      <c r="J79" s="30">
        <f t="shared" si="7"/>
        <v>7</v>
      </c>
      <c r="K79" s="30">
        <v>1</v>
      </c>
      <c r="L79" s="30">
        <f ca="1">SUM(K79:OFFSET(RngToDay,ROWS(Dates),10))</f>
        <v>422</v>
      </c>
      <c r="O79" s="30">
        <f t="shared" si="11"/>
        <v>79</v>
      </c>
      <c r="P79" s="32"/>
      <c r="Q79" s="32"/>
    </row>
    <row r="80" spans="1:17" x14ac:dyDescent="0.25">
      <c r="A80" s="138">
        <v>41682</v>
      </c>
      <c r="B80" s="32"/>
      <c r="C80" s="32"/>
      <c r="E80" s="32"/>
      <c r="F80" s="32">
        <f t="shared" si="6"/>
        <v>0</v>
      </c>
      <c r="G80" s="30" t="str">
        <f t="shared" ca="1" si="8"/>
        <v>History</v>
      </c>
      <c r="H80" s="30">
        <f t="shared" si="9"/>
        <v>2014</v>
      </c>
      <c r="I80" s="30">
        <f t="shared" si="10"/>
        <v>2</v>
      </c>
      <c r="J80" s="30">
        <f t="shared" si="7"/>
        <v>7</v>
      </c>
      <c r="K80" s="30">
        <v>1</v>
      </c>
      <c r="L80" s="30">
        <f ca="1">SUM(K80:OFFSET(RngToDay,ROWS(Dates),10))</f>
        <v>421</v>
      </c>
      <c r="O80" s="30">
        <f t="shared" si="11"/>
        <v>80</v>
      </c>
      <c r="P80" s="32"/>
      <c r="Q80" s="32"/>
    </row>
    <row r="81" spans="1:17" x14ac:dyDescent="0.25">
      <c r="A81" s="138">
        <v>41681</v>
      </c>
      <c r="B81" s="32"/>
      <c r="C81" s="32"/>
      <c r="E81" s="32"/>
      <c r="F81" s="32">
        <f t="shared" ref="F81:F122" si="12">ActCov</f>
        <v>0</v>
      </c>
      <c r="G81" s="30" t="str">
        <f t="shared" ca="1" si="8"/>
        <v>History</v>
      </c>
      <c r="H81" s="30">
        <f t="shared" si="9"/>
        <v>2014</v>
      </c>
      <c r="I81" s="30">
        <f t="shared" si="10"/>
        <v>2</v>
      </c>
      <c r="J81" s="30">
        <f t="shared" si="7"/>
        <v>7</v>
      </c>
      <c r="K81" s="30">
        <v>1</v>
      </c>
      <c r="L81" s="30">
        <f ca="1">SUM(K81:OFFSET(RngToDay,ROWS(Dates),10))</f>
        <v>420</v>
      </c>
      <c r="O81" s="30">
        <f t="shared" si="11"/>
        <v>81</v>
      </c>
      <c r="P81" s="32"/>
      <c r="Q81" s="32"/>
    </row>
    <row r="82" spans="1:17" x14ac:dyDescent="0.25">
      <c r="A82" s="138">
        <v>41680</v>
      </c>
      <c r="B82" s="32"/>
      <c r="C82" s="32"/>
      <c r="E82" s="32"/>
      <c r="F82" s="32">
        <f t="shared" si="12"/>
        <v>0</v>
      </c>
      <c r="G82" s="30" t="str">
        <f t="shared" ca="1" si="8"/>
        <v>History</v>
      </c>
      <c r="H82" s="30">
        <f t="shared" si="9"/>
        <v>2014</v>
      </c>
      <c r="I82" s="30">
        <f t="shared" si="10"/>
        <v>2</v>
      </c>
      <c r="J82" s="30">
        <f t="shared" si="7"/>
        <v>7</v>
      </c>
      <c r="K82" s="30">
        <v>1</v>
      </c>
      <c r="L82" s="30">
        <f ca="1">SUM(K82:OFFSET(RngToDay,ROWS(Dates),10))</f>
        <v>419</v>
      </c>
      <c r="O82" s="30">
        <f t="shared" si="11"/>
        <v>82</v>
      </c>
      <c r="P82" s="32"/>
      <c r="Q82" s="32"/>
    </row>
    <row r="83" spans="1:17" x14ac:dyDescent="0.25">
      <c r="A83" s="138">
        <v>41677</v>
      </c>
      <c r="B83" s="32"/>
      <c r="C83" s="32"/>
      <c r="E83" s="32"/>
      <c r="F83" s="32">
        <f t="shared" si="12"/>
        <v>0</v>
      </c>
      <c r="G83" s="30" t="str">
        <f t="shared" ca="1" si="8"/>
        <v>History</v>
      </c>
      <c r="H83" s="30">
        <f t="shared" si="9"/>
        <v>2014</v>
      </c>
      <c r="I83" s="30">
        <f t="shared" si="10"/>
        <v>2</v>
      </c>
      <c r="J83" s="30">
        <f t="shared" si="7"/>
        <v>6</v>
      </c>
      <c r="K83" s="30">
        <v>1</v>
      </c>
      <c r="L83" s="30">
        <f ca="1">SUM(K83:OFFSET(RngToDay,ROWS(Dates),10))</f>
        <v>418</v>
      </c>
      <c r="O83" s="30">
        <f t="shared" si="11"/>
        <v>83</v>
      </c>
      <c r="P83" s="32"/>
      <c r="Q83" s="32"/>
    </row>
    <row r="84" spans="1:17" x14ac:dyDescent="0.25">
      <c r="A84" s="138">
        <v>41676</v>
      </c>
      <c r="B84" s="32"/>
      <c r="C84" s="32"/>
      <c r="E84" s="32"/>
      <c r="F84" s="32">
        <f t="shared" si="12"/>
        <v>0</v>
      </c>
      <c r="G84" s="30" t="str">
        <f t="shared" ca="1" si="8"/>
        <v>History</v>
      </c>
      <c r="H84" s="30">
        <f t="shared" si="9"/>
        <v>2014</v>
      </c>
      <c r="I84" s="30">
        <f t="shared" si="10"/>
        <v>2</v>
      </c>
      <c r="J84" s="30">
        <f t="shared" si="7"/>
        <v>6</v>
      </c>
      <c r="K84" s="30">
        <v>1</v>
      </c>
      <c r="L84" s="30">
        <f ca="1">SUM(K84:OFFSET(RngToDay,ROWS(Dates),10))</f>
        <v>417</v>
      </c>
      <c r="O84" s="30">
        <f t="shared" si="11"/>
        <v>84</v>
      </c>
      <c r="P84" s="32"/>
      <c r="Q84" s="32"/>
    </row>
    <row r="85" spans="1:17" x14ac:dyDescent="0.25">
      <c r="A85" s="138">
        <v>41675</v>
      </c>
      <c r="B85" s="32"/>
      <c r="C85" s="32"/>
      <c r="E85" s="32"/>
      <c r="F85" s="32">
        <f t="shared" si="12"/>
        <v>0</v>
      </c>
      <c r="G85" s="30" t="str">
        <f t="shared" ca="1" si="8"/>
        <v>History</v>
      </c>
      <c r="H85" s="30">
        <f t="shared" si="9"/>
        <v>2014</v>
      </c>
      <c r="I85" s="30">
        <f t="shared" si="10"/>
        <v>2</v>
      </c>
      <c r="J85" s="30">
        <f t="shared" si="7"/>
        <v>6</v>
      </c>
      <c r="K85" s="30">
        <v>1</v>
      </c>
      <c r="L85" s="30">
        <f ca="1">SUM(K85:OFFSET(RngToDay,ROWS(Dates),10))</f>
        <v>416</v>
      </c>
      <c r="O85" s="30">
        <f t="shared" si="11"/>
        <v>85</v>
      </c>
      <c r="P85" s="32"/>
      <c r="Q85" s="32"/>
    </row>
    <row r="86" spans="1:17" x14ac:dyDescent="0.25">
      <c r="A86" s="138">
        <v>41674</v>
      </c>
      <c r="B86" s="32"/>
      <c r="C86" s="32"/>
      <c r="E86" s="32"/>
      <c r="F86" s="32">
        <f t="shared" si="12"/>
        <v>0</v>
      </c>
      <c r="G86" s="30" t="str">
        <f t="shared" ca="1" si="8"/>
        <v>History</v>
      </c>
      <c r="H86" s="30">
        <f t="shared" si="9"/>
        <v>2014</v>
      </c>
      <c r="I86" s="30">
        <f t="shared" si="10"/>
        <v>2</v>
      </c>
      <c r="J86" s="30">
        <f t="shared" si="7"/>
        <v>6</v>
      </c>
      <c r="K86" s="30">
        <v>1</v>
      </c>
      <c r="L86" s="30">
        <f ca="1">SUM(K86:OFFSET(RngToDay,ROWS(Dates),10))</f>
        <v>415</v>
      </c>
      <c r="O86" s="30">
        <f t="shared" si="11"/>
        <v>86</v>
      </c>
      <c r="P86" s="32"/>
      <c r="Q86" s="32"/>
    </row>
    <row r="87" spans="1:17" x14ac:dyDescent="0.25">
      <c r="A87" s="138">
        <v>41673</v>
      </c>
      <c r="B87" s="32"/>
      <c r="C87" s="32"/>
      <c r="E87" s="32"/>
      <c r="F87" s="32">
        <f t="shared" si="12"/>
        <v>0</v>
      </c>
      <c r="G87" s="30" t="str">
        <f t="shared" ca="1" si="8"/>
        <v>History</v>
      </c>
      <c r="H87" s="30">
        <f t="shared" si="9"/>
        <v>2014</v>
      </c>
      <c r="I87" s="30">
        <f t="shared" si="10"/>
        <v>2</v>
      </c>
      <c r="J87" s="30">
        <f t="shared" si="7"/>
        <v>6</v>
      </c>
      <c r="K87" s="30">
        <v>1</v>
      </c>
      <c r="L87" s="30">
        <f ca="1">SUM(K87:OFFSET(RngToDay,ROWS(Dates),10))</f>
        <v>414</v>
      </c>
      <c r="O87" s="30">
        <f t="shared" si="11"/>
        <v>87</v>
      </c>
      <c r="P87" s="32"/>
      <c r="Q87" s="32"/>
    </row>
    <row r="88" spans="1:17" x14ac:dyDescent="0.25">
      <c r="A88" s="138">
        <v>41670</v>
      </c>
      <c r="B88" s="32"/>
      <c r="C88" s="32"/>
      <c r="E88" s="32"/>
      <c r="F88" s="32">
        <f t="shared" si="12"/>
        <v>0</v>
      </c>
      <c r="G88" s="30" t="str">
        <f t="shared" ca="1" si="8"/>
        <v>History</v>
      </c>
      <c r="H88" s="30">
        <f t="shared" si="9"/>
        <v>2014</v>
      </c>
      <c r="I88" s="30">
        <f t="shared" si="10"/>
        <v>1</v>
      </c>
      <c r="J88" s="30">
        <f t="shared" si="7"/>
        <v>5</v>
      </c>
      <c r="K88" s="30">
        <v>1</v>
      </c>
      <c r="L88" s="30">
        <f ca="1">SUM(K88:OFFSET(RngToDay,ROWS(Dates),10))</f>
        <v>413</v>
      </c>
      <c r="O88" s="30">
        <f t="shared" si="11"/>
        <v>88</v>
      </c>
      <c r="P88" s="32"/>
      <c r="Q88" s="32"/>
    </row>
    <row r="89" spans="1:17" x14ac:dyDescent="0.25">
      <c r="A89" s="138">
        <v>41669</v>
      </c>
      <c r="B89" s="32"/>
      <c r="C89" s="32"/>
      <c r="E89" s="32"/>
      <c r="F89" s="32">
        <f t="shared" si="12"/>
        <v>0</v>
      </c>
      <c r="G89" s="30" t="str">
        <f t="shared" ca="1" si="8"/>
        <v>History</v>
      </c>
      <c r="H89" s="30">
        <f t="shared" si="9"/>
        <v>2014</v>
      </c>
      <c r="I89" s="30">
        <f t="shared" si="10"/>
        <v>1</v>
      </c>
      <c r="J89" s="30">
        <f t="shared" si="7"/>
        <v>5</v>
      </c>
      <c r="K89" s="30">
        <v>1</v>
      </c>
      <c r="L89" s="30">
        <f ca="1">SUM(K89:OFFSET(RngToDay,ROWS(Dates),10))</f>
        <v>412</v>
      </c>
      <c r="O89" s="30">
        <f t="shared" si="11"/>
        <v>89</v>
      </c>
      <c r="P89" s="32"/>
      <c r="Q89" s="32"/>
    </row>
    <row r="90" spans="1:17" x14ac:dyDescent="0.25">
      <c r="A90" s="138">
        <v>41668</v>
      </c>
      <c r="B90" s="32"/>
      <c r="C90" s="32"/>
      <c r="E90" s="32"/>
      <c r="F90" s="32">
        <f t="shared" si="12"/>
        <v>0</v>
      </c>
      <c r="G90" s="30" t="str">
        <f t="shared" ca="1" si="8"/>
        <v>History</v>
      </c>
      <c r="H90" s="30">
        <f t="shared" si="9"/>
        <v>2014</v>
      </c>
      <c r="I90" s="30">
        <f t="shared" si="10"/>
        <v>1</v>
      </c>
      <c r="J90" s="30">
        <f t="shared" si="7"/>
        <v>5</v>
      </c>
      <c r="K90" s="30">
        <v>1</v>
      </c>
      <c r="L90" s="30">
        <f ca="1">SUM(K90:OFFSET(RngToDay,ROWS(Dates),10))</f>
        <v>411</v>
      </c>
      <c r="O90" s="30">
        <f t="shared" si="11"/>
        <v>90</v>
      </c>
      <c r="P90" s="32"/>
      <c r="Q90" s="32"/>
    </row>
    <row r="91" spans="1:17" x14ac:dyDescent="0.25">
      <c r="A91" s="138">
        <v>41667</v>
      </c>
      <c r="B91" s="32"/>
      <c r="C91" s="32"/>
      <c r="E91" s="32"/>
      <c r="F91" s="32">
        <f t="shared" si="12"/>
        <v>0</v>
      </c>
      <c r="G91" s="30" t="str">
        <f t="shared" ca="1" si="8"/>
        <v>History</v>
      </c>
      <c r="H91" s="30">
        <f t="shared" si="9"/>
        <v>2014</v>
      </c>
      <c r="I91" s="30">
        <f t="shared" si="10"/>
        <v>1</v>
      </c>
      <c r="J91" s="30">
        <f t="shared" si="7"/>
        <v>5</v>
      </c>
      <c r="K91" s="30">
        <v>1</v>
      </c>
      <c r="L91" s="30">
        <f ca="1">SUM(K91:OFFSET(RngToDay,ROWS(Dates),10))</f>
        <v>410</v>
      </c>
      <c r="O91" s="30">
        <f t="shared" si="11"/>
        <v>91</v>
      </c>
      <c r="P91" s="32"/>
      <c r="Q91" s="32"/>
    </row>
    <row r="92" spans="1:17" x14ac:dyDescent="0.25">
      <c r="A92" s="138">
        <v>41666</v>
      </c>
      <c r="B92" s="32"/>
      <c r="C92" s="32"/>
      <c r="E92" s="32"/>
      <c r="F92" s="32">
        <f t="shared" si="12"/>
        <v>0</v>
      </c>
      <c r="G92" s="30" t="str">
        <f t="shared" ca="1" si="8"/>
        <v>History</v>
      </c>
      <c r="H92" s="30">
        <f t="shared" si="9"/>
        <v>2014</v>
      </c>
      <c r="I92" s="30">
        <f t="shared" si="10"/>
        <v>1</v>
      </c>
      <c r="J92" s="30">
        <f t="shared" si="7"/>
        <v>5</v>
      </c>
      <c r="K92" s="30">
        <v>1</v>
      </c>
      <c r="L92" s="30">
        <f ca="1">SUM(K92:OFFSET(RngToDay,ROWS(Dates),10))</f>
        <v>409</v>
      </c>
      <c r="O92" s="30">
        <f t="shared" si="11"/>
        <v>92</v>
      </c>
      <c r="P92" s="32"/>
      <c r="Q92" s="32"/>
    </row>
    <row r="93" spans="1:17" x14ac:dyDescent="0.25">
      <c r="A93" s="138">
        <v>41663</v>
      </c>
      <c r="B93" s="32"/>
      <c r="C93" s="32"/>
      <c r="E93" s="32"/>
      <c r="F93" s="32">
        <f t="shared" si="12"/>
        <v>0</v>
      </c>
      <c r="G93" s="30" t="str">
        <f t="shared" ca="1" si="8"/>
        <v>History</v>
      </c>
      <c r="H93" s="30">
        <f t="shared" si="9"/>
        <v>2014</v>
      </c>
      <c r="I93" s="30">
        <f t="shared" si="10"/>
        <v>1</v>
      </c>
      <c r="J93" s="30">
        <f t="shared" si="7"/>
        <v>4</v>
      </c>
      <c r="K93" s="30">
        <v>1</v>
      </c>
      <c r="L93" s="30">
        <f ca="1">SUM(K93:OFFSET(RngToDay,ROWS(Dates),10))</f>
        <v>408</v>
      </c>
      <c r="O93" s="30">
        <f t="shared" si="11"/>
        <v>93</v>
      </c>
      <c r="P93" s="32"/>
      <c r="Q93" s="32"/>
    </row>
    <row r="94" spans="1:17" x14ac:dyDescent="0.25">
      <c r="A94" s="138">
        <v>41662</v>
      </c>
      <c r="B94" s="32"/>
      <c r="C94" s="32"/>
      <c r="E94" s="32"/>
      <c r="F94" s="32">
        <f t="shared" si="12"/>
        <v>0</v>
      </c>
      <c r="G94" s="30" t="str">
        <f t="shared" ca="1" si="8"/>
        <v>History</v>
      </c>
      <c r="H94" s="30">
        <f t="shared" si="9"/>
        <v>2014</v>
      </c>
      <c r="I94" s="30">
        <f t="shared" si="10"/>
        <v>1</v>
      </c>
      <c r="J94" s="30">
        <f t="shared" si="7"/>
        <v>4</v>
      </c>
      <c r="K94" s="30">
        <v>1</v>
      </c>
      <c r="L94" s="30">
        <f ca="1">SUM(K94:OFFSET(RngToDay,ROWS(Dates),10))</f>
        <v>407</v>
      </c>
      <c r="O94" s="30">
        <f t="shared" si="11"/>
        <v>94</v>
      </c>
      <c r="P94" s="32"/>
      <c r="Q94" s="32"/>
    </row>
    <row r="95" spans="1:17" x14ac:dyDescent="0.25">
      <c r="A95" s="138">
        <v>41661</v>
      </c>
      <c r="B95" s="32"/>
      <c r="C95" s="32"/>
      <c r="E95" s="32"/>
      <c r="F95" s="32">
        <f t="shared" si="12"/>
        <v>0</v>
      </c>
      <c r="G95" s="30" t="str">
        <f t="shared" ca="1" si="8"/>
        <v>History</v>
      </c>
      <c r="H95" s="30">
        <f t="shared" si="9"/>
        <v>2014</v>
      </c>
      <c r="I95" s="30">
        <f t="shared" si="10"/>
        <v>1</v>
      </c>
      <c r="J95" s="30">
        <f t="shared" si="7"/>
        <v>4</v>
      </c>
      <c r="K95" s="30">
        <v>1</v>
      </c>
      <c r="L95" s="30">
        <f ca="1">SUM(K95:OFFSET(RngToDay,ROWS(Dates),10))</f>
        <v>406</v>
      </c>
      <c r="O95" s="30">
        <f t="shared" si="11"/>
        <v>95</v>
      </c>
      <c r="P95" s="32"/>
      <c r="Q95" s="32"/>
    </row>
    <row r="96" spans="1:17" x14ac:dyDescent="0.25">
      <c r="A96" s="138">
        <v>41660</v>
      </c>
      <c r="B96" s="32"/>
      <c r="C96" s="32"/>
      <c r="E96" s="32"/>
      <c r="F96" s="32">
        <f t="shared" si="12"/>
        <v>0</v>
      </c>
      <c r="G96" s="30" t="str">
        <f t="shared" ca="1" si="8"/>
        <v>History</v>
      </c>
      <c r="H96" s="30">
        <f t="shared" si="9"/>
        <v>2014</v>
      </c>
      <c r="I96" s="30">
        <f t="shared" si="10"/>
        <v>1</v>
      </c>
      <c r="J96" s="30">
        <f t="shared" si="7"/>
        <v>4</v>
      </c>
      <c r="K96" s="30">
        <v>1</v>
      </c>
      <c r="L96" s="30">
        <f ca="1">SUM(K96:OFFSET(RngToDay,ROWS(Dates),10))</f>
        <v>405</v>
      </c>
      <c r="O96" s="30">
        <f t="shared" si="11"/>
        <v>96</v>
      </c>
      <c r="P96" s="32"/>
      <c r="Q96" s="32"/>
    </row>
    <row r="97" spans="1:17" x14ac:dyDescent="0.25">
      <c r="A97" s="138">
        <v>41659</v>
      </c>
      <c r="B97" s="32"/>
      <c r="C97" s="32"/>
      <c r="E97" s="32"/>
      <c r="F97" s="32">
        <f t="shared" si="12"/>
        <v>0</v>
      </c>
      <c r="G97" s="30" t="str">
        <f t="shared" ca="1" si="8"/>
        <v>History</v>
      </c>
      <c r="H97" s="30">
        <f t="shared" si="9"/>
        <v>2014</v>
      </c>
      <c r="I97" s="30">
        <f t="shared" si="10"/>
        <v>1</v>
      </c>
      <c r="J97" s="30">
        <f t="shared" si="7"/>
        <v>4</v>
      </c>
      <c r="K97" s="30">
        <v>1</v>
      </c>
      <c r="L97" s="30">
        <f ca="1">SUM(K97:OFFSET(RngToDay,ROWS(Dates),10))</f>
        <v>404</v>
      </c>
      <c r="O97" s="30">
        <f t="shared" si="11"/>
        <v>97</v>
      </c>
      <c r="P97" s="32"/>
      <c r="Q97" s="32"/>
    </row>
    <row r="98" spans="1:17" x14ac:dyDescent="0.25">
      <c r="A98" s="138">
        <v>41656</v>
      </c>
      <c r="B98" s="32"/>
      <c r="C98" s="32"/>
      <c r="E98" s="32"/>
      <c r="F98" s="32">
        <f t="shared" si="12"/>
        <v>0</v>
      </c>
      <c r="G98" s="30" t="str">
        <f t="shared" ca="1" si="8"/>
        <v>History</v>
      </c>
      <c r="H98" s="30">
        <f t="shared" si="9"/>
        <v>2014</v>
      </c>
      <c r="I98" s="30">
        <f t="shared" si="10"/>
        <v>1</v>
      </c>
      <c r="J98" s="30">
        <f t="shared" si="7"/>
        <v>3</v>
      </c>
      <c r="K98" s="30">
        <v>1</v>
      </c>
      <c r="L98" s="30">
        <f ca="1">SUM(K98:OFFSET(RngToDay,ROWS(Dates),10))</f>
        <v>403</v>
      </c>
      <c r="O98" s="30">
        <f t="shared" si="11"/>
        <v>98</v>
      </c>
      <c r="P98" s="32"/>
      <c r="Q98" s="32"/>
    </row>
    <row r="99" spans="1:17" x14ac:dyDescent="0.25">
      <c r="A99" s="138">
        <v>41655</v>
      </c>
      <c r="B99" s="32"/>
      <c r="C99" s="32"/>
      <c r="E99" s="32"/>
      <c r="F99" s="32">
        <f t="shared" si="12"/>
        <v>0</v>
      </c>
      <c r="G99" s="30" t="str">
        <f t="shared" ca="1" si="8"/>
        <v>History</v>
      </c>
      <c r="H99" s="30">
        <f t="shared" si="9"/>
        <v>2014</v>
      </c>
      <c r="I99" s="30">
        <f t="shared" si="10"/>
        <v>1</v>
      </c>
      <c r="J99" s="30">
        <f t="shared" si="7"/>
        <v>3</v>
      </c>
      <c r="K99" s="30">
        <v>1</v>
      </c>
      <c r="L99" s="30">
        <f ca="1">SUM(K99:OFFSET(RngToDay,ROWS(Dates),10))</f>
        <v>402</v>
      </c>
      <c r="O99" s="30">
        <f t="shared" si="11"/>
        <v>99</v>
      </c>
      <c r="P99" s="32"/>
      <c r="Q99" s="32"/>
    </row>
    <row r="100" spans="1:17" x14ac:dyDescent="0.25">
      <c r="A100" s="138">
        <v>41654</v>
      </c>
      <c r="B100" s="32"/>
      <c r="C100" s="32"/>
      <c r="E100" s="32"/>
      <c r="F100" s="32">
        <f t="shared" si="12"/>
        <v>0</v>
      </c>
      <c r="G100" s="30" t="str">
        <f t="shared" ca="1" si="8"/>
        <v>History</v>
      </c>
      <c r="H100" s="30">
        <f t="shared" si="9"/>
        <v>2014</v>
      </c>
      <c r="I100" s="30">
        <f t="shared" si="10"/>
        <v>1</v>
      </c>
      <c r="J100" s="30">
        <f t="shared" si="7"/>
        <v>3</v>
      </c>
      <c r="K100" s="30">
        <v>1</v>
      </c>
      <c r="L100" s="30">
        <f ca="1">SUM(K100:OFFSET(RngToDay,ROWS(Dates),10))</f>
        <v>401</v>
      </c>
      <c r="O100" s="30">
        <f t="shared" si="11"/>
        <v>100</v>
      </c>
      <c r="P100" s="32"/>
      <c r="Q100" s="32"/>
    </row>
    <row r="101" spans="1:17" x14ac:dyDescent="0.25">
      <c r="A101" s="138">
        <v>41653</v>
      </c>
      <c r="B101" s="32"/>
      <c r="C101" s="32"/>
      <c r="E101" s="32"/>
      <c r="F101" s="32">
        <f t="shared" si="12"/>
        <v>0</v>
      </c>
      <c r="G101" s="30" t="str">
        <f t="shared" ca="1" si="8"/>
        <v>History</v>
      </c>
      <c r="H101" s="30">
        <f t="shared" si="9"/>
        <v>2014</v>
      </c>
      <c r="I101" s="30">
        <f t="shared" si="10"/>
        <v>1</v>
      </c>
      <c r="J101" s="30">
        <f t="shared" si="7"/>
        <v>3</v>
      </c>
      <c r="K101" s="30">
        <v>1</v>
      </c>
      <c r="L101" s="30">
        <f ca="1">SUM(K101:OFFSET(RngToDay,ROWS(Dates),10))</f>
        <v>400</v>
      </c>
      <c r="O101" s="30">
        <f t="shared" si="11"/>
        <v>101</v>
      </c>
      <c r="P101" s="32"/>
      <c r="Q101" s="32"/>
    </row>
    <row r="102" spans="1:17" x14ac:dyDescent="0.25">
      <c r="A102" s="138">
        <v>41652</v>
      </c>
      <c r="B102" s="32"/>
      <c r="C102" s="32"/>
      <c r="E102" s="32"/>
      <c r="F102" s="32">
        <f t="shared" si="12"/>
        <v>0</v>
      </c>
      <c r="G102" s="30" t="str">
        <f t="shared" ca="1" si="8"/>
        <v>History</v>
      </c>
      <c r="H102" s="30">
        <f t="shared" si="9"/>
        <v>2014</v>
      </c>
      <c r="I102" s="30">
        <f t="shared" si="10"/>
        <v>1</v>
      </c>
      <c r="J102" s="30">
        <f t="shared" si="7"/>
        <v>3</v>
      </c>
      <c r="K102" s="30">
        <v>1</v>
      </c>
      <c r="L102" s="30">
        <f ca="1">SUM(K102:OFFSET(RngToDay,ROWS(Dates),10))</f>
        <v>399</v>
      </c>
      <c r="O102" s="30">
        <f t="shared" si="11"/>
        <v>102</v>
      </c>
      <c r="P102" s="32"/>
      <c r="Q102" s="32"/>
    </row>
    <row r="103" spans="1:17" x14ac:dyDescent="0.25">
      <c r="A103" s="138">
        <v>41649</v>
      </c>
      <c r="B103" s="32"/>
      <c r="C103" s="32"/>
      <c r="E103" s="32"/>
      <c r="F103" s="32">
        <f t="shared" si="12"/>
        <v>0</v>
      </c>
      <c r="G103" s="30" t="str">
        <f t="shared" ca="1" si="8"/>
        <v>History</v>
      </c>
      <c r="H103" s="30">
        <f t="shared" si="9"/>
        <v>2014</v>
      </c>
      <c r="I103" s="30">
        <f t="shared" si="10"/>
        <v>1</v>
      </c>
      <c r="J103" s="30">
        <f t="shared" si="7"/>
        <v>2</v>
      </c>
      <c r="K103" s="30">
        <v>1</v>
      </c>
      <c r="L103" s="30">
        <f ca="1">SUM(K103:OFFSET(RngToDay,ROWS(Dates),10))</f>
        <v>398</v>
      </c>
      <c r="O103" s="30">
        <f t="shared" si="11"/>
        <v>103</v>
      </c>
      <c r="P103" s="32"/>
      <c r="Q103" s="32"/>
    </row>
    <row r="104" spans="1:17" x14ac:dyDescent="0.25">
      <c r="A104" s="138">
        <v>41648</v>
      </c>
      <c r="B104" s="32"/>
      <c r="C104" s="32"/>
      <c r="E104" s="32"/>
      <c r="F104" s="32">
        <f t="shared" si="12"/>
        <v>0</v>
      </c>
      <c r="G104" s="30" t="str">
        <f t="shared" ca="1" si="8"/>
        <v>History</v>
      </c>
      <c r="H104" s="30">
        <f t="shared" si="9"/>
        <v>2014</v>
      </c>
      <c r="I104" s="30">
        <f t="shared" si="10"/>
        <v>1</v>
      </c>
      <c r="J104" s="30">
        <f t="shared" si="7"/>
        <v>2</v>
      </c>
      <c r="K104" s="30">
        <v>1</v>
      </c>
      <c r="L104" s="30">
        <f ca="1">SUM(K104:OFFSET(RngToDay,ROWS(Dates),10))</f>
        <v>397</v>
      </c>
      <c r="O104" s="30">
        <f t="shared" si="11"/>
        <v>104</v>
      </c>
      <c r="P104" s="32"/>
      <c r="Q104" s="32"/>
    </row>
    <row r="105" spans="1:17" x14ac:dyDescent="0.25">
      <c r="A105" s="138">
        <v>41647</v>
      </c>
      <c r="B105" s="32"/>
      <c r="C105" s="32"/>
      <c r="E105" s="32"/>
      <c r="F105" s="32">
        <f t="shared" si="12"/>
        <v>0</v>
      </c>
      <c r="G105" s="30" t="str">
        <f t="shared" ca="1" si="8"/>
        <v>History</v>
      </c>
      <c r="H105" s="30">
        <f t="shared" si="9"/>
        <v>2014</v>
      </c>
      <c r="I105" s="30">
        <f t="shared" si="10"/>
        <v>1</v>
      </c>
      <c r="J105" s="30">
        <f t="shared" si="7"/>
        <v>2</v>
      </c>
      <c r="K105" s="30">
        <v>1</v>
      </c>
      <c r="L105" s="30">
        <f ca="1">SUM(K105:OFFSET(RngToDay,ROWS(Dates),10))</f>
        <v>396</v>
      </c>
      <c r="O105" s="30">
        <f t="shared" si="11"/>
        <v>105</v>
      </c>
      <c r="P105" s="32"/>
      <c r="Q105" s="32"/>
    </row>
    <row r="106" spans="1:17" x14ac:dyDescent="0.25">
      <c r="A106" s="138">
        <v>41646</v>
      </c>
      <c r="B106" s="32"/>
      <c r="C106" s="32"/>
      <c r="E106" s="32"/>
      <c r="F106" s="32">
        <f t="shared" si="12"/>
        <v>0</v>
      </c>
      <c r="G106" s="30" t="str">
        <f t="shared" ca="1" si="8"/>
        <v>History</v>
      </c>
      <c r="H106" s="30">
        <f t="shared" si="9"/>
        <v>2014</v>
      </c>
      <c r="I106" s="30">
        <f t="shared" si="10"/>
        <v>1</v>
      </c>
      <c r="J106" s="30">
        <f t="shared" si="7"/>
        <v>2</v>
      </c>
      <c r="K106" s="30">
        <v>1</v>
      </c>
      <c r="L106" s="30">
        <f ca="1">SUM(K106:OFFSET(RngToDay,ROWS(Dates),10))</f>
        <v>395</v>
      </c>
      <c r="O106" s="30">
        <f t="shared" si="11"/>
        <v>106</v>
      </c>
      <c r="P106" s="32"/>
      <c r="Q106" s="32"/>
    </row>
    <row r="107" spans="1:17" x14ac:dyDescent="0.25">
      <c r="A107" s="138">
        <v>41645</v>
      </c>
      <c r="B107" s="32"/>
      <c r="C107" s="32"/>
      <c r="E107" s="32"/>
      <c r="F107" s="32">
        <f t="shared" si="12"/>
        <v>0</v>
      </c>
      <c r="G107" s="30" t="str">
        <f t="shared" ca="1" si="8"/>
        <v>History</v>
      </c>
      <c r="H107" s="30">
        <f t="shared" si="9"/>
        <v>2014</v>
      </c>
      <c r="I107" s="30">
        <f t="shared" si="10"/>
        <v>1</v>
      </c>
      <c r="J107" s="30">
        <f t="shared" si="7"/>
        <v>2</v>
      </c>
      <c r="K107" s="30">
        <v>1</v>
      </c>
      <c r="L107" s="30">
        <f ca="1">SUM(K107:OFFSET(RngToDay,ROWS(Dates),10))</f>
        <v>394</v>
      </c>
      <c r="O107" s="30">
        <f t="shared" si="11"/>
        <v>107</v>
      </c>
      <c r="P107" s="32"/>
      <c r="Q107" s="32"/>
    </row>
    <row r="108" spans="1:17" x14ac:dyDescent="0.25">
      <c r="A108" s="138">
        <v>41642</v>
      </c>
      <c r="B108" s="32"/>
      <c r="C108" s="32"/>
      <c r="E108" s="32"/>
      <c r="F108" s="32">
        <f t="shared" si="12"/>
        <v>0</v>
      </c>
      <c r="G108" s="30" t="str">
        <f t="shared" ca="1" si="8"/>
        <v>History</v>
      </c>
      <c r="H108" s="30">
        <f t="shared" si="9"/>
        <v>2014</v>
      </c>
      <c r="I108" s="30">
        <f t="shared" si="10"/>
        <v>1</v>
      </c>
      <c r="J108" s="30">
        <f t="shared" si="7"/>
        <v>1</v>
      </c>
      <c r="K108" s="30">
        <v>1</v>
      </c>
      <c r="L108" s="30">
        <f ca="1">SUM(K108:OFFSET(RngToDay,ROWS(Dates),10))</f>
        <v>393</v>
      </c>
      <c r="O108" s="30">
        <f t="shared" si="11"/>
        <v>108</v>
      </c>
      <c r="P108" s="32"/>
      <c r="Q108" s="32"/>
    </row>
    <row r="109" spans="1:17" x14ac:dyDescent="0.25">
      <c r="A109" s="138">
        <v>41641</v>
      </c>
      <c r="B109" s="32"/>
      <c r="C109" s="32"/>
      <c r="E109" s="32"/>
      <c r="F109" s="32">
        <f t="shared" si="12"/>
        <v>0</v>
      </c>
      <c r="G109" s="30" t="str">
        <f t="shared" ca="1" si="8"/>
        <v>History</v>
      </c>
      <c r="H109" s="30">
        <f t="shared" si="9"/>
        <v>2014</v>
      </c>
      <c r="I109" s="30">
        <f t="shared" si="10"/>
        <v>1</v>
      </c>
      <c r="J109" s="30">
        <f t="shared" si="7"/>
        <v>1</v>
      </c>
      <c r="K109" s="30">
        <v>1</v>
      </c>
      <c r="L109" s="30">
        <f ca="1">SUM(K109:OFFSET(RngToDay,ROWS(Dates),10))</f>
        <v>392</v>
      </c>
      <c r="O109" s="30">
        <f t="shared" si="11"/>
        <v>109</v>
      </c>
      <c r="P109" s="32"/>
      <c r="Q109" s="32"/>
    </row>
    <row r="110" spans="1:17" x14ac:dyDescent="0.25">
      <c r="A110" s="138">
        <v>41638</v>
      </c>
      <c r="B110" s="32"/>
      <c r="C110" s="32"/>
      <c r="E110" s="32"/>
      <c r="F110" s="32">
        <f t="shared" si="12"/>
        <v>0</v>
      </c>
      <c r="G110" s="30" t="str">
        <f t="shared" ca="1" si="8"/>
        <v>History</v>
      </c>
      <c r="H110" s="30">
        <f t="shared" si="9"/>
        <v>2013</v>
      </c>
      <c r="I110" s="30">
        <f t="shared" si="10"/>
        <v>12</v>
      </c>
      <c r="J110" s="30">
        <f t="shared" si="7"/>
        <v>53</v>
      </c>
      <c r="K110" s="30">
        <v>1</v>
      </c>
      <c r="L110" s="30">
        <f ca="1">SUM(K110:OFFSET(RngToDay,ROWS(Dates),10))</f>
        <v>391</v>
      </c>
      <c r="O110" s="30">
        <f t="shared" si="11"/>
        <v>110</v>
      </c>
      <c r="P110" s="32"/>
      <c r="Q110" s="32"/>
    </row>
    <row r="111" spans="1:17" x14ac:dyDescent="0.25">
      <c r="A111" s="138">
        <v>41635</v>
      </c>
      <c r="B111" s="32"/>
      <c r="C111" s="32"/>
      <c r="E111" s="32"/>
      <c r="F111" s="32">
        <f t="shared" si="12"/>
        <v>0</v>
      </c>
      <c r="G111" s="30" t="str">
        <f t="shared" ca="1" si="8"/>
        <v>History</v>
      </c>
      <c r="H111" s="30">
        <f t="shared" si="9"/>
        <v>2013</v>
      </c>
      <c r="I111" s="30">
        <f t="shared" si="10"/>
        <v>12</v>
      </c>
      <c r="J111" s="30">
        <f t="shared" si="7"/>
        <v>52</v>
      </c>
      <c r="K111" s="30">
        <v>1</v>
      </c>
      <c r="L111" s="30">
        <f ca="1">SUM(K111:OFFSET(RngToDay,ROWS(Dates),10))</f>
        <v>390</v>
      </c>
      <c r="O111" s="30">
        <f t="shared" si="11"/>
        <v>111</v>
      </c>
      <c r="P111" s="32"/>
      <c r="Q111" s="32"/>
    </row>
    <row r="112" spans="1:17" x14ac:dyDescent="0.25">
      <c r="A112" s="138">
        <v>41631</v>
      </c>
      <c r="B112" s="32"/>
      <c r="C112" s="32"/>
      <c r="E112" s="32"/>
      <c r="F112" s="32">
        <f t="shared" si="12"/>
        <v>0</v>
      </c>
      <c r="G112" s="30" t="str">
        <f t="shared" ca="1" si="8"/>
        <v>History</v>
      </c>
      <c r="H112" s="30">
        <f t="shared" si="9"/>
        <v>2013</v>
      </c>
      <c r="I112" s="30">
        <f t="shared" si="10"/>
        <v>12</v>
      </c>
      <c r="J112" s="30">
        <f t="shared" si="7"/>
        <v>52</v>
      </c>
      <c r="K112" s="30">
        <v>1</v>
      </c>
      <c r="L112" s="30">
        <f ca="1">SUM(K112:OFFSET(RngToDay,ROWS(Dates),10))</f>
        <v>389</v>
      </c>
      <c r="O112" s="30">
        <f t="shared" si="11"/>
        <v>112</v>
      </c>
      <c r="P112" s="32"/>
      <c r="Q112" s="32"/>
    </row>
    <row r="113" spans="1:17" x14ac:dyDescent="0.25">
      <c r="A113" s="138">
        <v>41628</v>
      </c>
      <c r="B113" s="32"/>
      <c r="C113" s="32"/>
      <c r="E113" s="32"/>
      <c r="F113" s="32">
        <f t="shared" si="12"/>
        <v>0</v>
      </c>
      <c r="G113" s="30" t="str">
        <f t="shared" ca="1" si="8"/>
        <v>History</v>
      </c>
      <c r="H113" s="30">
        <f t="shared" si="9"/>
        <v>2013</v>
      </c>
      <c r="I113" s="30">
        <f t="shared" si="10"/>
        <v>12</v>
      </c>
      <c r="J113" s="30">
        <f t="shared" si="7"/>
        <v>51</v>
      </c>
      <c r="K113" s="30">
        <v>1</v>
      </c>
      <c r="L113" s="30">
        <f ca="1">SUM(K113:OFFSET(RngToDay,ROWS(Dates),10))</f>
        <v>388</v>
      </c>
      <c r="O113" s="30">
        <f t="shared" si="11"/>
        <v>113</v>
      </c>
      <c r="P113" s="32"/>
      <c r="Q113" s="32"/>
    </row>
    <row r="114" spans="1:17" x14ac:dyDescent="0.25">
      <c r="A114" s="138">
        <v>41627</v>
      </c>
      <c r="B114" s="32"/>
      <c r="C114" s="32"/>
      <c r="E114" s="32"/>
      <c r="F114" s="32">
        <f t="shared" si="12"/>
        <v>0</v>
      </c>
      <c r="G114" s="30" t="str">
        <f t="shared" ca="1" si="8"/>
        <v>History</v>
      </c>
      <c r="H114" s="30">
        <f t="shared" si="9"/>
        <v>2013</v>
      </c>
      <c r="I114" s="30">
        <f t="shared" si="10"/>
        <v>12</v>
      </c>
      <c r="J114" s="30">
        <f t="shared" si="7"/>
        <v>51</v>
      </c>
      <c r="K114" s="30">
        <v>1</v>
      </c>
      <c r="L114" s="30">
        <f ca="1">SUM(K114:OFFSET(RngToDay,ROWS(Dates),10))</f>
        <v>387</v>
      </c>
      <c r="O114" s="30">
        <f t="shared" si="11"/>
        <v>114</v>
      </c>
      <c r="P114" s="32"/>
      <c r="Q114" s="32"/>
    </row>
    <row r="115" spans="1:17" x14ac:dyDescent="0.25">
      <c r="A115" s="138">
        <v>41626</v>
      </c>
      <c r="B115" s="32"/>
      <c r="C115" s="32"/>
      <c r="E115" s="32"/>
      <c r="F115" s="32">
        <f t="shared" si="12"/>
        <v>0</v>
      </c>
      <c r="G115" s="30" t="str">
        <f t="shared" ca="1" si="8"/>
        <v>History</v>
      </c>
      <c r="H115" s="30">
        <f t="shared" si="9"/>
        <v>2013</v>
      </c>
      <c r="I115" s="30">
        <f t="shared" si="10"/>
        <v>12</v>
      </c>
      <c r="J115" s="30">
        <f t="shared" si="7"/>
        <v>51</v>
      </c>
      <c r="K115" s="30">
        <v>1</v>
      </c>
      <c r="L115" s="30">
        <f ca="1">SUM(K115:OFFSET(RngToDay,ROWS(Dates),10))</f>
        <v>386</v>
      </c>
      <c r="O115" s="30">
        <f t="shared" si="11"/>
        <v>115</v>
      </c>
      <c r="P115" s="32"/>
      <c r="Q115" s="32"/>
    </row>
    <row r="116" spans="1:17" x14ac:dyDescent="0.25">
      <c r="A116" s="138">
        <v>41625</v>
      </c>
      <c r="B116" s="32"/>
      <c r="C116" s="32"/>
      <c r="E116" s="32"/>
      <c r="F116" s="32">
        <f t="shared" si="12"/>
        <v>0</v>
      </c>
      <c r="G116" s="30" t="str">
        <f t="shared" ca="1" si="8"/>
        <v>History</v>
      </c>
      <c r="H116" s="30">
        <f t="shared" si="9"/>
        <v>2013</v>
      </c>
      <c r="I116" s="30">
        <f t="shared" si="10"/>
        <v>12</v>
      </c>
      <c r="J116" s="30">
        <f t="shared" si="7"/>
        <v>51</v>
      </c>
      <c r="K116" s="30">
        <v>1</v>
      </c>
      <c r="L116" s="30">
        <f ca="1">SUM(K116:OFFSET(RngToDay,ROWS(Dates),10))</f>
        <v>385</v>
      </c>
      <c r="O116" s="30">
        <f t="shared" si="11"/>
        <v>116</v>
      </c>
      <c r="P116" s="32"/>
      <c r="Q116" s="32"/>
    </row>
    <row r="117" spans="1:17" x14ac:dyDescent="0.25">
      <c r="A117" s="138">
        <v>41624</v>
      </c>
      <c r="B117" s="32"/>
      <c r="C117" s="32"/>
      <c r="E117" s="32"/>
      <c r="F117" s="32">
        <f t="shared" si="12"/>
        <v>0</v>
      </c>
      <c r="G117" s="30" t="str">
        <f t="shared" ca="1" si="8"/>
        <v>History</v>
      </c>
      <c r="H117" s="30">
        <f t="shared" si="9"/>
        <v>2013</v>
      </c>
      <c r="I117" s="30">
        <f t="shared" si="10"/>
        <v>12</v>
      </c>
      <c r="J117" s="30">
        <f t="shared" si="7"/>
        <v>51</v>
      </c>
      <c r="K117" s="30">
        <v>1</v>
      </c>
      <c r="L117" s="30">
        <f ca="1">SUM(K117:OFFSET(RngToDay,ROWS(Dates),10))</f>
        <v>384</v>
      </c>
      <c r="O117" s="30">
        <f t="shared" si="11"/>
        <v>117</v>
      </c>
      <c r="P117" s="32"/>
      <c r="Q117" s="32"/>
    </row>
    <row r="118" spans="1:17" x14ac:dyDescent="0.25">
      <c r="A118" s="138">
        <v>41621</v>
      </c>
      <c r="B118" s="32"/>
      <c r="C118" s="32"/>
      <c r="E118" s="32"/>
      <c r="F118" s="32">
        <f t="shared" si="12"/>
        <v>0</v>
      </c>
      <c r="G118" s="30" t="str">
        <f t="shared" ca="1" si="8"/>
        <v>History</v>
      </c>
      <c r="H118" s="30">
        <f t="shared" si="9"/>
        <v>2013</v>
      </c>
      <c r="I118" s="30">
        <f t="shared" si="10"/>
        <v>12</v>
      </c>
      <c r="J118" s="30">
        <f t="shared" si="7"/>
        <v>50</v>
      </c>
      <c r="K118" s="30">
        <v>1</v>
      </c>
      <c r="L118" s="30">
        <f ca="1">SUM(K118:OFFSET(RngToDay,ROWS(Dates),10))</f>
        <v>383</v>
      </c>
      <c r="O118" s="30">
        <f t="shared" si="11"/>
        <v>118</v>
      </c>
      <c r="P118" s="32"/>
      <c r="Q118" s="32"/>
    </row>
    <row r="119" spans="1:17" x14ac:dyDescent="0.25">
      <c r="A119" s="138">
        <v>41620</v>
      </c>
      <c r="B119" s="32"/>
      <c r="C119" s="32"/>
      <c r="E119" s="32"/>
      <c r="F119" s="32">
        <f t="shared" si="12"/>
        <v>0</v>
      </c>
      <c r="G119" s="30" t="str">
        <f t="shared" ca="1" si="8"/>
        <v>History</v>
      </c>
      <c r="H119" s="30">
        <f t="shared" si="9"/>
        <v>2013</v>
      </c>
      <c r="I119" s="30">
        <f t="shared" si="10"/>
        <v>12</v>
      </c>
      <c r="J119" s="30">
        <f t="shared" si="7"/>
        <v>50</v>
      </c>
      <c r="K119" s="30">
        <v>1</v>
      </c>
      <c r="L119" s="30">
        <f ca="1">SUM(K119:OFFSET(RngToDay,ROWS(Dates),10))</f>
        <v>382</v>
      </c>
      <c r="O119" s="30">
        <f t="shared" si="11"/>
        <v>119</v>
      </c>
      <c r="P119" s="32"/>
      <c r="Q119" s="32"/>
    </row>
    <row r="120" spans="1:17" x14ac:dyDescent="0.25">
      <c r="A120" s="138">
        <v>41619</v>
      </c>
      <c r="B120" s="32"/>
      <c r="C120" s="32"/>
      <c r="E120" s="32"/>
      <c r="F120" s="32">
        <f t="shared" si="12"/>
        <v>0</v>
      </c>
      <c r="G120" s="30" t="str">
        <f t="shared" ca="1" si="8"/>
        <v>History</v>
      </c>
      <c r="H120" s="30">
        <f t="shared" si="9"/>
        <v>2013</v>
      </c>
      <c r="I120" s="30">
        <f t="shared" si="10"/>
        <v>12</v>
      </c>
      <c r="J120" s="30">
        <f t="shared" si="7"/>
        <v>50</v>
      </c>
      <c r="K120" s="30">
        <v>1</v>
      </c>
      <c r="L120" s="30">
        <f ca="1">SUM(K120:OFFSET(RngToDay,ROWS(Dates),10))</f>
        <v>381</v>
      </c>
      <c r="O120" s="30">
        <f t="shared" si="11"/>
        <v>120</v>
      </c>
      <c r="P120" s="32"/>
      <c r="Q120" s="32"/>
    </row>
    <row r="121" spans="1:17" x14ac:dyDescent="0.25">
      <c r="A121" s="138">
        <v>41618</v>
      </c>
      <c r="B121" s="32"/>
      <c r="C121" s="32"/>
      <c r="E121" s="32"/>
      <c r="F121" s="32">
        <f t="shared" si="12"/>
        <v>0</v>
      </c>
      <c r="G121" s="30" t="str">
        <f t="shared" ca="1" si="8"/>
        <v>History</v>
      </c>
      <c r="H121" s="30">
        <f t="shared" si="9"/>
        <v>2013</v>
      </c>
      <c r="I121" s="30">
        <f t="shared" si="10"/>
        <v>12</v>
      </c>
      <c r="J121" s="30">
        <f t="shared" si="7"/>
        <v>50</v>
      </c>
      <c r="K121" s="30">
        <v>1</v>
      </c>
      <c r="L121" s="30">
        <f ca="1">SUM(K121:OFFSET(RngToDay,ROWS(Dates),10))</f>
        <v>380</v>
      </c>
      <c r="O121" s="30">
        <f t="shared" si="11"/>
        <v>121</v>
      </c>
      <c r="P121" s="32"/>
      <c r="Q121" s="32"/>
    </row>
    <row r="122" spans="1:17" x14ac:dyDescent="0.25">
      <c r="A122" s="138">
        <v>41617</v>
      </c>
      <c r="B122" s="32"/>
      <c r="C122" s="32"/>
      <c r="E122" s="32"/>
      <c r="F122" s="32">
        <f t="shared" si="12"/>
        <v>0</v>
      </c>
      <c r="G122" s="30" t="str">
        <f t="shared" ca="1" si="8"/>
        <v>History</v>
      </c>
      <c r="H122" s="30">
        <f t="shared" si="9"/>
        <v>2013</v>
      </c>
      <c r="I122" s="30">
        <f t="shared" si="10"/>
        <v>12</v>
      </c>
      <c r="J122" s="30">
        <f t="shared" si="7"/>
        <v>50</v>
      </c>
      <c r="K122" s="30">
        <v>1</v>
      </c>
      <c r="L122" s="30">
        <f ca="1">SUM(K122:OFFSET(RngToDay,ROWS(Dates),10))</f>
        <v>379</v>
      </c>
      <c r="O122" s="30">
        <f t="shared" si="11"/>
        <v>122</v>
      </c>
      <c r="P122" s="32"/>
      <c r="Q122" s="32"/>
    </row>
    <row r="123" spans="1:17" x14ac:dyDescent="0.25">
      <c r="A123" s="138">
        <v>41614</v>
      </c>
      <c r="B123" s="32"/>
      <c r="C123" s="32"/>
      <c r="E123" s="32"/>
      <c r="F123" s="32">
        <f t="shared" ref="F123:F186" si="13">ActCov</f>
        <v>0</v>
      </c>
      <c r="G123" s="30" t="str">
        <f t="shared" ca="1" si="8"/>
        <v>History</v>
      </c>
      <c r="H123" s="30">
        <f t="shared" si="9"/>
        <v>2013</v>
      </c>
      <c r="I123" s="30">
        <f t="shared" si="10"/>
        <v>12</v>
      </c>
      <c r="J123" s="30">
        <f t="shared" si="7"/>
        <v>49</v>
      </c>
      <c r="K123" s="30">
        <v>1</v>
      </c>
      <c r="L123" s="30">
        <f ca="1">SUM(K123:OFFSET(RngToDay,ROWS(Dates),10))</f>
        <v>378</v>
      </c>
      <c r="O123" s="30">
        <f t="shared" si="11"/>
        <v>123</v>
      </c>
      <c r="P123" s="32"/>
      <c r="Q123" s="32"/>
    </row>
    <row r="124" spans="1:17" x14ac:dyDescent="0.25">
      <c r="A124" s="138">
        <v>41613</v>
      </c>
      <c r="B124" s="32"/>
      <c r="C124" s="32"/>
      <c r="E124" s="32"/>
      <c r="F124" s="32">
        <f t="shared" si="13"/>
        <v>0</v>
      </c>
      <c r="G124" s="30" t="str">
        <f t="shared" ca="1" si="8"/>
        <v>History</v>
      </c>
      <c r="H124" s="30">
        <f t="shared" si="9"/>
        <v>2013</v>
      </c>
      <c r="I124" s="30">
        <f t="shared" si="10"/>
        <v>12</v>
      </c>
      <c r="J124" s="30">
        <f t="shared" si="7"/>
        <v>49</v>
      </c>
      <c r="K124" s="30">
        <v>1</v>
      </c>
      <c r="L124" s="30">
        <f ca="1">SUM(K124:OFFSET(RngToDay,ROWS(Dates),10))</f>
        <v>377</v>
      </c>
      <c r="O124" s="30">
        <f t="shared" si="11"/>
        <v>124</v>
      </c>
      <c r="P124" s="32"/>
      <c r="Q124" s="32"/>
    </row>
    <row r="125" spans="1:17" x14ac:dyDescent="0.25">
      <c r="A125" s="138">
        <v>41612</v>
      </c>
      <c r="B125" s="32"/>
      <c r="C125" s="32"/>
      <c r="E125" s="32"/>
      <c r="F125" s="32">
        <f t="shared" si="13"/>
        <v>0</v>
      </c>
      <c r="G125" s="30" t="str">
        <f t="shared" ca="1" si="8"/>
        <v>History</v>
      </c>
      <c r="H125" s="30">
        <f t="shared" si="9"/>
        <v>2013</v>
      </c>
      <c r="I125" s="30">
        <f t="shared" si="10"/>
        <v>12</v>
      </c>
      <c r="J125" s="30">
        <f t="shared" si="7"/>
        <v>49</v>
      </c>
      <c r="K125" s="30">
        <v>1</v>
      </c>
      <c r="L125" s="30">
        <f ca="1">SUM(K125:OFFSET(RngToDay,ROWS(Dates),10))</f>
        <v>376</v>
      </c>
      <c r="O125" s="30">
        <f t="shared" si="11"/>
        <v>125</v>
      </c>
      <c r="P125" s="32"/>
      <c r="Q125" s="32"/>
    </row>
    <row r="126" spans="1:17" x14ac:dyDescent="0.25">
      <c r="A126" s="138">
        <v>41611</v>
      </c>
      <c r="B126" s="32"/>
      <c r="C126" s="32"/>
      <c r="E126" s="32"/>
      <c r="F126" s="32">
        <f t="shared" si="13"/>
        <v>0</v>
      </c>
      <c r="G126" s="30" t="str">
        <f t="shared" ca="1" si="8"/>
        <v>History</v>
      </c>
      <c r="H126" s="30">
        <f t="shared" si="9"/>
        <v>2013</v>
      </c>
      <c r="I126" s="30">
        <f t="shared" si="10"/>
        <v>12</v>
      </c>
      <c r="J126" s="30">
        <f t="shared" si="7"/>
        <v>49</v>
      </c>
      <c r="K126" s="30">
        <v>1</v>
      </c>
      <c r="L126" s="30">
        <f ca="1">SUM(K126:OFFSET(RngToDay,ROWS(Dates),10))</f>
        <v>375</v>
      </c>
      <c r="O126" s="30">
        <f t="shared" si="11"/>
        <v>126</v>
      </c>
      <c r="P126" s="32"/>
      <c r="Q126" s="32"/>
    </row>
    <row r="127" spans="1:17" x14ac:dyDescent="0.25">
      <c r="A127" s="138">
        <v>41610</v>
      </c>
      <c r="B127" s="32"/>
      <c r="C127" s="32"/>
      <c r="E127" s="32"/>
      <c r="F127" s="32">
        <f t="shared" si="13"/>
        <v>0</v>
      </c>
      <c r="G127" s="30" t="str">
        <f t="shared" ca="1" si="8"/>
        <v>History</v>
      </c>
      <c r="H127" s="30">
        <f t="shared" si="9"/>
        <v>2013</v>
      </c>
      <c r="I127" s="30">
        <f t="shared" si="10"/>
        <v>12</v>
      </c>
      <c r="J127" s="30">
        <f t="shared" si="7"/>
        <v>49</v>
      </c>
      <c r="K127" s="30">
        <v>1</v>
      </c>
      <c r="L127" s="30">
        <f ca="1">SUM(K127:OFFSET(RngToDay,ROWS(Dates),10))</f>
        <v>374</v>
      </c>
      <c r="O127" s="30">
        <f t="shared" si="11"/>
        <v>127</v>
      </c>
      <c r="P127" s="32"/>
      <c r="Q127" s="32"/>
    </row>
    <row r="128" spans="1:17" x14ac:dyDescent="0.25">
      <c r="A128" s="138">
        <v>41607</v>
      </c>
      <c r="B128" s="32"/>
      <c r="C128" s="32"/>
      <c r="E128" s="32"/>
      <c r="F128" s="32">
        <f t="shared" si="13"/>
        <v>0</v>
      </c>
      <c r="G128" s="30" t="str">
        <f t="shared" ca="1" si="8"/>
        <v>History</v>
      </c>
      <c r="H128" s="30">
        <f t="shared" si="9"/>
        <v>2013</v>
      </c>
      <c r="I128" s="30">
        <f t="shared" si="10"/>
        <v>11</v>
      </c>
      <c r="J128" s="30">
        <f t="shared" si="7"/>
        <v>48</v>
      </c>
      <c r="K128" s="30">
        <v>1</v>
      </c>
      <c r="L128" s="30">
        <f ca="1">SUM(K128:OFFSET(RngToDay,ROWS(Dates),10))</f>
        <v>373</v>
      </c>
      <c r="O128" s="30">
        <f t="shared" si="11"/>
        <v>128</v>
      </c>
      <c r="P128" s="32"/>
      <c r="Q128" s="32"/>
    </row>
    <row r="129" spans="1:17" x14ac:dyDescent="0.25">
      <c r="A129" s="138">
        <v>41606</v>
      </c>
      <c r="B129" s="32"/>
      <c r="C129" s="32"/>
      <c r="E129" s="32"/>
      <c r="F129" s="32">
        <f t="shared" si="13"/>
        <v>0</v>
      </c>
      <c r="G129" s="30" t="str">
        <f t="shared" ca="1" si="8"/>
        <v>History</v>
      </c>
      <c r="H129" s="30">
        <f t="shared" si="9"/>
        <v>2013</v>
      </c>
      <c r="I129" s="30">
        <f t="shared" si="10"/>
        <v>11</v>
      </c>
      <c r="J129" s="30">
        <f t="shared" si="7"/>
        <v>48</v>
      </c>
      <c r="K129" s="30">
        <v>1</v>
      </c>
      <c r="L129" s="30">
        <f ca="1">SUM(K129:OFFSET(RngToDay,ROWS(Dates),10))</f>
        <v>372</v>
      </c>
      <c r="O129" s="30">
        <f t="shared" si="11"/>
        <v>129</v>
      </c>
      <c r="P129" s="32"/>
      <c r="Q129" s="32"/>
    </row>
    <row r="130" spans="1:17" x14ac:dyDescent="0.25">
      <c r="A130" s="138">
        <v>41605</v>
      </c>
      <c r="B130" s="32"/>
      <c r="C130" s="32"/>
      <c r="E130" s="32"/>
      <c r="F130" s="32">
        <f t="shared" si="13"/>
        <v>0</v>
      </c>
      <c r="G130" s="30" t="str">
        <f t="shared" ca="1" si="8"/>
        <v>History</v>
      </c>
      <c r="H130" s="30">
        <f t="shared" si="9"/>
        <v>2013</v>
      </c>
      <c r="I130" s="30">
        <f t="shared" si="10"/>
        <v>11</v>
      </c>
      <c r="J130" s="30">
        <f t="shared" ref="J130:J193" si="14">IF(WEEKDAY(DATE(YEAR(A130),1,1),2)&gt;4,WEEKNUM(A130,2)-1,WEEKNUM(A130,2))</f>
        <v>48</v>
      </c>
      <c r="K130" s="30">
        <v>1</v>
      </c>
      <c r="L130" s="30">
        <f ca="1">SUM(K130:OFFSET(RngToDay,ROWS(Dates),10))</f>
        <v>371</v>
      </c>
      <c r="O130" s="30">
        <f t="shared" si="11"/>
        <v>130</v>
      </c>
      <c r="P130" s="32"/>
      <c r="Q130" s="32"/>
    </row>
    <row r="131" spans="1:17" x14ac:dyDescent="0.25">
      <c r="A131" s="138">
        <v>41604</v>
      </c>
      <c r="B131" s="32"/>
      <c r="C131" s="32"/>
      <c r="E131" s="32"/>
      <c r="F131" s="32">
        <f t="shared" si="13"/>
        <v>0</v>
      </c>
      <c r="G131" s="30" t="str">
        <f t="shared" ref="G131:G194" ca="1" si="15">IF(A131&gt;TODAY(),"Requirements","History")</f>
        <v>History</v>
      </c>
      <c r="H131" s="30">
        <f t="shared" ref="H131:H194" si="16">YEAR(A131)</f>
        <v>2013</v>
      </c>
      <c r="I131" s="30">
        <f t="shared" ref="I131:I194" si="17">MONTH(A131)</f>
        <v>11</v>
      </c>
      <c r="J131" s="30">
        <f t="shared" si="14"/>
        <v>48</v>
      </c>
      <c r="K131" s="30">
        <v>1</v>
      </c>
      <c r="L131" s="30">
        <f ca="1">SUM(K131:OFFSET(RngToDay,ROWS(Dates),10))</f>
        <v>370</v>
      </c>
      <c r="O131" s="30">
        <f t="shared" si="11"/>
        <v>131</v>
      </c>
      <c r="P131" s="32"/>
      <c r="Q131" s="32"/>
    </row>
    <row r="132" spans="1:17" x14ac:dyDescent="0.25">
      <c r="A132" s="138">
        <v>41603</v>
      </c>
      <c r="B132" s="32"/>
      <c r="C132" s="32"/>
      <c r="E132" s="32"/>
      <c r="F132" s="32">
        <f t="shared" si="13"/>
        <v>0</v>
      </c>
      <c r="G132" s="30" t="str">
        <f t="shared" ca="1" si="15"/>
        <v>History</v>
      </c>
      <c r="H132" s="30">
        <f t="shared" si="16"/>
        <v>2013</v>
      </c>
      <c r="I132" s="30">
        <f t="shared" si="17"/>
        <v>11</v>
      </c>
      <c r="J132" s="30">
        <f t="shared" si="14"/>
        <v>48</v>
      </c>
      <c r="K132" s="30">
        <v>1</v>
      </c>
      <c r="L132" s="30">
        <f ca="1">SUM(K132:OFFSET(RngToDay,ROWS(Dates),10))</f>
        <v>369</v>
      </c>
      <c r="O132" s="30">
        <f t="shared" ref="O132:O195" si="18">O131+1</f>
        <v>132</v>
      </c>
      <c r="P132" s="32"/>
      <c r="Q132" s="32"/>
    </row>
    <row r="133" spans="1:17" x14ac:dyDescent="0.25">
      <c r="A133" s="138">
        <v>41600</v>
      </c>
      <c r="B133" s="32"/>
      <c r="C133" s="32"/>
      <c r="E133" s="32"/>
      <c r="F133" s="32">
        <f t="shared" si="13"/>
        <v>0</v>
      </c>
      <c r="G133" s="30" t="str">
        <f t="shared" ca="1" si="15"/>
        <v>History</v>
      </c>
      <c r="H133" s="30">
        <f t="shared" si="16"/>
        <v>2013</v>
      </c>
      <c r="I133" s="30">
        <f t="shared" si="17"/>
        <v>11</v>
      </c>
      <c r="J133" s="30">
        <f t="shared" si="14"/>
        <v>47</v>
      </c>
      <c r="K133" s="30">
        <v>1</v>
      </c>
      <c r="L133" s="30">
        <f ca="1">SUM(K133:OFFSET(RngToDay,ROWS(Dates),10))</f>
        <v>368</v>
      </c>
      <c r="O133" s="30">
        <f t="shared" si="18"/>
        <v>133</v>
      </c>
      <c r="P133" s="32"/>
      <c r="Q133" s="32"/>
    </row>
    <row r="134" spans="1:17" x14ac:dyDescent="0.25">
      <c r="A134" s="138">
        <v>41599</v>
      </c>
      <c r="B134" s="32"/>
      <c r="C134" s="32"/>
      <c r="E134" s="32"/>
      <c r="F134" s="32">
        <f t="shared" si="13"/>
        <v>0</v>
      </c>
      <c r="G134" s="30" t="str">
        <f t="shared" ca="1" si="15"/>
        <v>History</v>
      </c>
      <c r="H134" s="30">
        <f t="shared" si="16"/>
        <v>2013</v>
      </c>
      <c r="I134" s="30">
        <f t="shared" si="17"/>
        <v>11</v>
      </c>
      <c r="J134" s="30">
        <f t="shared" si="14"/>
        <v>47</v>
      </c>
      <c r="K134" s="30">
        <v>1</v>
      </c>
      <c r="L134" s="30">
        <f ca="1">SUM(K134:OFFSET(RngToDay,ROWS(Dates),10))</f>
        <v>367</v>
      </c>
      <c r="O134" s="30">
        <f t="shared" si="18"/>
        <v>134</v>
      </c>
      <c r="P134" s="32"/>
      <c r="Q134" s="32"/>
    </row>
    <row r="135" spans="1:17" x14ac:dyDescent="0.25">
      <c r="A135" s="138">
        <v>41598</v>
      </c>
      <c r="B135" s="32"/>
      <c r="C135" s="32"/>
      <c r="E135" s="32"/>
      <c r="F135" s="32">
        <f t="shared" si="13"/>
        <v>0</v>
      </c>
      <c r="G135" s="30" t="str">
        <f t="shared" ca="1" si="15"/>
        <v>History</v>
      </c>
      <c r="H135" s="30">
        <f t="shared" si="16"/>
        <v>2013</v>
      </c>
      <c r="I135" s="30">
        <f t="shared" si="17"/>
        <v>11</v>
      </c>
      <c r="J135" s="30">
        <f t="shared" si="14"/>
        <v>47</v>
      </c>
      <c r="K135" s="30">
        <v>1</v>
      </c>
      <c r="L135" s="30">
        <f ca="1">SUM(K135:OFFSET(RngToDay,ROWS(Dates),10))</f>
        <v>366</v>
      </c>
      <c r="O135" s="30">
        <f t="shared" si="18"/>
        <v>135</v>
      </c>
      <c r="P135" s="32"/>
      <c r="Q135" s="32"/>
    </row>
    <row r="136" spans="1:17" x14ac:dyDescent="0.25">
      <c r="A136" s="138">
        <v>41597</v>
      </c>
      <c r="B136" s="32"/>
      <c r="C136" s="32"/>
      <c r="E136" s="32"/>
      <c r="F136" s="32">
        <f t="shared" si="13"/>
        <v>0</v>
      </c>
      <c r="G136" s="30" t="str">
        <f t="shared" ca="1" si="15"/>
        <v>History</v>
      </c>
      <c r="H136" s="30">
        <f t="shared" si="16"/>
        <v>2013</v>
      </c>
      <c r="I136" s="30">
        <f t="shared" si="17"/>
        <v>11</v>
      </c>
      <c r="J136" s="30">
        <f t="shared" si="14"/>
        <v>47</v>
      </c>
      <c r="K136" s="30">
        <v>1</v>
      </c>
      <c r="L136" s="30">
        <f ca="1">SUM(K136:OFFSET(RngToDay,ROWS(Dates),10))</f>
        <v>365</v>
      </c>
      <c r="O136" s="30">
        <f t="shared" si="18"/>
        <v>136</v>
      </c>
      <c r="P136" s="32"/>
      <c r="Q136" s="32"/>
    </row>
    <row r="137" spans="1:17" x14ac:dyDescent="0.25">
      <c r="A137" s="138">
        <v>41596</v>
      </c>
      <c r="B137" s="32"/>
      <c r="C137" s="32"/>
      <c r="E137" s="32"/>
      <c r="F137" s="32">
        <f t="shared" si="13"/>
        <v>0</v>
      </c>
      <c r="G137" s="30" t="str">
        <f t="shared" ca="1" si="15"/>
        <v>History</v>
      </c>
      <c r="H137" s="30">
        <f t="shared" si="16"/>
        <v>2013</v>
      </c>
      <c r="I137" s="30">
        <f t="shared" si="17"/>
        <v>11</v>
      </c>
      <c r="J137" s="30">
        <f t="shared" si="14"/>
        <v>47</v>
      </c>
      <c r="K137" s="30">
        <v>1</v>
      </c>
      <c r="L137" s="30">
        <f ca="1">SUM(K137:OFFSET(RngToDay,ROWS(Dates),10))</f>
        <v>364</v>
      </c>
      <c r="O137" s="30">
        <f t="shared" si="18"/>
        <v>137</v>
      </c>
      <c r="P137" s="32"/>
      <c r="Q137" s="32"/>
    </row>
    <row r="138" spans="1:17" x14ac:dyDescent="0.25">
      <c r="A138" s="138">
        <v>41593</v>
      </c>
      <c r="B138" s="32"/>
      <c r="C138" s="32"/>
      <c r="E138" s="32"/>
      <c r="F138" s="32">
        <f t="shared" si="13"/>
        <v>0</v>
      </c>
      <c r="G138" s="30" t="str">
        <f t="shared" ca="1" si="15"/>
        <v>History</v>
      </c>
      <c r="H138" s="30">
        <f t="shared" si="16"/>
        <v>2013</v>
      </c>
      <c r="I138" s="30">
        <f t="shared" si="17"/>
        <v>11</v>
      </c>
      <c r="J138" s="30">
        <f t="shared" si="14"/>
        <v>46</v>
      </c>
      <c r="K138" s="30">
        <v>1</v>
      </c>
      <c r="L138" s="30">
        <f ca="1">SUM(K138:OFFSET(RngToDay,ROWS(Dates),10))</f>
        <v>363</v>
      </c>
      <c r="O138" s="30">
        <f t="shared" si="18"/>
        <v>138</v>
      </c>
      <c r="P138" s="32"/>
      <c r="Q138" s="32"/>
    </row>
    <row r="139" spans="1:17" x14ac:dyDescent="0.25">
      <c r="A139" s="138">
        <v>41592</v>
      </c>
      <c r="B139" s="32"/>
      <c r="C139" s="32"/>
      <c r="E139" s="32"/>
      <c r="F139" s="32">
        <f t="shared" si="13"/>
        <v>0</v>
      </c>
      <c r="G139" s="30" t="str">
        <f t="shared" ca="1" si="15"/>
        <v>History</v>
      </c>
      <c r="H139" s="30">
        <f t="shared" si="16"/>
        <v>2013</v>
      </c>
      <c r="I139" s="30">
        <f t="shared" si="17"/>
        <v>11</v>
      </c>
      <c r="J139" s="30">
        <f t="shared" si="14"/>
        <v>46</v>
      </c>
      <c r="K139" s="30">
        <v>1</v>
      </c>
      <c r="L139" s="30">
        <f ca="1">SUM(K139:OFFSET(RngToDay,ROWS(Dates),10))</f>
        <v>362</v>
      </c>
      <c r="O139" s="30">
        <f t="shared" si="18"/>
        <v>139</v>
      </c>
      <c r="P139" s="32"/>
      <c r="Q139" s="32"/>
    </row>
    <row r="140" spans="1:17" x14ac:dyDescent="0.25">
      <c r="A140" s="138">
        <v>41591</v>
      </c>
      <c r="B140" s="32"/>
      <c r="C140" s="32"/>
      <c r="E140" s="32"/>
      <c r="F140" s="32">
        <f t="shared" si="13"/>
        <v>0</v>
      </c>
      <c r="G140" s="30" t="str">
        <f t="shared" ca="1" si="15"/>
        <v>History</v>
      </c>
      <c r="H140" s="30">
        <f t="shared" si="16"/>
        <v>2013</v>
      </c>
      <c r="I140" s="30">
        <f t="shared" si="17"/>
        <v>11</v>
      </c>
      <c r="J140" s="30">
        <f t="shared" si="14"/>
        <v>46</v>
      </c>
      <c r="K140" s="30">
        <v>1</v>
      </c>
      <c r="L140" s="30">
        <f ca="1">SUM(K140:OFFSET(RngToDay,ROWS(Dates),10))</f>
        <v>361</v>
      </c>
      <c r="O140" s="30">
        <f t="shared" si="18"/>
        <v>140</v>
      </c>
      <c r="P140" s="32"/>
      <c r="Q140" s="32"/>
    </row>
    <row r="141" spans="1:17" x14ac:dyDescent="0.25">
      <c r="A141" s="138">
        <v>41590</v>
      </c>
      <c r="B141" s="32"/>
      <c r="C141" s="32"/>
      <c r="E141" s="32"/>
      <c r="F141" s="32">
        <f t="shared" si="13"/>
        <v>0</v>
      </c>
      <c r="G141" s="30" t="str">
        <f t="shared" ca="1" si="15"/>
        <v>History</v>
      </c>
      <c r="H141" s="30">
        <f t="shared" si="16"/>
        <v>2013</v>
      </c>
      <c r="I141" s="30">
        <f t="shared" si="17"/>
        <v>11</v>
      </c>
      <c r="J141" s="30">
        <f t="shared" si="14"/>
        <v>46</v>
      </c>
      <c r="K141" s="30">
        <v>1</v>
      </c>
      <c r="L141" s="30">
        <f ca="1">SUM(K141:OFFSET(RngToDay,ROWS(Dates),10))</f>
        <v>360</v>
      </c>
      <c r="O141" s="30">
        <f t="shared" si="18"/>
        <v>141</v>
      </c>
      <c r="P141" s="32"/>
      <c r="Q141" s="32"/>
    </row>
    <row r="142" spans="1:17" x14ac:dyDescent="0.25">
      <c r="A142" s="138">
        <v>41589</v>
      </c>
      <c r="B142" s="32"/>
      <c r="C142" s="32"/>
      <c r="E142" s="32"/>
      <c r="F142" s="32">
        <f t="shared" si="13"/>
        <v>0</v>
      </c>
      <c r="G142" s="30" t="str">
        <f t="shared" ca="1" si="15"/>
        <v>History</v>
      </c>
      <c r="H142" s="30">
        <f t="shared" si="16"/>
        <v>2013</v>
      </c>
      <c r="I142" s="30">
        <f t="shared" si="17"/>
        <v>11</v>
      </c>
      <c r="J142" s="30">
        <f t="shared" si="14"/>
        <v>46</v>
      </c>
      <c r="K142" s="30">
        <v>1</v>
      </c>
      <c r="L142" s="30">
        <f ca="1">SUM(K142:OFFSET(RngToDay,ROWS(Dates),10))</f>
        <v>359</v>
      </c>
      <c r="O142" s="30">
        <f t="shared" si="18"/>
        <v>142</v>
      </c>
      <c r="P142" s="32"/>
      <c r="Q142" s="32"/>
    </row>
    <row r="143" spans="1:17" x14ac:dyDescent="0.25">
      <c r="A143" s="138">
        <v>41586</v>
      </c>
      <c r="B143" s="32"/>
      <c r="C143" s="32"/>
      <c r="E143" s="32"/>
      <c r="F143" s="32">
        <f t="shared" si="13"/>
        <v>0</v>
      </c>
      <c r="G143" s="30" t="str">
        <f t="shared" ca="1" si="15"/>
        <v>History</v>
      </c>
      <c r="H143" s="30">
        <f t="shared" si="16"/>
        <v>2013</v>
      </c>
      <c r="I143" s="30">
        <f t="shared" si="17"/>
        <v>11</v>
      </c>
      <c r="J143" s="30">
        <f t="shared" si="14"/>
        <v>45</v>
      </c>
      <c r="K143" s="30">
        <v>1</v>
      </c>
      <c r="L143" s="30">
        <f ca="1">SUM(K143:OFFSET(RngToDay,ROWS(Dates),10))</f>
        <v>358</v>
      </c>
      <c r="O143" s="30">
        <f t="shared" si="18"/>
        <v>143</v>
      </c>
      <c r="P143" s="32"/>
      <c r="Q143" s="32"/>
    </row>
    <row r="144" spans="1:17" x14ac:dyDescent="0.25">
      <c r="A144" s="138">
        <v>41585</v>
      </c>
      <c r="B144" s="32"/>
      <c r="C144" s="32"/>
      <c r="E144" s="32"/>
      <c r="F144" s="32">
        <f t="shared" si="13"/>
        <v>0</v>
      </c>
      <c r="G144" s="30" t="str">
        <f t="shared" ca="1" si="15"/>
        <v>History</v>
      </c>
      <c r="H144" s="30">
        <f t="shared" si="16"/>
        <v>2013</v>
      </c>
      <c r="I144" s="30">
        <f t="shared" si="17"/>
        <v>11</v>
      </c>
      <c r="J144" s="30">
        <f t="shared" si="14"/>
        <v>45</v>
      </c>
      <c r="K144" s="30">
        <v>1</v>
      </c>
      <c r="L144" s="30">
        <f ca="1">SUM(K144:OFFSET(RngToDay,ROWS(Dates),10))</f>
        <v>357</v>
      </c>
      <c r="O144" s="30">
        <f t="shared" si="18"/>
        <v>144</v>
      </c>
      <c r="P144" s="32"/>
      <c r="Q144" s="32"/>
    </row>
    <row r="145" spans="1:17" x14ac:dyDescent="0.25">
      <c r="A145" s="138">
        <v>41584</v>
      </c>
      <c r="B145" s="32"/>
      <c r="C145" s="32"/>
      <c r="E145" s="32"/>
      <c r="F145" s="32">
        <f t="shared" si="13"/>
        <v>0</v>
      </c>
      <c r="G145" s="30" t="str">
        <f t="shared" ca="1" si="15"/>
        <v>History</v>
      </c>
      <c r="H145" s="30">
        <f t="shared" si="16"/>
        <v>2013</v>
      </c>
      <c r="I145" s="30">
        <f t="shared" si="17"/>
        <v>11</v>
      </c>
      <c r="J145" s="30">
        <f t="shared" si="14"/>
        <v>45</v>
      </c>
      <c r="K145" s="30">
        <v>1</v>
      </c>
      <c r="L145" s="30">
        <f ca="1">SUM(K145:OFFSET(RngToDay,ROWS(Dates),10))</f>
        <v>356</v>
      </c>
      <c r="O145" s="30">
        <f t="shared" si="18"/>
        <v>145</v>
      </c>
      <c r="P145" s="32"/>
      <c r="Q145" s="32"/>
    </row>
    <row r="146" spans="1:17" x14ac:dyDescent="0.25">
      <c r="A146" s="138">
        <v>41583</v>
      </c>
      <c r="B146" s="32"/>
      <c r="C146" s="32"/>
      <c r="E146" s="32"/>
      <c r="F146" s="32">
        <f t="shared" si="13"/>
        <v>0</v>
      </c>
      <c r="G146" s="30" t="str">
        <f t="shared" ca="1" si="15"/>
        <v>History</v>
      </c>
      <c r="H146" s="30">
        <f t="shared" si="16"/>
        <v>2013</v>
      </c>
      <c r="I146" s="30">
        <f t="shared" si="17"/>
        <v>11</v>
      </c>
      <c r="J146" s="30">
        <f t="shared" si="14"/>
        <v>45</v>
      </c>
      <c r="K146" s="30">
        <v>1</v>
      </c>
      <c r="L146" s="30">
        <f ca="1">SUM(K146:OFFSET(RngToDay,ROWS(Dates),10))</f>
        <v>355</v>
      </c>
      <c r="O146" s="30">
        <f t="shared" si="18"/>
        <v>146</v>
      </c>
      <c r="P146" s="32"/>
      <c r="Q146" s="32"/>
    </row>
    <row r="147" spans="1:17" x14ac:dyDescent="0.25">
      <c r="A147" s="138">
        <v>41582</v>
      </c>
      <c r="B147" s="32"/>
      <c r="C147" s="32"/>
      <c r="E147" s="32"/>
      <c r="F147" s="32">
        <f t="shared" si="13"/>
        <v>0</v>
      </c>
      <c r="G147" s="30" t="str">
        <f t="shared" ca="1" si="15"/>
        <v>History</v>
      </c>
      <c r="H147" s="30">
        <f t="shared" si="16"/>
        <v>2013</v>
      </c>
      <c r="I147" s="30">
        <f t="shared" si="17"/>
        <v>11</v>
      </c>
      <c r="J147" s="30">
        <f t="shared" si="14"/>
        <v>45</v>
      </c>
      <c r="K147" s="30">
        <v>1</v>
      </c>
      <c r="L147" s="30">
        <f ca="1">SUM(K147:OFFSET(RngToDay,ROWS(Dates),10))</f>
        <v>354</v>
      </c>
      <c r="O147" s="30">
        <f t="shared" si="18"/>
        <v>147</v>
      </c>
      <c r="P147" s="32"/>
      <c r="Q147" s="32"/>
    </row>
    <row r="148" spans="1:17" x14ac:dyDescent="0.25">
      <c r="A148" s="138">
        <v>41579</v>
      </c>
      <c r="B148" s="32"/>
      <c r="C148" s="32"/>
      <c r="E148" s="32"/>
      <c r="F148" s="32">
        <f t="shared" si="13"/>
        <v>0</v>
      </c>
      <c r="G148" s="30" t="str">
        <f t="shared" ca="1" si="15"/>
        <v>History</v>
      </c>
      <c r="H148" s="30">
        <f t="shared" si="16"/>
        <v>2013</v>
      </c>
      <c r="I148" s="30">
        <f t="shared" si="17"/>
        <v>11</v>
      </c>
      <c r="J148" s="30">
        <f t="shared" si="14"/>
        <v>44</v>
      </c>
      <c r="K148" s="30">
        <v>1</v>
      </c>
      <c r="L148" s="30">
        <f ca="1">SUM(K148:OFFSET(RngToDay,ROWS(Dates),10))</f>
        <v>353</v>
      </c>
      <c r="O148" s="30">
        <f t="shared" si="18"/>
        <v>148</v>
      </c>
      <c r="P148" s="32"/>
      <c r="Q148" s="32"/>
    </row>
    <row r="149" spans="1:17" x14ac:dyDescent="0.25">
      <c r="A149" s="138">
        <v>41578</v>
      </c>
      <c r="B149" s="32"/>
      <c r="C149" s="32"/>
      <c r="E149" s="32"/>
      <c r="F149" s="32">
        <f t="shared" si="13"/>
        <v>0</v>
      </c>
      <c r="G149" s="30" t="str">
        <f t="shared" ca="1" si="15"/>
        <v>History</v>
      </c>
      <c r="H149" s="30">
        <f t="shared" si="16"/>
        <v>2013</v>
      </c>
      <c r="I149" s="30">
        <f t="shared" si="17"/>
        <v>10</v>
      </c>
      <c r="J149" s="30">
        <f t="shared" si="14"/>
        <v>44</v>
      </c>
      <c r="K149" s="30">
        <v>1</v>
      </c>
      <c r="L149" s="30">
        <f ca="1">SUM(K149:OFFSET(RngToDay,ROWS(Dates),10))</f>
        <v>352</v>
      </c>
      <c r="O149" s="30">
        <f t="shared" si="18"/>
        <v>149</v>
      </c>
      <c r="P149" s="32"/>
      <c r="Q149" s="32"/>
    </row>
    <row r="150" spans="1:17" x14ac:dyDescent="0.25">
      <c r="A150" s="138">
        <v>41577</v>
      </c>
      <c r="B150" s="32"/>
      <c r="C150" s="32"/>
      <c r="E150" s="32"/>
      <c r="F150" s="32">
        <f t="shared" si="13"/>
        <v>0</v>
      </c>
      <c r="G150" s="30" t="str">
        <f t="shared" ca="1" si="15"/>
        <v>History</v>
      </c>
      <c r="H150" s="30">
        <f t="shared" si="16"/>
        <v>2013</v>
      </c>
      <c r="I150" s="30">
        <f t="shared" si="17"/>
        <v>10</v>
      </c>
      <c r="J150" s="30">
        <f t="shared" si="14"/>
        <v>44</v>
      </c>
      <c r="K150" s="30">
        <v>1</v>
      </c>
      <c r="L150" s="30">
        <f ca="1">SUM(K150:OFFSET(RngToDay,ROWS(Dates),10))</f>
        <v>351</v>
      </c>
      <c r="O150" s="30">
        <f t="shared" si="18"/>
        <v>150</v>
      </c>
      <c r="P150" s="32"/>
      <c r="Q150" s="32"/>
    </row>
    <row r="151" spans="1:17" x14ac:dyDescent="0.25">
      <c r="A151" s="138">
        <v>41576</v>
      </c>
      <c r="B151" s="32"/>
      <c r="C151" s="32"/>
      <c r="E151" s="32"/>
      <c r="F151" s="32">
        <f t="shared" si="13"/>
        <v>0</v>
      </c>
      <c r="G151" s="30" t="str">
        <f t="shared" ca="1" si="15"/>
        <v>History</v>
      </c>
      <c r="H151" s="30">
        <f t="shared" si="16"/>
        <v>2013</v>
      </c>
      <c r="I151" s="30">
        <f t="shared" si="17"/>
        <v>10</v>
      </c>
      <c r="J151" s="30">
        <f t="shared" si="14"/>
        <v>44</v>
      </c>
      <c r="K151" s="30">
        <v>1</v>
      </c>
      <c r="L151" s="30">
        <f ca="1">SUM(K151:OFFSET(RngToDay,ROWS(Dates),10))</f>
        <v>350</v>
      </c>
      <c r="O151" s="30">
        <f t="shared" si="18"/>
        <v>151</v>
      </c>
      <c r="P151" s="32"/>
      <c r="Q151" s="32"/>
    </row>
    <row r="152" spans="1:17" x14ac:dyDescent="0.25">
      <c r="A152" s="138">
        <v>41575</v>
      </c>
      <c r="B152" s="32"/>
      <c r="C152" s="32"/>
      <c r="E152" s="32"/>
      <c r="F152" s="32">
        <f t="shared" si="13"/>
        <v>0</v>
      </c>
      <c r="G152" s="30" t="str">
        <f t="shared" ca="1" si="15"/>
        <v>History</v>
      </c>
      <c r="H152" s="30">
        <f t="shared" si="16"/>
        <v>2013</v>
      </c>
      <c r="I152" s="30">
        <f t="shared" si="17"/>
        <v>10</v>
      </c>
      <c r="J152" s="30">
        <f t="shared" si="14"/>
        <v>44</v>
      </c>
      <c r="K152" s="30">
        <v>1</v>
      </c>
      <c r="L152" s="30">
        <f ca="1">SUM(K152:OFFSET(RngToDay,ROWS(Dates),10))</f>
        <v>349</v>
      </c>
      <c r="O152" s="30">
        <f t="shared" si="18"/>
        <v>152</v>
      </c>
      <c r="P152" s="32"/>
      <c r="Q152" s="32"/>
    </row>
    <row r="153" spans="1:17" x14ac:dyDescent="0.25">
      <c r="A153" s="138">
        <v>41572</v>
      </c>
      <c r="B153" s="32"/>
      <c r="C153" s="32"/>
      <c r="E153" s="32"/>
      <c r="F153" s="32">
        <f t="shared" si="13"/>
        <v>0</v>
      </c>
      <c r="G153" s="30" t="str">
        <f t="shared" ca="1" si="15"/>
        <v>History</v>
      </c>
      <c r="H153" s="30">
        <f t="shared" si="16"/>
        <v>2013</v>
      </c>
      <c r="I153" s="30">
        <f t="shared" si="17"/>
        <v>10</v>
      </c>
      <c r="J153" s="30">
        <f t="shared" si="14"/>
        <v>43</v>
      </c>
      <c r="K153" s="30">
        <v>1</v>
      </c>
      <c r="L153" s="30">
        <f ca="1">SUM(K153:OFFSET(RngToDay,ROWS(Dates),10))</f>
        <v>348</v>
      </c>
      <c r="O153" s="30">
        <f t="shared" si="18"/>
        <v>153</v>
      </c>
      <c r="P153" s="32"/>
      <c r="Q153" s="32"/>
    </row>
    <row r="154" spans="1:17" x14ac:dyDescent="0.25">
      <c r="A154" s="138">
        <v>41571</v>
      </c>
      <c r="B154" s="32"/>
      <c r="C154" s="32"/>
      <c r="E154" s="32"/>
      <c r="F154" s="32">
        <f t="shared" si="13"/>
        <v>0</v>
      </c>
      <c r="G154" s="30" t="str">
        <f t="shared" ca="1" si="15"/>
        <v>History</v>
      </c>
      <c r="H154" s="30">
        <f t="shared" si="16"/>
        <v>2013</v>
      </c>
      <c r="I154" s="30">
        <f t="shared" si="17"/>
        <v>10</v>
      </c>
      <c r="J154" s="30">
        <f t="shared" si="14"/>
        <v>43</v>
      </c>
      <c r="K154" s="30">
        <v>1</v>
      </c>
      <c r="L154" s="30">
        <f ca="1">SUM(K154:OFFSET(RngToDay,ROWS(Dates),10))</f>
        <v>347</v>
      </c>
      <c r="O154" s="30">
        <f t="shared" si="18"/>
        <v>154</v>
      </c>
      <c r="P154" s="32"/>
      <c r="Q154" s="32"/>
    </row>
    <row r="155" spans="1:17" x14ac:dyDescent="0.25">
      <c r="A155" s="138">
        <v>41570</v>
      </c>
      <c r="B155" s="32"/>
      <c r="C155" s="32"/>
      <c r="E155" s="32"/>
      <c r="F155" s="32">
        <f t="shared" si="13"/>
        <v>0</v>
      </c>
      <c r="G155" s="30" t="str">
        <f t="shared" ca="1" si="15"/>
        <v>History</v>
      </c>
      <c r="H155" s="30">
        <f t="shared" si="16"/>
        <v>2013</v>
      </c>
      <c r="I155" s="30">
        <f t="shared" si="17"/>
        <v>10</v>
      </c>
      <c r="J155" s="30">
        <f t="shared" si="14"/>
        <v>43</v>
      </c>
      <c r="K155" s="30">
        <v>1</v>
      </c>
      <c r="L155" s="30">
        <f ca="1">SUM(K155:OFFSET(RngToDay,ROWS(Dates),10))</f>
        <v>346</v>
      </c>
      <c r="O155" s="30">
        <f t="shared" si="18"/>
        <v>155</v>
      </c>
      <c r="P155" s="32"/>
      <c r="Q155" s="32"/>
    </row>
    <row r="156" spans="1:17" x14ac:dyDescent="0.25">
      <c r="A156" s="138">
        <v>41569</v>
      </c>
      <c r="B156" s="32"/>
      <c r="C156" s="32"/>
      <c r="E156" s="32"/>
      <c r="F156" s="32">
        <f t="shared" si="13"/>
        <v>0</v>
      </c>
      <c r="G156" s="30" t="str">
        <f t="shared" ca="1" si="15"/>
        <v>History</v>
      </c>
      <c r="H156" s="30">
        <f t="shared" si="16"/>
        <v>2013</v>
      </c>
      <c r="I156" s="30">
        <f t="shared" si="17"/>
        <v>10</v>
      </c>
      <c r="J156" s="30">
        <f t="shared" si="14"/>
        <v>43</v>
      </c>
      <c r="K156" s="30">
        <v>1</v>
      </c>
      <c r="L156" s="30">
        <f ca="1">SUM(K156:OFFSET(RngToDay,ROWS(Dates),10))</f>
        <v>345</v>
      </c>
      <c r="O156" s="30">
        <f t="shared" si="18"/>
        <v>156</v>
      </c>
      <c r="P156" s="32"/>
      <c r="Q156" s="32"/>
    </row>
    <row r="157" spans="1:17" x14ac:dyDescent="0.25">
      <c r="A157" s="138">
        <v>41568</v>
      </c>
      <c r="B157" s="32"/>
      <c r="C157" s="32"/>
      <c r="E157" s="32"/>
      <c r="F157" s="32">
        <f t="shared" si="13"/>
        <v>0</v>
      </c>
      <c r="G157" s="30" t="str">
        <f t="shared" ca="1" si="15"/>
        <v>History</v>
      </c>
      <c r="H157" s="30">
        <f t="shared" si="16"/>
        <v>2013</v>
      </c>
      <c r="I157" s="30">
        <f t="shared" si="17"/>
        <v>10</v>
      </c>
      <c r="J157" s="30">
        <f t="shared" si="14"/>
        <v>43</v>
      </c>
      <c r="K157" s="30">
        <v>1</v>
      </c>
      <c r="L157" s="30">
        <f ca="1">SUM(K157:OFFSET(RngToDay,ROWS(Dates),10))</f>
        <v>344</v>
      </c>
      <c r="O157" s="30">
        <f t="shared" si="18"/>
        <v>157</v>
      </c>
      <c r="P157" s="32"/>
      <c r="Q157" s="32"/>
    </row>
    <row r="158" spans="1:17" x14ac:dyDescent="0.25">
      <c r="A158" s="138">
        <v>41565</v>
      </c>
      <c r="B158" s="32"/>
      <c r="C158" s="32"/>
      <c r="E158" s="32"/>
      <c r="F158" s="32">
        <f t="shared" si="13"/>
        <v>0</v>
      </c>
      <c r="G158" s="30" t="str">
        <f t="shared" ca="1" si="15"/>
        <v>History</v>
      </c>
      <c r="H158" s="30">
        <f t="shared" si="16"/>
        <v>2013</v>
      </c>
      <c r="I158" s="30">
        <f t="shared" si="17"/>
        <v>10</v>
      </c>
      <c r="J158" s="30">
        <f t="shared" si="14"/>
        <v>42</v>
      </c>
      <c r="K158" s="30">
        <v>1</v>
      </c>
      <c r="L158" s="30">
        <f ca="1">SUM(K158:OFFSET(RngToDay,ROWS(Dates),10))</f>
        <v>343</v>
      </c>
      <c r="O158" s="30">
        <f t="shared" si="18"/>
        <v>158</v>
      </c>
      <c r="P158" s="32"/>
      <c r="Q158" s="32"/>
    </row>
    <row r="159" spans="1:17" x14ac:dyDescent="0.25">
      <c r="A159" s="138">
        <v>41564</v>
      </c>
      <c r="B159" s="32"/>
      <c r="C159" s="32"/>
      <c r="E159" s="32"/>
      <c r="F159" s="32">
        <f t="shared" si="13"/>
        <v>0</v>
      </c>
      <c r="G159" s="30" t="str">
        <f t="shared" ca="1" si="15"/>
        <v>History</v>
      </c>
      <c r="H159" s="30">
        <f t="shared" si="16"/>
        <v>2013</v>
      </c>
      <c r="I159" s="30">
        <f t="shared" si="17"/>
        <v>10</v>
      </c>
      <c r="J159" s="30">
        <f t="shared" si="14"/>
        <v>42</v>
      </c>
      <c r="K159" s="30">
        <v>1</v>
      </c>
      <c r="L159" s="30">
        <f ca="1">SUM(K159:OFFSET(RngToDay,ROWS(Dates),10))</f>
        <v>342</v>
      </c>
      <c r="O159" s="30">
        <f t="shared" si="18"/>
        <v>159</v>
      </c>
      <c r="P159" s="32"/>
      <c r="Q159" s="32"/>
    </row>
    <row r="160" spans="1:17" x14ac:dyDescent="0.25">
      <c r="A160" s="138">
        <v>41563</v>
      </c>
      <c r="B160" s="32"/>
      <c r="C160" s="32"/>
      <c r="E160" s="32"/>
      <c r="F160" s="32">
        <f t="shared" si="13"/>
        <v>0</v>
      </c>
      <c r="G160" s="30" t="str">
        <f t="shared" ca="1" si="15"/>
        <v>History</v>
      </c>
      <c r="H160" s="30">
        <f t="shared" si="16"/>
        <v>2013</v>
      </c>
      <c r="I160" s="30">
        <f t="shared" si="17"/>
        <v>10</v>
      </c>
      <c r="J160" s="30">
        <f t="shared" si="14"/>
        <v>42</v>
      </c>
      <c r="K160" s="30">
        <v>1</v>
      </c>
      <c r="L160" s="30">
        <f ca="1">SUM(K160:OFFSET(RngToDay,ROWS(Dates),10))</f>
        <v>341</v>
      </c>
      <c r="O160" s="30">
        <f t="shared" si="18"/>
        <v>160</v>
      </c>
      <c r="P160" s="32"/>
      <c r="Q160" s="32"/>
    </row>
    <row r="161" spans="1:17" x14ac:dyDescent="0.25">
      <c r="A161" s="138">
        <v>41562</v>
      </c>
      <c r="B161" s="32"/>
      <c r="C161" s="32"/>
      <c r="E161" s="32"/>
      <c r="F161" s="32">
        <f t="shared" si="13"/>
        <v>0</v>
      </c>
      <c r="G161" s="30" t="str">
        <f t="shared" ca="1" si="15"/>
        <v>History</v>
      </c>
      <c r="H161" s="30">
        <f t="shared" si="16"/>
        <v>2013</v>
      </c>
      <c r="I161" s="30">
        <f t="shared" si="17"/>
        <v>10</v>
      </c>
      <c r="J161" s="30">
        <f t="shared" si="14"/>
        <v>42</v>
      </c>
      <c r="K161" s="30">
        <v>1</v>
      </c>
      <c r="L161" s="30">
        <f ca="1">SUM(K161:OFFSET(RngToDay,ROWS(Dates),10))</f>
        <v>340</v>
      </c>
      <c r="O161" s="30">
        <f t="shared" si="18"/>
        <v>161</v>
      </c>
      <c r="P161" s="32"/>
      <c r="Q161" s="32"/>
    </row>
    <row r="162" spans="1:17" x14ac:dyDescent="0.25">
      <c r="A162" s="138">
        <v>41561</v>
      </c>
      <c r="B162" s="32"/>
      <c r="C162" s="32"/>
      <c r="E162" s="32"/>
      <c r="F162" s="32">
        <f t="shared" si="13"/>
        <v>0</v>
      </c>
      <c r="G162" s="30" t="str">
        <f t="shared" ca="1" si="15"/>
        <v>History</v>
      </c>
      <c r="H162" s="30">
        <f t="shared" si="16"/>
        <v>2013</v>
      </c>
      <c r="I162" s="30">
        <f t="shared" si="17"/>
        <v>10</v>
      </c>
      <c r="J162" s="30">
        <f t="shared" si="14"/>
        <v>42</v>
      </c>
      <c r="K162" s="30">
        <v>1</v>
      </c>
      <c r="L162" s="30">
        <f ca="1">SUM(K162:OFFSET(RngToDay,ROWS(Dates),10))</f>
        <v>339</v>
      </c>
      <c r="O162" s="30">
        <f t="shared" si="18"/>
        <v>162</v>
      </c>
      <c r="P162" s="32"/>
      <c r="Q162" s="32"/>
    </row>
    <row r="163" spans="1:17" x14ac:dyDescent="0.25">
      <c r="A163" s="138">
        <v>41558</v>
      </c>
      <c r="B163" s="32"/>
      <c r="C163" s="32"/>
      <c r="E163" s="32"/>
      <c r="F163" s="32">
        <f t="shared" si="13"/>
        <v>0</v>
      </c>
      <c r="G163" s="30" t="str">
        <f t="shared" ca="1" si="15"/>
        <v>History</v>
      </c>
      <c r="H163" s="30">
        <f t="shared" si="16"/>
        <v>2013</v>
      </c>
      <c r="I163" s="30">
        <f t="shared" si="17"/>
        <v>10</v>
      </c>
      <c r="J163" s="30">
        <f t="shared" si="14"/>
        <v>41</v>
      </c>
      <c r="K163" s="30">
        <v>1</v>
      </c>
      <c r="L163" s="30">
        <f ca="1">SUM(K163:OFFSET(RngToDay,ROWS(Dates),10))</f>
        <v>338</v>
      </c>
      <c r="O163" s="30">
        <f t="shared" si="18"/>
        <v>163</v>
      </c>
      <c r="P163" s="32"/>
      <c r="Q163" s="32"/>
    </row>
    <row r="164" spans="1:17" x14ac:dyDescent="0.25">
      <c r="A164" s="138">
        <v>41557</v>
      </c>
      <c r="B164" s="32"/>
      <c r="C164" s="32"/>
      <c r="E164" s="32"/>
      <c r="F164" s="32">
        <f t="shared" si="13"/>
        <v>0</v>
      </c>
      <c r="G164" s="30" t="str">
        <f t="shared" ca="1" si="15"/>
        <v>History</v>
      </c>
      <c r="H164" s="30">
        <f t="shared" si="16"/>
        <v>2013</v>
      </c>
      <c r="I164" s="30">
        <f t="shared" si="17"/>
        <v>10</v>
      </c>
      <c r="J164" s="30">
        <f t="shared" si="14"/>
        <v>41</v>
      </c>
      <c r="K164" s="30">
        <v>1</v>
      </c>
      <c r="L164" s="30">
        <f ca="1">SUM(K164:OFFSET(RngToDay,ROWS(Dates),10))</f>
        <v>337</v>
      </c>
      <c r="O164" s="30">
        <f t="shared" si="18"/>
        <v>164</v>
      </c>
      <c r="P164" s="32"/>
      <c r="Q164" s="32"/>
    </row>
    <row r="165" spans="1:17" x14ac:dyDescent="0.25">
      <c r="A165" s="138">
        <v>41556</v>
      </c>
      <c r="B165" s="32"/>
      <c r="C165" s="32"/>
      <c r="E165" s="32"/>
      <c r="F165" s="32">
        <f t="shared" si="13"/>
        <v>0</v>
      </c>
      <c r="G165" s="30" t="str">
        <f t="shared" ca="1" si="15"/>
        <v>History</v>
      </c>
      <c r="H165" s="30">
        <f t="shared" si="16"/>
        <v>2013</v>
      </c>
      <c r="I165" s="30">
        <f t="shared" si="17"/>
        <v>10</v>
      </c>
      <c r="J165" s="30">
        <f t="shared" si="14"/>
        <v>41</v>
      </c>
      <c r="K165" s="30">
        <v>1</v>
      </c>
      <c r="L165" s="30">
        <f ca="1">SUM(K165:OFFSET(RngToDay,ROWS(Dates),10))</f>
        <v>336</v>
      </c>
      <c r="O165" s="30">
        <f t="shared" si="18"/>
        <v>165</v>
      </c>
      <c r="P165" s="32"/>
      <c r="Q165" s="32"/>
    </row>
    <row r="166" spans="1:17" x14ac:dyDescent="0.25">
      <c r="A166" s="138">
        <v>41555</v>
      </c>
      <c r="B166" s="32"/>
      <c r="C166" s="32"/>
      <c r="E166" s="32"/>
      <c r="F166" s="32">
        <f t="shared" si="13"/>
        <v>0</v>
      </c>
      <c r="G166" s="30" t="str">
        <f t="shared" ca="1" si="15"/>
        <v>History</v>
      </c>
      <c r="H166" s="30">
        <f t="shared" si="16"/>
        <v>2013</v>
      </c>
      <c r="I166" s="30">
        <f t="shared" si="17"/>
        <v>10</v>
      </c>
      <c r="J166" s="30">
        <f t="shared" si="14"/>
        <v>41</v>
      </c>
      <c r="K166" s="30">
        <v>1</v>
      </c>
      <c r="L166" s="30">
        <f ca="1">SUM(K166:OFFSET(RngToDay,ROWS(Dates),10))</f>
        <v>335</v>
      </c>
      <c r="O166" s="30">
        <f t="shared" si="18"/>
        <v>166</v>
      </c>
      <c r="P166" s="32"/>
      <c r="Q166" s="32"/>
    </row>
    <row r="167" spans="1:17" x14ac:dyDescent="0.25">
      <c r="A167" s="138">
        <v>41554</v>
      </c>
      <c r="B167" s="32"/>
      <c r="C167" s="32"/>
      <c r="E167" s="32"/>
      <c r="F167" s="32">
        <f t="shared" si="13"/>
        <v>0</v>
      </c>
      <c r="G167" s="30" t="str">
        <f t="shared" ca="1" si="15"/>
        <v>History</v>
      </c>
      <c r="H167" s="30">
        <f t="shared" si="16"/>
        <v>2013</v>
      </c>
      <c r="I167" s="30">
        <f t="shared" si="17"/>
        <v>10</v>
      </c>
      <c r="J167" s="30">
        <f t="shared" si="14"/>
        <v>41</v>
      </c>
      <c r="K167" s="30">
        <v>1</v>
      </c>
      <c r="L167" s="30">
        <f ca="1">SUM(K167:OFFSET(RngToDay,ROWS(Dates),10))</f>
        <v>334</v>
      </c>
      <c r="O167" s="30">
        <f t="shared" si="18"/>
        <v>167</v>
      </c>
      <c r="P167" s="32"/>
      <c r="Q167" s="32"/>
    </row>
    <row r="168" spans="1:17" x14ac:dyDescent="0.25">
      <c r="A168" s="138">
        <v>41551</v>
      </c>
      <c r="B168" s="32"/>
      <c r="C168" s="32"/>
      <c r="E168" s="32"/>
      <c r="F168" s="32">
        <f t="shared" si="13"/>
        <v>0</v>
      </c>
      <c r="G168" s="30" t="str">
        <f t="shared" ca="1" si="15"/>
        <v>History</v>
      </c>
      <c r="H168" s="30">
        <f t="shared" si="16"/>
        <v>2013</v>
      </c>
      <c r="I168" s="30">
        <f t="shared" si="17"/>
        <v>10</v>
      </c>
      <c r="J168" s="30">
        <f t="shared" si="14"/>
        <v>40</v>
      </c>
      <c r="K168" s="30">
        <v>1</v>
      </c>
      <c r="L168" s="30">
        <f ca="1">SUM(K168:OFFSET(RngToDay,ROWS(Dates),10))</f>
        <v>333</v>
      </c>
      <c r="O168" s="30">
        <f t="shared" si="18"/>
        <v>168</v>
      </c>
      <c r="P168" s="32"/>
      <c r="Q168" s="32"/>
    </row>
    <row r="169" spans="1:17" x14ac:dyDescent="0.25">
      <c r="A169" s="138">
        <v>41550</v>
      </c>
      <c r="B169" s="32"/>
      <c r="C169" s="32"/>
      <c r="E169" s="32"/>
      <c r="F169" s="32">
        <f t="shared" si="13"/>
        <v>0</v>
      </c>
      <c r="G169" s="30" t="str">
        <f t="shared" ca="1" si="15"/>
        <v>History</v>
      </c>
      <c r="H169" s="30">
        <f t="shared" si="16"/>
        <v>2013</v>
      </c>
      <c r="I169" s="30">
        <f t="shared" si="17"/>
        <v>10</v>
      </c>
      <c r="J169" s="30">
        <f t="shared" si="14"/>
        <v>40</v>
      </c>
      <c r="K169" s="30">
        <v>1</v>
      </c>
      <c r="L169" s="30">
        <f ca="1">SUM(K169:OFFSET(RngToDay,ROWS(Dates),10))</f>
        <v>332</v>
      </c>
      <c r="O169" s="30">
        <f t="shared" si="18"/>
        <v>169</v>
      </c>
      <c r="P169" s="32"/>
      <c r="Q169" s="32"/>
    </row>
    <row r="170" spans="1:17" x14ac:dyDescent="0.25">
      <c r="A170" s="138">
        <v>41549</v>
      </c>
      <c r="B170" s="32"/>
      <c r="C170" s="32"/>
      <c r="E170" s="32"/>
      <c r="F170" s="32">
        <f t="shared" si="13"/>
        <v>0</v>
      </c>
      <c r="G170" s="30" t="str">
        <f t="shared" ca="1" si="15"/>
        <v>History</v>
      </c>
      <c r="H170" s="30">
        <f t="shared" si="16"/>
        <v>2013</v>
      </c>
      <c r="I170" s="30">
        <f t="shared" si="17"/>
        <v>10</v>
      </c>
      <c r="J170" s="30">
        <f t="shared" si="14"/>
        <v>40</v>
      </c>
      <c r="K170" s="30">
        <v>1</v>
      </c>
      <c r="L170" s="30">
        <f ca="1">SUM(K170:OFFSET(RngToDay,ROWS(Dates),10))</f>
        <v>331</v>
      </c>
      <c r="O170" s="30">
        <f t="shared" si="18"/>
        <v>170</v>
      </c>
      <c r="P170" s="32"/>
      <c r="Q170" s="32"/>
    </row>
    <row r="171" spans="1:17" x14ac:dyDescent="0.25">
      <c r="A171" s="138">
        <v>41548</v>
      </c>
      <c r="B171" s="32"/>
      <c r="C171" s="32"/>
      <c r="E171" s="32"/>
      <c r="F171" s="32">
        <f t="shared" si="13"/>
        <v>0</v>
      </c>
      <c r="G171" s="30" t="str">
        <f t="shared" ca="1" si="15"/>
        <v>History</v>
      </c>
      <c r="H171" s="30">
        <f t="shared" si="16"/>
        <v>2013</v>
      </c>
      <c r="I171" s="30">
        <f t="shared" si="17"/>
        <v>10</v>
      </c>
      <c r="J171" s="30">
        <f t="shared" si="14"/>
        <v>40</v>
      </c>
      <c r="K171" s="30">
        <v>1</v>
      </c>
      <c r="L171" s="30">
        <f ca="1">SUM(K171:OFFSET(RngToDay,ROWS(Dates),10))</f>
        <v>330</v>
      </c>
      <c r="O171" s="30">
        <f t="shared" si="18"/>
        <v>171</v>
      </c>
      <c r="P171" s="32"/>
      <c r="Q171" s="32"/>
    </row>
    <row r="172" spans="1:17" x14ac:dyDescent="0.25">
      <c r="A172" s="138">
        <v>41547</v>
      </c>
      <c r="B172" s="32"/>
      <c r="C172" s="32"/>
      <c r="E172" s="32"/>
      <c r="F172" s="32">
        <f t="shared" si="13"/>
        <v>0</v>
      </c>
      <c r="G172" s="30" t="str">
        <f t="shared" ca="1" si="15"/>
        <v>History</v>
      </c>
      <c r="H172" s="30">
        <f t="shared" si="16"/>
        <v>2013</v>
      </c>
      <c r="I172" s="30">
        <f t="shared" si="17"/>
        <v>9</v>
      </c>
      <c r="J172" s="30">
        <f t="shared" si="14"/>
        <v>40</v>
      </c>
      <c r="K172" s="30">
        <v>1</v>
      </c>
      <c r="L172" s="30">
        <f ca="1">SUM(K172:OFFSET(RngToDay,ROWS(Dates),10))</f>
        <v>329</v>
      </c>
      <c r="O172" s="30">
        <f t="shared" si="18"/>
        <v>172</v>
      </c>
      <c r="P172" s="32"/>
      <c r="Q172" s="32"/>
    </row>
    <row r="173" spans="1:17" x14ac:dyDescent="0.25">
      <c r="A173" s="138">
        <v>41544</v>
      </c>
      <c r="B173" s="32"/>
      <c r="C173" s="32"/>
      <c r="E173" s="32"/>
      <c r="F173" s="32">
        <f t="shared" si="13"/>
        <v>0</v>
      </c>
      <c r="G173" s="30" t="str">
        <f t="shared" ca="1" si="15"/>
        <v>History</v>
      </c>
      <c r="H173" s="30">
        <f t="shared" si="16"/>
        <v>2013</v>
      </c>
      <c r="I173" s="30">
        <f t="shared" si="17"/>
        <v>9</v>
      </c>
      <c r="J173" s="30">
        <f t="shared" si="14"/>
        <v>39</v>
      </c>
      <c r="K173" s="30">
        <v>1</v>
      </c>
      <c r="L173" s="30">
        <f ca="1">SUM(K173:OFFSET(RngToDay,ROWS(Dates),10))</f>
        <v>328</v>
      </c>
      <c r="O173" s="30">
        <f t="shared" si="18"/>
        <v>173</v>
      </c>
      <c r="P173" s="32"/>
      <c r="Q173" s="32"/>
    </row>
    <row r="174" spans="1:17" x14ac:dyDescent="0.25">
      <c r="A174" s="138">
        <v>41543</v>
      </c>
      <c r="B174" s="32"/>
      <c r="C174" s="32"/>
      <c r="E174" s="32"/>
      <c r="F174" s="32">
        <f t="shared" si="13"/>
        <v>0</v>
      </c>
      <c r="G174" s="30" t="str">
        <f t="shared" ca="1" si="15"/>
        <v>History</v>
      </c>
      <c r="H174" s="30">
        <f t="shared" si="16"/>
        <v>2013</v>
      </c>
      <c r="I174" s="30">
        <f t="shared" si="17"/>
        <v>9</v>
      </c>
      <c r="J174" s="30">
        <f t="shared" si="14"/>
        <v>39</v>
      </c>
      <c r="K174" s="30">
        <v>1</v>
      </c>
      <c r="L174" s="30">
        <f ca="1">SUM(K174:OFFSET(RngToDay,ROWS(Dates),10))</f>
        <v>327</v>
      </c>
      <c r="O174" s="30">
        <f t="shared" si="18"/>
        <v>174</v>
      </c>
      <c r="P174" s="32"/>
      <c r="Q174" s="32"/>
    </row>
    <row r="175" spans="1:17" x14ac:dyDescent="0.25">
      <c r="A175" s="138">
        <v>41542</v>
      </c>
      <c r="B175" s="32"/>
      <c r="C175" s="32"/>
      <c r="E175" s="32"/>
      <c r="F175" s="32">
        <f t="shared" si="13"/>
        <v>0</v>
      </c>
      <c r="G175" s="30" t="str">
        <f t="shared" ca="1" si="15"/>
        <v>History</v>
      </c>
      <c r="H175" s="30">
        <f t="shared" si="16"/>
        <v>2013</v>
      </c>
      <c r="I175" s="30">
        <f t="shared" si="17"/>
        <v>9</v>
      </c>
      <c r="J175" s="30">
        <f t="shared" si="14"/>
        <v>39</v>
      </c>
      <c r="K175" s="30">
        <v>1</v>
      </c>
      <c r="L175" s="30">
        <f ca="1">SUM(K175:OFFSET(RngToDay,ROWS(Dates),10))</f>
        <v>326</v>
      </c>
      <c r="O175" s="30">
        <f t="shared" si="18"/>
        <v>175</v>
      </c>
      <c r="P175" s="32"/>
      <c r="Q175" s="32"/>
    </row>
    <row r="176" spans="1:17" x14ac:dyDescent="0.25">
      <c r="A176" s="138">
        <v>41541</v>
      </c>
      <c r="B176" s="32"/>
      <c r="C176" s="32"/>
      <c r="E176" s="32"/>
      <c r="F176" s="32">
        <f t="shared" si="13"/>
        <v>0</v>
      </c>
      <c r="G176" s="30" t="str">
        <f t="shared" ca="1" si="15"/>
        <v>History</v>
      </c>
      <c r="H176" s="30">
        <f t="shared" si="16"/>
        <v>2013</v>
      </c>
      <c r="I176" s="30">
        <f t="shared" si="17"/>
        <v>9</v>
      </c>
      <c r="J176" s="30">
        <f t="shared" si="14"/>
        <v>39</v>
      </c>
      <c r="K176" s="30">
        <v>1</v>
      </c>
      <c r="L176" s="30">
        <f ca="1">SUM(K176:OFFSET(RngToDay,ROWS(Dates),10))</f>
        <v>325</v>
      </c>
      <c r="O176" s="30">
        <f t="shared" si="18"/>
        <v>176</v>
      </c>
      <c r="P176" s="32"/>
      <c r="Q176" s="32"/>
    </row>
    <row r="177" spans="1:17" x14ac:dyDescent="0.25">
      <c r="A177" s="138">
        <v>41540</v>
      </c>
      <c r="B177" s="32"/>
      <c r="C177" s="32"/>
      <c r="E177" s="32"/>
      <c r="F177" s="32">
        <f t="shared" si="13"/>
        <v>0</v>
      </c>
      <c r="G177" s="30" t="str">
        <f t="shared" ca="1" si="15"/>
        <v>History</v>
      </c>
      <c r="H177" s="30">
        <f t="shared" si="16"/>
        <v>2013</v>
      </c>
      <c r="I177" s="30">
        <f t="shared" si="17"/>
        <v>9</v>
      </c>
      <c r="J177" s="30">
        <f t="shared" si="14"/>
        <v>39</v>
      </c>
      <c r="K177" s="30">
        <v>1</v>
      </c>
      <c r="L177" s="30">
        <f ca="1">SUM(K177:OFFSET(RngToDay,ROWS(Dates),10))</f>
        <v>324</v>
      </c>
      <c r="O177" s="30">
        <f t="shared" si="18"/>
        <v>177</v>
      </c>
      <c r="P177" s="32"/>
      <c r="Q177" s="32"/>
    </row>
    <row r="178" spans="1:17" x14ac:dyDescent="0.25">
      <c r="A178" s="138">
        <v>41537</v>
      </c>
      <c r="B178" s="32"/>
      <c r="C178" s="32"/>
      <c r="E178" s="32"/>
      <c r="F178" s="32">
        <f t="shared" si="13"/>
        <v>0</v>
      </c>
      <c r="G178" s="30" t="str">
        <f t="shared" ca="1" si="15"/>
        <v>History</v>
      </c>
      <c r="H178" s="30">
        <f t="shared" si="16"/>
        <v>2013</v>
      </c>
      <c r="I178" s="30">
        <f t="shared" si="17"/>
        <v>9</v>
      </c>
      <c r="J178" s="30">
        <f t="shared" si="14"/>
        <v>38</v>
      </c>
      <c r="K178" s="30">
        <v>1</v>
      </c>
      <c r="L178" s="30">
        <f ca="1">SUM(K178:OFFSET(RngToDay,ROWS(Dates),10))</f>
        <v>323</v>
      </c>
      <c r="O178" s="30">
        <f t="shared" si="18"/>
        <v>178</v>
      </c>
      <c r="P178" s="32"/>
      <c r="Q178" s="32"/>
    </row>
    <row r="179" spans="1:17" x14ac:dyDescent="0.25">
      <c r="A179" s="138">
        <v>41536</v>
      </c>
      <c r="B179" s="32"/>
      <c r="C179" s="32"/>
      <c r="E179" s="32"/>
      <c r="F179" s="32">
        <f t="shared" si="13"/>
        <v>0</v>
      </c>
      <c r="G179" s="30" t="str">
        <f t="shared" ca="1" si="15"/>
        <v>History</v>
      </c>
      <c r="H179" s="30">
        <f t="shared" si="16"/>
        <v>2013</v>
      </c>
      <c r="I179" s="30">
        <f t="shared" si="17"/>
        <v>9</v>
      </c>
      <c r="J179" s="30">
        <f t="shared" si="14"/>
        <v>38</v>
      </c>
      <c r="K179" s="30">
        <v>1</v>
      </c>
      <c r="L179" s="30">
        <f ca="1">SUM(K179:OFFSET(RngToDay,ROWS(Dates),10))</f>
        <v>322</v>
      </c>
      <c r="O179" s="30">
        <f t="shared" si="18"/>
        <v>179</v>
      </c>
      <c r="P179" s="32"/>
      <c r="Q179" s="32"/>
    </row>
    <row r="180" spans="1:17" x14ac:dyDescent="0.25">
      <c r="A180" s="138">
        <v>41535</v>
      </c>
      <c r="B180" s="32"/>
      <c r="C180" s="32"/>
      <c r="E180" s="32"/>
      <c r="F180" s="32">
        <f t="shared" si="13"/>
        <v>0</v>
      </c>
      <c r="G180" s="30" t="str">
        <f t="shared" ca="1" si="15"/>
        <v>History</v>
      </c>
      <c r="H180" s="30">
        <f t="shared" si="16"/>
        <v>2013</v>
      </c>
      <c r="I180" s="30">
        <f t="shared" si="17"/>
        <v>9</v>
      </c>
      <c r="J180" s="30">
        <f t="shared" si="14"/>
        <v>38</v>
      </c>
      <c r="K180" s="30">
        <v>1</v>
      </c>
      <c r="L180" s="30">
        <f ca="1">SUM(K180:OFFSET(RngToDay,ROWS(Dates),10))</f>
        <v>321</v>
      </c>
      <c r="O180" s="30">
        <f t="shared" si="18"/>
        <v>180</v>
      </c>
      <c r="P180" s="32"/>
      <c r="Q180" s="32"/>
    </row>
    <row r="181" spans="1:17" x14ac:dyDescent="0.25">
      <c r="A181" s="138">
        <v>41534</v>
      </c>
      <c r="B181" s="32"/>
      <c r="C181" s="32"/>
      <c r="E181" s="32"/>
      <c r="F181" s="32">
        <f t="shared" si="13"/>
        <v>0</v>
      </c>
      <c r="G181" s="30" t="str">
        <f t="shared" ca="1" si="15"/>
        <v>History</v>
      </c>
      <c r="H181" s="30">
        <f t="shared" si="16"/>
        <v>2013</v>
      </c>
      <c r="I181" s="30">
        <f t="shared" si="17"/>
        <v>9</v>
      </c>
      <c r="J181" s="30">
        <f t="shared" si="14"/>
        <v>38</v>
      </c>
      <c r="K181" s="30">
        <v>1</v>
      </c>
      <c r="L181" s="30">
        <f ca="1">SUM(K181:OFFSET(RngToDay,ROWS(Dates),10))</f>
        <v>320</v>
      </c>
      <c r="O181" s="30">
        <f t="shared" si="18"/>
        <v>181</v>
      </c>
      <c r="P181" s="32"/>
      <c r="Q181" s="32"/>
    </row>
    <row r="182" spans="1:17" x14ac:dyDescent="0.25">
      <c r="A182" s="138">
        <v>41533</v>
      </c>
      <c r="B182" s="32"/>
      <c r="C182" s="32"/>
      <c r="E182" s="32"/>
      <c r="F182" s="32">
        <f t="shared" si="13"/>
        <v>0</v>
      </c>
      <c r="G182" s="30" t="str">
        <f t="shared" ca="1" si="15"/>
        <v>History</v>
      </c>
      <c r="H182" s="30">
        <f t="shared" si="16"/>
        <v>2013</v>
      </c>
      <c r="I182" s="30">
        <f t="shared" si="17"/>
        <v>9</v>
      </c>
      <c r="J182" s="30">
        <f t="shared" si="14"/>
        <v>38</v>
      </c>
      <c r="K182" s="30">
        <v>1</v>
      </c>
      <c r="L182" s="30">
        <f ca="1">SUM(K182:OFFSET(RngToDay,ROWS(Dates),10))</f>
        <v>319</v>
      </c>
      <c r="O182" s="30">
        <f t="shared" si="18"/>
        <v>182</v>
      </c>
      <c r="P182" s="32"/>
      <c r="Q182" s="32"/>
    </row>
    <row r="183" spans="1:17" x14ac:dyDescent="0.25">
      <c r="A183" s="138">
        <v>41530</v>
      </c>
      <c r="B183" s="32"/>
      <c r="C183" s="32"/>
      <c r="E183" s="32"/>
      <c r="F183" s="32">
        <f t="shared" si="13"/>
        <v>0</v>
      </c>
      <c r="G183" s="30" t="str">
        <f t="shared" ca="1" si="15"/>
        <v>History</v>
      </c>
      <c r="H183" s="30">
        <f t="shared" si="16"/>
        <v>2013</v>
      </c>
      <c r="I183" s="30">
        <f t="shared" si="17"/>
        <v>9</v>
      </c>
      <c r="J183" s="30">
        <f t="shared" si="14"/>
        <v>37</v>
      </c>
      <c r="K183" s="30">
        <v>1</v>
      </c>
      <c r="L183" s="30">
        <f ca="1">SUM(K183:OFFSET(RngToDay,ROWS(Dates),10))</f>
        <v>318</v>
      </c>
      <c r="O183" s="30">
        <f t="shared" si="18"/>
        <v>183</v>
      </c>
      <c r="P183" s="32"/>
      <c r="Q183" s="32"/>
    </row>
    <row r="184" spans="1:17" x14ac:dyDescent="0.25">
      <c r="A184" s="138">
        <v>41529</v>
      </c>
      <c r="B184" s="32"/>
      <c r="C184" s="32"/>
      <c r="E184" s="32"/>
      <c r="F184" s="32">
        <f t="shared" si="13"/>
        <v>0</v>
      </c>
      <c r="G184" s="30" t="str">
        <f t="shared" ca="1" si="15"/>
        <v>History</v>
      </c>
      <c r="H184" s="30">
        <f t="shared" si="16"/>
        <v>2013</v>
      </c>
      <c r="I184" s="30">
        <f t="shared" si="17"/>
        <v>9</v>
      </c>
      <c r="J184" s="30">
        <f t="shared" si="14"/>
        <v>37</v>
      </c>
      <c r="K184" s="30">
        <v>1</v>
      </c>
      <c r="L184" s="30">
        <f ca="1">SUM(K184:OFFSET(RngToDay,ROWS(Dates),10))</f>
        <v>317</v>
      </c>
      <c r="O184" s="30">
        <f t="shared" si="18"/>
        <v>184</v>
      </c>
      <c r="P184" s="32"/>
      <c r="Q184" s="32"/>
    </row>
    <row r="185" spans="1:17" x14ac:dyDescent="0.25">
      <c r="A185" s="138">
        <v>41528</v>
      </c>
      <c r="B185" s="32"/>
      <c r="C185" s="32"/>
      <c r="E185" s="32"/>
      <c r="F185" s="32">
        <f t="shared" si="13"/>
        <v>0</v>
      </c>
      <c r="G185" s="30" t="str">
        <f t="shared" ca="1" si="15"/>
        <v>History</v>
      </c>
      <c r="H185" s="30">
        <f t="shared" si="16"/>
        <v>2013</v>
      </c>
      <c r="I185" s="30">
        <f t="shared" si="17"/>
        <v>9</v>
      </c>
      <c r="J185" s="30">
        <f t="shared" si="14"/>
        <v>37</v>
      </c>
      <c r="K185" s="30">
        <v>1</v>
      </c>
      <c r="L185" s="30">
        <f ca="1">SUM(K185:OFFSET(RngToDay,ROWS(Dates),10))</f>
        <v>316</v>
      </c>
      <c r="O185" s="30">
        <f t="shared" si="18"/>
        <v>185</v>
      </c>
      <c r="P185" s="32"/>
      <c r="Q185" s="32"/>
    </row>
    <row r="186" spans="1:17" x14ac:dyDescent="0.25">
      <c r="A186" s="138">
        <v>41527</v>
      </c>
      <c r="B186" s="32"/>
      <c r="C186" s="32"/>
      <c r="E186" s="32"/>
      <c r="F186" s="32">
        <f t="shared" si="13"/>
        <v>0</v>
      </c>
      <c r="G186" s="30" t="str">
        <f t="shared" ca="1" si="15"/>
        <v>History</v>
      </c>
      <c r="H186" s="30">
        <f t="shared" si="16"/>
        <v>2013</v>
      </c>
      <c r="I186" s="30">
        <f t="shared" si="17"/>
        <v>9</v>
      </c>
      <c r="J186" s="30">
        <f t="shared" si="14"/>
        <v>37</v>
      </c>
      <c r="K186" s="30">
        <v>1</v>
      </c>
      <c r="L186" s="30">
        <f ca="1">SUM(K186:OFFSET(RngToDay,ROWS(Dates),10))</f>
        <v>315</v>
      </c>
      <c r="O186" s="30">
        <f t="shared" si="18"/>
        <v>186</v>
      </c>
      <c r="P186" s="32"/>
      <c r="Q186" s="32"/>
    </row>
    <row r="187" spans="1:17" x14ac:dyDescent="0.25">
      <c r="A187" s="138">
        <v>41526</v>
      </c>
      <c r="B187" s="32"/>
      <c r="C187" s="32"/>
      <c r="E187" s="32"/>
      <c r="F187" s="32">
        <f t="shared" ref="F187:F250" si="19">ActCov</f>
        <v>0</v>
      </c>
      <c r="G187" s="30" t="str">
        <f t="shared" ca="1" si="15"/>
        <v>History</v>
      </c>
      <c r="H187" s="30">
        <f t="shared" si="16"/>
        <v>2013</v>
      </c>
      <c r="I187" s="30">
        <f t="shared" si="17"/>
        <v>9</v>
      </c>
      <c r="J187" s="30">
        <f t="shared" si="14"/>
        <v>37</v>
      </c>
      <c r="K187" s="30">
        <v>1</v>
      </c>
      <c r="L187" s="30">
        <f ca="1">SUM(K187:OFFSET(RngToDay,ROWS(Dates),10))</f>
        <v>314</v>
      </c>
      <c r="O187" s="30">
        <f t="shared" si="18"/>
        <v>187</v>
      </c>
      <c r="P187" s="32"/>
      <c r="Q187" s="32"/>
    </row>
    <row r="188" spans="1:17" x14ac:dyDescent="0.25">
      <c r="A188" s="138">
        <v>41523</v>
      </c>
      <c r="B188" s="32"/>
      <c r="C188" s="32"/>
      <c r="E188" s="32"/>
      <c r="F188" s="32">
        <f t="shared" si="19"/>
        <v>0</v>
      </c>
      <c r="G188" s="30" t="str">
        <f t="shared" ca="1" si="15"/>
        <v>History</v>
      </c>
      <c r="H188" s="30">
        <f t="shared" si="16"/>
        <v>2013</v>
      </c>
      <c r="I188" s="30">
        <f t="shared" si="17"/>
        <v>9</v>
      </c>
      <c r="J188" s="30">
        <f t="shared" si="14"/>
        <v>36</v>
      </c>
      <c r="K188" s="30">
        <v>1</v>
      </c>
      <c r="L188" s="30">
        <f ca="1">SUM(K188:OFFSET(RngToDay,ROWS(Dates),10))</f>
        <v>313</v>
      </c>
      <c r="O188" s="30">
        <f t="shared" si="18"/>
        <v>188</v>
      </c>
      <c r="P188" s="32"/>
      <c r="Q188" s="32"/>
    </row>
    <row r="189" spans="1:17" x14ac:dyDescent="0.25">
      <c r="A189" s="138">
        <v>41522</v>
      </c>
      <c r="B189" s="32"/>
      <c r="C189" s="32"/>
      <c r="E189" s="32"/>
      <c r="F189" s="32">
        <f t="shared" si="19"/>
        <v>0</v>
      </c>
      <c r="G189" s="30" t="str">
        <f t="shared" ca="1" si="15"/>
        <v>History</v>
      </c>
      <c r="H189" s="30">
        <f t="shared" si="16"/>
        <v>2013</v>
      </c>
      <c r="I189" s="30">
        <f t="shared" si="17"/>
        <v>9</v>
      </c>
      <c r="J189" s="30">
        <f t="shared" si="14"/>
        <v>36</v>
      </c>
      <c r="K189" s="30">
        <v>1</v>
      </c>
      <c r="L189" s="30">
        <f ca="1">SUM(K189:OFFSET(RngToDay,ROWS(Dates),10))</f>
        <v>312</v>
      </c>
      <c r="O189" s="30">
        <f t="shared" si="18"/>
        <v>189</v>
      </c>
      <c r="P189" s="32"/>
      <c r="Q189" s="32"/>
    </row>
    <row r="190" spans="1:17" x14ac:dyDescent="0.25">
      <c r="A190" s="138">
        <v>41521</v>
      </c>
      <c r="B190" s="32"/>
      <c r="C190" s="32"/>
      <c r="E190" s="32"/>
      <c r="F190" s="32">
        <f t="shared" si="19"/>
        <v>0</v>
      </c>
      <c r="G190" s="30" t="str">
        <f t="shared" ca="1" si="15"/>
        <v>History</v>
      </c>
      <c r="H190" s="30">
        <f t="shared" si="16"/>
        <v>2013</v>
      </c>
      <c r="I190" s="30">
        <f t="shared" si="17"/>
        <v>9</v>
      </c>
      <c r="J190" s="30">
        <f t="shared" si="14"/>
        <v>36</v>
      </c>
      <c r="K190" s="30">
        <v>1</v>
      </c>
      <c r="L190" s="30">
        <f ca="1">SUM(K190:OFFSET(RngToDay,ROWS(Dates),10))</f>
        <v>311</v>
      </c>
      <c r="O190" s="30">
        <f t="shared" si="18"/>
        <v>190</v>
      </c>
      <c r="P190" s="32"/>
      <c r="Q190" s="32"/>
    </row>
    <row r="191" spans="1:17" x14ac:dyDescent="0.25">
      <c r="A191" s="138">
        <v>41520</v>
      </c>
      <c r="B191" s="32"/>
      <c r="C191" s="32"/>
      <c r="E191" s="32"/>
      <c r="F191" s="32">
        <f t="shared" si="19"/>
        <v>0</v>
      </c>
      <c r="G191" s="30" t="str">
        <f t="shared" ca="1" si="15"/>
        <v>History</v>
      </c>
      <c r="H191" s="30">
        <f t="shared" si="16"/>
        <v>2013</v>
      </c>
      <c r="I191" s="30">
        <f t="shared" si="17"/>
        <v>9</v>
      </c>
      <c r="J191" s="30">
        <f t="shared" si="14"/>
        <v>36</v>
      </c>
      <c r="K191" s="30">
        <v>1</v>
      </c>
      <c r="L191" s="30">
        <f ca="1">SUM(K191:OFFSET(RngToDay,ROWS(Dates),10))</f>
        <v>310</v>
      </c>
      <c r="O191" s="30">
        <f t="shared" si="18"/>
        <v>191</v>
      </c>
      <c r="P191" s="32"/>
      <c r="Q191" s="32"/>
    </row>
    <row r="192" spans="1:17" x14ac:dyDescent="0.25">
      <c r="A192" s="138">
        <v>41519</v>
      </c>
      <c r="B192" s="32"/>
      <c r="C192" s="32"/>
      <c r="E192" s="32"/>
      <c r="F192" s="32">
        <f t="shared" si="19"/>
        <v>0</v>
      </c>
      <c r="G192" s="30" t="str">
        <f t="shared" ca="1" si="15"/>
        <v>History</v>
      </c>
      <c r="H192" s="30">
        <f t="shared" si="16"/>
        <v>2013</v>
      </c>
      <c r="I192" s="30">
        <f t="shared" si="17"/>
        <v>9</v>
      </c>
      <c r="J192" s="30">
        <f t="shared" si="14"/>
        <v>36</v>
      </c>
      <c r="K192" s="30">
        <v>1</v>
      </c>
      <c r="L192" s="30">
        <f ca="1">SUM(K192:OFFSET(RngToDay,ROWS(Dates),10))</f>
        <v>309</v>
      </c>
      <c r="O192" s="30">
        <f t="shared" si="18"/>
        <v>192</v>
      </c>
      <c r="P192" s="32"/>
      <c r="Q192" s="32"/>
    </row>
    <row r="193" spans="1:17" x14ac:dyDescent="0.25">
      <c r="A193" s="138">
        <v>41516</v>
      </c>
      <c r="B193" s="32"/>
      <c r="C193" s="32"/>
      <c r="E193" s="32"/>
      <c r="F193" s="32">
        <f t="shared" si="19"/>
        <v>0</v>
      </c>
      <c r="G193" s="30" t="str">
        <f t="shared" ca="1" si="15"/>
        <v>History</v>
      </c>
      <c r="H193" s="30">
        <f t="shared" si="16"/>
        <v>2013</v>
      </c>
      <c r="I193" s="30">
        <f t="shared" si="17"/>
        <v>8</v>
      </c>
      <c r="J193" s="30">
        <f t="shared" si="14"/>
        <v>35</v>
      </c>
      <c r="K193" s="30">
        <v>1</v>
      </c>
      <c r="L193" s="30">
        <f ca="1">SUM(K193:OFFSET(RngToDay,ROWS(Dates),10))</f>
        <v>308</v>
      </c>
      <c r="O193" s="30">
        <f t="shared" si="18"/>
        <v>193</v>
      </c>
      <c r="P193" s="32"/>
      <c r="Q193" s="32"/>
    </row>
    <row r="194" spans="1:17" x14ac:dyDescent="0.25">
      <c r="A194" s="138">
        <v>41515</v>
      </c>
      <c r="B194" s="32"/>
      <c r="C194" s="32"/>
      <c r="E194" s="32"/>
      <c r="F194" s="32">
        <f t="shared" si="19"/>
        <v>0</v>
      </c>
      <c r="G194" s="30" t="str">
        <f t="shared" ca="1" si="15"/>
        <v>History</v>
      </c>
      <c r="H194" s="30">
        <f t="shared" si="16"/>
        <v>2013</v>
      </c>
      <c r="I194" s="30">
        <f t="shared" si="17"/>
        <v>8</v>
      </c>
      <c r="J194" s="30">
        <f t="shared" ref="J194:J246" si="20">IF(WEEKDAY(DATE(YEAR(A194),1,1),2)&gt;4,WEEKNUM(A194,2)-1,WEEKNUM(A194,2))</f>
        <v>35</v>
      </c>
      <c r="K194" s="30">
        <v>1</v>
      </c>
      <c r="L194" s="30">
        <f ca="1">SUM(K194:OFFSET(RngToDay,ROWS(Dates),10))</f>
        <v>307</v>
      </c>
      <c r="O194" s="30">
        <f t="shared" si="18"/>
        <v>194</v>
      </c>
      <c r="P194" s="32"/>
      <c r="Q194" s="32"/>
    </row>
    <row r="195" spans="1:17" x14ac:dyDescent="0.25">
      <c r="A195" s="138">
        <v>41514</v>
      </c>
      <c r="B195" s="32"/>
      <c r="C195" s="32"/>
      <c r="E195" s="32"/>
      <c r="F195" s="32">
        <f t="shared" si="19"/>
        <v>0</v>
      </c>
      <c r="G195" s="30" t="str">
        <f t="shared" ref="G195:G258" ca="1" si="21">IF(A195&gt;TODAY(),"Requirements","History")</f>
        <v>History</v>
      </c>
      <c r="H195" s="30">
        <f t="shared" ref="H195:H258" si="22">YEAR(A195)</f>
        <v>2013</v>
      </c>
      <c r="I195" s="30">
        <f t="shared" ref="I195:I258" si="23">MONTH(A195)</f>
        <v>8</v>
      </c>
      <c r="J195" s="30">
        <f t="shared" si="20"/>
        <v>35</v>
      </c>
      <c r="K195" s="30">
        <v>1</v>
      </c>
      <c r="L195" s="30">
        <f ca="1">SUM(K195:OFFSET(RngToDay,ROWS(Dates),10))</f>
        <v>306</v>
      </c>
      <c r="O195" s="30">
        <f t="shared" si="18"/>
        <v>195</v>
      </c>
      <c r="P195" s="32"/>
      <c r="Q195" s="32"/>
    </row>
    <row r="196" spans="1:17" x14ac:dyDescent="0.25">
      <c r="A196" s="138">
        <v>41513</v>
      </c>
      <c r="B196" s="32"/>
      <c r="C196" s="32"/>
      <c r="E196" s="32"/>
      <c r="F196" s="32">
        <f t="shared" si="19"/>
        <v>0</v>
      </c>
      <c r="G196" s="30" t="str">
        <f t="shared" ca="1" si="21"/>
        <v>History</v>
      </c>
      <c r="H196" s="30">
        <f t="shared" si="22"/>
        <v>2013</v>
      </c>
      <c r="I196" s="30">
        <f t="shared" si="23"/>
        <v>8</v>
      </c>
      <c r="J196" s="30">
        <f t="shared" si="20"/>
        <v>35</v>
      </c>
      <c r="K196" s="30">
        <v>1</v>
      </c>
      <c r="L196" s="30">
        <f ca="1">SUM(K196:OFFSET(RngToDay,ROWS(Dates),10))</f>
        <v>305</v>
      </c>
      <c r="O196" s="30">
        <f t="shared" ref="O196:O259" si="24">O195+1</f>
        <v>196</v>
      </c>
      <c r="P196" s="32"/>
      <c r="Q196" s="32"/>
    </row>
    <row r="197" spans="1:17" x14ac:dyDescent="0.25">
      <c r="A197" s="138">
        <v>41512</v>
      </c>
      <c r="B197" s="32"/>
      <c r="C197" s="32"/>
      <c r="E197" s="32"/>
      <c r="F197" s="32">
        <f t="shared" si="19"/>
        <v>0</v>
      </c>
      <c r="G197" s="30" t="str">
        <f t="shared" ca="1" si="21"/>
        <v>History</v>
      </c>
      <c r="H197" s="30">
        <f t="shared" si="22"/>
        <v>2013</v>
      </c>
      <c r="I197" s="30">
        <f t="shared" si="23"/>
        <v>8</v>
      </c>
      <c r="J197" s="30">
        <f t="shared" si="20"/>
        <v>35</v>
      </c>
      <c r="K197" s="30">
        <v>1</v>
      </c>
      <c r="L197" s="30">
        <f ca="1">SUM(K197:OFFSET(RngToDay,ROWS(Dates),10))</f>
        <v>304</v>
      </c>
      <c r="O197" s="30">
        <f t="shared" si="24"/>
        <v>197</v>
      </c>
      <c r="P197" s="32"/>
      <c r="Q197" s="32"/>
    </row>
    <row r="198" spans="1:17" x14ac:dyDescent="0.25">
      <c r="A198" s="138">
        <v>41509</v>
      </c>
      <c r="B198" s="32"/>
      <c r="C198" s="32"/>
      <c r="E198" s="32"/>
      <c r="F198" s="32">
        <f t="shared" si="19"/>
        <v>0</v>
      </c>
      <c r="G198" s="30" t="str">
        <f t="shared" ca="1" si="21"/>
        <v>History</v>
      </c>
      <c r="H198" s="30">
        <f t="shared" si="22"/>
        <v>2013</v>
      </c>
      <c r="I198" s="30">
        <f t="shared" si="23"/>
        <v>8</v>
      </c>
      <c r="J198" s="30">
        <f t="shared" si="20"/>
        <v>34</v>
      </c>
      <c r="K198" s="30">
        <v>1</v>
      </c>
      <c r="L198" s="30">
        <f ca="1">SUM(K198:OFFSET(RngToDay,ROWS(Dates),10))</f>
        <v>303</v>
      </c>
      <c r="O198" s="30">
        <f t="shared" si="24"/>
        <v>198</v>
      </c>
      <c r="P198" s="32"/>
      <c r="Q198" s="32"/>
    </row>
    <row r="199" spans="1:17" x14ac:dyDescent="0.25">
      <c r="A199" s="138">
        <v>41508</v>
      </c>
      <c r="B199" s="32"/>
      <c r="C199" s="32"/>
      <c r="E199" s="32"/>
      <c r="F199" s="32">
        <f t="shared" si="19"/>
        <v>0</v>
      </c>
      <c r="G199" s="30" t="str">
        <f t="shared" ca="1" si="21"/>
        <v>History</v>
      </c>
      <c r="H199" s="30">
        <f t="shared" si="22"/>
        <v>2013</v>
      </c>
      <c r="I199" s="30">
        <f t="shared" si="23"/>
        <v>8</v>
      </c>
      <c r="J199" s="30">
        <f t="shared" si="20"/>
        <v>34</v>
      </c>
      <c r="K199" s="30">
        <v>1</v>
      </c>
      <c r="L199" s="30">
        <f ca="1">SUM(K199:OFFSET(RngToDay,ROWS(Dates),10))</f>
        <v>302</v>
      </c>
      <c r="O199" s="30">
        <f t="shared" si="24"/>
        <v>199</v>
      </c>
      <c r="P199" s="32"/>
      <c r="Q199" s="32"/>
    </row>
    <row r="200" spans="1:17" x14ac:dyDescent="0.25">
      <c r="A200" s="138">
        <v>41507</v>
      </c>
      <c r="B200" s="32"/>
      <c r="C200" s="32"/>
      <c r="E200" s="32"/>
      <c r="F200" s="32">
        <f t="shared" si="19"/>
        <v>0</v>
      </c>
      <c r="G200" s="30" t="str">
        <f t="shared" ca="1" si="21"/>
        <v>History</v>
      </c>
      <c r="H200" s="30">
        <f t="shared" si="22"/>
        <v>2013</v>
      </c>
      <c r="I200" s="30">
        <f t="shared" si="23"/>
        <v>8</v>
      </c>
      <c r="J200" s="30">
        <f t="shared" si="20"/>
        <v>34</v>
      </c>
      <c r="K200" s="30">
        <v>1</v>
      </c>
      <c r="L200" s="30">
        <f ca="1">SUM(K200:OFFSET(RngToDay,ROWS(Dates),10))</f>
        <v>301</v>
      </c>
      <c r="O200" s="30">
        <f t="shared" si="24"/>
        <v>200</v>
      </c>
      <c r="P200" s="32"/>
      <c r="Q200" s="32"/>
    </row>
    <row r="201" spans="1:17" x14ac:dyDescent="0.25">
      <c r="A201" s="138">
        <v>41506</v>
      </c>
      <c r="B201" s="32"/>
      <c r="C201" s="32"/>
      <c r="E201" s="32"/>
      <c r="F201" s="32">
        <f t="shared" si="19"/>
        <v>0</v>
      </c>
      <c r="G201" s="30" t="str">
        <f t="shared" ca="1" si="21"/>
        <v>History</v>
      </c>
      <c r="H201" s="30">
        <f t="shared" si="22"/>
        <v>2013</v>
      </c>
      <c r="I201" s="30">
        <f t="shared" si="23"/>
        <v>8</v>
      </c>
      <c r="J201" s="30">
        <f t="shared" si="20"/>
        <v>34</v>
      </c>
      <c r="K201" s="30">
        <v>1</v>
      </c>
      <c r="L201" s="30">
        <f ca="1">SUM(K201:OFFSET(RngToDay,ROWS(Dates),10))</f>
        <v>300</v>
      </c>
      <c r="O201" s="30">
        <f t="shared" si="24"/>
        <v>201</v>
      </c>
      <c r="P201" s="32"/>
      <c r="Q201" s="32"/>
    </row>
    <row r="202" spans="1:17" x14ac:dyDescent="0.25">
      <c r="A202" s="138">
        <v>41505</v>
      </c>
      <c r="B202" s="32"/>
      <c r="C202" s="32"/>
      <c r="E202" s="32"/>
      <c r="F202" s="32">
        <f t="shared" si="19"/>
        <v>0</v>
      </c>
      <c r="G202" s="30" t="str">
        <f t="shared" ca="1" si="21"/>
        <v>History</v>
      </c>
      <c r="H202" s="30">
        <f t="shared" si="22"/>
        <v>2013</v>
      </c>
      <c r="I202" s="30">
        <f t="shared" si="23"/>
        <v>8</v>
      </c>
      <c r="J202" s="30">
        <f t="shared" si="20"/>
        <v>34</v>
      </c>
      <c r="K202" s="30">
        <v>1</v>
      </c>
      <c r="L202" s="30">
        <f ca="1">SUM(K202:OFFSET(RngToDay,ROWS(Dates),10))</f>
        <v>299</v>
      </c>
      <c r="O202" s="30">
        <f t="shared" si="24"/>
        <v>202</v>
      </c>
      <c r="P202" s="32"/>
      <c r="Q202" s="32"/>
    </row>
    <row r="203" spans="1:17" x14ac:dyDescent="0.25">
      <c r="A203" s="138">
        <v>41502</v>
      </c>
      <c r="B203" s="32"/>
      <c r="C203" s="32"/>
      <c r="E203" s="32"/>
      <c r="F203" s="32">
        <f t="shared" si="19"/>
        <v>0</v>
      </c>
      <c r="G203" s="30" t="str">
        <f t="shared" ca="1" si="21"/>
        <v>History</v>
      </c>
      <c r="H203" s="30">
        <f t="shared" si="22"/>
        <v>2013</v>
      </c>
      <c r="I203" s="30">
        <f t="shared" si="23"/>
        <v>8</v>
      </c>
      <c r="J203" s="30">
        <f t="shared" si="20"/>
        <v>33</v>
      </c>
      <c r="K203" s="30">
        <v>1</v>
      </c>
      <c r="L203" s="30">
        <f ca="1">SUM(K203:OFFSET(RngToDay,ROWS(Dates),10))</f>
        <v>298</v>
      </c>
      <c r="O203" s="30">
        <f t="shared" si="24"/>
        <v>203</v>
      </c>
      <c r="P203" s="32"/>
      <c r="Q203" s="32"/>
    </row>
    <row r="204" spans="1:17" x14ac:dyDescent="0.25">
      <c r="A204" s="138">
        <v>41501</v>
      </c>
      <c r="B204" s="32"/>
      <c r="C204" s="32"/>
      <c r="E204" s="32"/>
      <c r="F204" s="32">
        <f t="shared" si="19"/>
        <v>0</v>
      </c>
      <c r="G204" s="30" t="str">
        <f t="shared" ca="1" si="21"/>
        <v>History</v>
      </c>
      <c r="H204" s="30">
        <f t="shared" si="22"/>
        <v>2013</v>
      </c>
      <c r="I204" s="30">
        <f t="shared" si="23"/>
        <v>8</v>
      </c>
      <c r="J204" s="30">
        <f t="shared" si="20"/>
        <v>33</v>
      </c>
      <c r="K204" s="30">
        <v>1</v>
      </c>
      <c r="L204" s="30">
        <f ca="1">SUM(K204:OFFSET(RngToDay,ROWS(Dates),10))</f>
        <v>297</v>
      </c>
      <c r="O204" s="30">
        <f t="shared" si="24"/>
        <v>204</v>
      </c>
      <c r="P204" s="32"/>
      <c r="Q204" s="32"/>
    </row>
    <row r="205" spans="1:17" x14ac:dyDescent="0.25">
      <c r="A205" s="138">
        <v>41500</v>
      </c>
      <c r="B205" s="32"/>
      <c r="C205" s="32"/>
      <c r="E205" s="32"/>
      <c r="F205" s="32">
        <f t="shared" si="19"/>
        <v>0</v>
      </c>
      <c r="G205" s="30" t="str">
        <f t="shared" ca="1" si="21"/>
        <v>History</v>
      </c>
      <c r="H205" s="30">
        <f t="shared" si="22"/>
        <v>2013</v>
      </c>
      <c r="I205" s="30">
        <f t="shared" si="23"/>
        <v>8</v>
      </c>
      <c r="J205" s="30">
        <f t="shared" si="20"/>
        <v>33</v>
      </c>
      <c r="K205" s="30">
        <v>1</v>
      </c>
      <c r="L205" s="30">
        <f ca="1">SUM(K205:OFFSET(RngToDay,ROWS(Dates),10))</f>
        <v>296</v>
      </c>
      <c r="O205" s="30">
        <f t="shared" si="24"/>
        <v>205</v>
      </c>
      <c r="P205" s="32"/>
      <c r="Q205" s="32"/>
    </row>
    <row r="206" spans="1:17" x14ac:dyDescent="0.25">
      <c r="A206" s="138">
        <v>41499</v>
      </c>
      <c r="B206" s="32"/>
      <c r="C206" s="32"/>
      <c r="E206" s="32"/>
      <c r="F206" s="32">
        <f t="shared" si="19"/>
        <v>0</v>
      </c>
      <c r="G206" s="30" t="str">
        <f t="shared" ca="1" si="21"/>
        <v>History</v>
      </c>
      <c r="H206" s="30">
        <f t="shared" si="22"/>
        <v>2013</v>
      </c>
      <c r="I206" s="30">
        <f t="shared" si="23"/>
        <v>8</v>
      </c>
      <c r="J206" s="30">
        <f t="shared" si="20"/>
        <v>33</v>
      </c>
      <c r="K206" s="30">
        <v>1</v>
      </c>
      <c r="L206" s="30">
        <f ca="1">SUM(K206:OFFSET(RngToDay,ROWS(Dates),10))</f>
        <v>295</v>
      </c>
      <c r="O206" s="30">
        <f t="shared" si="24"/>
        <v>206</v>
      </c>
      <c r="P206" s="32"/>
      <c r="Q206" s="32"/>
    </row>
    <row r="207" spans="1:17" x14ac:dyDescent="0.25">
      <c r="A207" s="138">
        <v>41498</v>
      </c>
      <c r="B207" s="32"/>
      <c r="C207" s="32"/>
      <c r="E207" s="32"/>
      <c r="F207" s="32">
        <f t="shared" si="19"/>
        <v>0</v>
      </c>
      <c r="G207" s="30" t="str">
        <f t="shared" ca="1" si="21"/>
        <v>History</v>
      </c>
      <c r="H207" s="30">
        <f t="shared" si="22"/>
        <v>2013</v>
      </c>
      <c r="I207" s="30">
        <f t="shared" si="23"/>
        <v>8</v>
      </c>
      <c r="J207" s="30">
        <f t="shared" si="20"/>
        <v>33</v>
      </c>
      <c r="K207" s="30">
        <v>1</v>
      </c>
      <c r="L207" s="30">
        <f ca="1">SUM(K207:OFFSET(RngToDay,ROWS(Dates),10))</f>
        <v>294</v>
      </c>
      <c r="O207" s="30">
        <f t="shared" si="24"/>
        <v>207</v>
      </c>
      <c r="P207" s="32"/>
      <c r="Q207" s="32"/>
    </row>
    <row r="208" spans="1:17" x14ac:dyDescent="0.25">
      <c r="A208" s="138">
        <v>41495</v>
      </c>
      <c r="B208" s="32"/>
      <c r="C208" s="32"/>
      <c r="E208" s="32"/>
      <c r="F208" s="32">
        <f t="shared" si="19"/>
        <v>0</v>
      </c>
      <c r="G208" s="30" t="str">
        <f t="shared" ca="1" si="21"/>
        <v>History</v>
      </c>
      <c r="H208" s="30">
        <f t="shared" si="22"/>
        <v>2013</v>
      </c>
      <c r="I208" s="30">
        <f t="shared" si="23"/>
        <v>8</v>
      </c>
      <c r="J208" s="30">
        <f t="shared" si="20"/>
        <v>32</v>
      </c>
      <c r="K208" s="30">
        <v>1</v>
      </c>
      <c r="L208" s="30">
        <f ca="1">SUM(K208:OFFSET(RngToDay,ROWS(Dates),10))</f>
        <v>293</v>
      </c>
      <c r="O208" s="30">
        <f t="shared" si="24"/>
        <v>208</v>
      </c>
      <c r="P208" s="32"/>
      <c r="Q208" s="32"/>
    </row>
    <row r="209" spans="1:17" x14ac:dyDescent="0.25">
      <c r="A209" s="138">
        <v>41494</v>
      </c>
      <c r="B209" s="32"/>
      <c r="C209" s="32"/>
      <c r="E209" s="32"/>
      <c r="F209" s="32">
        <f t="shared" si="19"/>
        <v>0</v>
      </c>
      <c r="G209" s="30" t="str">
        <f t="shared" ca="1" si="21"/>
        <v>History</v>
      </c>
      <c r="H209" s="30">
        <f t="shared" si="22"/>
        <v>2013</v>
      </c>
      <c r="I209" s="30">
        <f t="shared" si="23"/>
        <v>8</v>
      </c>
      <c r="J209" s="30">
        <f t="shared" si="20"/>
        <v>32</v>
      </c>
      <c r="K209" s="30">
        <v>1</v>
      </c>
      <c r="L209" s="30">
        <f ca="1">SUM(K209:OFFSET(RngToDay,ROWS(Dates),10))</f>
        <v>292</v>
      </c>
      <c r="O209" s="30">
        <f t="shared" si="24"/>
        <v>209</v>
      </c>
      <c r="P209" s="32"/>
      <c r="Q209" s="32"/>
    </row>
    <row r="210" spans="1:17" x14ac:dyDescent="0.25">
      <c r="A210" s="138">
        <v>41493</v>
      </c>
      <c r="B210" s="32"/>
      <c r="C210" s="32"/>
      <c r="E210" s="32"/>
      <c r="F210" s="32">
        <f t="shared" si="19"/>
        <v>0</v>
      </c>
      <c r="G210" s="30" t="str">
        <f t="shared" ca="1" si="21"/>
        <v>History</v>
      </c>
      <c r="H210" s="30">
        <f t="shared" si="22"/>
        <v>2013</v>
      </c>
      <c r="I210" s="30">
        <f t="shared" si="23"/>
        <v>8</v>
      </c>
      <c r="J210" s="30">
        <f t="shared" si="20"/>
        <v>32</v>
      </c>
      <c r="K210" s="30">
        <v>1</v>
      </c>
      <c r="L210" s="30">
        <f ca="1">SUM(K210:OFFSET(RngToDay,ROWS(Dates),10))</f>
        <v>291</v>
      </c>
      <c r="O210" s="30">
        <f t="shared" si="24"/>
        <v>210</v>
      </c>
      <c r="P210" s="32"/>
      <c r="Q210" s="32"/>
    </row>
    <row r="211" spans="1:17" x14ac:dyDescent="0.25">
      <c r="A211" s="138">
        <v>41492</v>
      </c>
      <c r="B211" s="32"/>
      <c r="C211" s="32"/>
      <c r="E211" s="32"/>
      <c r="F211" s="32">
        <f t="shared" si="19"/>
        <v>0</v>
      </c>
      <c r="G211" s="30" t="str">
        <f t="shared" ca="1" si="21"/>
        <v>History</v>
      </c>
      <c r="H211" s="30">
        <f t="shared" si="22"/>
        <v>2013</v>
      </c>
      <c r="I211" s="30">
        <f t="shared" si="23"/>
        <v>8</v>
      </c>
      <c r="J211" s="30">
        <f t="shared" si="20"/>
        <v>32</v>
      </c>
      <c r="K211" s="30">
        <v>1</v>
      </c>
      <c r="L211" s="30">
        <f ca="1">SUM(K211:OFFSET(RngToDay,ROWS(Dates),10))</f>
        <v>290</v>
      </c>
      <c r="O211" s="30">
        <f t="shared" si="24"/>
        <v>211</v>
      </c>
      <c r="P211" s="32"/>
      <c r="Q211" s="32"/>
    </row>
    <row r="212" spans="1:17" x14ac:dyDescent="0.25">
      <c r="A212" s="138">
        <v>41491</v>
      </c>
      <c r="B212" s="32"/>
      <c r="C212" s="32"/>
      <c r="E212" s="32"/>
      <c r="F212" s="32">
        <f t="shared" si="19"/>
        <v>0</v>
      </c>
      <c r="G212" s="30" t="str">
        <f t="shared" ca="1" si="21"/>
        <v>History</v>
      </c>
      <c r="H212" s="30">
        <f t="shared" si="22"/>
        <v>2013</v>
      </c>
      <c r="I212" s="30">
        <f t="shared" si="23"/>
        <v>8</v>
      </c>
      <c r="J212" s="30">
        <f t="shared" si="20"/>
        <v>32</v>
      </c>
      <c r="K212" s="30">
        <v>1</v>
      </c>
      <c r="L212" s="30">
        <f ca="1">SUM(K212:OFFSET(RngToDay,ROWS(Dates),10))</f>
        <v>289</v>
      </c>
      <c r="O212" s="30">
        <f t="shared" si="24"/>
        <v>212</v>
      </c>
      <c r="P212" s="32"/>
      <c r="Q212" s="32"/>
    </row>
    <row r="213" spans="1:17" x14ac:dyDescent="0.25">
      <c r="A213" s="138">
        <v>41488</v>
      </c>
      <c r="B213" s="32"/>
      <c r="C213" s="32"/>
      <c r="E213" s="32"/>
      <c r="F213" s="32">
        <f t="shared" si="19"/>
        <v>0</v>
      </c>
      <c r="G213" s="30" t="str">
        <f t="shared" ca="1" si="21"/>
        <v>History</v>
      </c>
      <c r="H213" s="30">
        <f t="shared" si="22"/>
        <v>2013</v>
      </c>
      <c r="I213" s="30">
        <f t="shared" si="23"/>
        <v>8</v>
      </c>
      <c r="J213" s="30">
        <f t="shared" si="20"/>
        <v>31</v>
      </c>
      <c r="K213" s="30">
        <v>1</v>
      </c>
      <c r="L213" s="30">
        <f ca="1">SUM(K213:OFFSET(RngToDay,ROWS(Dates),10))</f>
        <v>288</v>
      </c>
      <c r="O213" s="30">
        <f t="shared" si="24"/>
        <v>213</v>
      </c>
      <c r="P213" s="32"/>
      <c r="Q213" s="32"/>
    </row>
    <row r="214" spans="1:17" x14ac:dyDescent="0.25">
      <c r="A214" s="138">
        <v>41487</v>
      </c>
      <c r="B214" s="32"/>
      <c r="C214" s="32"/>
      <c r="E214" s="32"/>
      <c r="F214" s="32">
        <f t="shared" si="19"/>
        <v>0</v>
      </c>
      <c r="G214" s="30" t="str">
        <f t="shared" ca="1" si="21"/>
        <v>History</v>
      </c>
      <c r="H214" s="30">
        <f t="shared" si="22"/>
        <v>2013</v>
      </c>
      <c r="I214" s="30">
        <f t="shared" si="23"/>
        <v>8</v>
      </c>
      <c r="J214" s="30">
        <f t="shared" si="20"/>
        <v>31</v>
      </c>
      <c r="K214" s="30">
        <v>1</v>
      </c>
      <c r="L214" s="30">
        <f ca="1">SUM(K214:OFFSET(RngToDay,ROWS(Dates),10))</f>
        <v>287</v>
      </c>
      <c r="O214" s="30">
        <f t="shared" si="24"/>
        <v>214</v>
      </c>
      <c r="P214" s="32"/>
      <c r="Q214" s="32"/>
    </row>
    <row r="215" spans="1:17" x14ac:dyDescent="0.25">
      <c r="A215" s="138">
        <v>41486</v>
      </c>
      <c r="B215" s="32"/>
      <c r="C215" s="32"/>
      <c r="E215" s="32"/>
      <c r="F215" s="32">
        <f t="shared" si="19"/>
        <v>0</v>
      </c>
      <c r="G215" s="30" t="str">
        <f t="shared" ca="1" si="21"/>
        <v>History</v>
      </c>
      <c r="H215" s="30">
        <f t="shared" si="22"/>
        <v>2013</v>
      </c>
      <c r="I215" s="30">
        <f t="shared" si="23"/>
        <v>7</v>
      </c>
      <c r="J215" s="30">
        <f t="shared" si="20"/>
        <v>31</v>
      </c>
      <c r="K215" s="30">
        <v>1</v>
      </c>
      <c r="L215" s="30">
        <f ca="1">SUM(K215:OFFSET(RngToDay,ROWS(Dates),10))</f>
        <v>286</v>
      </c>
      <c r="O215" s="30">
        <f t="shared" si="24"/>
        <v>215</v>
      </c>
      <c r="P215" s="32"/>
      <c r="Q215" s="32"/>
    </row>
    <row r="216" spans="1:17" x14ac:dyDescent="0.25">
      <c r="A216" s="138">
        <v>41485</v>
      </c>
      <c r="B216" s="32"/>
      <c r="C216" s="32"/>
      <c r="E216" s="32"/>
      <c r="F216" s="32">
        <f t="shared" si="19"/>
        <v>0</v>
      </c>
      <c r="G216" s="30" t="str">
        <f t="shared" ca="1" si="21"/>
        <v>History</v>
      </c>
      <c r="H216" s="30">
        <f t="shared" si="22"/>
        <v>2013</v>
      </c>
      <c r="I216" s="30">
        <f t="shared" si="23"/>
        <v>7</v>
      </c>
      <c r="J216" s="30">
        <f t="shared" si="20"/>
        <v>31</v>
      </c>
      <c r="K216" s="30">
        <v>1</v>
      </c>
      <c r="L216" s="30">
        <f ca="1">SUM(K216:OFFSET(RngToDay,ROWS(Dates),10))</f>
        <v>285</v>
      </c>
      <c r="O216" s="30">
        <f t="shared" si="24"/>
        <v>216</v>
      </c>
      <c r="P216" s="32"/>
      <c r="Q216" s="32"/>
    </row>
    <row r="217" spans="1:17" x14ac:dyDescent="0.25">
      <c r="A217" s="138">
        <v>41484</v>
      </c>
      <c r="B217" s="32"/>
      <c r="C217" s="32"/>
      <c r="E217" s="32"/>
      <c r="F217" s="32">
        <f t="shared" si="19"/>
        <v>0</v>
      </c>
      <c r="G217" s="30" t="str">
        <f t="shared" ca="1" si="21"/>
        <v>History</v>
      </c>
      <c r="H217" s="30">
        <f t="shared" si="22"/>
        <v>2013</v>
      </c>
      <c r="I217" s="30">
        <f t="shared" si="23"/>
        <v>7</v>
      </c>
      <c r="J217" s="30">
        <f t="shared" si="20"/>
        <v>31</v>
      </c>
      <c r="K217" s="30">
        <v>1</v>
      </c>
      <c r="L217" s="30">
        <f ca="1">SUM(K217:OFFSET(RngToDay,ROWS(Dates),10))</f>
        <v>284</v>
      </c>
      <c r="O217" s="30">
        <f t="shared" si="24"/>
        <v>217</v>
      </c>
      <c r="P217" s="32"/>
      <c r="Q217" s="32"/>
    </row>
    <row r="218" spans="1:17" x14ac:dyDescent="0.25">
      <c r="A218" s="138">
        <v>41481</v>
      </c>
      <c r="B218" s="32"/>
      <c r="C218" s="32"/>
      <c r="E218" s="32"/>
      <c r="F218" s="32">
        <f t="shared" si="19"/>
        <v>0</v>
      </c>
      <c r="G218" s="30" t="str">
        <f t="shared" ca="1" si="21"/>
        <v>History</v>
      </c>
      <c r="H218" s="30">
        <f t="shared" si="22"/>
        <v>2013</v>
      </c>
      <c r="I218" s="30">
        <f t="shared" si="23"/>
        <v>7</v>
      </c>
      <c r="J218" s="30">
        <f t="shared" si="20"/>
        <v>30</v>
      </c>
      <c r="K218" s="30">
        <v>1</v>
      </c>
      <c r="L218" s="30">
        <f ca="1">SUM(K218:OFFSET(RngToDay,ROWS(Dates),10))</f>
        <v>283</v>
      </c>
      <c r="O218" s="30">
        <f t="shared" si="24"/>
        <v>218</v>
      </c>
      <c r="P218" s="32"/>
      <c r="Q218" s="32"/>
    </row>
    <row r="219" spans="1:17" x14ac:dyDescent="0.25">
      <c r="A219" s="138">
        <v>41480</v>
      </c>
      <c r="B219" s="32"/>
      <c r="C219" s="32"/>
      <c r="E219" s="32"/>
      <c r="F219" s="32">
        <f t="shared" si="19"/>
        <v>0</v>
      </c>
      <c r="G219" s="30" t="str">
        <f t="shared" ca="1" si="21"/>
        <v>History</v>
      </c>
      <c r="H219" s="30">
        <f t="shared" si="22"/>
        <v>2013</v>
      </c>
      <c r="I219" s="30">
        <f t="shared" si="23"/>
        <v>7</v>
      </c>
      <c r="J219" s="30">
        <f t="shared" si="20"/>
        <v>30</v>
      </c>
      <c r="K219" s="30">
        <v>1</v>
      </c>
      <c r="L219" s="30">
        <f ca="1">SUM(K219:OFFSET(RngToDay,ROWS(Dates),10))</f>
        <v>282</v>
      </c>
      <c r="O219" s="30">
        <f t="shared" si="24"/>
        <v>219</v>
      </c>
      <c r="P219" s="32"/>
      <c r="Q219" s="32"/>
    </row>
    <row r="220" spans="1:17" x14ac:dyDescent="0.25">
      <c r="A220" s="138">
        <v>41479</v>
      </c>
      <c r="B220" s="32"/>
      <c r="C220" s="32"/>
      <c r="E220" s="32"/>
      <c r="F220" s="32">
        <f t="shared" si="19"/>
        <v>0</v>
      </c>
      <c r="G220" s="30" t="str">
        <f t="shared" ca="1" si="21"/>
        <v>History</v>
      </c>
      <c r="H220" s="30">
        <f t="shared" si="22"/>
        <v>2013</v>
      </c>
      <c r="I220" s="30">
        <f t="shared" si="23"/>
        <v>7</v>
      </c>
      <c r="J220" s="30">
        <f t="shared" si="20"/>
        <v>30</v>
      </c>
      <c r="K220" s="30">
        <v>1</v>
      </c>
      <c r="L220" s="30">
        <f ca="1">SUM(K220:OFFSET(RngToDay,ROWS(Dates),10))</f>
        <v>281</v>
      </c>
      <c r="O220" s="30">
        <f t="shared" si="24"/>
        <v>220</v>
      </c>
      <c r="P220" s="32"/>
      <c r="Q220" s="32"/>
    </row>
    <row r="221" spans="1:17" x14ac:dyDescent="0.25">
      <c r="A221" s="138">
        <v>41478</v>
      </c>
      <c r="B221" s="32"/>
      <c r="C221" s="32"/>
      <c r="E221" s="32"/>
      <c r="F221" s="32">
        <f t="shared" si="19"/>
        <v>0</v>
      </c>
      <c r="G221" s="30" t="str">
        <f t="shared" ca="1" si="21"/>
        <v>History</v>
      </c>
      <c r="H221" s="30">
        <f t="shared" si="22"/>
        <v>2013</v>
      </c>
      <c r="I221" s="30">
        <f t="shared" si="23"/>
        <v>7</v>
      </c>
      <c r="J221" s="30">
        <f t="shared" si="20"/>
        <v>30</v>
      </c>
      <c r="K221" s="30">
        <v>1</v>
      </c>
      <c r="L221" s="30">
        <f ca="1">SUM(K221:OFFSET(RngToDay,ROWS(Dates),10))</f>
        <v>280</v>
      </c>
      <c r="O221" s="30">
        <f t="shared" si="24"/>
        <v>221</v>
      </c>
      <c r="P221" s="32"/>
      <c r="Q221" s="32"/>
    </row>
    <row r="222" spans="1:17" x14ac:dyDescent="0.25">
      <c r="A222" s="138">
        <v>41477</v>
      </c>
      <c r="B222" s="32"/>
      <c r="C222" s="32"/>
      <c r="E222" s="32"/>
      <c r="F222" s="32">
        <f t="shared" si="19"/>
        <v>0</v>
      </c>
      <c r="G222" s="30" t="str">
        <f t="shared" ca="1" si="21"/>
        <v>History</v>
      </c>
      <c r="H222" s="30">
        <f t="shared" si="22"/>
        <v>2013</v>
      </c>
      <c r="I222" s="30">
        <f t="shared" si="23"/>
        <v>7</v>
      </c>
      <c r="J222" s="30">
        <f t="shared" si="20"/>
        <v>30</v>
      </c>
      <c r="K222" s="30">
        <v>1</v>
      </c>
      <c r="L222" s="30">
        <f ca="1">SUM(K222:OFFSET(RngToDay,ROWS(Dates),10))</f>
        <v>279</v>
      </c>
      <c r="O222" s="30">
        <f t="shared" si="24"/>
        <v>222</v>
      </c>
      <c r="P222" s="32"/>
      <c r="Q222" s="32"/>
    </row>
    <row r="223" spans="1:17" x14ac:dyDescent="0.25">
      <c r="A223" s="138">
        <v>41474</v>
      </c>
      <c r="B223" s="32"/>
      <c r="C223" s="32"/>
      <c r="E223" s="32"/>
      <c r="F223" s="32">
        <f t="shared" si="19"/>
        <v>0</v>
      </c>
      <c r="G223" s="30" t="str">
        <f t="shared" ca="1" si="21"/>
        <v>History</v>
      </c>
      <c r="H223" s="30">
        <f t="shared" si="22"/>
        <v>2013</v>
      </c>
      <c r="I223" s="30">
        <f t="shared" si="23"/>
        <v>7</v>
      </c>
      <c r="J223" s="30">
        <f t="shared" si="20"/>
        <v>29</v>
      </c>
      <c r="K223" s="30">
        <v>1</v>
      </c>
      <c r="L223" s="30">
        <f ca="1">SUM(K223:OFFSET(RngToDay,ROWS(Dates),10))</f>
        <v>278</v>
      </c>
      <c r="O223" s="30">
        <f t="shared" si="24"/>
        <v>223</v>
      </c>
      <c r="P223" s="32"/>
      <c r="Q223" s="32"/>
    </row>
    <row r="224" spans="1:17" x14ac:dyDescent="0.25">
      <c r="A224" s="138">
        <v>41473</v>
      </c>
      <c r="B224" s="32"/>
      <c r="C224" s="32"/>
      <c r="E224" s="32"/>
      <c r="F224" s="32">
        <f t="shared" si="19"/>
        <v>0</v>
      </c>
      <c r="G224" s="30" t="str">
        <f t="shared" ca="1" si="21"/>
        <v>History</v>
      </c>
      <c r="H224" s="30">
        <f t="shared" si="22"/>
        <v>2013</v>
      </c>
      <c r="I224" s="30">
        <f t="shared" si="23"/>
        <v>7</v>
      </c>
      <c r="J224" s="30">
        <f t="shared" si="20"/>
        <v>29</v>
      </c>
      <c r="K224" s="30">
        <v>1</v>
      </c>
      <c r="L224" s="30">
        <f ca="1">SUM(K224:OFFSET(RngToDay,ROWS(Dates),10))</f>
        <v>277</v>
      </c>
      <c r="O224" s="30">
        <f t="shared" si="24"/>
        <v>224</v>
      </c>
      <c r="P224" s="32"/>
      <c r="Q224" s="32"/>
    </row>
    <row r="225" spans="1:22" x14ac:dyDescent="0.25">
      <c r="A225" s="138">
        <v>41472</v>
      </c>
      <c r="B225" s="32"/>
      <c r="C225" s="32"/>
      <c r="E225" s="32"/>
      <c r="F225" s="32">
        <f t="shared" si="19"/>
        <v>0</v>
      </c>
      <c r="G225" s="30" t="str">
        <f t="shared" ca="1" si="21"/>
        <v>History</v>
      </c>
      <c r="H225" s="30">
        <f t="shared" si="22"/>
        <v>2013</v>
      </c>
      <c r="I225" s="30">
        <f t="shared" si="23"/>
        <v>7</v>
      </c>
      <c r="J225" s="30">
        <f t="shared" si="20"/>
        <v>29</v>
      </c>
      <c r="K225" s="30">
        <v>1</v>
      </c>
      <c r="L225" s="30">
        <f ca="1">SUM(K225:OFFSET(RngToDay,ROWS(Dates),10))</f>
        <v>276</v>
      </c>
      <c r="M225" s="32"/>
      <c r="N225" s="32"/>
      <c r="O225" s="30">
        <f t="shared" si="24"/>
        <v>225</v>
      </c>
      <c r="P225" s="32"/>
      <c r="Q225" s="32"/>
    </row>
    <row r="226" spans="1:22" x14ac:dyDescent="0.25">
      <c r="A226" s="138">
        <v>41471</v>
      </c>
      <c r="B226" s="32"/>
      <c r="C226" s="32"/>
      <c r="E226" s="32"/>
      <c r="F226" s="32">
        <f t="shared" si="19"/>
        <v>0</v>
      </c>
      <c r="G226" s="30" t="str">
        <f t="shared" ca="1" si="21"/>
        <v>History</v>
      </c>
      <c r="H226" s="30">
        <f t="shared" si="22"/>
        <v>2013</v>
      </c>
      <c r="I226" s="30">
        <f t="shared" si="23"/>
        <v>7</v>
      </c>
      <c r="J226" s="30">
        <f t="shared" si="20"/>
        <v>29</v>
      </c>
      <c r="K226" s="30">
        <v>1</v>
      </c>
      <c r="L226" s="30">
        <f ca="1">SUM(K226:OFFSET(RngToDay,ROWS(Dates),10))</f>
        <v>275</v>
      </c>
      <c r="M226" s="32"/>
      <c r="N226" s="32"/>
      <c r="O226" s="30">
        <f t="shared" si="24"/>
        <v>226</v>
      </c>
      <c r="P226" s="32"/>
      <c r="Q226" s="32"/>
    </row>
    <row r="227" spans="1:22" x14ac:dyDescent="0.25">
      <c r="A227" s="138">
        <v>41470</v>
      </c>
      <c r="B227" s="32"/>
      <c r="C227" s="32"/>
      <c r="E227" s="32"/>
      <c r="F227" s="32">
        <f t="shared" si="19"/>
        <v>0</v>
      </c>
      <c r="G227" s="30" t="str">
        <f t="shared" ca="1" si="21"/>
        <v>History</v>
      </c>
      <c r="H227" s="30">
        <f t="shared" si="22"/>
        <v>2013</v>
      </c>
      <c r="I227" s="30">
        <f t="shared" si="23"/>
        <v>7</v>
      </c>
      <c r="J227" s="30">
        <f t="shared" si="20"/>
        <v>29</v>
      </c>
      <c r="K227" s="30">
        <v>1</v>
      </c>
      <c r="L227" s="30">
        <f ca="1">SUM(K227:OFFSET(RngToDay,ROWS(Dates),10))</f>
        <v>274</v>
      </c>
      <c r="M227" s="32"/>
      <c r="N227" s="32"/>
      <c r="O227" s="30">
        <f t="shared" si="24"/>
        <v>227</v>
      </c>
      <c r="P227" s="32"/>
      <c r="Q227" s="32"/>
    </row>
    <row r="228" spans="1:22" x14ac:dyDescent="0.25">
      <c r="A228" s="138">
        <v>41467</v>
      </c>
      <c r="B228" s="32"/>
      <c r="C228" s="32"/>
      <c r="E228" s="32"/>
      <c r="F228" s="32">
        <f t="shared" si="19"/>
        <v>0</v>
      </c>
      <c r="G228" s="30" t="str">
        <f t="shared" ca="1" si="21"/>
        <v>History</v>
      </c>
      <c r="H228" s="30">
        <f t="shared" si="22"/>
        <v>2013</v>
      </c>
      <c r="I228" s="30">
        <f t="shared" si="23"/>
        <v>7</v>
      </c>
      <c r="J228" s="30">
        <f t="shared" si="20"/>
        <v>28</v>
      </c>
      <c r="K228" s="30">
        <v>1</v>
      </c>
      <c r="L228" s="30">
        <f ca="1">SUM(K228:OFFSET(RngToDay,ROWS(Dates),10))</f>
        <v>273</v>
      </c>
      <c r="M228" s="32"/>
      <c r="N228" s="32"/>
      <c r="O228" s="30">
        <f t="shared" si="24"/>
        <v>228</v>
      </c>
      <c r="P228" s="32"/>
      <c r="Q228" s="32"/>
    </row>
    <row r="229" spans="1:22" x14ac:dyDescent="0.25">
      <c r="A229" s="138">
        <v>41466</v>
      </c>
      <c r="B229" s="32"/>
      <c r="C229" s="32"/>
      <c r="E229" s="32"/>
      <c r="F229" s="32">
        <f t="shared" si="19"/>
        <v>0</v>
      </c>
      <c r="G229" s="30" t="str">
        <f t="shared" ca="1" si="21"/>
        <v>History</v>
      </c>
      <c r="H229" s="30">
        <f t="shared" si="22"/>
        <v>2013</v>
      </c>
      <c r="I229" s="30">
        <f t="shared" si="23"/>
        <v>7</v>
      </c>
      <c r="J229" s="30">
        <f t="shared" si="20"/>
        <v>28</v>
      </c>
      <c r="K229" s="30">
        <v>1</v>
      </c>
      <c r="L229" s="30">
        <f ca="1">SUM(K229:OFFSET(RngToDay,ROWS(Dates),10))</f>
        <v>272</v>
      </c>
      <c r="M229" s="32"/>
      <c r="N229" s="32"/>
      <c r="O229" s="30">
        <f t="shared" si="24"/>
        <v>229</v>
      </c>
      <c r="P229" s="32"/>
      <c r="Q229" s="32"/>
    </row>
    <row r="230" spans="1:22" x14ac:dyDescent="0.25">
      <c r="A230" s="138">
        <v>41465</v>
      </c>
      <c r="B230" s="32"/>
      <c r="C230" s="32"/>
      <c r="E230" s="32"/>
      <c r="F230" s="32">
        <f t="shared" si="19"/>
        <v>0</v>
      </c>
      <c r="G230" s="30" t="str">
        <f t="shared" ca="1" si="21"/>
        <v>History</v>
      </c>
      <c r="H230" s="30">
        <f t="shared" si="22"/>
        <v>2013</v>
      </c>
      <c r="I230" s="30">
        <f t="shared" si="23"/>
        <v>7</v>
      </c>
      <c r="J230" s="30">
        <f t="shared" si="20"/>
        <v>28</v>
      </c>
      <c r="K230" s="30">
        <v>1</v>
      </c>
      <c r="L230" s="30">
        <f ca="1">SUM(K230:OFFSET(RngToDay,ROWS(Dates),10))</f>
        <v>271</v>
      </c>
      <c r="M230" s="32"/>
      <c r="N230" s="32"/>
      <c r="O230" s="30">
        <f t="shared" si="24"/>
        <v>230</v>
      </c>
      <c r="P230" s="32"/>
      <c r="Q230" s="32"/>
    </row>
    <row r="231" spans="1:22" x14ac:dyDescent="0.25">
      <c r="A231" s="138">
        <v>41464</v>
      </c>
      <c r="B231" s="32"/>
      <c r="C231" s="32"/>
      <c r="E231" s="32"/>
      <c r="F231" s="32">
        <f t="shared" si="19"/>
        <v>0</v>
      </c>
      <c r="G231" s="30" t="str">
        <f t="shared" ca="1" si="21"/>
        <v>History</v>
      </c>
      <c r="H231" s="30">
        <f t="shared" si="22"/>
        <v>2013</v>
      </c>
      <c r="I231" s="30">
        <f t="shared" si="23"/>
        <v>7</v>
      </c>
      <c r="J231" s="30">
        <f t="shared" si="20"/>
        <v>28</v>
      </c>
      <c r="K231" s="30">
        <v>1</v>
      </c>
      <c r="L231" s="30">
        <f ca="1">SUM(K231:OFFSET(RngToDay,ROWS(Dates),10))</f>
        <v>270</v>
      </c>
      <c r="M231" s="32"/>
      <c r="N231" s="32"/>
      <c r="O231" s="30">
        <f t="shared" si="24"/>
        <v>231</v>
      </c>
      <c r="P231" s="32"/>
      <c r="Q231" s="32"/>
    </row>
    <row r="232" spans="1:22" x14ac:dyDescent="0.25">
      <c r="A232" s="138">
        <v>41463</v>
      </c>
      <c r="B232" s="32"/>
      <c r="C232" s="32"/>
      <c r="E232" s="32"/>
      <c r="F232" s="32">
        <f t="shared" si="19"/>
        <v>0</v>
      </c>
      <c r="G232" s="30" t="str">
        <f t="shared" ca="1" si="21"/>
        <v>History</v>
      </c>
      <c r="H232" s="30">
        <f t="shared" si="22"/>
        <v>2013</v>
      </c>
      <c r="I232" s="30">
        <f t="shared" si="23"/>
        <v>7</v>
      </c>
      <c r="J232" s="30">
        <f t="shared" si="20"/>
        <v>28</v>
      </c>
      <c r="K232" s="30">
        <v>1</v>
      </c>
      <c r="L232" s="30">
        <f ca="1">SUM(K232:OFFSET(RngToDay,ROWS(Dates),10))</f>
        <v>269</v>
      </c>
      <c r="M232" s="32"/>
      <c r="N232" s="32"/>
      <c r="O232" s="30">
        <f t="shared" si="24"/>
        <v>232</v>
      </c>
      <c r="P232" s="32"/>
      <c r="Q232" s="32"/>
    </row>
    <row r="233" spans="1:22" x14ac:dyDescent="0.25">
      <c r="A233" s="138">
        <v>41460</v>
      </c>
      <c r="B233" s="32"/>
      <c r="C233" s="32"/>
      <c r="E233" s="32"/>
      <c r="F233" s="32">
        <f t="shared" si="19"/>
        <v>0</v>
      </c>
      <c r="G233" s="30" t="str">
        <f t="shared" ca="1" si="21"/>
        <v>History</v>
      </c>
      <c r="H233" s="30">
        <f t="shared" si="22"/>
        <v>2013</v>
      </c>
      <c r="I233" s="30">
        <f t="shared" si="23"/>
        <v>7</v>
      </c>
      <c r="J233" s="30">
        <f t="shared" si="20"/>
        <v>27</v>
      </c>
      <c r="K233" s="30">
        <v>1</v>
      </c>
      <c r="L233" s="30">
        <f ca="1">SUM(K233:OFFSET(RngToDay,ROWS(Dates),10))</f>
        <v>268</v>
      </c>
      <c r="M233" s="32"/>
      <c r="N233" s="32"/>
      <c r="O233" s="30">
        <f t="shared" si="24"/>
        <v>233</v>
      </c>
      <c r="P233" s="32"/>
      <c r="Q233" s="32"/>
    </row>
    <row r="234" spans="1:22" x14ac:dyDescent="0.25">
      <c r="A234" s="138">
        <v>41459</v>
      </c>
      <c r="B234" s="32"/>
      <c r="C234" s="32"/>
      <c r="E234" s="32"/>
      <c r="F234" s="32">
        <f t="shared" si="19"/>
        <v>0</v>
      </c>
      <c r="G234" s="30" t="str">
        <f t="shared" ca="1" si="21"/>
        <v>History</v>
      </c>
      <c r="H234" s="30">
        <f t="shared" si="22"/>
        <v>2013</v>
      </c>
      <c r="I234" s="30">
        <f t="shared" si="23"/>
        <v>7</v>
      </c>
      <c r="J234" s="30">
        <f t="shared" si="20"/>
        <v>27</v>
      </c>
      <c r="K234" s="30">
        <v>1</v>
      </c>
      <c r="L234" s="30">
        <f ca="1">SUM(K234:OFFSET(RngToDay,ROWS(Dates),10))</f>
        <v>267</v>
      </c>
      <c r="M234" s="32"/>
      <c r="N234" s="32"/>
      <c r="O234" s="30">
        <f t="shared" si="24"/>
        <v>234</v>
      </c>
      <c r="P234" s="32"/>
      <c r="Q234" s="32"/>
    </row>
    <row r="235" spans="1:22" x14ac:dyDescent="0.25">
      <c r="A235" s="138">
        <v>41458</v>
      </c>
      <c r="B235" s="32"/>
      <c r="C235" s="32"/>
      <c r="E235" s="32"/>
      <c r="F235" s="32">
        <f t="shared" si="19"/>
        <v>0</v>
      </c>
      <c r="G235" s="30" t="str">
        <f t="shared" ca="1" si="21"/>
        <v>History</v>
      </c>
      <c r="H235" s="30">
        <f t="shared" si="22"/>
        <v>2013</v>
      </c>
      <c r="I235" s="30">
        <f t="shared" si="23"/>
        <v>7</v>
      </c>
      <c r="J235" s="30">
        <f t="shared" si="20"/>
        <v>27</v>
      </c>
      <c r="K235" s="30">
        <v>1</v>
      </c>
      <c r="L235" s="30">
        <f ca="1">SUM(K235:OFFSET(RngToDay,ROWS(Dates),10))</f>
        <v>266</v>
      </c>
      <c r="M235" s="32"/>
      <c r="N235" s="32"/>
      <c r="O235" s="30">
        <f t="shared" si="24"/>
        <v>235</v>
      </c>
      <c r="P235" s="32"/>
      <c r="Q235" s="32"/>
    </row>
    <row r="236" spans="1:22" x14ac:dyDescent="0.25">
      <c r="A236" s="138">
        <v>41457</v>
      </c>
      <c r="B236" s="32"/>
      <c r="C236" s="32"/>
      <c r="E236" s="32"/>
      <c r="F236" s="32">
        <f t="shared" si="19"/>
        <v>0</v>
      </c>
      <c r="G236" s="30" t="str">
        <f t="shared" ca="1" si="21"/>
        <v>History</v>
      </c>
      <c r="H236" s="30">
        <f t="shared" si="22"/>
        <v>2013</v>
      </c>
      <c r="I236" s="30">
        <f t="shared" si="23"/>
        <v>7</v>
      </c>
      <c r="J236" s="30">
        <f t="shared" si="20"/>
        <v>27</v>
      </c>
      <c r="K236" s="30">
        <v>1</v>
      </c>
      <c r="L236" s="30">
        <f ca="1">SUM(K236:OFFSET(RngToDay,ROWS(Dates),10))</f>
        <v>265</v>
      </c>
      <c r="M236" s="32"/>
      <c r="N236" s="32"/>
      <c r="O236" s="30">
        <f t="shared" si="24"/>
        <v>236</v>
      </c>
      <c r="P236" s="32"/>
      <c r="Q236" s="32"/>
      <c r="V236" s="32"/>
    </row>
    <row r="237" spans="1:22" x14ac:dyDescent="0.25">
      <c r="A237" s="138">
        <v>41456</v>
      </c>
      <c r="B237" s="32"/>
      <c r="C237" s="32"/>
      <c r="E237" s="32"/>
      <c r="F237" s="32">
        <f t="shared" si="19"/>
        <v>0</v>
      </c>
      <c r="G237" s="30" t="str">
        <f t="shared" ca="1" si="21"/>
        <v>History</v>
      </c>
      <c r="H237" s="30">
        <f t="shared" si="22"/>
        <v>2013</v>
      </c>
      <c r="I237" s="30">
        <f t="shared" si="23"/>
        <v>7</v>
      </c>
      <c r="J237" s="30">
        <f t="shared" si="20"/>
        <v>27</v>
      </c>
      <c r="K237" s="30">
        <v>1</v>
      </c>
      <c r="L237" s="30">
        <f ca="1">SUM(K237:OFFSET(RngToDay,ROWS(Dates),10))</f>
        <v>264</v>
      </c>
      <c r="M237" s="32"/>
      <c r="N237" s="32"/>
      <c r="O237" s="30">
        <f t="shared" si="24"/>
        <v>237</v>
      </c>
      <c r="P237" s="32"/>
      <c r="Q237" s="32"/>
      <c r="V237" s="32"/>
    </row>
    <row r="238" spans="1:22" x14ac:dyDescent="0.25">
      <c r="A238" s="138">
        <v>41453</v>
      </c>
      <c r="B238" s="32"/>
      <c r="C238" s="32"/>
      <c r="E238" s="32"/>
      <c r="F238" s="32">
        <f t="shared" si="19"/>
        <v>0</v>
      </c>
      <c r="G238" s="30" t="str">
        <f t="shared" ca="1" si="21"/>
        <v>History</v>
      </c>
      <c r="H238" s="30">
        <f t="shared" si="22"/>
        <v>2013</v>
      </c>
      <c r="I238" s="30">
        <f t="shared" si="23"/>
        <v>6</v>
      </c>
      <c r="J238" s="30">
        <f t="shared" si="20"/>
        <v>26</v>
      </c>
      <c r="K238" s="30">
        <v>1</v>
      </c>
      <c r="L238" s="30">
        <f ca="1">SUM(K238:OFFSET(RngToDay,ROWS(Dates),10))</f>
        <v>263</v>
      </c>
      <c r="M238" s="32"/>
      <c r="N238" s="32"/>
      <c r="O238" s="30">
        <f t="shared" si="24"/>
        <v>238</v>
      </c>
      <c r="P238" s="32"/>
      <c r="Q238" s="32"/>
      <c r="V238" s="32"/>
    </row>
    <row r="239" spans="1:22" x14ac:dyDescent="0.25">
      <c r="A239" s="138">
        <v>41452</v>
      </c>
      <c r="B239" s="32"/>
      <c r="C239" s="32"/>
      <c r="E239" s="32"/>
      <c r="F239" s="32">
        <f t="shared" si="19"/>
        <v>0</v>
      </c>
      <c r="G239" s="30" t="str">
        <f t="shared" ca="1" si="21"/>
        <v>History</v>
      </c>
      <c r="H239" s="30">
        <f t="shared" si="22"/>
        <v>2013</v>
      </c>
      <c r="I239" s="30">
        <f t="shared" si="23"/>
        <v>6</v>
      </c>
      <c r="J239" s="30">
        <f t="shared" si="20"/>
        <v>26</v>
      </c>
      <c r="K239" s="30">
        <v>1</v>
      </c>
      <c r="L239" s="30">
        <f ca="1">SUM(K239:OFFSET(RngToDay,ROWS(Dates),10))</f>
        <v>262</v>
      </c>
      <c r="M239" s="32"/>
      <c r="N239" s="32"/>
      <c r="O239" s="30">
        <f t="shared" si="24"/>
        <v>239</v>
      </c>
      <c r="P239" s="32"/>
      <c r="Q239" s="32"/>
      <c r="V239" s="32"/>
    </row>
    <row r="240" spans="1:22" x14ac:dyDescent="0.25">
      <c r="A240" s="138">
        <v>41451</v>
      </c>
      <c r="B240" s="32"/>
      <c r="C240" s="32"/>
      <c r="E240" s="32"/>
      <c r="F240" s="32">
        <f t="shared" si="19"/>
        <v>0</v>
      </c>
      <c r="G240" s="30" t="str">
        <f t="shared" ca="1" si="21"/>
        <v>History</v>
      </c>
      <c r="H240" s="30">
        <f t="shared" si="22"/>
        <v>2013</v>
      </c>
      <c r="I240" s="30">
        <f t="shared" si="23"/>
        <v>6</v>
      </c>
      <c r="J240" s="30">
        <f t="shared" si="20"/>
        <v>26</v>
      </c>
      <c r="K240" s="30">
        <v>1</v>
      </c>
      <c r="L240" s="30">
        <f ca="1">SUM(K240:OFFSET(RngToDay,ROWS(Dates),10))</f>
        <v>261</v>
      </c>
      <c r="M240" s="32"/>
      <c r="N240" s="32"/>
      <c r="O240" s="30">
        <f t="shared" si="24"/>
        <v>240</v>
      </c>
      <c r="P240" s="32"/>
      <c r="Q240" s="32"/>
      <c r="V240" s="32"/>
    </row>
    <row r="241" spans="1:23" x14ac:dyDescent="0.25">
      <c r="A241" s="138">
        <v>41450</v>
      </c>
      <c r="B241" s="32"/>
      <c r="C241" s="32"/>
      <c r="E241" s="32"/>
      <c r="F241" s="32">
        <f t="shared" si="19"/>
        <v>0</v>
      </c>
      <c r="G241" s="30" t="str">
        <f t="shared" ca="1" si="21"/>
        <v>History</v>
      </c>
      <c r="H241" s="30">
        <f t="shared" si="22"/>
        <v>2013</v>
      </c>
      <c r="I241" s="30">
        <f t="shared" si="23"/>
        <v>6</v>
      </c>
      <c r="J241" s="30">
        <f t="shared" si="20"/>
        <v>26</v>
      </c>
      <c r="K241" s="30">
        <v>1</v>
      </c>
      <c r="L241" s="30">
        <f ca="1">SUM(K241:OFFSET(RngToDay,ROWS(Dates),10))</f>
        <v>260</v>
      </c>
      <c r="M241" s="32"/>
      <c r="N241" s="32"/>
      <c r="O241" s="30">
        <f t="shared" si="24"/>
        <v>241</v>
      </c>
      <c r="P241" s="32"/>
      <c r="Q241" s="32"/>
      <c r="V241" s="32"/>
    </row>
    <row r="242" spans="1:23" x14ac:dyDescent="0.25">
      <c r="A242" s="138">
        <v>41449</v>
      </c>
      <c r="B242" s="32"/>
      <c r="C242" s="32"/>
      <c r="E242" s="32"/>
      <c r="F242" s="32">
        <f t="shared" si="19"/>
        <v>0</v>
      </c>
      <c r="G242" s="30" t="str">
        <f t="shared" ca="1" si="21"/>
        <v>History</v>
      </c>
      <c r="H242" s="30">
        <f t="shared" si="22"/>
        <v>2013</v>
      </c>
      <c r="I242" s="30">
        <f t="shared" si="23"/>
        <v>6</v>
      </c>
      <c r="J242" s="30">
        <f t="shared" si="20"/>
        <v>26</v>
      </c>
      <c r="K242" s="30">
        <v>1</v>
      </c>
      <c r="L242" s="30">
        <f ca="1">SUM(K242:OFFSET(RngToDay,ROWS(Dates),10))</f>
        <v>259</v>
      </c>
      <c r="M242" s="32"/>
      <c r="N242" s="32"/>
      <c r="O242" s="30">
        <f t="shared" si="24"/>
        <v>242</v>
      </c>
      <c r="P242" s="32"/>
      <c r="Q242" s="32"/>
      <c r="S242" s="139" t="s">
        <v>487</v>
      </c>
      <c r="T242" s="32">
        <v>5530</v>
      </c>
      <c r="V242" s="32"/>
    </row>
    <row r="243" spans="1:23" x14ac:dyDescent="0.25">
      <c r="A243" s="138">
        <v>41446</v>
      </c>
      <c r="B243" s="32"/>
      <c r="C243" s="32"/>
      <c r="E243" s="32"/>
      <c r="F243" s="32">
        <f t="shared" si="19"/>
        <v>0</v>
      </c>
      <c r="G243" s="30" t="str">
        <f t="shared" ca="1" si="21"/>
        <v>History</v>
      </c>
      <c r="H243" s="30">
        <f t="shared" si="22"/>
        <v>2013</v>
      </c>
      <c r="I243" s="30">
        <f t="shared" si="23"/>
        <v>6</v>
      </c>
      <c r="J243" s="30">
        <f t="shared" si="20"/>
        <v>25</v>
      </c>
      <c r="K243" s="30">
        <v>1</v>
      </c>
      <c r="L243" s="30">
        <f ca="1">SUM(K243:OFFSET(RngToDay,ROWS(Dates),10))</f>
        <v>258</v>
      </c>
      <c r="M243" s="32"/>
      <c r="N243" s="32"/>
      <c r="O243" s="30">
        <f t="shared" si="24"/>
        <v>243</v>
      </c>
      <c r="P243" s="32"/>
      <c r="Q243" s="32"/>
      <c r="S243" s="139" t="s">
        <v>488</v>
      </c>
      <c r="T243" s="32">
        <v>0</v>
      </c>
      <c r="V243" s="32"/>
    </row>
    <row r="244" spans="1:23" x14ac:dyDescent="0.25">
      <c r="A244" s="138">
        <v>41445</v>
      </c>
      <c r="B244" s="32"/>
      <c r="C244" s="32"/>
      <c r="E244" s="32"/>
      <c r="F244" s="32">
        <f t="shared" si="19"/>
        <v>0</v>
      </c>
      <c r="G244" s="30" t="str">
        <f t="shared" ca="1" si="21"/>
        <v>History</v>
      </c>
      <c r="H244" s="30">
        <f t="shared" si="22"/>
        <v>2013</v>
      </c>
      <c r="I244" s="30">
        <f t="shared" si="23"/>
        <v>6</v>
      </c>
      <c r="J244" s="30">
        <f t="shared" si="20"/>
        <v>25</v>
      </c>
      <c r="K244" s="30">
        <v>1</v>
      </c>
      <c r="L244" s="30">
        <f ca="1">SUM(K244:OFFSET(RngToDay,ROWS(Dates),10))</f>
        <v>257</v>
      </c>
      <c r="M244" s="32"/>
      <c r="N244" s="32"/>
      <c r="O244" s="30">
        <f t="shared" si="24"/>
        <v>244</v>
      </c>
      <c r="P244" s="32"/>
      <c r="Q244" s="32"/>
      <c r="S244" s="139" t="s">
        <v>489</v>
      </c>
      <c r="T244" s="32" t="e">
        <f>AVERAGE(B250:B650)</f>
        <v>#DIV/0!</v>
      </c>
      <c r="W244" s="32"/>
    </row>
    <row r="245" spans="1:23" x14ac:dyDescent="0.25">
      <c r="A245" s="138">
        <v>41444</v>
      </c>
      <c r="B245" s="32"/>
      <c r="C245" s="32"/>
      <c r="E245" s="32"/>
      <c r="F245" s="32">
        <f t="shared" si="19"/>
        <v>0</v>
      </c>
      <c r="G245" s="30" t="str">
        <f t="shared" ca="1" si="21"/>
        <v>History</v>
      </c>
      <c r="H245" s="30">
        <f t="shared" si="22"/>
        <v>2013</v>
      </c>
      <c r="I245" s="30">
        <f t="shared" si="23"/>
        <v>6</v>
      </c>
      <c r="J245" s="30">
        <f t="shared" si="20"/>
        <v>25</v>
      </c>
      <c r="K245" s="30">
        <v>1</v>
      </c>
      <c r="L245" s="30">
        <f ca="1">SUM(K245:OFFSET(RngToDay,ROWS(Dates),10))</f>
        <v>256</v>
      </c>
      <c r="M245" s="32"/>
      <c r="N245" s="32"/>
      <c r="O245" s="30">
        <f t="shared" si="24"/>
        <v>245</v>
      </c>
      <c r="P245" s="32"/>
      <c r="Q245" s="32"/>
      <c r="S245" s="139" t="s">
        <v>490</v>
      </c>
      <c r="T245" s="32" t="e">
        <f>F250/T244*SafStock</f>
        <v>#DIV/0!</v>
      </c>
    </row>
    <row r="246" spans="1:23" x14ac:dyDescent="0.25">
      <c r="A246" s="138">
        <v>41443</v>
      </c>
      <c r="B246" s="32"/>
      <c r="C246" s="32"/>
      <c r="E246" s="32"/>
      <c r="F246" s="32">
        <f t="shared" si="19"/>
        <v>0</v>
      </c>
      <c r="G246" s="30" t="str">
        <f t="shared" ca="1" si="21"/>
        <v>History</v>
      </c>
      <c r="H246" s="30">
        <f t="shared" si="22"/>
        <v>2013</v>
      </c>
      <c r="I246" s="30">
        <f t="shared" si="23"/>
        <v>6</v>
      </c>
      <c r="J246" s="30">
        <f t="shared" si="20"/>
        <v>25</v>
      </c>
      <c r="K246" s="30">
        <v>1</v>
      </c>
      <c r="L246" s="30">
        <f ca="1">SUM(K246:OFFSET(RngToDay,ROWS(Dates),10))</f>
        <v>255</v>
      </c>
      <c r="M246" s="32"/>
      <c r="N246" s="32"/>
      <c r="O246" s="30">
        <f t="shared" si="24"/>
        <v>246</v>
      </c>
      <c r="P246" s="32"/>
      <c r="Q246" s="32"/>
      <c r="S246" s="139" t="s">
        <v>491</v>
      </c>
      <c r="T246" s="32">
        <f>SUM(C250:C650)-Req_Today</f>
        <v>-1150</v>
      </c>
      <c r="W246" s="32"/>
    </row>
    <row r="247" spans="1:23" x14ac:dyDescent="0.25">
      <c r="A247" s="138">
        <v>41442</v>
      </c>
      <c r="B247" s="32"/>
      <c r="C247" s="32"/>
      <c r="E247" s="32"/>
      <c r="F247" s="32">
        <f t="shared" si="19"/>
        <v>0</v>
      </c>
      <c r="G247" s="30" t="str">
        <f t="shared" ca="1" si="21"/>
        <v>History</v>
      </c>
      <c r="H247" s="30">
        <f t="shared" si="22"/>
        <v>2013</v>
      </c>
      <c r="I247" s="30">
        <f t="shared" si="23"/>
        <v>6</v>
      </c>
      <c r="J247" s="30">
        <f>IF(WEEKDAY(DATE(YEAR(A247),1,1),2)&gt;4,WEEKNUM(A247,2)-1,WEEKNUM(A247,2))</f>
        <v>25</v>
      </c>
      <c r="K247" s="30">
        <v>1</v>
      </c>
      <c r="L247" s="30">
        <f ca="1">SUM(K247:OFFSET(RngToDay,ROWS(Dates),10))</f>
        <v>254</v>
      </c>
      <c r="M247" s="32"/>
      <c r="N247" s="32"/>
      <c r="O247" s="30">
        <f t="shared" si="24"/>
        <v>247</v>
      </c>
      <c r="P247" s="32"/>
      <c r="Q247" s="32"/>
      <c r="S247" s="139" t="s">
        <v>492</v>
      </c>
      <c r="T247" s="126" t="e">
        <f>T246/T244</f>
        <v>#DIV/0!</v>
      </c>
      <c r="U247" s="126" t="e">
        <f ca="1">T246/L250*251/T244</f>
        <v>#DIV/0!</v>
      </c>
      <c r="V247" s="32" t="e">
        <f ca="1">251/U247</f>
        <v>#DIV/0!</v>
      </c>
    </row>
    <row r="248" spans="1:23" x14ac:dyDescent="0.25">
      <c r="A248" s="138">
        <v>41439</v>
      </c>
      <c r="B248" s="32"/>
      <c r="C248" s="32"/>
      <c r="E248" s="32"/>
      <c r="F248" s="32">
        <f t="shared" si="19"/>
        <v>0</v>
      </c>
      <c r="G248" s="30" t="str">
        <f t="shared" ca="1" si="21"/>
        <v>History</v>
      </c>
      <c r="H248" s="30">
        <f t="shared" si="22"/>
        <v>2013</v>
      </c>
      <c r="I248" s="30">
        <f t="shared" si="23"/>
        <v>6</v>
      </c>
      <c r="J248" s="30">
        <f t="shared" ref="J248:J311" si="25">IF(WEEKDAY(DATE(YEAR(A248),1,1),2)&gt;4,WEEKNUM(A248,2)-1,WEEKNUM(A248,2))</f>
        <v>24</v>
      </c>
      <c r="K248" s="30">
        <v>1</v>
      </c>
      <c r="L248" s="30">
        <f ca="1">SUM(K248:OFFSET(RngToDay,ROWS(Dates),10))</f>
        <v>253</v>
      </c>
      <c r="M248" s="32"/>
      <c r="N248" s="32"/>
      <c r="O248" s="30">
        <f t="shared" si="24"/>
        <v>248</v>
      </c>
      <c r="P248" s="32"/>
      <c r="Q248" s="32"/>
    </row>
    <row r="249" spans="1:23" ht="13" x14ac:dyDescent="0.3">
      <c r="A249" s="138">
        <v>41438</v>
      </c>
      <c r="B249" s="32"/>
      <c r="C249" s="32"/>
      <c r="D249" s="32"/>
      <c r="E249" s="32"/>
      <c r="F249" s="32">
        <f t="shared" si="19"/>
        <v>0</v>
      </c>
      <c r="G249" s="30" t="str">
        <f t="shared" ca="1" si="21"/>
        <v>History</v>
      </c>
      <c r="H249" s="30">
        <f t="shared" si="22"/>
        <v>2013</v>
      </c>
      <c r="I249" s="30">
        <f t="shared" si="23"/>
        <v>6</v>
      </c>
      <c r="J249" s="30">
        <f t="shared" si="25"/>
        <v>24</v>
      </c>
      <c r="K249" s="30">
        <v>1</v>
      </c>
      <c r="L249" s="30">
        <f ca="1">SUM(K249:OFFSET(RngToDay,ROWS(Dates),10))</f>
        <v>252</v>
      </c>
      <c r="M249" s="32"/>
      <c r="N249" s="32"/>
      <c r="O249" s="30">
        <f t="shared" si="24"/>
        <v>249</v>
      </c>
      <c r="P249" s="32"/>
      <c r="Q249" s="32"/>
      <c r="S249" s="120" t="s">
        <v>330</v>
      </c>
      <c r="T249" s="136" t="s">
        <v>493</v>
      </c>
      <c r="U249" s="31" t="s">
        <v>494</v>
      </c>
    </row>
    <row r="250" spans="1:23" x14ac:dyDescent="0.25">
      <c r="A250" s="132">
        <f ca="1">TODAY()</f>
        <v>42440</v>
      </c>
      <c r="B250" s="133"/>
      <c r="C250" s="32"/>
      <c r="D250" s="32"/>
      <c r="E250" s="32"/>
      <c r="F250" s="32">
        <f t="shared" si="19"/>
        <v>0</v>
      </c>
      <c r="G250" s="30" t="str">
        <f t="shared" ca="1" si="21"/>
        <v>History</v>
      </c>
      <c r="H250" s="30">
        <f t="shared" ca="1" si="22"/>
        <v>2016</v>
      </c>
      <c r="I250" s="30">
        <f t="shared" ca="1" si="23"/>
        <v>3</v>
      </c>
      <c r="J250" s="30">
        <f t="shared" ca="1" si="25"/>
        <v>10</v>
      </c>
      <c r="K250" s="30">
        <v>1</v>
      </c>
      <c r="L250" s="30">
        <f ca="1">SUM(K250:OFFSET(RngToDay,ROWS(Dates),10))</f>
        <v>251</v>
      </c>
      <c r="M250" s="32" t="str">
        <f ca="1">IF(B250="","",SUM(C250:OFFSET(C250,-SafetyStock!$B$4+1,0)))</f>
        <v/>
      </c>
      <c r="N250" s="32" t="e">
        <f t="shared" ref="N250:N313" ca="1" si="26">Saf_Stock</f>
        <v>#DIV/0!</v>
      </c>
      <c r="O250" s="30">
        <f t="shared" si="24"/>
        <v>250</v>
      </c>
      <c r="P250" s="32">
        <f ca="1">IF(M250="",0,IF(M250&gt;N250,M250-N250,0))</f>
        <v>0</v>
      </c>
      <c r="Q250" s="32">
        <f ca="1">IF(LeadTime=0,P250,IF(AND(SUM(Q249:OFFSET(Q250,-LeadTime,0))=0,P250&gt;0),MAX(P250:OFFSET(P250,-LeadTime+1,0)),0))</f>
        <v>0</v>
      </c>
      <c r="S250" s="32">
        <f>IF(ISERROR(AVERAGE(Cov_Range)),0,AVERAGE(Cov_Range))</f>
        <v>0</v>
      </c>
      <c r="T250" s="32">
        <f>MIN(Cov_Range)</f>
        <v>0</v>
      </c>
      <c r="U250" s="32">
        <f>MAX(Cov_Range)</f>
        <v>0</v>
      </c>
      <c r="W250" s="32">
        <v>1150</v>
      </c>
    </row>
    <row r="251" spans="1:23" x14ac:dyDescent="0.25">
      <c r="A251" s="134">
        <v>41436</v>
      </c>
      <c r="B251" s="32"/>
      <c r="C251" s="32"/>
      <c r="D251" s="32"/>
      <c r="E251" s="32"/>
      <c r="F251" s="32">
        <f>F250</f>
        <v>0</v>
      </c>
      <c r="G251" s="30" t="str">
        <f t="shared" ca="1" si="21"/>
        <v>History</v>
      </c>
      <c r="H251" s="30">
        <f t="shared" si="22"/>
        <v>2013</v>
      </c>
      <c r="I251" s="30">
        <f t="shared" si="23"/>
        <v>6</v>
      </c>
      <c r="J251" s="30">
        <f t="shared" si="25"/>
        <v>24</v>
      </c>
      <c r="K251" s="30">
        <v>1</v>
      </c>
      <c r="L251" s="30">
        <f ca="1">SUM(K251:OFFSET(RngToDay,ROWS(Dates),10))</f>
        <v>250</v>
      </c>
      <c r="M251" s="32" t="str">
        <f ca="1">IF(B251="","",SUM(C251:OFFSET(C251,-SafetyStock!$B$4+1,0)))</f>
        <v/>
      </c>
      <c r="N251" s="32" t="e">
        <f t="shared" ca="1" si="26"/>
        <v>#DIV/0!</v>
      </c>
      <c r="O251" s="30">
        <f t="shared" si="24"/>
        <v>251</v>
      </c>
      <c r="P251" s="32">
        <f t="shared" ref="P251:P314" ca="1" si="27">IF(M251="",0,IF(M251&gt;N251,M251-N251,0))</f>
        <v>0</v>
      </c>
      <c r="Q251" s="32">
        <f ca="1">IF(LeadTime=0,P251,IF(AND(SUM(Q250:OFFSET(Q251,-LeadTime,0))=0,P251&gt;0),MAX(P251:OFFSET(P251,-LeadTime+1,0)),0))</f>
        <v>0</v>
      </c>
    </row>
    <row r="252" spans="1:23" x14ac:dyDescent="0.25">
      <c r="A252" s="134">
        <v>41435</v>
      </c>
      <c r="B252" s="32"/>
      <c r="C252" s="32"/>
      <c r="D252" s="32"/>
      <c r="E252" s="32"/>
      <c r="F252" s="32">
        <f t="shared" ref="F252:F315" si="28">F251</f>
        <v>0</v>
      </c>
      <c r="G252" s="30" t="str">
        <f t="shared" ca="1" si="21"/>
        <v>History</v>
      </c>
      <c r="H252" s="30">
        <f t="shared" si="22"/>
        <v>2013</v>
      </c>
      <c r="I252" s="30">
        <f t="shared" si="23"/>
        <v>6</v>
      </c>
      <c r="J252" s="30">
        <f t="shared" si="25"/>
        <v>24</v>
      </c>
      <c r="K252" s="30">
        <v>1</v>
      </c>
      <c r="L252" s="30">
        <f ca="1">SUM(K252:OFFSET(RngToDay,ROWS(Dates),10))</f>
        <v>249</v>
      </c>
      <c r="M252" s="32" t="str">
        <f ca="1">IF(B252="","",SUM(C252:OFFSET(C252,-SafetyStock!$B$4+1,0)))</f>
        <v/>
      </c>
      <c r="N252" s="32" t="e">
        <f t="shared" ca="1" si="26"/>
        <v>#DIV/0!</v>
      </c>
      <c r="O252" s="30">
        <f t="shared" si="24"/>
        <v>252</v>
      </c>
      <c r="P252" s="32">
        <f t="shared" ca="1" si="27"/>
        <v>0</v>
      </c>
      <c r="Q252" s="32">
        <f ca="1">IF(LeadTime=0,P252,IF(AND(SUM(Q251:OFFSET(Q252,-LeadTime,0))=0,P252&gt;0),MAX(P252:OFFSET(P252,-LeadTime+1,0)),0))</f>
        <v>0</v>
      </c>
      <c r="S252" s="121" t="s">
        <v>495</v>
      </c>
      <c r="T252" s="32">
        <f>SafetyStock!B4</f>
        <v>5</v>
      </c>
    </row>
    <row r="253" spans="1:23" x14ac:dyDescent="0.25">
      <c r="A253" s="134">
        <v>41432</v>
      </c>
      <c r="B253" s="32"/>
      <c r="C253" s="32"/>
      <c r="D253" s="32"/>
      <c r="E253" s="32"/>
      <c r="F253" s="32">
        <f t="shared" si="28"/>
        <v>0</v>
      </c>
      <c r="G253" s="30" t="str">
        <f t="shared" ca="1" si="21"/>
        <v>History</v>
      </c>
      <c r="H253" s="30">
        <f t="shared" si="22"/>
        <v>2013</v>
      </c>
      <c r="I253" s="30">
        <f t="shared" si="23"/>
        <v>6</v>
      </c>
      <c r="J253" s="30">
        <f t="shared" si="25"/>
        <v>23</v>
      </c>
      <c r="K253" s="30">
        <v>1</v>
      </c>
      <c r="L253" s="30">
        <f ca="1">SUM(K253:OFFSET(RngToDay,ROWS(Dates),10))</f>
        <v>248</v>
      </c>
      <c r="M253" s="32" t="str">
        <f ca="1">IF(B253="","",SUM(C253:OFFSET(C253,-SafetyStock!$B$4+1,0)))</f>
        <v/>
      </c>
      <c r="N253" s="32" t="e">
        <f t="shared" ca="1" si="26"/>
        <v>#DIV/0!</v>
      </c>
      <c r="O253" s="30">
        <f t="shared" si="24"/>
        <v>253</v>
      </c>
      <c r="P253" s="32">
        <f t="shared" ca="1" si="27"/>
        <v>0</v>
      </c>
      <c r="Q253" s="32">
        <f ca="1">IF(LeadTime=0,P253,IF(AND(SUM(Q252:OFFSET(Q253,-LeadTime,0))=0,P253&gt;0),MAX(P253:OFFSET(P253,-LeadTime+1,0)),0))</f>
        <v>0</v>
      </c>
      <c r="S253" s="121" t="s">
        <v>390</v>
      </c>
      <c r="T253" s="32" t="e">
        <f>AVERAGE(C250:C633)</f>
        <v>#DIV/0!</v>
      </c>
    </row>
    <row r="254" spans="1:23" x14ac:dyDescent="0.25">
      <c r="A254" s="134">
        <v>41431</v>
      </c>
      <c r="B254" s="32"/>
      <c r="C254" s="32"/>
      <c r="D254" s="32"/>
      <c r="E254" s="32"/>
      <c r="F254" s="32">
        <f t="shared" si="28"/>
        <v>0</v>
      </c>
      <c r="G254" s="30" t="str">
        <f t="shared" ca="1" si="21"/>
        <v>History</v>
      </c>
      <c r="H254" s="30">
        <f t="shared" si="22"/>
        <v>2013</v>
      </c>
      <c r="I254" s="30">
        <f t="shared" si="23"/>
        <v>6</v>
      </c>
      <c r="J254" s="30">
        <f t="shared" si="25"/>
        <v>23</v>
      </c>
      <c r="K254" s="30">
        <v>1</v>
      </c>
      <c r="L254" s="30">
        <f ca="1">SUM(K254:OFFSET(RngToDay,ROWS(Dates),10))</f>
        <v>247</v>
      </c>
      <c r="M254" s="32" t="str">
        <f ca="1">IF(B254="","",SUM(C254:OFFSET(C254,-SafetyStock!$B$4+1,0)))</f>
        <v/>
      </c>
      <c r="N254" s="32" t="e">
        <f t="shared" ca="1" si="26"/>
        <v>#DIV/0!</v>
      </c>
      <c r="O254" s="30">
        <f t="shared" si="24"/>
        <v>254</v>
      </c>
      <c r="P254" s="32">
        <f t="shared" ca="1" si="27"/>
        <v>0</v>
      </c>
      <c r="Q254" s="32">
        <f ca="1">IF(LeadTime=0,P254,IF(AND(SUM(Q253:OFFSET(Q254,-LeadTime,0))=0,P254&gt;0),MAX(P254:OFFSET(P254,-LeadTime+1,0)),0))</f>
        <v>0</v>
      </c>
      <c r="S254" s="121" t="s">
        <v>496</v>
      </c>
      <c r="T254" s="32" t="e">
        <f ca="1">AVERAGE(M250:M633)</f>
        <v>#DIV/0!</v>
      </c>
    </row>
    <row r="255" spans="1:23" x14ac:dyDescent="0.25">
      <c r="A255" s="134">
        <v>41430</v>
      </c>
      <c r="B255" s="32"/>
      <c r="C255" s="32"/>
      <c r="D255" s="32"/>
      <c r="E255" s="32"/>
      <c r="F255" s="32">
        <f t="shared" si="28"/>
        <v>0</v>
      </c>
      <c r="G255" s="30" t="str">
        <f t="shared" ca="1" si="21"/>
        <v>History</v>
      </c>
      <c r="H255" s="30">
        <f t="shared" si="22"/>
        <v>2013</v>
      </c>
      <c r="I255" s="30">
        <f t="shared" si="23"/>
        <v>6</v>
      </c>
      <c r="J255" s="30">
        <f t="shared" si="25"/>
        <v>23</v>
      </c>
      <c r="K255" s="30">
        <v>1</v>
      </c>
      <c r="L255" s="30">
        <f ca="1">SUM(K255:OFFSET(RngToDay,ROWS(Dates),10))</f>
        <v>246</v>
      </c>
      <c r="M255" s="32" t="str">
        <f ca="1">IF(B255="","",SUM(C255:OFFSET(C255,-SafetyStock!$B$4+1,0)))</f>
        <v/>
      </c>
      <c r="N255" s="32" t="e">
        <f t="shared" ca="1" si="26"/>
        <v>#DIV/0!</v>
      </c>
      <c r="O255" s="30">
        <f t="shared" si="24"/>
        <v>255</v>
      </c>
      <c r="P255" s="32">
        <f t="shared" ca="1" si="27"/>
        <v>0</v>
      </c>
      <c r="Q255" s="32">
        <f ca="1">IF(LeadTime=0,P255,IF(AND(SUM(Q254:OFFSET(Q255,-LeadTime,0))=0,P255&gt;0),MAX(P255:OFFSET(P255,-LeadTime+1,0)),0))</f>
        <v>0</v>
      </c>
      <c r="S255" s="121" t="s">
        <v>497</v>
      </c>
      <c r="T255" s="32" t="e">
        <f ca="1">STDEV(M250:M633)</f>
        <v>#DIV/0!</v>
      </c>
      <c r="U255" s="129" t="e">
        <f ca="1">T255/T254</f>
        <v>#DIV/0!</v>
      </c>
    </row>
    <row r="256" spans="1:23" x14ac:dyDescent="0.25">
      <c r="A256" s="134">
        <v>41429</v>
      </c>
      <c r="B256" s="32"/>
      <c r="C256" s="32"/>
      <c r="D256" s="32"/>
      <c r="E256" s="32"/>
      <c r="F256" s="32">
        <f t="shared" si="28"/>
        <v>0</v>
      </c>
      <c r="G256" s="30" t="str">
        <f t="shared" ca="1" si="21"/>
        <v>History</v>
      </c>
      <c r="H256" s="30">
        <f t="shared" si="22"/>
        <v>2013</v>
      </c>
      <c r="I256" s="30">
        <f t="shared" si="23"/>
        <v>6</v>
      </c>
      <c r="J256" s="30">
        <f t="shared" si="25"/>
        <v>23</v>
      </c>
      <c r="K256" s="30">
        <v>1</v>
      </c>
      <c r="L256" s="30">
        <f ca="1">SUM(K256:OFFSET(RngToDay,ROWS(Dates),10))</f>
        <v>245</v>
      </c>
      <c r="M256" s="32" t="str">
        <f ca="1">IF(B256="","",SUM(C256:OFFSET(C256,-SafetyStock!$B$4+1,0)))</f>
        <v/>
      </c>
      <c r="N256" s="32" t="e">
        <f t="shared" ca="1" si="26"/>
        <v>#DIV/0!</v>
      </c>
      <c r="O256" s="30">
        <f t="shared" si="24"/>
        <v>256</v>
      </c>
      <c r="P256" s="32">
        <f t="shared" ca="1" si="27"/>
        <v>0</v>
      </c>
      <c r="Q256" s="32">
        <f ca="1">IF(LeadTime=0,P256,IF(AND(SUM(Q255:OFFSET(Q256,-LeadTime,0))=0,P256&gt;0),MAX(P256:OFFSET(P256,-LeadTime+1,0)),0))</f>
        <v>0</v>
      </c>
      <c r="S256" s="121" t="s">
        <v>498</v>
      </c>
      <c r="T256" s="129">
        <f>SafetyStock!B3</f>
        <v>0.99</v>
      </c>
    </row>
    <row r="257" spans="1:21" x14ac:dyDescent="0.25">
      <c r="A257" s="134">
        <v>41428</v>
      </c>
      <c r="B257" s="32"/>
      <c r="C257" s="32"/>
      <c r="D257" s="32"/>
      <c r="E257" s="32"/>
      <c r="F257" s="32">
        <f t="shared" si="28"/>
        <v>0</v>
      </c>
      <c r="G257" s="30" t="str">
        <f t="shared" ca="1" si="21"/>
        <v>History</v>
      </c>
      <c r="H257" s="30">
        <f t="shared" si="22"/>
        <v>2013</v>
      </c>
      <c r="I257" s="30">
        <f t="shared" si="23"/>
        <v>6</v>
      </c>
      <c r="J257" s="30">
        <f t="shared" si="25"/>
        <v>23</v>
      </c>
      <c r="K257" s="30">
        <v>1</v>
      </c>
      <c r="L257" s="30">
        <f ca="1">SUM(K257:OFFSET(RngToDay,ROWS(Dates),10))</f>
        <v>244</v>
      </c>
      <c r="M257" s="32" t="str">
        <f ca="1">IF(B257="","",SUM(C257:OFFSET(C257,-SafetyStock!$B$4+1,0)))</f>
        <v/>
      </c>
      <c r="N257" s="32" t="e">
        <f t="shared" ca="1" si="26"/>
        <v>#DIV/0!</v>
      </c>
      <c r="O257" s="30">
        <f t="shared" si="24"/>
        <v>257</v>
      </c>
      <c r="P257" s="32">
        <f t="shared" ca="1" si="27"/>
        <v>0</v>
      </c>
      <c r="Q257" s="32">
        <f ca="1">IF(LeadTime=0,P257,IF(AND(SUM(Q256:OFFSET(Q257,-LeadTime,0))=0,P257&gt;0),MAX(P257:OFFSET(P257,-LeadTime+1,0)),0))</f>
        <v>0</v>
      </c>
      <c r="S257" s="121" t="s">
        <v>129</v>
      </c>
      <c r="T257" s="32" t="e">
        <f ca="1">NORMINV(T256,T254,T255)</f>
        <v>#DIV/0!</v>
      </c>
      <c r="U257" s="140" t="e">
        <f ca="1">(Saf_Stock-T254)/T255</f>
        <v>#DIV/0!</v>
      </c>
    </row>
    <row r="258" spans="1:21" x14ac:dyDescent="0.25">
      <c r="A258" s="134">
        <v>41425</v>
      </c>
      <c r="B258" s="32"/>
      <c r="C258" s="32"/>
      <c r="D258" s="32"/>
      <c r="E258" s="32"/>
      <c r="F258" s="32">
        <f t="shared" si="28"/>
        <v>0</v>
      </c>
      <c r="G258" s="30" t="str">
        <f t="shared" ca="1" si="21"/>
        <v>History</v>
      </c>
      <c r="H258" s="30">
        <f t="shared" si="22"/>
        <v>2013</v>
      </c>
      <c r="I258" s="30">
        <f t="shared" si="23"/>
        <v>5</v>
      </c>
      <c r="J258" s="30">
        <f t="shared" si="25"/>
        <v>22</v>
      </c>
      <c r="K258" s="30">
        <v>1</v>
      </c>
      <c r="L258" s="30">
        <f ca="1">SUM(K258:OFFSET(RngToDay,ROWS(Dates),10))</f>
        <v>243</v>
      </c>
      <c r="M258" s="32" t="str">
        <f ca="1">IF(B258="","",SUM(C258:OFFSET(C258,-SafetyStock!$B$4+1,0)))</f>
        <v/>
      </c>
      <c r="N258" s="32" t="e">
        <f t="shared" ca="1" si="26"/>
        <v>#DIV/0!</v>
      </c>
      <c r="O258" s="30">
        <f t="shared" si="24"/>
        <v>258</v>
      </c>
      <c r="P258" s="32">
        <f t="shared" ca="1" si="27"/>
        <v>0</v>
      </c>
      <c r="Q258" s="32">
        <f ca="1">IF(LeadTime=0,P258,IF(AND(SUM(Q257:OFFSET(Q258,-LeadTime,0))=0,P258&gt;0),MAX(P258:OFFSET(P258,-LeadTime+1,0)),0))</f>
        <v>0</v>
      </c>
      <c r="S258" s="121" t="s">
        <v>499</v>
      </c>
      <c r="T258" s="126" t="e">
        <f ca="1">T257/T253</f>
        <v>#DIV/0!</v>
      </c>
    </row>
    <row r="259" spans="1:21" x14ac:dyDescent="0.25">
      <c r="A259" s="134">
        <v>41424</v>
      </c>
      <c r="B259" s="32"/>
      <c r="C259" s="32"/>
      <c r="D259" s="32"/>
      <c r="E259" s="32"/>
      <c r="F259" s="32">
        <f t="shared" si="28"/>
        <v>0</v>
      </c>
      <c r="G259" s="30" t="str">
        <f t="shared" ref="G259:G322" ca="1" si="29">IF(A259&gt;TODAY(),"Requirements","History")</f>
        <v>History</v>
      </c>
      <c r="H259" s="30">
        <f t="shared" ref="H259:H322" si="30">YEAR(A259)</f>
        <v>2013</v>
      </c>
      <c r="I259" s="30">
        <f t="shared" ref="I259:I322" si="31">MONTH(A259)</f>
        <v>5</v>
      </c>
      <c r="J259" s="30">
        <f t="shared" si="25"/>
        <v>22</v>
      </c>
      <c r="K259" s="30">
        <v>1</v>
      </c>
      <c r="L259" s="30">
        <f ca="1">SUM(K259:OFFSET(RngToDay,ROWS(Dates),10))</f>
        <v>242</v>
      </c>
      <c r="M259" s="32" t="str">
        <f ca="1">IF(B259="","",SUM(C259:OFFSET(C259,-SafetyStock!$B$4+1,0)))</f>
        <v/>
      </c>
      <c r="N259" s="32" t="e">
        <f t="shared" ca="1" si="26"/>
        <v>#DIV/0!</v>
      </c>
      <c r="O259" s="30">
        <f t="shared" si="24"/>
        <v>259</v>
      </c>
      <c r="P259" s="32">
        <f t="shared" ca="1" si="27"/>
        <v>0</v>
      </c>
      <c r="Q259" s="32">
        <f ca="1">IF(LeadTime=0,P259,IF(AND(SUM(Q258:OFFSET(Q259,-LeadTime,0))=0,P259&gt;0),MAX(P259:OFFSET(P259,-LeadTime+1,0)),0))</f>
        <v>0</v>
      </c>
      <c r="S259" s="30" t="s">
        <v>391</v>
      </c>
      <c r="T259" s="32" t="e">
        <f>T246/COUNTIF(C250:C633,"&gt;0")</f>
        <v>#DIV/0!</v>
      </c>
      <c r="U259" s="32">
        <f>MAX(C250:C633)</f>
        <v>0</v>
      </c>
    </row>
    <row r="260" spans="1:21" x14ac:dyDescent="0.25">
      <c r="A260" s="134">
        <v>41423</v>
      </c>
      <c r="B260" s="32"/>
      <c r="C260" s="32"/>
      <c r="D260" s="32"/>
      <c r="E260" s="32"/>
      <c r="F260" s="32">
        <f t="shared" si="28"/>
        <v>0</v>
      </c>
      <c r="G260" s="30" t="str">
        <f t="shared" ca="1" si="29"/>
        <v>History</v>
      </c>
      <c r="H260" s="30">
        <f t="shared" si="30"/>
        <v>2013</v>
      </c>
      <c r="I260" s="30">
        <f t="shared" si="31"/>
        <v>5</v>
      </c>
      <c r="J260" s="30">
        <f t="shared" si="25"/>
        <v>22</v>
      </c>
      <c r="K260" s="30">
        <v>1</v>
      </c>
      <c r="L260" s="30">
        <f ca="1">SUM(K260:OFFSET(RngToDay,ROWS(Dates),10))</f>
        <v>241</v>
      </c>
      <c r="M260" s="32" t="str">
        <f ca="1">IF(B260="","",SUM(C260:OFFSET(C260,-SafetyStock!$B$4+1,0)))</f>
        <v/>
      </c>
      <c r="N260" s="32" t="e">
        <f t="shared" ca="1" si="26"/>
        <v>#DIV/0!</v>
      </c>
      <c r="O260" s="30">
        <f t="shared" ref="O260:O323" si="32">O259+1</f>
        <v>260</v>
      </c>
      <c r="P260" s="32">
        <f t="shared" ca="1" si="27"/>
        <v>0</v>
      </c>
      <c r="Q260" s="32">
        <f ca="1">IF(LeadTime=0,P260,IF(AND(SUM(Q259:OFFSET(Q260,-LeadTime,0))=0,P260&gt;0),MAX(P260:OFFSET(P260,-LeadTime+1,0)),0))</f>
        <v>0</v>
      </c>
      <c r="S260" s="30" t="s">
        <v>395</v>
      </c>
      <c r="T260" s="126" t="e">
        <f ca="1">COUNTA(A250:A633)/COUNTIF(C250:C633,"&gt;0")</f>
        <v>#DIV/0!</v>
      </c>
    </row>
    <row r="261" spans="1:21" x14ac:dyDescent="0.25">
      <c r="A261" s="134">
        <v>41422</v>
      </c>
      <c r="B261" s="32"/>
      <c r="C261" s="32"/>
      <c r="D261" s="32"/>
      <c r="E261" s="32"/>
      <c r="F261" s="32">
        <f t="shared" si="28"/>
        <v>0</v>
      </c>
      <c r="G261" s="30" t="str">
        <f t="shared" ca="1" si="29"/>
        <v>History</v>
      </c>
      <c r="H261" s="30">
        <f t="shared" si="30"/>
        <v>2013</v>
      </c>
      <c r="I261" s="30">
        <f t="shared" si="31"/>
        <v>5</v>
      </c>
      <c r="J261" s="30">
        <f t="shared" si="25"/>
        <v>22</v>
      </c>
      <c r="K261" s="30">
        <v>1</v>
      </c>
      <c r="L261" s="30">
        <f ca="1">SUM(K261:OFFSET(RngToDay,ROWS(Dates),10))</f>
        <v>240</v>
      </c>
      <c r="M261" s="32" t="str">
        <f ca="1">IF(B261="","",SUM(C261:OFFSET(C261,-SafetyStock!$B$4+1,0)))</f>
        <v/>
      </c>
      <c r="N261" s="32" t="e">
        <f t="shared" ca="1" si="26"/>
        <v>#DIV/0!</v>
      </c>
      <c r="O261" s="30">
        <f t="shared" si="32"/>
        <v>261</v>
      </c>
      <c r="P261" s="32">
        <f t="shared" ca="1" si="27"/>
        <v>0</v>
      </c>
      <c r="Q261" s="32">
        <f ca="1">IF(LeadTime=0,P261,IF(AND(SUM(Q260:OFFSET(Q261,-LeadTime,0))=0,P261&gt;0),MAX(P261:OFFSET(P261,-LeadTime+1,0)),0))</f>
        <v>0</v>
      </c>
      <c r="S261" s="30" t="s">
        <v>399</v>
      </c>
      <c r="T261" s="32" t="e">
        <f>SUM(C2:C249)/COUNTIF(C2:C249,"&gt;0")</f>
        <v>#DIV/0!</v>
      </c>
      <c r="U261" s="32">
        <f>MAX(C2:C249)</f>
        <v>0</v>
      </c>
    </row>
    <row r="262" spans="1:21" x14ac:dyDescent="0.25">
      <c r="A262" s="134">
        <v>41421</v>
      </c>
      <c r="B262" s="32"/>
      <c r="C262" s="32"/>
      <c r="D262" s="32"/>
      <c r="E262" s="32"/>
      <c r="F262" s="32">
        <f t="shared" si="28"/>
        <v>0</v>
      </c>
      <c r="G262" s="30" t="str">
        <f t="shared" ca="1" si="29"/>
        <v>History</v>
      </c>
      <c r="H262" s="30">
        <f t="shared" si="30"/>
        <v>2013</v>
      </c>
      <c r="I262" s="30">
        <f t="shared" si="31"/>
        <v>5</v>
      </c>
      <c r="J262" s="30">
        <f t="shared" si="25"/>
        <v>22</v>
      </c>
      <c r="K262" s="30">
        <v>1</v>
      </c>
      <c r="L262" s="30">
        <f ca="1">SUM(K262:OFFSET(RngToDay,ROWS(Dates),10))</f>
        <v>239</v>
      </c>
      <c r="M262" s="32" t="str">
        <f ca="1">IF(B262="","",SUM(C262:OFFSET(C262,-SafetyStock!$B$4+1,0)))</f>
        <v/>
      </c>
      <c r="N262" s="32" t="e">
        <f t="shared" ca="1" si="26"/>
        <v>#DIV/0!</v>
      </c>
      <c r="O262" s="30">
        <f t="shared" si="32"/>
        <v>262</v>
      </c>
      <c r="P262" s="32">
        <f t="shared" ca="1" si="27"/>
        <v>0</v>
      </c>
      <c r="Q262" s="32">
        <f ca="1">IF(LeadTime=0,P262,IF(AND(SUM(Q261:OFFSET(Q262,-LeadTime,0))=0,P262&gt;0),MAX(P262:OFFSET(P262,-LeadTime+1,0)),0))</f>
        <v>0</v>
      </c>
      <c r="S262" s="30" t="s">
        <v>403</v>
      </c>
      <c r="T262" s="126" t="e">
        <f>COUNTA(C20:C249)/COUNTIF(C20:C249,"&gt;0")</f>
        <v>#DIV/0!</v>
      </c>
    </row>
    <row r="263" spans="1:21" x14ac:dyDescent="0.25">
      <c r="A263" s="134">
        <v>41418</v>
      </c>
      <c r="B263" s="32"/>
      <c r="C263" s="32"/>
      <c r="D263" s="32"/>
      <c r="E263" s="32"/>
      <c r="F263" s="32">
        <f t="shared" si="28"/>
        <v>0</v>
      </c>
      <c r="G263" s="30" t="str">
        <f t="shared" ca="1" si="29"/>
        <v>History</v>
      </c>
      <c r="H263" s="30">
        <f t="shared" si="30"/>
        <v>2013</v>
      </c>
      <c r="I263" s="30">
        <f t="shared" si="31"/>
        <v>5</v>
      </c>
      <c r="J263" s="30">
        <f t="shared" si="25"/>
        <v>21</v>
      </c>
      <c r="K263" s="30">
        <v>1</v>
      </c>
      <c r="L263" s="30">
        <f ca="1">SUM(K263:OFFSET(RngToDay,ROWS(Dates),10))</f>
        <v>238</v>
      </c>
      <c r="M263" s="32" t="str">
        <f ca="1">IF(B263="","",SUM(C263:OFFSET(C263,-SafetyStock!$B$4+1,0)))</f>
        <v/>
      </c>
      <c r="N263" s="32" t="e">
        <f t="shared" ca="1" si="26"/>
        <v>#DIV/0!</v>
      </c>
      <c r="O263" s="30">
        <f t="shared" si="32"/>
        <v>263</v>
      </c>
      <c r="P263" s="32">
        <f t="shared" ca="1" si="27"/>
        <v>0</v>
      </c>
      <c r="Q263" s="32">
        <f ca="1">IF(LeadTime=0,P263,IF(AND(SUM(Q262:OFFSET(Q263,-LeadTime,0))=0,P263&gt;0),MAX(P263:OFFSET(P263,-LeadTime+1,0)),0))</f>
        <v>0</v>
      </c>
      <c r="S263" s="30" t="s">
        <v>400</v>
      </c>
      <c r="T263" s="129">
        <f ca="1">T272</f>
        <v>1</v>
      </c>
      <c r="U263" s="141">
        <f ca="1">1-(SUM(Q250:Q633)/LeadTime/T246)</f>
        <v>1</v>
      </c>
    </row>
    <row r="264" spans="1:21" x14ac:dyDescent="0.25">
      <c r="A264" s="134">
        <v>41417</v>
      </c>
      <c r="B264" s="32"/>
      <c r="C264" s="32"/>
      <c r="D264" s="32"/>
      <c r="E264" s="32"/>
      <c r="F264" s="32">
        <f t="shared" si="28"/>
        <v>0</v>
      </c>
      <c r="G264" s="30" t="str">
        <f t="shared" ca="1" si="29"/>
        <v>History</v>
      </c>
      <c r="H264" s="30">
        <f t="shared" si="30"/>
        <v>2013</v>
      </c>
      <c r="I264" s="30">
        <f t="shared" si="31"/>
        <v>5</v>
      </c>
      <c r="J264" s="30">
        <f t="shared" si="25"/>
        <v>21</v>
      </c>
      <c r="K264" s="30">
        <v>1</v>
      </c>
      <c r="L264" s="30">
        <f ca="1">SUM(K264:OFFSET(RngToDay,ROWS(Dates),10))</f>
        <v>237</v>
      </c>
      <c r="M264" s="32" t="str">
        <f ca="1">IF(B264="","",SUM(C264:OFFSET(C264,-SafetyStock!$B$4+1,0)))</f>
        <v/>
      </c>
      <c r="N264" s="32" t="e">
        <f t="shared" ca="1" si="26"/>
        <v>#DIV/0!</v>
      </c>
      <c r="O264" s="30">
        <f t="shared" si="32"/>
        <v>264</v>
      </c>
      <c r="P264" s="32">
        <f t="shared" ca="1" si="27"/>
        <v>0</v>
      </c>
      <c r="Q264" s="32">
        <f ca="1">IF(LeadTime=0,P264,IF(AND(SUM(Q263:OFFSET(Q264,-LeadTime,0))=0,P264&gt;0),MAX(P264:OFFSET(P264,-LeadTime+1,0)),0))</f>
        <v>0</v>
      </c>
      <c r="S264" s="30" t="s">
        <v>500</v>
      </c>
      <c r="T264" s="142">
        <f>1-T256</f>
        <v>1.0000000000000009E-2</v>
      </c>
    </row>
    <row r="265" spans="1:21" x14ac:dyDescent="0.25">
      <c r="A265" s="134">
        <v>41416</v>
      </c>
      <c r="B265" s="32"/>
      <c r="C265" s="32"/>
      <c r="D265" s="32"/>
      <c r="E265" s="32"/>
      <c r="F265" s="32">
        <f t="shared" si="28"/>
        <v>0</v>
      </c>
      <c r="G265" s="30" t="str">
        <f t="shared" ca="1" si="29"/>
        <v>History</v>
      </c>
      <c r="H265" s="30">
        <f t="shared" si="30"/>
        <v>2013</v>
      </c>
      <c r="I265" s="30">
        <f t="shared" si="31"/>
        <v>5</v>
      </c>
      <c r="J265" s="30">
        <f t="shared" si="25"/>
        <v>21</v>
      </c>
      <c r="K265" s="30">
        <v>1</v>
      </c>
      <c r="L265" s="30">
        <f ca="1">SUM(K265:OFFSET(RngToDay,ROWS(Dates),10))</f>
        <v>236</v>
      </c>
      <c r="M265" s="32" t="str">
        <f ca="1">IF(B265="","",SUM(C265:OFFSET(C265,-SafetyStock!$B$4+1,0)))</f>
        <v/>
      </c>
      <c r="N265" s="32" t="e">
        <f t="shared" ca="1" si="26"/>
        <v>#DIV/0!</v>
      </c>
      <c r="O265" s="30">
        <f t="shared" si="32"/>
        <v>265</v>
      </c>
      <c r="P265" s="32">
        <f t="shared" ca="1" si="27"/>
        <v>0</v>
      </c>
      <c r="Q265" s="32">
        <f ca="1">IF(LeadTime=0,P265,IF(AND(SUM(Q264:OFFSET(Q265,-LeadTime,0))=0,P265&gt;0),MAX(P265:OFFSET(P265,-LeadTime+1,0)),0))</f>
        <v>0</v>
      </c>
      <c r="S265" s="30" t="s">
        <v>501</v>
      </c>
      <c r="T265" s="126">
        <f>(1-T256)*NumbDays</f>
        <v>2.490000000000002</v>
      </c>
      <c r="U265" s="30">
        <f ca="1">COUNTIF(P250:P633,"&gt;0")</f>
        <v>0</v>
      </c>
    </row>
    <row r="266" spans="1:21" x14ac:dyDescent="0.25">
      <c r="A266" s="134">
        <v>41415</v>
      </c>
      <c r="B266" s="32"/>
      <c r="C266" s="32"/>
      <c r="D266" s="32"/>
      <c r="E266" s="32"/>
      <c r="F266" s="32">
        <f t="shared" si="28"/>
        <v>0</v>
      </c>
      <c r="G266" s="30" t="str">
        <f t="shared" ca="1" si="29"/>
        <v>History</v>
      </c>
      <c r="H266" s="30">
        <f t="shared" si="30"/>
        <v>2013</v>
      </c>
      <c r="I266" s="30">
        <f t="shared" si="31"/>
        <v>5</v>
      </c>
      <c r="J266" s="30">
        <f t="shared" si="25"/>
        <v>21</v>
      </c>
      <c r="K266" s="30">
        <v>1</v>
      </c>
      <c r="L266" s="30">
        <f ca="1">SUM(K266:OFFSET(RngToDay,ROWS(Dates),10))</f>
        <v>235</v>
      </c>
      <c r="M266" s="32" t="str">
        <f ca="1">IF(B266="","",SUM(C266:OFFSET(C266,-SafetyStock!$B$4+1,0)))</f>
        <v/>
      </c>
      <c r="N266" s="32" t="e">
        <f t="shared" ca="1" si="26"/>
        <v>#DIV/0!</v>
      </c>
      <c r="O266" s="30">
        <f t="shared" si="32"/>
        <v>266</v>
      </c>
      <c r="P266" s="32">
        <f t="shared" ca="1" si="27"/>
        <v>0</v>
      </c>
      <c r="Q266" s="32">
        <f ca="1">IF(LeadTime=0,P266,IF(AND(SUM(Q265:OFFSET(Q266,-LeadTime,0))=0,P266&gt;0),MAX(P266:OFFSET(P266,-LeadTime+1,0)),0))</f>
        <v>0</v>
      </c>
      <c r="T266" s="143"/>
    </row>
    <row r="267" spans="1:21" x14ac:dyDescent="0.25">
      <c r="A267" s="134">
        <v>41410</v>
      </c>
      <c r="B267" s="32"/>
      <c r="C267" s="32"/>
      <c r="D267" s="32"/>
      <c r="E267" s="32"/>
      <c r="F267" s="32">
        <f t="shared" si="28"/>
        <v>0</v>
      </c>
      <c r="G267" s="30" t="str">
        <f t="shared" ca="1" si="29"/>
        <v>History</v>
      </c>
      <c r="H267" s="30">
        <f t="shared" si="30"/>
        <v>2013</v>
      </c>
      <c r="I267" s="30">
        <f t="shared" si="31"/>
        <v>5</v>
      </c>
      <c r="J267" s="30">
        <f t="shared" si="25"/>
        <v>20</v>
      </c>
      <c r="K267" s="30">
        <v>1</v>
      </c>
      <c r="L267" s="30">
        <f ca="1">SUM(K267:OFFSET(RngToDay,ROWS(Dates),10))</f>
        <v>234</v>
      </c>
      <c r="M267" s="32" t="str">
        <f ca="1">IF(B267="","",SUM(C267:OFFSET(C267,-SafetyStock!$B$4+1,0)))</f>
        <v/>
      </c>
      <c r="N267" s="32" t="e">
        <f t="shared" ca="1" si="26"/>
        <v>#DIV/0!</v>
      </c>
      <c r="O267" s="30">
        <f t="shared" si="32"/>
        <v>267</v>
      </c>
      <c r="P267" s="32">
        <f t="shared" ca="1" si="27"/>
        <v>0</v>
      </c>
      <c r="Q267" s="32">
        <f ca="1">IF(LeadTime=0,P267,IF(AND(SUM(Q266:OFFSET(Q267,-LeadTime,0))=0,P267&gt;0),MAX(P267:OFFSET(P267,-LeadTime+1,0)),0))</f>
        <v>0</v>
      </c>
      <c r="S267" s="30" t="s">
        <v>502</v>
      </c>
      <c r="T267" s="126">
        <f>IF(LeadTime=0,NumbDays,NumbDays/LeadTime)</f>
        <v>49.8</v>
      </c>
    </row>
    <row r="268" spans="1:21" x14ac:dyDescent="0.25">
      <c r="A268" s="134">
        <v>41409</v>
      </c>
      <c r="B268" s="32"/>
      <c r="C268" s="32"/>
      <c r="D268" s="32"/>
      <c r="E268" s="32"/>
      <c r="F268" s="32">
        <f t="shared" si="28"/>
        <v>0</v>
      </c>
      <c r="G268" s="30" t="str">
        <f t="shared" ca="1" si="29"/>
        <v>History</v>
      </c>
      <c r="H268" s="30">
        <f t="shared" si="30"/>
        <v>2013</v>
      </c>
      <c r="I268" s="30">
        <f t="shared" si="31"/>
        <v>5</v>
      </c>
      <c r="J268" s="30">
        <f t="shared" si="25"/>
        <v>20</v>
      </c>
      <c r="K268" s="30">
        <v>1</v>
      </c>
      <c r="L268" s="30">
        <f ca="1">SUM(K268:OFFSET(RngToDay,ROWS(Dates),10))</f>
        <v>233</v>
      </c>
      <c r="M268" s="32" t="str">
        <f ca="1">IF(B268="","",SUM(C268:OFFSET(C268,-SafetyStock!$B$4+1,0)))</f>
        <v/>
      </c>
      <c r="N268" s="32" t="e">
        <f t="shared" ca="1" si="26"/>
        <v>#DIV/0!</v>
      </c>
      <c r="O268" s="30">
        <f t="shared" si="32"/>
        <v>268</v>
      </c>
      <c r="P268" s="32">
        <f t="shared" ca="1" si="27"/>
        <v>0</v>
      </c>
      <c r="Q268" s="32">
        <f ca="1">IF(LeadTime=0,P268,IF(AND(SUM(Q267:OFFSET(Q268,-LeadTime,0))=0,P268&gt;0),MAX(P268:OFFSET(P268,-LeadTime+1,0)),0))</f>
        <v>0</v>
      </c>
      <c r="S268" s="30" t="s">
        <v>503</v>
      </c>
      <c r="T268" s="143">
        <f>SafetyStock!B5</f>
        <v>24</v>
      </c>
    </row>
    <row r="269" spans="1:21" x14ac:dyDescent="0.25">
      <c r="A269" s="134">
        <v>41408</v>
      </c>
      <c r="B269" s="32"/>
      <c r="C269" s="32"/>
      <c r="D269" s="32"/>
      <c r="E269" s="32"/>
      <c r="F269" s="32">
        <f t="shared" si="28"/>
        <v>0</v>
      </c>
      <c r="G269" s="30" t="str">
        <f t="shared" ca="1" si="29"/>
        <v>History</v>
      </c>
      <c r="H269" s="30">
        <f t="shared" si="30"/>
        <v>2013</v>
      </c>
      <c r="I269" s="30">
        <f t="shared" si="31"/>
        <v>5</v>
      </c>
      <c r="J269" s="30">
        <f t="shared" si="25"/>
        <v>20</v>
      </c>
      <c r="K269" s="30">
        <v>1</v>
      </c>
      <c r="L269" s="30">
        <f ca="1">SUM(K269:OFFSET(RngToDay,ROWS(Dates),10))</f>
        <v>232</v>
      </c>
      <c r="M269" s="32" t="str">
        <f ca="1">IF(B269="","",SUM(C269:OFFSET(C269,-SafetyStock!$B$4+1,0)))</f>
        <v/>
      </c>
      <c r="N269" s="32" t="e">
        <f t="shared" ca="1" si="26"/>
        <v>#DIV/0!</v>
      </c>
      <c r="O269" s="30">
        <f t="shared" si="32"/>
        <v>269</v>
      </c>
      <c r="P269" s="32">
        <f t="shared" ca="1" si="27"/>
        <v>0</v>
      </c>
      <c r="Q269" s="32">
        <f ca="1">IF(LeadTime=0,P269,IF(AND(SUM(Q268:OFFSET(Q269,-LeadTime,0))=0,P269&gt;0),MAX(P269:OFFSET(P269,-LeadTime+1,0)),0))</f>
        <v>0</v>
      </c>
      <c r="S269" s="30" t="s">
        <v>504</v>
      </c>
      <c r="T269" s="144">
        <f>T268*(1-T256)</f>
        <v>0.24000000000000021</v>
      </c>
    </row>
    <row r="270" spans="1:21" x14ac:dyDescent="0.25">
      <c r="A270" s="134">
        <v>41407</v>
      </c>
      <c r="B270" s="32"/>
      <c r="C270" s="32"/>
      <c r="D270" s="32"/>
      <c r="E270" s="32"/>
      <c r="F270" s="32">
        <f t="shared" si="28"/>
        <v>0</v>
      </c>
      <c r="G270" s="30" t="str">
        <f t="shared" ca="1" si="29"/>
        <v>History</v>
      </c>
      <c r="H270" s="30">
        <f t="shared" si="30"/>
        <v>2013</v>
      </c>
      <c r="I270" s="30">
        <f t="shared" si="31"/>
        <v>5</v>
      </c>
      <c r="J270" s="30">
        <f t="shared" si="25"/>
        <v>20</v>
      </c>
      <c r="K270" s="30">
        <v>1</v>
      </c>
      <c r="L270" s="30">
        <f ca="1">SUM(K270:OFFSET(RngToDay,ROWS(Dates),10))</f>
        <v>231</v>
      </c>
      <c r="M270" s="32" t="str">
        <f ca="1">IF(B270="","",SUM(C270:OFFSET(C270,-SafetyStock!$B$4+1,0)))</f>
        <v/>
      </c>
      <c r="N270" s="32" t="e">
        <f t="shared" ca="1" si="26"/>
        <v>#DIV/0!</v>
      </c>
      <c r="O270" s="30">
        <f t="shared" si="32"/>
        <v>270</v>
      </c>
      <c r="P270" s="32">
        <f t="shared" ca="1" si="27"/>
        <v>0</v>
      </c>
      <c r="Q270" s="32">
        <f ca="1">IF(LeadTime=0,P270,IF(AND(SUM(Q269:OFFSET(Q270,-LeadTime,0))=0,P270&gt;0),MAX(P270:OFFSET(P270,-LeadTime+1,0)),0))</f>
        <v>0</v>
      </c>
      <c r="S270" s="30" t="s">
        <v>505</v>
      </c>
      <c r="T270" s="126">
        <f ca="1">IF(COUNTIF(P250:P633,"&gt;0")=0,0,SUM(P250:P633)/COUNTIF(P250:P633,"&gt;0"))</f>
        <v>0</v>
      </c>
    </row>
    <row r="271" spans="1:21" x14ac:dyDescent="0.25">
      <c r="A271" s="134">
        <v>41404</v>
      </c>
      <c r="B271" s="32"/>
      <c r="C271" s="32"/>
      <c r="D271" s="32"/>
      <c r="E271" s="32"/>
      <c r="F271" s="32">
        <f t="shared" si="28"/>
        <v>0</v>
      </c>
      <c r="G271" s="30" t="str">
        <f t="shared" ca="1" si="29"/>
        <v>History</v>
      </c>
      <c r="H271" s="30">
        <f t="shared" si="30"/>
        <v>2013</v>
      </c>
      <c r="I271" s="30">
        <f t="shared" si="31"/>
        <v>5</v>
      </c>
      <c r="J271" s="30">
        <f t="shared" si="25"/>
        <v>19</v>
      </c>
      <c r="K271" s="30">
        <v>1</v>
      </c>
      <c r="L271" s="30">
        <f ca="1">SUM(K271:OFFSET(RngToDay,ROWS(Dates),10))</f>
        <v>230</v>
      </c>
      <c r="M271" s="32" t="str">
        <f ca="1">IF(B271="","",SUM(C271:OFFSET(C271,-SafetyStock!$B$4+1,0)))</f>
        <v/>
      </c>
      <c r="N271" s="32" t="e">
        <f t="shared" ca="1" si="26"/>
        <v>#DIV/0!</v>
      </c>
      <c r="O271" s="30">
        <f t="shared" si="32"/>
        <v>271</v>
      </c>
      <c r="P271" s="32">
        <f t="shared" ca="1" si="27"/>
        <v>0</v>
      </c>
      <c r="Q271" s="32">
        <f ca="1">IF(LeadTime=0,P271,IF(AND(SUM(Q270:OFFSET(Q271,-LeadTime,0))=0,P271&gt;0),MAX(P271:OFFSET(P271,-LeadTime+1,0)),0))</f>
        <v>0</v>
      </c>
      <c r="S271" s="30" t="s">
        <v>506</v>
      </c>
      <c r="T271" s="126">
        <f ca="1">T270*T269</f>
        <v>0</v>
      </c>
    </row>
    <row r="272" spans="1:21" x14ac:dyDescent="0.25">
      <c r="A272" s="134">
        <v>41402</v>
      </c>
      <c r="B272" s="32"/>
      <c r="C272" s="32"/>
      <c r="D272" s="32"/>
      <c r="E272" s="32"/>
      <c r="F272" s="32">
        <f t="shared" si="28"/>
        <v>0</v>
      </c>
      <c r="G272" s="30" t="str">
        <f t="shared" ca="1" si="29"/>
        <v>History</v>
      </c>
      <c r="H272" s="30">
        <f t="shared" si="30"/>
        <v>2013</v>
      </c>
      <c r="I272" s="30">
        <f t="shared" si="31"/>
        <v>5</v>
      </c>
      <c r="J272" s="30">
        <f t="shared" si="25"/>
        <v>19</v>
      </c>
      <c r="K272" s="30">
        <v>1</v>
      </c>
      <c r="L272" s="30">
        <f ca="1">SUM(K272:OFFSET(RngToDay,ROWS(Dates),10))</f>
        <v>229</v>
      </c>
      <c r="M272" s="32" t="str">
        <f ca="1">IF(B272="","",SUM(C272:OFFSET(C272,-SafetyStock!$B$4+1,0)))</f>
        <v/>
      </c>
      <c r="N272" s="32" t="e">
        <f t="shared" ca="1" si="26"/>
        <v>#DIV/0!</v>
      </c>
      <c r="O272" s="30">
        <f t="shared" si="32"/>
        <v>272</v>
      </c>
      <c r="P272" s="32">
        <f t="shared" ca="1" si="27"/>
        <v>0</v>
      </c>
      <c r="Q272" s="32">
        <f ca="1">IF(LeadTime=0,P272,IF(AND(SUM(Q271:OFFSET(Q272,-LeadTime,0))=0,P272&gt;0),MAX(P272:OFFSET(P272,-LeadTime+1,0)),0))</f>
        <v>0</v>
      </c>
      <c r="S272" s="30" t="s">
        <v>400</v>
      </c>
      <c r="T272" s="129">
        <f ca="1">1-T271/T246</f>
        <v>1</v>
      </c>
    </row>
    <row r="273" spans="1:17" x14ac:dyDescent="0.25">
      <c r="A273" s="134">
        <v>41401</v>
      </c>
      <c r="B273" s="32"/>
      <c r="C273" s="32"/>
      <c r="D273" s="32"/>
      <c r="E273" s="32"/>
      <c r="F273" s="32">
        <f t="shared" si="28"/>
        <v>0</v>
      </c>
      <c r="G273" s="30" t="str">
        <f t="shared" ca="1" si="29"/>
        <v>History</v>
      </c>
      <c r="H273" s="30">
        <f t="shared" si="30"/>
        <v>2013</v>
      </c>
      <c r="I273" s="30">
        <f t="shared" si="31"/>
        <v>5</v>
      </c>
      <c r="J273" s="30">
        <f t="shared" si="25"/>
        <v>19</v>
      </c>
      <c r="K273" s="30">
        <v>1</v>
      </c>
      <c r="L273" s="30">
        <f ca="1">SUM(K273:OFFSET(RngToDay,ROWS(Dates),10))</f>
        <v>228</v>
      </c>
      <c r="M273" s="32" t="str">
        <f ca="1">IF(B273="","",SUM(C273:OFFSET(C273,-SafetyStock!$B$4+1,0)))</f>
        <v/>
      </c>
      <c r="N273" s="32" t="e">
        <f t="shared" ca="1" si="26"/>
        <v>#DIV/0!</v>
      </c>
      <c r="O273" s="30">
        <f t="shared" si="32"/>
        <v>273</v>
      </c>
      <c r="P273" s="32">
        <f t="shared" ca="1" si="27"/>
        <v>0</v>
      </c>
      <c r="Q273" s="32">
        <f ca="1">IF(LeadTime=0,P273,IF(AND(SUM(Q272:OFFSET(Q273,-LeadTime,0))=0,P273&gt;0),MAX(P273:OFFSET(P273,-LeadTime+1,0)),0))</f>
        <v>0</v>
      </c>
    </row>
    <row r="274" spans="1:17" x14ac:dyDescent="0.25">
      <c r="A274" s="134">
        <v>41400</v>
      </c>
      <c r="B274" s="32"/>
      <c r="C274" s="32"/>
      <c r="D274" s="32"/>
      <c r="E274" s="32"/>
      <c r="F274" s="32">
        <f t="shared" si="28"/>
        <v>0</v>
      </c>
      <c r="G274" s="30" t="str">
        <f t="shared" ca="1" si="29"/>
        <v>History</v>
      </c>
      <c r="H274" s="30">
        <f t="shared" si="30"/>
        <v>2013</v>
      </c>
      <c r="I274" s="30">
        <f t="shared" si="31"/>
        <v>5</v>
      </c>
      <c r="J274" s="30">
        <f t="shared" si="25"/>
        <v>19</v>
      </c>
      <c r="K274" s="30">
        <v>1</v>
      </c>
      <c r="L274" s="30">
        <f ca="1">SUM(K274:OFFSET(RngToDay,ROWS(Dates),10))</f>
        <v>227</v>
      </c>
      <c r="M274" s="32" t="str">
        <f ca="1">IF(B274="","",SUM(C274:OFFSET(C274,-SafetyStock!$B$4+1,0)))</f>
        <v/>
      </c>
      <c r="N274" s="32" t="e">
        <f t="shared" ca="1" si="26"/>
        <v>#DIV/0!</v>
      </c>
      <c r="O274" s="30">
        <f t="shared" si="32"/>
        <v>274</v>
      </c>
      <c r="P274" s="32">
        <f t="shared" ca="1" si="27"/>
        <v>0</v>
      </c>
      <c r="Q274" s="32">
        <f ca="1">IF(LeadTime=0,P274,IF(AND(SUM(Q273:OFFSET(Q274,-LeadTime,0))=0,P274&gt;0),MAX(P274:OFFSET(P274,-LeadTime+1,0)),0))</f>
        <v>0</v>
      </c>
    </row>
    <row r="275" spans="1:17" x14ac:dyDescent="0.25">
      <c r="A275" s="134">
        <v>41397</v>
      </c>
      <c r="B275" s="32"/>
      <c r="C275" s="32"/>
      <c r="D275" s="32"/>
      <c r="E275" s="32"/>
      <c r="F275" s="32">
        <f t="shared" si="28"/>
        <v>0</v>
      </c>
      <c r="G275" s="30" t="str">
        <f t="shared" ca="1" si="29"/>
        <v>History</v>
      </c>
      <c r="H275" s="30">
        <f t="shared" si="30"/>
        <v>2013</v>
      </c>
      <c r="I275" s="30">
        <f t="shared" si="31"/>
        <v>5</v>
      </c>
      <c r="J275" s="30">
        <f t="shared" si="25"/>
        <v>18</v>
      </c>
      <c r="K275" s="30">
        <v>1</v>
      </c>
      <c r="L275" s="30">
        <f ca="1">SUM(K275:OFFSET(RngToDay,ROWS(Dates),10))</f>
        <v>226</v>
      </c>
      <c r="M275" s="32" t="str">
        <f ca="1">IF(B275="","",SUM(C275:OFFSET(C275,-SafetyStock!$B$4+1,0)))</f>
        <v/>
      </c>
      <c r="N275" s="32" t="e">
        <f t="shared" ca="1" si="26"/>
        <v>#DIV/0!</v>
      </c>
      <c r="O275" s="30">
        <f t="shared" si="32"/>
        <v>275</v>
      </c>
      <c r="P275" s="32">
        <f t="shared" ca="1" si="27"/>
        <v>0</v>
      </c>
      <c r="Q275" s="32">
        <f ca="1">IF(LeadTime=0,P275,IF(AND(SUM(Q274:OFFSET(Q275,-LeadTime,0))=0,P275&gt;0),MAX(P275:OFFSET(P275,-LeadTime+1,0)),0))</f>
        <v>0</v>
      </c>
    </row>
    <row r="276" spans="1:17" x14ac:dyDescent="0.25">
      <c r="A276" s="134">
        <v>41396</v>
      </c>
      <c r="B276" s="32"/>
      <c r="C276" s="32"/>
      <c r="D276" s="32"/>
      <c r="E276" s="32"/>
      <c r="F276" s="32">
        <f t="shared" si="28"/>
        <v>0</v>
      </c>
      <c r="G276" s="30" t="str">
        <f t="shared" ca="1" si="29"/>
        <v>History</v>
      </c>
      <c r="H276" s="30">
        <f t="shared" si="30"/>
        <v>2013</v>
      </c>
      <c r="I276" s="30">
        <f t="shared" si="31"/>
        <v>5</v>
      </c>
      <c r="J276" s="30">
        <f t="shared" si="25"/>
        <v>18</v>
      </c>
      <c r="K276" s="30">
        <v>1</v>
      </c>
      <c r="L276" s="30">
        <f ca="1">SUM(K276:OFFSET(RngToDay,ROWS(Dates),10))</f>
        <v>225</v>
      </c>
      <c r="M276" s="32" t="str">
        <f ca="1">IF(B276="","",SUM(C276:OFFSET(C276,-SafetyStock!$B$4+1,0)))</f>
        <v/>
      </c>
      <c r="N276" s="32" t="e">
        <f t="shared" ca="1" si="26"/>
        <v>#DIV/0!</v>
      </c>
      <c r="O276" s="30">
        <f t="shared" si="32"/>
        <v>276</v>
      </c>
      <c r="P276" s="32">
        <f t="shared" ca="1" si="27"/>
        <v>0</v>
      </c>
      <c r="Q276" s="32">
        <f ca="1">IF(LeadTime=0,P276,IF(AND(SUM(Q275:OFFSET(Q276,-LeadTime,0))=0,P276&gt;0),MAX(P276:OFFSET(P276,-LeadTime+1,0)),0))</f>
        <v>0</v>
      </c>
    </row>
    <row r="277" spans="1:17" x14ac:dyDescent="0.25">
      <c r="A277" s="134">
        <v>41394</v>
      </c>
      <c r="B277" s="32"/>
      <c r="C277" s="32"/>
      <c r="D277" s="32"/>
      <c r="E277" s="32"/>
      <c r="F277" s="32">
        <f t="shared" si="28"/>
        <v>0</v>
      </c>
      <c r="G277" s="30" t="str">
        <f t="shared" ca="1" si="29"/>
        <v>History</v>
      </c>
      <c r="H277" s="30">
        <f t="shared" si="30"/>
        <v>2013</v>
      </c>
      <c r="I277" s="30">
        <f t="shared" si="31"/>
        <v>4</v>
      </c>
      <c r="J277" s="30">
        <f t="shared" si="25"/>
        <v>18</v>
      </c>
      <c r="K277" s="30">
        <v>1</v>
      </c>
      <c r="L277" s="30">
        <f ca="1">SUM(K277:OFFSET(RngToDay,ROWS(Dates),10))</f>
        <v>224</v>
      </c>
      <c r="M277" s="32" t="str">
        <f ca="1">IF(B277="","",SUM(C277:OFFSET(C277,-SafetyStock!$B$4+1,0)))</f>
        <v/>
      </c>
      <c r="N277" s="32" t="e">
        <f t="shared" ca="1" si="26"/>
        <v>#DIV/0!</v>
      </c>
      <c r="O277" s="30">
        <f t="shared" si="32"/>
        <v>277</v>
      </c>
      <c r="P277" s="32">
        <f t="shared" ca="1" si="27"/>
        <v>0</v>
      </c>
      <c r="Q277" s="32">
        <f ca="1">IF(LeadTime=0,P277,IF(AND(SUM(Q276:OFFSET(Q277,-LeadTime,0))=0,P277&gt;0),MAX(P277:OFFSET(P277,-LeadTime+1,0)),0))</f>
        <v>0</v>
      </c>
    </row>
    <row r="278" spans="1:17" x14ac:dyDescent="0.25">
      <c r="A278" s="134">
        <v>41393</v>
      </c>
      <c r="B278" s="32"/>
      <c r="C278" s="32"/>
      <c r="D278" s="32"/>
      <c r="E278" s="32"/>
      <c r="F278" s="32">
        <f t="shared" si="28"/>
        <v>0</v>
      </c>
      <c r="G278" s="30" t="str">
        <f t="shared" ca="1" si="29"/>
        <v>History</v>
      </c>
      <c r="H278" s="30">
        <f t="shared" si="30"/>
        <v>2013</v>
      </c>
      <c r="I278" s="30">
        <f t="shared" si="31"/>
        <v>4</v>
      </c>
      <c r="J278" s="30">
        <f t="shared" si="25"/>
        <v>18</v>
      </c>
      <c r="K278" s="30">
        <v>1</v>
      </c>
      <c r="L278" s="30">
        <f ca="1">SUM(K278:OFFSET(RngToDay,ROWS(Dates),10))</f>
        <v>223</v>
      </c>
      <c r="M278" s="32" t="str">
        <f ca="1">IF(B278="","",SUM(C278:OFFSET(C278,-SafetyStock!$B$4+1,0)))</f>
        <v/>
      </c>
      <c r="N278" s="32" t="e">
        <f t="shared" ca="1" si="26"/>
        <v>#DIV/0!</v>
      </c>
      <c r="O278" s="30">
        <f t="shared" si="32"/>
        <v>278</v>
      </c>
      <c r="P278" s="32">
        <f t="shared" ca="1" si="27"/>
        <v>0</v>
      </c>
      <c r="Q278" s="32">
        <f ca="1">IF(LeadTime=0,P278,IF(AND(SUM(Q277:OFFSET(Q278,-LeadTime,0))=0,P278&gt;0),MAX(P278:OFFSET(P278,-LeadTime+1,0)),0))</f>
        <v>0</v>
      </c>
    </row>
    <row r="279" spans="1:17" x14ac:dyDescent="0.25">
      <c r="A279" s="134">
        <v>41390</v>
      </c>
      <c r="B279" s="32"/>
      <c r="C279" s="32"/>
      <c r="D279" s="32"/>
      <c r="E279" s="32"/>
      <c r="F279" s="32">
        <f t="shared" si="28"/>
        <v>0</v>
      </c>
      <c r="G279" s="30" t="str">
        <f t="shared" ca="1" si="29"/>
        <v>History</v>
      </c>
      <c r="H279" s="30">
        <f t="shared" si="30"/>
        <v>2013</v>
      </c>
      <c r="I279" s="30">
        <f t="shared" si="31"/>
        <v>4</v>
      </c>
      <c r="J279" s="30">
        <f t="shared" si="25"/>
        <v>17</v>
      </c>
      <c r="K279" s="30">
        <v>1</v>
      </c>
      <c r="L279" s="30">
        <f ca="1">SUM(K279:OFFSET(RngToDay,ROWS(Dates),10))</f>
        <v>222</v>
      </c>
      <c r="M279" s="32" t="str">
        <f ca="1">IF(B279="","",SUM(C279:OFFSET(C279,-SafetyStock!$B$4+1,0)))</f>
        <v/>
      </c>
      <c r="N279" s="32" t="e">
        <f t="shared" ca="1" si="26"/>
        <v>#DIV/0!</v>
      </c>
      <c r="O279" s="30">
        <f t="shared" si="32"/>
        <v>279</v>
      </c>
      <c r="P279" s="32">
        <f t="shared" ca="1" si="27"/>
        <v>0</v>
      </c>
      <c r="Q279" s="32">
        <f ca="1">IF(LeadTime=0,P279,IF(AND(SUM(Q278:OFFSET(Q279,-LeadTime,0))=0,P279&gt;0),MAX(P279:OFFSET(P279,-LeadTime+1,0)),0))</f>
        <v>0</v>
      </c>
    </row>
    <row r="280" spans="1:17" x14ac:dyDescent="0.25">
      <c r="A280" s="134">
        <v>41389</v>
      </c>
      <c r="B280" s="32"/>
      <c r="C280" s="32"/>
      <c r="D280" s="32"/>
      <c r="E280" s="32"/>
      <c r="F280" s="32">
        <f t="shared" si="28"/>
        <v>0</v>
      </c>
      <c r="G280" s="30" t="str">
        <f t="shared" ca="1" si="29"/>
        <v>History</v>
      </c>
      <c r="H280" s="30">
        <f t="shared" si="30"/>
        <v>2013</v>
      </c>
      <c r="I280" s="30">
        <f t="shared" si="31"/>
        <v>4</v>
      </c>
      <c r="J280" s="30">
        <f t="shared" si="25"/>
        <v>17</v>
      </c>
      <c r="K280" s="30">
        <v>1</v>
      </c>
      <c r="L280" s="30">
        <f ca="1">SUM(K280:OFFSET(RngToDay,ROWS(Dates),10))</f>
        <v>221</v>
      </c>
      <c r="M280" s="32" t="str">
        <f ca="1">IF(B280="","",SUM(C280:OFFSET(C280,-SafetyStock!$B$4+1,0)))</f>
        <v/>
      </c>
      <c r="N280" s="32" t="e">
        <f t="shared" ca="1" si="26"/>
        <v>#DIV/0!</v>
      </c>
      <c r="O280" s="30">
        <f t="shared" si="32"/>
        <v>280</v>
      </c>
      <c r="P280" s="32">
        <f t="shared" ca="1" si="27"/>
        <v>0</v>
      </c>
      <c r="Q280" s="32">
        <f ca="1">IF(LeadTime=0,P280,IF(AND(SUM(Q279:OFFSET(Q280,-LeadTime,0))=0,P280&gt;0),MAX(P280:OFFSET(P280,-LeadTime+1,0)),0))</f>
        <v>0</v>
      </c>
    </row>
    <row r="281" spans="1:17" x14ac:dyDescent="0.25">
      <c r="A281" s="134">
        <v>41388</v>
      </c>
      <c r="B281" s="32"/>
      <c r="C281" s="32"/>
      <c r="D281" s="32"/>
      <c r="E281" s="32"/>
      <c r="F281" s="32">
        <f t="shared" si="28"/>
        <v>0</v>
      </c>
      <c r="G281" s="30" t="str">
        <f t="shared" ca="1" si="29"/>
        <v>History</v>
      </c>
      <c r="H281" s="30">
        <f t="shared" si="30"/>
        <v>2013</v>
      </c>
      <c r="I281" s="30">
        <f t="shared" si="31"/>
        <v>4</v>
      </c>
      <c r="J281" s="30">
        <f t="shared" si="25"/>
        <v>17</v>
      </c>
      <c r="K281" s="30">
        <v>1</v>
      </c>
      <c r="L281" s="30">
        <f ca="1">SUM(K281:OFFSET(RngToDay,ROWS(Dates),10))</f>
        <v>220</v>
      </c>
      <c r="M281" s="32" t="str">
        <f ca="1">IF(B281="","",SUM(C281:OFFSET(C281,-SafetyStock!$B$4+1,0)))</f>
        <v/>
      </c>
      <c r="N281" s="32" t="e">
        <f t="shared" ca="1" si="26"/>
        <v>#DIV/0!</v>
      </c>
      <c r="O281" s="30">
        <f t="shared" si="32"/>
        <v>281</v>
      </c>
      <c r="P281" s="32">
        <f t="shared" ca="1" si="27"/>
        <v>0</v>
      </c>
      <c r="Q281" s="32">
        <f ca="1">IF(LeadTime=0,P281,IF(AND(SUM(Q280:OFFSET(Q281,-LeadTime,0))=0,P281&gt;0),MAX(P281:OFFSET(P281,-LeadTime+1,0)),0))</f>
        <v>0</v>
      </c>
    </row>
    <row r="282" spans="1:17" x14ac:dyDescent="0.25">
      <c r="A282" s="134">
        <v>41387</v>
      </c>
      <c r="B282" s="32"/>
      <c r="C282" s="32"/>
      <c r="D282" s="32"/>
      <c r="E282" s="32"/>
      <c r="F282" s="32">
        <f t="shared" si="28"/>
        <v>0</v>
      </c>
      <c r="G282" s="30" t="str">
        <f t="shared" ca="1" si="29"/>
        <v>History</v>
      </c>
      <c r="H282" s="30">
        <f t="shared" si="30"/>
        <v>2013</v>
      </c>
      <c r="I282" s="30">
        <f t="shared" si="31"/>
        <v>4</v>
      </c>
      <c r="J282" s="30">
        <f t="shared" si="25"/>
        <v>17</v>
      </c>
      <c r="K282" s="30">
        <v>1</v>
      </c>
      <c r="L282" s="30">
        <f ca="1">SUM(K282:OFFSET(RngToDay,ROWS(Dates),10))</f>
        <v>219</v>
      </c>
      <c r="M282" s="32" t="str">
        <f ca="1">IF(B282="","",SUM(C282:OFFSET(C282,-SafetyStock!$B$4+1,0)))</f>
        <v/>
      </c>
      <c r="N282" s="32" t="e">
        <f t="shared" ca="1" si="26"/>
        <v>#DIV/0!</v>
      </c>
      <c r="O282" s="30">
        <f t="shared" si="32"/>
        <v>282</v>
      </c>
      <c r="P282" s="32">
        <f t="shared" ca="1" si="27"/>
        <v>0</v>
      </c>
      <c r="Q282" s="32">
        <f ca="1">IF(LeadTime=0,P282,IF(AND(SUM(Q281:OFFSET(Q282,-LeadTime,0))=0,P282&gt;0),MAX(P282:OFFSET(P282,-LeadTime+1,0)),0))</f>
        <v>0</v>
      </c>
    </row>
    <row r="283" spans="1:17" x14ac:dyDescent="0.25">
      <c r="A283" s="134">
        <v>41386</v>
      </c>
      <c r="B283" s="32"/>
      <c r="C283" s="32"/>
      <c r="D283" s="32"/>
      <c r="E283" s="32"/>
      <c r="F283" s="32">
        <f t="shared" si="28"/>
        <v>0</v>
      </c>
      <c r="G283" s="30" t="str">
        <f t="shared" ca="1" si="29"/>
        <v>History</v>
      </c>
      <c r="H283" s="30">
        <f t="shared" si="30"/>
        <v>2013</v>
      </c>
      <c r="I283" s="30">
        <f t="shared" si="31"/>
        <v>4</v>
      </c>
      <c r="J283" s="30">
        <f t="shared" si="25"/>
        <v>17</v>
      </c>
      <c r="K283" s="30">
        <v>1</v>
      </c>
      <c r="L283" s="30">
        <f ca="1">SUM(K283:OFFSET(RngToDay,ROWS(Dates),10))</f>
        <v>218</v>
      </c>
      <c r="M283" s="32" t="str">
        <f ca="1">IF(B283="","",SUM(C283:OFFSET(C283,-SafetyStock!$B$4+1,0)))</f>
        <v/>
      </c>
      <c r="N283" s="32" t="e">
        <f t="shared" ca="1" si="26"/>
        <v>#DIV/0!</v>
      </c>
      <c r="O283" s="30">
        <f t="shared" si="32"/>
        <v>283</v>
      </c>
      <c r="P283" s="32">
        <f t="shared" ca="1" si="27"/>
        <v>0</v>
      </c>
      <c r="Q283" s="32">
        <f ca="1">IF(LeadTime=0,P283,IF(AND(SUM(Q282:OFFSET(Q283,-LeadTime,0))=0,P283&gt;0),MAX(P283:OFFSET(P283,-LeadTime+1,0)),0))</f>
        <v>0</v>
      </c>
    </row>
    <row r="284" spans="1:17" x14ac:dyDescent="0.25">
      <c r="A284" s="134">
        <v>41383</v>
      </c>
      <c r="B284" s="32"/>
      <c r="C284" s="32"/>
      <c r="D284" s="32"/>
      <c r="E284" s="32"/>
      <c r="F284" s="32">
        <f t="shared" si="28"/>
        <v>0</v>
      </c>
      <c r="G284" s="30" t="str">
        <f t="shared" ca="1" si="29"/>
        <v>History</v>
      </c>
      <c r="H284" s="30">
        <f t="shared" si="30"/>
        <v>2013</v>
      </c>
      <c r="I284" s="30">
        <f t="shared" si="31"/>
        <v>4</v>
      </c>
      <c r="J284" s="30">
        <f t="shared" si="25"/>
        <v>16</v>
      </c>
      <c r="K284" s="30">
        <v>1</v>
      </c>
      <c r="L284" s="30">
        <f ca="1">SUM(K284:OFFSET(RngToDay,ROWS(Dates),10))</f>
        <v>217</v>
      </c>
      <c r="M284" s="32" t="str">
        <f ca="1">IF(B284="","",SUM(C284:OFFSET(C284,-SafetyStock!$B$4+1,0)))</f>
        <v/>
      </c>
      <c r="N284" s="32" t="e">
        <f t="shared" ca="1" si="26"/>
        <v>#DIV/0!</v>
      </c>
      <c r="O284" s="30">
        <f t="shared" si="32"/>
        <v>284</v>
      </c>
      <c r="P284" s="32">
        <f t="shared" ca="1" si="27"/>
        <v>0</v>
      </c>
      <c r="Q284" s="32">
        <f ca="1">IF(LeadTime=0,P284,IF(AND(SUM(Q283:OFFSET(Q284,-LeadTime,0))=0,P284&gt;0),MAX(P284:OFFSET(P284,-LeadTime+1,0)),0))</f>
        <v>0</v>
      </c>
    </row>
    <row r="285" spans="1:17" x14ac:dyDescent="0.25">
      <c r="A285" s="134">
        <v>41382</v>
      </c>
      <c r="B285" s="32"/>
      <c r="C285" s="32"/>
      <c r="D285" s="32"/>
      <c r="E285" s="32"/>
      <c r="F285" s="32">
        <f t="shared" si="28"/>
        <v>0</v>
      </c>
      <c r="G285" s="30" t="str">
        <f t="shared" ca="1" si="29"/>
        <v>History</v>
      </c>
      <c r="H285" s="30">
        <f t="shared" si="30"/>
        <v>2013</v>
      </c>
      <c r="I285" s="30">
        <f t="shared" si="31"/>
        <v>4</v>
      </c>
      <c r="J285" s="30">
        <f t="shared" si="25"/>
        <v>16</v>
      </c>
      <c r="K285" s="30">
        <v>1</v>
      </c>
      <c r="L285" s="30">
        <f ca="1">SUM(K285:OFFSET(RngToDay,ROWS(Dates),10))</f>
        <v>216</v>
      </c>
      <c r="M285" s="32" t="str">
        <f ca="1">IF(B285="","",SUM(C285:OFFSET(C285,-SafetyStock!$B$4+1,0)))</f>
        <v/>
      </c>
      <c r="N285" s="32" t="e">
        <f t="shared" ca="1" si="26"/>
        <v>#DIV/0!</v>
      </c>
      <c r="O285" s="30">
        <f t="shared" si="32"/>
        <v>285</v>
      </c>
      <c r="P285" s="32">
        <f t="shared" ca="1" si="27"/>
        <v>0</v>
      </c>
      <c r="Q285" s="32">
        <f ca="1">IF(LeadTime=0,P285,IF(AND(SUM(Q284:OFFSET(Q285,-LeadTime,0))=0,P285&gt;0),MAX(P285:OFFSET(P285,-LeadTime+1,0)),0))</f>
        <v>0</v>
      </c>
    </row>
    <row r="286" spans="1:17" x14ac:dyDescent="0.25">
      <c r="A286" s="134">
        <v>41381</v>
      </c>
      <c r="B286" s="32"/>
      <c r="C286" s="32"/>
      <c r="D286" s="32"/>
      <c r="E286" s="32"/>
      <c r="F286" s="32">
        <f t="shared" si="28"/>
        <v>0</v>
      </c>
      <c r="G286" s="30" t="str">
        <f t="shared" ca="1" si="29"/>
        <v>History</v>
      </c>
      <c r="H286" s="30">
        <f t="shared" si="30"/>
        <v>2013</v>
      </c>
      <c r="I286" s="30">
        <f t="shared" si="31"/>
        <v>4</v>
      </c>
      <c r="J286" s="30">
        <f t="shared" si="25"/>
        <v>16</v>
      </c>
      <c r="K286" s="30">
        <v>1</v>
      </c>
      <c r="L286" s="30">
        <f ca="1">SUM(K286:OFFSET(RngToDay,ROWS(Dates),10))</f>
        <v>215</v>
      </c>
      <c r="M286" s="32" t="str">
        <f ca="1">IF(B286="","",SUM(C286:OFFSET(C286,-SafetyStock!$B$4+1,0)))</f>
        <v/>
      </c>
      <c r="N286" s="32" t="e">
        <f t="shared" ca="1" si="26"/>
        <v>#DIV/0!</v>
      </c>
      <c r="O286" s="30">
        <f t="shared" si="32"/>
        <v>286</v>
      </c>
      <c r="P286" s="32">
        <f t="shared" ca="1" si="27"/>
        <v>0</v>
      </c>
      <c r="Q286" s="32">
        <f ca="1">IF(LeadTime=0,P286,IF(AND(SUM(Q285:OFFSET(Q286,-LeadTime,0))=0,P286&gt;0),MAX(P286:OFFSET(P286,-LeadTime+1,0)),0))</f>
        <v>0</v>
      </c>
    </row>
    <row r="287" spans="1:17" x14ac:dyDescent="0.25">
      <c r="A287" s="134">
        <v>41380</v>
      </c>
      <c r="B287" s="32"/>
      <c r="C287" s="32"/>
      <c r="D287" s="32"/>
      <c r="E287" s="32"/>
      <c r="F287" s="32">
        <f t="shared" si="28"/>
        <v>0</v>
      </c>
      <c r="G287" s="30" t="str">
        <f t="shared" ca="1" si="29"/>
        <v>History</v>
      </c>
      <c r="H287" s="30">
        <f t="shared" si="30"/>
        <v>2013</v>
      </c>
      <c r="I287" s="30">
        <f t="shared" si="31"/>
        <v>4</v>
      </c>
      <c r="J287" s="30">
        <f t="shared" si="25"/>
        <v>16</v>
      </c>
      <c r="K287" s="30">
        <v>1</v>
      </c>
      <c r="L287" s="30">
        <f ca="1">SUM(K287:OFFSET(RngToDay,ROWS(Dates),10))</f>
        <v>214</v>
      </c>
      <c r="M287" s="32" t="str">
        <f ca="1">IF(B287="","",SUM(C287:OFFSET(C287,-SafetyStock!$B$4+1,0)))</f>
        <v/>
      </c>
      <c r="N287" s="32" t="e">
        <f t="shared" ca="1" si="26"/>
        <v>#DIV/0!</v>
      </c>
      <c r="O287" s="30">
        <f t="shared" si="32"/>
        <v>287</v>
      </c>
      <c r="P287" s="32">
        <f t="shared" ca="1" si="27"/>
        <v>0</v>
      </c>
      <c r="Q287" s="32">
        <f ca="1">IF(LeadTime=0,P287,IF(AND(SUM(Q286:OFFSET(Q287,-LeadTime,0))=0,P287&gt;0),MAX(P287:OFFSET(P287,-LeadTime+1,0)),0))</f>
        <v>0</v>
      </c>
    </row>
    <row r="288" spans="1:17" x14ac:dyDescent="0.25">
      <c r="A288" s="134">
        <v>41379</v>
      </c>
      <c r="B288" s="32"/>
      <c r="C288" s="32"/>
      <c r="D288" s="32"/>
      <c r="E288" s="32"/>
      <c r="F288" s="32">
        <f t="shared" si="28"/>
        <v>0</v>
      </c>
      <c r="G288" s="30" t="str">
        <f t="shared" ca="1" si="29"/>
        <v>History</v>
      </c>
      <c r="H288" s="30">
        <f t="shared" si="30"/>
        <v>2013</v>
      </c>
      <c r="I288" s="30">
        <f t="shared" si="31"/>
        <v>4</v>
      </c>
      <c r="J288" s="30">
        <f t="shared" si="25"/>
        <v>16</v>
      </c>
      <c r="K288" s="30">
        <v>1</v>
      </c>
      <c r="L288" s="30">
        <f ca="1">SUM(K288:OFFSET(RngToDay,ROWS(Dates),10))</f>
        <v>213</v>
      </c>
      <c r="M288" s="32" t="str">
        <f ca="1">IF(B288="","",SUM(C288:OFFSET(C288,-SafetyStock!$B$4+1,0)))</f>
        <v/>
      </c>
      <c r="N288" s="32" t="e">
        <f t="shared" ca="1" si="26"/>
        <v>#DIV/0!</v>
      </c>
      <c r="O288" s="30">
        <f t="shared" si="32"/>
        <v>288</v>
      </c>
      <c r="P288" s="32">
        <f t="shared" ca="1" si="27"/>
        <v>0</v>
      </c>
      <c r="Q288" s="32">
        <f ca="1">IF(LeadTime=0,P288,IF(AND(SUM(Q287:OFFSET(Q288,-LeadTime,0))=0,P288&gt;0),MAX(P288:OFFSET(P288,-LeadTime+1,0)),0))</f>
        <v>0</v>
      </c>
    </row>
    <row r="289" spans="1:17" x14ac:dyDescent="0.25">
      <c r="A289" s="134">
        <v>41376</v>
      </c>
      <c r="B289" s="32"/>
      <c r="C289" s="32"/>
      <c r="D289" s="32"/>
      <c r="E289" s="32"/>
      <c r="F289" s="32">
        <f t="shared" si="28"/>
        <v>0</v>
      </c>
      <c r="G289" s="30" t="str">
        <f t="shared" ca="1" si="29"/>
        <v>History</v>
      </c>
      <c r="H289" s="30">
        <f t="shared" si="30"/>
        <v>2013</v>
      </c>
      <c r="I289" s="30">
        <f t="shared" si="31"/>
        <v>4</v>
      </c>
      <c r="J289" s="30">
        <f t="shared" si="25"/>
        <v>15</v>
      </c>
      <c r="K289" s="30">
        <v>1</v>
      </c>
      <c r="L289" s="30">
        <f ca="1">SUM(K289:OFFSET(RngToDay,ROWS(Dates),10))</f>
        <v>212</v>
      </c>
      <c r="M289" s="32" t="str">
        <f ca="1">IF(B289="","",SUM(C289:OFFSET(C289,-SafetyStock!$B$4+1,0)))</f>
        <v/>
      </c>
      <c r="N289" s="32" t="e">
        <f t="shared" ca="1" si="26"/>
        <v>#DIV/0!</v>
      </c>
      <c r="O289" s="30">
        <f t="shared" si="32"/>
        <v>289</v>
      </c>
      <c r="P289" s="32">
        <f t="shared" ca="1" si="27"/>
        <v>0</v>
      </c>
      <c r="Q289" s="32">
        <f ca="1">IF(LeadTime=0,P289,IF(AND(SUM(Q288:OFFSET(Q289,-LeadTime,0))=0,P289&gt;0),MAX(P289:OFFSET(P289,-LeadTime+1,0)),0))</f>
        <v>0</v>
      </c>
    </row>
    <row r="290" spans="1:17" x14ac:dyDescent="0.25">
      <c r="A290" s="134">
        <v>41375</v>
      </c>
      <c r="B290" s="32"/>
      <c r="C290" s="32"/>
      <c r="D290" s="32"/>
      <c r="E290" s="32"/>
      <c r="F290" s="32">
        <f t="shared" si="28"/>
        <v>0</v>
      </c>
      <c r="G290" s="30" t="str">
        <f t="shared" ca="1" si="29"/>
        <v>History</v>
      </c>
      <c r="H290" s="30">
        <f t="shared" si="30"/>
        <v>2013</v>
      </c>
      <c r="I290" s="30">
        <f t="shared" si="31"/>
        <v>4</v>
      </c>
      <c r="J290" s="30">
        <f t="shared" si="25"/>
        <v>15</v>
      </c>
      <c r="K290" s="30">
        <v>1</v>
      </c>
      <c r="L290" s="30">
        <f ca="1">SUM(K290:OFFSET(RngToDay,ROWS(Dates),10))</f>
        <v>211</v>
      </c>
      <c r="M290" s="32" t="str">
        <f ca="1">IF(B290="","",SUM(C290:OFFSET(C290,-SafetyStock!$B$4+1,0)))</f>
        <v/>
      </c>
      <c r="N290" s="32" t="e">
        <f t="shared" ca="1" si="26"/>
        <v>#DIV/0!</v>
      </c>
      <c r="O290" s="30">
        <f t="shared" si="32"/>
        <v>290</v>
      </c>
      <c r="P290" s="32">
        <f t="shared" ca="1" si="27"/>
        <v>0</v>
      </c>
      <c r="Q290" s="32">
        <f ca="1">IF(LeadTime=0,P290,IF(AND(SUM(Q289:OFFSET(Q290,-LeadTime,0))=0,P290&gt;0),MAX(P290:OFFSET(P290,-LeadTime+1,0)),0))</f>
        <v>0</v>
      </c>
    </row>
    <row r="291" spans="1:17" x14ac:dyDescent="0.25">
      <c r="A291" s="134">
        <v>41374</v>
      </c>
      <c r="B291" s="32"/>
      <c r="C291" s="32"/>
      <c r="D291" s="32"/>
      <c r="E291" s="32"/>
      <c r="F291" s="32">
        <f t="shared" si="28"/>
        <v>0</v>
      </c>
      <c r="G291" s="30" t="str">
        <f t="shared" ca="1" si="29"/>
        <v>History</v>
      </c>
      <c r="H291" s="30">
        <f t="shared" si="30"/>
        <v>2013</v>
      </c>
      <c r="I291" s="30">
        <f t="shared" si="31"/>
        <v>4</v>
      </c>
      <c r="J291" s="30">
        <f t="shared" si="25"/>
        <v>15</v>
      </c>
      <c r="K291" s="30">
        <v>1</v>
      </c>
      <c r="L291" s="30">
        <f ca="1">SUM(K291:OFFSET(RngToDay,ROWS(Dates),10))</f>
        <v>210</v>
      </c>
      <c r="M291" s="32" t="str">
        <f ca="1">IF(B291="","",SUM(C291:OFFSET(C291,-SafetyStock!$B$4+1,0)))</f>
        <v/>
      </c>
      <c r="N291" s="32" t="e">
        <f t="shared" ca="1" si="26"/>
        <v>#DIV/0!</v>
      </c>
      <c r="O291" s="30">
        <f t="shared" si="32"/>
        <v>291</v>
      </c>
      <c r="P291" s="32">
        <f t="shared" ca="1" si="27"/>
        <v>0</v>
      </c>
      <c r="Q291" s="32">
        <f ca="1">IF(LeadTime=0,P291,IF(AND(SUM(Q290:OFFSET(Q291,-LeadTime,0))=0,P291&gt;0),MAX(P291:OFFSET(P291,-LeadTime+1,0)),0))</f>
        <v>0</v>
      </c>
    </row>
    <row r="292" spans="1:17" x14ac:dyDescent="0.25">
      <c r="A292" s="134">
        <v>41373</v>
      </c>
      <c r="B292" s="32"/>
      <c r="C292" s="32"/>
      <c r="D292" s="32"/>
      <c r="E292" s="32"/>
      <c r="F292" s="32">
        <f t="shared" si="28"/>
        <v>0</v>
      </c>
      <c r="G292" s="30" t="str">
        <f t="shared" ca="1" si="29"/>
        <v>History</v>
      </c>
      <c r="H292" s="30">
        <f t="shared" si="30"/>
        <v>2013</v>
      </c>
      <c r="I292" s="30">
        <f t="shared" si="31"/>
        <v>4</v>
      </c>
      <c r="J292" s="30">
        <f t="shared" si="25"/>
        <v>15</v>
      </c>
      <c r="K292" s="30">
        <v>1</v>
      </c>
      <c r="L292" s="30">
        <f ca="1">SUM(K292:OFFSET(RngToDay,ROWS(Dates),10))</f>
        <v>209</v>
      </c>
      <c r="M292" s="32" t="str">
        <f ca="1">IF(B292="","",SUM(C292:OFFSET(C292,-SafetyStock!$B$4+1,0)))</f>
        <v/>
      </c>
      <c r="N292" s="32" t="e">
        <f t="shared" ca="1" si="26"/>
        <v>#DIV/0!</v>
      </c>
      <c r="O292" s="30">
        <f t="shared" si="32"/>
        <v>292</v>
      </c>
      <c r="P292" s="32">
        <f t="shared" ca="1" si="27"/>
        <v>0</v>
      </c>
      <c r="Q292" s="32">
        <f ca="1">IF(LeadTime=0,P292,IF(AND(SUM(Q291:OFFSET(Q292,-LeadTime,0))=0,P292&gt;0),MAX(P292:OFFSET(P292,-LeadTime+1,0)),0))</f>
        <v>0</v>
      </c>
    </row>
    <row r="293" spans="1:17" x14ac:dyDescent="0.25">
      <c r="A293" s="134">
        <v>41372</v>
      </c>
      <c r="B293" s="32"/>
      <c r="C293" s="32"/>
      <c r="D293" s="32"/>
      <c r="E293" s="32"/>
      <c r="F293" s="32">
        <f t="shared" si="28"/>
        <v>0</v>
      </c>
      <c r="G293" s="30" t="str">
        <f t="shared" ca="1" si="29"/>
        <v>History</v>
      </c>
      <c r="H293" s="30">
        <f t="shared" si="30"/>
        <v>2013</v>
      </c>
      <c r="I293" s="30">
        <f t="shared" si="31"/>
        <v>4</v>
      </c>
      <c r="J293" s="30">
        <f t="shared" si="25"/>
        <v>15</v>
      </c>
      <c r="K293" s="30">
        <v>1</v>
      </c>
      <c r="L293" s="30">
        <f ca="1">SUM(K293:OFFSET(RngToDay,ROWS(Dates),10))</f>
        <v>208</v>
      </c>
      <c r="M293" s="32" t="str">
        <f ca="1">IF(B293="","",SUM(C293:OFFSET(C293,-SafetyStock!$B$4+1,0)))</f>
        <v/>
      </c>
      <c r="N293" s="32" t="e">
        <f t="shared" ca="1" si="26"/>
        <v>#DIV/0!</v>
      </c>
      <c r="O293" s="30">
        <f t="shared" si="32"/>
        <v>293</v>
      </c>
      <c r="P293" s="32">
        <f t="shared" ca="1" si="27"/>
        <v>0</v>
      </c>
      <c r="Q293" s="32">
        <f ca="1">IF(LeadTime=0,P293,IF(AND(SUM(Q292:OFFSET(Q293,-LeadTime,0))=0,P293&gt;0),MAX(P293:OFFSET(P293,-LeadTime+1,0)),0))</f>
        <v>0</v>
      </c>
    </row>
    <row r="294" spans="1:17" x14ac:dyDescent="0.25">
      <c r="A294" s="134">
        <v>41369</v>
      </c>
      <c r="B294" s="32"/>
      <c r="C294" s="32"/>
      <c r="D294" s="32"/>
      <c r="E294" s="32"/>
      <c r="F294" s="32">
        <f t="shared" si="28"/>
        <v>0</v>
      </c>
      <c r="G294" s="30" t="str">
        <f t="shared" ca="1" si="29"/>
        <v>History</v>
      </c>
      <c r="H294" s="30">
        <f t="shared" si="30"/>
        <v>2013</v>
      </c>
      <c r="I294" s="30">
        <f t="shared" si="31"/>
        <v>4</v>
      </c>
      <c r="J294" s="30">
        <f t="shared" si="25"/>
        <v>14</v>
      </c>
      <c r="K294" s="30">
        <v>1</v>
      </c>
      <c r="L294" s="30">
        <f ca="1">SUM(K294:OFFSET(RngToDay,ROWS(Dates),10))</f>
        <v>207</v>
      </c>
      <c r="M294" s="32" t="str">
        <f ca="1">IF(B294="","",SUM(C294:OFFSET(C294,-SafetyStock!$B$4+1,0)))</f>
        <v/>
      </c>
      <c r="N294" s="32" t="e">
        <f t="shared" ca="1" si="26"/>
        <v>#DIV/0!</v>
      </c>
      <c r="O294" s="30">
        <f t="shared" si="32"/>
        <v>294</v>
      </c>
      <c r="P294" s="32">
        <f t="shared" ca="1" si="27"/>
        <v>0</v>
      </c>
      <c r="Q294" s="32">
        <f ca="1">IF(LeadTime=0,P294,IF(AND(SUM(Q293:OFFSET(Q294,-LeadTime,0))=0,P294&gt;0),MAX(P294:OFFSET(P294,-LeadTime+1,0)),0))</f>
        <v>0</v>
      </c>
    </row>
    <row r="295" spans="1:17" x14ac:dyDescent="0.25">
      <c r="A295" s="134">
        <v>41368</v>
      </c>
      <c r="B295" s="32"/>
      <c r="C295" s="32"/>
      <c r="D295" s="32"/>
      <c r="E295" s="32"/>
      <c r="F295" s="32">
        <f t="shared" si="28"/>
        <v>0</v>
      </c>
      <c r="G295" s="30" t="str">
        <f t="shared" ca="1" si="29"/>
        <v>History</v>
      </c>
      <c r="H295" s="30">
        <f t="shared" si="30"/>
        <v>2013</v>
      </c>
      <c r="I295" s="30">
        <f t="shared" si="31"/>
        <v>4</v>
      </c>
      <c r="J295" s="30">
        <f t="shared" si="25"/>
        <v>14</v>
      </c>
      <c r="K295" s="30">
        <v>1</v>
      </c>
      <c r="L295" s="30">
        <f ca="1">SUM(K295:OFFSET(RngToDay,ROWS(Dates),10))</f>
        <v>206</v>
      </c>
      <c r="M295" s="32" t="str">
        <f ca="1">IF(B295="","",SUM(C295:OFFSET(C295,-SafetyStock!$B$4+1,0)))</f>
        <v/>
      </c>
      <c r="N295" s="32" t="e">
        <f t="shared" ca="1" si="26"/>
        <v>#DIV/0!</v>
      </c>
      <c r="O295" s="30">
        <f t="shared" si="32"/>
        <v>295</v>
      </c>
      <c r="P295" s="32">
        <f t="shared" ca="1" si="27"/>
        <v>0</v>
      </c>
      <c r="Q295" s="32">
        <f ca="1">IF(LeadTime=0,P295,IF(AND(SUM(Q294:OFFSET(Q295,-LeadTime,0))=0,P295&gt;0),MAX(P295:OFFSET(P295,-LeadTime+1,0)),0))</f>
        <v>0</v>
      </c>
    </row>
    <row r="296" spans="1:17" x14ac:dyDescent="0.25">
      <c r="A296" s="134">
        <v>41367</v>
      </c>
      <c r="B296" s="32"/>
      <c r="C296" s="32"/>
      <c r="D296" s="32"/>
      <c r="E296" s="32"/>
      <c r="F296" s="32">
        <f t="shared" si="28"/>
        <v>0</v>
      </c>
      <c r="G296" s="30" t="str">
        <f t="shared" ca="1" si="29"/>
        <v>History</v>
      </c>
      <c r="H296" s="30">
        <f t="shared" si="30"/>
        <v>2013</v>
      </c>
      <c r="I296" s="30">
        <f t="shared" si="31"/>
        <v>4</v>
      </c>
      <c r="J296" s="30">
        <f t="shared" si="25"/>
        <v>14</v>
      </c>
      <c r="K296" s="30">
        <v>1</v>
      </c>
      <c r="L296" s="30">
        <f ca="1">SUM(K296:OFFSET(RngToDay,ROWS(Dates),10))</f>
        <v>205</v>
      </c>
      <c r="M296" s="32" t="str">
        <f ca="1">IF(B296="","",SUM(C296:OFFSET(C296,-SafetyStock!$B$4+1,0)))</f>
        <v/>
      </c>
      <c r="N296" s="32" t="e">
        <f t="shared" ca="1" si="26"/>
        <v>#DIV/0!</v>
      </c>
      <c r="O296" s="30">
        <f t="shared" si="32"/>
        <v>296</v>
      </c>
      <c r="P296" s="32">
        <f t="shared" ca="1" si="27"/>
        <v>0</v>
      </c>
      <c r="Q296" s="32">
        <f ca="1">IF(LeadTime=0,P296,IF(AND(SUM(Q295:OFFSET(Q296,-LeadTime,0))=0,P296&gt;0),MAX(P296:OFFSET(P296,-LeadTime+1,0)),0))</f>
        <v>0</v>
      </c>
    </row>
    <row r="297" spans="1:17" x14ac:dyDescent="0.25">
      <c r="A297" s="134">
        <v>41366</v>
      </c>
      <c r="B297" s="32"/>
      <c r="C297" s="32"/>
      <c r="D297" s="32"/>
      <c r="E297" s="32"/>
      <c r="F297" s="32">
        <f t="shared" si="28"/>
        <v>0</v>
      </c>
      <c r="G297" s="30" t="str">
        <f t="shared" ca="1" si="29"/>
        <v>History</v>
      </c>
      <c r="H297" s="30">
        <f t="shared" si="30"/>
        <v>2013</v>
      </c>
      <c r="I297" s="30">
        <f t="shared" si="31"/>
        <v>4</v>
      </c>
      <c r="J297" s="30">
        <f t="shared" si="25"/>
        <v>14</v>
      </c>
      <c r="K297" s="30">
        <v>1</v>
      </c>
      <c r="L297" s="30">
        <f ca="1">SUM(K297:OFFSET(RngToDay,ROWS(Dates),10))</f>
        <v>204</v>
      </c>
      <c r="M297" s="32" t="str">
        <f ca="1">IF(B297="","",SUM(C297:OFFSET(C297,-SafetyStock!$B$4+1,0)))</f>
        <v/>
      </c>
      <c r="N297" s="32" t="e">
        <f t="shared" ca="1" si="26"/>
        <v>#DIV/0!</v>
      </c>
      <c r="O297" s="30">
        <f t="shared" si="32"/>
        <v>297</v>
      </c>
      <c r="P297" s="32">
        <f t="shared" ca="1" si="27"/>
        <v>0</v>
      </c>
      <c r="Q297" s="32">
        <f ca="1">IF(LeadTime=0,P297,IF(AND(SUM(Q296:OFFSET(Q297,-LeadTime,0))=0,P297&gt;0),MAX(P297:OFFSET(P297,-LeadTime+1,0)),0))</f>
        <v>0</v>
      </c>
    </row>
    <row r="298" spans="1:17" x14ac:dyDescent="0.25">
      <c r="A298" s="134">
        <v>41360</v>
      </c>
      <c r="B298" s="32"/>
      <c r="C298" s="32"/>
      <c r="D298" s="32"/>
      <c r="E298" s="32"/>
      <c r="F298" s="32">
        <f t="shared" si="28"/>
        <v>0</v>
      </c>
      <c r="G298" s="30" t="str">
        <f t="shared" ca="1" si="29"/>
        <v>History</v>
      </c>
      <c r="H298" s="30">
        <f t="shared" si="30"/>
        <v>2013</v>
      </c>
      <c r="I298" s="30">
        <f t="shared" si="31"/>
        <v>3</v>
      </c>
      <c r="J298" s="30">
        <f t="shared" si="25"/>
        <v>13</v>
      </c>
      <c r="K298" s="30">
        <v>1</v>
      </c>
      <c r="L298" s="30">
        <f ca="1">SUM(K298:OFFSET(RngToDay,ROWS(Dates),10))</f>
        <v>203</v>
      </c>
      <c r="M298" s="32" t="str">
        <f ca="1">IF(B298="","",SUM(C298:OFFSET(C298,-SafetyStock!$B$4+1,0)))</f>
        <v/>
      </c>
      <c r="N298" s="32" t="e">
        <f t="shared" ca="1" si="26"/>
        <v>#DIV/0!</v>
      </c>
      <c r="O298" s="30">
        <f t="shared" si="32"/>
        <v>298</v>
      </c>
      <c r="P298" s="32">
        <f t="shared" ca="1" si="27"/>
        <v>0</v>
      </c>
      <c r="Q298" s="32">
        <f ca="1">IF(LeadTime=0,P298,IF(AND(SUM(Q297:OFFSET(Q298,-LeadTime,0))=0,P298&gt;0),MAX(P298:OFFSET(P298,-LeadTime+1,0)),0))</f>
        <v>0</v>
      </c>
    </row>
    <row r="299" spans="1:17" x14ac:dyDescent="0.25">
      <c r="A299" s="134">
        <v>41359</v>
      </c>
      <c r="B299" s="32"/>
      <c r="C299" s="32"/>
      <c r="D299" s="32"/>
      <c r="E299" s="32"/>
      <c r="F299" s="32">
        <f t="shared" si="28"/>
        <v>0</v>
      </c>
      <c r="G299" s="30" t="str">
        <f t="shared" ca="1" si="29"/>
        <v>History</v>
      </c>
      <c r="H299" s="30">
        <f t="shared" si="30"/>
        <v>2013</v>
      </c>
      <c r="I299" s="30">
        <f t="shared" si="31"/>
        <v>3</v>
      </c>
      <c r="J299" s="30">
        <f t="shared" si="25"/>
        <v>13</v>
      </c>
      <c r="K299" s="30">
        <v>1</v>
      </c>
      <c r="L299" s="30">
        <f ca="1">SUM(K299:OFFSET(RngToDay,ROWS(Dates),10))</f>
        <v>202</v>
      </c>
      <c r="M299" s="32" t="str">
        <f ca="1">IF(B299="","",SUM(C299:OFFSET(C299,-SafetyStock!$B$4+1,0)))</f>
        <v/>
      </c>
      <c r="N299" s="32" t="e">
        <f t="shared" ca="1" si="26"/>
        <v>#DIV/0!</v>
      </c>
      <c r="O299" s="30">
        <f t="shared" si="32"/>
        <v>299</v>
      </c>
      <c r="P299" s="32">
        <f t="shared" ca="1" si="27"/>
        <v>0</v>
      </c>
      <c r="Q299" s="32">
        <f ca="1">IF(LeadTime=0,P299,IF(AND(SUM(Q298:OFFSET(Q299,-LeadTime,0))=0,P299&gt;0),MAX(P299:OFFSET(P299,-LeadTime+1,0)),0))</f>
        <v>0</v>
      </c>
    </row>
    <row r="300" spans="1:17" x14ac:dyDescent="0.25">
      <c r="A300" s="134">
        <v>41358</v>
      </c>
      <c r="B300" s="32"/>
      <c r="C300" s="32"/>
      <c r="D300" s="32"/>
      <c r="E300" s="32"/>
      <c r="F300" s="32">
        <f t="shared" si="28"/>
        <v>0</v>
      </c>
      <c r="G300" s="30" t="str">
        <f t="shared" ca="1" si="29"/>
        <v>History</v>
      </c>
      <c r="H300" s="30">
        <f t="shared" si="30"/>
        <v>2013</v>
      </c>
      <c r="I300" s="30">
        <f t="shared" si="31"/>
        <v>3</v>
      </c>
      <c r="J300" s="30">
        <f t="shared" si="25"/>
        <v>13</v>
      </c>
      <c r="K300" s="30">
        <v>1</v>
      </c>
      <c r="L300" s="30">
        <f ca="1">SUM(K300:OFFSET(RngToDay,ROWS(Dates),10))</f>
        <v>201</v>
      </c>
      <c r="M300" s="32" t="str">
        <f ca="1">IF(B300="","",SUM(C300:OFFSET(C300,-SafetyStock!$B$4+1,0)))</f>
        <v/>
      </c>
      <c r="N300" s="32" t="e">
        <f t="shared" ca="1" si="26"/>
        <v>#DIV/0!</v>
      </c>
      <c r="O300" s="30">
        <f t="shared" si="32"/>
        <v>300</v>
      </c>
      <c r="P300" s="32">
        <f t="shared" ca="1" si="27"/>
        <v>0</v>
      </c>
      <c r="Q300" s="32">
        <f ca="1">IF(LeadTime=0,P300,IF(AND(SUM(Q299:OFFSET(Q300,-LeadTime,0))=0,P300&gt;0),MAX(P300:OFFSET(P300,-LeadTime+1,0)),0))</f>
        <v>0</v>
      </c>
    </row>
    <row r="301" spans="1:17" x14ac:dyDescent="0.25">
      <c r="A301" s="134">
        <v>41355</v>
      </c>
      <c r="B301" s="32"/>
      <c r="C301" s="32"/>
      <c r="D301" s="32"/>
      <c r="E301" s="32"/>
      <c r="F301" s="32">
        <f t="shared" si="28"/>
        <v>0</v>
      </c>
      <c r="G301" s="30" t="str">
        <f t="shared" ca="1" si="29"/>
        <v>History</v>
      </c>
      <c r="H301" s="30">
        <f t="shared" si="30"/>
        <v>2013</v>
      </c>
      <c r="I301" s="30">
        <f t="shared" si="31"/>
        <v>3</v>
      </c>
      <c r="J301" s="30">
        <f t="shared" si="25"/>
        <v>12</v>
      </c>
      <c r="K301" s="30">
        <v>1</v>
      </c>
      <c r="L301" s="30">
        <f ca="1">SUM(K301:OFFSET(RngToDay,ROWS(Dates),10))</f>
        <v>200</v>
      </c>
      <c r="M301" s="32" t="str">
        <f ca="1">IF(B301="","",SUM(C301:OFFSET(C301,-SafetyStock!$B$4+1,0)))</f>
        <v/>
      </c>
      <c r="N301" s="32" t="e">
        <f t="shared" ca="1" si="26"/>
        <v>#DIV/0!</v>
      </c>
      <c r="O301" s="30">
        <f t="shared" si="32"/>
        <v>301</v>
      </c>
      <c r="P301" s="32">
        <f t="shared" ca="1" si="27"/>
        <v>0</v>
      </c>
      <c r="Q301" s="32">
        <f ca="1">IF(LeadTime=0,P301,IF(AND(SUM(Q300:OFFSET(Q301,-LeadTime,0))=0,P301&gt;0),MAX(P301:OFFSET(P301,-LeadTime+1,0)),0))</f>
        <v>0</v>
      </c>
    </row>
    <row r="302" spans="1:17" x14ac:dyDescent="0.25">
      <c r="A302" s="134">
        <v>41354</v>
      </c>
      <c r="B302" s="32"/>
      <c r="C302" s="32"/>
      <c r="D302" s="32"/>
      <c r="E302" s="32"/>
      <c r="F302" s="32">
        <f t="shared" si="28"/>
        <v>0</v>
      </c>
      <c r="G302" s="30" t="str">
        <f t="shared" ca="1" si="29"/>
        <v>History</v>
      </c>
      <c r="H302" s="30">
        <f t="shared" si="30"/>
        <v>2013</v>
      </c>
      <c r="I302" s="30">
        <f t="shared" si="31"/>
        <v>3</v>
      </c>
      <c r="J302" s="30">
        <f t="shared" si="25"/>
        <v>12</v>
      </c>
      <c r="K302" s="30">
        <v>1</v>
      </c>
      <c r="L302" s="30">
        <f ca="1">SUM(K302:OFFSET(RngToDay,ROWS(Dates),10))</f>
        <v>199</v>
      </c>
      <c r="M302" s="32" t="str">
        <f ca="1">IF(B302="","",SUM(C302:OFFSET(C302,-SafetyStock!$B$4+1,0)))</f>
        <v/>
      </c>
      <c r="N302" s="32" t="e">
        <f t="shared" ca="1" si="26"/>
        <v>#DIV/0!</v>
      </c>
      <c r="O302" s="30">
        <f t="shared" si="32"/>
        <v>302</v>
      </c>
      <c r="P302" s="32">
        <f t="shared" ca="1" si="27"/>
        <v>0</v>
      </c>
      <c r="Q302" s="32">
        <f ca="1">IF(LeadTime=0,P302,IF(AND(SUM(Q301:OFFSET(Q302,-LeadTime,0))=0,P302&gt;0),MAX(P302:OFFSET(P302,-LeadTime+1,0)),0))</f>
        <v>0</v>
      </c>
    </row>
    <row r="303" spans="1:17" x14ac:dyDescent="0.25">
      <c r="A303" s="134">
        <v>41353</v>
      </c>
      <c r="B303" s="32"/>
      <c r="C303" s="32"/>
      <c r="D303" s="32"/>
      <c r="E303" s="32"/>
      <c r="F303" s="32">
        <f t="shared" si="28"/>
        <v>0</v>
      </c>
      <c r="G303" s="30" t="str">
        <f t="shared" ca="1" si="29"/>
        <v>History</v>
      </c>
      <c r="H303" s="30">
        <f t="shared" si="30"/>
        <v>2013</v>
      </c>
      <c r="I303" s="30">
        <f t="shared" si="31"/>
        <v>3</v>
      </c>
      <c r="J303" s="30">
        <f t="shared" si="25"/>
        <v>12</v>
      </c>
      <c r="K303" s="30">
        <v>1</v>
      </c>
      <c r="L303" s="30">
        <f ca="1">SUM(K303:OFFSET(RngToDay,ROWS(Dates),10))</f>
        <v>198</v>
      </c>
      <c r="M303" s="32" t="str">
        <f ca="1">IF(B303="","",SUM(C303:OFFSET(C303,-SafetyStock!$B$4+1,0)))</f>
        <v/>
      </c>
      <c r="N303" s="32" t="e">
        <f t="shared" ca="1" si="26"/>
        <v>#DIV/0!</v>
      </c>
      <c r="O303" s="30">
        <f t="shared" si="32"/>
        <v>303</v>
      </c>
      <c r="P303" s="32">
        <f t="shared" ca="1" si="27"/>
        <v>0</v>
      </c>
      <c r="Q303" s="32">
        <f ca="1">IF(LeadTime=0,P303,IF(AND(SUM(Q302:OFFSET(Q303,-LeadTime,0))=0,P303&gt;0),MAX(P303:OFFSET(P303,-LeadTime+1,0)),0))</f>
        <v>0</v>
      </c>
    </row>
    <row r="304" spans="1:17" x14ac:dyDescent="0.25">
      <c r="A304" s="134">
        <v>41352</v>
      </c>
      <c r="B304" s="32"/>
      <c r="C304" s="32"/>
      <c r="D304" s="32"/>
      <c r="E304" s="32"/>
      <c r="F304" s="32">
        <f t="shared" si="28"/>
        <v>0</v>
      </c>
      <c r="G304" s="30" t="str">
        <f t="shared" ca="1" si="29"/>
        <v>History</v>
      </c>
      <c r="H304" s="30">
        <f t="shared" si="30"/>
        <v>2013</v>
      </c>
      <c r="I304" s="30">
        <f t="shared" si="31"/>
        <v>3</v>
      </c>
      <c r="J304" s="30">
        <f t="shared" si="25"/>
        <v>12</v>
      </c>
      <c r="K304" s="30">
        <v>1</v>
      </c>
      <c r="L304" s="30">
        <f ca="1">SUM(K304:OFFSET(RngToDay,ROWS(Dates),10))</f>
        <v>197</v>
      </c>
      <c r="M304" s="32" t="str">
        <f ca="1">IF(B304="","",SUM(C304:OFFSET(C304,-SafetyStock!$B$4+1,0)))</f>
        <v/>
      </c>
      <c r="N304" s="32" t="e">
        <f t="shared" ca="1" si="26"/>
        <v>#DIV/0!</v>
      </c>
      <c r="O304" s="30">
        <f t="shared" si="32"/>
        <v>304</v>
      </c>
      <c r="P304" s="32">
        <f t="shared" ca="1" si="27"/>
        <v>0</v>
      </c>
      <c r="Q304" s="32">
        <f ca="1">IF(LeadTime=0,P304,IF(AND(SUM(Q303:OFFSET(Q304,-LeadTime,0))=0,P304&gt;0),MAX(P304:OFFSET(P304,-LeadTime+1,0)),0))</f>
        <v>0</v>
      </c>
    </row>
    <row r="305" spans="1:17" x14ac:dyDescent="0.25">
      <c r="A305" s="134">
        <v>41351</v>
      </c>
      <c r="B305" s="32"/>
      <c r="C305" s="32"/>
      <c r="D305" s="32"/>
      <c r="E305" s="32"/>
      <c r="F305" s="32">
        <f t="shared" si="28"/>
        <v>0</v>
      </c>
      <c r="G305" s="30" t="str">
        <f t="shared" ca="1" si="29"/>
        <v>History</v>
      </c>
      <c r="H305" s="30">
        <f t="shared" si="30"/>
        <v>2013</v>
      </c>
      <c r="I305" s="30">
        <f t="shared" si="31"/>
        <v>3</v>
      </c>
      <c r="J305" s="30">
        <f t="shared" si="25"/>
        <v>12</v>
      </c>
      <c r="K305" s="30">
        <v>1</v>
      </c>
      <c r="L305" s="30">
        <f ca="1">SUM(K305:OFFSET(RngToDay,ROWS(Dates),10))</f>
        <v>196</v>
      </c>
      <c r="M305" s="32" t="str">
        <f ca="1">IF(B305="","",SUM(C305:OFFSET(C305,-SafetyStock!$B$4+1,0)))</f>
        <v/>
      </c>
      <c r="N305" s="32" t="e">
        <f t="shared" ca="1" si="26"/>
        <v>#DIV/0!</v>
      </c>
      <c r="O305" s="30">
        <f t="shared" si="32"/>
        <v>305</v>
      </c>
      <c r="P305" s="32">
        <f t="shared" ca="1" si="27"/>
        <v>0</v>
      </c>
      <c r="Q305" s="32">
        <f ca="1">IF(LeadTime=0,P305,IF(AND(SUM(Q304:OFFSET(Q305,-LeadTime,0))=0,P305&gt;0),MAX(P305:OFFSET(P305,-LeadTime+1,0)),0))</f>
        <v>0</v>
      </c>
    </row>
    <row r="306" spans="1:17" x14ac:dyDescent="0.25">
      <c r="A306" s="134">
        <v>41348</v>
      </c>
      <c r="B306" s="32"/>
      <c r="C306" s="32"/>
      <c r="D306" s="32"/>
      <c r="E306" s="32"/>
      <c r="F306" s="32">
        <f t="shared" si="28"/>
        <v>0</v>
      </c>
      <c r="G306" s="30" t="str">
        <f t="shared" ca="1" si="29"/>
        <v>History</v>
      </c>
      <c r="H306" s="30">
        <f t="shared" si="30"/>
        <v>2013</v>
      </c>
      <c r="I306" s="30">
        <f t="shared" si="31"/>
        <v>3</v>
      </c>
      <c r="J306" s="30">
        <f t="shared" si="25"/>
        <v>11</v>
      </c>
      <c r="K306" s="30">
        <v>1</v>
      </c>
      <c r="L306" s="30">
        <f ca="1">SUM(K306:OFFSET(RngToDay,ROWS(Dates),10))</f>
        <v>195</v>
      </c>
      <c r="M306" s="32" t="str">
        <f ca="1">IF(B306="","",SUM(C306:OFFSET(C306,-SafetyStock!$B$4+1,0)))</f>
        <v/>
      </c>
      <c r="N306" s="32" t="e">
        <f t="shared" ca="1" si="26"/>
        <v>#DIV/0!</v>
      </c>
      <c r="O306" s="30">
        <f t="shared" si="32"/>
        <v>306</v>
      </c>
      <c r="P306" s="32">
        <f t="shared" ca="1" si="27"/>
        <v>0</v>
      </c>
      <c r="Q306" s="32">
        <f ca="1">IF(LeadTime=0,P306,IF(AND(SUM(Q305:OFFSET(Q306,-LeadTime,0))=0,P306&gt;0),MAX(P306:OFFSET(P306,-LeadTime+1,0)),0))</f>
        <v>0</v>
      </c>
    </row>
    <row r="307" spans="1:17" x14ac:dyDescent="0.25">
      <c r="A307" s="134">
        <v>41347</v>
      </c>
      <c r="B307" s="32"/>
      <c r="C307" s="32"/>
      <c r="D307" s="32"/>
      <c r="E307" s="32"/>
      <c r="F307" s="32">
        <f t="shared" si="28"/>
        <v>0</v>
      </c>
      <c r="G307" s="30" t="str">
        <f t="shared" ca="1" si="29"/>
        <v>History</v>
      </c>
      <c r="H307" s="30">
        <f t="shared" si="30"/>
        <v>2013</v>
      </c>
      <c r="I307" s="30">
        <f t="shared" si="31"/>
        <v>3</v>
      </c>
      <c r="J307" s="30">
        <f t="shared" si="25"/>
        <v>11</v>
      </c>
      <c r="K307" s="30">
        <v>1</v>
      </c>
      <c r="L307" s="30">
        <f ca="1">SUM(K307:OFFSET(RngToDay,ROWS(Dates),10))</f>
        <v>194</v>
      </c>
      <c r="M307" s="32" t="str">
        <f ca="1">IF(B307="","",SUM(C307:OFFSET(C307,-SafetyStock!$B$4+1,0)))</f>
        <v/>
      </c>
      <c r="N307" s="32" t="e">
        <f t="shared" ca="1" si="26"/>
        <v>#DIV/0!</v>
      </c>
      <c r="O307" s="30">
        <f t="shared" si="32"/>
        <v>307</v>
      </c>
      <c r="P307" s="32">
        <f t="shared" ca="1" si="27"/>
        <v>0</v>
      </c>
      <c r="Q307" s="32">
        <f ca="1">IF(LeadTime=0,P307,IF(AND(SUM(Q306:OFFSET(Q307,-LeadTime,0))=0,P307&gt;0),MAX(P307:OFFSET(P307,-LeadTime+1,0)),0))</f>
        <v>0</v>
      </c>
    </row>
    <row r="308" spans="1:17" x14ac:dyDescent="0.25">
      <c r="A308" s="134">
        <v>41346</v>
      </c>
      <c r="B308" s="32"/>
      <c r="C308" s="32"/>
      <c r="D308" s="32"/>
      <c r="E308" s="32"/>
      <c r="F308" s="32">
        <f t="shared" si="28"/>
        <v>0</v>
      </c>
      <c r="G308" s="30" t="str">
        <f t="shared" ca="1" si="29"/>
        <v>History</v>
      </c>
      <c r="H308" s="30">
        <f t="shared" si="30"/>
        <v>2013</v>
      </c>
      <c r="I308" s="30">
        <f t="shared" si="31"/>
        <v>3</v>
      </c>
      <c r="J308" s="30">
        <f t="shared" si="25"/>
        <v>11</v>
      </c>
      <c r="K308" s="30">
        <v>1</v>
      </c>
      <c r="L308" s="30">
        <f ca="1">SUM(K308:OFFSET(RngToDay,ROWS(Dates),10))</f>
        <v>193</v>
      </c>
      <c r="M308" s="32" t="str">
        <f ca="1">IF(B308="","",SUM(C308:OFFSET(C308,-SafetyStock!$B$4+1,0)))</f>
        <v/>
      </c>
      <c r="N308" s="32" t="e">
        <f t="shared" ca="1" si="26"/>
        <v>#DIV/0!</v>
      </c>
      <c r="O308" s="30">
        <f t="shared" si="32"/>
        <v>308</v>
      </c>
      <c r="P308" s="32">
        <f t="shared" ca="1" si="27"/>
        <v>0</v>
      </c>
      <c r="Q308" s="32">
        <f ca="1">IF(LeadTime=0,P308,IF(AND(SUM(Q307:OFFSET(Q308,-LeadTime,0))=0,P308&gt;0),MAX(P308:OFFSET(P308,-LeadTime+1,0)),0))</f>
        <v>0</v>
      </c>
    </row>
    <row r="309" spans="1:17" x14ac:dyDescent="0.25">
      <c r="A309" s="134">
        <v>41345</v>
      </c>
      <c r="B309" s="32"/>
      <c r="C309" s="32"/>
      <c r="D309" s="32"/>
      <c r="E309" s="32"/>
      <c r="F309" s="32">
        <f t="shared" si="28"/>
        <v>0</v>
      </c>
      <c r="G309" s="30" t="str">
        <f t="shared" ca="1" si="29"/>
        <v>History</v>
      </c>
      <c r="H309" s="30">
        <f t="shared" si="30"/>
        <v>2013</v>
      </c>
      <c r="I309" s="30">
        <f t="shared" si="31"/>
        <v>3</v>
      </c>
      <c r="J309" s="30">
        <f t="shared" si="25"/>
        <v>11</v>
      </c>
      <c r="K309" s="30">
        <v>1</v>
      </c>
      <c r="L309" s="30">
        <f ca="1">SUM(K309:OFFSET(RngToDay,ROWS(Dates),10))</f>
        <v>192</v>
      </c>
      <c r="M309" s="32" t="str">
        <f ca="1">IF(B309="","",SUM(C309:OFFSET(C309,-SafetyStock!$B$4+1,0)))</f>
        <v/>
      </c>
      <c r="N309" s="32" t="e">
        <f t="shared" ca="1" si="26"/>
        <v>#DIV/0!</v>
      </c>
      <c r="O309" s="30">
        <f t="shared" si="32"/>
        <v>309</v>
      </c>
      <c r="P309" s="32">
        <f t="shared" ca="1" si="27"/>
        <v>0</v>
      </c>
      <c r="Q309" s="32">
        <f ca="1">IF(LeadTime=0,P309,IF(AND(SUM(Q308:OFFSET(Q309,-LeadTime,0))=0,P309&gt;0),MAX(P309:OFFSET(P309,-LeadTime+1,0)),0))</f>
        <v>0</v>
      </c>
    </row>
    <row r="310" spans="1:17" x14ac:dyDescent="0.25">
      <c r="A310" s="134">
        <v>41344</v>
      </c>
      <c r="B310" s="32"/>
      <c r="C310" s="32"/>
      <c r="D310" s="32"/>
      <c r="E310" s="32"/>
      <c r="F310" s="32">
        <f t="shared" si="28"/>
        <v>0</v>
      </c>
      <c r="G310" s="30" t="str">
        <f t="shared" ca="1" si="29"/>
        <v>History</v>
      </c>
      <c r="H310" s="30">
        <f t="shared" si="30"/>
        <v>2013</v>
      </c>
      <c r="I310" s="30">
        <f t="shared" si="31"/>
        <v>3</v>
      </c>
      <c r="J310" s="30">
        <f t="shared" si="25"/>
        <v>11</v>
      </c>
      <c r="K310" s="30">
        <v>1</v>
      </c>
      <c r="L310" s="30">
        <f ca="1">SUM(K310:OFFSET(RngToDay,ROWS(Dates),10))</f>
        <v>191</v>
      </c>
      <c r="M310" s="32" t="str">
        <f ca="1">IF(B310="","",SUM(C310:OFFSET(C310,-SafetyStock!$B$4+1,0)))</f>
        <v/>
      </c>
      <c r="N310" s="32" t="e">
        <f t="shared" ca="1" si="26"/>
        <v>#DIV/0!</v>
      </c>
      <c r="O310" s="30">
        <f t="shared" si="32"/>
        <v>310</v>
      </c>
      <c r="P310" s="32">
        <f t="shared" ca="1" si="27"/>
        <v>0</v>
      </c>
      <c r="Q310" s="32">
        <f ca="1">IF(LeadTime=0,P310,IF(AND(SUM(Q309:OFFSET(Q310,-LeadTime,0))=0,P310&gt;0),MAX(P310:OFFSET(P310,-LeadTime+1,0)),0))</f>
        <v>0</v>
      </c>
    </row>
    <row r="311" spans="1:17" x14ac:dyDescent="0.25">
      <c r="A311" s="134">
        <v>41341</v>
      </c>
      <c r="B311" s="32"/>
      <c r="C311" s="32"/>
      <c r="D311" s="32"/>
      <c r="E311" s="32"/>
      <c r="F311" s="32">
        <f t="shared" si="28"/>
        <v>0</v>
      </c>
      <c r="G311" s="30" t="str">
        <f t="shared" ca="1" si="29"/>
        <v>History</v>
      </c>
      <c r="H311" s="30">
        <f t="shared" si="30"/>
        <v>2013</v>
      </c>
      <c r="I311" s="30">
        <f t="shared" si="31"/>
        <v>3</v>
      </c>
      <c r="J311" s="30">
        <f t="shared" si="25"/>
        <v>10</v>
      </c>
      <c r="K311" s="30">
        <v>1</v>
      </c>
      <c r="L311" s="30">
        <f ca="1">SUM(K311:OFFSET(RngToDay,ROWS(Dates),10))</f>
        <v>190</v>
      </c>
      <c r="M311" s="32" t="str">
        <f ca="1">IF(B311="","",SUM(C311:OFFSET(C311,-SafetyStock!$B$4+1,0)))</f>
        <v/>
      </c>
      <c r="N311" s="32" t="e">
        <f t="shared" ca="1" si="26"/>
        <v>#DIV/0!</v>
      </c>
      <c r="O311" s="30">
        <f t="shared" si="32"/>
        <v>311</v>
      </c>
      <c r="P311" s="32">
        <f t="shared" ca="1" si="27"/>
        <v>0</v>
      </c>
      <c r="Q311" s="32">
        <f ca="1">IF(LeadTime=0,P311,IF(AND(SUM(Q310:OFFSET(Q311,-LeadTime,0))=0,P311&gt;0),MAX(P311:OFFSET(P311,-LeadTime+1,0)),0))</f>
        <v>0</v>
      </c>
    </row>
    <row r="312" spans="1:17" x14ac:dyDescent="0.25">
      <c r="A312" s="134">
        <v>41340</v>
      </c>
      <c r="B312" s="32"/>
      <c r="C312" s="32"/>
      <c r="D312" s="32"/>
      <c r="E312" s="32"/>
      <c r="F312" s="32">
        <f t="shared" si="28"/>
        <v>0</v>
      </c>
      <c r="G312" s="30" t="str">
        <f t="shared" ca="1" si="29"/>
        <v>History</v>
      </c>
      <c r="H312" s="30">
        <f t="shared" si="30"/>
        <v>2013</v>
      </c>
      <c r="I312" s="30">
        <f t="shared" si="31"/>
        <v>3</v>
      </c>
      <c r="J312" s="30">
        <f t="shared" ref="J312:J375" si="33">IF(WEEKDAY(DATE(YEAR(A312),1,1),2)&gt;4,WEEKNUM(A312,2)-1,WEEKNUM(A312,2))</f>
        <v>10</v>
      </c>
      <c r="K312" s="30">
        <v>1</v>
      </c>
      <c r="L312" s="30">
        <f ca="1">SUM(K312:OFFSET(RngToDay,ROWS(Dates),10))</f>
        <v>189</v>
      </c>
      <c r="M312" s="32" t="str">
        <f ca="1">IF(B312="","",SUM(C312:OFFSET(C312,-SafetyStock!$B$4+1,0)))</f>
        <v/>
      </c>
      <c r="N312" s="32" t="e">
        <f t="shared" ca="1" si="26"/>
        <v>#DIV/0!</v>
      </c>
      <c r="O312" s="30">
        <f t="shared" si="32"/>
        <v>312</v>
      </c>
      <c r="P312" s="32">
        <f t="shared" ca="1" si="27"/>
        <v>0</v>
      </c>
      <c r="Q312" s="32">
        <f ca="1">IF(LeadTime=0,P312,IF(AND(SUM(Q311:OFFSET(Q312,-LeadTime,0))=0,P312&gt;0),MAX(P312:OFFSET(P312,-LeadTime+1,0)),0))</f>
        <v>0</v>
      </c>
    </row>
    <row r="313" spans="1:17" x14ac:dyDescent="0.25">
      <c r="A313" s="134">
        <v>41339</v>
      </c>
      <c r="B313" s="32"/>
      <c r="C313" s="32"/>
      <c r="D313" s="32"/>
      <c r="E313" s="32"/>
      <c r="F313" s="32">
        <f t="shared" si="28"/>
        <v>0</v>
      </c>
      <c r="G313" s="30" t="str">
        <f t="shared" ca="1" si="29"/>
        <v>History</v>
      </c>
      <c r="H313" s="30">
        <f t="shared" si="30"/>
        <v>2013</v>
      </c>
      <c r="I313" s="30">
        <f t="shared" si="31"/>
        <v>3</v>
      </c>
      <c r="J313" s="30">
        <f t="shared" si="33"/>
        <v>10</v>
      </c>
      <c r="K313" s="30">
        <v>1</v>
      </c>
      <c r="L313" s="30">
        <f ca="1">SUM(K313:OFFSET(RngToDay,ROWS(Dates),10))</f>
        <v>188</v>
      </c>
      <c r="M313" s="32" t="str">
        <f ca="1">IF(B313="","",SUM(C313:OFFSET(C313,-SafetyStock!$B$4+1,0)))</f>
        <v/>
      </c>
      <c r="N313" s="32" t="e">
        <f t="shared" ca="1" si="26"/>
        <v>#DIV/0!</v>
      </c>
      <c r="O313" s="30">
        <f t="shared" si="32"/>
        <v>313</v>
      </c>
      <c r="P313" s="32">
        <f t="shared" ca="1" si="27"/>
        <v>0</v>
      </c>
      <c r="Q313" s="32">
        <f ca="1">IF(LeadTime=0,P313,IF(AND(SUM(Q312:OFFSET(Q313,-LeadTime,0))=0,P313&gt;0),MAX(P313:OFFSET(P313,-LeadTime+1,0)),0))</f>
        <v>0</v>
      </c>
    </row>
    <row r="314" spans="1:17" x14ac:dyDescent="0.25">
      <c r="A314" s="134">
        <v>41338</v>
      </c>
      <c r="B314" s="32"/>
      <c r="C314" s="32"/>
      <c r="D314" s="32"/>
      <c r="E314" s="32"/>
      <c r="F314" s="32">
        <f t="shared" si="28"/>
        <v>0</v>
      </c>
      <c r="G314" s="30" t="str">
        <f t="shared" ca="1" si="29"/>
        <v>History</v>
      </c>
      <c r="H314" s="30">
        <f t="shared" si="30"/>
        <v>2013</v>
      </c>
      <c r="I314" s="30">
        <f t="shared" si="31"/>
        <v>3</v>
      </c>
      <c r="J314" s="30">
        <f t="shared" si="33"/>
        <v>10</v>
      </c>
      <c r="K314" s="30">
        <v>1</v>
      </c>
      <c r="L314" s="30">
        <f ca="1">SUM(K314:OFFSET(RngToDay,ROWS(Dates),10))</f>
        <v>187</v>
      </c>
      <c r="M314" s="32" t="str">
        <f ca="1">IF(B314="","",SUM(C314:OFFSET(C314,-SafetyStock!$B$4+1,0)))</f>
        <v/>
      </c>
      <c r="N314" s="32" t="e">
        <f t="shared" ref="N314:N377" ca="1" si="34">Saf_Stock</f>
        <v>#DIV/0!</v>
      </c>
      <c r="O314" s="30">
        <f t="shared" si="32"/>
        <v>314</v>
      </c>
      <c r="P314" s="32">
        <f t="shared" ca="1" si="27"/>
        <v>0</v>
      </c>
      <c r="Q314" s="32">
        <f ca="1">IF(LeadTime=0,P314,IF(AND(SUM(Q313:OFFSET(Q314,-LeadTime,0))=0,P314&gt;0),MAX(P314:OFFSET(P314,-LeadTime+1,0)),0))</f>
        <v>0</v>
      </c>
    </row>
    <row r="315" spans="1:17" x14ac:dyDescent="0.25">
      <c r="A315" s="134">
        <v>41337</v>
      </c>
      <c r="B315" s="32"/>
      <c r="C315" s="32"/>
      <c r="D315" s="32"/>
      <c r="E315" s="32"/>
      <c r="F315" s="32">
        <f t="shared" si="28"/>
        <v>0</v>
      </c>
      <c r="G315" s="30" t="str">
        <f t="shared" ca="1" si="29"/>
        <v>History</v>
      </c>
      <c r="H315" s="30">
        <f t="shared" si="30"/>
        <v>2013</v>
      </c>
      <c r="I315" s="30">
        <f t="shared" si="31"/>
        <v>3</v>
      </c>
      <c r="J315" s="30">
        <f t="shared" si="33"/>
        <v>10</v>
      </c>
      <c r="K315" s="30">
        <v>1</v>
      </c>
      <c r="L315" s="30">
        <f ca="1">SUM(K315:OFFSET(RngToDay,ROWS(Dates),10))</f>
        <v>186</v>
      </c>
      <c r="M315" s="32" t="str">
        <f ca="1">IF(B315="","",SUM(C315:OFFSET(C315,-SafetyStock!$B$4+1,0)))</f>
        <v/>
      </c>
      <c r="N315" s="32" t="e">
        <f t="shared" ca="1" si="34"/>
        <v>#DIV/0!</v>
      </c>
      <c r="O315" s="30">
        <f t="shared" si="32"/>
        <v>315</v>
      </c>
      <c r="P315" s="32">
        <f t="shared" ref="P315:P378" ca="1" si="35">IF(M315="",0,IF(M315&gt;N315,M315-N315,0))</f>
        <v>0</v>
      </c>
      <c r="Q315" s="32">
        <f ca="1">IF(LeadTime=0,P315,IF(AND(SUM(Q314:OFFSET(Q315,-LeadTime,0))=0,P315&gt;0),MAX(P315:OFFSET(P315,-LeadTime+1,0)),0))</f>
        <v>0</v>
      </c>
    </row>
    <row r="316" spans="1:17" x14ac:dyDescent="0.25">
      <c r="A316" s="134">
        <v>41334</v>
      </c>
      <c r="B316" s="32"/>
      <c r="C316" s="32"/>
      <c r="D316" s="32"/>
      <c r="E316" s="32"/>
      <c r="F316" s="32">
        <f t="shared" ref="F316:F379" si="36">F315</f>
        <v>0</v>
      </c>
      <c r="G316" s="30" t="str">
        <f t="shared" ca="1" si="29"/>
        <v>History</v>
      </c>
      <c r="H316" s="30">
        <f t="shared" si="30"/>
        <v>2013</v>
      </c>
      <c r="I316" s="30">
        <f t="shared" si="31"/>
        <v>3</v>
      </c>
      <c r="J316" s="30">
        <f t="shared" si="33"/>
        <v>9</v>
      </c>
      <c r="K316" s="30">
        <v>1</v>
      </c>
      <c r="L316" s="30">
        <f ca="1">SUM(K316:OFFSET(RngToDay,ROWS(Dates),10))</f>
        <v>185</v>
      </c>
      <c r="M316" s="32" t="str">
        <f ca="1">IF(B316="","",SUM(C316:OFFSET(C316,-SafetyStock!$B$4+1,0)))</f>
        <v/>
      </c>
      <c r="N316" s="32" t="e">
        <f t="shared" ca="1" si="34"/>
        <v>#DIV/0!</v>
      </c>
      <c r="O316" s="30">
        <f t="shared" si="32"/>
        <v>316</v>
      </c>
      <c r="P316" s="32">
        <f t="shared" ca="1" si="35"/>
        <v>0</v>
      </c>
      <c r="Q316" s="32">
        <f ca="1">IF(LeadTime=0,P316,IF(AND(SUM(Q315:OFFSET(Q316,-LeadTime,0))=0,P316&gt;0),MAX(P316:OFFSET(P316,-LeadTime+1,0)),0))</f>
        <v>0</v>
      </c>
    </row>
    <row r="317" spans="1:17" x14ac:dyDescent="0.25">
      <c r="A317" s="134">
        <v>41333</v>
      </c>
      <c r="B317" s="32"/>
      <c r="C317" s="32"/>
      <c r="D317" s="32"/>
      <c r="E317" s="32"/>
      <c r="F317" s="32">
        <f t="shared" si="36"/>
        <v>0</v>
      </c>
      <c r="G317" s="30" t="str">
        <f t="shared" ca="1" si="29"/>
        <v>History</v>
      </c>
      <c r="H317" s="30">
        <f t="shared" si="30"/>
        <v>2013</v>
      </c>
      <c r="I317" s="30">
        <f t="shared" si="31"/>
        <v>2</v>
      </c>
      <c r="J317" s="30">
        <f t="shared" si="33"/>
        <v>9</v>
      </c>
      <c r="K317" s="30">
        <v>1</v>
      </c>
      <c r="L317" s="30">
        <f ca="1">SUM(K317:OFFSET(RngToDay,ROWS(Dates),10))</f>
        <v>184</v>
      </c>
      <c r="M317" s="32" t="str">
        <f ca="1">IF(B317="","",SUM(C317:OFFSET(C317,-SafetyStock!$B$4+1,0)))</f>
        <v/>
      </c>
      <c r="N317" s="32" t="e">
        <f t="shared" ca="1" si="34"/>
        <v>#DIV/0!</v>
      </c>
      <c r="O317" s="30">
        <f t="shared" si="32"/>
        <v>317</v>
      </c>
      <c r="P317" s="32">
        <f t="shared" ca="1" si="35"/>
        <v>0</v>
      </c>
      <c r="Q317" s="32">
        <f ca="1">IF(LeadTime=0,P317,IF(AND(SUM(Q316:OFFSET(Q317,-LeadTime,0))=0,P317&gt;0),MAX(P317:OFFSET(P317,-LeadTime+1,0)),0))</f>
        <v>0</v>
      </c>
    </row>
    <row r="318" spans="1:17" x14ac:dyDescent="0.25">
      <c r="A318" s="134">
        <v>41332</v>
      </c>
      <c r="B318" s="32"/>
      <c r="C318" s="32"/>
      <c r="D318" s="32"/>
      <c r="E318" s="32"/>
      <c r="F318" s="32">
        <f t="shared" si="36"/>
        <v>0</v>
      </c>
      <c r="G318" s="30" t="str">
        <f t="shared" ca="1" si="29"/>
        <v>History</v>
      </c>
      <c r="H318" s="30">
        <f t="shared" si="30"/>
        <v>2013</v>
      </c>
      <c r="I318" s="30">
        <f t="shared" si="31"/>
        <v>2</v>
      </c>
      <c r="J318" s="30">
        <f t="shared" si="33"/>
        <v>9</v>
      </c>
      <c r="K318" s="30">
        <v>1</v>
      </c>
      <c r="L318" s="30">
        <f ca="1">SUM(K318:OFFSET(RngToDay,ROWS(Dates),10))</f>
        <v>183</v>
      </c>
      <c r="M318" s="32" t="str">
        <f ca="1">IF(B318="","",SUM(C318:OFFSET(C318,-SafetyStock!$B$4+1,0)))</f>
        <v/>
      </c>
      <c r="N318" s="32" t="e">
        <f t="shared" ca="1" si="34"/>
        <v>#DIV/0!</v>
      </c>
      <c r="O318" s="30">
        <f t="shared" si="32"/>
        <v>318</v>
      </c>
      <c r="P318" s="32">
        <f t="shared" ca="1" si="35"/>
        <v>0</v>
      </c>
      <c r="Q318" s="32">
        <f ca="1">IF(LeadTime=0,P318,IF(AND(SUM(Q317:OFFSET(Q318,-LeadTime,0))=0,P318&gt;0),MAX(P318:OFFSET(P318,-LeadTime+1,0)),0))</f>
        <v>0</v>
      </c>
    </row>
    <row r="319" spans="1:17" x14ac:dyDescent="0.25">
      <c r="A319" s="134">
        <v>41331</v>
      </c>
      <c r="B319" s="32"/>
      <c r="C319" s="32"/>
      <c r="D319" s="32"/>
      <c r="E319" s="32"/>
      <c r="F319" s="32">
        <f t="shared" si="36"/>
        <v>0</v>
      </c>
      <c r="G319" s="30" t="str">
        <f t="shared" ca="1" si="29"/>
        <v>History</v>
      </c>
      <c r="H319" s="30">
        <f t="shared" si="30"/>
        <v>2013</v>
      </c>
      <c r="I319" s="30">
        <f t="shared" si="31"/>
        <v>2</v>
      </c>
      <c r="J319" s="30">
        <f t="shared" si="33"/>
        <v>9</v>
      </c>
      <c r="K319" s="30">
        <v>1</v>
      </c>
      <c r="L319" s="30">
        <f ca="1">SUM(K319:OFFSET(RngToDay,ROWS(Dates),10))</f>
        <v>182</v>
      </c>
      <c r="M319" s="32" t="str">
        <f ca="1">IF(B319="","",SUM(C319:OFFSET(C319,-SafetyStock!$B$4+1,0)))</f>
        <v/>
      </c>
      <c r="N319" s="32" t="e">
        <f t="shared" ca="1" si="34"/>
        <v>#DIV/0!</v>
      </c>
      <c r="O319" s="30">
        <f t="shared" si="32"/>
        <v>319</v>
      </c>
      <c r="P319" s="32">
        <f t="shared" ca="1" si="35"/>
        <v>0</v>
      </c>
      <c r="Q319" s="32">
        <f ca="1">IF(LeadTime=0,P319,IF(AND(SUM(Q318:OFFSET(Q319,-LeadTime,0))=0,P319&gt;0),MAX(P319:OFFSET(P319,-LeadTime+1,0)),0))</f>
        <v>0</v>
      </c>
    </row>
    <row r="320" spans="1:17" x14ac:dyDescent="0.25">
      <c r="A320" s="134">
        <v>41330</v>
      </c>
      <c r="B320" s="32"/>
      <c r="C320" s="32"/>
      <c r="D320" s="32"/>
      <c r="E320" s="32"/>
      <c r="F320" s="32">
        <f t="shared" si="36"/>
        <v>0</v>
      </c>
      <c r="G320" s="30" t="str">
        <f t="shared" ca="1" si="29"/>
        <v>History</v>
      </c>
      <c r="H320" s="30">
        <f t="shared" si="30"/>
        <v>2013</v>
      </c>
      <c r="I320" s="30">
        <f t="shared" si="31"/>
        <v>2</v>
      </c>
      <c r="J320" s="30">
        <f t="shared" si="33"/>
        <v>9</v>
      </c>
      <c r="K320" s="30">
        <v>1</v>
      </c>
      <c r="L320" s="30">
        <f ca="1">SUM(K320:OFFSET(RngToDay,ROWS(Dates),10))</f>
        <v>181</v>
      </c>
      <c r="M320" s="32" t="str">
        <f ca="1">IF(B320="","",SUM(C320:OFFSET(C320,-SafetyStock!$B$4+1,0)))</f>
        <v/>
      </c>
      <c r="N320" s="32" t="e">
        <f t="shared" ca="1" si="34"/>
        <v>#DIV/0!</v>
      </c>
      <c r="O320" s="30">
        <f t="shared" si="32"/>
        <v>320</v>
      </c>
      <c r="P320" s="32">
        <f t="shared" ca="1" si="35"/>
        <v>0</v>
      </c>
      <c r="Q320" s="32">
        <f ca="1">IF(LeadTime=0,P320,IF(AND(SUM(Q319:OFFSET(Q320,-LeadTime,0))=0,P320&gt;0),MAX(P320:OFFSET(P320,-LeadTime+1,0)),0))</f>
        <v>0</v>
      </c>
    </row>
    <row r="321" spans="1:17" x14ac:dyDescent="0.25">
      <c r="A321" s="134">
        <v>41327</v>
      </c>
      <c r="B321" s="32"/>
      <c r="C321" s="32"/>
      <c r="D321" s="32"/>
      <c r="E321" s="32"/>
      <c r="F321" s="32">
        <f t="shared" si="36"/>
        <v>0</v>
      </c>
      <c r="G321" s="30" t="str">
        <f t="shared" ca="1" si="29"/>
        <v>History</v>
      </c>
      <c r="H321" s="30">
        <f t="shared" si="30"/>
        <v>2013</v>
      </c>
      <c r="I321" s="30">
        <f t="shared" si="31"/>
        <v>2</v>
      </c>
      <c r="J321" s="30">
        <f t="shared" si="33"/>
        <v>8</v>
      </c>
      <c r="K321" s="30">
        <v>1</v>
      </c>
      <c r="L321" s="30">
        <f ca="1">SUM(K321:OFFSET(RngToDay,ROWS(Dates),10))</f>
        <v>180</v>
      </c>
      <c r="M321" s="32" t="str">
        <f ca="1">IF(B321="","",SUM(C321:OFFSET(C321,-SafetyStock!$B$4+1,0)))</f>
        <v/>
      </c>
      <c r="N321" s="32" t="e">
        <f t="shared" ca="1" si="34"/>
        <v>#DIV/0!</v>
      </c>
      <c r="O321" s="30">
        <f t="shared" si="32"/>
        <v>321</v>
      </c>
      <c r="P321" s="32">
        <f t="shared" ca="1" si="35"/>
        <v>0</v>
      </c>
      <c r="Q321" s="32">
        <f ca="1">IF(LeadTime=0,P321,IF(AND(SUM(Q320:OFFSET(Q321,-LeadTime,0))=0,P321&gt;0),MAX(P321:OFFSET(P321,-LeadTime+1,0)),0))</f>
        <v>0</v>
      </c>
    </row>
    <row r="322" spans="1:17" x14ac:dyDescent="0.25">
      <c r="A322" s="134">
        <v>41326</v>
      </c>
      <c r="B322" s="32"/>
      <c r="C322" s="32"/>
      <c r="D322" s="32"/>
      <c r="E322" s="32"/>
      <c r="F322" s="32">
        <f t="shared" si="36"/>
        <v>0</v>
      </c>
      <c r="G322" s="30" t="str">
        <f t="shared" ca="1" si="29"/>
        <v>History</v>
      </c>
      <c r="H322" s="30">
        <f t="shared" si="30"/>
        <v>2013</v>
      </c>
      <c r="I322" s="30">
        <f t="shared" si="31"/>
        <v>2</v>
      </c>
      <c r="J322" s="30">
        <f t="shared" si="33"/>
        <v>8</v>
      </c>
      <c r="K322" s="30">
        <v>1</v>
      </c>
      <c r="L322" s="30">
        <f ca="1">SUM(K322:OFFSET(RngToDay,ROWS(Dates),10))</f>
        <v>179</v>
      </c>
      <c r="M322" s="32" t="str">
        <f ca="1">IF(B322="","",SUM(C322:OFFSET(C322,-SafetyStock!$B$4+1,0)))</f>
        <v/>
      </c>
      <c r="N322" s="32" t="e">
        <f t="shared" ca="1" si="34"/>
        <v>#DIV/0!</v>
      </c>
      <c r="O322" s="30">
        <f t="shared" si="32"/>
        <v>322</v>
      </c>
      <c r="P322" s="32">
        <f t="shared" ca="1" si="35"/>
        <v>0</v>
      </c>
      <c r="Q322" s="32">
        <f ca="1">IF(LeadTime=0,P322,IF(AND(SUM(Q321:OFFSET(Q322,-LeadTime,0))=0,P322&gt;0),MAX(P322:OFFSET(P322,-LeadTime+1,0)),0))</f>
        <v>0</v>
      </c>
    </row>
    <row r="323" spans="1:17" x14ac:dyDescent="0.25">
      <c r="A323" s="134">
        <v>41325</v>
      </c>
      <c r="B323" s="32"/>
      <c r="C323" s="32"/>
      <c r="D323" s="32"/>
      <c r="E323" s="32"/>
      <c r="F323" s="32">
        <f t="shared" si="36"/>
        <v>0</v>
      </c>
      <c r="G323" s="30" t="str">
        <f t="shared" ref="G323:G386" ca="1" si="37">IF(A323&gt;TODAY(),"Requirements","History")</f>
        <v>History</v>
      </c>
      <c r="H323" s="30">
        <f t="shared" ref="H323:H386" si="38">YEAR(A323)</f>
        <v>2013</v>
      </c>
      <c r="I323" s="30">
        <f t="shared" ref="I323:I386" si="39">MONTH(A323)</f>
        <v>2</v>
      </c>
      <c r="J323" s="30">
        <f t="shared" si="33"/>
        <v>8</v>
      </c>
      <c r="K323" s="30">
        <v>1</v>
      </c>
      <c r="L323" s="30">
        <f ca="1">SUM(K323:OFFSET(RngToDay,ROWS(Dates),10))</f>
        <v>178</v>
      </c>
      <c r="M323" s="32" t="str">
        <f ca="1">IF(B323="","",SUM(C323:OFFSET(C323,-SafetyStock!$B$4+1,0)))</f>
        <v/>
      </c>
      <c r="N323" s="32" t="e">
        <f t="shared" ca="1" si="34"/>
        <v>#DIV/0!</v>
      </c>
      <c r="O323" s="30">
        <f t="shared" si="32"/>
        <v>323</v>
      </c>
      <c r="P323" s="32">
        <f t="shared" ca="1" si="35"/>
        <v>0</v>
      </c>
      <c r="Q323" s="32">
        <f ca="1">IF(LeadTime=0,P323,IF(AND(SUM(Q322:OFFSET(Q323,-LeadTime,0))=0,P323&gt;0),MAX(P323:OFFSET(P323,-LeadTime+1,0)),0))</f>
        <v>0</v>
      </c>
    </row>
    <row r="324" spans="1:17" x14ac:dyDescent="0.25">
      <c r="A324" s="134">
        <v>41324</v>
      </c>
      <c r="B324" s="32"/>
      <c r="C324" s="32"/>
      <c r="D324" s="32"/>
      <c r="E324" s="32"/>
      <c r="F324" s="32">
        <f t="shared" si="36"/>
        <v>0</v>
      </c>
      <c r="G324" s="30" t="str">
        <f t="shared" ca="1" si="37"/>
        <v>History</v>
      </c>
      <c r="H324" s="30">
        <f t="shared" si="38"/>
        <v>2013</v>
      </c>
      <c r="I324" s="30">
        <f t="shared" si="39"/>
        <v>2</v>
      </c>
      <c r="J324" s="30">
        <f t="shared" si="33"/>
        <v>8</v>
      </c>
      <c r="K324" s="30">
        <v>1</v>
      </c>
      <c r="L324" s="30">
        <f ca="1">SUM(K324:OFFSET(RngToDay,ROWS(Dates),10))</f>
        <v>177</v>
      </c>
      <c r="M324" s="32" t="str">
        <f ca="1">IF(B324="","",SUM(C324:OFFSET(C324,-SafetyStock!$B$4+1,0)))</f>
        <v/>
      </c>
      <c r="N324" s="32" t="e">
        <f t="shared" ca="1" si="34"/>
        <v>#DIV/0!</v>
      </c>
      <c r="O324" s="30">
        <f t="shared" ref="O324:O387" si="40">O323+1</f>
        <v>324</v>
      </c>
      <c r="P324" s="32">
        <f t="shared" ca="1" si="35"/>
        <v>0</v>
      </c>
      <c r="Q324" s="32">
        <f ca="1">IF(LeadTime=0,P324,IF(AND(SUM(Q323:OFFSET(Q324,-LeadTime,0))=0,P324&gt;0),MAX(P324:OFFSET(P324,-LeadTime+1,0)),0))</f>
        <v>0</v>
      </c>
    </row>
    <row r="325" spans="1:17" x14ac:dyDescent="0.25">
      <c r="A325" s="134">
        <v>41323</v>
      </c>
      <c r="B325" s="32"/>
      <c r="C325" s="32"/>
      <c r="D325" s="32"/>
      <c r="E325" s="32"/>
      <c r="F325" s="32">
        <f t="shared" si="36"/>
        <v>0</v>
      </c>
      <c r="G325" s="30" t="str">
        <f t="shared" ca="1" si="37"/>
        <v>History</v>
      </c>
      <c r="H325" s="30">
        <f t="shared" si="38"/>
        <v>2013</v>
      </c>
      <c r="I325" s="30">
        <f t="shared" si="39"/>
        <v>2</v>
      </c>
      <c r="J325" s="30">
        <f t="shared" si="33"/>
        <v>8</v>
      </c>
      <c r="K325" s="30">
        <v>1</v>
      </c>
      <c r="L325" s="30">
        <f ca="1">SUM(K325:OFFSET(RngToDay,ROWS(Dates),10))</f>
        <v>176</v>
      </c>
      <c r="M325" s="32" t="str">
        <f ca="1">IF(B325="","",SUM(C325:OFFSET(C325,-SafetyStock!$B$4+1,0)))</f>
        <v/>
      </c>
      <c r="N325" s="32" t="e">
        <f t="shared" ca="1" si="34"/>
        <v>#DIV/0!</v>
      </c>
      <c r="O325" s="30">
        <f t="shared" si="40"/>
        <v>325</v>
      </c>
      <c r="P325" s="32">
        <f t="shared" ca="1" si="35"/>
        <v>0</v>
      </c>
      <c r="Q325" s="32">
        <f ca="1">IF(LeadTime=0,P325,IF(AND(SUM(Q324:OFFSET(Q325,-LeadTime,0))=0,P325&gt;0),MAX(P325:OFFSET(P325,-LeadTime+1,0)),0))</f>
        <v>0</v>
      </c>
    </row>
    <row r="326" spans="1:17" x14ac:dyDescent="0.25">
      <c r="A326" s="134">
        <v>41320</v>
      </c>
      <c r="B326" s="32"/>
      <c r="C326" s="32"/>
      <c r="D326" s="32"/>
      <c r="E326" s="32"/>
      <c r="F326" s="32">
        <f t="shared" si="36"/>
        <v>0</v>
      </c>
      <c r="G326" s="30" t="str">
        <f t="shared" ca="1" si="37"/>
        <v>History</v>
      </c>
      <c r="H326" s="30">
        <f t="shared" si="38"/>
        <v>2013</v>
      </c>
      <c r="I326" s="30">
        <f t="shared" si="39"/>
        <v>2</v>
      </c>
      <c r="J326" s="30">
        <f t="shared" si="33"/>
        <v>7</v>
      </c>
      <c r="K326" s="30">
        <v>1</v>
      </c>
      <c r="L326" s="30">
        <f ca="1">SUM(K326:OFFSET(RngToDay,ROWS(Dates),10))</f>
        <v>175</v>
      </c>
      <c r="M326" s="32" t="str">
        <f ca="1">IF(B326="","",SUM(C326:OFFSET(C326,-SafetyStock!$B$4+1,0)))</f>
        <v/>
      </c>
      <c r="N326" s="32" t="e">
        <f t="shared" ca="1" si="34"/>
        <v>#DIV/0!</v>
      </c>
      <c r="O326" s="30">
        <f t="shared" si="40"/>
        <v>326</v>
      </c>
      <c r="P326" s="32">
        <f t="shared" ca="1" si="35"/>
        <v>0</v>
      </c>
      <c r="Q326" s="32">
        <f ca="1">IF(LeadTime=0,P326,IF(AND(SUM(Q325:OFFSET(Q326,-LeadTime,0))=0,P326&gt;0),MAX(P326:OFFSET(P326,-LeadTime+1,0)),0))</f>
        <v>0</v>
      </c>
    </row>
    <row r="327" spans="1:17" x14ac:dyDescent="0.25">
      <c r="A327" s="134">
        <v>41319</v>
      </c>
      <c r="B327" s="32"/>
      <c r="C327" s="32"/>
      <c r="D327" s="32"/>
      <c r="E327" s="32"/>
      <c r="F327" s="32">
        <f t="shared" si="36"/>
        <v>0</v>
      </c>
      <c r="G327" s="30" t="str">
        <f t="shared" ca="1" si="37"/>
        <v>History</v>
      </c>
      <c r="H327" s="30">
        <f t="shared" si="38"/>
        <v>2013</v>
      </c>
      <c r="I327" s="30">
        <f t="shared" si="39"/>
        <v>2</v>
      </c>
      <c r="J327" s="30">
        <f t="shared" si="33"/>
        <v>7</v>
      </c>
      <c r="K327" s="30">
        <v>1</v>
      </c>
      <c r="L327" s="30">
        <f ca="1">SUM(K327:OFFSET(RngToDay,ROWS(Dates),10))</f>
        <v>174</v>
      </c>
      <c r="M327" s="32" t="str">
        <f ca="1">IF(B327="","",SUM(C327:OFFSET(C327,-SafetyStock!$B$4+1,0)))</f>
        <v/>
      </c>
      <c r="N327" s="32" t="e">
        <f t="shared" ca="1" si="34"/>
        <v>#DIV/0!</v>
      </c>
      <c r="O327" s="30">
        <f t="shared" si="40"/>
        <v>327</v>
      </c>
      <c r="P327" s="32">
        <f t="shared" ca="1" si="35"/>
        <v>0</v>
      </c>
      <c r="Q327" s="32">
        <f ca="1">IF(LeadTime=0,P327,IF(AND(SUM(Q326:OFFSET(Q327,-LeadTime,0))=0,P327&gt;0),MAX(P327:OFFSET(P327,-LeadTime+1,0)),0))</f>
        <v>0</v>
      </c>
    </row>
    <row r="328" spans="1:17" x14ac:dyDescent="0.25">
      <c r="A328" s="134">
        <v>41318</v>
      </c>
      <c r="B328" s="32"/>
      <c r="C328" s="32"/>
      <c r="D328" s="32"/>
      <c r="E328" s="32"/>
      <c r="F328" s="32">
        <f t="shared" si="36"/>
        <v>0</v>
      </c>
      <c r="G328" s="30" t="str">
        <f t="shared" ca="1" si="37"/>
        <v>History</v>
      </c>
      <c r="H328" s="30">
        <f t="shared" si="38"/>
        <v>2013</v>
      </c>
      <c r="I328" s="30">
        <f t="shared" si="39"/>
        <v>2</v>
      </c>
      <c r="J328" s="30">
        <f t="shared" si="33"/>
        <v>7</v>
      </c>
      <c r="K328" s="30">
        <v>1</v>
      </c>
      <c r="L328" s="30">
        <f ca="1">SUM(K328:OFFSET(RngToDay,ROWS(Dates),10))</f>
        <v>173</v>
      </c>
      <c r="M328" s="32" t="str">
        <f ca="1">IF(B328="","",SUM(C328:OFFSET(C328,-SafetyStock!$B$4+1,0)))</f>
        <v/>
      </c>
      <c r="N328" s="32" t="e">
        <f t="shared" ca="1" si="34"/>
        <v>#DIV/0!</v>
      </c>
      <c r="O328" s="30">
        <f t="shared" si="40"/>
        <v>328</v>
      </c>
      <c r="P328" s="32">
        <f t="shared" ca="1" si="35"/>
        <v>0</v>
      </c>
      <c r="Q328" s="32">
        <f ca="1">IF(LeadTime=0,P328,IF(AND(SUM(Q327:OFFSET(Q328,-LeadTime,0))=0,P328&gt;0),MAX(P328:OFFSET(P328,-LeadTime+1,0)),0))</f>
        <v>0</v>
      </c>
    </row>
    <row r="329" spans="1:17" x14ac:dyDescent="0.25">
      <c r="A329" s="134">
        <v>41317</v>
      </c>
      <c r="B329" s="32"/>
      <c r="C329" s="32"/>
      <c r="D329" s="32"/>
      <c r="E329" s="32"/>
      <c r="F329" s="32">
        <f t="shared" si="36"/>
        <v>0</v>
      </c>
      <c r="G329" s="30" t="str">
        <f t="shared" ca="1" si="37"/>
        <v>History</v>
      </c>
      <c r="H329" s="30">
        <f t="shared" si="38"/>
        <v>2013</v>
      </c>
      <c r="I329" s="30">
        <f t="shared" si="39"/>
        <v>2</v>
      </c>
      <c r="J329" s="30">
        <f t="shared" si="33"/>
        <v>7</v>
      </c>
      <c r="K329" s="30">
        <v>1</v>
      </c>
      <c r="L329" s="30">
        <f ca="1">SUM(K329:OFFSET(RngToDay,ROWS(Dates),10))</f>
        <v>172</v>
      </c>
      <c r="M329" s="32" t="str">
        <f ca="1">IF(B329="","",SUM(C329:OFFSET(C329,-SafetyStock!$B$4+1,0)))</f>
        <v/>
      </c>
      <c r="N329" s="32" t="e">
        <f t="shared" ca="1" si="34"/>
        <v>#DIV/0!</v>
      </c>
      <c r="O329" s="30">
        <f t="shared" si="40"/>
        <v>329</v>
      </c>
      <c r="P329" s="32">
        <f t="shared" ca="1" si="35"/>
        <v>0</v>
      </c>
      <c r="Q329" s="32">
        <f ca="1">IF(LeadTime=0,P329,IF(AND(SUM(Q328:OFFSET(Q329,-LeadTime,0))=0,P329&gt;0),MAX(P329:OFFSET(P329,-LeadTime+1,0)),0))</f>
        <v>0</v>
      </c>
    </row>
    <row r="330" spans="1:17" x14ac:dyDescent="0.25">
      <c r="A330" s="134">
        <v>41316</v>
      </c>
      <c r="B330" s="32"/>
      <c r="C330" s="32"/>
      <c r="D330" s="32"/>
      <c r="E330" s="32"/>
      <c r="F330" s="32">
        <f t="shared" si="36"/>
        <v>0</v>
      </c>
      <c r="G330" s="30" t="str">
        <f t="shared" ca="1" si="37"/>
        <v>History</v>
      </c>
      <c r="H330" s="30">
        <f t="shared" si="38"/>
        <v>2013</v>
      </c>
      <c r="I330" s="30">
        <f t="shared" si="39"/>
        <v>2</v>
      </c>
      <c r="J330" s="30">
        <f t="shared" si="33"/>
        <v>7</v>
      </c>
      <c r="K330" s="30">
        <v>1</v>
      </c>
      <c r="L330" s="30">
        <f ca="1">SUM(K330:OFFSET(RngToDay,ROWS(Dates),10))</f>
        <v>171</v>
      </c>
      <c r="M330" s="32" t="str">
        <f ca="1">IF(B330="","",SUM(C330:OFFSET(C330,-SafetyStock!$B$4+1,0)))</f>
        <v/>
      </c>
      <c r="N330" s="32" t="e">
        <f t="shared" ca="1" si="34"/>
        <v>#DIV/0!</v>
      </c>
      <c r="O330" s="30">
        <f t="shared" si="40"/>
        <v>330</v>
      </c>
      <c r="P330" s="32">
        <f t="shared" ca="1" si="35"/>
        <v>0</v>
      </c>
      <c r="Q330" s="32">
        <f ca="1">IF(LeadTime=0,P330,IF(AND(SUM(Q329:OFFSET(Q330,-LeadTime,0))=0,P330&gt;0),MAX(P330:OFFSET(P330,-LeadTime+1,0)),0))</f>
        <v>0</v>
      </c>
    </row>
    <row r="331" spans="1:17" x14ac:dyDescent="0.25">
      <c r="A331" s="134">
        <v>41313</v>
      </c>
      <c r="B331" s="32"/>
      <c r="C331" s="32"/>
      <c r="D331" s="32"/>
      <c r="E331" s="32"/>
      <c r="F331" s="32">
        <f t="shared" si="36"/>
        <v>0</v>
      </c>
      <c r="G331" s="30" t="str">
        <f t="shared" ca="1" si="37"/>
        <v>History</v>
      </c>
      <c r="H331" s="30">
        <f t="shared" si="38"/>
        <v>2013</v>
      </c>
      <c r="I331" s="30">
        <f t="shared" si="39"/>
        <v>2</v>
      </c>
      <c r="J331" s="30">
        <f t="shared" si="33"/>
        <v>6</v>
      </c>
      <c r="K331" s="30">
        <v>1</v>
      </c>
      <c r="L331" s="30">
        <f ca="1">SUM(K331:OFFSET(RngToDay,ROWS(Dates),10))</f>
        <v>170</v>
      </c>
      <c r="M331" s="32" t="str">
        <f ca="1">IF(B331="","",SUM(C331:OFFSET(C331,-SafetyStock!$B$4+1,0)))</f>
        <v/>
      </c>
      <c r="N331" s="32" t="e">
        <f t="shared" ca="1" si="34"/>
        <v>#DIV/0!</v>
      </c>
      <c r="O331" s="30">
        <f t="shared" si="40"/>
        <v>331</v>
      </c>
      <c r="P331" s="32">
        <f t="shared" ca="1" si="35"/>
        <v>0</v>
      </c>
      <c r="Q331" s="32">
        <f ca="1">IF(LeadTime=0,P331,IF(AND(SUM(Q330:OFFSET(Q331,-LeadTime,0))=0,P331&gt;0),MAX(P331:OFFSET(P331,-LeadTime+1,0)),0))</f>
        <v>0</v>
      </c>
    </row>
    <row r="332" spans="1:17" x14ac:dyDescent="0.25">
      <c r="A332" s="134">
        <v>41312</v>
      </c>
      <c r="B332" s="32"/>
      <c r="C332" s="32"/>
      <c r="D332" s="32"/>
      <c r="E332" s="32"/>
      <c r="F332" s="32">
        <f t="shared" si="36"/>
        <v>0</v>
      </c>
      <c r="G332" s="30" t="str">
        <f t="shared" ca="1" si="37"/>
        <v>History</v>
      </c>
      <c r="H332" s="30">
        <f t="shared" si="38"/>
        <v>2013</v>
      </c>
      <c r="I332" s="30">
        <f t="shared" si="39"/>
        <v>2</v>
      </c>
      <c r="J332" s="30">
        <f t="shared" si="33"/>
        <v>6</v>
      </c>
      <c r="K332" s="30">
        <v>1</v>
      </c>
      <c r="L332" s="30">
        <f ca="1">SUM(K332:OFFSET(RngToDay,ROWS(Dates),10))</f>
        <v>169</v>
      </c>
      <c r="M332" s="32" t="str">
        <f ca="1">IF(B332="","",SUM(C332:OFFSET(C332,-SafetyStock!$B$4+1,0)))</f>
        <v/>
      </c>
      <c r="N332" s="32" t="e">
        <f t="shared" ca="1" si="34"/>
        <v>#DIV/0!</v>
      </c>
      <c r="O332" s="30">
        <f t="shared" si="40"/>
        <v>332</v>
      </c>
      <c r="P332" s="32">
        <f t="shared" ca="1" si="35"/>
        <v>0</v>
      </c>
      <c r="Q332" s="32">
        <f ca="1">IF(LeadTime=0,P332,IF(AND(SUM(Q331:OFFSET(Q332,-LeadTime,0))=0,P332&gt;0),MAX(P332:OFFSET(P332,-LeadTime+1,0)),0))</f>
        <v>0</v>
      </c>
    </row>
    <row r="333" spans="1:17" x14ac:dyDescent="0.25">
      <c r="A333" s="134">
        <v>41311</v>
      </c>
      <c r="B333" s="32"/>
      <c r="C333" s="32"/>
      <c r="D333" s="32"/>
      <c r="E333" s="32"/>
      <c r="F333" s="32">
        <f t="shared" si="36"/>
        <v>0</v>
      </c>
      <c r="G333" s="30" t="str">
        <f t="shared" ca="1" si="37"/>
        <v>History</v>
      </c>
      <c r="H333" s="30">
        <f t="shared" si="38"/>
        <v>2013</v>
      </c>
      <c r="I333" s="30">
        <f t="shared" si="39"/>
        <v>2</v>
      </c>
      <c r="J333" s="30">
        <f t="shared" si="33"/>
        <v>6</v>
      </c>
      <c r="K333" s="30">
        <v>1</v>
      </c>
      <c r="L333" s="30">
        <f ca="1">SUM(K333:OFFSET(RngToDay,ROWS(Dates),10))</f>
        <v>168</v>
      </c>
      <c r="M333" s="32" t="str">
        <f ca="1">IF(B333="","",SUM(C333:OFFSET(C333,-SafetyStock!$B$4+1,0)))</f>
        <v/>
      </c>
      <c r="N333" s="32" t="e">
        <f t="shared" ca="1" si="34"/>
        <v>#DIV/0!</v>
      </c>
      <c r="O333" s="30">
        <f t="shared" si="40"/>
        <v>333</v>
      </c>
      <c r="P333" s="32">
        <f t="shared" ca="1" si="35"/>
        <v>0</v>
      </c>
      <c r="Q333" s="32">
        <f ca="1">IF(LeadTime=0,P333,IF(AND(SUM(Q332:OFFSET(Q333,-LeadTime,0))=0,P333&gt;0),MAX(P333:OFFSET(P333,-LeadTime+1,0)),0))</f>
        <v>0</v>
      </c>
    </row>
    <row r="334" spans="1:17" x14ac:dyDescent="0.25">
      <c r="A334" s="134">
        <v>41310</v>
      </c>
      <c r="B334" s="32"/>
      <c r="C334" s="32"/>
      <c r="D334" s="32"/>
      <c r="E334" s="32"/>
      <c r="F334" s="32">
        <f t="shared" si="36"/>
        <v>0</v>
      </c>
      <c r="G334" s="30" t="str">
        <f t="shared" ca="1" si="37"/>
        <v>History</v>
      </c>
      <c r="H334" s="30">
        <f t="shared" si="38"/>
        <v>2013</v>
      </c>
      <c r="I334" s="30">
        <f t="shared" si="39"/>
        <v>2</v>
      </c>
      <c r="J334" s="30">
        <f t="shared" si="33"/>
        <v>6</v>
      </c>
      <c r="K334" s="30">
        <v>1</v>
      </c>
      <c r="L334" s="30">
        <f ca="1">SUM(K334:OFFSET(RngToDay,ROWS(Dates),10))</f>
        <v>167</v>
      </c>
      <c r="M334" s="32" t="str">
        <f ca="1">IF(B334="","",SUM(C334:OFFSET(C334,-SafetyStock!$B$4+1,0)))</f>
        <v/>
      </c>
      <c r="N334" s="32" t="e">
        <f t="shared" ca="1" si="34"/>
        <v>#DIV/0!</v>
      </c>
      <c r="O334" s="30">
        <f t="shared" si="40"/>
        <v>334</v>
      </c>
      <c r="P334" s="32">
        <f t="shared" ca="1" si="35"/>
        <v>0</v>
      </c>
      <c r="Q334" s="32">
        <f ca="1">IF(LeadTime=0,P334,IF(AND(SUM(Q333:OFFSET(Q334,-LeadTime,0))=0,P334&gt;0),MAX(P334:OFFSET(P334,-LeadTime+1,0)),0))</f>
        <v>0</v>
      </c>
    </row>
    <row r="335" spans="1:17" x14ac:dyDescent="0.25">
      <c r="A335" s="134">
        <v>41309</v>
      </c>
      <c r="B335" s="32"/>
      <c r="C335" s="32"/>
      <c r="D335" s="32"/>
      <c r="E335" s="32"/>
      <c r="F335" s="32">
        <f t="shared" si="36"/>
        <v>0</v>
      </c>
      <c r="G335" s="30" t="str">
        <f t="shared" ca="1" si="37"/>
        <v>History</v>
      </c>
      <c r="H335" s="30">
        <f t="shared" si="38"/>
        <v>2013</v>
      </c>
      <c r="I335" s="30">
        <f t="shared" si="39"/>
        <v>2</v>
      </c>
      <c r="J335" s="30">
        <f t="shared" si="33"/>
        <v>6</v>
      </c>
      <c r="K335" s="30">
        <v>1</v>
      </c>
      <c r="L335" s="30">
        <f ca="1">SUM(K335:OFFSET(RngToDay,ROWS(Dates),10))</f>
        <v>166</v>
      </c>
      <c r="M335" s="32" t="str">
        <f ca="1">IF(B335="","",SUM(C335:OFFSET(C335,-SafetyStock!$B$4+1,0)))</f>
        <v/>
      </c>
      <c r="N335" s="32" t="e">
        <f t="shared" ca="1" si="34"/>
        <v>#DIV/0!</v>
      </c>
      <c r="O335" s="30">
        <f t="shared" si="40"/>
        <v>335</v>
      </c>
      <c r="P335" s="32">
        <f t="shared" ca="1" si="35"/>
        <v>0</v>
      </c>
      <c r="Q335" s="32">
        <f ca="1">IF(LeadTime=0,P335,IF(AND(SUM(Q334:OFFSET(Q335,-LeadTime,0))=0,P335&gt;0),MAX(P335:OFFSET(P335,-LeadTime+1,0)),0))</f>
        <v>0</v>
      </c>
    </row>
    <row r="336" spans="1:17" x14ac:dyDescent="0.25">
      <c r="A336" s="134">
        <v>41306</v>
      </c>
      <c r="B336" s="32"/>
      <c r="C336" s="32"/>
      <c r="D336" s="32"/>
      <c r="E336" s="32"/>
      <c r="F336" s="32">
        <f t="shared" si="36"/>
        <v>0</v>
      </c>
      <c r="G336" s="30" t="str">
        <f t="shared" ca="1" si="37"/>
        <v>History</v>
      </c>
      <c r="H336" s="30">
        <f t="shared" si="38"/>
        <v>2013</v>
      </c>
      <c r="I336" s="30">
        <f t="shared" si="39"/>
        <v>2</v>
      </c>
      <c r="J336" s="30">
        <f t="shared" si="33"/>
        <v>5</v>
      </c>
      <c r="K336" s="30">
        <v>1</v>
      </c>
      <c r="L336" s="30">
        <f ca="1">SUM(K336:OFFSET(RngToDay,ROWS(Dates),10))</f>
        <v>165</v>
      </c>
      <c r="M336" s="32" t="str">
        <f ca="1">IF(B336="","",SUM(C336:OFFSET(C336,-SafetyStock!$B$4+1,0)))</f>
        <v/>
      </c>
      <c r="N336" s="32" t="e">
        <f t="shared" ca="1" si="34"/>
        <v>#DIV/0!</v>
      </c>
      <c r="O336" s="30">
        <f t="shared" si="40"/>
        <v>336</v>
      </c>
      <c r="P336" s="32">
        <f t="shared" ca="1" si="35"/>
        <v>0</v>
      </c>
      <c r="Q336" s="32">
        <f ca="1">IF(LeadTime=0,P336,IF(AND(SUM(Q335:OFFSET(Q336,-LeadTime,0))=0,P336&gt;0),MAX(P336:OFFSET(P336,-LeadTime+1,0)),0))</f>
        <v>0</v>
      </c>
    </row>
    <row r="337" spans="1:17" x14ac:dyDescent="0.25">
      <c r="A337" s="134">
        <v>41305</v>
      </c>
      <c r="B337" s="32"/>
      <c r="C337" s="32"/>
      <c r="D337" s="32"/>
      <c r="E337" s="32"/>
      <c r="F337" s="32">
        <f t="shared" si="36"/>
        <v>0</v>
      </c>
      <c r="G337" s="30" t="str">
        <f t="shared" ca="1" si="37"/>
        <v>History</v>
      </c>
      <c r="H337" s="30">
        <f t="shared" si="38"/>
        <v>2013</v>
      </c>
      <c r="I337" s="30">
        <f t="shared" si="39"/>
        <v>1</v>
      </c>
      <c r="J337" s="30">
        <f t="shared" si="33"/>
        <v>5</v>
      </c>
      <c r="K337" s="30">
        <v>1</v>
      </c>
      <c r="L337" s="30">
        <f ca="1">SUM(K337:OFFSET(RngToDay,ROWS(Dates),10))</f>
        <v>164</v>
      </c>
      <c r="M337" s="32" t="str">
        <f ca="1">IF(B337="","",SUM(C337:OFFSET(C337,-SafetyStock!$B$4+1,0)))</f>
        <v/>
      </c>
      <c r="N337" s="32" t="e">
        <f t="shared" ca="1" si="34"/>
        <v>#DIV/0!</v>
      </c>
      <c r="O337" s="30">
        <f t="shared" si="40"/>
        <v>337</v>
      </c>
      <c r="P337" s="32">
        <f t="shared" ca="1" si="35"/>
        <v>0</v>
      </c>
      <c r="Q337" s="32">
        <f ca="1">IF(LeadTime=0,P337,IF(AND(SUM(Q336:OFFSET(Q337,-LeadTime,0))=0,P337&gt;0),MAX(P337:OFFSET(P337,-LeadTime+1,0)),0))</f>
        <v>0</v>
      </c>
    </row>
    <row r="338" spans="1:17" x14ac:dyDescent="0.25">
      <c r="A338" s="134">
        <v>41304</v>
      </c>
      <c r="B338" s="32"/>
      <c r="C338" s="32"/>
      <c r="D338" s="32"/>
      <c r="E338" s="32"/>
      <c r="F338" s="32">
        <f t="shared" si="36"/>
        <v>0</v>
      </c>
      <c r="G338" s="30" t="str">
        <f t="shared" ca="1" si="37"/>
        <v>History</v>
      </c>
      <c r="H338" s="30">
        <f t="shared" si="38"/>
        <v>2013</v>
      </c>
      <c r="I338" s="30">
        <f t="shared" si="39"/>
        <v>1</v>
      </c>
      <c r="J338" s="30">
        <f t="shared" si="33"/>
        <v>5</v>
      </c>
      <c r="K338" s="30">
        <v>1</v>
      </c>
      <c r="L338" s="30">
        <f ca="1">SUM(K338:OFFSET(RngToDay,ROWS(Dates),10))</f>
        <v>163</v>
      </c>
      <c r="M338" s="32" t="str">
        <f ca="1">IF(B338="","",SUM(C338:OFFSET(C338,-SafetyStock!$B$4+1,0)))</f>
        <v/>
      </c>
      <c r="N338" s="32" t="e">
        <f t="shared" ca="1" si="34"/>
        <v>#DIV/0!</v>
      </c>
      <c r="O338" s="30">
        <f t="shared" si="40"/>
        <v>338</v>
      </c>
      <c r="P338" s="32">
        <f t="shared" ca="1" si="35"/>
        <v>0</v>
      </c>
      <c r="Q338" s="32">
        <f ca="1">IF(LeadTime=0,P338,IF(AND(SUM(Q337:OFFSET(Q338,-LeadTime,0))=0,P338&gt;0),MAX(P338:OFFSET(P338,-LeadTime+1,0)),0))</f>
        <v>0</v>
      </c>
    </row>
    <row r="339" spans="1:17" x14ac:dyDescent="0.25">
      <c r="A339" s="134">
        <v>41303</v>
      </c>
      <c r="B339" s="32"/>
      <c r="C339" s="32"/>
      <c r="D339" s="32"/>
      <c r="E339" s="32"/>
      <c r="F339" s="32">
        <f t="shared" si="36"/>
        <v>0</v>
      </c>
      <c r="G339" s="30" t="str">
        <f t="shared" ca="1" si="37"/>
        <v>History</v>
      </c>
      <c r="H339" s="30">
        <f t="shared" si="38"/>
        <v>2013</v>
      </c>
      <c r="I339" s="30">
        <f t="shared" si="39"/>
        <v>1</v>
      </c>
      <c r="J339" s="30">
        <f t="shared" si="33"/>
        <v>5</v>
      </c>
      <c r="K339" s="30">
        <v>1</v>
      </c>
      <c r="L339" s="30">
        <f ca="1">SUM(K339:OFFSET(RngToDay,ROWS(Dates),10))</f>
        <v>162</v>
      </c>
      <c r="M339" s="32" t="str">
        <f ca="1">IF(B339="","",SUM(C339:OFFSET(C339,-SafetyStock!$B$4+1,0)))</f>
        <v/>
      </c>
      <c r="N339" s="32" t="e">
        <f t="shared" ca="1" si="34"/>
        <v>#DIV/0!</v>
      </c>
      <c r="O339" s="30">
        <f t="shared" si="40"/>
        <v>339</v>
      </c>
      <c r="P339" s="32">
        <f t="shared" ca="1" si="35"/>
        <v>0</v>
      </c>
      <c r="Q339" s="32">
        <f ca="1">IF(LeadTime=0,P339,IF(AND(SUM(Q338:OFFSET(Q339,-LeadTime,0))=0,P339&gt;0),MAX(P339:OFFSET(P339,-LeadTime+1,0)),0))</f>
        <v>0</v>
      </c>
    </row>
    <row r="340" spans="1:17" x14ac:dyDescent="0.25">
      <c r="A340" s="134">
        <v>41302</v>
      </c>
      <c r="B340" s="32"/>
      <c r="C340" s="32"/>
      <c r="D340" s="32"/>
      <c r="E340" s="32"/>
      <c r="F340" s="32">
        <f t="shared" si="36"/>
        <v>0</v>
      </c>
      <c r="G340" s="30" t="str">
        <f t="shared" ca="1" si="37"/>
        <v>History</v>
      </c>
      <c r="H340" s="30">
        <f t="shared" si="38"/>
        <v>2013</v>
      </c>
      <c r="I340" s="30">
        <f t="shared" si="39"/>
        <v>1</v>
      </c>
      <c r="J340" s="30">
        <f t="shared" si="33"/>
        <v>5</v>
      </c>
      <c r="K340" s="30">
        <v>1</v>
      </c>
      <c r="L340" s="30">
        <f ca="1">SUM(K340:OFFSET(RngToDay,ROWS(Dates),10))</f>
        <v>161</v>
      </c>
      <c r="M340" s="32" t="str">
        <f ca="1">IF(B340="","",SUM(C340:OFFSET(C340,-SafetyStock!$B$4+1,0)))</f>
        <v/>
      </c>
      <c r="N340" s="32" t="e">
        <f t="shared" ca="1" si="34"/>
        <v>#DIV/0!</v>
      </c>
      <c r="O340" s="30">
        <f t="shared" si="40"/>
        <v>340</v>
      </c>
      <c r="P340" s="32">
        <f t="shared" ca="1" si="35"/>
        <v>0</v>
      </c>
      <c r="Q340" s="32">
        <f ca="1">IF(LeadTime=0,P340,IF(AND(SUM(Q339:OFFSET(Q340,-LeadTime,0))=0,P340&gt;0),MAX(P340:OFFSET(P340,-LeadTime+1,0)),0))</f>
        <v>0</v>
      </c>
    </row>
    <row r="341" spans="1:17" x14ac:dyDescent="0.25">
      <c r="A341" s="134">
        <v>41299</v>
      </c>
      <c r="B341" s="32"/>
      <c r="C341" s="32"/>
      <c r="D341" s="32"/>
      <c r="E341" s="32"/>
      <c r="F341" s="32">
        <f t="shared" si="36"/>
        <v>0</v>
      </c>
      <c r="G341" s="30" t="str">
        <f t="shared" ca="1" si="37"/>
        <v>History</v>
      </c>
      <c r="H341" s="30">
        <f t="shared" si="38"/>
        <v>2013</v>
      </c>
      <c r="I341" s="30">
        <f t="shared" si="39"/>
        <v>1</v>
      </c>
      <c r="J341" s="30">
        <f t="shared" si="33"/>
        <v>4</v>
      </c>
      <c r="K341" s="30">
        <v>1</v>
      </c>
      <c r="L341" s="30">
        <f ca="1">SUM(K341:OFFSET(RngToDay,ROWS(Dates),10))</f>
        <v>160</v>
      </c>
      <c r="M341" s="32" t="str">
        <f ca="1">IF(B341="","",SUM(C341:OFFSET(C341,-SafetyStock!$B$4+1,0)))</f>
        <v/>
      </c>
      <c r="N341" s="32" t="e">
        <f t="shared" ca="1" si="34"/>
        <v>#DIV/0!</v>
      </c>
      <c r="O341" s="30">
        <f t="shared" si="40"/>
        <v>341</v>
      </c>
      <c r="P341" s="32">
        <f t="shared" ca="1" si="35"/>
        <v>0</v>
      </c>
      <c r="Q341" s="32">
        <f ca="1">IF(LeadTime=0,P341,IF(AND(SUM(Q340:OFFSET(Q341,-LeadTime,0))=0,P341&gt;0),MAX(P341:OFFSET(P341,-LeadTime+1,0)),0))</f>
        <v>0</v>
      </c>
    </row>
    <row r="342" spans="1:17" x14ac:dyDescent="0.25">
      <c r="A342" s="134">
        <v>41298</v>
      </c>
      <c r="B342" s="32"/>
      <c r="C342" s="32"/>
      <c r="D342" s="32"/>
      <c r="E342" s="32"/>
      <c r="F342" s="32">
        <f t="shared" si="36"/>
        <v>0</v>
      </c>
      <c r="G342" s="30" t="str">
        <f t="shared" ca="1" si="37"/>
        <v>History</v>
      </c>
      <c r="H342" s="30">
        <f t="shared" si="38"/>
        <v>2013</v>
      </c>
      <c r="I342" s="30">
        <f t="shared" si="39"/>
        <v>1</v>
      </c>
      <c r="J342" s="30">
        <f t="shared" si="33"/>
        <v>4</v>
      </c>
      <c r="K342" s="30">
        <v>1</v>
      </c>
      <c r="L342" s="30">
        <f ca="1">SUM(K342:OFFSET(RngToDay,ROWS(Dates),10))</f>
        <v>159</v>
      </c>
      <c r="M342" s="32" t="str">
        <f ca="1">IF(B342="","",SUM(C342:OFFSET(C342,-SafetyStock!$B$4+1,0)))</f>
        <v/>
      </c>
      <c r="N342" s="32" t="e">
        <f t="shared" ca="1" si="34"/>
        <v>#DIV/0!</v>
      </c>
      <c r="O342" s="30">
        <f t="shared" si="40"/>
        <v>342</v>
      </c>
      <c r="P342" s="32">
        <f t="shared" ca="1" si="35"/>
        <v>0</v>
      </c>
      <c r="Q342" s="32">
        <f ca="1">IF(LeadTime=0,P342,IF(AND(SUM(Q341:OFFSET(Q342,-LeadTime,0))=0,P342&gt;0),MAX(P342:OFFSET(P342,-LeadTime+1,0)),0))</f>
        <v>0</v>
      </c>
    </row>
    <row r="343" spans="1:17" x14ac:dyDescent="0.25">
      <c r="A343" s="134">
        <v>41297</v>
      </c>
      <c r="B343" s="32"/>
      <c r="C343" s="32"/>
      <c r="D343" s="32"/>
      <c r="E343" s="32"/>
      <c r="F343" s="32">
        <f t="shared" si="36"/>
        <v>0</v>
      </c>
      <c r="G343" s="30" t="str">
        <f t="shared" ca="1" si="37"/>
        <v>History</v>
      </c>
      <c r="H343" s="30">
        <f t="shared" si="38"/>
        <v>2013</v>
      </c>
      <c r="I343" s="30">
        <f t="shared" si="39"/>
        <v>1</v>
      </c>
      <c r="J343" s="30">
        <f t="shared" si="33"/>
        <v>4</v>
      </c>
      <c r="K343" s="30">
        <v>1</v>
      </c>
      <c r="L343" s="30">
        <f ca="1">SUM(K343:OFFSET(RngToDay,ROWS(Dates),10))</f>
        <v>158</v>
      </c>
      <c r="M343" s="32" t="str">
        <f ca="1">IF(B343="","",SUM(C343:OFFSET(C343,-SafetyStock!$B$4+1,0)))</f>
        <v/>
      </c>
      <c r="N343" s="32" t="e">
        <f t="shared" ca="1" si="34"/>
        <v>#DIV/0!</v>
      </c>
      <c r="O343" s="30">
        <f t="shared" si="40"/>
        <v>343</v>
      </c>
      <c r="P343" s="32">
        <f t="shared" ca="1" si="35"/>
        <v>0</v>
      </c>
      <c r="Q343" s="32">
        <f ca="1">IF(LeadTime=0,P343,IF(AND(SUM(Q342:OFFSET(Q343,-LeadTime,0))=0,P343&gt;0),MAX(P343:OFFSET(P343,-LeadTime+1,0)),0))</f>
        <v>0</v>
      </c>
    </row>
    <row r="344" spans="1:17" x14ac:dyDescent="0.25">
      <c r="A344" s="134">
        <v>41296</v>
      </c>
      <c r="B344" s="32"/>
      <c r="C344" s="32"/>
      <c r="D344" s="32"/>
      <c r="E344" s="32"/>
      <c r="F344" s="32">
        <f t="shared" si="36"/>
        <v>0</v>
      </c>
      <c r="G344" s="30" t="str">
        <f t="shared" ca="1" si="37"/>
        <v>History</v>
      </c>
      <c r="H344" s="30">
        <f t="shared" si="38"/>
        <v>2013</v>
      </c>
      <c r="I344" s="30">
        <f t="shared" si="39"/>
        <v>1</v>
      </c>
      <c r="J344" s="30">
        <f t="shared" si="33"/>
        <v>4</v>
      </c>
      <c r="K344" s="30">
        <v>1</v>
      </c>
      <c r="L344" s="30">
        <f ca="1">SUM(K344:OFFSET(RngToDay,ROWS(Dates),10))</f>
        <v>157</v>
      </c>
      <c r="M344" s="32" t="str">
        <f ca="1">IF(B344="","",SUM(C344:OFFSET(C344,-SafetyStock!$B$4+1,0)))</f>
        <v/>
      </c>
      <c r="N344" s="32" t="e">
        <f t="shared" ca="1" si="34"/>
        <v>#DIV/0!</v>
      </c>
      <c r="O344" s="30">
        <f t="shared" si="40"/>
        <v>344</v>
      </c>
      <c r="P344" s="32">
        <f t="shared" ca="1" si="35"/>
        <v>0</v>
      </c>
      <c r="Q344" s="32">
        <f ca="1">IF(LeadTime=0,P344,IF(AND(SUM(Q343:OFFSET(Q344,-LeadTime,0))=0,P344&gt;0),MAX(P344:OFFSET(P344,-LeadTime+1,0)),0))</f>
        <v>0</v>
      </c>
    </row>
    <row r="345" spans="1:17" x14ac:dyDescent="0.25">
      <c r="A345" s="134">
        <v>41295</v>
      </c>
      <c r="B345" s="32"/>
      <c r="C345" s="32"/>
      <c r="D345" s="32"/>
      <c r="E345" s="32"/>
      <c r="F345" s="32">
        <f t="shared" si="36"/>
        <v>0</v>
      </c>
      <c r="G345" s="30" t="str">
        <f t="shared" ca="1" si="37"/>
        <v>History</v>
      </c>
      <c r="H345" s="30">
        <f t="shared" si="38"/>
        <v>2013</v>
      </c>
      <c r="I345" s="30">
        <f t="shared" si="39"/>
        <v>1</v>
      </c>
      <c r="J345" s="30">
        <f t="shared" si="33"/>
        <v>4</v>
      </c>
      <c r="K345" s="30">
        <v>1</v>
      </c>
      <c r="L345" s="30">
        <f ca="1">SUM(K345:OFFSET(RngToDay,ROWS(Dates),10))</f>
        <v>156</v>
      </c>
      <c r="M345" s="32" t="str">
        <f ca="1">IF(B345="","",SUM(C345:OFFSET(C345,-SafetyStock!$B$4+1,0)))</f>
        <v/>
      </c>
      <c r="N345" s="32" t="e">
        <f t="shared" ca="1" si="34"/>
        <v>#DIV/0!</v>
      </c>
      <c r="O345" s="30">
        <f t="shared" si="40"/>
        <v>345</v>
      </c>
      <c r="P345" s="32">
        <f t="shared" ca="1" si="35"/>
        <v>0</v>
      </c>
      <c r="Q345" s="32">
        <f ca="1">IF(LeadTime=0,P345,IF(AND(SUM(Q344:OFFSET(Q345,-LeadTime,0))=0,P345&gt;0),MAX(P345:OFFSET(P345,-LeadTime+1,0)),0))</f>
        <v>0</v>
      </c>
    </row>
    <row r="346" spans="1:17" x14ac:dyDescent="0.25">
      <c r="A346" s="134">
        <v>41292</v>
      </c>
      <c r="B346" s="32"/>
      <c r="C346" s="32"/>
      <c r="D346" s="32"/>
      <c r="E346" s="32"/>
      <c r="F346" s="32">
        <f t="shared" si="36"/>
        <v>0</v>
      </c>
      <c r="G346" s="30" t="str">
        <f t="shared" ca="1" si="37"/>
        <v>History</v>
      </c>
      <c r="H346" s="30">
        <f t="shared" si="38"/>
        <v>2013</v>
      </c>
      <c r="I346" s="30">
        <f t="shared" si="39"/>
        <v>1</v>
      </c>
      <c r="J346" s="30">
        <f t="shared" si="33"/>
        <v>3</v>
      </c>
      <c r="K346" s="30">
        <v>1</v>
      </c>
      <c r="L346" s="30">
        <f ca="1">SUM(K346:OFFSET(RngToDay,ROWS(Dates),10))</f>
        <v>155</v>
      </c>
      <c r="M346" s="32" t="str">
        <f ca="1">IF(B346="","",SUM(C346:OFFSET(C346,-SafetyStock!$B$4+1,0)))</f>
        <v/>
      </c>
      <c r="N346" s="32" t="e">
        <f t="shared" ca="1" si="34"/>
        <v>#DIV/0!</v>
      </c>
      <c r="O346" s="30">
        <f t="shared" si="40"/>
        <v>346</v>
      </c>
      <c r="P346" s="32">
        <f t="shared" ca="1" si="35"/>
        <v>0</v>
      </c>
      <c r="Q346" s="32">
        <f ca="1">IF(LeadTime=0,P346,IF(AND(SUM(Q345:OFFSET(Q346,-LeadTime,0))=0,P346&gt;0),MAX(P346:OFFSET(P346,-LeadTime+1,0)),0))</f>
        <v>0</v>
      </c>
    </row>
    <row r="347" spans="1:17" x14ac:dyDescent="0.25">
      <c r="A347" s="134">
        <v>41291</v>
      </c>
      <c r="B347" s="32"/>
      <c r="C347" s="32"/>
      <c r="D347" s="32"/>
      <c r="E347" s="32"/>
      <c r="F347" s="32">
        <f t="shared" si="36"/>
        <v>0</v>
      </c>
      <c r="G347" s="30" t="str">
        <f t="shared" ca="1" si="37"/>
        <v>History</v>
      </c>
      <c r="H347" s="30">
        <f t="shared" si="38"/>
        <v>2013</v>
      </c>
      <c r="I347" s="30">
        <f t="shared" si="39"/>
        <v>1</v>
      </c>
      <c r="J347" s="30">
        <f t="shared" si="33"/>
        <v>3</v>
      </c>
      <c r="K347" s="30">
        <v>1</v>
      </c>
      <c r="L347" s="30">
        <f ca="1">SUM(K347:OFFSET(RngToDay,ROWS(Dates),10))</f>
        <v>154</v>
      </c>
      <c r="M347" s="32" t="str">
        <f ca="1">IF(B347="","",SUM(C347:OFFSET(C347,-SafetyStock!$B$4+1,0)))</f>
        <v/>
      </c>
      <c r="N347" s="32" t="e">
        <f t="shared" ca="1" si="34"/>
        <v>#DIV/0!</v>
      </c>
      <c r="O347" s="30">
        <f t="shared" si="40"/>
        <v>347</v>
      </c>
      <c r="P347" s="32">
        <f t="shared" ca="1" si="35"/>
        <v>0</v>
      </c>
      <c r="Q347" s="32">
        <f ca="1">IF(LeadTime=0,P347,IF(AND(SUM(Q346:OFFSET(Q347,-LeadTime,0))=0,P347&gt;0),MAX(P347:OFFSET(P347,-LeadTime+1,0)),0))</f>
        <v>0</v>
      </c>
    </row>
    <row r="348" spans="1:17" x14ac:dyDescent="0.25">
      <c r="A348" s="134">
        <v>41290</v>
      </c>
      <c r="B348" s="32"/>
      <c r="C348" s="32"/>
      <c r="D348" s="32"/>
      <c r="E348" s="32"/>
      <c r="F348" s="32">
        <f t="shared" si="36"/>
        <v>0</v>
      </c>
      <c r="G348" s="30" t="str">
        <f t="shared" ca="1" si="37"/>
        <v>History</v>
      </c>
      <c r="H348" s="30">
        <f t="shared" si="38"/>
        <v>2013</v>
      </c>
      <c r="I348" s="30">
        <f t="shared" si="39"/>
        <v>1</v>
      </c>
      <c r="J348" s="30">
        <f t="shared" si="33"/>
        <v>3</v>
      </c>
      <c r="K348" s="30">
        <v>1</v>
      </c>
      <c r="L348" s="30">
        <f ca="1">SUM(K348:OFFSET(RngToDay,ROWS(Dates),10))</f>
        <v>153</v>
      </c>
      <c r="M348" s="32" t="str">
        <f ca="1">IF(B348="","",SUM(C348:OFFSET(C348,-SafetyStock!$B$4+1,0)))</f>
        <v/>
      </c>
      <c r="N348" s="32" t="e">
        <f t="shared" ca="1" si="34"/>
        <v>#DIV/0!</v>
      </c>
      <c r="O348" s="30">
        <f t="shared" si="40"/>
        <v>348</v>
      </c>
      <c r="P348" s="32">
        <f t="shared" ca="1" si="35"/>
        <v>0</v>
      </c>
      <c r="Q348" s="32">
        <f ca="1">IF(LeadTime=0,P348,IF(AND(SUM(Q347:OFFSET(Q348,-LeadTime,0))=0,P348&gt;0),MAX(P348:OFFSET(P348,-LeadTime+1,0)),0))</f>
        <v>0</v>
      </c>
    </row>
    <row r="349" spans="1:17" x14ac:dyDescent="0.25">
      <c r="A349" s="134">
        <v>41289</v>
      </c>
      <c r="B349" s="32"/>
      <c r="C349" s="32"/>
      <c r="D349" s="32"/>
      <c r="E349" s="32"/>
      <c r="F349" s="32">
        <f t="shared" si="36"/>
        <v>0</v>
      </c>
      <c r="G349" s="30" t="str">
        <f t="shared" ca="1" si="37"/>
        <v>History</v>
      </c>
      <c r="H349" s="30">
        <f t="shared" si="38"/>
        <v>2013</v>
      </c>
      <c r="I349" s="30">
        <f t="shared" si="39"/>
        <v>1</v>
      </c>
      <c r="J349" s="30">
        <f t="shared" si="33"/>
        <v>3</v>
      </c>
      <c r="K349" s="30">
        <v>1</v>
      </c>
      <c r="L349" s="30">
        <f ca="1">SUM(K349:OFFSET(RngToDay,ROWS(Dates),10))</f>
        <v>152</v>
      </c>
      <c r="M349" s="32" t="str">
        <f ca="1">IF(B349="","",SUM(C349:OFFSET(C349,-SafetyStock!$B$4+1,0)))</f>
        <v/>
      </c>
      <c r="N349" s="32" t="e">
        <f t="shared" ca="1" si="34"/>
        <v>#DIV/0!</v>
      </c>
      <c r="O349" s="30">
        <f t="shared" si="40"/>
        <v>349</v>
      </c>
      <c r="P349" s="32">
        <f t="shared" ca="1" si="35"/>
        <v>0</v>
      </c>
      <c r="Q349" s="32">
        <f ca="1">IF(LeadTime=0,P349,IF(AND(SUM(Q348:OFFSET(Q349,-LeadTime,0))=0,P349&gt;0),MAX(P349:OFFSET(P349,-LeadTime+1,0)),0))</f>
        <v>0</v>
      </c>
    </row>
    <row r="350" spans="1:17" x14ac:dyDescent="0.25">
      <c r="A350" s="134">
        <v>41288</v>
      </c>
      <c r="B350" s="32"/>
      <c r="C350" s="32"/>
      <c r="D350" s="32"/>
      <c r="E350" s="32"/>
      <c r="F350" s="32">
        <f t="shared" si="36"/>
        <v>0</v>
      </c>
      <c r="G350" s="30" t="str">
        <f t="shared" ca="1" si="37"/>
        <v>History</v>
      </c>
      <c r="H350" s="30">
        <f t="shared" si="38"/>
        <v>2013</v>
      </c>
      <c r="I350" s="30">
        <f t="shared" si="39"/>
        <v>1</v>
      </c>
      <c r="J350" s="30">
        <f t="shared" si="33"/>
        <v>3</v>
      </c>
      <c r="K350" s="30">
        <v>1</v>
      </c>
      <c r="L350" s="30">
        <f ca="1">SUM(K350:OFFSET(RngToDay,ROWS(Dates),10))</f>
        <v>151</v>
      </c>
      <c r="M350" s="32" t="str">
        <f ca="1">IF(B350="","",SUM(C350:OFFSET(C350,-SafetyStock!$B$4+1,0)))</f>
        <v/>
      </c>
      <c r="N350" s="32" t="e">
        <f t="shared" ca="1" si="34"/>
        <v>#DIV/0!</v>
      </c>
      <c r="O350" s="30">
        <f t="shared" si="40"/>
        <v>350</v>
      </c>
      <c r="P350" s="32">
        <f t="shared" ca="1" si="35"/>
        <v>0</v>
      </c>
      <c r="Q350" s="32">
        <f ca="1">IF(LeadTime=0,P350,IF(AND(SUM(Q349:OFFSET(Q350,-LeadTime,0))=0,P350&gt;0),MAX(P350:OFFSET(P350,-LeadTime+1,0)),0))</f>
        <v>0</v>
      </c>
    </row>
    <row r="351" spans="1:17" x14ac:dyDescent="0.25">
      <c r="A351" s="134">
        <v>41285</v>
      </c>
      <c r="B351" s="32"/>
      <c r="C351" s="32"/>
      <c r="D351" s="32"/>
      <c r="E351" s="32"/>
      <c r="F351" s="32">
        <f t="shared" si="36"/>
        <v>0</v>
      </c>
      <c r="G351" s="30" t="str">
        <f t="shared" ca="1" si="37"/>
        <v>History</v>
      </c>
      <c r="H351" s="30">
        <f t="shared" si="38"/>
        <v>2013</v>
      </c>
      <c r="I351" s="30">
        <f t="shared" si="39"/>
        <v>1</v>
      </c>
      <c r="J351" s="30">
        <f t="shared" si="33"/>
        <v>2</v>
      </c>
      <c r="K351" s="30">
        <v>1</v>
      </c>
      <c r="L351" s="30">
        <f ca="1">SUM(K351:OFFSET(RngToDay,ROWS(Dates),10))</f>
        <v>150</v>
      </c>
      <c r="M351" s="32" t="str">
        <f ca="1">IF(B351="","",SUM(C351:OFFSET(C351,-SafetyStock!$B$4+1,0)))</f>
        <v/>
      </c>
      <c r="N351" s="32" t="e">
        <f t="shared" ca="1" si="34"/>
        <v>#DIV/0!</v>
      </c>
      <c r="O351" s="30">
        <f t="shared" si="40"/>
        <v>351</v>
      </c>
      <c r="P351" s="32">
        <f t="shared" ca="1" si="35"/>
        <v>0</v>
      </c>
      <c r="Q351" s="32">
        <f ca="1">IF(LeadTime=0,P351,IF(AND(SUM(Q350:OFFSET(Q351,-LeadTime,0))=0,P351&gt;0),MAX(P351:OFFSET(P351,-LeadTime+1,0)),0))</f>
        <v>0</v>
      </c>
    </row>
    <row r="352" spans="1:17" x14ac:dyDescent="0.25">
      <c r="A352" s="134">
        <v>41284</v>
      </c>
      <c r="B352" s="32"/>
      <c r="C352" s="32"/>
      <c r="D352" s="32"/>
      <c r="E352" s="32"/>
      <c r="F352" s="32">
        <f t="shared" si="36"/>
        <v>0</v>
      </c>
      <c r="G352" s="30" t="str">
        <f t="shared" ca="1" si="37"/>
        <v>History</v>
      </c>
      <c r="H352" s="30">
        <f t="shared" si="38"/>
        <v>2013</v>
      </c>
      <c r="I352" s="30">
        <f t="shared" si="39"/>
        <v>1</v>
      </c>
      <c r="J352" s="30">
        <f t="shared" si="33"/>
        <v>2</v>
      </c>
      <c r="K352" s="30">
        <v>1</v>
      </c>
      <c r="L352" s="30">
        <f ca="1">SUM(K352:OFFSET(RngToDay,ROWS(Dates),10))</f>
        <v>149</v>
      </c>
      <c r="M352" s="32" t="str">
        <f ca="1">IF(B352="","",SUM(C352:OFFSET(C352,-SafetyStock!$B$4+1,0)))</f>
        <v/>
      </c>
      <c r="N352" s="32" t="e">
        <f t="shared" ca="1" si="34"/>
        <v>#DIV/0!</v>
      </c>
      <c r="O352" s="30">
        <f t="shared" si="40"/>
        <v>352</v>
      </c>
      <c r="P352" s="32">
        <f t="shared" ca="1" si="35"/>
        <v>0</v>
      </c>
      <c r="Q352" s="32">
        <f ca="1">IF(LeadTime=0,P352,IF(AND(SUM(Q351:OFFSET(Q352,-LeadTime,0))=0,P352&gt;0),MAX(P352:OFFSET(P352,-LeadTime+1,0)),0))</f>
        <v>0</v>
      </c>
    </row>
    <row r="353" spans="1:17" x14ac:dyDescent="0.25">
      <c r="A353" s="134">
        <v>41283</v>
      </c>
      <c r="B353" s="32"/>
      <c r="C353" s="32"/>
      <c r="D353" s="32"/>
      <c r="E353" s="32"/>
      <c r="F353" s="32">
        <f t="shared" si="36"/>
        <v>0</v>
      </c>
      <c r="G353" s="30" t="str">
        <f t="shared" ca="1" si="37"/>
        <v>History</v>
      </c>
      <c r="H353" s="30">
        <f t="shared" si="38"/>
        <v>2013</v>
      </c>
      <c r="I353" s="30">
        <f t="shared" si="39"/>
        <v>1</v>
      </c>
      <c r="J353" s="30">
        <f t="shared" si="33"/>
        <v>2</v>
      </c>
      <c r="K353" s="30">
        <v>1</v>
      </c>
      <c r="L353" s="30">
        <f ca="1">SUM(K353:OFFSET(RngToDay,ROWS(Dates),10))</f>
        <v>148</v>
      </c>
      <c r="M353" s="32" t="str">
        <f ca="1">IF(B353="","",SUM(C353:OFFSET(C353,-SafetyStock!$B$4+1,0)))</f>
        <v/>
      </c>
      <c r="N353" s="32" t="e">
        <f t="shared" ca="1" si="34"/>
        <v>#DIV/0!</v>
      </c>
      <c r="O353" s="30">
        <f t="shared" si="40"/>
        <v>353</v>
      </c>
      <c r="P353" s="32">
        <f t="shared" ca="1" si="35"/>
        <v>0</v>
      </c>
      <c r="Q353" s="32">
        <f ca="1">IF(LeadTime=0,P353,IF(AND(SUM(Q352:OFFSET(Q353,-LeadTime,0))=0,P353&gt;0),MAX(P353:OFFSET(P353,-LeadTime+1,0)),0))</f>
        <v>0</v>
      </c>
    </row>
    <row r="354" spans="1:17" x14ac:dyDescent="0.25">
      <c r="A354" s="134">
        <v>41282</v>
      </c>
      <c r="B354" s="32"/>
      <c r="C354" s="32"/>
      <c r="D354" s="32"/>
      <c r="E354" s="32"/>
      <c r="F354" s="32">
        <f t="shared" si="36"/>
        <v>0</v>
      </c>
      <c r="G354" s="30" t="str">
        <f t="shared" ca="1" si="37"/>
        <v>History</v>
      </c>
      <c r="H354" s="30">
        <f t="shared" si="38"/>
        <v>2013</v>
      </c>
      <c r="I354" s="30">
        <f t="shared" si="39"/>
        <v>1</v>
      </c>
      <c r="J354" s="30">
        <f t="shared" si="33"/>
        <v>2</v>
      </c>
      <c r="K354" s="30">
        <v>1</v>
      </c>
      <c r="L354" s="30">
        <f ca="1">SUM(K354:OFFSET(RngToDay,ROWS(Dates),10))</f>
        <v>147</v>
      </c>
      <c r="M354" s="32" t="str">
        <f ca="1">IF(B354="","",SUM(C354:OFFSET(C354,-SafetyStock!$B$4+1,0)))</f>
        <v/>
      </c>
      <c r="N354" s="32" t="e">
        <f t="shared" ca="1" si="34"/>
        <v>#DIV/0!</v>
      </c>
      <c r="O354" s="30">
        <f t="shared" si="40"/>
        <v>354</v>
      </c>
      <c r="P354" s="32">
        <f t="shared" ca="1" si="35"/>
        <v>0</v>
      </c>
      <c r="Q354" s="32">
        <f ca="1">IF(LeadTime=0,P354,IF(AND(SUM(Q353:OFFSET(Q354,-LeadTime,0))=0,P354&gt;0),MAX(P354:OFFSET(P354,-LeadTime+1,0)),0))</f>
        <v>0</v>
      </c>
    </row>
    <row r="355" spans="1:17" x14ac:dyDescent="0.25">
      <c r="A355" s="134">
        <v>41281</v>
      </c>
      <c r="B355" s="32"/>
      <c r="C355" s="32"/>
      <c r="D355" s="32"/>
      <c r="E355" s="32"/>
      <c r="F355" s="32">
        <f t="shared" si="36"/>
        <v>0</v>
      </c>
      <c r="G355" s="30" t="str">
        <f t="shared" ca="1" si="37"/>
        <v>History</v>
      </c>
      <c r="H355" s="30">
        <f t="shared" si="38"/>
        <v>2013</v>
      </c>
      <c r="I355" s="30">
        <f t="shared" si="39"/>
        <v>1</v>
      </c>
      <c r="J355" s="30">
        <f t="shared" si="33"/>
        <v>2</v>
      </c>
      <c r="K355" s="30">
        <v>1</v>
      </c>
      <c r="L355" s="30">
        <f ca="1">SUM(K355:OFFSET(RngToDay,ROWS(Dates),10))</f>
        <v>146</v>
      </c>
      <c r="M355" s="32" t="str">
        <f ca="1">IF(B355="","",SUM(C355:OFFSET(C355,-SafetyStock!$B$4+1,0)))</f>
        <v/>
      </c>
      <c r="N355" s="32" t="e">
        <f t="shared" ca="1" si="34"/>
        <v>#DIV/0!</v>
      </c>
      <c r="O355" s="30">
        <f t="shared" si="40"/>
        <v>355</v>
      </c>
      <c r="P355" s="32">
        <f t="shared" ca="1" si="35"/>
        <v>0</v>
      </c>
      <c r="Q355" s="32">
        <f ca="1">IF(LeadTime=0,P355,IF(AND(SUM(Q354:OFFSET(Q355,-LeadTime,0))=0,P355&gt;0),MAX(P355:OFFSET(P355,-LeadTime+1,0)),0))</f>
        <v>0</v>
      </c>
    </row>
    <row r="356" spans="1:17" x14ac:dyDescent="0.25">
      <c r="A356" s="134">
        <v>41278</v>
      </c>
      <c r="B356" s="32"/>
      <c r="C356" s="32"/>
      <c r="D356" s="32"/>
      <c r="E356" s="32"/>
      <c r="F356" s="32">
        <f t="shared" si="36"/>
        <v>0</v>
      </c>
      <c r="G356" s="30" t="str">
        <f t="shared" ca="1" si="37"/>
        <v>History</v>
      </c>
      <c r="H356" s="30">
        <f t="shared" si="38"/>
        <v>2013</v>
      </c>
      <c r="I356" s="30">
        <f t="shared" si="39"/>
        <v>1</v>
      </c>
      <c r="J356" s="30">
        <f t="shared" si="33"/>
        <v>1</v>
      </c>
      <c r="K356" s="30">
        <v>1</v>
      </c>
      <c r="L356" s="30">
        <f ca="1">SUM(K356:OFFSET(RngToDay,ROWS(Dates),10))</f>
        <v>145</v>
      </c>
      <c r="M356" s="32" t="str">
        <f ca="1">IF(B356="","",SUM(C356:OFFSET(C356,-SafetyStock!$B$4+1,0)))</f>
        <v/>
      </c>
      <c r="N356" s="32" t="e">
        <f t="shared" ca="1" si="34"/>
        <v>#DIV/0!</v>
      </c>
      <c r="O356" s="30">
        <f t="shared" si="40"/>
        <v>356</v>
      </c>
      <c r="P356" s="32">
        <f t="shared" ca="1" si="35"/>
        <v>0</v>
      </c>
      <c r="Q356" s="32">
        <f ca="1">IF(LeadTime=0,P356,IF(AND(SUM(Q355:OFFSET(Q356,-LeadTime,0))=0,P356&gt;0),MAX(P356:OFFSET(P356,-LeadTime+1,0)),0))</f>
        <v>0</v>
      </c>
    </row>
    <row r="357" spans="1:17" x14ac:dyDescent="0.25">
      <c r="A357" s="134">
        <v>41277</v>
      </c>
      <c r="B357" s="32"/>
      <c r="C357" s="32"/>
      <c r="D357" s="32"/>
      <c r="E357" s="32"/>
      <c r="F357" s="32">
        <f t="shared" si="36"/>
        <v>0</v>
      </c>
      <c r="G357" s="30" t="str">
        <f t="shared" ca="1" si="37"/>
        <v>History</v>
      </c>
      <c r="H357" s="30">
        <f t="shared" si="38"/>
        <v>2013</v>
      </c>
      <c r="I357" s="30">
        <f t="shared" si="39"/>
        <v>1</v>
      </c>
      <c r="J357" s="30">
        <f t="shared" si="33"/>
        <v>1</v>
      </c>
      <c r="K357" s="30">
        <v>1</v>
      </c>
      <c r="L357" s="30">
        <f ca="1">SUM(K357:OFFSET(RngToDay,ROWS(Dates),10))</f>
        <v>144</v>
      </c>
      <c r="M357" s="32" t="str">
        <f ca="1">IF(B357="","",SUM(C357:OFFSET(C357,-SafetyStock!$B$4+1,0)))</f>
        <v/>
      </c>
      <c r="N357" s="32" t="e">
        <f t="shared" ca="1" si="34"/>
        <v>#DIV/0!</v>
      </c>
      <c r="O357" s="30">
        <f t="shared" si="40"/>
        <v>357</v>
      </c>
      <c r="P357" s="32">
        <f t="shared" ca="1" si="35"/>
        <v>0</v>
      </c>
      <c r="Q357" s="32">
        <f ca="1">IF(LeadTime=0,P357,IF(AND(SUM(Q356:OFFSET(Q357,-LeadTime,0))=0,P357&gt;0),MAX(P357:OFFSET(P357,-LeadTime+1,0)),0))</f>
        <v>0</v>
      </c>
    </row>
    <row r="358" spans="1:17" x14ac:dyDescent="0.25">
      <c r="A358" s="134">
        <v>41276</v>
      </c>
      <c r="B358" s="32"/>
      <c r="C358" s="32"/>
      <c r="D358" s="32"/>
      <c r="E358" s="32"/>
      <c r="F358" s="32">
        <f t="shared" si="36"/>
        <v>0</v>
      </c>
      <c r="G358" s="30" t="str">
        <f t="shared" ca="1" si="37"/>
        <v>History</v>
      </c>
      <c r="H358" s="30">
        <f t="shared" si="38"/>
        <v>2013</v>
      </c>
      <c r="I358" s="30">
        <f t="shared" si="39"/>
        <v>1</v>
      </c>
      <c r="J358" s="30">
        <f t="shared" si="33"/>
        <v>1</v>
      </c>
      <c r="K358" s="30">
        <v>1</v>
      </c>
      <c r="L358" s="30">
        <f ca="1">SUM(K358:OFFSET(RngToDay,ROWS(Dates),10))</f>
        <v>143</v>
      </c>
      <c r="M358" s="32" t="str">
        <f ca="1">IF(B358="","",SUM(C358:OFFSET(C358,-SafetyStock!$B$4+1,0)))</f>
        <v/>
      </c>
      <c r="N358" s="32" t="e">
        <f t="shared" ca="1" si="34"/>
        <v>#DIV/0!</v>
      </c>
      <c r="O358" s="30">
        <f t="shared" si="40"/>
        <v>358</v>
      </c>
      <c r="P358" s="32">
        <f t="shared" ca="1" si="35"/>
        <v>0</v>
      </c>
      <c r="Q358" s="32">
        <f ca="1">IF(LeadTime=0,P358,IF(AND(SUM(Q357:OFFSET(Q358,-LeadTime,0))=0,P358&gt;0),MAX(P358:OFFSET(P358,-LeadTime+1,0)),0))</f>
        <v>0</v>
      </c>
    </row>
    <row r="359" spans="1:17" x14ac:dyDescent="0.25">
      <c r="A359" s="134">
        <v>41271</v>
      </c>
      <c r="B359" s="32"/>
      <c r="C359" s="32"/>
      <c r="D359" s="32"/>
      <c r="E359" s="32"/>
      <c r="F359" s="32">
        <f t="shared" si="36"/>
        <v>0</v>
      </c>
      <c r="G359" s="30" t="str">
        <f t="shared" ca="1" si="37"/>
        <v>History</v>
      </c>
      <c r="H359" s="30">
        <f t="shared" si="38"/>
        <v>2012</v>
      </c>
      <c r="I359" s="30">
        <f t="shared" si="39"/>
        <v>12</v>
      </c>
      <c r="J359" s="30">
        <f t="shared" si="33"/>
        <v>52</v>
      </c>
      <c r="K359" s="30">
        <v>1</v>
      </c>
      <c r="L359" s="30">
        <f ca="1">SUM(K359:OFFSET(RngToDay,ROWS(Dates),10))</f>
        <v>142</v>
      </c>
      <c r="M359" s="32" t="str">
        <f ca="1">IF(B359="","",SUM(C359:OFFSET(C359,-SafetyStock!$B$4+1,0)))</f>
        <v/>
      </c>
      <c r="N359" s="32" t="e">
        <f t="shared" ca="1" si="34"/>
        <v>#DIV/0!</v>
      </c>
      <c r="O359" s="30">
        <f t="shared" si="40"/>
        <v>359</v>
      </c>
      <c r="P359" s="32">
        <f t="shared" ca="1" si="35"/>
        <v>0</v>
      </c>
      <c r="Q359" s="32">
        <f ca="1">IF(LeadTime=0,P359,IF(AND(SUM(Q358:OFFSET(Q359,-LeadTime,0))=0,P359&gt;0),MAX(P359:OFFSET(P359,-LeadTime+1,0)),0))</f>
        <v>0</v>
      </c>
    </row>
    <row r="360" spans="1:17" x14ac:dyDescent="0.25">
      <c r="A360" s="134">
        <v>41270</v>
      </c>
      <c r="B360" s="32"/>
      <c r="C360" s="32"/>
      <c r="D360" s="32"/>
      <c r="E360" s="32"/>
      <c r="F360" s="32">
        <f t="shared" si="36"/>
        <v>0</v>
      </c>
      <c r="G360" s="30" t="str">
        <f t="shared" ca="1" si="37"/>
        <v>History</v>
      </c>
      <c r="H360" s="30">
        <f t="shared" si="38"/>
        <v>2012</v>
      </c>
      <c r="I360" s="30">
        <f t="shared" si="39"/>
        <v>12</v>
      </c>
      <c r="J360" s="30">
        <f t="shared" si="33"/>
        <v>52</v>
      </c>
      <c r="K360" s="30">
        <v>1</v>
      </c>
      <c r="L360" s="30">
        <f ca="1">SUM(K360:OFFSET(RngToDay,ROWS(Dates),10))</f>
        <v>141</v>
      </c>
      <c r="M360" s="32" t="str">
        <f ca="1">IF(B360="","",SUM(C360:OFFSET(C360,-SafetyStock!$B$4+1,0)))</f>
        <v/>
      </c>
      <c r="N360" s="32" t="e">
        <f t="shared" ca="1" si="34"/>
        <v>#DIV/0!</v>
      </c>
      <c r="O360" s="30">
        <f t="shared" si="40"/>
        <v>360</v>
      </c>
      <c r="P360" s="32">
        <f t="shared" ca="1" si="35"/>
        <v>0</v>
      </c>
      <c r="Q360" s="32">
        <f ca="1">IF(LeadTime=0,P360,IF(AND(SUM(Q359:OFFSET(Q360,-LeadTime,0))=0,P360&gt;0),MAX(P360:OFFSET(P360,-LeadTime+1,0)),0))</f>
        <v>0</v>
      </c>
    </row>
    <row r="361" spans="1:17" x14ac:dyDescent="0.25">
      <c r="A361" s="134">
        <v>41264</v>
      </c>
      <c r="B361" s="32"/>
      <c r="C361" s="32"/>
      <c r="D361" s="32"/>
      <c r="E361" s="32"/>
      <c r="F361" s="32">
        <f t="shared" si="36"/>
        <v>0</v>
      </c>
      <c r="G361" s="30" t="str">
        <f t="shared" ca="1" si="37"/>
        <v>History</v>
      </c>
      <c r="H361" s="30">
        <f t="shared" si="38"/>
        <v>2012</v>
      </c>
      <c r="I361" s="30">
        <f t="shared" si="39"/>
        <v>12</v>
      </c>
      <c r="J361" s="30">
        <f t="shared" si="33"/>
        <v>51</v>
      </c>
      <c r="K361" s="30">
        <v>1</v>
      </c>
      <c r="L361" s="30">
        <f ca="1">SUM(K361:OFFSET(RngToDay,ROWS(Dates),10))</f>
        <v>140</v>
      </c>
      <c r="M361" s="32" t="str">
        <f ca="1">IF(B361="","",SUM(C361:OFFSET(C361,-SafetyStock!$B$4+1,0)))</f>
        <v/>
      </c>
      <c r="N361" s="32" t="e">
        <f t="shared" ca="1" si="34"/>
        <v>#DIV/0!</v>
      </c>
      <c r="O361" s="30">
        <f t="shared" si="40"/>
        <v>361</v>
      </c>
      <c r="P361" s="32">
        <f t="shared" ca="1" si="35"/>
        <v>0</v>
      </c>
      <c r="Q361" s="32">
        <f ca="1">IF(LeadTime=0,P361,IF(AND(SUM(Q360:OFFSET(Q361,-LeadTime,0))=0,P361&gt;0),MAX(P361:OFFSET(P361,-LeadTime+1,0)),0))</f>
        <v>0</v>
      </c>
    </row>
    <row r="362" spans="1:17" x14ac:dyDescent="0.25">
      <c r="A362" s="134">
        <v>41263</v>
      </c>
      <c r="B362" s="32"/>
      <c r="C362" s="32"/>
      <c r="D362" s="32"/>
      <c r="E362" s="32"/>
      <c r="F362" s="32">
        <f t="shared" si="36"/>
        <v>0</v>
      </c>
      <c r="G362" s="30" t="str">
        <f t="shared" ca="1" si="37"/>
        <v>History</v>
      </c>
      <c r="H362" s="30">
        <f t="shared" si="38"/>
        <v>2012</v>
      </c>
      <c r="I362" s="30">
        <f t="shared" si="39"/>
        <v>12</v>
      </c>
      <c r="J362" s="30">
        <f t="shared" si="33"/>
        <v>51</v>
      </c>
      <c r="K362" s="30">
        <v>1</v>
      </c>
      <c r="L362" s="30">
        <f ca="1">SUM(K362:OFFSET(RngToDay,ROWS(Dates),10))</f>
        <v>139</v>
      </c>
      <c r="M362" s="32" t="str">
        <f ca="1">IF(B362="","",SUM(C362:OFFSET(C362,-SafetyStock!$B$4+1,0)))</f>
        <v/>
      </c>
      <c r="N362" s="32" t="e">
        <f t="shared" ca="1" si="34"/>
        <v>#DIV/0!</v>
      </c>
      <c r="O362" s="30">
        <f t="shared" si="40"/>
        <v>362</v>
      </c>
      <c r="P362" s="32">
        <f t="shared" ca="1" si="35"/>
        <v>0</v>
      </c>
      <c r="Q362" s="32">
        <f ca="1">IF(LeadTime=0,P362,IF(AND(SUM(Q361:OFFSET(Q362,-LeadTime,0))=0,P362&gt;0),MAX(P362:OFFSET(P362,-LeadTime+1,0)),0))</f>
        <v>0</v>
      </c>
    </row>
    <row r="363" spans="1:17" x14ac:dyDescent="0.25">
      <c r="A363" s="134">
        <v>41262</v>
      </c>
      <c r="B363" s="32"/>
      <c r="C363" s="32"/>
      <c r="D363" s="32"/>
      <c r="E363" s="32"/>
      <c r="F363" s="32">
        <f t="shared" si="36"/>
        <v>0</v>
      </c>
      <c r="G363" s="30" t="str">
        <f t="shared" ca="1" si="37"/>
        <v>History</v>
      </c>
      <c r="H363" s="30">
        <f t="shared" si="38"/>
        <v>2012</v>
      </c>
      <c r="I363" s="30">
        <f t="shared" si="39"/>
        <v>12</v>
      </c>
      <c r="J363" s="30">
        <f t="shared" si="33"/>
        <v>51</v>
      </c>
      <c r="K363" s="30">
        <v>1</v>
      </c>
      <c r="L363" s="30">
        <f ca="1">SUM(K363:OFFSET(RngToDay,ROWS(Dates),10))</f>
        <v>138</v>
      </c>
      <c r="M363" s="32" t="str">
        <f ca="1">IF(B363="","",SUM(C363:OFFSET(C363,-SafetyStock!$B$4+1,0)))</f>
        <v/>
      </c>
      <c r="N363" s="32" t="e">
        <f t="shared" ca="1" si="34"/>
        <v>#DIV/0!</v>
      </c>
      <c r="O363" s="30">
        <f t="shared" si="40"/>
        <v>363</v>
      </c>
      <c r="P363" s="32">
        <f t="shared" ca="1" si="35"/>
        <v>0</v>
      </c>
      <c r="Q363" s="32">
        <f ca="1">IF(LeadTime=0,P363,IF(AND(SUM(Q362:OFFSET(Q363,-LeadTime,0))=0,P363&gt;0),MAX(P363:OFFSET(P363,-LeadTime+1,0)),0))</f>
        <v>0</v>
      </c>
    </row>
    <row r="364" spans="1:17" x14ac:dyDescent="0.25">
      <c r="A364" s="134">
        <v>41261</v>
      </c>
      <c r="B364" s="32"/>
      <c r="C364" s="32"/>
      <c r="D364" s="32"/>
      <c r="E364" s="32"/>
      <c r="F364" s="32">
        <f t="shared" si="36"/>
        <v>0</v>
      </c>
      <c r="G364" s="30" t="str">
        <f t="shared" ca="1" si="37"/>
        <v>History</v>
      </c>
      <c r="H364" s="30">
        <f t="shared" si="38"/>
        <v>2012</v>
      </c>
      <c r="I364" s="30">
        <f t="shared" si="39"/>
        <v>12</v>
      </c>
      <c r="J364" s="30">
        <f t="shared" si="33"/>
        <v>51</v>
      </c>
      <c r="K364" s="30">
        <v>1</v>
      </c>
      <c r="L364" s="30">
        <f ca="1">SUM(K364:OFFSET(RngToDay,ROWS(Dates),10))</f>
        <v>137</v>
      </c>
      <c r="M364" s="32" t="str">
        <f ca="1">IF(B364="","",SUM(C364:OFFSET(C364,-SafetyStock!$B$4+1,0)))</f>
        <v/>
      </c>
      <c r="N364" s="32" t="e">
        <f t="shared" ca="1" si="34"/>
        <v>#DIV/0!</v>
      </c>
      <c r="O364" s="30">
        <f t="shared" si="40"/>
        <v>364</v>
      </c>
      <c r="P364" s="32">
        <f t="shared" ca="1" si="35"/>
        <v>0</v>
      </c>
      <c r="Q364" s="32">
        <f ca="1">IF(LeadTime=0,P364,IF(AND(SUM(Q363:OFFSET(Q364,-LeadTime,0))=0,P364&gt;0),MAX(P364:OFFSET(P364,-LeadTime+1,0)),0))</f>
        <v>0</v>
      </c>
    </row>
    <row r="365" spans="1:17" x14ac:dyDescent="0.25">
      <c r="A365" s="134">
        <v>41260</v>
      </c>
      <c r="B365" s="32"/>
      <c r="C365" s="32"/>
      <c r="D365" s="32"/>
      <c r="E365" s="32"/>
      <c r="F365" s="32">
        <f t="shared" si="36"/>
        <v>0</v>
      </c>
      <c r="G365" s="30" t="str">
        <f t="shared" ca="1" si="37"/>
        <v>History</v>
      </c>
      <c r="H365" s="30">
        <f t="shared" si="38"/>
        <v>2012</v>
      </c>
      <c r="I365" s="30">
        <f t="shared" si="39"/>
        <v>12</v>
      </c>
      <c r="J365" s="30">
        <f t="shared" si="33"/>
        <v>51</v>
      </c>
      <c r="K365" s="30">
        <v>1</v>
      </c>
      <c r="L365" s="30">
        <f ca="1">SUM(K365:OFFSET(RngToDay,ROWS(Dates),10))</f>
        <v>136</v>
      </c>
      <c r="M365" s="32" t="str">
        <f ca="1">IF(B365="","",SUM(C365:OFFSET(C365,-SafetyStock!$B$4+1,0)))</f>
        <v/>
      </c>
      <c r="N365" s="32" t="e">
        <f t="shared" ca="1" si="34"/>
        <v>#DIV/0!</v>
      </c>
      <c r="O365" s="30">
        <f t="shared" si="40"/>
        <v>365</v>
      </c>
      <c r="P365" s="32">
        <f t="shared" ca="1" si="35"/>
        <v>0</v>
      </c>
      <c r="Q365" s="32">
        <f ca="1">IF(LeadTime=0,P365,IF(AND(SUM(Q364:OFFSET(Q365,-LeadTime,0))=0,P365&gt;0),MAX(P365:OFFSET(P365,-LeadTime+1,0)),0))</f>
        <v>0</v>
      </c>
    </row>
    <row r="366" spans="1:17" x14ac:dyDescent="0.25">
      <c r="A366" s="134">
        <v>41257</v>
      </c>
      <c r="B366" s="32"/>
      <c r="C366" s="32"/>
      <c r="D366" s="32"/>
      <c r="E366" s="32"/>
      <c r="F366" s="32">
        <f t="shared" si="36"/>
        <v>0</v>
      </c>
      <c r="G366" s="30" t="str">
        <f t="shared" ca="1" si="37"/>
        <v>History</v>
      </c>
      <c r="H366" s="30">
        <f t="shared" si="38"/>
        <v>2012</v>
      </c>
      <c r="I366" s="30">
        <f t="shared" si="39"/>
        <v>12</v>
      </c>
      <c r="J366" s="30">
        <f t="shared" si="33"/>
        <v>50</v>
      </c>
      <c r="K366" s="30">
        <v>1</v>
      </c>
      <c r="L366" s="30">
        <f ca="1">SUM(K366:OFFSET(RngToDay,ROWS(Dates),10))</f>
        <v>135</v>
      </c>
      <c r="M366" s="32" t="str">
        <f ca="1">IF(B366="","",SUM(C366:OFFSET(C366,-SafetyStock!$B$4+1,0)))</f>
        <v/>
      </c>
      <c r="N366" s="32" t="e">
        <f t="shared" ca="1" si="34"/>
        <v>#DIV/0!</v>
      </c>
      <c r="O366" s="30">
        <f t="shared" si="40"/>
        <v>366</v>
      </c>
      <c r="P366" s="32">
        <f t="shared" ca="1" si="35"/>
        <v>0</v>
      </c>
      <c r="Q366" s="32">
        <f ca="1">IF(LeadTime=0,P366,IF(AND(SUM(Q365:OFFSET(Q366,-LeadTime,0))=0,P366&gt;0),MAX(P366:OFFSET(P366,-LeadTime+1,0)),0))</f>
        <v>0</v>
      </c>
    </row>
    <row r="367" spans="1:17" x14ac:dyDescent="0.25">
      <c r="A367" s="134">
        <v>41256</v>
      </c>
      <c r="B367" s="32"/>
      <c r="C367" s="32"/>
      <c r="D367" s="32"/>
      <c r="E367" s="32"/>
      <c r="F367" s="32">
        <f t="shared" si="36"/>
        <v>0</v>
      </c>
      <c r="G367" s="30" t="str">
        <f t="shared" ca="1" si="37"/>
        <v>History</v>
      </c>
      <c r="H367" s="30">
        <f t="shared" si="38"/>
        <v>2012</v>
      </c>
      <c r="I367" s="30">
        <f t="shared" si="39"/>
        <v>12</v>
      </c>
      <c r="J367" s="30">
        <f t="shared" si="33"/>
        <v>50</v>
      </c>
      <c r="K367" s="30">
        <v>1</v>
      </c>
      <c r="L367" s="30">
        <f ca="1">SUM(K367:OFFSET(RngToDay,ROWS(Dates),10))</f>
        <v>134</v>
      </c>
      <c r="M367" s="32" t="str">
        <f ca="1">IF(B367="","",SUM(C367:OFFSET(C367,-SafetyStock!$B$4+1,0)))</f>
        <v/>
      </c>
      <c r="N367" s="32" t="e">
        <f t="shared" ca="1" si="34"/>
        <v>#DIV/0!</v>
      </c>
      <c r="O367" s="30">
        <f t="shared" si="40"/>
        <v>367</v>
      </c>
      <c r="P367" s="32">
        <f t="shared" ca="1" si="35"/>
        <v>0</v>
      </c>
      <c r="Q367" s="32">
        <f ca="1">IF(LeadTime=0,P367,IF(AND(SUM(Q366:OFFSET(Q367,-LeadTime,0))=0,P367&gt;0),MAX(P367:OFFSET(P367,-LeadTime+1,0)),0))</f>
        <v>0</v>
      </c>
    </row>
    <row r="368" spans="1:17" x14ac:dyDescent="0.25">
      <c r="A368" s="134">
        <v>41255</v>
      </c>
      <c r="B368" s="32"/>
      <c r="C368" s="32"/>
      <c r="D368" s="32"/>
      <c r="E368" s="32"/>
      <c r="F368" s="32">
        <f t="shared" si="36"/>
        <v>0</v>
      </c>
      <c r="G368" s="30" t="str">
        <f t="shared" ca="1" si="37"/>
        <v>History</v>
      </c>
      <c r="H368" s="30">
        <f t="shared" si="38"/>
        <v>2012</v>
      </c>
      <c r="I368" s="30">
        <f t="shared" si="39"/>
        <v>12</v>
      </c>
      <c r="J368" s="30">
        <f t="shared" si="33"/>
        <v>50</v>
      </c>
      <c r="K368" s="30">
        <v>1</v>
      </c>
      <c r="L368" s="30">
        <f ca="1">SUM(K368:OFFSET(RngToDay,ROWS(Dates),10))</f>
        <v>133</v>
      </c>
      <c r="M368" s="32" t="str">
        <f ca="1">IF(B368="","",SUM(C368:OFFSET(C368,-SafetyStock!$B$4+1,0)))</f>
        <v/>
      </c>
      <c r="N368" s="32" t="e">
        <f t="shared" ca="1" si="34"/>
        <v>#DIV/0!</v>
      </c>
      <c r="O368" s="30">
        <f t="shared" si="40"/>
        <v>368</v>
      </c>
      <c r="P368" s="32">
        <f t="shared" ca="1" si="35"/>
        <v>0</v>
      </c>
      <c r="Q368" s="32">
        <f ca="1">IF(LeadTime=0,P368,IF(AND(SUM(Q367:OFFSET(Q368,-LeadTime,0))=0,P368&gt;0),MAX(P368:OFFSET(P368,-LeadTime+1,0)),0))</f>
        <v>0</v>
      </c>
    </row>
    <row r="369" spans="1:17" x14ac:dyDescent="0.25">
      <c r="A369" s="134">
        <v>41254</v>
      </c>
      <c r="B369" s="32"/>
      <c r="C369" s="32"/>
      <c r="D369" s="32"/>
      <c r="E369" s="32"/>
      <c r="F369" s="32">
        <f t="shared" si="36"/>
        <v>0</v>
      </c>
      <c r="G369" s="30" t="str">
        <f t="shared" ca="1" si="37"/>
        <v>History</v>
      </c>
      <c r="H369" s="30">
        <f t="shared" si="38"/>
        <v>2012</v>
      </c>
      <c r="I369" s="30">
        <f t="shared" si="39"/>
        <v>12</v>
      </c>
      <c r="J369" s="30">
        <f t="shared" si="33"/>
        <v>50</v>
      </c>
      <c r="K369" s="30">
        <v>1</v>
      </c>
      <c r="L369" s="30">
        <f ca="1">SUM(K369:OFFSET(RngToDay,ROWS(Dates),10))</f>
        <v>132</v>
      </c>
      <c r="M369" s="32" t="str">
        <f ca="1">IF(B369="","",SUM(C369:OFFSET(C369,-SafetyStock!$B$4+1,0)))</f>
        <v/>
      </c>
      <c r="N369" s="32" t="e">
        <f t="shared" ca="1" si="34"/>
        <v>#DIV/0!</v>
      </c>
      <c r="O369" s="30">
        <f t="shared" si="40"/>
        <v>369</v>
      </c>
      <c r="P369" s="32">
        <f t="shared" ca="1" si="35"/>
        <v>0</v>
      </c>
      <c r="Q369" s="32">
        <f ca="1">IF(LeadTime=0,P369,IF(AND(SUM(Q368:OFFSET(Q369,-LeadTime,0))=0,P369&gt;0),MAX(P369:OFFSET(P369,-LeadTime+1,0)),0))</f>
        <v>0</v>
      </c>
    </row>
    <row r="370" spans="1:17" x14ac:dyDescent="0.25">
      <c r="A370" s="134">
        <v>41253</v>
      </c>
      <c r="B370" s="32"/>
      <c r="C370" s="32"/>
      <c r="D370" s="32"/>
      <c r="E370" s="32"/>
      <c r="F370" s="32">
        <f t="shared" si="36"/>
        <v>0</v>
      </c>
      <c r="G370" s="30" t="str">
        <f t="shared" ca="1" si="37"/>
        <v>History</v>
      </c>
      <c r="H370" s="30">
        <f t="shared" si="38"/>
        <v>2012</v>
      </c>
      <c r="I370" s="30">
        <f t="shared" si="39"/>
        <v>12</v>
      </c>
      <c r="J370" s="30">
        <f t="shared" si="33"/>
        <v>50</v>
      </c>
      <c r="K370" s="30">
        <v>1</v>
      </c>
      <c r="L370" s="30">
        <f ca="1">SUM(K370:OFFSET(RngToDay,ROWS(Dates),10))</f>
        <v>131</v>
      </c>
      <c r="M370" s="32" t="str">
        <f ca="1">IF(B370="","",SUM(C370:OFFSET(C370,-SafetyStock!$B$4+1,0)))</f>
        <v/>
      </c>
      <c r="N370" s="32" t="e">
        <f t="shared" ca="1" si="34"/>
        <v>#DIV/0!</v>
      </c>
      <c r="O370" s="30">
        <f t="shared" si="40"/>
        <v>370</v>
      </c>
      <c r="P370" s="32">
        <f t="shared" ca="1" si="35"/>
        <v>0</v>
      </c>
      <c r="Q370" s="32">
        <f ca="1">IF(LeadTime=0,P370,IF(AND(SUM(Q369:OFFSET(Q370,-LeadTime,0))=0,P370&gt;0),MAX(P370:OFFSET(P370,-LeadTime+1,0)),0))</f>
        <v>0</v>
      </c>
    </row>
    <row r="371" spans="1:17" x14ac:dyDescent="0.25">
      <c r="A371" s="134">
        <v>41250</v>
      </c>
      <c r="B371" s="32"/>
      <c r="C371" s="32"/>
      <c r="D371" s="32"/>
      <c r="E371" s="32"/>
      <c r="F371" s="32">
        <f t="shared" si="36"/>
        <v>0</v>
      </c>
      <c r="G371" s="30" t="str">
        <f t="shared" ca="1" si="37"/>
        <v>History</v>
      </c>
      <c r="H371" s="30">
        <f t="shared" si="38"/>
        <v>2012</v>
      </c>
      <c r="I371" s="30">
        <f t="shared" si="39"/>
        <v>12</v>
      </c>
      <c r="J371" s="30">
        <f t="shared" si="33"/>
        <v>49</v>
      </c>
      <c r="K371" s="30">
        <v>1</v>
      </c>
      <c r="L371" s="30">
        <f ca="1">SUM(K371:OFFSET(RngToDay,ROWS(Dates),10))</f>
        <v>130</v>
      </c>
      <c r="M371" s="32" t="str">
        <f ca="1">IF(B371="","",SUM(C371:OFFSET(C371,-SafetyStock!$B$4+1,0)))</f>
        <v/>
      </c>
      <c r="N371" s="32" t="e">
        <f t="shared" ca="1" si="34"/>
        <v>#DIV/0!</v>
      </c>
      <c r="O371" s="30">
        <f t="shared" si="40"/>
        <v>371</v>
      </c>
      <c r="P371" s="32">
        <f t="shared" ca="1" si="35"/>
        <v>0</v>
      </c>
      <c r="Q371" s="32">
        <f ca="1">IF(LeadTime=0,P371,IF(AND(SUM(Q370:OFFSET(Q371,-LeadTime,0))=0,P371&gt;0),MAX(P371:OFFSET(P371,-LeadTime+1,0)),0))</f>
        <v>0</v>
      </c>
    </row>
    <row r="372" spans="1:17" x14ac:dyDescent="0.25">
      <c r="A372" s="134">
        <v>41249</v>
      </c>
      <c r="B372" s="32"/>
      <c r="C372" s="32"/>
      <c r="D372" s="32"/>
      <c r="E372" s="32"/>
      <c r="F372" s="32">
        <f t="shared" si="36"/>
        <v>0</v>
      </c>
      <c r="G372" s="30" t="str">
        <f t="shared" ca="1" si="37"/>
        <v>History</v>
      </c>
      <c r="H372" s="30">
        <f t="shared" si="38"/>
        <v>2012</v>
      </c>
      <c r="I372" s="30">
        <f t="shared" si="39"/>
        <v>12</v>
      </c>
      <c r="J372" s="30">
        <f t="shared" si="33"/>
        <v>49</v>
      </c>
      <c r="K372" s="30">
        <v>1</v>
      </c>
      <c r="L372" s="30">
        <f ca="1">SUM(K372:OFFSET(RngToDay,ROWS(Dates),10))</f>
        <v>129</v>
      </c>
      <c r="M372" s="32" t="str">
        <f ca="1">IF(B372="","",SUM(C372:OFFSET(C372,-SafetyStock!$B$4+1,0)))</f>
        <v/>
      </c>
      <c r="N372" s="32" t="e">
        <f t="shared" ca="1" si="34"/>
        <v>#DIV/0!</v>
      </c>
      <c r="O372" s="30">
        <f t="shared" si="40"/>
        <v>372</v>
      </c>
      <c r="P372" s="32">
        <f t="shared" ca="1" si="35"/>
        <v>0</v>
      </c>
      <c r="Q372" s="32">
        <f ca="1">IF(LeadTime=0,P372,IF(AND(SUM(Q371:OFFSET(Q372,-LeadTime,0))=0,P372&gt;0),MAX(P372:OFFSET(P372,-LeadTime+1,0)),0))</f>
        <v>0</v>
      </c>
    </row>
    <row r="373" spans="1:17" x14ac:dyDescent="0.25">
      <c r="A373" s="134">
        <v>41248</v>
      </c>
      <c r="B373" s="32"/>
      <c r="C373" s="32"/>
      <c r="D373" s="32"/>
      <c r="E373" s="32"/>
      <c r="F373" s="32">
        <f t="shared" si="36"/>
        <v>0</v>
      </c>
      <c r="G373" s="30" t="str">
        <f t="shared" ca="1" si="37"/>
        <v>History</v>
      </c>
      <c r="H373" s="30">
        <f t="shared" si="38"/>
        <v>2012</v>
      </c>
      <c r="I373" s="30">
        <f t="shared" si="39"/>
        <v>12</v>
      </c>
      <c r="J373" s="30">
        <f t="shared" si="33"/>
        <v>49</v>
      </c>
      <c r="K373" s="30">
        <v>1</v>
      </c>
      <c r="L373" s="30">
        <f ca="1">SUM(K373:OFFSET(RngToDay,ROWS(Dates),10))</f>
        <v>128</v>
      </c>
      <c r="M373" s="32" t="str">
        <f ca="1">IF(B373="","",SUM(C373:OFFSET(C373,-SafetyStock!$B$4+1,0)))</f>
        <v/>
      </c>
      <c r="N373" s="32" t="e">
        <f t="shared" ca="1" si="34"/>
        <v>#DIV/0!</v>
      </c>
      <c r="O373" s="30">
        <f t="shared" si="40"/>
        <v>373</v>
      </c>
      <c r="P373" s="32">
        <f t="shared" ca="1" si="35"/>
        <v>0</v>
      </c>
      <c r="Q373" s="32">
        <f ca="1">IF(LeadTime=0,P373,IF(AND(SUM(Q372:OFFSET(Q373,-LeadTime,0))=0,P373&gt;0),MAX(P373:OFFSET(P373,-LeadTime+1,0)),0))</f>
        <v>0</v>
      </c>
    </row>
    <row r="374" spans="1:17" x14ac:dyDescent="0.25">
      <c r="A374" s="134">
        <v>41247</v>
      </c>
      <c r="B374" s="32"/>
      <c r="C374" s="32"/>
      <c r="D374" s="32"/>
      <c r="E374" s="32"/>
      <c r="F374" s="32">
        <f t="shared" si="36"/>
        <v>0</v>
      </c>
      <c r="G374" s="30" t="str">
        <f t="shared" ca="1" si="37"/>
        <v>History</v>
      </c>
      <c r="H374" s="30">
        <f t="shared" si="38"/>
        <v>2012</v>
      </c>
      <c r="I374" s="30">
        <f t="shared" si="39"/>
        <v>12</v>
      </c>
      <c r="J374" s="30">
        <f t="shared" si="33"/>
        <v>49</v>
      </c>
      <c r="K374" s="30">
        <v>1</v>
      </c>
      <c r="L374" s="30">
        <f ca="1">SUM(K374:OFFSET(RngToDay,ROWS(Dates),10))</f>
        <v>127</v>
      </c>
      <c r="M374" s="32" t="str">
        <f ca="1">IF(B374="","",SUM(C374:OFFSET(C374,-SafetyStock!$B$4+1,0)))</f>
        <v/>
      </c>
      <c r="N374" s="32" t="e">
        <f t="shared" ca="1" si="34"/>
        <v>#DIV/0!</v>
      </c>
      <c r="O374" s="30">
        <f t="shared" si="40"/>
        <v>374</v>
      </c>
      <c r="P374" s="32">
        <f t="shared" ca="1" si="35"/>
        <v>0</v>
      </c>
      <c r="Q374" s="32">
        <f ca="1">IF(LeadTime=0,P374,IF(AND(SUM(Q373:OFFSET(Q374,-LeadTime,0))=0,P374&gt;0),MAX(P374:OFFSET(P374,-LeadTime+1,0)),0))</f>
        <v>0</v>
      </c>
    </row>
    <row r="375" spans="1:17" x14ac:dyDescent="0.25">
      <c r="A375" s="134">
        <v>41246</v>
      </c>
      <c r="B375" s="32"/>
      <c r="C375" s="32"/>
      <c r="D375" s="32"/>
      <c r="E375" s="32"/>
      <c r="F375" s="32">
        <f t="shared" si="36"/>
        <v>0</v>
      </c>
      <c r="G375" s="30" t="str">
        <f t="shared" ca="1" si="37"/>
        <v>History</v>
      </c>
      <c r="H375" s="30">
        <f t="shared" si="38"/>
        <v>2012</v>
      </c>
      <c r="I375" s="30">
        <f t="shared" si="39"/>
        <v>12</v>
      </c>
      <c r="J375" s="30">
        <f t="shared" si="33"/>
        <v>49</v>
      </c>
      <c r="K375" s="30">
        <v>1</v>
      </c>
      <c r="L375" s="30">
        <f ca="1">SUM(K375:OFFSET(RngToDay,ROWS(Dates),10))</f>
        <v>126</v>
      </c>
      <c r="M375" s="32" t="str">
        <f ca="1">IF(B375="","",SUM(C375:OFFSET(C375,-SafetyStock!$B$4+1,0)))</f>
        <v/>
      </c>
      <c r="N375" s="32" t="e">
        <f t="shared" ca="1" si="34"/>
        <v>#DIV/0!</v>
      </c>
      <c r="O375" s="30">
        <f t="shared" si="40"/>
        <v>375</v>
      </c>
      <c r="P375" s="32">
        <f t="shared" ca="1" si="35"/>
        <v>0</v>
      </c>
      <c r="Q375" s="32">
        <f ca="1">IF(LeadTime=0,P375,IF(AND(SUM(Q374:OFFSET(Q375,-LeadTime,0))=0,P375&gt;0),MAX(P375:OFFSET(P375,-LeadTime+1,0)),0))</f>
        <v>0</v>
      </c>
    </row>
    <row r="376" spans="1:17" x14ac:dyDescent="0.25">
      <c r="A376" s="134">
        <v>41243</v>
      </c>
      <c r="B376" s="32"/>
      <c r="C376" s="32"/>
      <c r="D376" s="32"/>
      <c r="E376" s="32"/>
      <c r="F376" s="32">
        <f t="shared" si="36"/>
        <v>0</v>
      </c>
      <c r="G376" s="30" t="str">
        <f t="shared" ca="1" si="37"/>
        <v>History</v>
      </c>
      <c r="H376" s="30">
        <f t="shared" si="38"/>
        <v>2012</v>
      </c>
      <c r="I376" s="30">
        <f t="shared" si="39"/>
        <v>11</v>
      </c>
      <c r="J376" s="30">
        <f t="shared" ref="J376:J439" si="41">IF(WEEKDAY(DATE(YEAR(A376),1,1),2)&gt;4,WEEKNUM(A376,2)-1,WEEKNUM(A376,2))</f>
        <v>48</v>
      </c>
      <c r="K376" s="30">
        <v>1</v>
      </c>
      <c r="L376" s="30">
        <f ca="1">SUM(K376:OFFSET(RngToDay,ROWS(Dates),10))</f>
        <v>125</v>
      </c>
      <c r="M376" s="32" t="str">
        <f ca="1">IF(B376="","",SUM(C376:OFFSET(C376,-SafetyStock!$B$4+1,0)))</f>
        <v/>
      </c>
      <c r="N376" s="32" t="e">
        <f t="shared" ca="1" si="34"/>
        <v>#DIV/0!</v>
      </c>
      <c r="O376" s="30">
        <f t="shared" si="40"/>
        <v>376</v>
      </c>
      <c r="P376" s="32">
        <f t="shared" ca="1" si="35"/>
        <v>0</v>
      </c>
      <c r="Q376" s="32">
        <f ca="1">IF(LeadTime=0,P376,IF(AND(SUM(Q375:OFFSET(Q376,-LeadTime,0))=0,P376&gt;0),MAX(P376:OFFSET(P376,-LeadTime+1,0)),0))</f>
        <v>0</v>
      </c>
    </row>
    <row r="377" spans="1:17" x14ac:dyDescent="0.25">
      <c r="A377" s="134">
        <v>41242</v>
      </c>
      <c r="B377" s="32"/>
      <c r="C377" s="32"/>
      <c r="D377" s="32"/>
      <c r="E377" s="32"/>
      <c r="F377" s="32">
        <f t="shared" si="36"/>
        <v>0</v>
      </c>
      <c r="G377" s="30" t="str">
        <f t="shared" ca="1" si="37"/>
        <v>History</v>
      </c>
      <c r="H377" s="30">
        <f t="shared" si="38"/>
        <v>2012</v>
      </c>
      <c r="I377" s="30">
        <f t="shared" si="39"/>
        <v>11</v>
      </c>
      <c r="J377" s="30">
        <f t="shared" si="41"/>
        <v>48</v>
      </c>
      <c r="K377" s="30">
        <v>1</v>
      </c>
      <c r="L377" s="30">
        <f ca="1">SUM(K377:OFFSET(RngToDay,ROWS(Dates),10))</f>
        <v>124</v>
      </c>
      <c r="M377" s="32" t="str">
        <f ca="1">IF(B377="","",SUM(C377:OFFSET(C377,-SafetyStock!$B$4+1,0)))</f>
        <v/>
      </c>
      <c r="N377" s="32" t="e">
        <f t="shared" ca="1" si="34"/>
        <v>#DIV/0!</v>
      </c>
      <c r="O377" s="30">
        <f t="shared" si="40"/>
        <v>377</v>
      </c>
      <c r="P377" s="32">
        <f t="shared" ca="1" si="35"/>
        <v>0</v>
      </c>
      <c r="Q377" s="32">
        <f ca="1">IF(LeadTime=0,P377,IF(AND(SUM(Q376:OFFSET(Q377,-LeadTime,0))=0,P377&gt;0),MAX(P377:OFFSET(P377,-LeadTime+1,0)),0))</f>
        <v>0</v>
      </c>
    </row>
    <row r="378" spans="1:17" x14ac:dyDescent="0.25">
      <c r="A378" s="134">
        <v>41241</v>
      </c>
      <c r="B378" s="32"/>
      <c r="C378" s="32"/>
      <c r="D378" s="32"/>
      <c r="E378" s="32"/>
      <c r="F378" s="32">
        <f t="shared" si="36"/>
        <v>0</v>
      </c>
      <c r="G378" s="30" t="str">
        <f t="shared" ca="1" si="37"/>
        <v>History</v>
      </c>
      <c r="H378" s="30">
        <f t="shared" si="38"/>
        <v>2012</v>
      </c>
      <c r="I378" s="30">
        <f t="shared" si="39"/>
        <v>11</v>
      </c>
      <c r="J378" s="30">
        <f t="shared" si="41"/>
        <v>48</v>
      </c>
      <c r="K378" s="30">
        <v>1</v>
      </c>
      <c r="L378" s="30">
        <f ca="1">SUM(K378:OFFSET(RngToDay,ROWS(Dates),10))</f>
        <v>123</v>
      </c>
      <c r="M378" s="32" t="str">
        <f ca="1">IF(B378="","",SUM(C378:OFFSET(C378,-SafetyStock!$B$4+1,0)))</f>
        <v/>
      </c>
      <c r="N378" s="32" t="e">
        <f t="shared" ref="N378:N441" ca="1" si="42">Saf_Stock</f>
        <v>#DIV/0!</v>
      </c>
      <c r="O378" s="30">
        <f t="shared" si="40"/>
        <v>378</v>
      </c>
      <c r="P378" s="32">
        <f t="shared" ca="1" si="35"/>
        <v>0</v>
      </c>
      <c r="Q378" s="32">
        <f ca="1">IF(LeadTime=0,P378,IF(AND(SUM(Q377:OFFSET(Q378,-LeadTime,0))=0,P378&gt;0),MAX(P378:OFFSET(P378,-LeadTime+1,0)),0))</f>
        <v>0</v>
      </c>
    </row>
    <row r="379" spans="1:17" x14ac:dyDescent="0.25">
      <c r="A379" s="134">
        <v>41240</v>
      </c>
      <c r="B379" s="32"/>
      <c r="C379" s="32"/>
      <c r="D379" s="32"/>
      <c r="E379" s="32"/>
      <c r="F379" s="32">
        <f t="shared" si="36"/>
        <v>0</v>
      </c>
      <c r="G379" s="30" t="str">
        <f t="shared" ca="1" si="37"/>
        <v>History</v>
      </c>
      <c r="H379" s="30">
        <f t="shared" si="38"/>
        <v>2012</v>
      </c>
      <c r="I379" s="30">
        <f t="shared" si="39"/>
        <v>11</v>
      </c>
      <c r="J379" s="30">
        <f t="shared" si="41"/>
        <v>48</v>
      </c>
      <c r="K379" s="30">
        <v>1</v>
      </c>
      <c r="L379" s="30">
        <f ca="1">SUM(K379:OFFSET(RngToDay,ROWS(Dates),10))</f>
        <v>122</v>
      </c>
      <c r="M379" s="32" t="str">
        <f ca="1">IF(B379="","",SUM(C379:OFFSET(C379,-SafetyStock!$B$4+1,0)))</f>
        <v/>
      </c>
      <c r="N379" s="32" t="e">
        <f t="shared" ca="1" si="42"/>
        <v>#DIV/0!</v>
      </c>
      <c r="O379" s="30">
        <f t="shared" si="40"/>
        <v>379</v>
      </c>
      <c r="P379" s="32">
        <f t="shared" ref="P379:P442" ca="1" si="43">IF(M379="",0,IF(M379&gt;N379,M379-N379,0))</f>
        <v>0</v>
      </c>
      <c r="Q379" s="32">
        <f ca="1">IF(LeadTime=0,P379,IF(AND(SUM(Q378:OFFSET(Q379,-LeadTime,0))=0,P379&gt;0),MAX(P379:OFFSET(P379,-LeadTime+1,0)),0))</f>
        <v>0</v>
      </c>
    </row>
    <row r="380" spans="1:17" x14ac:dyDescent="0.25">
      <c r="A380" s="134">
        <v>41239</v>
      </c>
      <c r="B380" s="32"/>
      <c r="C380" s="32"/>
      <c r="D380" s="32"/>
      <c r="E380" s="32"/>
      <c r="F380" s="32">
        <f t="shared" ref="F380:F443" si="44">F379</f>
        <v>0</v>
      </c>
      <c r="G380" s="30" t="str">
        <f t="shared" ca="1" si="37"/>
        <v>History</v>
      </c>
      <c r="H380" s="30">
        <f t="shared" si="38"/>
        <v>2012</v>
      </c>
      <c r="I380" s="30">
        <f t="shared" si="39"/>
        <v>11</v>
      </c>
      <c r="J380" s="30">
        <f t="shared" si="41"/>
        <v>48</v>
      </c>
      <c r="K380" s="30">
        <v>1</v>
      </c>
      <c r="L380" s="30">
        <f ca="1">SUM(K380:OFFSET(RngToDay,ROWS(Dates),10))</f>
        <v>121</v>
      </c>
      <c r="M380" s="32" t="str">
        <f ca="1">IF(B380="","",SUM(C380:OFFSET(C380,-SafetyStock!$B$4+1,0)))</f>
        <v/>
      </c>
      <c r="N380" s="32" t="e">
        <f t="shared" ca="1" si="42"/>
        <v>#DIV/0!</v>
      </c>
      <c r="O380" s="30">
        <f t="shared" si="40"/>
        <v>380</v>
      </c>
      <c r="P380" s="32">
        <f t="shared" ca="1" si="43"/>
        <v>0</v>
      </c>
      <c r="Q380" s="32">
        <f ca="1">IF(LeadTime=0,P380,IF(AND(SUM(Q379:OFFSET(Q380,-LeadTime,0))=0,P380&gt;0),MAX(P380:OFFSET(P380,-LeadTime+1,0)),0))</f>
        <v>0</v>
      </c>
    </row>
    <row r="381" spans="1:17" x14ac:dyDescent="0.25">
      <c r="A381" s="134">
        <v>41236</v>
      </c>
      <c r="B381" s="32"/>
      <c r="C381" s="32"/>
      <c r="D381" s="32"/>
      <c r="E381" s="32"/>
      <c r="F381" s="32">
        <f t="shared" si="44"/>
        <v>0</v>
      </c>
      <c r="G381" s="30" t="str">
        <f t="shared" ca="1" si="37"/>
        <v>History</v>
      </c>
      <c r="H381" s="30">
        <f t="shared" si="38"/>
        <v>2012</v>
      </c>
      <c r="I381" s="30">
        <f t="shared" si="39"/>
        <v>11</v>
      </c>
      <c r="J381" s="30">
        <f t="shared" si="41"/>
        <v>47</v>
      </c>
      <c r="K381" s="30">
        <v>1</v>
      </c>
      <c r="L381" s="30">
        <f ca="1">SUM(K381:OFFSET(RngToDay,ROWS(Dates),10))</f>
        <v>120</v>
      </c>
      <c r="M381" s="32" t="str">
        <f ca="1">IF(B381="","",SUM(C381:OFFSET(C381,-SafetyStock!$B$4+1,0)))</f>
        <v/>
      </c>
      <c r="N381" s="32" t="e">
        <f t="shared" ca="1" si="42"/>
        <v>#DIV/0!</v>
      </c>
      <c r="O381" s="30">
        <f t="shared" si="40"/>
        <v>381</v>
      </c>
      <c r="P381" s="32">
        <f t="shared" ca="1" si="43"/>
        <v>0</v>
      </c>
      <c r="Q381" s="32">
        <f ca="1">IF(LeadTime=0,P381,IF(AND(SUM(Q380:OFFSET(Q381,-LeadTime,0))=0,P381&gt;0),MAX(P381:OFFSET(P381,-LeadTime+1,0)),0))</f>
        <v>0</v>
      </c>
    </row>
    <row r="382" spans="1:17" x14ac:dyDescent="0.25">
      <c r="A382" s="134">
        <v>41235</v>
      </c>
      <c r="B382" s="32"/>
      <c r="C382" s="32"/>
      <c r="D382" s="32"/>
      <c r="E382" s="32"/>
      <c r="F382" s="32">
        <f t="shared" si="44"/>
        <v>0</v>
      </c>
      <c r="G382" s="30" t="str">
        <f t="shared" ca="1" si="37"/>
        <v>History</v>
      </c>
      <c r="H382" s="30">
        <f t="shared" si="38"/>
        <v>2012</v>
      </c>
      <c r="I382" s="30">
        <f t="shared" si="39"/>
        <v>11</v>
      </c>
      <c r="J382" s="30">
        <f t="shared" si="41"/>
        <v>47</v>
      </c>
      <c r="K382" s="30">
        <v>1</v>
      </c>
      <c r="L382" s="30">
        <f ca="1">SUM(K382:OFFSET(RngToDay,ROWS(Dates),10))</f>
        <v>119</v>
      </c>
      <c r="M382" s="32" t="str">
        <f ca="1">IF(B382="","",SUM(C382:OFFSET(C382,-SafetyStock!$B$4+1,0)))</f>
        <v/>
      </c>
      <c r="N382" s="32" t="e">
        <f t="shared" ca="1" si="42"/>
        <v>#DIV/0!</v>
      </c>
      <c r="O382" s="30">
        <f t="shared" si="40"/>
        <v>382</v>
      </c>
      <c r="P382" s="32">
        <f t="shared" ca="1" si="43"/>
        <v>0</v>
      </c>
      <c r="Q382" s="32">
        <f ca="1">IF(LeadTime=0,P382,IF(AND(SUM(Q381:OFFSET(Q382,-LeadTime,0))=0,P382&gt;0),MAX(P382:OFFSET(P382,-LeadTime+1,0)),0))</f>
        <v>0</v>
      </c>
    </row>
    <row r="383" spans="1:17" x14ac:dyDescent="0.25">
      <c r="A383" s="134">
        <v>41234</v>
      </c>
      <c r="B383" s="32"/>
      <c r="C383" s="32"/>
      <c r="D383" s="32"/>
      <c r="E383" s="32"/>
      <c r="F383" s="32">
        <f t="shared" si="44"/>
        <v>0</v>
      </c>
      <c r="G383" s="30" t="str">
        <f t="shared" ca="1" si="37"/>
        <v>History</v>
      </c>
      <c r="H383" s="30">
        <f t="shared" si="38"/>
        <v>2012</v>
      </c>
      <c r="I383" s="30">
        <f t="shared" si="39"/>
        <v>11</v>
      </c>
      <c r="J383" s="30">
        <f t="shared" si="41"/>
        <v>47</v>
      </c>
      <c r="K383" s="30">
        <v>1</v>
      </c>
      <c r="L383" s="30">
        <f ca="1">SUM(K383:OFFSET(RngToDay,ROWS(Dates),10))</f>
        <v>118</v>
      </c>
      <c r="M383" s="32" t="str">
        <f ca="1">IF(B383="","",SUM(C383:OFFSET(C383,-SafetyStock!$B$4+1,0)))</f>
        <v/>
      </c>
      <c r="N383" s="32" t="e">
        <f t="shared" ca="1" si="42"/>
        <v>#DIV/0!</v>
      </c>
      <c r="O383" s="30">
        <f t="shared" si="40"/>
        <v>383</v>
      </c>
      <c r="P383" s="32">
        <f t="shared" ca="1" si="43"/>
        <v>0</v>
      </c>
      <c r="Q383" s="32">
        <f ca="1">IF(LeadTime=0,P383,IF(AND(SUM(Q382:OFFSET(Q383,-LeadTime,0))=0,P383&gt;0),MAX(P383:OFFSET(P383,-LeadTime+1,0)),0))</f>
        <v>0</v>
      </c>
    </row>
    <row r="384" spans="1:17" x14ac:dyDescent="0.25">
      <c r="A384" s="134">
        <v>41233</v>
      </c>
      <c r="B384" s="32"/>
      <c r="C384" s="32"/>
      <c r="D384" s="32"/>
      <c r="E384" s="32"/>
      <c r="F384" s="32">
        <f t="shared" si="44"/>
        <v>0</v>
      </c>
      <c r="G384" s="30" t="str">
        <f t="shared" ca="1" si="37"/>
        <v>History</v>
      </c>
      <c r="H384" s="30">
        <f t="shared" si="38"/>
        <v>2012</v>
      </c>
      <c r="I384" s="30">
        <f t="shared" si="39"/>
        <v>11</v>
      </c>
      <c r="J384" s="30">
        <f t="shared" si="41"/>
        <v>47</v>
      </c>
      <c r="K384" s="30">
        <v>1</v>
      </c>
      <c r="L384" s="30">
        <f ca="1">SUM(K384:OFFSET(RngToDay,ROWS(Dates),10))</f>
        <v>117</v>
      </c>
      <c r="M384" s="32" t="str">
        <f ca="1">IF(B384="","",SUM(C384:OFFSET(C384,-SafetyStock!$B$4+1,0)))</f>
        <v/>
      </c>
      <c r="N384" s="32" t="e">
        <f t="shared" ca="1" si="42"/>
        <v>#DIV/0!</v>
      </c>
      <c r="O384" s="30">
        <f t="shared" si="40"/>
        <v>384</v>
      </c>
      <c r="P384" s="32">
        <f t="shared" ca="1" si="43"/>
        <v>0</v>
      </c>
      <c r="Q384" s="32">
        <f ca="1">IF(LeadTime=0,P384,IF(AND(SUM(Q383:OFFSET(Q384,-LeadTime,0))=0,P384&gt;0),MAX(P384:OFFSET(P384,-LeadTime+1,0)),0))</f>
        <v>0</v>
      </c>
    </row>
    <row r="385" spans="1:17" x14ac:dyDescent="0.25">
      <c r="A385" s="134">
        <v>41232</v>
      </c>
      <c r="B385" s="32"/>
      <c r="C385" s="32"/>
      <c r="D385" s="32"/>
      <c r="E385" s="32"/>
      <c r="F385" s="32">
        <f t="shared" si="44"/>
        <v>0</v>
      </c>
      <c r="G385" s="30" t="str">
        <f t="shared" ca="1" si="37"/>
        <v>History</v>
      </c>
      <c r="H385" s="30">
        <f t="shared" si="38"/>
        <v>2012</v>
      </c>
      <c r="I385" s="30">
        <f t="shared" si="39"/>
        <v>11</v>
      </c>
      <c r="J385" s="30">
        <f t="shared" si="41"/>
        <v>47</v>
      </c>
      <c r="K385" s="30">
        <v>1</v>
      </c>
      <c r="L385" s="30">
        <f ca="1">SUM(K385:OFFSET(RngToDay,ROWS(Dates),10))</f>
        <v>116</v>
      </c>
      <c r="M385" s="32" t="str">
        <f ca="1">IF(B385="","",SUM(C385:OFFSET(C385,-SafetyStock!$B$4+1,0)))</f>
        <v/>
      </c>
      <c r="N385" s="32" t="e">
        <f t="shared" ca="1" si="42"/>
        <v>#DIV/0!</v>
      </c>
      <c r="O385" s="30">
        <f t="shared" si="40"/>
        <v>385</v>
      </c>
      <c r="P385" s="32">
        <f t="shared" ca="1" si="43"/>
        <v>0</v>
      </c>
      <c r="Q385" s="32">
        <f ca="1">IF(LeadTime=0,P385,IF(AND(SUM(Q384:OFFSET(Q385,-LeadTime,0))=0,P385&gt;0),MAX(P385:OFFSET(P385,-LeadTime+1,0)),0))</f>
        <v>0</v>
      </c>
    </row>
    <row r="386" spans="1:17" x14ac:dyDescent="0.25">
      <c r="A386" s="134">
        <v>41229</v>
      </c>
      <c r="B386" s="32"/>
      <c r="C386" s="32"/>
      <c r="D386" s="32"/>
      <c r="E386" s="32"/>
      <c r="F386" s="32">
        <f t="shared" si="44"/>
        <v>0</v>
      </c>
      <c r="G386" s="30" t="str">
        <f t="shared" ca="1" si="37"/>
        <v>History</v>
      </c>
      <c r="H386" s="30">
        <f t="shared" si="38"/>
        <v>2012</v>
      </c>
      <c r="I386" s="30">
        <f t="shared" si="39"/>
        <v>11</v>
      </c>
      <c r="J386" s="30">
        <f t="shared" si="41"/>
        <v>46</v>
      </c>
      <c r="K386" s="30">
        <v>1</v>
      </c>
      <c r="L386" s="30">
        <f ca="1">SUM(K386:OFFSET(RngToDay,ROWS(Dates),10))</f>
        <v>115</v>
      </c>
      <c r="M386" s="32" t="str">
        <f ca="1">IF(B386="","",SUM(C386:OFFSET(C386,-SafetyStock!$B$4+1,0)))</f>
        <v/>
      </c>
      <c r="N386" s="32" t="e">
        <f t="shared" ca="1" si="42"/>
        <v>#DIV/0!</v>
      </c>
      <c r="O386" s="30">
        <f t="shared" si="40"/>
        <v>386</v>
      </c>
      <c r="P386" s="32">
        <f t="shared" ca="1" si="43"/>
        <v>0</v>
      </c>
      <c r="Q386" s="32">
        <f ca="1">IF(LeadTime=0,P386,IF(AND(SUM(Q385:OFFSET(Q386,-LeadTime,0))=0,P386&gt;0),MAX(P386:OFFSET(P386,-LeadTime+1,0)),0))</f>
        <v>0</v>
      </c>
    </row>
    <row r="387" spans="1:17" x14ac:dyDescent="0.25">
      <c r="A387" s="134">
        <v>41228</v>
      </c>
      <c r="B387" s="32"/>
      <c r="C387" s="32"/>
      <c r="D387" s="32"/>
      <c r="E387" s="32"/>
      <c r="F387" s="32">
        <f t="shared" si="44"/>
        <v>0</v>
      </c>
      <c r="G387" s="30" t="str">
        <f t="shared" ref="G387:G450" ca="1" si="45">IF(A387&gt;TODAY(),"Requirements","History")</f>
        <v>History</v>
      </c>
      <c r="H387" s="30">
        <f t="shared" ref="H387:H450" si="46">YEAR(A387)</f>
        <v>2012</v>
      </c>
      <c r="I387" s="30">
        <f t="shared" ref="I387:I450" si="47">MONTH(A387)</f>
        <v>11</v>
      </c>
      <c r="J387" s="30">
        <f t="shared" si="41"/>
        <v>46</v>
      </c>
      <c r="K387" s="30">
        <v>1</v>
      </c>
      <c r="L387" s="30">
        <f ca="1">SUM(K387:OFFSET(RngToDay,ROWS(Dates),10))</f>
        <v>114</v>
      </c>
      <c r="M387" s="32" t="str">
        <f ca="1">IF(B387="","",SUM(C387:OFFSET(C387,-SafetyStock!$B$4+1,0)))</f>
        <v/>
      </c>
      <c r="N387" s="32" t="e">
        <f t="shared" ca="1" si="42"/>
        <v>#DIV/0!</v>
      </c>
      <c r="O387" s="30">
        <f t="shared" si="40"/>
        <v>387</v>
      </c>
      <c r="P387" s="32">
        <f t="shared" ca="1" si="43"/>
        <v>0</v>
      </c>
      <c r="Q387" s="32">
        <f ca="1">IF(LeadTime=0,P387,IF(AND(SUM(Q386:OFFSET(Q387,-LeadTime,0))=0,P387&gt;0),MAX(P387:OFFSET(P387,-LeadTime+1,0)),0))</f>
        <v>0</v>
      </c>
    </row>
    <row r="388" spans="1:17" x14ac:dyDescent="0.25">
      <c r="A388" s="134">
        <v>41227</v>
      </c>
      <c r="B388" s="32"/>
      <c r="C388" s="32"/>
      <c r="D388" s="32"/>
      <c r="E388" s="32"/>
      <c r="F388" s="32">
        <f t="shared" si="44"/>
        <v>0</v>
      </c>
      <c r="G388" s="30" t="str">
        <f t="shared" ca="1" si="45"/>
        <v>History</v>
      </c>
      <c r="H388" s="30">
        <f t="shared" si="46"/>
        <v>2012</v>
      </c>
      <c r="I388" s="30">
        <f t="shared" si="47"/>
        <v>11</v>
      </c>
      <c r="J388" s="30">
        <f t="shared" si="41"/>
        <v>46</v>
      </c>
      <c r="K388" s="30">
        <v>1</v>
      </c>
      <c r="L388" s="30">
        <f ca="1">SUM(K388:OFFSET(RngToDay,ROWS(Dates),10))</f>
        <v>113</v>
      </c>
      <c r="M388" s="32" t="str">
        <f ca="1">IF(B388="","",SUM(C388:OFFSET(C388,-SafetyStock!$B$4+1,0)))</f>
        <v/>
      </c>
      <c r="N388" s="32" t="e">
        <f t="shared" ca="1" si="42"/>
        <v>#DIV/0!</v>
      </c>
      <c r="O388" s="30">
        <f t="shared" ref="O388:O451" si="48">O387+1</f>
        <v>388</v>
      </c>
      <c r="P388" s="32">
        <f t="shared" ca="1" si="43"/>
        <v>0</v>
      </c>
      <c r="Q388" s="32">
        <f ca="1">IF(LeadTime=0,P388,IF(AND(SUM(Q387:OFFSET(Q388,-LeadTime,0))=0,P388&gt;0),MAX(P388:OFFSET(P388,-LeadTime+1,0)),0))</f>
        <v>0</v>
      </c>
    </row>
    <row r="389" spans="1:17" x14ac:dyDescent="0.25">
      <c r="A389" s="134">
        <v>41226</v>
      </c>
      <c r="B389" s="32"/>
      <c r="C389" s="32"/>
      <c r="D389" s="32"/>
      <c r="E389" s="32"/>
      <c r="F389" s="32">
        <f t="shared" si="44"/>
        <v>0</v>
      </c>
      <c r="G389" s="30" t="str">
        <f t="shared" ca="1" si="45"/>
        <v>History</v>
      </c>
      <c r="H389" s="30">
        <f t="shared" si="46"/>
        <v>2012</v>
      </c>
      <c r="I389" s="30">
        <f t="shared" si="47"/>
        <v>11</v>
      </c>
      <c r="J389" s="30">
        <f t="shared" si="41"/>
        <v>46</v>
      </c>
      <c r="K389" s="30">
        <v>1</v>
      </c>
      <c r="L389" s="30">
        <f ca="1">SUM(K389:OFFSET(RngToDay,ROWS(Dates),10))</f>
        <v>112</v>
      </c>
      <c r="M389" s="32" t="str">
        <f ca="1">IF(B389="","",SUM(C389:OFFSET(C389,-SafetyStock!$B$4+1,0)))</f>
        <v/>
      </c>
      <c r="N389" s="32" t="e">
        <f t="shared" ca="1" si="42"/>
        <v>#DIV/0!</v>
      </c>
      <c r="O389" s="30">
        <f t="shared" si="48"/>
        <v>389</v>
      </c>
      <c r="P389" s="32">
        <f t="shared" ca="1" si="43"/>
        <v>0</v>
      </c>
      <c r="Q389" s="32">
        <f ca="1">IF(LeadTime=0,P389,IF(AND(SUM(Q388:OFFSET(Q389,-LeadTime,0))=0,P389&gt;0),MAX(P389:OFFSET(P389,-LeadTime+1,0)),0))</f>
        <v>0</v>
      </c>
    </row>
    <row r="390" spans="1:17" x14ac:dyDescent="0.25">
      <c r="A390" s="134">
        <v>41225</v>
      </c>
      <c r="B390" s="32"/>
      <c r="C390" s="32"/>
      <c r="D390" s="32"/>
      <c r="E390" s="32"/>
      <c r="F390" s="32">
        <f t="shared" si="44"/>
        <v>0</v>
      </c>
      <c r="G390" s="30" t="str">
        <f t="shared" ca="1" si="45"/>
        <v>History</v>
      </c>
      <c r="H390" s="30">
        <f t="shared" si="46"/>
        <v>2012</v>
      </c>
      <c r="I390" s="30">
        <f t="shared" si="47"/>
        <v>11</v>
      </c>
      <c r="J390" s="30">
        <f t="shared" si="41"/>
        <v>46</v>
      </c>
      <c r="K390" s="30">
        <v>1</v>
      </c>
      <c r="L390" s="30">
        <f ca="1">SUM(K390:OFFSET(RngToDay,ROWS(Dates),10))</f>
        <v>111</v>
      </c>
      <c r="M390" s="32" t="str">
        <f ca="1">IF(B390="","",SUM(C390:OFFSET(C390,-SafetyStock!$B$4+1,0)))</f>
        <v/>
      </c>
      <c r="N390" s="32" t="e">
        <f t="shared" ca="1" si="42"/>
        <v>#DIV/0!</v>
      </c>
      <c r="O390" s="30">
        <f t="shared" si="48"/>
        <v>390</v>
      </c>
      <c r="P390" s="32">
        <f t="shared" ca="1" si="43"/>
        <v>0</v>
      </c>
      <c r="Q390" s="32">
        <f ca="1">IF(LeadTime=0,P390,IF(AND(SUM(Q389:OFFSET(Q390,-LeadTime,0))=0,P390&gt;0),MAX(P390:OFFSET(P390,-LeadTime+1,0)),0))</f>
        <v>0</v>
      </c>
    </row>
    <row r="391" spans="1:17" x14ac:dyDescent="0.25">
      <c r="A391" s="134">
        <v>41222</v>
      </c>
      <c r="B391" s="32"/>
      <c r="C391" s="32"/>
      <c r="D391" s="32"/>
      <c r="E391" s="32"/>
      <c r="F391" s="32">
        <f t="shared" si="44"/>
        <v>0</v>
      </c>
      <c r="G391" s="30" t="str">
        <f t="shared" ca="1" si="45"/>
        <v>History</v>
      </c>
      <c r="H391" s="30">
        <f t="shared" si="46"/>
        <v>2012</v>
      </c>
      <c r="I391" s="30">
        <f t="shared" si="47"/>
        <v>11</v>
      </c>
      <c r="J391" s="30">
        <f t="shared" si="41"/>
        <v>45</v>
      </c>
      <c r="K391" s="30">
        <v>1</v>
      </c>
      <c r="L391" s="30">
        <f ca="1">SUM(K391:OFFSET(RngToDay,ROWS(Dates),10))</f>
        <v>110</v>
      </c>
      <c r="M391" s="32" t="str">
        <f ca="1">IF(B391="","",SUM(C391:OFFSET(C391,-SafetyStock!$B$4+1,0)))</f>
        <v/>
      </c>
      <c r="N391" s="32" t="e">
        <f t="shared" ca="1" si="42"/>
        <v>#DIV/0!</v>
      </c>
      <c r="O391" s="30">
        <f t="shared" si="48"/>
        <v>391</v>
      </c>
      <c r="P391" s="32">
        <f t="shared" ca="1" si="43"/>
        <v>0</v>
      </c>
      <c r="Q391" s="32">
        <f ca="1">IF(LeadTime=0,P391,IF(AND(SUM(Q390:OFFSET(Q391,-LeadTime,0))=0,P391&gt;0),MAX(P391:OFFSET(P391,-LeadTime+1,0)),0))</f>
        <v>0</v>
      </c>
    </row>
    <row r="392" spans="1:17" x14ac:dyDescent="0.25">
      <c r="A392" s="134">
        <v>41221</v>
      </c>
      <c r="B392" s="32"/>
      <c r="C392" s="32"/>
      <c r="D392" s="32"/>
      <c r="E392" s="32"/>
      <c r="F392" s="32">
        <f t="shared" si="44"/>
        <v>0</v>
      </c>
      <c r="G392" s="30" t="str">
        <f t="shared" ca="1" si="45"/>
        <v>History</v>
      </c>
      <c r="H392" s="30">
        <f t="shared" si="46"/>
        <v>2012</v>
      </c>
      <c r="I392" s="30">
        <f t="shared" si="47"/>
        <v>11</v>
      </c>
      <c r="J392" s="30">
        <f t="shared" si="41"/>
        <v>45</v>
      </c>
      <c r="K392" s="30">
        <v>1</v>
      </c>
      <c r="L392" s="30">
        <f ca="1">SUM(K392:OFFSET(RngToDay,ROWS(Dates),10))</f>
        <v>109</v>
      </c>
      <c r="M392" s="32" t="str">
        <f ca="1">IF(B392="","",SUM(C392:OFFSET(C392,-SafetyStock!$B$4+1,0)))</f>
        <v/>
      </c>
      <c r="N392" s="32" t="e">
        <f t="shared" ca="1" si="42"/>
        <v>#DIV/0!</v>
      </c>
      <c r="O392" s="30">
        <f t="shared" si="48"/>
        <v>392</v>
      </c>
      <c r="P392" s="32">
        <f t="shared" ca="1" si="43"/>
        <v>0</v>
      </c>
      <c r="Q392" s="32">
        <f ca="1">IF(LeadTime=0,P392,IF(AND(SUM(Q391:OFFSET(Q392,-LeadTime,0))=0,P392&gt;0),MAX(P392:OFFSET(P392,-LeadTime+1,0)),0))</f>
        <v>0</v>
      </c>
    </row>
    <row r="393" spans="1:17" x14ac:dyDescent="0.25">
      <c r="A393" s="134">
        <v>41220</v>
      </c>
      <c r="B393" s="32"/>
      <c r="C393" s="32"/>
      <c r="D393" s="32"/>
      <c r="E393" s="32"/>
      <c r="F393" s="32">
        <f t="shared" si="44"/>
        <v>0</v>
      </c>
      <c r="G393" s="30" t="str">
        <f t="shared" ca="1" si="45"/>
        <v>History</v>
      </c>
      <c r="H393" s="30">
        <f t="shared" si="46"/>
        <v>2012</v>
      </c>
      <c r="I393" s="30">
        <f t="shared" si="47"/>
        <v>11</v>
      </c>
      <c r="J393" s="30">
        <f t="shared" si="41"/>
        <v>45</v>
      </c>
      <c r="K393" s="30">
        <v>1</v>
      </c>
      <c r="L393" s="30">
        <f ca="1">SUM(K393:OFFSET(RngToDay,ROWS(Dates),10))</f>
        <v>108</v>
      </c>
      <c r="M393" s="32" t="str">
        <f ca="1">IF(B393="","",SUM(C393:OFFSET(C393,-SafetyStock!$B$4+1,0)))</f>
        <v/>
      </c>
      <c r="N393" s="32" t="e">
        <f t="shared" ca="1" si="42"/>
        <v>#DIV/0!</v>
      </c>
      <c r="O393" s="30">
        <f t="shared" si="48"/>
        <v>393</v>
      </c>
      <c r="P393" s="32">
        <f t="shared" ca="1" si="43"/>
        <v>0</v>
      </c>
      <c r="Q393" s="32">
        <f ca="1">IF(LeadTime=0,P393,IF(AND(SUM(Q392:OFFSET(Q393,-LeadTime,0))=0,P393&gt;0),MAX(P393:OFFSET(P393,-LeadTime+1,0)),0))</f>
        <v>0</v>
      </c>
    </row>
    <row r="394" spans="1:17" x14ac:dyDescent="0.25">
      <c r="A394" s="134">
        <v>41219</v>
      </c>
      <c r="B394" s="32"/>
      <c r="C394" s="32"/>
      <c r="D394" s="32"/>
      <c r="E394" s="32"/>
      <c r="F394" s="32">
        <f t="shared" si="44"/>
        <v>0</v>
      </c>
      <c r="G394" s="30" t="str">
        <f t="shared" ca="1" si="45"/>
        <v>History</v>
      </c>
      <c r="H394" s="30">
        <f t="shared" si="46"/>
        <v>2012</v>
      </c>
      <c r="I394" s="30">
        <f t="shared" si="47"/>
        <v>11</v>
      </c>
      <c r="J394" s="30">
        <f t="shared" si="41"/>
        <v>45</v>
      </c>
      <c r="K394" s="30">
        <v>1</v>
      </c>
      <c r="L394" s="30">
        <f ca="1">SUM(K394:OFFSET(RngToDay,ROWS(Dates),10))</f>
        <v>107</v>
      </c>
      <c r="M394" s="32" t="str">
        <f ca="1">IF(B394="","",SUM(C394:OFFSET(C394,-SafetyStock!$B$4+1,0)))</f>
        <v/>
      </c>
      <c r="N394" s="32" t="e">
        <f t="shared" ca="1" si="42"/>
        <v>#DIV/0!</v>
      </c>
      <c r="O394" s="30">
        <f t="shared" si="48"/>
        <v>394</v>
      </c>
      <c r="P394" s="32">
        <f t="shared" ca="1" si="43"/>
        <v>0</v>
      </c>
      <c r="Q394" s="32">
        <f ca="1">IF(LeadTime=0,P394,IF(AND(SUM(Q393:OFFSET(Q394,-LeadTime,0))=0,P394&gt;0),MAX(P394:OFFSET(P394,-LeadTime+1,0)),0))</f>
        <v>0</v>
      </c>
    </row>
    <row r="395" spans="1:17" x14ac:dyDescent="0.25">
      <c r="A395" s="134">
        <v>41218</v>
      </c>
      <c r="B395" s="32"/>
      <c r="C395" s="32"/>
      <c r="D395" s="32"/>
      <c r="E395" s="32"/>
      <c r="F395" s="32">
        <f t="shared" si="44"/>
        <v>0</v>
      </c>
      <c r="G395" s="30" t="str">
        <f t="shared" ca="1" si="45"/>
        <v>History</v>
      </c>
      <c r="H395" s="30">
        <f t="shared" si="46"/>
        <v>2012</v>
      </c>
      <c r="I395" s="30">
        <f t="shared" si="47"/>
        <v>11</v>
      </c>
      <c r="J395" s="30">
        <f t="shared" si="41"/>
        <v>45</v>
      </c>
      <c r="K395" s="30">
        <v>1</v>
      </c>
      <c r="L395" s="30">
        <f ca="1">SUM(K395:OFFSET(RngToDay,ROWS(Dates),10))</f>
        <v>106</v>
      </c>
      <c r="M395" s="32" t="str">
        <f ca="1">IF(B395="","",SUM(C395:OFFSET(C395,-SafetyStock!$B$4+1,0)))</f>
        <v/>
      </c>
      <c r="N395" s="32" t="e">
        <f t="shared" ca="1" si="42"/>
        <v>#DIV/0!</v>
      </c>
      <c r="O395" s="30">
        <f t="shared" si="48"/>
        <v>395</v>
      </c>
      <c r="P395" s="32">
        <f t="shared" ca="1" si="43"/>
        <v>0</v>
      </c>
      <c r="Q395" s="32">
        <f ca="1">IF(LeadTime=0,P395,IF(AND(SUM(Q394:OFFSET(Q395,-LeadTime,0))=0,P395&gt;0),MAX(P395:OFFSET(P395,-LeadTime+1,0)),0))</f>
        <v>0</v>
      </c>
    </row>
    <row r="396" spans="1:17" x14ac:dyDescent="0.25">
      <c r="A396" s="134">
        <v>41215</v>
      </c>
      <c r="B396" s="32"/>
      <c r="C396" s="32"/>
      <c r="D396" s="32"/>
      <c r="E396" s="32"/>
      <c r="F396" s="32">
        <f t="shared" si="44"/>
        <v>0</v>
      </c>
      <c r="G396" s="30" t="str">
        <f t="shared" ca="1" si="45"/>
        <v>History</v>
      </c>
      <c r="H396" s="30">
        <f t="shared" si="46"/>
        <v>2012</v>
      </c>
      <c r="I396" s="30">
        <f t="shared" si="47"/>
        <v>11</v>
      </c>
      <c r="J396" s="30">
        <f t="shared" si="41"/>
        <v>44</v>
      </c>
      <c r="K396" s="30">
        <v>1</v>
      </c>
      <c r="L396" s="30">
        <f ca="1">SUM(K396:OFFSET(RngToDay,ROWS(Dates),10))</f>
        <v>105</v>
      </c>
      <c r="M396" s="32" t="str">
        <f ca="1">IF(B396="","",SUM(C396:OFFSET(C396,-SafetyStock!$B$4+1,0)))</f>
        <v/>
      </c>
      <c r="N396" s="32" t="e">
        <f t="shared" ca="1" si="42"/>
        <v>#DIV/0!</v>
      </c>
      <c r="O396" s="30">
        <f t="shared" si="48"/>
        <v>396</v>
      </c>
      <c r="P396" s="32">
        <f t="shared" ca="1" si="43"/>
        <v>0</v>
      </c>
      <c r="Q396" s="32">
        <f ca="1">IF(LeadTime=0,P396,IF(AND(SUM(Q395:OFFSET(Q396,-LeadTime,0))=0,P396&gt;0),MAX(P396:OFFSET(P396,-LeadTime+1,0)),0))</f>
        <v>0</v>
      </c>
    </row>
    <row r="397" spans="1:17" x14ac:dyDescent="0.25">
      <c r="A397" s="134">
        <v>41214</v>
      </c>
      <c r="B397" s="32"/>
      <c r="C397" s="32"/>
      <c r="D397" s="32"/>
      <c r="E397" s="32"/>
      <c r="F397" s="32">
        <f t="shared" si="44"/>
        <v>0</v>
      </c>
      <c r="G397" s="30" t="str">
        <f t="shared" ca="1" si="45"/>
        <v>History</v>
      </c>
      <c r="H397" s="30">
        <f t="shared" si="46"/>
        <v>2012</v>
      </c>
      <c r="I397" s="30">
        <f t="shared" si="47"/>
        <v>11</v>
      </c>
      <c r="J397" s="30">
        <f t="shared" si="41"/>
        <v>44</v>
      </c>
      <c r="K397" s="30">
        <v>1</v>
      </c>
      <c r="L397" s="30">
        <f ca="1">SUM(K397:OFFSET(RngToDay,ROWS(Dates),10))</f>
        <v>104</v>
      </c>
      <c r="M397" s="32" t="str">
        <f ca="1">IF(B397="","",SUM(C397:OFFSET(C397,-SafetyStock!$B$4+1,0)))</f>
        <v/>
      </c>
      <c r="N397" s="32" t="e">
        <f t="shared" ca="1" si="42"/>
        <v>#DIV/0!</v>
      </c>
      <c r="O397" s="30">
        <f t="shared" si="48"/>
        <v>397</v>
      </c>
      <c r="P397" s="32">
        <f t="shared" ca="1" si="43"/>
        <v>0</v>
      </c>
      <c r="Q397" s="32">
        <f ca="1">IF(LeadTime=0,P397,IF(AND(SUM(Q396:OFFSET(Q397,-LeadTime,0))=0,P397&gt;0),MAX(P397:OFFSET(P397,-LeadTime+1,0)),0))</f>
        <v>0</v>
      </c>
    </row>
    <row r="398" spans="1:17" x14ac:dyDescent="0.25">
      <c r="A398" s="134">
        <v>41213</v>
      </c>
      <c r="B398" s="32"/>
      <c r="C398" s="32"/>
      <c r="D398" s="32"/>
      <c r="E398" s="32"/>
      <c r="F398" s="32">
        <f t="shared" si="44"/>
        <v>0</v>
      </c>
      <c r="G398" s="30" t="str">
        <f t="shared" ca="1" si="45"/>
        <v>History</v>
      </c>
      <c r="H398" s="30">
        <f t="shared" si="46"/>
        <v>2012</v>
      </c>
      <c r="I398" s="30">
        <f t="shared" si="47"/>
        <v>10</v>
      </c>
      <c r="J398" s="30">
        <f t="shared" si="41"/>
        <v>44</v>
      </c>
      <c r="K398" s="30">
        <v>1</v>
      </c>
      <c r="L398" s="30">
        <f ca="1">SUM(K398:OFFSET(RngToDay,ROWS(Dates),10))</f>
        <v>103</v>
      </c>
      <c r="M398" s="32" t="str">
        <f ca="1">IF(B398="","",SUM(C398:OFFSET(C398,-SafetyStock!$B$4+1,0)))</f>
        <v/>
      </c>
      <c r="N398" s="32" t="e">
        <f t="shared" ca="1" si="42"/>
        <v>#DIV/0!</v>
      </c>
      <c r="O398" s="30">
        <f t="shared" si="48"/>
        <v>398</v>
      </c>
      <c r="P398" s="32">
        <f t="shared" ca="1" si="43"/>
        <v>0</v>
      </c>
      <c r="Q398" s="32">
        <f ca="1">IF(LeadTime=0,P398,IF(AND(SUM(Q397:OFFSET(Q398,-LeadTime,0))=0,P398&gt;0),MAX(P398:OFFSET(P398,-LeadTime+1,0)),0))</f>
        <v>0</v>
      </c>
    </row>
    <row r="399" spans="1:17" x14ac:dyDescent="0.25">
      <c r="A399" s="134">
        <v>41212</v>
      </c>
      <c r="B399" s="32"/>
      <c r="C399" s="32"/>
      <c r="D399" s="32"/>
      <c r="E399" s="32"/>
      <c r="F399" s="32">
        <f t="shared" si="44"/>
        <v>0</v>
      </c>
      <c r="G399" s="30" t="str">
        <f t="shared" ca="1" si="45"/>
        <v>History</v>
      </c>
      <c r="H399" s="30">
        <f t="shared" si="46"/>
        <v>2012</v>
      </c>
      <c r="I399" s="30">
        <f t="shared" si="47"/>
        <v>10</v>
      </c>
      <c r="J399" s="30">
        <f t="shared" si="41"/>
        <v>44</v>
      </c>
      <c r="K399" s="30">
        <v>1</v>
      </c>
      <c r="L399" s="30">
        <f ca="1">SUM(K399:OFFSET(RngToDay,ROWS(Dates),10))</f>
        <v>102</v>
      </c>
      <c r="M399" s="32" t="str">
        <f ca="1">IF(B399="","",SUM(C399:OFFSET(C399,-SafetyStock!$B$4+1,0)))</f>
        <v/>
      </c>
      <c r="N399" s="32" t="e">
        <f t="shared" ca="1" si="42"/>
        <v>#DIV/0!</v>
      </c>
      <c r="O399" s="30">
        <f t="shared" si="48"/>
        <v>399</v>
      </c>
      <c r="P399" s="32">
        <f t="shared" ca="1" si="43"/>
        <v>0</v>
      </c>
      <c r="Q399" s="32">
        <f ca="1">IF(LeadTime=0,P399,IF(AND(SUM(Q398:OFFSET(Q399,-LeadTime,0))=0,P399&gt;0),MAX(P399:OFFSET(P399,-LeadTime+1,0)),0))</f>
        <v>0</v>
      </c>
    </row>
    <row r="400" spans="1:17" x14ac:dyDescent="0.25">
      <c r="A400" s="134">
        <v>41211</v>
      </c>
      <c r="B400" s="32"/>
      <c r="C400" s="32"/>
      <c r="D400" s="32"/>
      <c r="E400" s="32"/>
      <c r="F400" s="32">
        <f t="shared" si="44"/>
        <v>0</v>
      </c>
      <c r="G400" s="30" t="str">
        <f t="shared" ca="1" si="45"/>
        <v>History</v>
      </c>
      <c r="H400" s="30">
        <f t="shared" si="46"/>
        <v>2012</v>
      </c>
      <c r="I400" s="30">
        <f t="shared" si="47"/>
        <v>10</v>
      </c>
      <c r="J400" s="30">
        <f t="shared" si="41"/>
        <v>44</v>
      </c>
      <c r="K400" s="30">
        <v>1</v>
      </c>
      <c r="L400" s="30">
        <f ca="1">SUM(K400:OFFSET(RngToDay,ROWS(Dates),10))</f>
        <v>101</v>
      </c>
      <c r="M400" s="32" t="str">
        <f ca="1">IF(B400="","",SUM(C400:OFFSET(C400,-SafetyStock!$B$4+1,0)))</f>
        <v/>
      </c>
      <c r="N400" s="32" t="e">
        <f t="shared" ca="1" si="42"/>
        <v>#DIV/0!</v>
      </c>
      <c r="O400" s="30">
        <f t="shared" si="48"/>
        <v>400</v>
      </c>
      <c r="P400" s="32">
        <f t="shared" ca="1" si="43"/>
        <v>0</v>
      </c>
      <c r="Q400" s="32">
        <f ca="1">IF(LeadTime=0,P400,IF(AND(SUM(Q399:OFFSET(Q400,-LeadTime,0))=0,P400&gt;0),MAX(P400:OFFSET(P400,-LeadTime+1,0)),0))</f>
        <v>0</v>
      </c>
    </row>
    <row r="401" spans="1:17" x14ac:dyDescent="0.25">
      <c r="A401" s="134">
        <v>41208</v>
      </c>
      <c r="B401" s="32"/>
      <c r="C401" s="32"/>
      <c r="D401" s="32"/>
      <c r="E401" s="32"/>
      <c r="F401" s="32">
        <f t="shared" si="44"/>
        <v>0</v>
      </c>
      <c r="G401" s="30" t="str">
        <f t="shared" ca="1" si="45"/>
        <v>History</v>
      </c>
      <c r="H401" s="30">
        <f t="shared" si="46"/>
        <v>2012</v>
      </c>
      <c r="I401" s="30">
        <f t="shared" si="47"/>
        <v>10</v>
      </c>
      <c r="J401" s="30">
        <f t="shared" si="41"/>
        <v>43</v>
      </c>
      <c r="K401" s="30">
        <v>1</v>
      </c>
      <c r="L401" s="30">
        <f ca="1">SUM(K401:OFFSET(RngToDay,ROWS(Dates),10))</f>
        <v>100</v>
      </c>
      <c r="M401" s="32" t="str">
        <f ca="1">IF(B401="","",SUM(C401:OFFSET(C401,-SafetyStock!$B$4+1,0)))</f>
        <v/>
      </c>
      <c r="N401" s="32" t="e">
        <f t="shared" ca="1" si="42"/>
        <v>#DIV/0!</v>
      </c>
      <c r="O401" s="30">
        <f t="shared" si="48"/>
        <v>401</v>
      </c>
      <c r="P401" s="32">
        <f t="shared" ca="1" si="43"/>
        <v>0</v>
      </c>
      <c r="Q401" s="32">
        <f ca="1">IF(LeadTime=0,P401,IF(AND(SUM(Q400:OFFSET(Q401,-LeadTime,0))=0,P401&gt;0),MAX(P401:OFFSET(P401,-LeadTime+1,0)),0))</f>
        <v>0</v>
      </c>
    </row>
    <row r="402" spans="1:17" x14ac:dyDescent="0.25">
      <c r="A402" s="134">
        <v>41207</v>
      </c>
      <c r="B402" s="32"/>
      <c r="C402" s="32"/>
      <c r="D402" s="32"/>
      <c r="E402" s="32"/>
      <c r="F402" s="32">
        <f t="shared" si="44"/>
        <v>0</v>
      </c>
      <c r="G402" s="30" t="str">
        <f t="shared" ca="1" si="45"/>
        <v>History</v>
      </c>
      <c r="H402" s="30">
        <f t="shared" si="46"/>
        <v>2012</v>
      </c>
      <c r="I402" s="30">
        <f t="shared" si="47"/>
        <v>10</v>
      </c>
      <c r="J402" s="30">
        <f t="shared" si="41"/>
        <v>43</v>
      </c>
      <c r="K402" s="30">
        <v>1</v>
      </c>
      <c r="L402" s="30">
        <f ca="1">SUM(K402:OFFSET(RngToDay,ROWS(Dates),10))</f>
        <v>99</v>
      </c>
      <c r="M402" s="32" t="str">
        <f ca="1">IF(B402="","",SUM(C402:OFFSET(C402,-SafetyStock!$B$4+1,0)))</f>
        <v/>
      </c>
      <c r="N402" s="32" t="e">
        <f t="shared" ca="1" si="42"/>
        <v>#DIV/0!</v>
      </c>
      <c r="O402" s="30">
        <f t="shared" si="48"/>
        <v>402</v>
      </c>
      <c r="P402" s="32">
        <f t="shared" ca="1" si="43"/>
        <v>0</v>
      </c>
      <c r="Q402" s="32">
        <f ca="1">IF(LeadTime=0,P402,IF(AND(SUM(Q401:OFFSET(Q402,-LeadTime,0))=0,P402&gt;0),MAX(P402:OFFSET(P402,-LeadTime+1,0)),0))</f>
        <v>0</v>
      </c>
    </row>
    <row r="403" spans="1:17" x14ac:dyDescent="0.25">
      <c r="A403" s="134">
        <v>41206</v>
      </c>
      <c r="B403" s="32"/>
      <c r="C403" s="32"/>
      <c r="D403" s="32"/>
      <c r="E403" s="32"/>
      <c r="F403" s="32">
        <f t="shared" si="44"/>
        <v>0</v>
      </c>
      <c r="G403" s="30" t="str">
        <f t="shared" ca="1" si="45"/>
        <v>History</v>
      </c>
      <c r="H403" s="30">
        <f t="shared" si="46"/>
        <v>2012</v>
      </c>
      <c r="I403" s="30">
        <f t="shared" si="47"/>
        <v>10</v>
      </c>
      <c r="J403" s="30">
        <f t="shared" si="41"/>
        <v>43</v>
      </c>
      <c r="K403" s="30">
        <v>1</v>
      </c>
      <c r="L403" s="30">
        <f ca="1">SUM(K403:OFFSET(RngToDay,ROWS(Dates),10))</f>
        <v>98</v>
      </c>
      <c r="M403" s="32" t="str">
        <f ca="1">IF(B403="","",SUM(C403:OFFSET(C403,-SafetyStock!$B$4+1,0)))</f>
        <v/>
      </c>
      <c r="N403" s="32" t="e">
        <f t="shared" ca="1" si="42"/>
        <v>#DIV/0!</v>
      </c>
      <c r="O403" s="30">
        <f t="shared" si="48"/>
        <v>403</v>
      </c>
      <c r="P403" s="32">
        <f t="shared" ca="1" si="43"/>
        <v>0</v>
      </c>
      <c r="Q403" s="32">
        <f ca="1">IF(LeadTime=0,P403,IF(AND(SUM(Q402:OFFSET(Q403,-LeadTime,0))=0,P403&gt;0),MAX(P403:OFFSET(P403,-LeadTime+1,0)),0))</f>
        <v>0</v>
      </c>
    </row>
    <row r="404" spans="1:17" x14ac:dyDescent="0.25">
      <c r="A404" s="134">
        <v>41205</v>
      </c>
      <c r="B404" s="32"/>
      <c r="C404" s="32"/>
      <c r="D404" s="32"/>
      <c r="E404" s="32"/>
      <c r="F404" s="32">
        <f t="shared" si="44"/>
        <v>0</v>
      </c>
      <c r="G404" s="30" t="str">
        <f t="shared" ca="1" si="45"/>
        <v>History</v>
      </c>
      <c r="H404" s="30">
        <f t="shared" si="46"/>
        <v>2012</v>
      </c>
      <c r="I404" s="30">
        <f t="shared" si="47"/>
        <v>10</v>
      </c>
      <c r="J404" s="30">
        <f t="shared" si="41"/>
        <v>43</v>
      </c>
      <c r="K404" s="30">
        <v>1</v>
      </c>
      <c r="L404" s="30">
        <f ca="1">SUM(K404:OFFSET(RngToDay,ROWS(Dates),10))</f>
        <v>97</v>
      </c>
      <c r="M404" s="32" t="str">
        <f ca="1">IF(B404="","",SUM(C404:OFFSET(C404,-SafetyStock!$B$4+1,0)))</f>
        <v/>
      </c>
      <c r="N404" s="32" t="e">
        <f t="shared" ca="1" si="42"/>
        <v>#DIV/0!</v>
      </c>
      <c r="O404" s="30">
        <f t="shared" si="48"/>
        <v>404</v>
      </c>
      <c r="P404" s="32">
        <f t="shared" ca="1" si="43"/>
        <v>0</v>
      </c>
      <c r="Q404" s="32">
        <f ca="1">IF(LeadTime=0,P404,IF(AND(SUM(Q403:OFFSET(Q404,-LeadTime,0))=0,P404&gt;0),MAX(P404:OFFSET(P404,-LeadTime+1,0)),0))</f>
        <v>0</v>
      </c>
    </row>
    <row r="405" spans="1:17" x14ac:dyDescent="0.25">
      <c r="A405" s="134">
        <v>41204</v>
      </c>
      <c r="B405" s="32"/>
      <c r="C405" s="32"/>
      <c r="D405" s="32"/>
      <c r="E405" s="32"/>
      <c r="F405" s="32">
        <f t="shared" si="44"/>
        <v>0</v>
      </c>
      <c r="G405" s="30" t="str">
        <f t="shared" ca="1" si="45"/>
        <v>History</v>
      </c>
      <c r="H405" s="30">
        <f t="shared" si="46"/>
        <v>2012</v>
      </c>
      <c r="I405" s="30">
        <f t="shared" si="47"/>
        <v>10</v>
      </c>
      <c r="J405" s="30">
        <f t="shared" si="41"/>
        <v>43</v>
      </c>
      <c r="K405" s="30">
        <v>1</v>
      </c>
      <c r="L405" s="30">
        <f ca="1">SUM(K405:OFFSET(RngToDay,ROWS(Dates),10))</f>
        <v>96</v>
      </c>
      <c r="M405" s="32" t="str">
        <f ca="1">IF(B405="","",SUM(C405:OFFSET(C405,-SafetyStock!$B$4+1,0)))</f>
        <v/>
      </c>
      <c r="N405" s="32" t="e">
        <f t="shared" ca="1" si="42"/>
        <v>#DIV/0!</v>
      </c>
      <c r="O405" s="30">
        <f t="shared" si="48"/>
        <v>405</v>
      </c>
      <c r="P405" s="32">
        <f t="shared" ca="1" si="43"/>
        <v>0</v>
      </c>
      <c r="Q405" s="32">
        <f ca="1">IF(LeadTime=0,P405,IF(AND(SUM(Q404:OFFSET(Q405,-LeadTime,0))=0,P405&gt;0),MAX(P405:OFFSET(P405,-LeadTime+1,0)),0))</f>
        <v>0</v>
      </c>
    </row>
    <row r="406" spans="1:17" x14ac:dyDescent="0.25">
      <c r="A406" s="134">
        <v>41201</v>
      </c>
      <c r="B406" s="32"/>
      <c r="C406" s="32"/>
      <c r="D406" s="32"/>
      <c r="E406" s="32"/>
      <c r="F406" s="32">
        <f t="shared" si="44"/>
        <v>0</v>
      </c>
      <c r="G406" s="30" t="str">
        <f t="shared" ca="1" si="45"/>
        <v>History</v>
      </c>
      <c r="H406" s="30">
        <f t="shared" si="46"/>
        <v>2012</v>
      </c>
      <c r="I406" s="30">
        <f t="shared" si="47"/>
        <v>10</v>
      </c>
      <c r="J406" s="30">
        <f t="shared" si="41"/>
        <v>42</v>
      </c>
      <c r="K406" s="30">
        <v>1</v>
      </c>
      <c r="L406" s="30">
        <f ca="1">SUM(K406:OFFSET(RngToDay,ROWS(Dates),10))</f>
        <v>95</v>
      </c>
      <c r="M406" s="32" t="str">
        <f ca="1">IF(B406="","",SUM(C406:OFFSET(C406,-SafetyStock!$B$4+1,0)))</f>
        <v/>
      </c>
      <c r="N406" s="32" t="e">
        <f t="shared" ca="1" si="42"/>
        <v>#DIV/0!</v>
      </c>
      <c r="O406" s="30">
        <f t="shared" si="48"/>
        <v>406</v>
      </c>
      <c r="P406" s="32">
        <f t="shared" ca="1" si="43"/>
        <v>0</v>
      </c>
      <c r="Q406" s="32">
        <f ca="1">IF(LeadTime=0,P406,IF(AND(SUM(Q405:OFFSET(Q406,-LeadTime,0))=0,P406&gt;0),MAX(P406:OFFSET(P406,-LeadTime+1,0)),0))</f>
        <v>0</v>
      </c>
    </row>
    <row r="407" spans="1:17" x14ac:dyDescent="0.25">
      <c r="A407" s="134">
        <v>41200</v>
      </c>
      <c r="B407" s="32"/>
      <c r="C407" s="32"/>
      <c r="D407" s="32"/>
      <c r="E407" s="32"/>
      <c r="F407" s="32">
        <f t="shared" si="44"/>
        <v>0</v>
      </c>
      <c r="G407" s="30" t="str">
        <f t="shared" ca="1" si="45"/>
        <v>History</v>
      </c>
      <c r="H407" s="30">
        <f t="shared" si="46"/>
        <v>2012</v>
      </c>
      <c r="I407" s="30">
        <f t="shared" si="47"/>
        <v>10</v>
      </c>
      <c r="J407" s="30">
        <f t="shared" si="41"/>
        <v>42</v>
      </c>
      <c r="K407" s="30">
        <v>1</v>
      </c>
      <c r="L407" s="30">
        <f ca="1">SUM(K407:OFFSET(RngToDay,ROWS(Dates),10))</f>
        <v>94</v>
      </c>
      <c r="M407" s="32" t="str">
        <f ca="1">IF(B407="","",SUM(C407:OFFSET(C407,-SafetyStock!$B$4+1,0)))</f>
        <v/>
      </c>
      <c r="N407" s="32" t="e">
        <f t="shared" ca="1" si="42"/>
        <v>#DIV/0!</v>
      </c>
      <c r="O407" s="30">
        <f t="shared" si="48"/>
        <v>407</v>
      </c>
      <c r="P407" s="32">
        <f t="shared" ca="1" si="43"/>
        <v>0</v>
      </c>
      <c r="Q407" s="32">
        <f ca="1">IF(LeadTime=0,P407,IF(AND(SUM(Q406:OFFSET(Q407,-LeadTime,0))=0,P407&gt;0),MAX(P407:OFFSET(P407,-LeadTime+1,0)),0))</f>
        <v>0</v>
      </c>
    </row>
    <row r="408" spans="1:17" x14ac:dyDescent="0.25">
      <c r="A408" s="134">
        <v>41199</v>
      </c>
      <c r="B408" s="32"/>
      <c r="C408" s="32"/>
      <c r="D408" s="32"/>
      <c r="E408" s="32"/>
      <c r="F408" s="32">
        <f t="shared" si="44"/>
        <v>0</v>
      </c>
      <c r="G408" s="30" t="str">
        <f t="shared" ca="1" si="45"/>
        <v>History</v>
      </c>
      <c r="H408" s="30">
        <f t="shared" si="46"/>
        <v>2012</v>
      </c>
      <c r="I408" s="30">
        <f t="shared" si="47"/>
        <v>10</v>
      </c>
      <c r="J408" s="30">
        <f t="shared" si="41"/>
        <v>42</v>
      </c>
      <c r="K408" s="30">
        <v>1</v>
      </c>
      <c r="L408" s="30">
        <f ca="1">SUM(K408:OFFSET(RngToDay,ROWS(Dates),10))</f>
        <v>93</v>
      </c>
      <c r="M408" s="32" t="str">
        <f ca="1">IF(B408="","",SUM(C408:OFFSET(C408,-SafetyStock!$B$4+1,0)))</f>
        <v/>
      </c>
      <c r="N408" s="32" t="e">
        <f t="shared" ca="1" si="42"/>
        <v>#DIV/0!</v>
      </c>
      <c r="O408" s="30">
        <f t="shared" si="48"/>
        <v>408</v>
      </c>
      <c r="P408" s="32">
        <f t="shared" ca="1" si="43"/>
        <v>0</v>
      </c>
      <c r="Q408" s="32">
        <f ca="1">IF(LeadTime=0,P408,IF(AND(SUM(Q407:OFFSET(Q408,-LeadTime,0))=0,P408&gt;0),MAX(P408:OFFSET(P408,-LeadTime+1,0)),0))</f>
        <v>0</v>
      </c>
    </row>
    <row r="409" spans="1:17" x14ac:dyDescent="0.25">
      <c r="A409" s="134">
        <v>41198</v>
      </c>
      <c r="B409" s="32"/>
      <c r="C409" s="32"/>
      <c r="D409" s="32"/>
      <c r="E409" s="32"/>
      <c r="F409" s="32">
        <f t="shared" si="44"/>
        <v>0</v>
      </c>
      <c r="G409" s="30" t="str">
        <f t="shared" ca="1" si="45"/>
        <v>History</v>
      </c>
      <c r="H409" s="30">
        <f t="shared" si="46"/>
        <v>2012</v>
      </c>
      <c r="I409" s="30">
        <f t="shared" si="47"/>
        <v>10</v>
      </c>
      <c r="J409" s="30">
        <f t="shared" si="41"/>
        <v>42</v>
      </c>
      <c r="K409" s="30">
        <v>1</v>
      </c>
      <c r="L409" s="30">
        <f ca="1">SUM(K409:OFFSET(RngToDay,ROWS(Dates),10))</f>
        <v>92</v>
      </c>
      <c r="M409" s="32" t="str">
        <f ca="1">IF(B409="","",SUM(C409:OFFSET(C409,-SafetyStock!$B$4+1,0)))</f>
        <v/>
      </c>
      <c r="N409" s="32" t="e">
        <f t="shared" ca="1" si="42"/>
        <v>#DIV/0!</v>
      </c>
      <c r="O409" s="30">
        <f t="shared" si="48"/>
        <v>409</v>
      </c>
      <c r="P409" s="32">
        <f t="shared" ca="1" si="43"/>
        <v>0</v>
      </c>
      <c r="Q409" s="32">
        <f ca="1">IF(LeadTime=0,P409,IF(AND(SUM(Q408:OFFSET(Q409,-LeadTime,0))=0,P409&gt;0),MAX(P409:OFFSET(P409,-LeadTime+1,0)),0))</f>
        <v>0</v>
      </c>
    </row>
    <row r="410" spans="1:17" x14ac:dyDescent="0.25">
      <c r="A410" s="134">
        <v>41197</v>
      </c>
      <c r="B410" s="32"/>
      <c r="C410" s="32"/>
      <c r="D410" s="32"/>
      <c r="E410" s="32"/>
      <c r="F410" s="32">
        <f t="shared" si="44"/>
        <v>0</v>
      </c>
      <c r="G410" s="30" t="str">
        <f t="shared" ca="1" si="45"/>
        <v>History</v>
      </c>
      <c r="H410" s="30">
        <f t="shared" si="46"/>
        <v>2012</v>
      </c>
      <c r="I410" s="30">
        <f t="shared" si="47"/>
        <v>10</v>
      </c>
      <c r="J410" s="30">
        <f t="shared" si="41"/>
        <v>42</v>
      </c>
      <c r="K410" s="30">
        <v>1</v>
      </c>
      <c r="L410" s="30">
        <f ca="1">SUM(K410:OFFSET(RngToDay,ROWS(Dates),10))</f>
        <v>91</v>
      </c>
      <c r="M410" s="32" t="str">
        <f ca="1">IF(B410="","",SUM(C410:OFFSET(C410,-SafetyStock!$B$4+1,0)))</f>
        <v/>
      </c>
      <c r="N410" s="32" t="e">
        <f t="shared" ca="1" si="42"/>
        <v>#DIV/0!</v>
      </c>
      <c r="O410" s="30">
        <f t="shared" si="48"/>
        <v>410</v>
      </c>
      <c r="P410" s="32">
        <f t="shared" ca="1" si="43"/>
        <v>0</v>
      </c>
      <c r="Q410" s="32">
        <f ca="1">IF(LeadTime=0,P410,IF(AND(SUM(Q409:OFFSET(Q410,-LeadTime,0))=0,P410&gt;0),MAX(P410:OFFSET(P410,-LeadTime+1,0)),0))</f>
        <v>0</v>
      </c>
    </row>
    <row r="411" spans="1:17" x14ac:dyDescent="0.25">
      <c r="A411" s="134">
        <v>41194</v>
      </c>
      <c r="B411" s="32"/>
      <c r="C411" s="32"/>
      <c r="D411" s="32"/>
      <c r="E411" s="32"/>
      <c r="F411" s="32">
        <f t="shared" si="44"/>
        <v>0</v>
      </c>
      <c r="G411" s="30" t="str">
        <f t="shared" ca="1" si="45"/>
        <v>History</v>
      </c>
      <c r="H411" s="30">
        <f t="shared" si="46"/>
        <v>2012</v>
      </c>
      <c r="I411" s="30">
        <f t="shared" si="47"/>
        <v>10</v>
      </c>
      <c r="J411" s="30">
        <f t="shared" si="41"/>
        <v>41</v>
      </c>
      <c r="K411" s="30">
        <v>1</v>
      </c>
      <c r="L411" s="30">
        <f ca="1">SUM(K411:OFFSET(RngToDay,ROWS(Dates),10))</f>
        <v>90</v>
      </c>
      <c r="M411" s="32" t="str">
        <f ca="1">IF(B411="","",SUM(C411:OFFSET(C411,-SafetyStock!$B$4+1,0)))</f>
        <v/>
      </c>
      <c r="N411" s="32" t="e">
        <f t="shared" ca="1" si="42"/>
        <v>#DIV/0!</v>
      </c>
      <c r="O411" s="30">
        <f t="shared" si="48"/>
        <v>411</v>
      </c>
      <c r="P411" s="32">
        <f t="shared" ca="1" si="43"/>
        <v>0</v>
      </c>
      <c r="Q411" s="32">
        <f ca="1">IF(LeadTime=0,P411,IF(AND(SUM(Q410:OFFSET(Q411,-LeadTime,0))=0,P411&gt;0),MAX(P411:OFFSET(P411,-LeadTime+1,0)),0))</f>
        <v>0</v>
      </c>
    </row>
    <row r="412" spans="1:17" x14ac:dyDescent="0.25">
      <c r="A412" s="134">
        <v>41193</v>
      </c>
      <c r="B412" s="32"/>
      <c r="C412" s="32"/>
      <c r="D412" s="32"/>
      <c r="E412" s="32"/>
      <c r="F412" s="32">
        <f t="shared" si="44"/>
        <v>0</v>
      </c>
      <c r="G412" s="30" t="str">
        <f t="shared" ca="1" si="45"/>
        <v>History</v>
      </c>
      <c r="H412" s="30">
        <f t="shared" si="46"/>
        <v>2012</v>
      </c>
      <c r="I412" s="30">
        <f t="shared" si="47"/>
        <v>10</v>
      </c>
      <c r="J412" s="30">
        <f t="shared" si="41"/>
        <v>41</v>
      </c>
      <c r="K412" s="30">
        <v>1</v>
      </c>
      <c r="L412" s="30">
        <f ca="1">SUM(K412:OFFSET(RngToDay,ROWS(Dates),10))</f>
        <v>89</v>
      </c>
      <c r="M412" s="32" t="str">
        <f ca="1">IF(B412="","",SUM(C412:OFFSET(C412,-SafetyStock!$B$4+1,0)))</f>
        <v/>
      </c>
      <c r="N412" s="32" t="e">
        <f t="shared" ca="1" si="42"/>
        <v>#DIV/0!</v>
      </c>
      <c r="O412" s="30">
        <f t="shared" si="48"/>
        <v>412</v>
      </c>
      <c r="P412" s="32">
        <f t="shared" ca="1" si="43"/>
        <v>0</v>
      </c>
      <c r="Q412" s="32">
        <f ca="1">IF(LeadTime=0,P412,IF(AND(SUM(Q411:OFFSET(Q412,-LeadTime,0))=0,P412&gt;0),MAX(P412:OFFSET(P412,-LeadTime+1,0)),0))</f>
        <v>0</v>
      </c>
    </row>
    <row r="413" spans="1:17" x14ac:dyDescent="0.25">
      <c r="A413" s="134">
        <v>41192</v>
      </c>
      <c r="B413" s="32"/>
      <c r="C413" s="32"/>
      <c r="D413" s="32"/>
      <c r="E413" s="32"/>
      <c r="F413" s="32">
        <f t="shared" si="44"/>
        <v>0</v>
      </c>
      <c r="G413" s="30" t="str">
        <f t="shared" ca="1" si="45"/>
        <v>History</v>
      </c>
      <c r="H413" s="30">
        <f t="shared" si="46"/>
        <v>2012</v>
      </c>
      <c r="I413" s="30">
        <f t="shared" si="47"/>
        <v>10</v>
      </c>
      <c r="J413" s="30">
        <f t="shared" si="41"/>
        <v>41</v>
      </c>
      <c r="K413" s="30">
        <v>1</v>
      </c>
      <c r="L413" s="30">
        <f ca="1">SUM(K413:OFFSET(RngToDay,ROWS(Dates),10))</f>
        <v>88</v>
      </c>
      <c r="M413" s="32" t="str">
        <f ca="1">IF(B413="","",SUM(C413:OFFSET(C413,-SafetyStock!$B$4+1,0)))</f>
        <v/>
      </c>
      <c r="N413" s="32" t="e">
        <f t="shared" ca="1" si="42"/>
        <v>#DIV/0!</v>
      </c>
      <c r="O413" s="30">
        <f t="shared" si="48"/>
        <v>413</v>
      </c>
      <c r="P413" s="32">
        <f t="shared" ca="1" si="43"/>
        <v>0</v>
      </c>
      <c r="Q413" s="32">
        <f ca="1">IF(LeadTime=0,P413,IF(AND(SUM(Q412:OFFSET(Q413,-LeadTime,0))=0,P413&gt;0),MAX(P413:OFFSET(P413,-LeadTime+1,0)),0))</f>
        <v>0</v>
      </c>
    </row>
    <row r="414" spans="1:17" x14ac:dyDescent="0.25">
      <c r="A414" s="134">
        <v>41191</v>
      </c>
      <c r="B414" s="32"/>
      <c r="C414" s="32"/>
      <c r="D414" s="32"/>
      <c r="E414" s="32"/>
      <c r="F414" s="32">
        <f t="shared" si="44"/>
        <v>0</v>
      </c>
      <c r="G414" s="30" t="str">
        <f t="shared" ca="1" si="45"/>
        <v>History</v>
      </c>
      <c r="H414" s="30">
        <f t="shared" si="46"/>
        <v>2012</v>
      </c>
      <c r="I414" s="30">
        <f t="shared" si="47"/>
        <v>10</v>
      </c>
      <c r="J414" s="30">
        <f t="shared" si="41"/>
        <v>41</v>
      </c>
      <c r="K414" s="30">
        <v>1</v>
      </c>
      <c r="L414" s="30">
        <f ca="1">SUM(K414:OFFSET(RngToDay,ROWS(Dates),10))</f>
        <v>87</v>
      </c>
      <c r="M414" s="32" t="str">
        <f ca="1">IF(B414="","",SUM(C414:OFFSET(C414,-SafetyStock!$B$4+1,0)))</f>
        <v/>
      </c>
      <c r="N414" s="32" t="e">
        <f t="shared" ca="1" si="42"/>
        <v>#DIV/0!</v>
      </c>
      <c r="O414" s="30">
        <f t="shared" si="48"/>
        <v>414</v>
      </c>
      <c r="P414" s="32">
        <f t="shared" ca="1" si="43"/>
        <v>0</v>
      </c>
      <c r="Q414" s="32">
        <f ca="1">IF(LeadTime=0,P414,IF(AND(SUM(Q413:OFFSET(Q414,-LeadTime,0))=0,P414&gt;0),MAX(P414:OFFSET(P414,-LeadTime+1,0)),0))</f>
        <v>0</v>
      </c>
    </row>
    <row r="415" spans="1:17" x14ac:dyDescent="0.25">
      <c r="A415" s="134">
        <v>41190</v>
      </c>
      <c r="B415" s="32"/>
      <c r="C415" s="32"/>
      <c r="D415" s="32"/>
      <c r="E415" s="32"/>
      <c r="F415" s="32">
        <f t="shared" si="44"/>
        <v>0</v>
      </c>
      <c r="G415" s="30" t="str">
        <f t="shared" ca="1" si="45"/>
        <v>History</v>
      </c>
      <c r="H415" s="30">
        <f t="shared" si="46"/>
        <v>2012</v>
      </c>
      <c r="I415" s="30">
        <f t="shared" si="47"/>
        <v>10</v>
      </c>
      <c r="J415" s="30">
        <f t="shared" si="41"/>
        <v>41</v>
      </c>
      <c r="K415" s="30">
        <v>1</v>
      </c>
      <c r="L415" s="30">
        <f ca="1">SUM(K415:OFFSET(RngToDay,ROWS(Dates),10))</f>
        <v>86</v>
      </c>
      <c r="M415" s="32" t="str">
        <f ca="1">IF(B415="","",SUM(C415:OFFSET(C415,-SafetyStock!$B$4+1,0)))</f>
        <v/>
      </c>
      <c r="N415" s="32" t="e">
        <f t="shared" ca="1" si="42"/>
        <v>#DIV/0!</v>
      </c>
      <c r="O415" s="30">
        <f t="shared" si="48"/>
        <v>415</v>
      </c>
      <c r="P415" s="32">
        <f t="shared" ca="1" si="43"/>
        <v>0</v>
      </c>
      <c r="Q415" s="32">
        <f ca="1">IF(LeadTime=0,P415,IF(AND(SUM(Q414:OFFSET(Q415,-LeadTime,0))=0,P415&gt;0),MAX(P415:OFFSET(P415,-LeadTime+1,0)),0))</f>
        <v>0</v>
      </c>
    </row>
    <row r="416" spans="1:17" x14ac:dyDescent="0.25">
      <c r="A416" s="134">
        <v>41187</v>
      </c>
      <c r="B416" s="32"/>
      <c r="C416" s="32"/>
      <c r="D416" s="32"/>
      <c r="E416" s="32"/>
      <c r="F416" s="32">
        <f t="shared" si="44"/>
        <v>0</v>
      </c>
      <c r="G416" s="30" t="str">
        <f t="shared" ca="1" si="45"/>
        <v>History</v>
      </c>
      <c r="H416" s="30">
        <f t="shared" si="46"/>
        <v>2012</v>
      </c>
      <c r="I416" s="30">
        <f t="shared" si="47"/>
        <v>10</v>
      </c>
      <c r="J416" s="30">
        <f t="shared" si="41"/>
        <v>40</v>
      </c>
      <c r="K416" s="30">
        <v>1</v>
      </c>
      <c r="L416" s="30">
        <f ca="1">SUM(K416:OFFSET(RngToDay,ROWS(Dates),10))</f>
        <v>85</v>
      </c>
      <c r="M416" s="32" t="str">
        <f ca="1">IF(B416="","",SUM(C416:OFFSET(C416,-SafetyStock!$B$4+1,0)))</f>
        <v/>
      </c>
      <c r="N416" s="32" t="e">
        <f t="shared" ca="1" si="42"/>
        <v>#DIV/0!</v>
      </c>
      <c r="O416" s="30">
        <f t="shared" si="48"/>
        <v>416</v>
      </c>
      <c r="P416" s="32">
        <f t="shared" ca="1" si="43"/>
        <v>0</v>
      </c>
      <c r="Q416" s="32">
        <f ca="1">IF(LeadTime=0,P416,IF(AND(SUM(Q415:OFFSET(Q416,-LeadTime,0))=0,P416&gt;0),MAX(P416:OFFSET(P416,-LeadTime+1,0)),0))</f>
        <v>0</v>
      </c>
    </row>
    <row r="417" spans="1:17" x14ac:dyDescent="0.25">
      <c r="A417" s="134">
        <v>41186</v>
      </c>
      <c r="B417" s="32"/>
      <c r="C417" s="32"/>
      <c r="D417" s="32"/>
      <c r="E417" s="32"/>
      <c r="F417" s="32">
        <f t="shared" si="44"/>
        <v>0</v>
      </c>
      <c r="G417" s="30" t="str">
        <f t="shared" ca="1" si="45"/>
        <v>History</v>
      </c>
      <c r="H417" s="30">
        <f t="shared" si="46"/>
        <v>2012</v>
      </c>
      <c r="I417" s="30">
        <f t="shared" si="47"/>
        <v>10</v>
      </c>
      <c r="J417" s="30">
        <f t="shared" si="41"/>
        <v>40</v>
      </c>
      <c r="K417" s="30">
        <v>1</v>
      </c>
      <c r="L417" s="30">
        <f ca="1">SUM(K417:OFFSET(RngToDay,ROWS(Dates),10))</f>
        <v>84</v>
      </c>
      <c r="M417" s="32" t="str">
        <f ca="1">IF(B417="","",SUM(C417:OFFSET(C417,-SafetyStock!$B$4+1,0)))</f>
        <v/>
      </c>
      <c r="N417" s="32" t="e">
        <f t="shared" ca="1" si="42"/>
        <v>#DIV/0!</v>
      </c>
      <c r="O417" s="30">
        <f t="shared" si="48"/>
        <v>417</v>
      </c>
      <c r="P417" s="32">
        <f t="shared" ca="1" si="43"/>
        <v>0</v>
      </c>
      <c r="Q417" s="32">
        <f ca="1">IF(LeadTime=0,P417,IF(AND(SUM(Q416:OFFSET(Q417,-LeadTime,0))=0,P417&gt;0),MAX(P417:OFFSET(P417,-LeadTime+1,0)),0))</f>
        <v>0</v>
      </c>
    </row>
    <row r="418" spans="1:17" x14ac:dyDescent="0.25">
      <c r="A418" s="134">
        <v>41185</v>
      </c>
      <c r="B418" s="32"/>
      <c r="C418" s="32"/>
      <c r="D418" s="32"/>
      <c r="E418" s="32"/>
      <c r="F418" s="32">
        <f t="shared" si="44"/>
        <v>0</v>
      </c>
      <c r="G418" s="30" t="str">
        <f t="shared" ca="1" si="45"/>
        <v>History</v>
      </c>
      <c r="H418" s="30">
        <f t="shared" si="46"/>
        <v>2012</v>
      </c>
      <c r="I418" s="30">
        <f t="shared" si="47"/>
        <v>10</v>
      </c>
      <c r="J418" s="30">
        <f t="shared" si="41"/>
        <v>40</v>
      </c>
      <c r="K418" s="30">
        <v>1</v>
      </c>
      <c r="L418" s="30">
        <f ca="1">SUM(K418:OFFSET(RngToDay,ROWS(Dates),10))</f>
        <v>83</v>
      </c>
      <c r="M418" s="32" t="str">
        <f ca="1">IF(B418="","",SUM(C418:OFFSET(C418,-SafetyStock!$B$4+1,0)))</f>
        <v/>
      </c>
      <c r="N418" s="32" t="e">
        <f t="shared" ca="1" si="42"/>
        <v>#DIV/0!</v>
      </c>
      <c r="O418" s="30">
        <f t="shared" si="48"/>
        <v>418</v>
      </c>
      <c r="P418" s="32">
        <f t="shared" ca="1" si="43"/>
        <v>0</v>
      </c>
      <c r="Q418" s="32">
        <f ca="1">IF(LeadTime=0,P418,IF(AND(SUM(Q417:OFFSET(Q418,-LeadTime,0))=0,P418&gt;0),MAX(P418:OFFSET(P418,-LeadTime+1,0)),0))</f>
        <v>0</v>
      </c>
    </row>
    <row r="419" spans="1:17" x14ac:dyDescent="0.25">
      <c r="A419" s="134">
        <v>41184</v>
      </c>
      <c r="B419" s="32"/>
      <c r="C419" s="32"/>
      <c r="D419" s="32"/>
      <c r="E419" s="32"/>
      <c r="F419" s="32">
        <f t="shared" si="44"/>
        <v>0</v>
      </c>
      <c r="G419" s="30" t="str">
        <f t="shared" ca="1" si="45"/>
        <v>History</v>
      </c>
      <c r="H419" s="30">
        <f t="shared" si="46"/>
        <v>2012</v>
      </c>
      <c r="I419" s="30">
        <f t="shared" si="47"/>
        <v>10</v>
      </c>
      <c r="J419" s="30">
        <f t="shared" si="41"/>
        <v>40</v>
      </c>
      <c r="K419" s="30">
        <v>1</v>
      </c>
      <c r="L419" s="30">
        <f ca="1">SUM(K419:OFFSET(RngToDay,ROWS(Dates),10))</f>
        <v>82</v>
      </c>
      <c r="M419" s="32" t="str">
        <f ca="1">IF(B419="","",SUM(C419:OFFSET(C419,-SafetyStock!$B$4+1,0)))</f>
        <v/>
      </c>
      <c r="N419" s="32" t="e">
        <f t="shared" ca="1" si="42"/>
        <v>#DIV/0!</v>
      </c>
      <c r="O419" s="30">
        <f t="shared" si="48"/>
        <v>419</v>
      </c>
      <c r="P419" s="32">
        <f t="shared" ca="1" si="43"/>
        <v>0</v>
      </c>
      <c r="Q419" s="32">
        <f ca="1">IF(LeadTime=0,P419,IF(AND(SUM(Q418:OFFSET(Q419,-LeadTime,0))=0,P419&gt;0),MAX(P419:OFFSET(P419,-LeadTime+1,0)),0))</f>
        <v>0</v>
      </c>
    </row>
    <row r="420" spans="1:17" x14ac:dyDescent="0.25">
      <c r="A420" s="134">
        <v>41183</v>
      </c>
      <c r="B420" s="32"/>
      <c r="C420" s="32"/>
      <c r="D420" s="32"/>
      <c r="E420" s="32"/>
      <c r="F420" s="32">
        <f t="shared" si="44"/>
        <v>0</v>
      </c>
      <c r="G420" s="30" t="str">
        <f t="shared" ca="1" si="45"/>
        <v>History</v>
      </c>
      <c r="H420" s="30">
        <f t="shared" si="46"/>
        <v>2012</v>
      </c>
      <c r="I420" s="30">
        <f t="shared" si="47"/>
        <v>10</v>
      </c>
      <c r="J420" s="30">
        <f t="shared" si="41"/>
        <v>40</v>
      </c>
      <c r="K420" s="30">
        <v>1</v>
      </c>
      <c r="L420" s="30">
        <f ca="1">SUM(K420:OFFSET(RngToDay,ROWS(Dates),10))</f>
        <v>81</v>
      </c>
      <c r="M420" s="32" t="str">
        <f ca="1">IF(B420="","",SUM(C420:OFFSET(C420,-SafetyStock!$B$4+1,0)))</f>
        <v/>
      </c>
      <c r="N420" s="32" t="e">
        <f t="shared" ca="1" si="42"/>
        <v>#DIV/0!</v>
      </c>
      <c r="O420" s="30">
        <f t="shared" si="48"/>
        <v>420</v>
      </c>
      <c r="P420" s="32">
        <f t="shared" ca="1" si="43"/>
        <v>0</v>
      </c>
      <c r="Q420" s="32">
        <f ca="1">IF(LeadTime=0,P420,IF(AND(SUM(Q419:OFFSET(Q420,-LeadTime,0))=0,P420&gt;0),MAX(P420:OFFSET(P420,-LeadTime+1,0)),0))</f>
        <v>0</v>
      </c>
    </row>
    <row r="421" spans="1:17" x14ac:dyDescent="0.25">
      <c r="A421" s="134">
        <v>41180</v>
      </c>
      <c r="B421" s="32"/>
      <c r="C421" s="32"/>
      <c r="D421" s="32"/>
      <c r="E421" s="32"/>
      <c r="F421" s="32">
        <f t="shared" si="44"/>
        <v>0</v>
      </c>
      <c r="G421" s="30" t="str">
        <f t="shared" ca="1" si="45"/>
        <v>History</v>
      </c>
      <c r="H421" s="30">
        <f t="shared" si="46"/>
        <v>2012</v>
      </c>
      <c r="I421" s="30">
        <f t="shared" si="47"/>
        <v>9</v>
      </c>
      <c r="J421" s="30">
        <f t="shared" si="41"/>
        <v>39</v>
      </c>
      <c r="K421" s="30">
        <v>1</v>
      </c>
      <c r="L421" s="30">
        <f ca="1">SUM(K421:OFFSET(RngToDay,ROWS(Dates),10))</f>
        <v>80</v>
      </c>
      <c r="M421" s="32" t="str">
        <f ca="1">IF(B421="","",SUM(C421:OFFSET(C421,-SafetyStock!$B$4+1,0)))</f>
        <v/>
      </c>
      <c r="N421" s="32" t="e">
        <f t="shared" ca="1" si="42"/>
        <v>#DIV/0!</v>
      </c>
      <c r="O421" s="30">
        <f t="shared" si="48"/>
        <v>421</v>
      </c>
      <c r="P421" s="32">
        <f t="shared" ca="1" si="43"/>
        <v>0</v>
      </c>
      <c r="Q421" s="32">
        <f ca="1">IF(LeadTime=0,P421,IF(AND(SUM(Q420:OFFSET(Q421,-LeadTime,0))=0,P421&gt;0),MAX(P421:OFFSET(P421,-LeadTime+1,0)),0))</f>
        <v>0</v>
      </c>
    </row>
    <row r="422" spans="1:17" x14ac:dyDescent="0.25">
      <c r="A422" s="134">
        <v>41179</v>
      </c>
      <c r="B422" s="32"/>
      <c r="C422" s="32"/>
      <c r="D422" s="32"/>
      <c r="E422" s="32"/>
      <c r="F422" s="32">
        <f t="shared" si="44"/>
        <v>0</v>
      </c>
      <c r="G422" s="30" t="str">
        <f t="shared" ca="1" si="45"/>
        <v>History</v>
      </c>
      <c r="H422" s="30">
        <f t="shared" si="46"/>
        <v>2012</v>
      </c>
      <c r="I422" s="30">
        <f t="shared" si="47"/>
        <v>9</v>
      </c>
      <c r="J422" s="30">
        <f t="shared" si="41"/>
        <v>39</v>
      </c>
      <c r="K422" s="30">
        <v>1</v>
      </c>
      <c r="L422" s="30">
        <f ca="1">SUM(K422:OFFSET(RngToDay,ROWS(Dates),10))</f>
        <v>79</v>
      </c>
      <c r="M422" s="32" t="str">
        <f ca="1">IF(B422="","",SUM(C422:OFFSET(C422,-SafetyStock!$B$4+1,0)))</f>
        <v/>
      </c>
      <c r="N422" s="32" t="e">
        <f t="shared" ca="1" si="42"/>
        <v>#DIV/0!</v>
      </c>
      <c r="O422" s="30">
        <f t="shared" si="48"/>
        <v>422</v>
      </c>
      <c r="P422" s="32">
        <f t="shared" ca="1" si="43"/>
        <v>0</v>
      </c>
      <c r="Q422" s="32">
        <f ca="1">IF(LeadTime=0,P422,IF(AND(SUM(Q421:OFFSET(Q422,-LeadTime,0))=0,P422&gt;0),MAX(P422:OFFSET(P422,-LeadTime+1,0)),0))</f>
        <v>0</v>
      </c>
    </row>
    <row r="423" spans="1:17" x14ac:dyDescent="0.25">
      <c r="A423" s="134">
        <v>41178</v>
      </c>
      <c r="B423" s="32"/>
      <c r="C423" s="32"/>
      <c r="D423" s="32"/>
      <c r="E423" s="32"/>
      <c r="F423" s="32">
        <f t="shared" si="44"/>
        <v>0</v>
      </c>
      <c r="G423" s="30" t="str">
        <f t="shared" ca="1" si="45"/>
        <v>History</v>
      </c>
      <c r="H423" s="30">
        <f t="shared" si="46"/>
        <v>2012</v>
      </c>
      <c r="I423" s="30">
        <f t="shared" si="47"/>
        <v>9</v>
      </c>
      <c r="J423" s="30">
        <f t="shared" si="41"/>
        <v>39</v>
      </c>
      <c r="K423" s="30">
        <v>1</v>
      </c>
      <c r="L423" s="30">
        <f ca="1">SUM(K423:OFFSET(RngToDay,ROWS(Dates),10))</f>
        <v>78</v>
      </c>
      <c r="M423" s="32" t="str">
        <f ca="1">IF(B423="","",SUM(C423:OFFSET(C423,-SafetyStock!$B$4+1,0)))</f>
        <v/>
      </c>
      <c r="N423" s="32" t="e">
        <f t="shared" ca="1" si="42"/>
        <v>#DIV/0!</v>
      </c>
      <c r="O423" s="30">
        <f t="shared" si="48"/>
        <v>423</v>
      </c>
      <c r="P423" s="32">
        <f t="shared" ca="1" si="43"/>
        <v>0</v>
      </c>
      <c r="Q423" s="32">
        <f ca="1">IF(LeadTime=0,P423,IF(AND(SUM(Q422:OFFSET(Q423,-LeadTime,0))=0,P423&gt;0),MAX(P423:OFFSET(P423,-LeadTime+1,0)),0))</f>
        <v>0</v>
      </c>
    </row>
    <row r="424" spans="1:17" x14ac:dyDescent="0.25">
      <c r="A424" s="134">
        <v>41177</v>
      </c>
      <c r="B424" s="32"/>
      <c r="C424" s="32"/>
      <c r="D424" s="32"/>
      <c r="E424" s="32"/>
      <c r="F424" s="32">
        <f t="shared" si="44"/>
        <v>0</v>
      </c>
      <c r="G424" s="30" t="str">
        <f t="shared" ca="1" si="45"/>
        <v>History</v>
      </c>
      <c r="H424" s="30">
        <f t="shared" si="46"/>
        <v>2012</v>
      </c>
      <c r="I424" s="30">
        <f t="shared" si="47"/>
        <v>9</v>
      </c>
      <c r="J424" s="30">
        <f t="shared" si="41"/>
        <v>39</v>
      </c>
      <c r="K424" s="30">
        <v>1</v>
      </c>
      <c r="L424" s="30">
        <f ca="1">SUM(K424:OFFSET(RngToDay,ROWS(Dates),10))</f>
        <v>77</v>
      </c>
      <c r="M424" s="32" t="str">
        <f ca="1">IF(B424="","",SUM(C424:OFFSET(C424,-SafetyStock!$B$4+1,0)))</f>
        <v/>
      </c>
      <c r="N424" s="32" t="e">
        <f t="shared" ca="1" si="42"/>
        <v>#DIV/0!</v>
      </c>
      <c r="O424" s="30">
        <f t="shared" si="48"/>
        <v>424</v>
      </c>
      <c r="P424" s="32">
        <f t="shared" ca="1" si="43"/>
        <v>0</v>
      </c>
      <c r="Q424" s="32">
        <f ca="1">IF(LeadTime=0,P424,IF(AND(SUM(Q423:OFFSET(Q424,-LeadTime,0))=0,P424&gt;0),MAX(P424:OFFSET(P424,-LeadTime+1,0)),0))</f>
        <v>0</v>
      </c>
    </row>
    <row r="425" spans="1:17" x14ac:dyDescent="0.25">
      <c r="A425" s="134">
        <v>41176</v>
      </c>
      <c r="B425" s="32"/>
      <c r="C425" s="32"/>
      <c r="D425" s="32"/>
      <c r="E425" s="32"/>
      <c r="F425" s="32">
        <f t="shared" si="44"/>
        <v>0</v>
      </c>
      <c r="G425" s="30" t="str">
        <f t="shared" ca="1" si="45"/>
        <v>History</v>
      </c>
      <c r="H425" s="30">
        <f t="shared" si="46"/>
        <v>2012</v>
      </c>
      <c r="I425" s="30">
        <f t="shared" si="47"/>
        <v>9</v>
      </c>
      <c r="J425" s="30">
        <f t="shared" si="41"/>
        <v>39</v>
      </c>
      <c r="K425" s="30">
        <v>1</v>
      </c>
      <c r="L425" s="30">
        <f ca="1">SUM(K425:OFFSET(RngToDay,ROWS(Dates),10))</f>
        <v>76</v>
      </c>
      <c r="M425" s="32" t="str">
        <f ca="1">IF(B425="","",SUM(C425:OFFSET(C425,-SafetyStock!$B$4+1,0)))</f>
        <v/>
      </c>
      <c r="N425" s="32" t="e">
        <f t="shared" ca="1" si="42"/>
        <v>#DIV/0!</v>
      </c>
      <c r="O425" s="30">
        <f t="shared" si="48"/>
        <v>425</v>
      </c>
      <c r="P425" s="32">
        <f t="shared" ca="1" si="43"/>
        <v>0</v>
      </c>
      <c r="Q425" s="32">
        <f ca="1">IF(LeadTime=0,P425,IF(AND(SUM(Q424:OFFSET(Q425,-LeadTime,0))=0,P425&gt;0),MAX(P425:OFFSET(P425,-LeadTime+1,0)),0))</f>
        <v>0</v>
      </c>
    </row>
    <row r="426" spans="1:17" x14ac:dyDescent="0.25">
      <c r="A426" s="134">
        <v>41173</v>
      </c>
      <c r="B426" s="32"/>
      <c r="C426" s="32"/>
      <c r="D426" s="32"/>
      <c r="E426" s="32"/>
      <c r="F426" s="32">
        <f t="shared" si="44"/>
        <v>0</v>
      </c>
      <c r="G426" s="30" t="str">
        <f t="shared" ca="1" si="45"/>
        <v>History</v>
      </c>
      <c r="H426" s="30">
        <f t="shared" si="46"/>
        <v>2012</v>
      </c>
      <c r="I426" s="30">
        <f t="shared" si="47"/>
        <v>9</v>
      </c>
      <c r="J426" s="30">
        <f t="shared" si="41"/>
        <v>38</v>
      </c>
      <c r="K426" s="30">
        <v>1</v>
      </c>
      <c r="L426" s="30">
        <f ca="1">SUM(K426:OFFSET(RngToDay,ROWS(Dates),10))</f>
        <v>75</v>
      </c>
      <c r="M426" s="32" t="str">
        <f ca="1">IF(B426="","",SUM(C426:OFFSET(C426,-SafetyStock!$B$4+1,0)))</f>
        <v/>
      </c>
      <c r="N426" s="32" t="e">
        <f t="shared" ca="1" si="42"/>
        <v>#DIV/0!</v>
      </c>
      <c r="O426" s="30">
        <f t="shared" si="48"/>
        <v>426</v>
      </c>
      <c r="P426" s="32">
        <f t="shared" ca="1" si="43"/>
        <v>0</v>
      </c>
      <c r="Q426" s="32">
        <f ca="1">IF(LeadTime=0,P426,IF(AND(SUM(Q425:OFFSET(Q426,-LeadTime,0))=0,P426&gt;0),MAX(P426:OFFSET(P426,-LeadTime+1,0)),0))</f>
        <v>0</v>
      </c>
    </row>
    <row r="427" spans="1:17" x14ac:dyDescent="0.25">
      <c r="A427" s="134">
        <v>41172</v>
      </c>
      <c r="B427" s="32"/>
      <c r="C427" s="32"/>
      <c r="D427" s="32"/>
      <c r="E427" s="32"/>
      <c r="F427" s="32">
        <f t="shared" si="44"/>
        <v>0</v>
      </c>
      <c r="G427" s="30" t="str">
        <f t="shared" ca="1" si="45"/>
        <v>History</v>
      </c>
      <c r="H427" s="30">
        <f t="shared" si="46"/>
        <v>2012</v>
      </c>
      <c r="I427" s="30">
        <f t="shared" si="47"/>
        <v>9</v>
      </c>
      <c r="J427" s="30">
        <f t="shared" si="41"/>
        <v>38</v>
      </c>
      <c r="K427" s="30">
        <v>1</v>
      </c>
      <c r="L427" s="30">
        <f ca="1">SUM(K427:OFFSET(RngToDay,ROWS(Dates),10))</f>
        <v>74</v>
      </c>
      <c r="M427" s="32" t="str">
        <f ca="1">IF(B427="","",SUM(C427:OFFSET(C427,-SafetyStock!$B$4+1,0)))</f>
        <v/>
      </c>
      <c r="N427" s="32" t="e">
        <f t="shared" ca="1" si="42"/>
        <v>#DIV/0!</v>
      </c>
      <c r="O427" s="30">
        <f t="shared" si="48"/>
        <v>427</v>
      </c>
      <c r="P427" s="32">
        <f t="shared" ca="1" si="43"/>
        <v>0</v>
      </c>
      <c r="Q427" s="32">
        <f ca="1">IF(LeadTime=0,P427,IF(AND(SUM(Q426:OFFSET(Q427,-LeadTime,0))=0,P427&gt;0),MAX(P427:OFFSET(P427,-LeadTime+1,0)),0))</f>
        <v>0</v>
      </c>
    </row>
    <row r="428" spans="1:17" x14ac:dyDescent="0.25">
      <c r="A428" s="134">
        <v>41171</v>
      </c>
      <c r="B428" s="32"/>
      <c r="C428" s="32"/>
      <c r="D428" s="32"/>
      <c r="E428" s="32"/>
      <c r="F428" s="32">
        <f t="shared" si="44"/>
        <v>0</v>
      </c>
      <c r="G428" s="30" t="str">
        <f t="shared" ca="1" si="45"/>
        <v>History</v>
      </c>
      <c r="H428" s="30">
        <f t="shared" si="46"/>
        <v>2012</v>
      </c>
      <c r="I428" s="30">
        <f t="shared" si="47"/>
        <v>9</v>
      </c>
      <c r="J428" s="30">
        <f t="shared" si="41"/>
        <v>38</v>
      </c>
      <c r="K428" s="30">
        <v>1</v>
      </c>
      <c r="L428" s="30">
        <f ca="1">SUM(K428:OFFSET(RngToDay,ROWS(Dates),10))</f>
        <v>73</v>
      </c>
      <c r="M428" s="32" t="str">
        <f ca="1">IF(B428="","",SUM(C428:OFFSET(C428,-SafetyStock!$B$4+1,0)))</f>
        <v/>
      </c>
      <c r="N428" s="32" t="e">
        <f t="shared" ca="1" si="42"/>
        <v>#DIV/0!</v>
      </c>
      <c r="O428" s="30">
        <f t="shared" si="48"/>
        <v>428</v>
      </c>
      <c r="P428" s="32">
        <f t="shared" ca="1" si="43"/>
        <v>0</v>
      </c>
      <c r="Q428" s="32">
        <f ca="1">IF(LeadTime=0,P428,IF(AND(SUM(Q427:OFFSET(Q428,-LeadTime,0))=0,P428&gt;0),MAX(P428:OFFSET(P428,-LeadTime+1,0)),0))</f>
        <v>0</v>
      </c>
    </row>
    <row r="429" spans="1:17" x14ac:dyDescent="0.25">
      <c r="A429" s="134">
        <v>41170</v>
      </c>
      <c r="B429" s="32"/>
      <c r="C429" s="32"/>
      <c r="D429" s="32"/>
      <c r="E429" s="32"/>
      <c r="F429" s="32">
        <f t="shared" si="44"/>
        <v>0</v>
      </c>
      <c r="G429" s="30" t="str">
        <f t="shared" ca="1" si="45"/>
        <v>History</v>
      </c>
      <c r="H429" s="30">
        <f t="shared" si="46"/>
        <v>2012</v>
      </c>
      <c r="I429" s="30">
        <f t="shared" si="47"/>
        <v>9</v>
      </c>
      <c r="J429" s="30">
        <f t="shared" si="41"/>
        <v>38</v>
      </c>
      <c r="K429" s="30">
        <v>1</v>
      </c>
      <c r="L429" s="30">
        <f ca="1">SUM(K429:OFFSET(RngToDay,ROWS(Dates),10))</f>
        <v>72</v>
      </c>
      <c r="M429" s="32" t="str">
        <f ca="1">IF(B429="","",SUM(C429:OFFSET(C429,-SafetyStock!$B$4+1,0)))</f>
        <v/>
      </c>
      <c r="N429" s="32" t="e">
        <f t="shared" ca="1" si="42"/>
        <v>#DIV/0!</v>
      </c>
      <c r="O429" s="30">
        <f t="shared" si="48"/>
        <v>429</v>
      </c>
      <c r="P429" s="32">
        <f t="shared" ca="1" si="43"/>
        <v>0</v>
      </c>
      <c r="Q429" s="32">
        <f ca="1">IF(LeadTime=0,P429,IF(AND(SUM(Q428:OFFSET(Q429,-LeadTime,0))=0,P429&gt;0),MAX(P429:OFFSET(P429,-LeadTime+1,0)),0))</f>
        <v>0</v>
      </c>
    </row>
    <row r="430" spans="1:17" x14ac:dyDescent="0.25">
      <c r="A430" s="134">
        <v>41169</v>
      </c>
      <c r="B430" s="32"/>
      <c r="C430" s="32"/>
      <c r="D430" s="32"/>
      <c r="E430" s="32"/>
      <c r="F430" s="32">
        <f t="shared" si="44"/>
        <v>0</v>
      </c>
      <c r="G430" s="30" t="str">
        <f t="shared" ca="1" si="45"/>
        <v>History</v>
      </c>
      <c r="H430" s="30">
        <f t="shared" si="46"/>
        <v>2012</v>
      </c>
      <c r="I430" s="30">
        <f t="shared" si="47"/>
        <v>9</v>
      </c>
      <c r="J430" s="30">
        <f t="shared" si="41"/>
        <v>38</v>
      </c>
      <c r="K430" s="30">
        <v>1</v>
      </c>
      <c r="L430" s="30">
        <f ca="1">SUM(K430:OFFSET(RngToDay,ROWS(Dates),10))</f>
        <v>71</v>
      </c>
      <c r="M430" s="32" t="str">
        <f ca="1">IF(B430="","",SUM(C430:OFFSET(C430,-SafetyStock!$B$4+1,0)))</f>
        <v/>
      </c>
      <c r="N430" s="32" t="e">
        <f t="shared" ca="1" si="42"/>
        <v>#DIV/0!</v>
      </c>
      <c r="O430" s="30">
        <f t="shared" si="48"/>
        <v>430</v>
      </c>
      <c r="P430" s="32">
        <f t="shared" ca="1" si="43"/>
        <v>0</v>
      </c>
      <c r="Q430" s="32">
        <f ca="1">IF(LeadTime=0,P430,IF(AND(SUM(Q429:OFFSET(Q430,-LeadTime,0))=0,P430&gt;0),MAX(P430:OFFSET(P430,-LeadTime+1,0)),0))</f>
        <v>0</v>
      </c>
    </row>
    <row r="431" spans="1:17" x14ac:dyDescent="0.25">
      <c r="A431" s="134">
        <v>41166</v>
      </c>
      <c r="B431" s="32"/>
      <c r="C431" s="32"/>
      <c r="D431" s="32"/>
      <c r="E431" s="32"/>
      <c r="F431" s="32">
        <f t="shared" si="44"/>
        <v>0</v>
      </c>
      <c r="G431" s="30" t="str">
        <f t="shared" ca="1" si="45"/>
        <v>History</v>
      </c>
      <c r="H431" s="30">
        <f t="shared" si="46"/>
        <v>2012</v>
      </c>
      <c r="I431" s="30">
        <f t="shared" si="47"/>
        <v>9</v>
      </c>
      <c r="J431" s="30">
        <f t="shared" si="41"/>
        <v>37</v>
      </c>
      <c r="K431" s="30">
        <v>1</v>
      </c>
      <c r="L431" s="30">
        <f ca="1">SUM(K431:OFFSET(RngToDay,ROWS(Dates),10))</f>
        <v>70</v>
      </c>
      <c r="M431" s="32" t="str">
        <f ca="1">IF(B431="","",SUM(C431:OFFSET(C431,-SafetyStock!$B$4+1,0)))</f>
        <v/>
      </c>
      <c r="N431" s="32" t="e">
        <f t="shared" ca="1" si="42"/>
        <v>#DIV/0!</v>
      </c>
      <c r="O431" s="30">
        <f t="shared" si="48"/>
        <v>431</v>
      </c>
      <c r="P431" s="32">
        <f t="shared" ca="1" si="43"/>
        <v>0</v>
      </c>
      <c r="Q431" s="32">
        <f ca="1">IF(LeadTime=0,P431,IF(AND(SUM(Q430:OFFSET(Q431,-LeadTime,0))=0,P431&gt;0),MAX(P431:OFFSET(P431,-LeadTime+1,0)),0))</f>
        <v>0</v>
      </c>
    </row>
    <row r="432" spans="1:17" x14ac:dyDescent="0.25">
      <c r="A432" s="134">
        <v>41165</v>
      </c>
      <c r="B432" s="32"/>
      <c r="C432" s="32"/>
      <c r="D432" s="32"/>
      <c r="E432" s="32"/>
      <c r="F432" s="32">
        <f t="shared" si="44"/>
        <v>0</v>
      </c>
      <c r="G432" s="30" t="str">
        <f t="shared" ca="1" si="45"/>
        <v>History</v>
      </c>
      <c r="H432" s="30">
        <f t="shared" si="46"/>
        <v>2012</v>
      </c>
      <c r="I432" s="30">
        <f t="shared" si="47"/>
        <v>9</v>
      </c>
      <c r="J432" s="30">
        <f t="shared" si="41"/>
        <v>37</v>
      </c>
      <c r="K432" s="30">
        <v>1</v>
      </c>
      <c r="L432" s="30">
        <f ca="1">SUM(K432:OFFSET(RngToDay,ROWS(Dates),10))</f>
        <v>69</v>
      </c>
      <c r="M432" s="32" t="str">
        <f ca="1">IF(B432="","",SUM(C432:OFFSET(C432,-SafetyStock!$B$4+1,0)))</f>
        <v/>
      </c>
      <c r="N432" s="32" t="e">
        <f t="shared" ca="1" si="42"/>
        <v>#DIV/0!</v>
      </c>
      <c r="O432" s="30">
        <f t="shared" si="48"/>
        <v>432</v>
      </c>
      <c r="P432" s="32">
        <f t="shared" ca="1" si="43"/>
        <v>0</v>
      </c>
      <c r="Q432" s="32">
        <f ca="1">IF(LeadTime=0,P432,IF(AND(SUM(Q431:OFFSET(Q432,-LeadTime,0))=0,P432&gt;0),MAX(P432:OFFSET(P432,-LeadTime+1,0)),0))</f>
        <v>0</v>
      </c>
    </row>
    <row r="433" spans="1:17" x14ac:dyDescent="0.25">
      <c r="A433" s="134">
        <v>41164</v>
      </c>
      <c r="B433" s="32"/>
      <c r="C433" s="32"/>
      <c r="D433" s="32"/>
      <c r="E433" s="32"/>
      <c r="F433" s="32">
        <f t="shared" si="44"/>
        <v>0</v>
      </c>
      <c r="G433" s="30" t="str">
        <f t="shared" ca="1" si="45"/>
        <v>History</v>
      </c>
      <c r="H433" s="30">
        <f t="shared" si="46"/>
        <v>2012</v>
      </c>
      <c r="I433" s="30">
        <f t="shared" si="47"/>
        <v>9</v>
      </c>
      <c r="J433" s="30">
        <f t="shared" si="41"/>
        <v>37</v>
      </c>
      <c r="K433" s="30">
        <v>1</v>
      </c>
      <c r="L433" s="30">
        <f ca="1">SUM(K433:OFFSET(RngToDay,ROWS(Dates),10))</f>
        <v>68</v>
      </c>
      <c r="M433" s="32" t="str">
        <f ca="1">IF(B433="","",SUM(C433:OFFSET(C433,-SafetyStock!$B$4+1,0)))</f>
        <v/>
      </c>
      <c r="N433" s="32" t="e">
        <f t="shared" ca="1" si="42"/>
        <v>#DIV/0!</v>
      </c>
      <c r="O433" s="30">
        <f t="shared" si="48"/>
        <v>433</v>
      </c>
      <c r="P433" s="32">
        <f t="shared" ca="1" si="43"/>
        <v>0</v>
      </c>
      <c r="Q433" s="32">
        <f ca="1">IF(LeadTime=0,P433,IF(AND(SUM(Q432:OFFSET(Q433,-LeadTime,0))=0,P433&gt;0),MAX(P433:OFFSET(P433,-LeadTime+1,0)),0))</f>
        <v>0</v>
      </c>
    </row>
    <row r="434" spans="1:17" x14ac:dyDescent="0.25">
      <c r="A434" s="134">
        <v>41163</v>
      </c>
      <c r="B434" s="32"/>
      <c r="C434" s="32"/>
      <c r="D434" s="32"/>
      <c r="E434" s="32"/>
      <c r="F434" s="32">
        <f t="shared" si="44"/>
        <v>0</v>
      </c>
      <c r="G434" s="30" t="str">
        <f t="shared" ca="1" si="45"/>
        <v>History</v>
      </c>
      <c r="H434" s="30">
        <f t="shared" si="46"/>
        <v>2012</v>
      </c>
      <c r="I434" s="30">
        <f t="shared" si="47"/>
        <v>9</v>
      </c>
      <c r="J434" s="30">
        <f t="shared" si="41"/>
        <v>37</v>
      </c>
      <c r="K434" s="30">
        <v>1</v>
      </c>
      <c r="L434" s="30">
        <f ca="1">SUM(K434:OFFSET(RngToDay,ROWS(Dates),10))</f>
        <v>67</v>
      </c>
      <c r="M434" s="32" t="str">
        <f ca="1">IF(B434="","",SUM(C434:OFFSET(C434,-SafetyStock!$B$4+1,0)))</f>
        <v/>
      </c>
      <c r="N434" s="32" t="e">
        <f t="shared" ca="1" si="42"/>
        <v>#DIV/0!</v>
      </c>
      <c r="O434" s="30">
        <f t="shared" si="48"/>
        <v>434</v>
      </c>
      <c r="P434" s="32">
        <f t="shared" ca="1" si="43"/>
        <v>0</v>
      </c>
      <c r="Q434" s="32">
        <f ca="1">IF(LeadTime=0,P434,IF(AND(SUM(Q433:OFFSET(Q434,-LeadTime,0))=0,P434&gt;0),MAX(P434:OFFSET(P434,-LeadTime+1,0)),0))</f>
        <v>0</v>
      </c>
    </row>
    <row r="435" spans="1:17" x14ac:dyDescent="0.25">
      <c r="A435" s="134">
        <v>41162</v>
      </c>
      <c r="B435" s="32"/>
      <c r="C435" s="32"/>
      <c r="D435" s="32"/>
      <c r="E435" s="32"/>
      <c r="F435" s="32">
        <f t="shared" si="44"/>
        <v>0</v>
      </c>
      <c r="G435" s="30" t="str">
        <f t="shared" ca="1" si="45"/>
        <v>History</v>
      </c>
      <c r="H435" s="30">
        <f t="shared" si="46"/>
        <v>2012</v>
      </c>
      <c r="I435" s="30">
        <f t="shared" si="47"/>
        <v>9</v>
      </c>
      <c r="J435" s="30">
        <f t="shared" si="41"/>
        <v>37</v>
      </c>
      <c r="K435" s="30">
        <v>1</v>
      </c>
      <c r="L435" s="30">
        <f ca="1">SUM(K435:OFFSET(RngToDay,ROWS(Dates),10))</f>
        <v>66</v>
      </c>
      <c r="M435" s="32" t="str">
        <f ca="1">IF(B435="","",SUM(C435:OFFSET(C435,-SafetyStock!$B$4+1,0)))</f>
        <v/>
      </c>
      <c r="N435" s="32" t="e">
        <f t="shared" ca="1" si="42"/>
        <v>#DIV/0!</v>
      </c>
      <c r="O435" s="30">
        <f t="shared" si="48"/>
        <v>435</v>
      </c>
      <c r="P435" s="32">
        <f t="shared" ca="1" si="43"/>
        <v>0</v>
      </c>
      <c r="Q435" s="32">
        <f ca="1">IF(LeadTime=0,P435,IF(AND(SUM(Q434:OFFSET(Q435,-LeadTime,0))=0,P435&gt;0),MAX(P435:OFFSET(P435,-LeadTime+1,0)),0))</f>
        <v>0</v>
      </c>
    </row>
    <row r="436" spans="1:17" x14ac:dyDescent="0.25">
      <c r="A436" s="134">
        <v>41159</v>
      </c>
      <c r="B436" s="32"/>
      <c r="C436" s="32"/>
      <c r="D436" s="32"/>
      <c r="E436" s="32"/>
      <c r="F436" s="32">
        <f t="shared" si="44"/>
        <v>0</v>
      </c>
      <c r="G436" s="30" t="str">
        <f t="shared" ca="1" si="45"/>
        <v>History</v>
      </c>
      <c r="H436" s="30">
        <f t="shared" si="46"/>
        <v>2012</v>
      </c>
      <c r="I436" s="30">
        <f t="shared" si="47"/>
        <v>9</v>
      </c>
      <c r="J436" s="30">
        <f t="shared" si="41"/>
        <v>36</v>
      </c>
      <c r="K436" s="30">
        <v>1</v>
      </c>
      <c r="L436" s="30">
        <f ca="1">SUM(K436:OFFSET(RngToDay,ROWS(Dates),10))</f>
        <v>65</v>
      </c>
      <c r="M436" s="32" t="str">
        <f ca="1">IF(B436="","",SUM(C436:OFFSET(C436,-SafetyStock!$B$4+1,0)))</f>
        <v/>
      </c>
      <c r="N436" s="32" t="e">
        <f t="shared" ca="1" si="42"/>
        <v>#DIV/0!</v>
      </c>
      <c r="O436" s="30">
        <f t="shared" si="48"/>
        <v>436</v>
      </c>
      <c r="P436" s="32">
        <f t="shared" ca="1" si="43"/>
        <v>0</v>
      </c>
      <c r="Q436" s="32">
        <f ca="1">IF(LeadTime=0,P436,IF(AND(SUM(Q435:OFFSET(Q436,-LeadTime,0))=0,P436&gt;0),MAX(P436:OFFSET(P436,-LeadTime+1,0)),0))</f>
        <v>0</v>
      </c>
    </row>
    <row r="437" spans="1:17" x14ac:dyDescent="0.25">
      <c r="A437" s="134">
        <v>41158</v>
      </c>
      <c r="B437" s="32"/>
      <c r="C437" s="32"/>
      <c r="D437" s="32"/>
      <c r="E437" s="32"/>
      <c r="F437" s="32">
        <f t="shared" si="44"/>
        <v>0</v>
      </c>
      <c r="G437" s="30" t="str">
        <f t="shared" ca="1" si="45"/>
        <v>History</v>
      </c>
      <c r="H437" s="30">
        <f t="shared" si="46"/>
        <v>2012</v>
      </c>
      <c r="I437" s="30">
        <f t="shared" si="47"/>
        <v>9</v>
      </c>
      <c r="J437" s="30">
        <f t="shared" si="41"/>
        <v>36</v>
      </c>
      <c r="K437" s="30">
        <v>1</v>
      </c>
      <c r="L437" s="30">
        <f ca="1">SUM(K437:OFFSET(RngToDay,ROWS(Dates),10))</f>
        <v>64</v>
      </c>
      <c r="M437" s="32" t="str">
        <f ca="1">IF(B437="","",SUM(C437:OFFSET(C437,-SafetyStock!$B$4+1,0)))</f>
        <v/>
      </c>
      <c r="N437" s="32" t="e">
        <f t="shared" ca="1" si="42"/>
        <v>#DIV/0!</v>
      </c>
      <c r="O437" s="30">
        <f t="shared" si="48"/>
        <v>437</v>
      </c>
      <c r="P437" s="32">
        <f t="shared" ca="1" si="43"/>
        <v>0</v>
      </c>
      <c r="Q437" s="32">
        <f ca="1">IF(LeadTime=0,P437,IF(AND(SUM(Q436:OFFSET(Q437,-LeadTime,0))=0,P437&gt;0),MAX(P437:OFFSET(P437,-LeadTime+1,0)),0))</f>
        <v>0</v>
      </c>
    </row>
    <row r="438" spans="1:17" x14ac:dyDescent="0.25">
      <c r="A438" s="134">
        <v>41157</v>
      </c>
      <c r="B438" s="32"/>
      <c r="C438" s="32"/>
      <c r="D438" s="32"/>
      <c r="E438" s="32"/>
      <c r="F438" s="32">
        <f t="shared" si="44"/>
        <v>0</v>
      </c>
      <c r="G438" s="30" t="str">
        <f t="shared" ca="1" si="45"/>
        <v>History</v>
      </c>
      <c r="H438" s="30">
        <f t="shared" si="46"/>
        <v>2012</v>
      </c>
      <c r="I438" s="30">
        <f t="shared" si="47"/>
        <v>9</v>
      </c>
      <c r="J438" s="30">
        <f t="shared" si="41"/>
        <v>36</v>
      </c>
      <c r="K438" s="30">
        <v>1</v>
      </c>
      <c r="L438" s="30">
        <f ca="1">SUM(K438:OFFSET(RngToDay,ROWS(Dates),10))</f>
        <v>63</v>
      </c>
      <c r="M438" s="32" t="str">
        <f ca="1">IF(B438="","",SUM(C438:OFFSET(C438,-SafetyStock!$B$4+1,0)))</f>
        <v/>
      </c>
      <c r="N438" s="32" t="e">
        <f t="shared" ca="1" si="42"/>
        <v>#DIV/0!</v>
      </c>
      <c r="O438" s="30">
        <f t="shared" si="48"/>
        <v>438</v>
      </c>
      <c r="P438" s="32">
        <f t="shared" ca="1" si="43"/>
        <v>0</v>
      </c>
      <c r="Q438" s="32">
        <f ca="1">IF(LeadTime=0,P438,IF(AND(SUM(Q437:OFFSET(Q438,-LeadTime,0))=0,P438&gt;0),MAX(P438:OFFSET(P438,-LeadTime+1,0)),0))</f>
        <v>0</v>
      </c>
    </row>
    <row r="439" spans="1:17" x14ac:dyDescent="0.25">
      <c r="A439" s="134">
        <v>41156</v>
      </c>
      <c r="B439" s="32"/>
      <c r="C439" s="32"/>
      <c r="D439" s="32"/>
      <c r="E439" s="32"/>
      <c r="F439" s="32">
        <f t="shared" si="44"/>
        <v>0</v>
      </c>
      <c r="G439" s="30" t="str">
        <f t="shared" ca="1" si="45"/>
        <v>History</v>
      </c>
      <c r="H439" s="30">
        <f t="shared" si="46"/>
        <v>2012</v>
      </c>
      <c r="I439" s="30">
        <f t="shared" si="47"/>
        <v>9</v>
      </c>
      <c r="J439" s="30">
        <f t="shared" si="41"/>
        <v>36</v>
      </c>
      <c r="K439" s="30">
        <v>1</v>
      </c>
      <c r="L439" s="30">
        <f ca="1">SUM(K439:OFFSET(RngToDay,ROWS(Dates),10))</f>
        <v>62</v>
      </c>
      <c r="M439" s="32" t="str">
        <f ca="1">IF(B439="","",SUM(C439:OFFSET(C439,-SafetyStock!$B$4+1,0)))</f>
        <v/>
      </c>
      <c r="N439" s="32" t="e">
        <f t="shared" ca="1" si="42"/>
        <v>#DIV/0!</v>
      </c>
      <c r="O439" s="30">
        <f t="shared" si="48"/>
        <v>439</v>
      </c>
      <c r="P439" s="32">
        <f t="shared" ca="1" si="43"/>
        <v>0</v>
      </c>
      <c r="Q439" s="32">
        <f ca="1">IF(LeadTime=0,P439,IF(AND(SUM(Q438:OFFSET(Q439,-LeadTime,0))=0,P439&gt;0),MAX(P439:OFFSET(P439,-LeadTime+1,0)),0))</f>
        <v>0</v>
      </c>
    </row>
    <row r="440" spans="1:17" x14ac:dyDescent="0.25">
      <c r="A440" s="134">
        <v>41155</v>
      </c>
      <c r="B440" s="32"/>
      <c r="C440" s="32"/>
      <c r="D440" s="32"/>
      <c r="E440" s="32"/>
      <c r="F440" s="32">
        <f t="shared" si="44"/>
        <v>0</v>
      </c>
      <c r="G440" s="30" t="str">
        <f t="shared" ca="1" si="45"/>
        <v>History</v>
      </c>
      <c r="H440" s="30">
        <f t="shared" si="46"/>
        <v>2012</v>
      </c>
      <c r="I440" s="30">
        <f t="shared" si="47"/>
        <v>9</v>
      </c>
      <c r="J440" s="30">
        <f t="shared" ref="J440:J503" si="49">IF(WEEKDAY(DATE(YEAR(A440),1,1),2)&gt;4,WEEKNUM(A440,2)-1,WEEKNUM(A440,2))</f>
        <v>36</v>
      </c>
      <c r="K440" s="30">
        <v>1</v>
      </c>
      <c r="L440" s="30">
        <f ca="1">SUM(K440:OFFSET(RngToDay,ROWS(Dates),10))</f>
        <v>61</v>
      </c>
      <c r="M440" s="32" t="str">
        <f ca="1">IF(B440="","",SUM(C440:OFFSET(C440,-SafetyStock!$B$4+1,0)))</f>
        <v/>
      </c>
      <c r="N440" s="32" t="e">
        <f t="shared" ca="1" si="42"/>
        <v>#DIV/0!</v>
      </c>
      <c r="O440" s="30">
        <f t="shared" si="48"/>
        <v>440</v>
      </c>
      <c r="P440" s="32">
        <f t="shared" ca="1" si="43"/>
        <v>0</v>
      </c>
      <c r="Q440" s="32">
        <f ca="1">IF(LeadTime=0,P440,IF(AND(SUM(Q439:OFFSET(Q440,-LeadTime,0))=0,P440&gt;0),MAX(P440:OFFSET(P440,-LeadTime+1,0)),0))</f>
        <v>0</v>
      </c>
    </row>
    <row r="441" spans="1:17" x14ac:dyDescent="0.25">
      <c r="A441" s="134">
        <v>41152</v>
      </c>
      <c r="B441" s="32"/>
      <c r="C441" s="32"/>
      <c r="D441" s="32"/>
      <c r="E441" s="32"/>
      <c r="F441" s="32">
        <f t="shared" si="44"/>
        <v>0</v>
      </c>
      <c r="G441" s="30" t="str">
        <f t="shared" ca="1" si="45"/>
        <v>History</v>
      </c>
      <c r="H441" s="30">
        <f t="shared" si="46"/>
        <v>2012</v>
      </c>
      <c r="I441" s="30">
        <f t="shared" si="47"/>
        <v>8</v>
      </c>
      <c r="J441" s="30">
        <f t="shared" si="49"/>
        <v>35</v>
      </c>
      <c r="K441" s="30">
        <v>1</v>
      </c>
      <c r="L441" s="30">
        <f ca="1">SUM(K441:OFFSET(RngToDay,ROWS(Dates),10))</f>
        <v>60</v>
      </c>
      <c r="M441" s="32" t="str">
        <f ca="1">IF(B441="","",SUM(C441:OFFSET(C441,-SafetyStock!$B$4+1,0)))</f>
        <v/>
      </c>
      <c r="N441" s="32" t="e">
        <f t="shared" ca="1" si="42"/>
        <v>#DIV/0!</v>
      </c>
      <c r="O441" s="30">
        <f t="shared" si="48"/>
        <v>441</v>
      </c>
      <c r="P441" s="32">
        <f t="shared" ca="1" si="43"/>
        <v>0</v>
      </c>
      <c r="Q441" s="32">
        <f ca="1">IF(LeadTime=0,P441,IF(AND(SUM(Q440:OFFSET(Q441,-LeadTime,0))=0,P441&gt;0),MAX(P441:OFFSET(P441,-LeadTime+1,0)),0))</f>
        <v>0</v>
      </c>
    </row>
    <row r="442" spans="1:17" x14ac:dyDescent="0.25">
      <c r="A442" s="134">
        <v>41151</v>
      </c>
      <c r="B442" s="32"/>
      <c r="C442" s="32"/>
      <c r="D442" s="32"/>
      <c r="E442" s="32"/>
      <c r="F442" s="32">
        <f t="shared" si="44"/>
        <v>0</v>
      </c>
      <c r="G442" s="30" t="str">
        <f t="shared" ca="1" si="45"/>
        <v>History</v>
      </c>
      <c r="H442" s="30">
        <f t="shared" si="46"/>
        <v>2012</v>
      </c>
      <c r="I442" s="30">
        <f t="shared" si="47"/>
        <v>8</v>
      </c>
      <c r="J442" s="30">
        <f t="shared" si="49"/>
        <v>35</v>
      </c>
      <c r="K442" s="30">
        <v>1</v>
      </c>
      <c r="L442" s="30">
        <f ca="1">SUM(K442:OFFSET(RngToDay,ROWS(Dates),10))</f>
        <v>59</v>
      </c>
      <c r="M442" s="32" t="str">
        <f ca="1">IF(B442="","",SUM(C442:OFFSET(C442,-SafetyStock!$B$4+1,0)))</f>
        <v/>
      </c>
      <c r="N442" s="32" t="e">
        <f t="shared" ref="N442:N505" ca="1" si="50">Saf_Stock</f>
        <v>#DIV/0!</v>
      </c>
      <c r="O442" s="30">
        <f t="shared" si="48"/>
        <v>442</v>
      </c>
      <c r="P442" s="32">
        <f t="shared" ca="1" si="43"/>
        <v>0</v>
      </c>
      <c r="Q442" s="32">
        <f ca="1">IF(LeadTime=0,P442,IF(AND(SUM(Q441:OFFSET(Q442,-LeadTime,0))=0,P442&gt;0),MAX(P442:OFFSET(P442,-LeadTime+1,0)),0))</f>
        <v>0</v>
      </c>
    </row>
    <row r="443" spans="1:17" x14ac:dyDescent="0.25">
      <c r="A443" s="134">
        <v>41150</v>
      </c>
      <c r="B443" s="32"/>
      <c r="C443" s="32"/>
      <c r="D443" s="32"/>
      <c r="E443" s="32"/>
      <c r="F443" s="32">
        <f t="shared" si="44"/>
        <v>0</v>
      </c>
      <c r="G443" s="30" t="str">
        <f t="shared" ca="1" si="45"/>
        <v>History</v>
      </c>
      <c r="H443" s="30">
        <f t="shared" si="46"/>
        <v>2012</v>
      </c>
      <c r="I443" s="30">
        <f t="shared" si="47"/>
        <v>8</v>
      </c>
      <c r="J443" s="30">
        <f t="shared" si="49"/>
        <v>35</v>
      </c>
      <c r="K443" s="30">
        <v>1</v>
      </c>
      <c r="L443" s="30">
        <f ca="1">SUM(K443:OFFSET(RngToDay,ROWS(Dates),10))</f>
        <v>58</v>
      </c>
      <c r="M443" s="32" t="str">
        <f ca="1">IF(B443="","",SUM(C443:OFFSET(C443,-SafetyStock!$B$4+1,0)))</f>
        <v/>
      </c>
      <c r="N443" s="32" t="e">
        <f t="shared" ca="1" si="50"/>
        <v>#DIV/0!</v>
      </c>
      <c r="O443" s="30">
        <f t="shared" si="48"/>
        <v>443</v>
      </c>
      <c r="P443" s="32">
        <f t="shared" ref="P443:P506" ca="1" si="51">IF(M443="",0,IF(M443&gt;N443,M443-N443,0))</f>
        <v>0</v>
      </c>
      <c r="Q443" s="32">
        <f ca="1">IF(LeadTime=0,P443,IF(AND(SUM(Q442:OFFSET(Q443,-LeadTime,0))=0,P443&gt;0),MAX(P443:OFFSET(P443,-LeadTime+1,0)),0))</f>
        <v>0</v>
      </c>
    </row>
    <row r="444" spans="1:17" x14ac:dyDescent="0.25">
      <c r="A444" s="134">
        <v>41149</v>
      </c>
      <c r="B444" s="32"/>
      <c r="C444" s="32"/>
      <c r="D444" s="32"/>
      <c r="E444" s="32"/>
      <c r="F444" s="32">
        <f t="shared" ref="F444:F507" si="52">F443</f>
        <v>0</v>
      </c>
      <c r="G444" s="30" t="str">
        <f t="shared" ca="1" si="45"/>
        <v>History</v>
      </c>
      <c r="H444" s="30">
        <f t="shared" si="46"/>
        <v>2012</v>
      </c>
      <c r="I444" s="30">
        <f t="shared" si="47"/>
        <v>8</v>
      </c>
      <c r="J444" s="30">
        <f t="shared" si="49"/>
        <v>35</v>
      </c>
      <c r="K444" s="30">
        <v>1</v>
      </c>
      <c r="L444" s="30">
        <f ca="1">SUM(K444:OFFSET(RngToDay,ROWS(Dates),10))</f>
        <v>57</v>
      </c>
      <c r="M444" s="32" t="str">
        <f ca="1">IF(B444="","",SUM(C444:OFFSET(C444,-SafetyStock!$B$4+1,0)))</f>
        <v/>
      </c>
      <c r="N444" s="32" t="e">
        <f t="shared" ca="1" si="50"/>
        <v>#DIV/0!</v>
      </c>
      <c r="O444" s="30">
        <f t="shared" si="48"/>
        <v>444</v>
      </c>
      <c r="P444" s="32">
        <f t="shared" ca="1" si="51"/>
        <v>0</v>
      </c>
      <c r="Q444" s="32">
        <f ca="1">IF(LeadTime=0,P444,IF(AND(SUM(Q443:OFFSET(Q444,-LeadTime,0))=0,P444&gt;0),MAX(P444:OFFSET(P444,-LeadTime+1,0)),0))</f>
        <v>0</v>
      </c>
    </row>
    <row r="445" spans="1:17" x14ac:dyDescent="0.25">
      <c r="A445" s="134">
        <v>41148</v>
      </c>
      <c r="B445" s="32"/>
      <c r="C445" s="32"/>
      <c r="D445" s="32"/>
      <c r="E445" s="32"/>
      <c r="F445" s="32">
        <f t="shared" si="52"/>
        <v>0</v>
      </c>
      <c r="G445" s="30" t="str">
        <f t="shared" ca="1" si="45"/>
        <v>History</v>
      </c>
      <c r="H445" s="30">
        <f t="shared" si="46"/>
        <v>2012</v>
      </c>
      <c r="I445" s="30">
        <f t="shared" si="47"/>
        <v>8</v>
      </c>
      <c r="J445" s="30">
        <f t="shared" si="49"/>
        <v>35</v>
      </c>
      <c r="K445" s="30">
        <v>1</v>
      </c>
      <c r="L445" s="30">
        <f ca="1">SUM(K445:OFFSET(RngToDay,ROWS(Dates),10))</f>
        <v>56</v>
      </c>
      <c r="M445" s="32" t="str">
        <f ca="1">IF(B445="","",SUM(C445:OFFSET(C445,-SafetyStock!$B$4+1,0)))</f>
        <v/>
      </c>
      <c r="N445" s="32" t="e">
        <f t="shared" ca="1" si="50"/>
        <v>#DIV/0!</v>
      </c>
      <c r="O445" s="30">
        <f t="shared" si="48"/>
        <v>445</v>
      </c>
      <c r="P445" s="32">
        <f t="shared" ca="1" si="51"/>
        <v>0</v>
      </c>
      <c r="Q445" s="32">
        <f ca="1">IF(LeadTime=0,P445,IF(AND(SUM(Q444:OFFSET(Q445,-LeadTime,0))=0,P445&gt;0),MAX(P445:OFFSET(P445,-LeadTime+1,0)),0))</f>
        <v>0</v>
      </c>
    </row>
    <row r="446" spans="1:17" x14ac:dyDescent="0.25">
      <c r="A446" s="134">
        <v>41145</v>
      </c>
      <c r="B446" s="32"/>
      <c r="C446" s="32"/>
      <c r="D446" s="32"/>
      <c r="E446" s="32"/>
      <c r="F446" s="32">
        <f t="shared" si="52"/>
        <v>0</v>
      </c>
      <c r="G446" s="30" t="str">
        <f t="shared" ca="1" si="45"/>
        <v>History</v>
      </c>
      <c r="H446" s="30">
        <f t="shared" si="46"/>
        <v>2012</v>
      </c>
      <c r="I446" s="30">
        <f t="shared" si="47"/>
        <v>8</v>
      </c>
      <c r="J446" s="30">
        <f t="shared" si="49"/>
        <v>34</v>
      </c>
      <c r="K446" s="30">
        <v>1</v>
      </c>
      <c r="L446" s="30">
        <f ca="1">SUM(K446:OFFSET(RngToDay,ROWS(Dates),10))</f>
        <v>55</v>
      </c>
      <c r="M446" s="32" t="str">
        <f ca="1">IF(B446="","",SUM(C446:OFFSET(C446,-SafetyStock!$B$4+1,0)))</f>
        <v/>
      </c>
      <c r="N446" s="32" t="e">
        <f t="shared" ca="1" si="50"/>
        <v>#DIV/0!</v>
      </c>
      <c r="O446" s="30">
        <f t="shared" si="48"/>
        <v>446</v>
      </c>
      <c r="P446" s="32">
        <f t="shared" ca="1" si="51"/>
        <v>0</v>
      </c>
      <c r="Q446" s="32">
        <f ca="1">IF(LeadTime=0,P446,IF(AND(SUM(Q445:OFFSET(Q446,-LeadTime,0))=0,P446&gt;0),MAX(P446:OFFSET(P446,-LeadTime+1,0)),0))</f>
        <v>0</v>
      </c>
    </row>
    <row r="447" spans="1:17" x14ac:dyDescent="0.25">
      <c r="A447" s="134">
        <v>41144</v>
      </c>
      <c r="B447" s="32"/>
      <c r="C447" s="32"/>
      <c r="D447" s="32"/>
      <c r="E447" s="32"/>
      <c r="F447" s="32">
        <f t="shared" si="52"/>
        <v>0</v>
      </c>
      <c r="G447" s="30" t="str">
        <f t="shared" ca="1" si="45"/>
        <v>History</v>
      </c>
      <c r="H447" s="30">
        <f t="shared" si="46"/>
        <v>2012</v>
      </c>
      <c r="I447" s="30">
        <f t="shared" si="47"/>
        <v>8</v>
      </c>
      <c r="J447" s="30">
        <f t="shared" si="49"/>
        <v>34</v>
      </c>
      <c r="K447" s="30">
        <v>1</v>
      </c>
      <c r="L447" s="30">
        <f ca="1">SUM(K447:OFFSET(RngToDay,ROWS(Dates),10))</f>
        <v>54</v>
      </c>
      <c r="M447" s="32" t="str">
        <f ca="1">IF(B447="","",SUM(C447:OFFSET(C447,-SafetyStock!$B$4+1,0)))</f>
        <v/>
      </c>
      <c r="N447" s="32" t="e">
        <f t="shared" ca="1" si="50"/>
        <v>#DIV/0!</v>
      </c>
      <c r="O447" s="30">
        <f t="shared" si="48"/>
        <v>447</v>
      </c>
      <c r="P447" s="32">
        <f t="shared" ca="1" si="51"/>
        <v>0</v>
      </c>
      <c r="Q447" s="32">
        <f ca="1">IF(LeadTime=0,P447,IF(AND(SUM(Q446:OFFSET(Q447,-LeadTime,0))=0,P447&gt;0),MAX(P447:OFFSET(P447,-LeadTime+1,0)),0))</f>
        <v>0</v>
      </c>
    </row>
    <row r="448" spans="1:17" x14ac:dyDescent="0.25">
      <c r="A448" s="134">
        <v>41143</v>
      </c>
      <c r="B448" s="32"/>
      <c r="C448" s="32"/>
      <c r="D448" s="32"/>
      <c r="E448" s="32"/>
      <c r="F448" s="32">
        <f t="shared" si="52"/>
        <v>0</v>
      </c>
      <c r="G448" s="30" t="str">
        <f t="shared" ca="1" si="45"/>
        <v>History</v>
      </c>
      <c r="H448" s="30">
        <f t="shared" si="46"/>
        <v>2012</v>
      </c>
      <c r="I448" s="30">
        <f t="shared" si="47"/>
        <v>8</v>
      </c>
      <c r="J448" s="30">
        <f t="shared" si="49"/>
        <v>34</v>
      </c>
      <c r="K448" s="30">
        <v>1</v>
      </c>
      <c r="L448" s="30">
        <f ca="1">SUM(K448:OFFSET(RngToDay,ROWS(Dates),10))</f>
        <v>53</v>
      </c>
      <c r="M448" s="32" t="str">
        <f ca="1">IF(B448="","",SUM(C448:OFFSET(C448,-SafetyStock!$B$4+1,0)))</f>
        <v/>
      </c>
      <c r="N448" s="32" t="e">
        <f t="shared" ca="1" si="50"/>
        <v>#DIV/0!</v>
      </c>
      <c r="O448" s="30">
        <f t="shared" si="48"/>
        <v>448</v>
      </c>
      <c r="P448" s="32">
        <f t="shared" ca="1" si="51"/>
        <v>0</v>
      </c>
      <c r="Q448" s="32">
        <f ca="1">IF(LeadTime=0,P448,IF(AND(SUM(Q447:OFFSET(Q448,-LeadTime,0))=0,P448&gt;0),MAX(P448:OFFSET(P448,-LeadTime+1,0)),0))</f>
        <v>0</v>
      </c>
    </row>
    <row r="449" spans="1:17" x14ac:dyDescent="0.25">
      <c r="A449" s="134">
        <v>41142</v>
      </c>
      <c r="B449" s="32"/>
      <c r="C449" s="32"/>
      <c r="D449" s="32"/>
      <c r="E449" s="32"/>
      <c r="F449" s="32">
        <f t="shared" si="52"/>
        <v>0</v>
      </c>
      <c r="G449" s="30" t="str">
        <f t="shared" ca="1" si="45"/>
        <v>History</v>
      </c>
      <c r="H449" s="30">
        <f t="shared" si="46"/>
        <v>2012</v>
      </c>
      <c r="I449" s="30">
        <f t="shared" si="47"/>
        <v>8</v>
      </c>
      <c r="J449" s="30">
        <f t="shared" si="49"/>
        <v>34</v>
      </c>
      <c r="K449" s="30">
        <v>1</v>
      </c>
      <c r="L449" s="30">
        <f ca="1">SUM(K449:OFFSET(RngToDay,ROWS(Dates),10))</f>
        <v>52</v>
      </c>
      <c r="M449" s="32" t="str">
        <f ca="1">IF(B449="","",SUM(C449:OFFSET(C449,-SafetyStock!$B$4+1,0)))</f>
        <v/>
      </c>
      <c r="N449" s="32" t="e">
        <f t="shared" ca="1" si="50"/>
        <v>#DIV/0!</v>
      </c>
      <c r="O449" s="30">
        <f t="shared" si="48"/>
        <v>449</v>
      </c>
      <c r="P449" s="32">
        <f t="shared" ca="1" si="51"/>
        <v>0</v>
      </c>
      <c r="Q449" s="32">
        <f ca="1">IF(LeadTime=0,P449,IF(AND(SUM(Q448:OFFSET(Q449,-LeadTime,0))=0,P449&gt;0),MAX(P449:OFFSET(P449,-LeadTime+1,0)),0))</f>
        <v>0</v>
      </c>
    </row>
    <row r="450" spans="1:17" x14ac:dyDescent="0.25">
      <c r="A450" s="134">
        <v>41141</v>
      </c>
      <c r="B450" s="32"/>
      <c r="C450" s="32"/>
      <c r="D450" s="32"/>
      <c r="E450" s="32"/>
      <c r="F450" s="32">
        <f t="shared" si="52"/>
        <v>0</v>
      </c>
      <c r="G450" s="30" t="str">
        <f t="shared" ca="1" si="45"/>
        <v>History</v>
      </c>
      <c r="H450" s="30">
        <f t="shared" si="46"/>
        <v>2012</v>
      </c>
      <c r="I450" s="30">
        <f t="shared" si="47"/>
        <v>8</v>
      </c>
      <c r="J450" s="30">
        <f t="shared" si="49"/>
        <v>34</v>
      </c>
      <c r="K450" s="30">
        <v>1</v>
      </c>
      <c r="L450" s="30">
        <f ca="1">SUM(K450:OFFSET(RngToDay,ROWS(Dates),10))</f>
        <v>51</v>
      </c>
      <c r="M450" s="32" t="str">
        <f ca="1">IF(B450="","",SUM(C450:OFFSET(C450,-SafetyStock!$B$4+1,0)))</f>
        <v/>
      </c>
      <c r="N450" s="32" t="e">
        <f t="shared" ca="1" si="50"/>
        <v>#DIV/0!</v>
      </c>
      <c r="O450" s="30">
        <f t="shared" si="48"/>
        <v>450</v>
      </c>
      <c r="P450" s="32">
        <f t="shared" ca="1" si="51"/>
        <v>0</v>
      </c>
      <c r="Q450" s="32">
        <f ca="1">IF(LeadTime=0,P450,IF(AND(SUM(Q449:OFFSET(Q450,-LeadTime,0))=0,P450&gt;0),MAX(P450:OFFSET(P450,-LeadTime+1,0)),0))</f>
        <v>0</v>
      </c>
    </row>
    <row r="451" spans="1:17" x14ac:dyDescent="0.25">
      <c r="A451" s="135">
        <v>41138</v>
      </c>
      <c r="F451" s="32">
        <f t="shared" si="52"/>
        <v>0</v>
      </c>
      <c r="G451" s="30" t="str">
        <f t="shared" ref="G451:G514" ca="1" si="53">IF(A451&gt;TODAY(),"Requirements","History")</f>
        <v>History</v>
      </c>
      <c r="H451" s="30">
        <f t="shared" ref="H451:H514" si="54">YEAR(A451)</f>
        <v>2012</v>
      </c>
      <c r="I451" s="30">
        <f t="shared" ref="I451:I514" si="55">MONTH(A451)</f>
        <v>8</v>
      </c>
      <c r="J451" s="30">
        <f t="shared" si="49"/>
        <v>33</v>
      </c>
      <c r="K451" s="30">
        <v>1</v>
      </c>
      <c r="L451" s="30">
        <f ca="1">SUM(K451:OFFSET(RngToDay,ROWS(Dates),10))</f>
        <v>50</v>
      </c>
      <c r="M451" s="32" t="str">
        <f ca="1">IF(B451="","",SUM(C451:OFFSET(C451,-SafetyStock!$B$4+1,0)))</f>
        <v/>
      </c>
      <c r="N451" s="32" t="e">
        <f t="shared" ca="1" si="50"/>
        <v>#DIV/0!</v>
      </c>
      <c r="O451" s="30">
        <f t="shared" si="48"/>
        <v>451</v>
      </c>
      <c r="P451" s="32">
        <f t="shared" ca="1" si="51"/>
        <v>0</v>
      </c>
      <c r="Q451" s="32">
        <f ca="1">IF(LeadTime=0,P451,IF(AND(SUM(Q450:OFFSET(Q451,-LeadTime,0))=0,P451&gt;0),MAX(P451:OFFSET(P451,-LeadTime+1,0)),0))</f>
        <v>0</v>
      </c>
    </row>
    <row r="452" spans="1:17" x14ac:dyDescent="0.25">
      <c r="A452" s="135">
        <v>41137</v>
      </c>
      <c r="F452" s="32">
        <f t="shared" si="52"/>
        <v>0</v>
      </c>
      <c r="G452" s="30" t="str">
        <f t="shared" ca="1" si="53"/>
        <v>History</v>
      </c>
      <c r="H452" s="30">
        <f t="shared" si="54"/>
        <v>2012</v>
      </c>
      <c r="I452" s="30">
        <f t="shared" si="55"/>
        <v>8</v>
      </c>
      <c r="J452" s="30">
        <f t="shared" si="49"/>
        <v>33</v>
      </c>
      <c r="K452" s="30">
        <v>1</v>
      </c>
      <c r="L452" s="30">
        <f ca="1">SUM(K452:OFFSET(RngToDay,ROWS(Dates),10))</f>
        <v>49</v>
      </c>
      <c r="M452" s="32" t="str">
        <f ca="1">IF(B452="","",SUM(C452:OFFSET(C452,-SafetyStock!$B$4+1,0)))</f>
        <v/>
      </c>
      <c r="N452" s="32" t="e">
        <f t="shared" ca="1" si="50"/>
        <v>#DIV/0!</v>
      </c>
      <c r="O452" s="30">
        <f t="shared" ref="O452:O515" si="56">O451+1</f>
        <v>452</v>
      </c>
      <c r="P452" s="32">
        <f t="shared" ca="1" si="51"/>
        <v>0</v>
      </c>
      <c r="Q452" s="32">
        <f ca="1">IF(LeadTime=0,P452,IF(AND(SUM(Q451:OFFSET(Q452,-LeadTime,0))=0,P452&gt;0),MAX(P452:OFFSET(P452,-LeadTime+1,0)),0))</f>
        <v>0</v>
      </c>
    </row>
    <row r="453" spans="1:17" x14ac:dyDescent="0.25">
      <c r="A453" s="135">
        <v>41136</v>
      </c>
      <c r="F453" s="32">
        <f t="shared" si="52"/>
        <v>0</v>
      </c>
      <c r="G453" s="30" t="str">
        <f t="shared" ca="1" si="53"/>
        <v>History</v>
      </c>
      <c r="H453" s="30">
        <f t="shared" si="54"/>
        <v>2012</v>
      </c>
      <c r="I453" s="30">
        <f t="shared" si="55"/>
        <v>8</v>
      </c>
      <c r="J453" s="30">
        <f t="shared" si="49"/>
        <v>33</v>
      </c>
      <c r="K453" s="30">
        <v>1</v>
      </c>
      <c r="L453" s="30">
        <f ca="1">SUM(K453:OFFSET(RngToDay,ROWS(Dates),10))</f>
        <v>48</v>
      </c>
      <c r="M453" s="32" t="str">
        <f ca="1">IF(B453="","",SUM(C453:OFFSET(C453,-SafetyStock!$B$4+1,0)))</f>
        <v/>
      </c>
      <c r="N453" s="32" t="e">
        <f t="shared" ca="1" si="50"/>
        <v>#DIV/0!</v>
      </c>
      <c r="O453" s="30">
        <f t="shared" si="56"/>
        <v>453</v>
      </c>
      <c r="P453" s="32">
        <f t="shared" ca="1" si="51"/>
        <v>0</v>
      </c>
      <c r="Q453" s="32">
        <f ca="1">IF(LeadTime=0,P453,IF(AND(SUM(Q452:OFFSET(Q453,-LeadTime,0))=0,P453&gt;0),MAX(P453:OFFSET(P453,-LeadTime+1,0)),0))</f>
        <v>0</v>
      </c>
    </row>
    <row r="454" spans="1:17" x14ac:dyDescent="0.25">
      <c r="A454" s="135">
        <v>41135</v>
      </c>
      <c r="F454" s="32">
        <f t="shared" si="52"/>
        <v>0</v>
      </c>
      <c r="G454" s="30" t="str">
        <f t="shared" ca="1" si="53"/>
        <v>History</v>
      </c>
      <c r="H454" s="30">
        <f t="shared" si="54"/>
        <v>2012</v>
      </c>
      <c r="I454" s="30">
        <f t="shared" si="55"/>
        <v>8</v>
      </c>
      <c r="J454" s="30">
        <f t="shared" si="49"/>
        <v>33</v>
      </c>
      <c r="K454" s="30">
        <v>1</v>
      </c>
      <c r="L454" s="30">
        <f ca="1">SUM(K454:OFFSET(RngToDay,ROWS(Dates),10))</f>
        <v>47</v>
      </c>
      <c r="M454" s="32" t="str">
        <f ca="1">IF(B454="","",SUM(C454:OFFSET(C454,-SafetyStock!$B$4+1,0)))</f>
        <v/>
      </c>
      <c r="N454" s="32" t="e">
        <f t="shared" ca="1" si="50"/>
        <v>#DIV/0!</v>
      </c>
      <c r="O454" s="30">
        <f t="shared" si="56"/>
        <v>454</v>
      </c>
      <c r="P454" s="32">
        <f t="shared" ca="1" si="51"/>
        <v>0</v>
      </c>
      <c r="Q454" s="32">
        <f ca="1">IF(LeadTime=0,P454,IF(AND(SUM(Q453:OFFSET(Q454,-LeadTime,0))=0,P454&gt;0),MAX(P454:OFFSET(P454,-LeadTime+1,0)),0))</f>
        <v>0</v>
      </c>
    </row>
    <row r="455" spans="1:17" x14ac:dyDescent="0.25">
      <c r="A455" s="135">
        <v>41134</v>
      </c>
      <c r="F455" s="32">
        <f t="shared" si="52"/>
        <v>0</v>
      </c>
      <c r="G455" s="30" t="str">
        <f t="shared" ca="1" si="53"/>
        <v>History</v>
      </c>
      <c r="H455" s="30">
        <f t="shared" si="54"/>
        <v>2012</v>
      </c>
      <c r="I455" s="30">
        <f t="shared" si="55"/>
        <v>8</v>
      </c>
      <c r="J455" s="30">
        <f t="shared" si="49"/>
        <v>33</v>
      </c>
      <c r="K455" s="30">
        <v>1</v>
      </c>
      <c r="L455" s="30">
        <f ca="1">SUM(K455:OFFSET(RngToDay,ROWS(Dates),10))</f>
        <v>46</v>
      </c>
      <c r="M455" s="32" t="str">
        <f ca="1">IF(B455="","",SUM(C455:OFFSET(C455,-SafetyStock!$B$4+1,0)))</f>
        <v/>
      </c>
      <c r="N455" s="32" t="e">
        <f t="shared" ca="1" si="50"/>
        <v>#DIV/0!</v>
      </c>
      <c r="O455" s="30">
        <f t="shared" si="56"/>
        <v>455</v>
      </c>
      <c r="P455" s="32">
        <f t="shared" ca="1" si="51"/>
        <v>0</v>
      </c>
      <c r="Q455" s="32">
        <f ca="1">IF(LeadTime=0,P455,IF(AND(SUM(Q454:OFFSET(Q455,-LeadTime,0))=0,P455&gt;0),MAX(P455:OFFSET(P455,-LeadTime+1,0)),0))</f>
        <v>0</v>
      </c>
    </row>
    <row r="456" spans="1:17" x14ac:dyDescent="0.25">
      <c r="A456" s="135">
        <v>41131</v>
      </c>
      <c r="F456" s="32">
        <f t="shared" si="52"/>
        <v>0</v>
      </c>
      <c r="G456" s="30" t="str">
        <f t="shared" ca="1" si="53"/>
        <v>History</v>
      </c>
      <c r="H456" s="30">
        <f t="shared" si="54"/>
        <v>2012</v>
      </c>
      <c r="I456" s="30">
        <f t="shared" si="55"/>
        <v>8</v>
      </c>
      <c r="J456" s="30">
        <f t="shared" si="49"/>
        <v>32</v>
      </c>
      <c r="K456" s="30">
        <v>1</v>
      </c>
      <c r="L456" s="30">
        <f ca="1">SUM(K456:OFFSET(RngToDay,ROWS(Dates),10))</f>
        <v>45</v>
      </c>
      <c r="M456" s="32" t="str">
        <f ca="1">IF(B456="","",SUM(C456:OFFSET(C456,-SafetyStock!$B$4+1,0)))</f>
        <v/>
      </c>
      <c r="N456" s="32" t="e">
        <f t="shared" ca="1" si="50"/>
        <v>#DIV/0!</v>
      </c>
      <c r="O456" s="30">
        <f t="shared" si="56"/>
        <v>456</v>
      </c>
      <c r="P456" s="32">
        <f t="shared" ca="1" si="51"/>
        <v>0</v>
      </c>
      <c r="Q456" s="32">
        <f ca="1">IF(LeadTime=0,P456,IF(AND(SUM(Q455:OFFSET(Q456,-LeadTime,0))=0,P456&gt;0),MAX(P456:OFFSET(P456,-LeadTime+1,0)),0))</f>
        <v>0</v>
      </c>
    </row>
    <row r="457" spans="1:17" x14ac:dyDescent="0.25">
      <c r="A457" s="135">
        <v>41130</v>
      </c>
      <c r="F457" s="32">
        <f t="shared" si="52"/>
        <v>0</v>
      </c>
      <c r="G457" s="30" t="str">
        <f t="shared" ca="1" si="53"/>
        <v>History</v>
      </c>
      <c r="H457" s="30">
        <f t="shared" si="54"/>
        <v>2012</v>
      </c>
      <c r="I457" s="30">
        <f t="shared" si="55"/>
        <v>8</v>
      </c>
      <c r="J457" s="30">
        <f t="shared" si="49"/>
        <v>32</v>
      </c>
      <c r="K457" s="30">
        <v>1</v>
      </c>
      <c r="L457" s="30">
        <f ca="1">SUM(K457:OFFSET(RngToDay,ROWS(Dates),10))</f>
        <v>44</v>
      </c>
      <c r="M457" s="32" t="str">
        <f ca="1">IF(B457="","",SUM(C457:OFFSET(C457,-SafetyStock!$B$4+1,0)))</f>
        <v/>
      </c>
      <c r="N457" s="32" t="e">
        <f t="shared" ca="1" si="50"/>
        <v>#DIV/0!</v>
      </c>
      <c r="O457" s="30">
        <f t="shared" si="56"/>
        <v>457</v>
      </c>
      <c r="P457" s="32">
        <f t="shared" ca="1" si="51"/>
        <v>0</v>
      </c>
      <c r="Q457" s="32">
        <f ca="1">IF(LeadTime=0,P457,IF(AND(SUM(Q456:OFFSET(Q457,-LeadTime,0))=0,P457&gt;0),MAX(P457:OFFSET(P457,-LeadTime+1,0)),0))</f>
        <v>0</v>
      </c>
    </row>
    <row r="458" spans="1:17" x14ac:dyDescent="0.25">
      <c r="A458" s="135">
        <v>41129</v>
      </c>
      <c r="F458" s="32">
        <f t="shared" si="52"/>
        <v>0</v>
      </c>
      <c r="G458" s="30" t="str">
        <f t="shared" ca="1" si="53"/>
        <v>History</v>
      </c>
      <c r="H458" s="30">
        <f t="shared" si="54"/>
        <v>2012</v>
      </c>
      <c r="I458" s="30">
        <f t="shared" si="55"/>
        <v>8</v>
      </c>
      <c r="J458" s="30">
        <f t="shared" si="49"/>
        <v>32</v>
      </c>
      <c r="K458" s="30">
        <v>1</v>
      </c>
      <c r="L458" s="30">
        <f ca="1">SUM(K458:OFFSET(RngToDay,ROWS(Dates),10))</f>
        <v>43</v>
      </c>
      <c r="M458" s="32" t="str">
        <f ca="1">IF(B458="","",SUM(C458:OFFSET(C458,-SafetyStock!$B$4+1,0)))</f>
        <v/>
      </c>
      <c r="N458" s="32" t="e">
        <f t="shared" ca="1" si="50"/>
        <v>#DIV/0!</v>
      </c>
      <c r="O458" s="30">
        <f t="shared" si="56"/>
        <v>458</v>
      </c>
      <c r="P458" s="32">
        <f t="shared" ca="1" si="51"/>
        <v>0</v>
      </c>
      <c r="Q458" s="32">
        <f ca="1">IF(LeadTime=0,P458,IF(AND(SUM(Q457:OFFSET(Q458,-LeadTime,0))=0,P458&gt;0),MAX(P458:OFFSET(P458,-LeadTime+1,0)),0))</f>
        <v>0</v>
      </c>
    </row>
    <row r="459" spans="1:17" x14ac:dyDescent="0.25">
      <c r="A459" s="135">
        <v>41128</v>
      </c>
      <c r="F459" s="32">
        <f t="shared" si="52"/>
        <v>0</v>
      </c>
      <c r="G459" s="30" t="str">
        <f t="shared" ca="1" si="53"/>
        <v>History</v>
      </c>
      <c r="H459" s="30">
        <f t="shared" si="54"/>
        <v>2012</v>
      </c>
      <c r="I459" s="30">
        <f t="shared" si="55"/>
        <v>8</v>
      </c>
      <c r="J459" s="30">
        <f t="shared" si="49"/>
        <v>32</v>
      </c>
      <c r="K459" s="30">
        <v>1</v>
      </c>
      <c r="L459" s="30">
        <f ca="1">SUM(K459:OFFSET(RngToDay,ROWS(Dates),10))</f>
        <v>42</v>
      </c>
      <c r="M459" s="32" t="str">
        <f ca="1">IF(B459="","",SUM(C459:OFFSET(C459,-SafetyStock!$B$4+1,0)))</f>
        <v/>
      </c>
      <c r="N459" s="32" t="e">
        <f t="shared" ca="1" si="50"/>
        <v>#DIV/0!</v>
      </c>
      <c r="O459" s="30">
        <f t="shared" si="56"/>
        <v>459</v>
      </c>
      <c r="P459" s="32">
        <f t="shared" ca="1" si="51"/>
        <v>0</v>
      </c>
      <c r="Q459" s="32">
        <f ca="1">IF(LeadTime=0,P459,IF(AND(SUM(Q458:OFFSET(Q459,-LeadTime,0))=0,P459&gt;0),MAX(P459:OFFSET(P459,-LeadTime+1,0)),0))</f>
        <v>0</v>
      </c>
    </row>
    <row r="460" spans="1:17" x14ac:dyDescent="0.25">
      <c r="A460" s="135">
        <v>41127</v>
      </c>
      <c r="F460" s="32">
        <f t="shared" si="52"/>
        <v>0</v>
      </c>
      <c r="G460" s="30" t="str">
        <f t="shared" ca="1" si="53"/>
        <v>History</v>
      </c>
      <c r="H460" s="30">
        <f t="shared" si="54"/>
        <v>2012</v>
      </c>
      <c r="I460" s="30">
        <f t="shared" si="55"/>
        <v>8</v>
      </c>
      <c r="J460" s="30">
        <f t="shared" si="49"/>
        <v>32</v>
      </c>
      <c r="K460" s="30">
        <v>1</v>
      </c>
      <c r="L460" s="30">
        <f ca="1">SUM(K460:OFFSET(RngToDay,ROWS(Dates),10))</f>
        <v>41</v>
      </c>
      <c r="M460" s="32" t="str">
        <f ca="1">IF(B460="","",SUM(C460:OFFSET(C460,-SafetyStock!$B$4+1,0)))</f>
        <v/>
      </c>
      <c r="N460" s="32" t="e">
        <f t="shared" ca="1" si="50"/>
        <v>#DIV/0!</v>
      </c>
      <c r="O460" s="30">
        <f t="shared" si="56"/>
        <v>460</v>
      </c>
      <c r="P460" s="32">
        <f t="shared" ca="1" si="51"/>
        <v>0</v>
      </c>
      <c r="Q460" s="32">
        <f ca="1">IF(LeadTime=0,P460,IF(AND(SUM(Q459:OFFSET(Q460,-LeadTime,0))=0,P460&gt;0),MAX(P460:OFFSET(P460,-LeadTime+1,0)),0))</f>
        <v>0</v>
      </c>
    </row>
    <row r="461" spans="1:17" x14ac:dyDescent="0.25">
      <c r="A461" s="135">
        <v>41124</v>
      </c>
      <c r="F461" s="32">
        <f t="shared" si="52"/>
        <v>0</v>
      </c>
      <c r="G461" s="30" t="str">
        <f t="shared" ca="1" si="53"/>
        <v>History</v>
      </c>
      <c r="H461" s="30">
        <f t="shared" si="54"/>
        <v>2012</v>
      </c>
      <c r="I461" s="30">
        <f t="shared" si="55"/>
        <v>8</v>
      </c>
      <c r="J461" s="30">
        <f t="shared" si="49"/>
        <v>31</v>
      </c>
      <c r="K461" s="30">
        <v>1</v>
      </c>
      <c r="L461" s="30">
        <f ca="1">SUM(K461:OFFSET(RngToDay,ROWS(Dates),10))</f>
        <v>40</v>
      </c>
      <c r="M461" s="32" t="str">
        <f ca="1">IF(B461="","",SUM(C461:OFFSET(C461,-SafetyStock!$B$4+1,0)))</f>
        <v/>
      </c>
      <c r="N461" s="32" t="e">
        <f t="shared" ca="1" si="50"/>
        <v>#DIV/0!</v>
      </c>
      <c r="O461" s="30">
        <f t="shared" si="56"/>
        <v>461</v>
      </c>
      <c r="P461" s="32">
        <f t="shared" ca="1" si="51"/>
        <v>0</v>
      </c>
      <c r="Q461" s="32">
        <f ca="1">IF(LeadTime=0,P461,IF(AND(SUM(Q460:OFFSET(Q461,-LeadTime,0))=0,P461&gt;0),MAX(P461:OFFSET(P461,-LeadTime+1,0)),0))</f>
        <v>0</v>
      </c>
    </row>
    <row r="462" spans="1:17" x14ac:dyDescent="0.25">
      <c r="A462" s="135">
        <v>41123</v>
      </c>
      <c r="F462" s="32">
        <f t="shared" si="52"/>
        <v>0</v>
      </c>
      <c r="G462" s="30" t="str">
        <f t="shared" ca="1" si="53"/>
        <v>History</v>
      </c>
      <c r="H462" s="30">
        <f t="shared" si="54"/>
        <v>2012</v>
      </c>
      <c r="I462" s="30">
        <f t="shared" si="55"/>
        <v>8</v>
      </c>
      <c r="J462" s="30">
        <f t="shared" si="49"/>
        <v>31</v>
      </c>
      <c r="K462" s="30">
        <v>1</v>
      </c>
      <c r="L462" s="30">
        <f ca="1">SUM(K462:OFFSET(RngToDay,ROWS(Dates),10))</f>
        <v>39</v>
      </c>
      <c r="M462" s="32" t="str">
        <f ca="1">IF(B462="","",SUM(C462:OFFSET(C462,-SafetyStock!$B$4+1,0)))</f>
        <v/>
      </c>
      <c r="N462" s="32" t="e">
        <f t="shared" ca="1" si="50"/>
        <v>#DIV/0!</v>
      </c>
      <c r="O462" s="30">
        <f t="shared" si="56"/>
        <v>462</v>
      </c>
      <c r="P462" s="32">
        <f t="shared" ca="1" si="51"/>
        <v>0</v>
      </c>
      <c r="Q462" s="32">
        <f ca="1">IF(LeadTime=0,P462,IF(AND(SUM(Q461:OFFSET(Q462,-LeadTime,0))=0,P462&gt;0),MAX(P462:OFFSET(P462,-LeadTime+1,0)),0))</f>
        <v>0</v>
      </c>
    </row>
    <row r="463" spans="1:17" x14ac:dyDescent="0.25">
      <c r="A463" s="135">
        <v>41122</v>
      </c>
      <c r="F463" s="32">
        <f t="shared" si="52"/>
        <v>0</v>
      </c>
      <c r="G463" s="30" t="str">
        <f t="shared" ca="1" si="53"/>
        <v>History</v>
      </c>
      <c r="H463" s="30">
        <f t="shared" si="54"/>
        <v>2012</v>
      </c>
      <c r="I463" s="30">
        <f t="shared" si="55"/>
        <v>8</v>
      </c>
      <c r="J463" s="30">
        <f t="shared" si="49"/>
        <v>31</v>
      </c>
      <c r="K463" s="30">
        <v>1</v>
      </c>
      <c r="L463" s="30">
        <f ca="1">SUM(K463:OFFSET(RngToDay,ROWS(Dates),10))</f>
        <v>38</v>
      </c>
      <c r="M463" s="32" t="str">
        <f ca="1">IF(B463="","",SUM(C463:OFFSET(C463,-SafetyStock!$B$4+1,0)))</f>
        <v/>
      </c>
      <c r="N463" s="32" t="e">
        <f t="shared" ca="1" si="50"/>
        <v>#DIV/0!</v>
      </c>
      <c r="O463" s="30">
        <f t="shared" si="56"/>
        <v>463</v>
      </c>
      <c r="P463" s="32">
        <f t="shared" ca="1" si="51"/>
        <v>0</v>
      </c>
      <c r="Q463" s="32">
        <f ca="1">IF(LeadTime=0,P463,IF(AND(SUM(Q462:OFFSET(Q463,-LeadTime,0))=0,P463&gt;0),MAX(P463:OFFSET(P463,-LeadTime+1,0)),0))</f>
        <v>0</v>
      </c>
    </row>
    <row r="464" spans="1:17" x14ac:dyDescent="0.25">
      <c r="A464" s="135">
        <v>41121</v>
      </c>
      <c r="F464" s="32">
        <f t="shared" si="52"/>
        <v>0</v>
      </c>
      <c r="G464" s="30" t="str">
        <f t="shared" ca="1" si="53"/>
        <v>History</v>
      </c>
      <c r="H464" s="30">
        <f t="shared" si="54"/>
        <v>2012</v>
      </c>
      <c r="I464" s="30">
        <f t="shared" si="55"/>
        <v>7</v>
      </c>
      <c r="J464" s="30">
        <f t="shared" si="49"/>
        <v>31</v>
      </c>
      <c r="K464" s="30">
        <v>1</v>
      </c>
      <c r="L464" s="30">
        <f ca="1">SUM(K464:OFFSET(RngToDay,ROWS(Dates),10))</f>
        <v>37</v>
      </c>
      <c r="M464" s="32" t="str">
        <f ca="1">IF(B464="","",SUM(C464:OFFSET(C464,-SafetyStock!$B$4+1,0)))</f>
        <v/>
      </c>
      <c r="N464" s="32" t="e">
        <f t="shared" ca="1" si="50"/>
        <v>#DIV/0!</v>
      </c>
      <c r="O464" s="30">
        <f t="shared" si="56"/>
        <v>464</v>
      </c>
      <c r="P464" s="32">
        <f t="shared" ca="1" si="51"/>
        <v>0</v>
      </c>
      <c r="Q464" s="32">
        <f ca="1">IF(LeadTime=0,P464,IF(AND(SUM(Q463:OFFSET(Q464,-LeadTime,0))=0,P464&gt;0),MAX(P464:OFFSET(P464,-LeadTime+1,0)),0))</f>
        <v>0</v>
      </c>
    </row>
    <row r="465" spans="1:17" x14ac:dyDescent="0.25">
      <c r="A465" s="135">
        <v>41120</v>
      </c>
      <c r="F465" s="32">
        <f t="shared" si="52"/>
        <v>0</v>
      </c>
      <c r="G465" s="30" t="str">
        <f t="shared" ca="1" si="53"/>
        <v>History</v>
      </c>
      <c r="H465" s="30">
        <f t="shared" si="54"/>
        <v>2012</v>
      </c>
      <c r="I465" s="30">
        <f t="shared" si="55"/>
        <v>7</v>
      </c>
      <c r="J465" s="30">
        <f t="shared" si="49"/>
        <v>31</v>
      </c>
      <c r="K465" s="30">
        <v>1</v>
      </c>
      <c r="L465" s="30">
        <f ca="1">SUM(K465:OFFSET(RngToDay,ROWS(Dates),10))</f>
        <v>36</v>
      </c>
      <c r="M465" s="32" t="str">
        <f ca="1">IF(B465="","",SUM(C465:OFFSET(C465,-SafetyStock!$B$4+1,0)))</f>
        <v/>
      </c>
      <c r="N465" s="32" t="e">
        <f t="shared" ca="1" si="50"/>
        <v>#DIV/0!</v>
      </c>
      <c r="O465" s="30">
        <f t="shared" si="56"/>
        <v>465</v>
      </c>
      <c r="P465" s="32">
        <f t="shared" ca="1" si="51"/>
        <v>0</v>
      </c>
      <c r="Q465" s="32">
        <f ca="1">IF(LeadTime=0,P465,IF(AND(SUM(Q464:OFFSET(Q465,-LeadTime,0))=0,P465&gt;0),MAX(P465:OFFSET(P465,-LeadTime+1,0)),0))</f>
        <v>0</v>
      </c>
    </row>
    <row r="466" spans="1:17" x14ac:dyDescent="0.25">
      <c r="A466" s="135">
        <v>41117</v>
      </c>
      <c r="F466" s="32">
        <f t="shared" si="52"/>
        <v>0</v>
      </c>
      <c r="G466" s="30" t="str">
        <f t="shared" ca="1" si="53"/>
        <v>History</v>
      </c>
      <c r="H466" s="30">
        <f t="shared" si="54"/>
        <v>2012</v>
      </c>
      <c r="I466" s="30">
        <f t="shared" si="55"/>
        <v>7</v>
      </c>
      <c r="J466" s="30">
        <f t="shared" si="49"/>
        <v>30</v>
      </c>
      <c r="K466" s="30">
        <v>1</v>
      </c>
      <c r="L466" s="30">
        <f ca="1">SUM(K466:OFFSET(RngToDay,ROWS(Dates),10))</f>
        <v>35</v>
      </c>
      <c r="M466" s="32" t="str">
        <f ca="1">IF(B466="","",SUM(C466:OFFSET(C466,-SafetyStock!$B$4+1,0)))</f>
        <v/>
      </c>
      <c r="N466" s="32" t="e">
        <f t="shared" ca="1" si="50"/>
        <v>#DIV/0!</v>
      </c>
      <c r="O466" s="30">
        <f t="shared" si="56"/>
        <v>466</v>
      </c>
      <c r="P466" s="32">
        <f t="shared" ca="1" si="51"/>
        <v>0</v>
      </c>
      <c r="Q466" s="32">
        <f ca="1">IF(LeadTime=0,P466,IF(AND(SUM(Q465:OFFSET(Q466,-LeadTime,0))=0,P466&gt;0),MAX(P466:OFFSET(P466,-LeadTime+1,0)),0))</f>
        <v>0</v>
      </c>
    </row>
    <row r="467" spans="1:17" x14ac:dyDescent="0.25">
      <c r="A467" s="135">
        <v>41116</v>
      </c>
      <c r="F467" s="32">
        <f t="shared" si="52"/>
        <v>0</v>
      </c>
      <c r="G467" s="30" t="str">
        <f t="shared" ca="1" si="53"/>
        <v>History</v>
      </c>
      <c r="H467" s="30">
        <f t="shared" si="54"/>
        <v>2012</v>
      </c>
      <c r="I467" s="30">
        <f t="shared" si="55"/>
        <v>7</v>
      </c>
      <c r="J467" s="30">
        <f t="shared" si="49"/>
        <v>30</v>
      </c>
      <c r="K467" s="30">
        <v>1</v>
      </c>
      <c r="L467" s="30">
        <f ca="1">SUM(K467:OFFSET(RngToDay,ROWS(Dates),10))</f>
        <v>34</v>
      </c>
      <c r="M467" s="32" t="str">
        <f ca="1">IF(B467="","",SUM(C467:OFFSET(C467,-SafetyStock!$B$4+1,0)))</f>
        <v/>
      </c>
      <c r="N467" s="32" t="e">
        <f t="shared" ca="1" si="50"/>
        <v>#DIV/0!</v>
      </c>
      <c r="O467" s="30">
        <f t="shared" si="56"/>
        <v>467</v>
      </c>
      <c r="P467" s="32">
        <f t="shared" ca="1" si="51"/>
        <v>0</v>
      </c>
      <c r="Q467" s="32">
        <f ca="1">IF(LeadTime=0,P467,IF(AND(SUM(Q466:OFFSET(Q467,-LeadTime,0))=0,P467&gt;0),MAX(P467:OFFSET(P467,-LeadTime+1,0)),0))</f>
        <v>0</v>
      </c>
    </row>
    <row r="468" spans="1:17" x14ac:dyDescent="0.25">
      <c r="A468" s="135">
        <v>41115</v>
      </c>
      <c r="F468" s="32">
        <f t="shared" si="52"/>
        <v>0</v>
      </c>
      <c r="G468" s="30" t="str">
        <f t="shared" ca="1" si="53"/>
        <v>History</v>
      </c>
      <c r="H468" s="30">
        <f t="shared" si="54"/>
        <v>2012</v>
      </c>
      <c r="I468" s="30">
        <f t="shared" si="55"/>
        <v>7</v>
      </c>
      <c r="J468" s="30">
        <f t="shared" si="49"/>
        <v>30</v>
      </c>
      <c r="K468" s="30">
        <v>1</v>
      </c>
      <c r="L468" s="30">
        <f ca="1">SUM(K468:OFFSET(RngToDay,ROWS(Dates),10))</f>
        <v>33</v>
      </c>
      <c r="M468" s="32" t="str">
        <f ca="1">IF(B468="","",SUM(C468:OFFSET(C468,-SafetyStock!$B$4+1,0)))</f>
        <v/>
      </c>
      <c r="N468" s="32" t="e">
        <f t="shared" ca="1" si="50"/>
        <v>#DIV/0!</v>
      </c>
      <c r="O468" s="30">
        <f t="shared" si="56"/>
        <v>468</v>
      </c>
      <c r="P468" s="32">
        <f t="shared" ca="1" si="51"/>
        <v>0</v>
      </c>
      <c r="Q468" s="32">
        <f ca="1">IF(LeadTime=0,P468,IF(AND(SUM(Q467:OFFSET(Q468,-LeadTime,0))=0,P468&gt;0),MAX(P468:OFFSET(P468,-LeadTime+1,0)),0))</f>
        <v>0</v>
      </c>
    </row>
    <row r="469" spans="1:17" x14ac:dyDescent="0.25">
      <c r="A469" s="135">
        <v>41114</v>
      </c>
      <c r="F469" s="32">
        <f t="shared" si="52"/>
        <v>0</v>
      </c>
      <c r="G469" s="30" t="str">
        <f t="shared" ca="1" si="53"/>
        <v>History</v>
      </c>
      <c r="H469" s="30">
        <f t="shared" si="54"/>
        <v>2012</v>
      </c>
      <c r="I469" s="30">
        <f t="shared" si="55"/>
        <v>7</v>
      </c>
      <c r="J469" s="30">
        <f t="shared" si="49"/>
        <v>30</v>
      </c>
      <c r="K469" s="30">
        <v>1</v>
      </c>
      <c r="L469" s="30">
        <f ca="1">SUM(K469:OFFSET(RngToDay,ROWS(Dates),10))</f>
        <v>32</v>
      </c>
      <c r="M469" s="32" t="str">
        <f ca="1">IF(B469="","",SUM(C469:OFFSET(C469,-SafetyStock!$B$4+1,0)))</f>
        <v/>
      </c>
      <c r="N469" s="32" t="e">
        <f t="shared" ca="1" si="50"/>
        <v>#DIV/0!</v>
      </c>
      <c r="O469" s="30">
        <f t="shared" si="56"/>
        <v>469</v>
      </c>
      <c r="P469" s="32">
        <f t="shared" ca="1" si="51"/>
        <v>0</v>
      </c>
      <c r="Q469" s="32">
        <f ca="1">IF(LeadTime=0,P469,IF(AND(SUM(Q468:OFFSET(Q469,-LeadTime,0))=0,P469&gt;0),MAX(P469:OFFSET(P469,-LeadTime+1,0)),0))</f>
        <v>0</v>
      </c>
    </row>
    <row r="470" spans="1:17" x14ac:dyDescent="0.25">
      <c r="A470" s="135">
        <v>41113</v>
      </c>
      <c r="F470" s="32">
        <f t="shared" si="52"/>
        <v>0</v>
      </c>
      <c r="G470" s="30" t="str">
        <f t="shared" ca="1" si="53"/>
        <v>History</v>
      </c>
      <c r="H470" s="30">
        <f t="shared" si="54"/>
        <v>2012</v>
      </c>
      <c r="I470" s="30">
        <f t="shared" si="55"/>
        <v>7</v>
      </c>
      <c r="J470" s="30">
        <f t="shared" si="49"/>
        <v>30</v>
      </c>
      <c r="K470" s="30">
        <v>1</v>
      </c>
      <c r="L470" s="30">
        <f ca="1">SUM(K470:OFFSET(RngToDay,ROWS(Dates),10))</f>
        <v>31</v>
      </c>
      <c r="M470" s="32" t="str">
        <f ca="1">IF(B470="","",SUM(C470:OFFSET(C470,-SafetyStock!$B$4+1,0)))</f>
        <v/>
      </c>
      <c r="N470" s="32" t="e">
        <f t="shared" ca="1" si="50"/>
        <v>#DIV/0!</v>
      </c>
      <c r="O470" s="30">
        <f t="shared" si="56"/>
        <v>470</v>
      </c>
      <c r="P470" s="32">
        <f t="shared" ca="1" si="51"/>
        <v>0</v>
      </c>
      <c r="Q470" s="32">
        <f ca="1">IF(LeadTime=0,P470,IF(AND(SUM(Q469:OFFSET(Q470,-LeadTime,0))=0,P470&gt;0),MAX(P470:OFFSET(P470,-LeadTime+1,0)),0))</f>
        <v>0</v>
      </c>
    </row>
    <row r="471" spans="1:17" x14ac:dyDescent="0.25">
      <c r="A471" s="135">
        <v>41110</v>
      </c>
      <c r="F471" s="32">
        <f t="shared" si="52"/>
        <v>0</v>
      </c>
      <c r="G471" s="30" t="str">
        <f t="shared" ca="1" si="53"/>
        <v>History</v>
      </c>
      <c r="H471" s="30">
        <f t="shared" si="54"/>
        <v>2012</v>
      </c>
      <c r="I471" s="30">
        <f t="shared" si="55"/>
        <v>7</v>
      </c>
      <c r="J471" s="30">
        <f t="shared" si="49"/>
        <v>29</v>
      </c>
      <c r="K471" s="30">
        <v>1</v>
      </c>
      <c r="L471" s="30">
        <f ca="1">SUM(K471:OFFSET(RngToDay,ROWS(Dates),10))</f>
        <v>30</v>
      </c>
      <c r="M471" s="32" t="str">
        <f ca="1">IF(B471="","",SUM(C471:OFFSET(C471,-SafetyStock!$B$4+1,0)))</f>
        <v/>
      </c>
      <c r="N471" s="32" t="e">
        <f t="shared" ca="1" si="50"/>
        <v>#DIV/0!</v>
      </c>
      <c r="O471" s="30">
        <f t="shared" si="56"/>
        <v>471</v>
      </c>
      <c r="P471" s="32">
        <f t="shared" ca="1" si="51"/>
        <v>0</v>
      </c>
      <c r="Q471" s="32">
        <f ca="1">IF(LeadTime=0,P471,IF(AND(SUM(Q470:OFFSET(Q471,-LeadTime,0))=0,P471&gt;0),MAX(P471:OFFSET(P471,-LeadTime+1,0)),0))</f>
        <v>0</v>
      </c>
    </row>
    <row r="472" spans="1:17" x14ac:dyDescent="0.25">
      <c r="A472" s="135">
        <v>41109</v>
      </c>
      <c r="F472" s="32">
        <f t="shared" si="52"/>
        <v>0</v>
      </c>
      <c r="G472" s="30" t="str">
        <f t="shared" ca="1" si="53"/>
        <v>History</v>
      </c>
      <c r="H472" s="30">
        <f t="shared" si="54"/>
        <v>2012</v>
      </c>
      <c r="I472" s="30">
        <f t="shared" si="55"/>
        <v>7</v>
      </c>
      <c r="J472" s="30">
        <f t="shared" si="49"/>
        <v>29</v>
      </c>
      <c r="K472" s="30">
        <v>1</v>
      </c>
      <c r="L472" s="30">
        <f ca="1">SUM(K472:OFFSET(RngToDay,ROWS(Dates),10))</f>
        <v>29</v>
      </c>
      <c r="M472" s="32" t="str">
        <f ca="1">IF(B472="","",SUM(C472:OFFSET(C472,-SafetyStock!$B$4+1,0)))</f>
        <v/>
      </c>
      <c r="N472" s="32" t="e">
        <f t="shared" ca="1" si="50"/>
        <v>#DIV/0!</v>
      </c>
      <c r="O472" s="30">
        <f t="shared" si="56"/>
        <v>472</v>
      </c>
      <c r="P472" s="32">
        <f t="shared" ca="1" si="51"/>
        <v>0</v>
      </c>
      <c r="Q472" s="32">
        <f ca="1">IF(LeadTime=0,P472,IF(AND(SUM(Q471:OFFSET(Q472,-LeadTime,0))=0,P472&gt;0),MAX(P472:OFFSET(P472,-LeadTime+1,0)),0))</f>
        <v>0</v>
      </c>
    </row>
    <row r="473" spans="1:17" x14ac:dyDescent="0.25">
      <c r="A473" s="135">
        <v>41108</v>
      </c>
      <c r="F473" s="32">
        <f t="shared" si="52"/>
        <v>0</v>
      </c>
      <c r="G473" s="30" t="str">
        <f t="shared" ca="1" si="53"/>
        <v>History</v>
      </c>
      <c r="H473" s="30">
        <f t="shared" si="54"/>
        <v>2012</v>
      </c>
      <c r="I473" s="30">
        <f t="shared" si="55"/>
        <v>7</v>
      </c>
      <c r="J473" s="30">
        <f t="shared" si="49"/>
        <v>29</v>
      </c>
      <c r="K473" s="30">
        <v>1</v>
      </c>
      <c r="L473" s="30">
        <f ca="1">SUM(K473:OFFSET(RngToDay,ROWS(Dates),10))</f>
        <v>28</v>
      </c>
      <c r="M473" s="32" t="str">
        <f ca="1">IF(B473="","",SUM(C473:OFFSET(C473,-SafetyStock!$B$4+1,0)))</f>
        <v/>
      </c>
      <c r="N473" s="32" t="e">
        <f t="shared" ca="1" si="50"/>
        <v>#DIV/0!</v>
      </c>
      <c r="O473" s="30">
        <f t="shared" si="56"/>
        <v>473</v>
      </c>
      <c r="P473" s="32">
        <f t="shared" ca="1" si="51"/>
        <v>0</v>
      </c>
      <c r="Q473" s="32">
        <f ca="1">IF(LeadTime=0,P473,IF(AND(SUM(Q472:OFFSET(Q473,-LeadTime,0))=0,P473&gt;0),MAX(P473:OFFSET(P473,-LeadTime+1,0)),0))</f>
        <v>0</v>
      </c>
    </row>
    <row r="474" spans="1:17" x14ac:dyDescent="0.25">
      <c r="A474" s="135">
        <v>41107</v>
      </c>
      <c r="F474" s="32">
        <f t="shared" si="52"/>
        <v>0</v>
      </c>
      <c r="G474" s="30" t="str">
        <f t="shared" ca="1" si="53"/>
        <v>History</v>
      </c>
      <c r="H474" s="30">
        <f t="shared" si="54"/>
        <v>2012</v>
      </c>
      <c r="I474" s="30">
        <f t="shared" si="55"/>
        <v>7</v>
      </c>
      <c r="J474" s="30">
        <f t="shared" si="49"/>
        <v>29</v>
      </c>
      <c r="K474" s="30">
        <v>1</v>
      </c>
      <c r="L474" s="30">
        <f ca="1">SUM(K474:OFFSET(RngToDay,ROWS(Dates),10))</f>
        <v>27</v>
      </c>
      <c r="M474" s="32" t="str">
        <f ca="1">IF(B474="","",SUM(C474:OFFSET(C474,-SafetyStock!$B$4+1,0)))</f>
        <v/>
      </c>
      <c r="N474" s="32" t="e">
        <f t="shared" ca="1" si="50"/>
        <v>#DIV/0!</v>
      </c>
      <c r="O474" s="30">
        <f t="shared" si="56"/>
        <v>474</v>
      </c>
      <c r="P474" s="32">
        <f t="shared" ca="1" si="51"/>
        <v>0</v>
      </c>
      <c r="Q474" s="32">
        <f ca="1">IF(LeadTime=0,P474,IF(AND(SUM(Q473:OFFSET(Q474,-LeadTime,0))=0,P474&gt;0),MAX(P474:OFFSET(P474,-LeadTime+1,0)),0))</f>
        <v>0</v>
      </c>
    </row>
    <row r="475" spans="1:17" x14ac:dyDescent="0.25">
      <c r="A475" s="135">
        <v>41106</v>
      </c>
      <c r="F475" s="32">
        <f t="shared" si="52"/>
        <v>0</v>
      </c>
      <c r="G475" s="30" t="str">
        <f t="shared" ca="1" si="53"/>
        <v>History</v>
      </c>
      <c r="H475" s="30">
        <f t="shared" si="54"/>
        <v>2012</v>
      </c>
      <c r="I475" s="30">
        <f t="shared" si="55"/>
        <v>7</v>
      </c>
      <c r="J475" s="30">
        <f t="shared" si="49"/>
        <v>29</v>
      </c>
      <c r="K475" s="30">
        <v>1</v>
      </c>
      <c r="L475" s="30">
        <f ca="1">SUM(K475:OFFSET(RngToDay,ROWS(Dates),10))</f>
        <v>26</v>
      </c>
      <c r="M475" s="32" t="str">
        <f ca="1">IF(B475="","",SUM(C475:OFFSET(C475,-SafetyStock!$B$4+1,0)))</f>
        <v/>
      </c>
      <c r="N475" s="32" t="e">
        <f t="shared" ca="1" si="50"/>
        <v>#DIV/0!</v>
      </c>
      <c r="O475" s="30">
        <f t="shared" si="56"/>
        <v>475</v>
      </c>
      <c r="P475" s="32">
        <f t="shared" ca="1" si="51"/>
        <v>0</v>
      </c>
      <c r="Q475" s="32">
        <f ca="1">IF(LeadTime=0,P475,IF(AND(SUM(Q474:OFFSET(Q475,-LeadTime,0))=0,P475&gt;0),MAX(P475:OFFSET(P475,-LeadTime+1,0)),0))</f>
        <v>0</v>
      </c>
    </row>
    <row r="476" spans="1:17" x14ac:dyDescent="0.25">
      <c r="A476" s="135">
        <v>41103</v>
      </c>
      <c r="F476" s="32">
        <f t="shared" si="52"/>
        <v>0</v>
      </c>
      <c r="G476" s="30" t="str">
        <f t="shared" ca="1" si="53"/>
        <v>History</v>
      </c>
      <c r="H476" s="30">
        <f t="shared" si="54"/>
        <v>2012</v>
      </c>
      <c r="I476" s="30">
        <f t="shared" si="55"/>
        <v>7</v>
      </c>
      <c r="J476" s="30">
        <f t="shared" si="49"/>
        <v>28</v>
      </c>
      <c r="K476" s="30">
        <v>1</v>
      </c>
      <c r="L476" s="30">
        <f ca="1">SUM(K476:OFFSET(RngToDay,ROWS(Dates),10))</f>
        <v>25</v>
      </c>
      <c r="M476" s="32" t="str">
        <f ca="1">IF(B476="","",SUM(C476:OFFSET(C476,-SafetyStock!$B$4+1,0)))</f>
        <v/>
      </c>
      <c r="N476" s="32" t="e">
        <f t="shared" ca="1" si="50"/>
        <v>#DIV/0!</v>
      </c>
      <c r="O476" s="30">
        <f t="shared" si="56"/>
        <v>476</v>
      </c>
      <c r="P476" s="32">
        <f t="shared" ca="1" si="51"/>
        <v>0</v>
      </c>
      <c r="Q476" s="32">
        <f ca="1">IF(LeadTime=0,P476,IF(AND(SUM(Q475:OFFSET(Q476,-LeadTime,0))=0,P476&gt;0),MAX(P476:OFFSET(P476,-LeadTime+1,0)),0))</f>
        <v>0</v>
      </c>
    </row>
    <row r="477" spans="1:17" x14ac:dyDescent="0.25">
      <c r="A477" s="135">
        <v>41102</v>
      </c>
      <c r="F477" s="32">
        <f t="shared" si="52"/>
        <v>0</v>
      </c>
      <c r="G477" s="30" t="str">
        <f t="shared" ca="1" si="53"/>
        <v>History</v>
      </c>
      <c r="H477" s="30">
        <f t="shared" si="54"/>
        <v>2012</v>
      </c>
      <c r="I477" s="30">
        <f t="shared" si="55"/>
        <v>7</v>
      </c>
      <c r="J477" s="30">
        <f t="shared" si="49"/>
        <v>28</v>
      </c>
      <c r="K477" s="30">
        <v>1</v>
      </c>
      <c r="L477" s="30">
        <f ca="1">SUM(K477:OFFSET(RngToDay,ROWS(Dates),10))</f>
        <v>24</v>
      </c>
      <c r="M477" s="32" t="str">
        <f ca="1">IF(B477="","",SUM(C477:OFFSET(C477,-SafetyStock!$B$4+1,0)))</f>
        <v/>
      </c>
      <c r="N477" s="32" t="e">
        <f t="shared" ca="1" si="50"/>
        <v>#DIV/0!</v>
      </c>
      <c r="O477" s="30">
        <f t="shared" si="56"/>
        <v>477</v>
      </c>
      <c r="P477" s="32">
        <f t="shared" ca="1" si="51"/>
        <v>0</v>
      </c>
      <c r="Q477" s="32">
        <f ca="1">IF(LeadTime=0,P477,IF(AND(SUM(Q476:OFFSET(Q477,-LeadTime,0))=0,P477&gt;0),MAX(P477:OFFSET(P477,-LeadTime+1,0)),0))</f>
        <v>0</v>
      </c>
    </row>
    <row r="478" spans="1:17" x14ac:dyDescent="0.25">
      <c r="A478" s="135">
        <v>41101</v>
      </c>
      <c r="F478" s="32">
        <f t="shared" si="52"/>
        <v>0</v>
      </c>
      <c r="G478" s="30" t="str">
        <f t="shared" ca="1" si="53"/>
        <v>History</v>
      </c>
      <c r="H478" s="30">
        <f t="shared" si="54"/>
        <v>2012</v>
      </c>
      <c r="I478" s="30">
        <f t="shared" si="55"/>
        <v>7</v>
      </c>
      <c r="J478" s="30">
        <f t="shared" si="49"/>
        <v>28</v>
      </c>
      <c r="K478" s="30">
        <v>1</v>
      </c>
      <c r="L478" s="30">
        <f ca="1">SUM(K478:OFFSET(RngToDay,ROWS(Dates),10))</f>
        <v>23</v>
      </c>
      <c r="M478" s="32" t="str">
        <f ca="1">IF(B478="","",SUM(C478:OFFSET(C478,-SafetyStock!$B$4+1,0)))</f>
        <v/>
      </c>
      <c r="N478" s="32" t="e">
        <f t="shared" ca="1" si="50"/>
        <v>#DIV/0!</v>
      </c>
      <c r="O478" s="30">
        <f t="shared" si="56"/>
        <v>478</v>
      </c>
      <c r="P478" s="32">
        <f t="shared" ca="1" si="51"/>
        <v>0</v>
      </c>
      <c r="Q478" s="32">
        <f ca="1">IF(LeadTime=0,P478,IF(AND(SUM(Q477:OFFSET(Q478,-LeadTime,0))=0,P478&gt;0),MAX(P478:OFFSET(P478,-LeadTime+1,0)),0))</f>
        <v>0</v>
      </c>
    </row>
    <row r="479" spans="1:17" x14ac:dyDescent="0.25">
      <c r="A479" s="135">
        <v>41100</v>
      </c>
      <c r="F479" s="32">
        <f t="shared" si="52"/>
        <v>0</v>
      </c>
      <c r="G479" s="30" t="str">
        <f t="shared" ca="1" si="53"/>
        <v>History</v>
      </c>
      <c r="H479" s="30">
        <f t="shared" si="54"/>
        <v>2012</v>
      </c>
      <c r="I479" s="30">
        <f t="shared" si="55"/>
        <v>7</v>
      </c>
      <c r="J479" s="30">
        <f t="shared" si="49"/>
        <v>28</v>
      </c>
      <c r="K479" s="30">
        <v>1</v>
      </c>
      <c r="L479" s="30">
        <f ca="1">SUM(K479:OFFSET(RngToDay,ROWS(Dates),10))</f>
        <v>22</v>
      </c>
      <c r="M479" s="32" t="str">
        <f ca="1">IF(B479="","",SUM(C479:OFFSET(C479,-SafetyStock!$B$4+1,0)))</f>
        <v/>
      </c>
      <c r="N479" s="32" t="e">
        <f t="shared" ca="1" si="50"/>
        <v>#DIV/0!</v>
      </c>
      <c r="O479" s="30">
        <f t="shared" si="56"/>
        <v>479</v>
      </c>
      <c r="P479" s="32">
        <f t="shared" ca="1" si="51"/>
        <v>0</v>
      </c>
      <c r="Q479" s="32">
        <f ca="1">IF(LeadTime=0,P479,IF(AND(SUM(Q478:OFFSET(Q479,-LeadTime,0))=0,P479&gt;0),MAX(P479:OFFSET(P479,-LeadTime+1,0)),0))</f>
        <v>0</v>
      </c>
    </row>
    <row r="480" spans="1:17" x14ac:dyDescent="0.25">
      <c r="A480" s="135">
        <v>41099</v>
      </c>
      <c r="F480" s="32">
        <f t="shared" si="52"/>
        <v>0</v>
      </c>
      <c r="G480" s="30" t="str">
        <f t="shared" ca="1" si="53"/>
        <v>History</v>
      </c>
      <c r="H480" s="30">
        <f t="shared" si="54"/>
        <v>2012</v>
      </c>
      <c r="I480" s="30">
        <f t="shared" si="55"/>
        <v>7</v>
      </c>
      <c r="J480" s="30">
        <f t="shared" si="49"/>
        <v>28</v>
      </c>
      <c r="K480" s="30">
        <v>1</v>
      </c>
      <c r="L480" s="30">
        <f ca="1">SUM(K480:OFFSET(RngToDay,ROWS(Dates),10))</f>
        <v>21</v>
      </c>
      <c r="M480" s="32" t="str">
        <f ca="1">IF(B480="","",SUM(C480:OFFSET(C480,-SafetyStock!$B$4+1,0)))</f>
        <v/>
      </c>
      <c r="N480" s="32" t="e">
        <f t="shared" ca="1" si="50"/>
        <v>#DIV/0!</v>
      </c>
      <c r="O480" s="30">
        <f t="shared" si="56"/>
        <v>480</v>
      </c>
      <c r="P480" s="32">
        <f t="shared" ca="1" si="51"/>
        <v>0</v>
      </c>
      <c r="Q480" s="32">
        <f ca="1">IF(LeadTime=0,P480,IF(AND(SUM(Q479:OFFSET(Q480,-LeadTime,0))=0,P480&gt;0),MAX(P480:OFFSET(P480,-LeadTime+1,0)),0))</f>
        <v>0</v>
      </c>
    </row>
    <row r="481" spans="1:17" x14ac:dyDescent="0.25">
      <c r="A481" s="135">
        <v>41096</v>
      </c>
      <c r="F481" s="32">
        <f t="shared" si="52"/>
        <v>0</v>
      </c>
      <c r="G481" s="30" t="str">
        <f t="shared" ca="1" si="53"/>
        <v>History</v>
      </c>
      <c r="H481" s="30">
        <f t="shared" si="54"/>
        <v>2012</v>
      </c>
      <c r="I481" s="30">
        <f t="shared" si="55"/>
        <v>7</v>
      </c>
      <c r="J481" s="30">
        <f t="shared" si="49"/>
        <v>27</v>
      </c>
      <c r="K481" s="30">
        <v>1</v>
      </c>
      <c r="L481" s="30">
        <f ca="1">SUM(K481:OFFSET(RngToDay,ROWS(Dates),10))</f>
        <v>20</v>
      </c>
      <c r="M481" s="32" t="str">
        <f ca="1">IF(B481="","",SUM(C481:OFFSET(C481,-SafetyStock!$B$4+1,0)))</f>
        <v/>
      </c>
      <c r="N481" s="32" t="e">
        <f t="shared" ca="1" si="50"/>
        <v>#DIV/0!</v>
      </c>
      <c r="O481" s="30">
        <f t="shared" si="56"/>
        <v>481</v>
      </c>
      <c r="P481" s="32">
        <f t="shared" ca="1" si="51"/>
        <v>0</v>
      </c>
      <c r="Q481" s="32">
        <f ca="1">IF(LeadTime=0,P481,IF(AND(SUM(Q480:OFFSET(Q481,-LeadTime,0))=0,P481&gt;0),MAX(P481:OFFSET(P481,-LeadTime+1,0)),0))</f>
        <v>0</v>
      </c>
    </row>
    <row r="482" spans="1:17" x14ac:dyDescent="0.25">
      <c r="A482" s="135">
        <v>41095</v>
      </c>
      <c r="F482" s="32">
        <f t="shared" si="52"/>
        <v>0</v>
      </c>
      <c r="G482" s="30" t="str">
        <f t="shared" ca="1" si="53"/>
        <v>History</v>
      </c>
      <c r="H482" s="30">
        <f t="shared" si="54"/>
        <v>2012</v>
      </c>
      <c r="I482" s="30">
        <f t="shared" si="55"/>
        <v>7</v>
      </c>
      <c r="J482" s="30">
        <f t="shared" si="49"/>
        <v>27</v>
      </c>
      <c r="K482" s="30">
        <v>1</v>
      </c>
      <c r="L482" s="30">
        <f ca="1">SUM(K482:OFFSET(RngToDay,ROWS(Dates),10))</f>
        <v>19</v>
      </c>
      <c r="M482" s="32" t="str">
        <f ca="1">IF(B482="","",SUM(C482:OFFSET(C482,-SafetyStock!$B$4+1,0)))</f>
        <v/>
      </c>
      <c r="N482" s="32" t="e">
        <f t="shared" ca="1" si="50"/>
        <v>#DIV/0!</v>
      </c>
      <c r="O482" s="30">
        <f t="shared" si="56"/>
        <v>482</v>
      </c>
      <c r="P482" s="32">
        <f t="shared" ca="1" si="51"/>
        <v>0</v>
      </c>
      <c r="Q482" s="32">
        <f ca="1">IF(LeadTime=0,P482,IF(AND(SUM(Q481:OFFSET(Q482,-LeadTime,0))=0,P482&gt;0),MAX(P482:OFFSET(P482,-LeadTime+1,0)),0))</f>
        <v>0</v>
      </c>
    </row>
    <row r="483" spans="1:17" x14ac:dyDescent="0.25">
      <c r="A483" s="135">
        <v>41094</v>
      </c>
      <c r="F483" s="32">
        <f t="shared" si="52"/>
        <v>0</v>
      </c>
      <c r="G483" s="30" t="str">
        <f t="shared" ca="1" si="53"/>
        <v>History</v>
      </c>
      <c r="H483" s="30">
        <f t="shared" si="54"/>
        <v>2012</v>
      </c>
      <c r="I483" s="30">
        <f t="shared" si="55"/>
        <v>7</v>
      </c>
      <c r="J483" s="30">
        <f t="shared" si="49"/>
        <v>27</v>
      </c>
      <c r="K483" s="30">
        <v>1</v>
      </c>
      <c r="L483" s="30">
        <f ca="1">SUM(K483:OFFSET(RngToDay,ROWS(Dates),10))</f>
        <v>18</v>
      </c>
      <c r="M483" s="32" t="str">
        <f ca="1">IF(B483="","",SUM(C483:OFFSET(C483,-SafetyStock!$B$4+1,0)))</f>
        <v/>
      </c>
      <c r="N483" s="32" t="e">
        <f t="shared" ca="1" si="50"/>
        <v>#DIV/0!</v>
      </c>
      <c r="O483" s="30">
        <f t="shared" si="56"/>
        <v>483</v>
      </c>
      <c r="P483" s="32">
        <f t="shared" ca="1" si="51"/>
        <v>0</v>
      </c>
      <c r="Q483" s="32">
        <f ca="1">IF(LeadTime=0,P483,IF(AND(SUM(Q482:OFFSET(Q483,-LeadTime,0))=0,P483&gt;0),MAX(P483:OFFSET(P483,-LeadTime+1,0)),0))</f>
        <v>0</v>
      </c>
    </row>
    <row r="484" spans="1:17" x14ac:dyDescent="0.25">
      <c r="A484" s="135">
        <v>41093</v>
      </c>
      <c r="F484" s="32">
        <f t="shared" si="52"/>
        <v>0</v>
      </c>
      <c r="G484" s="30" t="str">
        <f t="shared" ca="1" si="53"/>
        <v>History</v>
      </c>
      <c r="H484" s="30">
        <f t="shared" si="54"/>
        <v>2012</v>
      </c>
      <c r="I484" s="30">
        <f t="shared" si="55"/>
        <v>7</v>
      </c>
      <c r="J484" s="30">
        <f t="shared" si="49"/>
        <v>27</v>
      </c>
      <c r="K484" s="30">
        <v>1</v>
      </c>
      <c r="L484" s="30">
        <f ca="1">SUM(K484:OFFSET(RngToDay,ROWS(Dates),10))</f>
        <v>17</v>
      </c>
      <c r="M484" s="32" t="str">
        <f ca="1">IF(B484="","",SUM(C484:OFFSET(C484,-SafetyStock!$B$4+1,0)))</f>
        <v/>
      </c>
      <c r="N484" s="32" t="e">
        <f t="shared" ca="1" si="50"/>
        <v>#DIV/0!</v>
      </c>
      <c r="O484" s="30">
        <f t="shared" si="56"/>
        <v>484</v>
      </c>
      <c r="P484" s="32">
        <f t="shared" ca="1" si="51"/>
        <v>0</v>
      </c>
      <c r="Q484" s="32">
        <f ca="1">IF(LeadTime=0,P484,IF(AND(SUM(Q483:OFFSET(Q484,-LeadTime,0))=0,P484&gt;0),MAX(P484:OFFSET(P484,-LeadTime+1,0)),0))</f>
        <v>0</v>
      </c>
    </row>
    <row r="485" spans="1:17" x14ac:dyDescent="0.25">
      <c r="A485" s="135">
        <v>41092</v>
      </c>
      <c r="F485" s="32">
        <f t="shared" si="52"/>
        <v>0</v>
      </c>
      <c r="G485" s="30" t="str">
        <f t="shared" ca="1" si="53"/>
        <v>History</v>
      </c>
      <c r="H485" s="30">
        <f t="shared" si="54"/>
        <v>2012</v>
      </c>
      <c r="I485" s="30">
        <f t="shared" si="55"/>
        <v>7</v>
      </c>
      <c r="J485" s="30">
        <f t="shared" si="49"/>
        <v>27</v>
      </c>
      <c r="K485" s="30">
        <v>1</v>
      </c>
      <c r="L485" s="30">
        <f ca="1">SUM(K485:OFFSET(RngToDay,ROWS(Dates),10))</f>
        <v>16</v>
      </c>
      <c r="M485" s="32" t="str">
        <f ca="1">IF(B485="","",SUM(C485:OFFSET(C485,-SafetyStock!$B$4+1,0)))</f>
        <v/>
      </c>
      <c r="N485" s="32" t="e">
        <f t="shared" ca="1" si="50"/>
        <v>#DIV/0!</v>
      </c>
      <c r="O485" s="30">
        <f t="shared" si="56"/>
        <v>485</v>
      </c>
      <c r="P485" s="32">
        <f t="shared" ca="1" si="51"/>
        <v>0</v>
      </c>
      <c r="Q485" s="32">
        <f ca="1">IF(LeadTime=0,P485,IF(AND(SUM(Q484:OFFSET(Q485,-LeadTime,0))=0,P485&gt;0),MAX(P485:OFFSET(P485,-LeadTime+1,0)),0))</f>
        <v>0</v>
      </c>
    </row>
    <row r="486" spans="1:17" x14ac:dyDescent="0.25">
      <c r="A486" s="135">
        <v>41089</v>
      </c>
      <c r="F486" s="32">
        <f t="shared" si="52"/>
        <v>0</v>
      </c>
      <c r="G486" s="30" t="str">
        <f t="shared" ca="1" si="53"/>
        <v>History</v>
      </c>
      <c r="H486" s="30">
        <f t="shared" si="54"/>
        <v>2012</v>
      </c>
      <c r="I486" s="30">
        <f t="shared" si="55"/>
        <v>6</v>
      </c>
      <c r="J486" s="30">
        <f t="shared" si="49"/>
        <v>26</v>
      </c>
      <c r="K486" s="30">
        <v>1</v>
      </c>
      <c r="L486" s="30">
        <f ca="1">SUM(K486:OFFSET(RngToDay,ROWS(Dates),10))</f>
        <v>15</v>
      </c>
      <c r="M486" s="32" t="str">
        <f ca="1">IF(B486="","",SUM(C486:OFFSET(C486,-SafetyStock!$B$4+1,0)))</f>
        <v/>
      </c>
      <c r="N486" s="32" t="e">
        <f t="shared" ca="1" si="50"/>
        <v>#DIV/0!</v>
      </c>
      <c r="O486" s="30">
        <f t="shared" si="56"/>
        <v>486</v>
      </c>
      <c r="P486" s="32">
        <f t="shared" ca="1" si="51"/>
        <v>0</v>
      </c>
      <c r="Q486" s="32">
        <f ca="1">IF(LeadTime=0,P486,IF(AND(SUM(Q485:OFFSET(Q486,-LeadTime,0))=0,P486&gt;0),MAX(P486:OFFSET(P486,-LeadTime+1,0)),0))</f>
        <v>0</v>
      </c>
    </row>
    <row r="487" spans="1:17" x14ac:dyDescent="0.25">
      <c r="A487" s="135">
        <v>41088</v>
      </c>
      <c r="F487" s="32">
        <f t="shared" si="52"/>
        <v>0</v>
      </c>
      <c r="G487" s="30" t="str">
        <f t="shared" ca="1" si="53"/>
        <v>History</v>
      </c>
      <c r="H487" s="30">
        <f t="shared" si="54"/>
        <v>2012</v>
      </c>
      <c r="I487" s="30">
        <f t="shared" si="55"/>
        <v>6</v>
      </c>
      <c r="J487" s="30">
        <f t="shared" si="49"/>
        <v>26</v>
      </c>
      <c r="K487" s="30">
        <v>1</v>
      </c>
      <c r="L487" s="30">
        <f ca="1">SUM(K487:OFFSET(RngToDay,ROWS(Dates),10))</f>
        <v>14</v>
      </c>
      <c r="M487" s="32" t="str">
        <f ca="1">IF(B487="","",SUM(C487:OFFSET(C487,-SafetyStock!$B$4+1,0)))</f>
        <v/>
      </c>
      <c r="N487" s="32" t="e">
        <f t="shared" ca="1" si="50"/>
        <v>#DIV/0!</v>
      </c>
      <c r="O487" s="30">
        <f t="shared" si="56"/>
        <v>487</v>
      </c>
      <c r="P487" s="32">
        <f t="shared" ca="1" si="51"/>
        <v>0</v>
      </c>
      <c r="Q487" s="32">
        <f ca="1">IF(LeadTime=0,P487,IF(AND(SUM(Q486:OFFSET(Q487,-LeadTime,0))=0,P487&gt;0),MAX(P487:OFFSET(P487,-LeadTime+1,0)),0))</f>
        <v>0</v>
      </c>
    </row>
    <row r="488" spans="1:17" x14ac:dyDescent="0.25">
      <c r="A488" s="135">
        <v>41087</v>
      </c>
      <c r="F488" s="32">
        <f t="shared" si="52"/>
        <v>0</v>
      </c>
      <c r="G488" s="30" t="str">
        <f t="shared" ca="1" si="53"/>
        <v>History</v>
      </c>
      <c r="H488" s="30">
        <f t="shared" si="54"/>
        <v>2012</v>
      </c>
      <c r="I488" s="30">
        <f t="shared" si="55"/>
        <v>6</v>
      </c>
      <c r="J488" s="30">
        <f t="shared" si="49"/>
        <v>26</v>
      </c>
      <c r="K488" s="30">
        <v>1</v>
      </c>
      <c r="L488" s="30">
        <f ca="1">SUM(K488:OFFSET(RngToDay,ROWS(Dates),10))</f>
        <v>13</v>
      </c>
      <c r="M488" s="32" t="str">
        <f ca="1">IF(B488="","",SUM(C488:OFFSET(C488,-SafetyStock!$B$4+1,0)))</f>
        <v/>
      </c>
      <c r="N488" s="32" t="e">
        <f t="shared" ca="1" si="50"/>
        <v>#DIV/0!</v>
      </c>
      <c r="O488" s="30">
        <f t="shared" si="56"/>
        <v>488</v>
      </c>
      <c r="P488" s="32">
        <f t="shared" ca="1" si="51"/>
        <v>0</v>
      </c>
      <c r="Q488" s="32">
        <f ca="1">IF(LeadTime=0,P488,IF(AND(SUM(Q487:OFFSET(Q488,-LeadTime,0))=0,P488&gt;0),MAX(P488:OFFSET(P488,-LeadTime+1,0)),0))</f>
        <v>0</v>
      </c>
    </row>
    <row r="489" spans="1:17" x14ac:dyDescent="0.25">
      <c r="A489" s="135">
        <v>41086</v>
      </c>
      <c r="F489" s="32">
        <f t="shared" si="52"/>
        <v>0</v>
      </c>
      <c r="G489" s="30" t="str">
        <f t="shared" ca="1" si="53"/>
        <v>History</v>
      </c>
      <c r="H489" s="30">
        <f t="shared" si="54"/>
        <v>2012</v>
      </c>
      <c r="I489" s="30">
        <f t="shared" si="55"/>
        <v>6</v>
      </c>
      <c r="J489" s="30">
        <f t="shared" si="49"/>
        <v>26</v>
      </c>
      <c r="K489" s="30">
        <v>1</v>
      </c>
      <c r="L489" s="30">
        <f ca="1">SUM(K489:OFFSET(RngToDay,ROWS(Dates),10))</f>
        <v>12</v>
      </c>
      <c r="M489" s="32" t="str">
        <f ca="1">IF(B489="","",SUM(C489:OFFSET(C489,-SafetyStock!$B$4+1,0)))</f>
        <v/>
      </c>
      <c r="N489" s="32" t="e">
        <f t="shared" ca="1" si="50"/>
        <v>#DIV/0!</v>
      </c>
      <c r="O489" s="30">
        <f t="shared" si="56"/>
        <v>489</v>
      </c>
      <c r="P489" s="32">
        <f t="shared" ca="1" si="51"/>
        <v>0</v>
      </c>
      <c r="Q489" s="32">
        <f ca="1">IF(LeadTime=0,P489,IF(AND(SUM(Q488:OFFSET(Q489,-LeadTime,0))=0,P489&gt;0),MAX(P489:OFFSET(P489,-LeadTime+1,0)),0))</f>
        <v>0</v>
      </c>
    </row>
    <row r="490" spans="1:17" x14ac:dyDescent="0.25">
      <c r="A490" s="135">
        <v>41085</v>
      </c>
      <c r="F490" s="32">
        <f t="shared" si="52"/>
        <v>0</v>
      </c>
      <c r="G490" s="30" t="str">
        <f t="shared" ca="1" si="53"/>
        <v>History</v>
      </c>
      <c r="H490" s="30">
        <f t="shared" si="54"/>
        <v>2012</v>
      </c>
      <c r="I490" s="30">
        <f t="shared" si="55"/>
        <v>6</v>
      </c>
      <c r="J490" s="30">
        <f t="shared" si="49"/>
        <v>26</v>
      </c>
      <c r="K490" s="30">
        <v>1</v>
      </c>
      <c r="L490" s="30">
        <f ca="1">SUM(K490:OFFSET(RngToDay,ROWS(Dates),10))</f>
        <v>11</v>
      </c>
      <c r="M490" s="32" t="str">
        <f ca="1">IF(B490="","",SUM(C490:OFFSET(C490,-SafetyStock!$B$4+1,0)))</f>
        <v/>
      </c>
      <c r="N490" s="32" t="e">
        <f t="shared" ca="1" si="50"/>
        <v>#DIV/0!</v>
      </c>
      <c r="O490" s="30">
        <f t="shared" si="56"/>
        <v>490</v>
      </c>
      <c r="P490" s="32">
        <f t="shared" ca="1" si="51"/>
        <v>0</v>
      </c>
      <c r="Q490" s="32">
        <f ca="1">IF(LeadTime=0,P490,IF(AND(SUM(Q489:OFFSET(Q490,-LeadTime,0))=0,P490&gt;0),MAX(P490:OFFSET(P490,-LeadTime+1,0)),0))</f>
        <v>0</v>
      </c>
    </row>
    <row r="491" spans="1:17" x14ac:dyDescent="0.25">
      <c r="A491" s="135">
        <v>41082</v>
      </c>
      <c r="F491" s="32">
        <f t="shared" si="52"/>
        <v>0</v>
      </c>
      <c r="G491" s="30" t="str">
        <f t="shared" ca="1" si="53"/>
        <v>History</v>
      </c>
      <c r="H491" s="30">
        <f t="shared" si="54"/>
        <v>2012</v>
      </c>
      <c r="I491" s="30">
        <f t="shared" si="55"/>
        <v>6</v>
      </c>
      <c r="J491" s="30">
        <f t="shared" si="49"/>
        <v>25</v>
      </c>
      <c r="K491" s="30">
        <v>1</v>
      </c>
      <c r="L491" s="30">
        <f ca="1">SUM(K491:OFFSET(RngToDay,ROWS(Dates),10))</f>
        <v>10</v>
      </c>
      <c r="M491" s="32" t="str">
        <f ca="1">IF(B491="","",SUM(C491:OFFSET(C491,-SafetyStock!$B$4+1,0)))</f>
        <v/>
      </c>
      <c r="N491" s="32" t="e">
        <f t="shared" ca="1" si="50"/>
        <v>#DIV/0!</v>
      </c>
      <c r="O491" s="30">
        <f t="shared" si="56"/>
        <v>491</v>
      </c>
      <c r="P491" s="32">
        <f t="shared" ca="1" si="51"/>
        <v>0</v>
      </c>
      <c r="Q491" s="32">
        <f ca="1">IF(LeadTime=0,P491,IF(AND(SUM(Q490:OFFSET(Q491,-LeadTime,0))=0,P491&gt;0),MAX(P491:OFFSET(P491,-LeadTime+1,0)),0))</f>
        <v>0</v>
      </c>
    </row>
    <row r="492" spans="1:17" x14ac:dyDescent="0.25">
      <c r="A492" s="135">
        <v>41081</v>
      </c>
      <c r="F492" s="32">
        <f t="shared" si="52"/>
        <v>0</v>
      </c>
      <c r="G492" s="30" t="str">
        <f t="shared" ca="1" si="53"/>
        <v>History</v>
      </c>
      <c r="H492" s="30">
        <f t="shared" si="54"/>
        <v>2012</v>
      </c>
      <c r="I492" s="30">
        <f t="shared" si="55"/>
        <v>6</v>
      </c>
      <c r="J492" s="30">
        <f t="shared" si="49"/>
        <v>25</v>
      </c>
      <c r="K492" s="30">
        <v>1</v>
      </c>
      <c r="L492" s="30">
        <f ca="1">SUM(K492:OFFSET(RngToDay,ROWS(Dates),10))</f>
        <v>9</v>
      </c>
      <c r="M492" s="32" t="str">
        <f ca="1">IF(B492="","",SUM(C492:OFFSET(C492,-SafetyStock!$B$4+1,0)))</f>
        <v/>
      </c>
      <c r="N492" s="32" t="e">
        <f t="shared" ca="1" si="50"/>
        <v>#DIV/0!</v>
      </c>
      <c r="O492" s="30">
        <f t="shared" si="56"/>
        <v>492</v>
      </c>
      <c r="P492" s="32">
        <f t="shared" ca="1" si="51"/>
        <v>0</v>
      </c>
      <c r="Q492" s="32">
        <f ca="1">IF(LeadTime=0,P492,IF(AND(SUM(Q491:OFFSET(Q492,-LeadTime,0))=0,P492&gt;0),MAX(P492:OFFSET(P492,-LeadTime+1,0)),0))</f>
        <v>0</v>
      </c>
    </row>
    <row r="493" spans="1:17" x14ac:dyDescent="0.25">
      <c r="A493" s="135">
        <v>41080</v>
      </c>
      <c r="F493" s="32">
        <f t="shared" si="52"/>
        <v>0</v>
      </c>
      <c r="G493" s="30" t="str">
        <f t="shared" ca="1" si="53"/>
        <v>History</v>
      </c>
      <c r="H493" s="30">
        <f t="shared" si="54"/>
        <v>2012</v>
      </c>
      <c r="I493" s="30">
        <f t="shared" si="55"/>
        <v>6</v>
      </c>
      <c r="J493" s="30">
        <f t="shared" si="49"/>
        <v>25</v>
      </c>
      <c r="K493" s="30">
        <v>1</v>
      </c>
      <c r="L493" s="30">
        <f ca="1">SUM(K493:OFFSET(RngToDay,ROWS(Dates),10))</f>
        <v>8</v>
      </c>
      <c r="M493" s="32" t="str">
        <f ca="1">IF(B493="","",SUM(C493:OFFSET(C493,-SafetyStock!$B$4+1,0)))</f>
        <v/>
      </c>
      <c r="N493" s="32" t="e">
        <f t="shared" ca="1" si="50"/>
        <v>#DIV/0!</v>
      </c>
      <c r="O493" s="30">
        <f t="shared" si="56"/>
        <v>493</v>
      </c>
      <c r="P493" s="32">
        <f t="shared" ca="1" si="51"/>
        <v>0</v>
      </c>
      <c r="Q493" s="32">
        <f ca="1">IF(LeadTime=0,P493,IF(AND(SUM(Q492:OFFSET(Q493,-LeadTime,0))=0,P493&gt;0),MAX(P493:OFFSET(P493,-LeadTime+1,0)),0))</f>
        <v>0</v>
      </c>
    </row>
    <row r="494" spans="1:17" x14ac:dyDescent="0.25">
      <c r="A494" s="135">
        <v>41079</v>
      </c>
      <c r="F494" s="32">
        <f t="shared" si="52"/>
        <v>0</v>
      </c>
      <c r="G494" s="30" t="str">
        <f t="shared" ca="1" si="53"/>
        <v>History</v>
      </c>
      <c r="H494" s="30">
        <f t="shared" si="54"/>
        <v>2012</v>
      </c>
      <c r="I494" s="30">
        <f t="shared" si="55"/>
        <v>6</v>
      </c>
      <c r="J494" s="30">
        <f t="shared" si="49"/>
        <v>25</v>
      </c>
      <c r="K494" s="30">
        <v>1</v>
      </c>
      <c r="L494" s="30">
        <f ca="1">SUM(K494:OFFSET(RngToDay,ROWS(Dates),10))</f>
        <v>7</v>
      </c>
      <c r="M494" s="32" t="str">
        <f ca="1">IF(B494="","",SUM(C494:OFFSET(C494,-SafetyStock!$B$4+1,0)))</f>
        <v/>
      </c>
      <c r="N494" s="32" t="e">
        <f t="shared" ca="1" si="50"/>
        <v>#DIV/0!</v>
      </c>
      <c r="O494" s="30">
        <f t="shared" si="56"/>
        <v>494</v>
      </c>
      <c r="P494" s="32">
        <f t="shared" ca="1" si="51"/>
        <v>0</v>
      </c>
      <c r="Q494" s="32">
        <f ca="1">IF(LeadTime=0,P494,IF(AND(SUM(Q493:OFFSET(Q494,-LeadTime,0))=0,P494&gt;0),MAX(P494:OFFSET(P494,-LeadTime+1,0)),0))</f>
        <v>0</v>
      </c>
    </row>
    <row r="495" spans="1:17" x14ac:dyDescent="0.25">
      <c r="A495" s="135">
        <v>41078</v>
      </c>
      <c r="F495" s="32">
        <f t="shared" si="52"/>
        <v>0</v>
      </c>
      <c r="G495" s="30" t="str">
        <f t="shared" ca="1" si="53"/>
        <v>History</v>
      </c>
      <c r="H495" s="30">
        <f t="shared" si="54"/>
        <v>2012</v>
      </c>
      <c r="I495" s="30">
        <f t="shared" si="55"/>
        <v>6</v>
      </c>
      <c r="J495" s="30">
        <f t="shared" si="49"/>
        <v>25</v>
      </c>
      <c r="K495" s="30">
        <v>1</v>
      </c>
      <c r="L495" s="30">
        <f ca="1">SUM(K495:OFFSET(RngToDay,ROWS(Dates),10))</f>
        <v>6</v>
      </c>
      <c r="M495" s="32" t="str">
        <f ca="1">IF(B495="","",SUM(C495:OFFSET(C495,-SafetyStock!$B$4+1,0)))</f>
        <v/>
      </c>
      <c r="N495" s="32" t="e">
        <f t="shared" ca="1" si="50"/>
        <v>#DIV/0!</v>
      </c>
      <c r="O495" s="30">
        <f t="shared" si="56"/>
        <v>495</v>
      </c>
      <c r="P495" s="32">
        <f t="shared" ca="1" si="51"/>
        <v>0</v>
      </c>
      <c r="Q495" s="32">
        <f ca="1">IF(LeadTime=0,P495,IF(AND(SUM(Q494:OFFSET(Q495,-LeadTime,0))=0,P495&gt;0),MAX(P495:OFFSET(P495,-LeadTime+1,0)),0))</f>
        <v>0</v>
      </c>
    </row>
    <row r="496" spans="1:17" x14ac:dyDescent="0.25">
      <c r="A496" s="135">
        <v>41075</v>
      </c>
      <c r="F496" s="32">
        <f t="shared" si="52"/>
        <v>0</v>
      </c>
      <c r="G496" s="30" t="str">
        <f t="shared" ca="1" si="53"/>
        <v>History</v>
      </c>
      <c r="H496" s="30">
        <f t="shared" si="54"/>
        <v>2012</v>
      </c>
      <c r="I496" s="30">
        <f t="shared" si="55"/>
        <v>6</v>
      </c>
      <c r="J496" s="30">
        <f t="shared" si="49"/>
        <v>24</v>
      </c>
      <c r="K496" s="30">
        <v>1</v>
      </c>
      <c r="L496" s="30">
        <f ca="1">SUM(K496:OFFSET(RngToDay,ROWS(Dates),10))</f>
        <v>5</v>
      </c>
      <c r="M496" s="32" t="str">
        <f ca="1">IF(B496="","",SUM(C496:OFFSET(C496,-SafetyStock!$B$4+1,0)))</f>
        <v/>
      </c>
      <c r="N496" s="32" t="e">
        <f t="shared" ca="1" si="50"/>
        <v>#DIV/0!</v>
      </c>
      <c r="O496" s="30">
        <f t="shared" si="56"/>
        <v>496</v>
      </c>
      <c r="P496" s="32">
        <f t="shared" ca="1" si="51"/>
        <v>0</v>
      </c>
      <c r="Q496" s="32">
        <f ca="1">IF(LeadTime=0,P496,IF(AND(SUM(Q495:OFFSET(Q496,-LeadTime,0))=0,P496&gt;0),MAX(P496:OFFSET(P496,-LeadTime+1,0)),0))</f>
        <v>0</v>
      </c>
    </row>
    <row r="497" spans="1:17" x14ac:dyDescent="0.25">
      <c r="A497" s="135">
        <v>41074</v>
      </c>
      <c r="F497" s="32">
        <f t="shared" si="52"/>
        <v>0</v>
      </c>
      <c r="G497" s="30" t="str">
        <f t="shared" ca="1" si="53"/>
        <v>History</v>
      </c>
      <c r="H497" s="30">
        <f t="shared" si="54"/>
        <v>2012</v>
      </c>
      <c r="I497" s="30">
        <f t="shared" si="55"/>
        <v>6</v>
      </c>
      <c r="J497" s="30">
        <f t="shared" si="49"/>
        <v>24</v>
      </c>
      <c r="K497" s="30">
        <v>1</v>
      </c>
      <c r="L497" s="30">
        <f ca="1">SUM(K497:OFFSET(RngToDay,ROWS(Dates),10))</f>
        <v>4</v>
      </c>
      <c r="M497" s="32" t="str">
        <f ca="1">IF(B497="","",SUM(C497:OFFSET(C497,-SafetyStock!$B$4+1,0)))</f>
        <v/>
      </c>
      <c r="N497" s="32" t="e">
        <f t="shared" ca="1" si="50"/>
        <v>#DIV/0!</v>
      </c>
      <c r="O497" s="30">
        <f t="shared" si="56"/>
        <v>497</v>
      </c>
      <c r="P497" s="32">
        <f t="shared" ca="1" si="51"/>
        <v>0</v>
      </c>
      <c r="Q497" s="32">
        <f ca="1">IF(LeadTime=0,P497,IF(AND(SUM(Q496:OFFSET(Q497,-LeadTime,0))=0,P497&gt;0),MAX(P497:OFFSET(P497,-LeadTime+1,0)),0))</f>
        <v>0</v>
      </c>
    </row>
    <row r="498" spans="1:17" x14ac:dyDescent="0.25">
      <c r="A498" s="135">
        <v>41073</v>
      </c>
      <c r="F498" s="32">
        <f t="shared" si="52"/>
        <v>0</v>
      </c>
      <c r="G498" s="30" t="str">
        <f t="shared" ca="1" si="53"/>
        <v>History</v>
      </c>
      <c r="H498" s="30">
        <f t="shared" si="54"/>
        <v>2012</v>
      </c>
      <c r="I498" s="30">
        <f t="shared" si="55"/>
        <v>6</v>
      </c>
      <c r="J498" s="30">
        <f t="shared" si="49"/>
        <v>24</v>
      </c>
      <c r="K498" s="30">
        <v>1</v>
      </c>
      <c r="L498" s="30">
        <f ca="1">SUM(K498:OFFSET(RngToDay,ROWS(Dates),10))</f>
        <v>3</v>
      </c>
      <c r="M498" s="32" t="str">
        <f ca="1">IF(B498="","",SUM(C498:OFFSET(C498,-SafetyStock!$B$4+1,0)))</f>
        <v/>
      </c>
      <c r="N498" s="32" t="e">
        <f t="shared" ca="1" si="50"/>
        <v>#DIV/0!</v>
      </c>
      <c r="O498" s="30">
        <f t="shared" si="56"/>
        <v>498</v>
      </c>
      <c r="P498" s="32">
        <f t="shared" ca="1" si="51"/>
        <v>0</v>
      </c>
      <c r="Q498" s="32">
        <f ca="1">IF(LeadTime=0,P498,IF(AND(SUM(Q497:OFFSET(Q498,-LeadTime,0))=0,P498&gt;0),MAX(P498:OFFSET(P498,-LeadTime+1,0)),0))</f>
        <v>0</v>
      </c>
    </row>
    <row r="499" spans="1:17" x14ac:dyDescent="0.25">
      <c r="A499" s="135">
        <v>41072</v>
      </c>
      <c r="F499" s="32">
        <f t="shared" si="52"/>
        <v>0</v>
      </c>
      <c r="G499" s="30" t="str">
        <f t="shared" ca="1" si="53"/>
        <v>History</v>
      </c>
      <c r="H499" s="30">
        <f t="shared" si="54"/>
        <v>2012</v>
      </c>
      <c r="I499" s="30">
        <f t="shared" si="55"/>
        <v>6</v>
      </c>
      <c r="J499" s="30">
        <f t="shared" si="49"/>
        <v>24</v>
      </c>
      <c r="K499" s="30">
        <v>1</v>
      </c>
      <c r="L499" s="30">
        <f ca="1">SUM(K499:OFFSET(RngToDay,ROWS(Dates),10))</f>
        <v>2</v>
      </c>
      <c r="M499" s="32" t="str">
        <f ca="1">IF(B499="","",SUM(C499:OFFSET(C499,-SafetyStock!$B$4+1,0)))</f>
        <v/>
      </c>
      <c r="N499" s="32" t="e">
        <f t="shared" ca="1" si="50"/>
        <v>#DIV/0!</v>
      </c>
      <c r="O499" s="30">
        <f t="shared" si="56"/>
        <v>499</v>
      </c>
      <c r="P499" s="32">
        <f t="shared" ca="1" si="51"/>
        <v>0</v>
      </c>
      <c r="Q499" s="32">
        <f ca="1">IF(LeadTime=0,P499,IF(AND(SUM(Q498:OFFSET(Q499,-LeadTime,0))=0,P499&gt;0),MAX(P499:OFFSET(P499,-LeadTime+1,0)),0))</f>
        <v>0</v>
      </c>
    </row>
    <row r="500" spans="1:17" x14ac:dyDescent="0.25">
      <c r="A500" s="135">
        <v>40932</v>
      </c>
      <c r="F500" s="32">
        <f t="shared" si="52"/>
        <v>0</v>
      </c>
      <c r="G500" s="30" t="str">
        <f t="shared" ca="1" si="53"/>
        <v>History</v>
      </c>
      <c r="H500" s="30">
        <f t="shared" si="54"/>
        <v>2012</v>
      </c>
      <c r="I500" s="30">
        <f t="shared" si="55"/>
        <v>1</v>
      </c>
      <c r="J500" s="30">
        <f t="shared" si="49"/>
        <v>4</v>
      </c>
      <c r="K500" s="30">
        <v>1</v>
      </c>
      <c r="L500" s="30">
        <f ca="1">SUM(K500:OFFSET(RngToDay,ROWS(Dates),10))</f>
        <v>1</v>
      </c>
      <c r="M500" s="32" t="str">
        <f ca="1">IF(B500="","",SUM(C500:OFFSET(C500,-SafetyStock!$B$4+1,0)))</f>
        <v/>
      </c>
      <c r="N500" s="32" t="e">
        <f t="shared" ca="1" si="50"/>
        <v>#DIV/0!</v>
      </c>
      <c r="O500" s="30">
        <f t="shared" si="56"/>
        <v>500</v>
      </c>
      <c r="P500" s="32">
        <f t="shared" ca="1" si="51"/>
        <v>0</v>
      </c>
      <c r="Q500" s="32">
        <f ca="1">IF(LeadTime=0,P500,IF(AND(SUM(Q499:OFFSET(Q500,-LeadTime,0))=0,P500&gt;0),MAX(P500:OFFSET(P500,-LeadTime+1,0)),0))</f>
        <v>0</v>
      </c>
    </row>
    <row r="501" spans="1:17" x14ac:dyDescent="0.25">
      <c r="A501" s="135">
        <v>40627</v>
      </c>
      <c r="F501" s="32">
        <f t="shared" si="52"/>
        <v>0</v>
      </c>
      <c r="G501" s="30" t="str">
        <f t="shared" ca="1" si="53"/>
        <v>History</v>
      </c>
      <c r="H501" s="30">
        <f t="shared" si="54"/>
        <v>2011</v>
      </c>
      <c r="I501" s="30">
        <f t="shared" si="55"/>
        <v>3</v>
      </c>
      <c r="J501" s="30">
        <f t="shared" si="49"/>
        <v>12</v>
      </c>
      <c r="K501" s="30">
        <v>1</v>
      </c>
      <c r="L501" s="30">
        <f ca="1">SUM(K501:OFFSET(RngToDay,ROWS(Dates),10))</f>
        <v>2</v>
      </c>
      <c r="M501" s="32" t="str">
        <f ca="1">IF(B501="","",SUM(C501:OFFSET(C501,-SafetyStock!$B$4+1,0)))</f>
        <v/>
      </c>
      <c r="N501" s="32" t="e">
        <f t="shared" ca="1" si="50"/>
        <v>#DIV/0!</v>
      </c>
      <c r="O501" s="30">
        <f t="shared" si="56"/>
        <v>501</v>
      </c>
      <c r="P501" s="32">
        <f t="shared" ca="1" si="51"/>
        <v>0</v>
      </c>
      <c r="Q501" s="32">
        <f ca="1">IF(LeadTime=0,P501,IF(AND(SUM(Q500:OFFSET(Q501,-LeadTime,0))=0,P501&gt;0),MAX(P501:OFFSET(P501,-LeadTime+1,0)),0))</f>
        <v>0</v>
      </c>
    </row>
    <row r="502" spans="1:17" x14ac:dyDescent="0.25">
      <c r="A502" s="135">
        <v>40626</v>
      </c>
      <c r="F502" s="32">
        <f t="shared" si="52"/>
        <v>0</v>
      </c>
      <c r="G502" s="30" t="str">
        <f t="shared" ca="1" si="53"/>
        <v>History</v>
      </c>
      <c r="H502" s="30">
        <f t="shared" si="54"/>
        <v>2011</v>
      </c>
      <c r="I502" s="30">
        <f t="shared" si="55"/>
        <v>3</v>
      </c>
      <c r="J502" s="30">
        <f t="shared" si="49"/>
        <v>12</v>
      </c>
      <c r="K502" s="30">
        <v>1</v>
      </c>
      <c r="L502" s="30">
        <f ca="1">SUM(K502:OFFSET(RngToDay,ROWS(Dates),10))</f>
        <v>3</v>
      </c>
      <c r="M502" s="32" t="str">
        <f ca="1">IF(B502="","",SUM(C502:OFFSET(C502,-SafetyStock!$B$4+1,0)))</f>
        <v/>
      </c>
      <c r="N502" s="32" t="e">
        <f t="shared" ca="1" si="50"/>
        <v>#DIV/0!</v>
      </c>
      <c r="O502" s="30">
        <f t="shared" si="56"/>
        <v>502</v>
      </c>
      <c r="P502" s="32">
        <f t="shared" ca="1" si="51"/>
        <v>0</v>
      </c>
      <c r="Q502" s="32">
        <f ca="1">IF(LeadTime=0,P502,IF(AND(SUM(Q501:OFFSET(Q502,-LeadTime,0))=0,P502&gt;0),MAX(P502:OFFSET(P502,-LeadTime+1,0)),0))</f>
        <v>0</v>
      </c>
    </row>
    <row r="503" spans="1:17" x14ac:dyDescent="0.25">
      <c r="A503" s="135">
        <v>40625</v>
      </c>
      <c r="F503" s="32">
        <f t="shared" si="52"/>
        <v>0</v>
      </c>
      <c r="G503" s="30" t="str">
        <f t="shared" ca="1" si="53"/>
        <v>History</v>
      </c>
      <c r="H503" s="30">
        <f t="shared" si="54"/>
        <v>2011</v>
      </c>
      <c r="I503" s="30">
        <f t="shared" si="55"/>
        <v>3</v>
      </c>
      <c r="J503" s="30">
        <f t="shared" si="49"/>
        <v>12</v>
      </c>
      <c r="K503" s="30">
        <v>1</v>
      </c>
      <c r="L503" s="30">
        <f ca="1">SUM(K503:OFFSET(RngToDay,ROWS(Dates),10))</f>
        <v>4</v>
      </c>
      <c r="M503" s="32" t="str">
        <f ca="1">IF(B503="","",SUM(C503:OFFSET(C503,-SafetyStock!$B$4+1,0)))</f>
        <v/>
      </c>
      <c r="N503" s="32" t="e">
        <f t="shared" ca="1" si="50"/>
        <v>#DIV/0!</v>
      </c>
      <c r="O503" s="30">
        <f t="shared" si="56"/>
        <v>503</v>
      </c>
      <c r="P503" s="32">
        <f t="shared" ca="1" si="51"/>
        <v>0</v>
      </c>
      <c r="Q503" s="32">
        <f ca="1">IF(LeadTime=0,P503,IF(AND(SUM(Q502:OFFSET(Q503,-LeadTime,0))=0,P503&gt;0),MAX(P503:OFFSET(P503,-LeadTime+1,0)),0))</f>
        <v>0</v>
      </c>
    </row>
    <row r="504" spans="1:17" x14ac:dyDescent="0.25">
      <c r="A504" s="135">
        <v>40624</v>
      </c>
      <c r="F504" s="32">
        <f t="shared" si="52"/>
        <v>0</v>
      </c>
      <c r="G504" s="30" t="str">
        <f t="shared" ca="1" si="53"/>
        <v>History</v>
      </c>
      <c r="H504" s="30">
        <f t="shared" si="54"/>
        <v>2011</v>
      </c>
      <c r="I504" s="30">
        <f t="shared" si="55"/>
        <v>3</v>
      </c>
      <c r="J504" s="30">
        <f t="shared" ref="J504:J567" si="57">IF(WEEKDAY(DATE(YEAR(A504),1,1),2)&gt;4,WEEKNUM(A504,2)-1,WEEKNUM(A504,2))</f>
        <v>12</v>
      </c>
      <c r="K504" s="30">
        <v>1</v>
      </c>
      <c r="L504" s="30">
        <f ca="1">SUM(K504:OFFSET(RngToDay,ROWS(Dates),10))</f>
        <v>5</v>
      </c>
      <c r="M504" s="32" t="str">
        <f ca="1">IF(B504="","",SUM(C504:OFFSET(C504,-SafetyStock!$B$4+1,0)))</f>
        <v/>
      </c>
      <c r="N504" s="32" t="e">
        <f t="shared" ca="1" si="50"/>
        <v>#DIV/0!</v>
      </c>
      <c r="O504" s="30">
        <f t="shared" si="56"/>
        <v>504</v>
      </c>
      <c r="P504" s="32">
        <f t="shared" ca="1" si="51"/>
        <v>0</v>
      </c>
      <c r="Q504" s="32">
        <f ca="1">IF(LeadTime=0,P504,IF(AND(SUM(Q503:OFFSET(Q504,-LeadTime,0))=0,P504&gt;0),MAX(P504:OFFSET(P504,-LeadTime+1,0)),0))</f>
        <v>0</v>
      </c>
    </row>
    <row r="505" spans="1:17" x14ac:dyDescent="0.25">
      <c r="A505" s="135">
        <v>40619</v>
      </c>
      <c r="F505" s="32">
        <f t="shared" si="52"/>
        <v>0</v>
      </c>
      <c r="G505" s="30" t="str">
        <f t="shared" ca="1" si="53"/>
        <v>History</v>
      </c>
      <c r="H505" s="30">
        <f t="shared" si="54"/>
        <v>2011</v>
      </c>
      <c r="I505" s="30">
        <f t="shared" si="55"/>
        <v>3</v>
      </c>
      <c r="J505" s="30">
        <f t="shared" si="57"/>
        <v>11</v>
      </c>
      <c r="K505" s="30">
        <v>1</v>
      </c>
      <c r="L505" s="30">
        <f ca="1">SUM(K505:OFFSET(RngToDay,ROWS(Dates),10))</f>
        <v>6</v>
      </c>
      <c r="M505" s="32" t="str">
        <f ca="1">IF(B505="","",SUM(C505:OFFSET(C505,-SafetyStock!$B$4+1,0)))</f>
        <v/>
      </c>
      <c r="N505" s="32" t="e">
        <f t="shared" ca="1" si="50"/>
        <v>#DIV/0!</v>
      </c>
      <c r="O505" s="30">
        <f t="shared" si="56"/>
        <v>505</v>
      </c>
      <c r="P505" s="32">
        <f t="shared" ca="1" si="51"/>
        <v>0</v>
      </c>
      <c r="Q505" s="32">
        <f ca="1">IF(LeadTime=0,P505,IF(AND(SUM(Q504:OFFSET(Q505,-LeadTime,0))=0,P505&gt;0),MAX(P505:OFFSET(P505,-LeadTime+1,0)),0))</f>
        <v>0</v>
      </c>
    </row>
    <row r="506" spans="1:17" x14ac:dyDescent="0.25">
      <c r="A506" s="135">
        <v>39840</v>
      </c>
      <c r="F506" s="32">
        <f t="shared" si="52"/>
        <v>0</v>
      </c>
      <c r="G506" s="30" t="str">
        <f t="shared" ca="1" si="53"/>
        <v>History</v>
      </c>
      <c r="H506" s="30">
        <f t="shared" si="54"/>
        <v>2009</v>
      </c>
      <c r="I506" s="30">
        <f t="shared" si="55"/>
        <v>1</v>
      </c>
      <c r="J506" s="30">
        <f t="shared" si="57"/>
        <v>5</v>
      </c>
      <c r="K506" s="30">
        <v>1</v>
      </c>
      <c r="L506" s="30">
        <f ca="1">SUM(K506:OFFSET(RngToDay,ROWS(Dates),10))</f>
        <v>7</v>
      </c>
      <c r="M506" s="32" t="str">
        <f ca="1">IF(B506="","",SUM(C506:OFFSET(C506,-SafetyStock!$B$4+1,0)))</f>
        <v/>
      </c>
      <c r="N506" s="32" t="e">
        <f t="shared" ref="N506:N569" ca="1" si="58">Saf_Stock</f>
        <v>#DIV/0!</v>
      </c>
      <c r="O506" s="30">
        <f t="shared" si="56"/>
        <v>506</v>
      </c>
      <c r="P506" s="32">
        <f t="shared" ca="1" si="51"/>
        <v>0</v>
      </c>
      <c r="Q506" s="32">
        <f ca="1">IF(LeadTime=0,P506,IF(AND(SUM(Q505:OFFSET(Q506,-LeadTime,0))=0,P506&gt;0),MAX(P506:OFFSET(P506,-LeadTime+1,0)),0))</f>
        <v>0</v>
      </c>
    </row>
    <row r="507" spans="1:17" x14ac:dyDescent="0.25">
      <c r="A507" s="135">
        <v>39839</v>
      </c>
      <c r="F507" s="32">
        <f t="shared" si="52"/>
        <v>0</v>
      </c>
      <c r="G507" s="30" t="str">
        <f t="shared" ca="1" si="53"/>
        <v>History</v>
      </c>
      <c r="H507" s="30">
        <f t="shared" si="54"/>
        <v>2009</v>
      </c>
      <c r="I507" s="30">
        <f t="shared" si="55"/>
        <v>1</v>
      </c>
      <c r="J507" s="30">
        <f t="shared" si="57"/>
        <v>5</v>
      </c>
      <c r="K507" s="30">
        <v>1</v>
      </c>
      <c r="L507" s="30">
        <f ca="1">SUM(K507:OFFSET(RngToDay,ROWS(Dates),10))</f>
        <v>8</v>
      </c>
      <c r="M507" s="32" t="str">
        <f ca="1">IF(B507="","",SUM(C507:OFFSET(C507,-SafetyStock!$B$4+1,0)))</f>
        <v/>
      </c>
      <c r="N507" s="32" t="e">
        <f t="shared" ca="1" si="58"/>
        <v>#DIV/0!</v>
      </c>
      <c r="O507" s="30">
        <f t="shared" si="56"/>
        <v>507</v>
      </c>
      <c r="P507" s="32">
        <f t="shared" ref="P507:P570" ca="1" si="59">IF(M507="",0,IF(M507&gt;N507,M507-N507,0))</f>
        <v>0</v>
      </c>
      <c r="Q507" s="32">
        <f ca="1">IF(LeadTime=0,P507,IF(AND(SUM(Q506:OFFSET(Q507,-LeadTime,0))=0,P507&gt;0),MAX(P507:OFFSET(P507,-LeadTime+1,0)),0))</f>
        <v>0</v>
      </c>
    </row>
    <row r="508" spans="1:17" x14ac:dyDescent="0.25">
      <c r="A508" s="135">
        <v>39836</v>
      </c>
      <c r="F508" s="32">
        <f t="shared" ref="F508:F571" si="60">F507</f>
        <v>0</v>
      </c>
      <c r="G508" s="30" t="str">
        <f t="shared" ca="1" si="53"/>
        <v>History</v>
      </c>
      <c r="H508" s="30">
        <f t="shared" si="54"/>
        <v>2009</v>
      </c>
      <c r="I508" s="30">
        <f t="shared" si="55"/>
        <v>1</v>
      </c>
      <c r="J508" s="30">
        <f t="shared" si="57"/>
        <v>4</v>
      </c>
      <c r="K508" s="30">
        <v>1</v>
      </c>
      <c r="L508" s="30">
        <f ca="1">SUM(K508:OFFSET(RngToDay,ROWS(Dates),10))</f>
        <v>9</v>
      </c>
      <c r="M508" s="32" t="str">
        <f ca="1">IF(B508="","",SUM(C508:OFFSET(C508,-SafetyStock!$B$4+1,0)))</f>
        <v/>
      </c>
      <c r="N508" s="32" t="e">
        <f t="shared" ca="1" si="58"/>
        <v>#DIV/0!</v>
      </c>
      <c r="O508" s="30">
        <f t="shared" si="56"/>
        <v>508</v>
      </c>
      <c r="P508" s="32">
        <f t="shared" ca="1" si="59"/>
        <v>0</v>
      </c>
      <c r="Q508" s="32">
        <f ca="1">IF(LeadTime=0,P508,IF(AND(SUM(Q507:OFFSET(Q508,-LeadTime,0))=0,P508&gt;0),MAX(P508:OFFSET(P508,-LeadTime+1,0)),0))</f>
        <v>0</v>
      </c>
    </row>
    <row r="509" spans="1:17" x14ac:dyDescent="0.25">
      <c r="A509" s="135">
        <v>39835</v>
      </c>
      <c r="F509" s="32">
        <f t="shared" si="60"/>
        <v>0</v>
      </c>
      <c r="G509" s="30" t="str">
        <f t="shared" ca="1" si="53"/>
        <v>History</v>
      </c>
      <c r="H509" s="30">
        <f t="shared" si="54"/>
        <v>2009</v>
      </c>
      <c r="I509" s="30">
        <f t="shared" si="55"/>
        <v>1</v>
      </c>
      <c r="J509" s="30">
        <f t="shared" si="57"/>
        <v>4</v>
      </c>
      <c r="K509" s="30">
        <v>1</v>
      </c>
      <c r="L509" s="30">
        <f ca="1">SUM(K509:OFFSET(RngToDay,ROWS(Dates),10))</f>
        <v>10</v>
      </c>
      <c r="M509" s="32" t="str">
        <f ca="1">IF(B509="","",SUM(C509:OFFSET(C509,-SafetyStock!$B$4+1,0)))</f>
        <v/>
      </c>
      <c r="N509" s="32" t="e">
        <f t="shared" ca="1" si="58"/>
        <v>#DIV/0!</v>
      </c>
      <c r="O509" s="30">
        <f t="shared" si="56"/>
        <v>509</v>
      </c>
      <c r="P509" s="32">
        <f t="shared" ca="1" si="59"/>
        <v>0</v>
      </c>
      <c r="Q509" s="32">
        <f ca="1">IF(LeadTime=0,P509,IF(AND(SUM(Q508:OFFSET(Q509,-LeadTime,0))=0,P509&gt;0),MAX(P509:OFFSET(P509,-LeadTime+1,0)),0))</f>
        <v>0</v>
      </c>
    </row>
    <row r="510" spans="1:17" x14ac:dyDescent="0.25">
      <c r="A510" s="135">
        <v>39834</v>
      </c>
      <c r="F510" s="32">
        <f t="shared" si="60"/>
        <v>0</v>
      </c>
      <c r="G510" s="30" t="str">
        <f t="shared" ca="1" si="53"/>
        <v>History</v>
      </c>
      <c r="H510" s="30">
        <f t="shared" si="54"/>
        <v>2009</v>
      </c>
      <c r="I510" s="30">
        <f t="shared" si="55"/>
        <v>1</v>
      </c>
      <c r="J510" s="30">
        <f t="shared" si="57"/>
        <v>4</v>
      </c>
      <c r="K510" s="30">
        <v>1</v>
      </c>
      <c r="L510" s="30">
        <f ca="1">SUM(K510:OFFSET(RngToDay,ROWS(Dates),10))</f>
        <v>11</v>
      </c>
      <c r="M510" s="32" t="str">
        <f ca="1">IF(B510="","",SUM(C510:OFFSET(C510,-SafetyStock!$B$4+1,0)))</f>
        <v/>
      </c>
      <c r="N510" s="32" t="e">
        <f t="shared" ca="1" si="58"/>
        <v>#DIV/0!</v>
      </c>
      <c r="O510" s="30">
        <f t="shared" si="56"/>
        <v>510</v>
      </c>
      <c r="P510" s="32">
        <f t="shared" ca="1" si="59"/>
        <v>0</v>
      </c>
      <c r="Q510" s="32">
        <f ca="1">IF(LeadTime=0,P510,IF(AND(SUM(Q509:OFFSET(Q510,-LeadTime,0))=0,P510&gt;0),MAX(P510:OFFSET(P510,-LeadTime+1,0)),0))</f>
        <v>0</v>
      </c>
    </row>
    <row r="511" spans="1:17" x14ac:dyDescent="0.25">
      <c r="A511" s="135">
        <v>39833</v>
      </c>
      <c r="F511" s="32">
        <f t="shared" si="60"/>
        <v>0</v>
      </c>
      <c r="G511" s="30" t="str">
        <f t="shared" ca="1" si="53"/>
        <v>History</v>
      </c>
      <c r="H511" s="30">
        <f t="shared" si="54"/>
        <v>2009</v>
      </c>
      <c r="I511" s="30">
        <f t="shared" si="55"/>
        <v>1</v>
      </c>
      <c r="J511" s="30">
        <f t="shared" si="57"/>
        <v>4</v>
      </c>
      <c r="K511" s="30">
        <v>1</v>
      </c>
      <c r="L511" s="30">
        <f ca="1">SUM(K511:OFFSET(RngToDay,ROWS(Dates),10))</f>
        <v>12</v>
      </c>
      <c r="M511" s="32" t="str">
        <f ca="1">IF(B511="","",SUM(C511:OFFSET(C511,-SafetyStock!$B$4+1,0)))</f>
        <v/>
      </c>
      <c r="N511" s="32" t="e">
        <f t="shared" ca="1" si="58"/>
        <v>#DIV/0!</v>
      </c>
      <c r="O511" s="30">
        <f t="shared" si="56"/>
        <v>511</v>
      </c>
      <c r="P511" s="32">
        <f t="shared" ca="1" si="59"/>
        <v>0</v>
      </c>
      <c r="Q511" s="32">
        <f ca="1">IF(LeadTime=0,P511,IF(AND(SUM(Q510:OFFSET(Q511,-LeadTime,0))=0,P511&gt;0),MAX(P511:OFFSET(P511,-LeadTime+1,0)),0))</f>
        <v>0</v>
      </c>
    </row>
    <row r="512" spans="1:17" x14ac:dyDescent="0.25">
      <c r="A512" s="135">
        <v>39832</v>
      </c>
      <c r="F512" s="32">
        <f t="shared" si="60"/>
        <v>0</v>
      </c>
      <c r="G512" s="30" t="str">
        <f t="shared" ca="1" si="53"/>
        <v>History</v>
      </c>
      <c r="H512" s="30">
        <f t="shared" si="54"/>
        <v>2009</v>
      </c>
      <c r="I512" s="30">
        <f t="shared" si="55"/>
        <v>1</v>
      </c>
      <c r="J512" s="30">
        <f t="shared" si="57"/>
        <v>4</v>
      </c>
      <c r="K512" s="30">
        <v>1</v>
      </c>
      <c r="L512" s="30">
        <f ca="1">SUM(K512:OFFSET(RngToDay,ROWS(Dates),10))</f>
        <v>13</v>
      </c>
      <c r="M512" s="32" t="str">
        <f ca="1">IF(B512="","",SUM(C512:OFFSET(C512,-SafetyStock!$B$4+1,0)))</f>
        <v/>
      </c>
      <c r="N512" s="32" t="e">
        <f t="shared" ca="1" si="58"/>
        <v>#DIV/0!</v>
      </c>
      <c r="O512" s="30">
        <f t="shared" si="56"/>
        <v>512</v>
      </c>
      <c r="P512" s="32">
        <f t="shared" ca="1" si="59"/>
        <v>0</v>
      </c>
      <c r="Q512" s="32">
        <f ca="1">IF(LeadTime=0,P512,IF(AND(SUM(Q511:OFFSET(Q512,-LeadTime,0))=0,P512&gt;0),MAX(P512:OFFSET(P512,-LeadTime+1,0)),0))</f>
        <v>0</v>
      </c>
    </row>
    <row r="513" spans="1:17" x14ac:dyDescent="0.25">
      <c r="A513" s="135">
        <v>39829</v>
      </c>
      <c r="F513" s="32">
        <f t="shared" si="60"/>
        <v>0</v>
      </c>
      <c r="G513" s="30" t="str">
        <f t="shared" ca="1" si="53"/>
        <v>History</v>
      </c>
      <c r="H513" s="30">
        <f t="shared" si="54"/>
        <v>2009</v>
      </c>
      <c r="I513" s="30">
        <f t="shared" si="55"/>
        <v>1</v>
      </c>
      <c r="J513" s="30">
        <f t="shared" si="57"/>
        <v>3</v>
      </c>
      <c r="K513" s="30">
        <v>1</v>
      </c>
      <c r="L513" s="30">
        <f ca="1">SUM(K513:OFFSET(RngToDay,ROWS(Dates),10))</f>
        <v>14</v>
      </c>
      <c r="M513" s="32" t="str">
        <f ca="1">IF(B513="","",SUM(C513:OFFSET(C513,-SafetyStock!$B$4+1,0)))</f>
        <v/>
      </c>
      <c r="N513" s="32" t="e">
        <f t="shared" ca="1" si="58"/>
        <v>#DIV/0!</v>
      </c>
      <c r="O513" s="30">
        <f t="shared" si="56"/>
        <v>513</v>
      </c>
      <c r="P513" s="32">
        <f t="shared" ca="1" si="59"/>
        <v>0</v>
      </c>
      <c r="Q513" s="32">
        <f ca="1">IF(LeadTime=0,P513,IF(AND(SUM(Q512:OFFSET(Q513,-LeadTime,0))=0,P513&gt;0),MAX(P513:OFFSET(P513,-LeadTime+1,0)),0))</f>
        <v>0</v>
      </c>
    </row>
    <row r="514" spans="1:17" x14ac:dyDescent="0.25">
      <c r="A514" s="135">
        <v>39828</v>
      </c>
      <c r="F514" s="32">
        <f t="shared" si="60"/>
        <v>0</v>
      </c>
      <c r="G514" s="30" t="str">
        <f t="shared" ca="1" si="53"/>
        <v>History</v>
      </c>
      <c r="H514" s="30">
        <f t="shared" si="54"/>
        <v>2009</v>
      </c>
      <c r="I514" s="30">
        <f t="shared" si="55"/>
        <v>1</v>
      </c>
      <c r="J514" s="30">
        <f t="shared" si="57"/>
        <v>3</v>
      </c>
      <c r="K514" s="30">
        <v>1</v>
      </c>
      <c r="L514" s="30">
        <f ca="1">SUM(K514:OFFSET(RngToDay,ROWS(Dates),10))</f>
        <v>15</v>
      </c>
      <c r="M514" s="32" t="str">
        <f ca="1">IF(B514="","",SUM(C514:OFFSET(C514,-SafetyStock!$B$4+1,0)))</f>
        <v/>
      </c>
      <c r="N514" s="32" t="e">
        <f t="shared" ca="1" si="58"/>
        <v>#DIV/0!</v>
      </c>
      <c r="O514" s="30">
        <f t="shared" si="56"/>
        <v>514</v>
      </c>
      <c r="P514" s="32">
        <f t="shared" ca="1" si="59"/>
        <v>0</v>
      </c>
      <c r="Q514" s="32">
        <f ca="1">IF(LeadTime=0,P514,IF(AND(SUM(Q513:OFFSET(Q514,-LeadTime,0))=0,P514&gt;0),MAX(P514:OFFSET(P514,-LeadTime+1,0)),0))</f>
        <v>0</v>
      </c>
    </row>
    <row r="515" spans="1:17" x14ac:dyDescent="0.25">
      <c r="A515" s="135">
        <v>39827</v>
      </c>
      <c r="F515" s="32">
        <f t="shared" si="60"/>
        <v>0</v>
      </c>
      <c r="G515" s="30" t="str">
        <f t="shared" ref="G515:G578" ca="1" si="61">IF(A515&gt;TODAY(),"Requirements","History")</f>
        <v>History</v>
      </c>
      <c r="H515" s="30">
        <f t="shared" ref="H515:H578" si="62">YEAR(A515)</f>
        <v>2009</v>
      </c>
      <c r="I515" s="30">
        <f t="shared" ref="I515:I578" si="63">MONTH(A515)</f>
        <v>1</v>
      </c>
      <c r="J515" s="30">
        <f t="shared" si="57"/>
        <v>3</v>
      </c>
      <c r="K515" s="30">
        <v>1</v>
      </c>
      <c r="L515" s="30">
        <f ca="1">SUM(K515:OFFSET(RngToDay,ROWS(Dates),10))</f>
        <v>16</v>
      </c>
      <c r="M515" s="32" t="str">
        <f ca="1">IF(B515="","",SUM(C515:OFFSET(C515,-SafetyStock!$B$4+1,0)))</f>
        <v/>
      </c>
      <c r="N515" s="32" t="e">
        <f t="shared" ca="1" si="58"/>
        <v>#DIV/0!</v>
      </c>
      <c r="O515" s="30">
        <f t="shared" si="56"/>
        <v>515</v>
      </c>
      <c r="P515" s="32">
        <f t="shared" ca="1" si="59"/>
        <v>0</v>
      </c>
      <c r="Q515" s="32">
        <f ca="1">IF(LeadTime=0,P515,IF(AND(SUM(Q514:OFFSET(Q515,-LeadTime,0))=0,P515&gt;0),MAX(P515:OFFSET(P515,-LeadTime+1,0)),0))</f>
        <v>0</v>
      </c>
    </row>
    <row r="516" spans="1:17" x14ac:dyDescent="0.25">
      <c r="A516" s="135">
        <v>39826</v>
      </c>
      <c r="F516" s="32">
        <f t="shared" si="60"/>
        <v>0</v>
      </c>
      <c r="G516" s="30" t="str">
        <f t="shared" ca="1" si="61"/>
        <v>History</v>
      </c>
      <c r="H516" s="30">
        <f t="shared" si="62"/>
        <v>2009</v>
      </c>
      <c r="I516" s="30">
        <f t="shared" si="63"/>
        <v>1</v>
      </c>
      <c r="J516" s="30">
        <f t="shared" si="57"/>
        <v>3</v>
      </c>
      <c r="K516" s="30">
        <v>1</v>
      </c>
      <c r="L516" s="30">
        <f ca="1">SUM(K516:OFFSET(RngToDay,ROWS(Dates),10))</f>
        <v>17</v>
      </c>
      <c r="M516" s="32" t="str">
        <f ca="1">IF(B516="","",SUM(C516:OFFSET(C516,-SafetyStock!$B$4+1,0)))</f>
        <v/>
      </c>
      <c r="N516" s="32" t="e">
        <f t="shared" ca="1" si="58"/>
        <v>#DIV/0!</v>
      </c>
      <c r="O516" s="30">
        <f t="shared" ref="O516:O579" si="64">O515+1</f>
        <v>516</v>
      </c>
      <c r="P516" s="32">
        <f t="shared" ca="1" si="59"/>
        <v>0</v>
      </c>
      <c r="Q516" s="32">
        <f ca="1">IF(LeadTime=0,P516,IF(AND(SUM(Q515:OFFSET(Q516,-LeadTime,0))=0,P516&gt;0),MAX(P516:OFFSET(P516,-LeadTime+1,0)),0))</f>
        <v>0</v>
      </c>
    </row>
    <row r="517" spans="1:17" x14ac:dyDescent="0.25">
      <c r="A517" s="135">
        <v>39825</v>
      </c>
      <c r="F517" s="32">
        <f t="shared" si="60"/>
        <v>0</v>
      </c>
      <c r="G517" s="30" t="str">
        <f t="shared" ca="1" si="61"/>
        <v>History</v>
      </c>
      <c r="H517" s="30">
        <f t="shared" si="62"/>
        <v>2009</v>
      </c>
      <c r="I517" s="30">
        <f t="shared" si="63"/>
        <v>1</v>
      </c>
      <c r="J517" s="30">
        <f t="shared" si="57"/>
        <v>3</v>
      </c>
      <c r="K517" s="30">
        <v>1</v>
      </c>
      <c r="L517" s="30">
        <f ca="1">SUM(K517:OFFSET(RngToDay,ROWS(Dates),10))</f>
        <v>18</v>
      </c>
      <c r="M517" s="32" t="str">
        <f ca="1">IF(B517="","",SUM(C517:OFFSET(C517,-SafetyStock!$B$4+1,0)))</f>
        <v/>
      </c>
      <c r="N517" s="32" t="e">
        <f t="shared" ca="1" si="58"/>
        <v>#DIV/0!</v>
      </c>
      <c r="O517" s="30">
        <f t="shared" si="64"/>
        <v>517</v>
      </c>
      <c r="P517" s="32">
        <f t="shared" ca="1" si="59"/>
        <v>0</v>
      </c>
      <c r="Q517" s="32">
        <f ca="1">IF(LeadTime=0,P517,IF(AND(SUM(Q516:OFFSET(Q517,-LeadTime,0))=0,P517&gt;0),MAX(P517:OFFSET(P517,-LeadTime+1,0)),0))</f>
        <v>0</v>
      </c>
    </row>
    <row r="518" spans="1:17" x14ac:dyDescent="0.25">
      <c r="A518" s="135">
        <v>39822</v>
      </c>
      <c r="F518" s="32">
        <f t="shared" si="60"/>
        <v>0</v>
      </c>
      <c r="G518" s="30" t="str">
        <f t="shared" ca="1" si="61"/>
        <v>History</v>
      </c>
      <c r="H518" s="30">
        <f t="shared" si="62"/>
        <v>2009</v>
      </c>
      <c r="I518" s="30">
        <f t="shared" si="63"/>
        <v>1</v>
      </c>
      <c r="J518" s="30">
        <f t="shared" si="57"/>
        <v>2</v>
      </c>
      <c r="K518" s="30">
        <v>1</v>
      </c>
      <c r="L518" s="30">
        <f ca="1">SUM(K518:OFFSET(RngToDay,ROWS(Dates),10))</f>
        <v>19</v>
      </c>
      <c r="M518" s="32" t="str">
        <f ca="1">IF(B518="","",SUM(C518:OFFSET(C518,-SafetyStock!$B$4+1,0)))</f>
        <v/>
      </c>
      <c r="N518" s="32" t="e">
        <f t="shared" ca="1" si="58"/>
        <v>#DIV/0!</v>
      </c>
      <c r="O518" s="30">
        <f t="shared" si="64"/>
        <v>518</v>
      </c>
      <c r="P518" s="32">
        <f t="shared" ca="1" si="59"/>
        <v>0</v>
      </c>
      <c r="Q518" s="32">
        <f ca="1">IF(LeadTime=0,P518,IF(AND(SUM(Q517:OFFSET(Q518,-LeadTime,0))=0,P518&gt;0),MAX(P518:OFFSET(P518,-LeadTime+1,0)),0))</f>
        <v>0</v>
      </c>
    </row>
    <row r="519" spans="1:17" x14ac:dyDescent="0.25">
      <c r="A519" s="135">
        <v>39821</v>
      </c>
      <c r="F519" s="32">
        <f t="shared" si="60"/>
        <v>0</v>
      </c>
      <c r="G519" s="30" t="str">
        <f t="shared" ca="1" si="61"/>
        <v>History</v>
      </c>
      <c r="H519" s="30">
        <f t="shared" si="62"/>
        <v>2009</v>
      </c>
      <c r="I519" s="30">
        <f t="shared" si="63"/>
        <v>1</v>
      </c>
      <c r="J519" s="30">
        <f t="shared" si="57"/>
        <v>2</v>
      </c>
      <c r="K519" s="30">
        <v>1</v>
      </c>
      <c r="L519" s="30">
        <f ca="1">SUM(K519:OFFSET(RngToDay,ROWS(Dates),10))</f>
        <v>20</v>
      </c>
      <c r="M519" s="32" t="str">
        <f ca="1">IF(B519="","",SUM(C519:OFFSET(C519,-SafetyStock!$B$4+1,0)))</f>
        <v/>
      </c>
      <c r="N519" s="32" t="e">
        <f t="shared" ca="1" si="58"/>
        <v>#DIV/0!</v>
      </c>
      <c r="O519" s="30">
        <f t="shared" si="64"/>
        <v>519</v>
      </c>
      <c r="P519" s="32">
        <f t="shared" ca="1" si="59"/>
        <v>0</v>
      </c>
      <c r="Q519" s="32">
        <f ca="1">IF(LeadTime=0,P519,IF(AND(SUM(Q518:OFFSET(Q519,-LeadTime,0))=0,P519&gt;0),MAX(P519:OFFSET(P519,-LeadTime+1,0)),0))</f>
        <v>0</v>
      </c>
    </row>
    <row r="520" spans="1:17" x14ac:dyDescent="0.25">
      <c r="A520" s="135">
        <v>39820</v>
      </c>
      <c r="F520" s="32">
        <f t="shared" si="60"/>
        <v>0</v>
      </c>
      <c r="G520" s="30" t="str">
        <f t="shared" ca="1" si="61"/>
        <v>History</v>
      </c>
      <c r="H520" s="30">
        <f t="shared" si="62"/>
        <v>2009</v>
      </c>
      <c r="I520" s="30">
        <f t="shared" si="63"/>
        <v>1</v>
      </c>
      <c r="J520" s="30">
        <f t="shared" si="57"/>
        <v>2</v>
      </c>
      <c r="K520" s="30">
        <v>1</v>
      </c>
      <c r="L520" s="30">
        <f ca="1">SUM(K520:OFFSET(RngToDay,ROWS(Dates),10))</f>
        <v>21</v>
      </c>
      <c r="M520" s="32" t="str">
        <f ca="1">IF(B520="","",SUM(C520:OFFSET(C520,-SafetyStock!$B$4+1,0)))</f>
        <v/>
      </c>
      <c r="N520" s="32" t="e">
        <f t="shared" ca="1" si="58"/>
        <v>#DIV/0!</v>
      </c>
      <c r="O520" s="30">
        <f t="shared" si="64"/>
        <v>520</v>
      </c>
      <c r="P520" s="32">
        <f t="shared" ca="1" si="59"/>
        <v>0</v>
      </c>
      <c r="Q520" s="32">
        <f ca="1">IF(LeadTime=0,P520,IF(AND(SUM(Q519:OFFSET(Q520,-LeadTime,0))=0,P520&gt;0),MAX(P520:OFFSET(P520,-LeadTime+1,0)),0))</f>
        <v>0</v>
      </c>
    </row>
    <row r="521" spans="1:17" x14ac:dyDescent="0.25">
      <c r="A521" s="135">
        <v>39819</v>
      </c>
      <c r="F521" s="32">
        <f t="shared" si="60"/>
        <v>0</v>
      </c>
      <c r="G521" s="30" t="str">
        <f t="shared" ca="1" si="61"/>
        <v>History</v>
      </c>
      <c r="H521" s="30">
        <f t="shared" si="62"/>
        <v>2009</v>
      </c>
      <c r="I521" s="30">
        <f t="shared" si="63"/>
        <v>1</v>
      </c>
      <c r="J521" s="30">
        <f t="shared" si="57"/>
        <v>2</v>
      </c>
      <c r="K521" s="30">
        <v>1</v>
      </c>
      <c r="L521" s="30">
        <f ca="1">SUM(K521:OFFSET(RngToDay,ROWS(Dates),10))</f>
        <v>22</v>
      </c>
      <c r="M521" s="32" t="str">
        <f ca="1">IF(B521="","",SUM(C521:OFFSET(C521,-SafetyStock!$B$4+1,0)))</f>
        <v/>
      </c>
      <c r="N521" s="32" t="e">
        <f t="shared" ca="1" si="58"/>
        <v>#DIV/0!</v>
      </c>
      <c r="O521" s="30">
        <f t="shared" si="64"/>
        <v>521</v>
      </c>
      <c r="P521" s="32">
        <f t="shared" ca="1" si="59"/>
        <v>0</v>
      </c>
      <c r="Q521" s="32">
        <f ca="1">IF(LeadTime=0,P521,IF(AND(SUM(Q520:OFFSET(Q521,-LeadTime,0))=0,P521&gt;0),MAX(P521:OFFSET(P521,-LeadTime+1,0)),0))</f>
        <v>0</v>
      </c>
    </row>
    <row r="522" spans="1:17" x14ac:dyDescent="0.25">
      <c r="A522" s="135">
        <v>39818</v>
      </c>
      <c r="F522" s="32">
        <f t="shared" si="60"/>
        <v>0</v>
      </c>
      <c r="G522" s="30" t="str">
        <f t="shared" ca="1" si="61"/>
        <v>History</v>
      </c>
      <c r="H522" s="30">
        <f t="shared" si="62"/>
        <v>2009</v>
      </c>
      <c r="I522" s="30">
        <f t="shared" si="63"/>
        <v>1</v>
      </c>
      <c r="J522" s="30">
        <f t="shared" si="57"/>
        <v>2</v>
      </c>
      <c r="K522" s="30">
        <v>1</v>
      </c>
      <c r="L522" s="30">
        <f ca="1">SUM(K522:OFFSET(RngToDay,ROWS(Dates),10))</f>
        <v>23</v>
      </c>
      <c r="M522" s="32" t="str">
        <f ca="1">IF(B522="","",SUM(C522:OFFSET(C522,-SafetyStock!$B$4+1,0)))</f>
        <v/>
      </c>
      <c r="N522" s="32" t="e">
        <f t="shared" ca="1" si="58"/>
        <v>#DIV/0!</v>
      </c>
      <c r="O522" s="30">
        <f t="shared" si="64"/>
        <v>522</v>
      </c>
      <c r="P522" s="32">
        <f t="shared" ca="1" si="59"/>
        <v>0</v>
      </c>
      <c r="Q522" s="32">
        <f ca="1">IF(LeadTime=0,P522,IF(AND(SUM(Q521:OFFSET(Q522,-LeadTime,0))=0,P522&gt;0),MAX(P522:OFFSET(P522,-LeadTime+1,0)),0))</f>
        <v>0</v>
      </c>
    </row>
    <row r="523" spans="1:17" x14ac:dyDescent="0.25">
      <c r="A523" s="135">
        <v>39815</v>
      </c>
      <c r="F523" s="32">
        <f t="shared" si="60"/>
        <v>0</v>
      </c>
      <c r="G523" s="30" t="str">
        <f t="shared" ca="1" si="61"/>
        <v>History</v>
      </c>
      <c r="H523" s="30">
        <f t="shared" si="62"/>
        <v>2009</v>
      </c>
      <c r="I523" s="30">
        <f t="shared" si="63"/>
        <v>1</v>
      </c>
      <c r="J523" s="30">
        <f t="shared" si="57"/>
        <v>1</v>
      </c>
      <c r="K523" s="30">
        <v>1</v>
      </c>
      <c r="L523" s="30">
        <f ca="1">SUM(K523:OFFSET(RngToDay,ROWS(Dates),10))</f>
        <v>24</v>
      </c>
      <c r="M523" s="32" t="str">
        <f ca="1">IF(B523="","",SUM(C523:OFFSET(C523,-SafetyStock!$B$4+1,0)))</f>
        <v/>
      </c>
      <c r="N523" s="32" t="e">
        <f t="shared" ca="1" si="58"/>
        <v>#DIV/0!</v>
      </c>
      <c r="O523" s="30">
        <f t="shared" si="64"/>
        <v>523</v>
      </c>
      <c r="P523" s="32">
        <f t="shared" ca="1" si="59"/>
        <v>0</v>
      </c>
      <c r="Q523" s="32">
        <f ca="1">IF(LeadTime=0,P523,IF(AND(SUM(Q522:OFFSET(Q523,-LeadTime,0))=0,P523&gt;0),MAX(P523:OFFSET(P523,-LeadTime+1,0)),0))</f>
        <v>0</v>
      </c>
    </row>
    <row r="524" spans="1:17" x14ac:dyDescent="0.25">
      <c r="F524" s="32">
        <f t="shared" si="60"/>
        <v>0</v>
      </c>
      <c r="G524" s="30" t="str">
        <f t="shared" ca="1" si="61"/>
        <v>History</v>
      </c>
      <c r="H524" s="30">
        <f t="shared" si="62"/>
        <v>1900</v>
      </c>
      <c r="I524" s="30">
        <f t="shared" si="63"/>
        <v>1</v>
      </c>
      <c r="J524" s="30">
        <f t="shared" si="57"/>
        <v>0</v>
      </c>
      <c r="L524" s="30">
        <f ca="1">SUM(K524:OFFSET(RngToDay,ROWS(Dates),10))</f>
        <v>24</v>
      </c>
      <c r="M524" s="32" t="str">
        <f ca="1">IF(B524="","",SUM(C524:OFFSET(C524,-SafetyStock!$B$4+1,0)))</f>
        <v/>
      </c>
      <c r="N524" s="32" t="e">
        <f t="shared" ca="1" si="58"/>
        <v>#DIV/0!</v>
      </c>
      <c r="O524" s="30">
        <f t="shared" si="64"/>
        <v>524</v>
      </c>
      <c r="P524" s="32">
        <f t="shared" ca="1" si="59"/>
        <v>0</v>
      </c>
      <c r="Q524" s="32">
        <f ca="1">IF(LeadTime=0,P524,IF(AND(SUM(Q523:OFFSET(Q524,-LeadTime,0))=0,P524&gt;0),MAX(P524:OFFSET(P524,-LeadTime+1,0)),0))</f>
        <v>0</v>
      </c>
    </row>
    <row r="525" spans="1:17" x14ac:dyDescent="0.25">
      <c r="F525" s="32">
        <f t="shared" si="60"/>
        <v>0</v>
      </c>
      <c r="G525" s="30" t="str">
        <f t="shared" ca="1" si="61"/>
        <v>History</v>
      </c>
      <c r="H525" s="30">
        <f t="shared" si="62"/>
        <v>1900</v>
      </c>
      <c r="I525" s="30">
        <f t="shared" si="63"/>
        <v>1</v>
      </c>
      <c r="J525" s="30">
        <f t="shared" si="57"/>
        <v>0</v>
      </c>
      <c r="L525" s="30">
        <f ca="1">SUM(K525:OFFSET(RngToDay,ROWS(Dates),10))</f>
        <v>24</v>
      </c>
      <c r="M525" s="32" t="str">
        <f ca="1">IF(B525="","",SUM(C525:OFFSET(C525,-SafetyStock!$B$4+1,0)))</f>
        <v/>
      </c>
      <c r="N525" s="32" t="e">
        <f t="shared" ca="1" si="58"/>
        <v>#DIV/0!</v>
      </c>
      <c r="O525" s="30">
        <f t="shared" si="64"/>
        <v>525</v>
      </c>
      <c r="P525" s="32">
        <f t="shared" ca="1" si="59"/>
        <v>0</v>
      </c>
      <c r="Q525" s="32">
        <f ca="1">IF(LeadTime=0,P525,IF(AND(SUM(Q524:OFFSET(Q525,-LeadTime,0))=0,P525&gt;0),MAX(P525:OFFSET(P525,-LeadTime+1,0)),0))</f>
        <v>0</v>
      </c>
    </row>
    <row r="526" spans="1:17" x14ac:dyDescent="0.25">
      <c r="F526" s="32">
        <f t="shared" si="60"/>
        <v>0</v>
      </c>
      <c r="G526" s="30" t="str">
        <f t="shared" ca="1" si="61"/>
        <v>History</v>
      </c>
      <c r="H526" s="30">
        <f t="shared" si="62"/>
        <v>1900</v>
      </c>
      <c r="I526" s="30">
        <f t="shared" si="63"/>
        <v>1</v>
      </c>
      <c r="J526" s="30">
        <f t="shared" si="57"/>
        <v>0</v>
      </c>
      <c r="L526" s="30">
        <f ca="1">SUM(K526:OFFSET(RngToDay,ROWS(Dates),10))</f>
        <v>24</v>
      </c>
      <c r="M526" s="32" t="str">
        <f ca="1">IF(B526="","",SUM(C526:OFFSET(C526,-SafetyStock!$B$4+1,0)))</f>
        <v/>
      </c>
      <c r="N526" s="32" t="e">
        <f t="shared" ca="1" si="58"/>
        <v>#DIV/0!</v>
      </c>
      <c r="O526" s="30">
        <f t="shared" si="64"/>
        <v>526</v>
      </c>
      <c r="P526" s="32">
        <f t="shared" ca="1" si="59"/>
        <v>0</v>
      </c>
      <c r="Q526" s="32">
        <f ca="1">IF(LeadTime=0,P526,IF(AND(SUM(Q525:OFFSET(Q526,-LeadTime,0))=0,P526&gt;0),MAX(P526:OFFSET(P526,-LeadTime+1,0)),0))</f>
        <v>0</v>
      </c>
    </row>
    <row r="527" spans="1:17" x14ac:dyDescent="0.25">
      <c r="F527" s="32">
        <f t="shared" si="60"/>
        <v>0</v>
      </c>
      <c r="G527" s="30" t="str">
        <f t="shared" ca="1" si="61"/>
        <v>History</v>
      </c>
      <c r="H527" s="30">
        <f t="shared" si="62"/>
        <v>1900</v>
      </c>
      <c r="I527" s="30">
        <f t="shared" si="63"/>
        <v>1</v>
      </c>
      <c r="J527" s="30">
        <f t="shared" si="57"/>
        <v>0</v>
      </c>
      <c r="L527" s="30">
        <f ca="1">SUM(K527:OFFSET(RngToDay,ROWS(Dates),10))</f>
        <v>24</v>
      </c>
      <c r="M527" s="32" t="str">
        <f ca="1">IF(B527="","",SUM(C527:OFFSET(C527,-SafetyStock!$B$4+1,0)))</f>
        <v/>
      </c>
      <c r="N527" s="32" t="e">
        <f t="shared" ca="1" si="58"/>
        <v>#DIV/0!</v>
      </c>
      <c r="O527" s="30">
        <f t="shared" si="64"/>
        <v>527</v>
      </c>
      <c r="P527" s="32">
        <f t="shared" ca="1" si="59"/>
        <v>0</v>
      </c>
      <c r="Q527" s="32">
        <f ca="1">IF(LeadTime=0,P527,IF(AND(SUM(Q526:OFFSET(Q527,-LeadTime,0))=0,P527&gt;0),MAX(P527:OFFSET(P527,-LeadTime+1,0)),0))</f>
        <v>0</v>
      </c>
    </row>
    <row r="528" spans="1:17" x14ac:dyDescent="0.25">
      <c r="F528" s="32">
        <f t="shared" si="60"/>
        <v>0</v>
      </c>
      <c r="G528" s="30" t="str">
        <f t="shared" ca="1" si="61"/>
        <v>History</v>
      </c>
      <c r="H528" s="30">
        <f t="shared" si="62"/>
        <v>1900</v>
      </c>
      <c r="I528" s="30">
        <f t="shared" si="63"/>
        <v>1</v>
      </c>
      <c r="J528" s="30">
        <f t="shared" si="57"/>
        <v>0</v>
      </c>
      <c r="L528" s="30">
        <f ca="1">SUM(K528:OFFSET(RngToDay,ROWS(Dates),10))</f>
        <v>24</v>
      </c>
      <c r="M528" s="32" t="str">
        <f ca="1">IF(B528="","",SUM(C528:OFFSET(C528,-SafetyStock!$B$4+1,0)))</f>
        <v/>
      </c>
      <c r="N528" s="32" t="e">
        <f t="shared" ca="1" si="58"/>
        <v>#DIV/0!</v>
      </c>
      <c r="O528" s="30">
        <f t="shared" si="64"/>
        <v>528</v>
      </c>
      <c r="P528" s="32">
        <f t="shared" ca="1" si="59"/>
        <v>0</v>
      </c>
      <c r="Q528" s="32">
        <f ca="1">IF(LeadTime=0,P528,IF(AND(SUM(Q527:OFFSET(Q528,-LeadTime,0))=0,P528&gt;0),MAX(P528:OFFSET(P528,-LeadTime+1,0)),0))</f>
        <v>0</v>
      </c>
    </row>
    <row r="529" spans="6:17" x14ac:dyDescent="0.25">
      <c r="F529" s="32">
        <f t="shared" si="60"/>
        <v>0</v>
      </c>
      <c r="G529" s="30" t="str">
        <f t="shared" ca="1" si="61"/>
        <v>History</v>
      </c>
      <c r="H529" s="30">
        <f t="shared" si="62"/>
        <v>1900</v>
      </c>
      <c r="I529" s="30">
        <f t="shared" si="63"/>
        <v>1</v>
      </c>
      <c r="J529" s="30">
        <f t="shared" si="57"/>
        <v>0</v>
      </c>
      <c r="L529" s="30">
        <f ca="1">SUM(K529:OFFSET(RngToDay,ROWS(Dates),10))</f>
        <v>24</v>
      </c>
      <c r="M529" s="32" t="str">
        <f ca="1">IF(B529="","",SUM(C529:OFFSET(C529,-SafetyStock!$B$4+1,0)))</f>
        <v/>
      </c>
      <c r="N529" s="32" t="e">
        <f t="shared" ca="1" si="58"/>
        <v>#DIV/0!</v>
      </c>
      <c r="O529" s="30">
        <f t="shared" si="64"/>
        <v>529</v>
      </c>
      <c r="P529" s="32">
        <f t="shared" ca="1" si="59"/>
        <v>0</v>
      </c>
      <c r="Q529" s="32">
        <f ca="1">IF(LeadTime=0,P529,IF(AND(SUM(Q528:OFFSET(Q529,-LeadTime,0))=0,P529&gt;0),MAX(P529:OFFSET(P529,-LeadTime+1,0)),0))</f>
        <v>0</v>
      </c>
    </row>
    <row r="530" spans="6:17" x14ac:dyDescent="0.25">
      <c r="F530" s="32">
        <f t="shared" si="60"/>
        <v>0</v>
      </c>
      <c r="G530" s="30" t="str">
        <f t="shared" ca="1" si="61"/>
        <v>History</v>
      </c>
      <c r="H530" s="30">
        <f t="shared" si="62"/>
        <v>1900</v>
      </c>
      <c r="I530" s="30">
        <f t="shared" si="63"/>
        <v>1</v>
      </c>
      <c r="J530" s="30">
        <f t="shared" si="57"/>
        <v>0</v>
      </c>
      <c r="L530" s="30">
        <f ca="1">SUM(K530:OFFSET(RngToDay,ROWS(Dates),10))</f>
        <v>24</v>
      </c>
      <c r="M530" s="32" t="str">
        <f ca="1">IF(B530="","",SUM(C530:OFFSET(C530,-SafetyStock!$B$4+1,0)))</f>
        <v/>
      </c>
      <c r="N530" s="32" t="e">
        <f t="shared" ca="1" si="58"/>
        <v>#DIV/0!</v>
      </c>
      <c r="O530" s="30">
        <f t="shared" si="64"/>
        <v>530</v>
      </c>
      <c r="P530" s="32">
        <f t="shared" ca="1" si="59"/>
        <v>0</v>
      </c>
      <c r="Q530" s="32">
        <f ca="1">IF(LeadTime=0,P530,IF(AND(SUM(Q529:OFFSET(Q530,-LeadTime,0))=0,P530&gt;0),MAX(P530:OFFSET(P530,-LeadTime+1,0)),0))</f>
        <v>0</v>
      </c>
    </row>
    <row r="531" spans="6:17" x14ac:dyDescent="0.25">
      <c r="F531" s="32">
        <f t="shared" si="60"/>
        <v>0</v>
      </c>
      <c r="G531" s="30" t="str">
        <f t="shared" ca="1" si="61"/>
        <v>History</v>
      </c>
      <c r="H531" s="30">
        <f t="shared" si="62"/>
        <v>1900</v>
      </c>
      <c r="I531" s="30">
        <f t="shared" si="63"/>
        <v>1</v>
      </c>
      <c r="J531" s="30">
        <f t="shared" si="57"/>
        <v>0</v>
      </c>
      <c r="L531" s="30">
        <f ca="1">SUM(K531:OFFSET(RngToDay,ROWS(Dates),10))</f>
        <v>24</v>
      </c>
      <c r="M531" s="32" t="str">
        <f ca="1">IF(B531="","",SUM(C531:OFFSET(C531,-SafetyStock!$B$4+1,0)))</f>
        <v/>
      </c>
      <c r="N531" s="32" t="e">
        <f t="shared" ca="1" si="58"/>
        <v>#DIV/0!</v>
      </c>
      <c r="O531" s="30">
        <f t="shared" si="64"/>
        <v>531</v>
      </c>
      <c r="P531" s="32">
        <f t="shared" ca="1" si="59"/>
        <v>0</v>
      </c>
      <c r="Q531" s="32">
        <f ca="1">IF(LeadTime=0,P531,IF(AND(SUM(Q530:OFFSET(Q531,-LeadTime,0))=0,P531&gt;0),MAX(P531:OFFSET(P531,-LeadTime+1,0)),0))</f>
        <v>0</v>
      </c>
    </row>
    <row r="532" spans="6:17" x14ac:dyDescent="0.25">
      <c r="F532" s="32">
        <f t="shared" si="60"/>
        <v>0</v>
      </c>
      <c r="G532" s="30" t="str">
        <f t="shared" ca="1" si="61"/>
        <v>History</v>
      </c>
      <c r="H532" s="30">
        <f t="shared" si="62"/>
        <v>1900</v>
      </c>
      <c r="I532" s="30">
        <f t="shared" si="63"/>
        <v>1</v>
      </c>
      <c r="J532" s="30">
        <f t="shared" si="57"/>
        <v>0</v>
      </c>
      <c r="L532" s="30">
        <f ca="1">SUM(K532:OFFSET(RngToDay,ROWS(Dates),10))</f>
        <v>24</v>
      </c>
      <c r="M532" s="32" t="str">
        <f ca="1">IF(B532="","",SUM(C532:OFFSET(C532,-SafetyStock!$B$4+1,0)))</f>
        <v/>
      </c>
      <c r="N532" s="32" t="e">
        <f t="shared" ca="1" si="58"/>
        <v>#DIV/0!</v>
      </c>
      <c r="O532" s="30">
        <f t="shared" si="64"/>
        <v>532</v>
      </c>
      <c r="P532" s="32">
        <f t="shared" ca="1" si="59"/>
        <v>0</v>
      </c>
      <c r="Q532" s="32">
        <f ca="1">IF(LeadTime=0,P532,IF(AND(SUM(Q531:OFFSET(Q532,-LeadTime,0))=0,P532&gt;0),MAX(P532:OFFSET(P532,-LeadTime+1,0)),0))</f>
        <v>0</v>
      </c>
    </row>
    <row r="533" spans="6:17" x14ac:dyDescent="0.25">
      <c r="F533" s="32">
        <f t="shared" si="60"/>
        <v>0</v>
      </c>
      <c r="G533" s="30" t="str">
        <f t="shared" ca="1" si="61"/>
        <v>History</v>
      </c>
      <c r="H533" s="30">
        <f t="shared" si="62"/>
        <v>1900</v>
      </c>
      <c r="I533" s="30">
        <f t="shared" si="63"/>
        <v>1</v>
      </c>
      <c r="J533" s="30">
        <f t="shared" si="57"/>
        <v>0</v>
      </c>
      <c r="L533" s="30">
        <f ca="1">SUM(K533:OFFSET(RngToDay,ROWS(Dates),10))</f>
        <v>24</v>
      </c>
      <c r="M533" s="32" t="str">
        <f ca="1">IF(B533="","",SUM(C533:OFFSET(C533,-SafetyStock!$B$4+1,0)))</f>
        <v/>
      </c>
      <c r="N533" s="32" t="e">
        <f t="shared" ca="1" si="58"/>
        <v>#DIV/0!</v>
      </c>
      <c r="O533" s="30">
        <f t="shared" si="64"/>
        <v>533</v>
      </c>
      <c r="P533" s="32">
        <f t="shared" ca="1" si="59"/>
        <v>0</v>
      </c>
      <c r="Q533" s="32">
        <f ca="1">IF(LeadTime=0,P533,IF(AND(SUM(Q532:OFFSET(Q533,-LeadTime,0))=0,P533&gt;0),MAX(P533:OFFSET(P533,-LeadTime+1,0)),0))</f>
        <v>0</v>
      </c>
    </row>
    <row r="534" spans="6:17" x14ac:dyDescent="0.25">
      <c r="F534" s="32">
        <f t="shared" si="60"/>
        <v>0</v>
      </c>
      <c r="G534" s="30" t="str">
        <f t="shared" ca="1" si="61"/>
        <v>History</v>
      </c>
      <c r="H534" s="30">
        <f t="shared" si="62"/>
        <v>1900</v>
      </c>
      <c r="I534" s="30">
        <f t="shared" si="63"/>
        <v>1</v>
      </c>
      <c r="J534" s="30">
        <f t="shared" si="57"/>
        <v>0</v>
      </c>
      <c r="L534" s="30">
        <f ca="1">SUM(K534:OFFSET(RngToDay,ROWS(Dates),10))</f>
        <v>24</v>
      </c>
      <c r="M534" s="32" t="str">
        <f ca="1">IF(B534="","",SUM(C534:OFFSET(C534,-SafetyStock!$B$4+1,0)))</f>
        <v/>
      </c>
      <c r="N534" s="32" t="e">
        <f t="shared" ca="1" si="58"/>
        <v>#DIV/0!</v>
      </c>
      <c r="O534" s="30">
        <f t="shared" si="64"/>
        <v>534</v>
      </c>
      <c r="P534" s="32">
        <f t="shared" ca="1" si="59"/>
        <v>0</v>
      </c>
      <c r="Q534" s="32">
        <f ca="1">IF(LeadTime=0,P534,IF(AND(SUM(Q533:OFFSET(Q534,-LeadTime,0))=0,P534&gt;0),MAX(P534:OFFSET(P534,-LeadTime+1,0)),0))</f>
        <v>0</v>
      </c>
    </row>
    <row r="535" spans="6:17" x14ac:dyDescent="0.25">
      <c r="F535" s="32">
        <f t="shared" si="60"/>
        <v>0</v>
      </c>
      <c r="G535" s="30" t="str">
        <f t="shared" ca="1" si="61"/>
        <v>History</v>
      </c>
      <c r="H535" s="30">
        <f t="shared" si="62"/>
        <v>1900</v>
      </c>
      <c r="I535" s="30">
        <f t="shared" si="63"/>
        <v>1</v>
      </c>
      <c r="J535" s="30">
        <f t="shared" si="57"/>
        <v>0</v>
      </c>
      <c r="L535" s="30">
        <f ca="1">SUM(K535:OFFSET(RngToDay,ROWS(Dates),10))</f>
        <v>24</v>
      </c>
      <c r="M535" s="32" t="str">
        <f ca="1">IF(B535="","",SUM(C535:OFFSET(C535,-SafetyStock!$B$4+1,0)))</f>
        <v/>
      </c>
      <c r="N535" s="32" t="e">
        <f t="shared" ca="1" si="58"/>
        <v>#DIV/0!</v>
      </c>
      <c r="O535" s="30">
        <f t="shared" si="64"/>
        <v>535</v>
      </c>
      <c r="P535" s="32">
        <f t="shared" ca="1" si="59"/>
        <v>0</v>
      </c>
      <c r="Q535" s="32">
        <f ca="1">IF(LeadTime=0,P535,IF(AND(SUM(Q534:OFFSET(Q535,-LeadTime,0))=0,P535&gt;0),MAX(P535:OFFSET(P535,-LeadTime+1,0)),0))</f>
        <v>0</v>
      </c>
    </row>
    <row r="536" spans="6:17" x14ac:dyDescent="0.25">
      <c r="F536" s="32">
        <f t="shared" si="60"/>
        <v>0</v>
      </c>
      <c r="G536" s="30" t="str">
        <f t="shared" ca="1" si="61"/>
        <v>History</v>
      </c>
      <c r="H536" s="30">
        <f t="shared" si="62"/>
        <v>1900</v>
      </c>
      <c r="I536" s="30">
        <f t="shared" si="63"/>
        <v>1</v>
      </c>
      <c r="J536" s="30">
        <f t="shared" si="57"/>
        <v>0</v>
      </c>
      <c r="L536" s="30">
        <f ca="1">SUM(K536:OFFSET(RngToDay,ROWS(Dates),10))</f>
        <v>24</v>
      </c>
      <c r="M536" s="32" t="str">
        <f ca="1">IF(B536="","",SUM(C536:OFFSET(C536,-SafetyStock!$B$4+1,0)))</f>
        <v/>
      </c>
      <c r="N536" s="32" t="e">
        <f t="shared" ca="1" si="58"/>
        <v>#DIV/0!</v>
      </c>
      <c r="O536" s="30">
        <f t="shared" si="64"/>
        <v>536</v>
      </c>
      <c r="P536" s="32">
        <f t="shared" ca="1" si="59"/>
        <v>0</v>
      </c>
      <c r="Q536" s="32">
        <f ca="1">IF(LeadTime=0,P536,IF(AND(SUM(Q535:OFFSET(Q536,-LeadTime,0))=0,P536&gt;0),MAX(P536:OFFSET(P536,-LeadTime+1,0)),0))</f>
        <v>0</v>
      </c>
    </row>
    <row r="537" spans="6:17" x14ac:dyDescent="0.25">
      <c r="F537" s="32">
        <f t="shared" si="60"/>
        <v>0</v>
      </c>
      <c r="G537" s="30" t="str">
        <f t="shared" ca="1" si="61"/>
        <v>History</v>
      </c>
      <c r="H537" s="30">
        <f t="shared" si="62"/>
        <v>1900</v>
      </c>
      <c r="I537" s="30">
        <f t="shared" si="63"/>
        <v>1</v>
      </c>
      <c r="J537" s="30">
        <f t="shared" si="57"/>
        <v>0</v>
      </c>
      <c r="L537" s="30">
        <f ca="1">SUM(K537:OFFSET(RngToDay,ROWS(Dates),10))</f>
        <v>24</v>
      </c>
      <c r="M537" s="32" t="str">
        <f ca="1">IF(B537="","",SUM(C537:OFFSET(C537,-SafetyStock!$B$4+1,0)))</f>
        <v/>
      </c>
      <c r="N537" s="32" t="e">
        <f t="shared" ca="1" si="58"/>
        <v>#DIV/0!</v>
      </c>
      <c r="O537" s="30">
        <f t="shared" si="64"/>
        <v>537</v>
      </c>
      <c r="P537" s="32">
        <f t="shared" ca="1" si="59"/>
        <v>0</v>
      </c>
      <c r="Q537" s="32">
        <f ca="1">IF(LeadTime=0,P537,IF(AND(SUM(Q536:OFFSET(Q537,-LeadTime,0))=0,P537&gt;0),MAX(P537:OFFSET(P537,-LeadTime+1,0)),0))</f>
        <v>0</v>
      </c>
    </row>
    <row r="538" spans="6:17" x14ac:dyDescent="0.25">
      <c r="F538" s="32">
        <f t="shared" si="60"/>
        <v>0</v>
      </c>
      <c r="G538" s="30" t="str">
        <f t="shared" ca="1" si="61"/>
        <v>History</v>
      </c>
      <c r="H538" s="30">
        <f t="shared" si="62"/>
        <v>1900</v>
      </c>
      <c r="I538" s="30">
        <f t="shared" si="63"/>
        <v>1</v>
      </c>
      <c r="J538" s="30">
        <f t="shared" si="57"/>
        <v>0</v>
      </c>
      <c r="L538" s="30">
        <f ca="1">SUM(K538:OFFSET(RngToDay,ROWS(Dates),10))</f>
        <v>24</v>
      </c>
      <c r="M538" s="32" t="str">
        <f ca="1">IF(B538="","",SUM(C538:OFFSET(C538,-SafetyStock!$B$4+1,0)))</f>
        <v/>
      </c>
      <c r="N538" s="32" t="e">
        <f t="shared" ca="1" si="58"/>
        <v>#DIV/0!</v>
      </c>
      <c r="O538" s="30">
        <f t="shared" si="64"/>
        <v>538</v>
      </c>
      <c r="P538" s="32">
        <f t="shared" ca="1" si="59"/>
        <v>0</v>
      </c>
      <c r="Q538" s="32">
        <f ca="1">IF(LeadTime=0,P538,IF(AND(SUM(Q537:OFFSET(Q538,-LeadTime,0))=0,P538&gt;0),MAX(P538:OFFSET(P538,-LeadTime+1,0)),0))</f>
        <v>0</v>
      </c>
    </row>
    <row r="539" spans="6:17" x14ac:dyDescent="0.25">
      <c r="F539" s="32">
        <f t="shared" si="60"/>
        <v>0</v>
      </c>
      <c r="G539" s="30" t="str">
        <f t="shared" ca="1" si="61"/>
        <v>History</v>
      </c>
      <c r="H539" s="30">
        <f t="shared" si="62"/>
        <v>1900</v>
      </c>
      <c r="I539" s="30">
        <f t="shared" si="63"/>
        <v>1</v>
      </c>
      <c r="J539" s="30">
        <f t="shared" si="57"/>
        <v>0</v>
      </c>
      <c r="L539" s="30">
        <f ca="1">SUM(K539:OFFSET(RngToDay,ROWS(Dates),10))</f>
        <v>24</v>
      </c>
      <c r="M539" s="32" t="str">
        <f ca="1">IF(B539="","",SUM(C539:OFFSET(C539,-SafetyStock!$B$4+1,0)))</f>
        <v/>
      </c>
      <c r="N539" s="32" t="e">
        <f t="shared" ca="1" si="58"/>
        <v>#DIV/0!</v>
      </c>
      <c r="O539" s="30">
        <f t="shared" si="64"/>
        <v>539</v>
      </c>
      <c r="P539" s="32">
        <f t="shared" ca="1" si="59"/>
        <v>0</v>
      </c>
      <c r="Q539" s="32">
        <f ca="1">IF(LeadTime=0,P539,IF(AND(SUM(Q538:OFFSET(Q539,-LeadTime,0))=0,P539&gt;0),MAX(P539:OFFSET(P539,-LeadTime+1,0)),0))</f>
        <v>0</v>
      </c>
    </row>
    <row r="540" spans="6:17" x14ac:dyDescent="0.25">
      <c r="F540" s="32">
        <f t="shared" si="60"/>
        <v>0</v>
      </c>
      <c r="G540" s="30" t="str">
        <f t="shared" ca="1" si="61"/>
        <v>History</v>
      </c>
      <c r="H540" s="30">
        <f t="shared" si="62"/>
        <v>1900</v>
      </c>
      <c r="I540" s="30">
        <f t="shared" si="63"/>
        <v>1</v>
      </c>
      <c r="J540" s="30">
        <f t="shared" si="57"/>
        <v>0</v>
      </c>
      <c r="L540" s="30">
        <f ca="1">SUM(K540:OFFSET(RngToDay,ROWS(Dates),10))</f>
        <v>24</v>
      </c>
      <c r="M540" s="32" t="str">
        <f ca="1">IF(B540="","",SUM(C540:OFFSET(C540,-SafetyStock!$B$4+1,0)))</f>
        <v/>
      </c>
      <c r="N540" s="32" t="e">
        <f t="shared" ca="1" si="58"/>
        <v>#DIV/0!</v>
      </c>
      <c r="O540" s="30">
        <f t="shared" si="64"/>
        <v>540</v>
      </c>
      <c r="P540" s="32">
        <f t="shared" ca="1" si="59"/>
        <v>0</v>
      </c>
      <c r="Q540" s="32">
        <f ca="1">IF(LeadTime=0,P540,IF(AND(SUM(Q539:OFFSET(Q540,-LeadTime,0))=0,P540&gt;0),MAX(P540:OFFSET(P540,-LeadTime+1,0)),0))</f>
        <v>0</v>
      </c>
    </row>
    <row r="541" spans="6:17" x14ac:dyDescent="0.25">
      <c r="F541" s="32">
        <f t="shared" si="60"/>
        <v>0</v>
      </c>
      <c r="G541" s="30" t="str">
        <f t="shared" ca="1" si="61"/>
        <v>History</v>
      </c>
      <c r="H541" s="30">
        <f t="shared" si="62"/>
        <v>1900</v>
      </c>
      <c r="I541" s="30">
        <f t="shared" si="63"/>
        <v>1</v>
      </c>
      <c r="J541" s="30">
        <f t="shared" si="57"/>
        <v>0</v>
      </c>
      <c r="L541" s="30">
        <f ca="1">SUM(K541:OFFSET(RngToDay,ROWS(Dates),10))</f>
        <v>24</v>
      </c>
      <c r="M541" s="32" t="str">
        <f ca="1">IF(B541="","",SUM(C541:OFFSET(C541,-SafetyStock!$B$4+1,0)))</f>
        <v/>
      </c>
      <c r="N541" s="32" t="e">
        <f t="shared" ca="1" si="58"/>
        <v>#DIV/0!</v>
      </c>
      <c r="O541" s="30">
        <f t="shared" si="64"/>
        <v>541</v>
      </c>
      <c r="P541" s="32">
        <f t="shared" ca="1" si="59"/>
        <v>0</v>
      </c>
      <c r="Q541" s="32">
        <f ca="1">IF(LeadTime=0,P541,IF(AND(SUM(Q540:OFFSET(Q541,-LeadTime,0))=0,P541&gt;0),MAX(P541:OFFSET(P541,-LeadTime+1,0)),0))</f>
        <v>0</v>
      </c>
    </row>
    <row r="542" spans="6:17" x14ac:dyDescent="0.25">
      <c r="F542" s="32">
        <f t="shared" si="60"/>
        <v>0</v>
      </c>
      <c r="G542" s="30" t="str">
        <f t="shared" ca="1" si="61"/>
        <v>History</v>
      </c>
      <c r="H542" s="30">
        <f t="shared" si="62"/>
        <v>1900</v>
      </c>
      <c r="I542" s="30">
        <f t="shared" si="63"/>
        <v>1</v>
      </c>
      <c r="J542" s="30">
        <f t="shared" si="57"/>
        <v>0</v>
      </c>
      <c r="L542" s="30">
        <f ca="1">SUM(K542:OFFSET(RngToDay,ROWS(Dates),10))</f>
        <v>24</v>
      </c>
      <c r="M542" s="32" t="str">
        <f ca="1">IF(B542="","",SUM(C542:OFFSET(C542,-SafetyStock!$B$4+1,0)))</f>
        <v/>
      </c>
      <c r="N542" s="32" t="e">
        <f t="shared" ca="1" si="58"/>
        <v>#DIV/0!</v>
      </c>
      <c r="O542" s="30">
        <f t="shared" si="64"/>
        <v>542</v>
      </c>
      <c r="P542" s="32">
        <f t="shared" ca="1" si="59"/>
        <v>0</v>
      </c>
      <c r="Q542" s="32">
        <f ca="1">IF(LeadTime=0,P542,IF(AND(SUM(Q541:OFFSET(Q542,-LeadTime,0))=0,P542&gt;0),MAX(P542:OFFSET(P542,-LeadTime+1,0)),0))</f>
        <v>0</v>
      </c>
    </row>
    <row r="543" spans="6:17" x14ac:dyDescent="0.25">
      <c r="F543" s="32">
        <f t="shared" si="60"/>
        <v>0</v>
      </c>
      <c r="G543" s="30" t="str">
        <f t="shared" ca="1" si="61"/>
        <v>History</v>
      </c>
      <c r="H543" s="30">
        <f t="shared" si="62"/>
        <v>1900</v>
      </c>
      <c r="I543" s="30">
        <f t="shared" si="63"/>
        <v>1</v>
      </c>
      <c r="J543" s="30">
        <f t="shared" si="57"/>
        <v>0</v>
      </c>
      <c r="L543" s="30">
        <f ca="1">SUM(K543:OFFSET(RngToDay,ROWS(Dates),10))</f>
        <v>24</v>
      </c>
      <c r="M543" s="32" t="str">
        <f ca="1">IF(B543="","",SUM(C543:OFFSET(C543,-SafetyStock!$B$4+1,0)))</f>
        <v/>
      </c>
      <c r="N543" s="32" t="e">
        <f t="shared" ca="1" si="58"/>
        <v>#DIV/0!</v>
      </c>
      <c r="O543" s="30">
        <f t="shared" si="64"/>
        <v>543</v>
      </c>
      <c r="P543" s="32">
        <f t="shared" ca="1" si="59"/>
        <v>0</v>
      </c>
      <c r="Q543" s="32">
        <f ca="1">IF(LeadTime=0,P543,IF(AND(SUM(Q542:OFFSET(Q543,-LeadTime,0))=0,P543&gt;0),MAX(P543:OFFSET(P543,-LeadTime+1,0)),0))</f>
        <v>0</v>
      </c>
    </row>
    <row r="544" spans="6:17" x14ac:dyDescent="0.25">
      <c r="F544" s="32">
        <f t="shared" si="60"/>
        <v>0</v>
      </c>
      <c r="G544" s="30" t="str">
        <f t="shared" ca="1" si="61"/>
        <v>History</v>
      </c>
      <c r="H544" s="30">
        <f t="shared" si="62"/>
        <v>1900</v>
      </c>
      <c r="I544" s="30">
        <f t="shared" si="63"/>
        <v>1</v>
      </c>
      <c r="J544" s="30">
        <f t="shared" si="57"/>
        <v>0</v>
      </c>
      <c r="L544" s="30">
        <f ca="1">SUM(K544:OFFSET(RngToDay,ROWS(Dates),10))</f>
        <v>24</v>
      </c>
      <c r="M544" s="32" t="str">
        <f ca="1">IF(B544="","",SUM(C544:OFFSET(C544,-SafetyStock!$B$4+1,0)))</f>
        <v/>
      </c>
      <c r="N544" s="32" t="e">
        <f t="shared" ca="1" si="58"/>
        <v>#DIV/0!</v>
      </c>
      <c r="O544" s="30">
        <f t="shared" si="64"/>
        <v>544</v>
      </c>
      <c r="P544" s="32">
        <f t="shared" ca="1" si="59"/>
        <v>0</v>
      </c>
      <c r="Q544" s="32">
        <f ca="1">IF(LeadTime=0,P544,IF(AND(SUM(Q543:OFFSET(Q544,-LeadTime,0))=0,P544&gt;0),MAX(P544:OFFSET(P544,-LeadTime+1,0)),0))</f>
        <v>0</v>
      </c>
    </row>
    <row r="545" spans="6:17" x14ac:dyDescent="0.25">
      <c r="F545" s="32">
        <f t="shared" si="60"/>
        <v>0</v>
      </c>
      <c r="G545" s="30" t="str">
        <f t="shared" ca="1" si="61"/>
        <v>History</v>
      </c>
      <c r="H545" s="30">
        <f t="shared" si="62"/>
        <v>1900</v>
      </c>
      <c r="I545" s="30">
        <f t="shared" si="63"/>
        <v>1</v>
      </c>
      <c r="J545" s="30">
        <f t="shared" si="57"/>
        <v>0</v>
      </c>
      <c r="L545" s="30">
        <f ca="1">SUM(K545:OFFSET(RngToDay,ROWS(Dates),10))</f>
        <v>24</v>
      </c>
      <c r="M545" s="32" t="str">
        <f ca="1">IF(B545="","",SUM(C545:OFFSET(C545,-SafetyStock!$B$4+1,0)))</f>
        <v/>
      </c>
      <c r="N545" s="32" t="e">
        <f t="shared" ca="1" si="58"/>
        <v>#DIV/0!</v>
      </c>
      <c r="O545" s="30">
        <f t="shared" si="64"/>
        <v>545</v>
      </c>
      <c r="P545" s="32">
        <f t="shared" ca="1" si="59"/>
        <v>0</v>
      </c>
      <c r="Q545" s="32">
        <f ca="1">IF(LeadTime=0,P545,IF(AND(SUM(Q544:OFFSET(Q545,-LeadTime,0))=0,P545&gt;0),MAX(P545:OFFSET(P545,-LeadTime+1,0)),0))</f>
        <v>0</v>
      </c>
    </row>
    <row r="546" spans="6:17" x14ac:dyDescent="0.25">
      <c r="F546" s="32">
        <f t="shared" si="60"/>
        <v>0</v>
      </c>
      <c r="G546" s="30" t="str">
        <f t="shared" ca="1" si="61"/>
        <v>History</v>
      </c>
      <c r="H546" s="30">
        <f t="shared" si="62"/>
        <v>1900</v>
      </c>
      <c r="I546" s="30">
        <f t="shared" si="63"/>
        <v>1</v>
      </c>
      <c r="J546" s="30">
        <f t="shared" si="57"/>
        <v>0</v>
      </c>
      <c r="L546" s="30">
        <f ca="1">SUM(K546:OFFSET(RngToDay,ROWS(Dates),10))</f>
        <v>24</v>
      </c>
      <c r="M546" s="32" t="str">
        <f ca="1">IF(B546="","",SUM(C546:OFFSET(C546,-SafetyStock!$B$4+1,0)))</f>
        <v/>
      </c>
      <c r="N546" s="32" t="e">
        <f t="shared" ca="1" si="58"/>
        <v>#DIV/0!</v>
      </c>
      <c r="O546" s="30">
        <f t="shared" si="64"/>
        <v>546</v>
      </c>
      <c r="P546" s="32">
        <f t="shared" ca="1" si="59"/>
        <v>0</v>
      </c>
      <c r="Q546" s="32">
        <f ca="1">IF(LeadTime=0,P546,IF(AND(SUM(Q545:OFFSET(Q546,-LeadTime,0))=0,P546&gt;0),MAX(P546:OFFSET(P546,-LeadTime+1,0)),0))</f>
        <v>0</v>
      </c>
    </row>
    <row r="547" spans="6:17" x14ac:dyDescent="0.25">
      <c r="F547" s="32">
        <f t="shared" si="60"/>
        <v>0</v>
      </c>
      <c r="G547" s="30" t="str">
        <f t="shared" ca="1" si="61"/>
        <v>History</v>
      </c>
      <c r="H547" s="30">
        <f t="shared" si="62"/>
        <v>1900</v>
      </c>
      <c r="I547" s="30">
        <f t="shared" si="63"/>
        <v>1</v>
      </c>
      <c r="J547" s="30">
        <f t="shared" si="57"/>
        <v>0</v>
      </c>
      <c r="L547" s="30">
        <f ca="1">SUM(K547:OFFSET(RngToDay,ROWS(Dates),10))</f>
        <v>24</v>
      </c>
      <c r="M547" s="32" t="str">
        <f ca="1">IF(B547="","",SUM(C547:OFFSET(C547,-SafetyStock!$B$4+1,0)))</f>
        <v/>
      </c>
      <c r="N547" s="32" t="e">
        <f t="shared" ca="1" si="58"/>
        <v>#DIV/0!</v>
      </c>
      <c r="O547" s="30">
        <f t="shared" si="64"/>
        <v>547</v>
      </c>
      <c r="P547" s="32">
        <f t="shared" ca="1" si="59"/>
        <v>0</v>
      </c>
      <c r="Q547" s="32">
        <f ca="1">IF(LeadTime=0,P547,IF(AND(SUM(Q546:OFFSET(Q547,-LeadTime,0))=0,P547&gt;0),MAX(P547:OFFSET(P547,-LeadTime+1,0)),0))</f>
        <v>0</v>
      </c>
    </row>
    <row r="548" spans="6:17" x14ac:dyDescent="0.25">
      <c r="F548" s="32">
        <f t="shared" si="60"/>
        <v>0</v>
      </c>
      <c r="G548" s="30" t="str">
        <f t="shared" ca="1" si="61"/>
        <v>History</v>
      </c>
      <c r="H548" s="30">
        <f t="shared" si="62"/>
        <v>1900</v>
      </c>
      <c r="I548" s="30">
        <f t="shared" si="63"/>
        <v>1</v>
      </c>
      <c r="J548" s="30">
        <f t="shared" si="57"/>
        <v>0</v>
      </c>
      <c r="L548" s="30">
        <f ca="1">SUM(K548:OFFSET(RngToDay,ROWS(Dates),10))</f>
        <v>24</v>
      </c>
      <c r="M548" s="32" t="str">
        <f ca="1">IF(B548="","",SUM(C548:OFFSET(C548,-SafetyStock!$B$4+1,0)))</f>
        <v/>
      </c>
      <c r="N548" s="32" t="e">
        <f t="shared" ca="1" si="58"/>
        <v>#DIV/0!</v>
      </c>
      <c r="O548" s="30">
        <f t="shared" si="64"/>
        <v>548</v>
      </c>
      <c r="P548" s="32">
        <f t="shared" ca="1" si="59"/>
        <v>0</v>
      </c>
      <c r="Q548" s="32">
        <f ca="1">IF(LeadTime=0,P548,IF(AND(SUM(Q547:OFFSET(Q548,-LeadTime,0))=0,P548&gt;0),MAX(P548:OFFSET(P548,-LeadTime+1,0)),0))</f>
        <v>0</v>
      </c>
    </row>
    <row r="549" spans="6:17" x14ac:dyDescent="0.25">
      <c r="F549" s="32">
        <f t="shared" si="60"/>
        <v>0</v>
      </c>
      <c r="G549" s="30" t="str">
        <f t="shared" ca="1" si="61"/>
        <v>History</v>
      </c>
      <c r="H549" s="30">
        <f t="shared" si="62"/>
        <v>1900</v>
      </c>
      <c r="I549" s="30">
        <f t="shared" si="63"/>
        <v>1</v>
      </c>
      <c r="J549" s="30">
        <f t="shared" si="57"/>
        <v>0</v>
      </c>
      <c r="L549" s="30">
        <f ca="1">SUM(K549:OFFSET(RngToDay,ROWS(Dates),10))</f>
        <v>24</v>
      </c>
      <c r="M549" s="32" t="str">
        <f ca="1">IF(B549="","",SUM(C549:OFFSET(C549,-SafetyStock!$B$4+1,0)))</f>
        <v/>
      </c>
      <c r="N549" s="32" t="e">
        <f t="shared" ca="1" si="58"/>
        <v>#DIV/0!</v>
      </c>
      <c r="O549" s="30">
        <f t="shared" si="64"/>
        <v>549</v>
      </c>
      <c r="P549" s="32">
        <f t="shared" ca="1" si="59"/>
        <v>0</v>
      </c>
      <c r="Q549" s="32">
        <f ca="1">IF(LeadTime=0,P549,IF(AND(SUM(Q548:OFFSET(Q549,-LeadTime,0))=0,P549&gt;0),MAX(P549:OFFSET(P549,-LeadTime+1,0)),0))</f>
        <v>0</v>
      </c>
    </row>
    <row r="550" spans="6:17" x14ac:dyDescent="0.25">
      <c r="F550" s="32">
        <f t="shared" si="60"/>
        <v>0</v>
      </c>
      <c r="G550" s="30" t="str">
        <f t="shared" ca="1" si="61"/>
        <v>History</v>
      </c>
      <c r="H550" s="30">
        <f t="shared" si="62"/>
        <v>1900</v>
      </c>
      <c r="I550" s="30">
        <f t="shared" si="63"/>
        <v>1</v>
      </c>
      <c r="J550" s="30">
        <f t="shared" si="57"/>
        <v>0</v>
      </c>
      <c r="L550" s="30">
        <f ca="1">SUM(K550:OFFSET(RngToDay,ROWS(Dates),10))</f>
        <v>24</v>
      </c>
      <c r="M550" s="32" t="str">
        <f ca="1">IF(B550="","",SUM(C550:OFFSET(C550,-SafetyStock!$B$4+1,0)))</f>
        <v/>
      </c>
      <c r="N550" s="32" t="e">
        <f t="shared" ca="1" si="58"/>
        <v>#DIV/0!</v>
      </c>
      <c r="O550" s="30">
        <f t="shared" si="64"/>
        <v>550</v>
      </c>
      <c r="P550" s="32">
        <f t="shared" ca="1" si="59"/>
        <v>0</v>
      </c>
      <c r="Q550" s="32">
        <f ca="1">IF(LeadTime=0,P550,IF(AND(SUM(Q549:OFFSET(Q550,-LeadTime,0))=0,P550&gt;0),MAX(P550:OFFSET(P550,-LeadTime+1,0)),0))</f>
        <v>0</v>
      </c>
    </row>
    <row r="551" spans="6:17" x14ac:dyDescent="0.25">
      <c r="F551" s="32">
        <f t="shared" si="60"/>
        <v>0</v>
      </c>
      <c r="G551" s="30" t="str">
        <f t="shared" ca="1" si="61"/>
        <v>History</v>
      </c>
      <c r="H551" s="30">
        <f t="shared" si="62"/>
        <v>1900</v>
      </c>
      <c r="I551" s="30">
        <f t="shared" si="63"/>
        <v>1</v>
      </c>
      <c r="J551" s="30">
        <f t="shared" si="57"/>
        <v>0</v>
      </c>
      <c r="L551" s="30">
        <f ca="1">SUM(K551:OFFSET(RngToDay,ROWS(Dates),10))</f>
        <v>24</v>
      </c>
      <c r="M551" s="32" t="str">
        <f ca="1">IF(B551="","",SUM(C551:OFFSET(C551,-SafetyStock!$B$4+1,0)))</f>
        <v/>
      </c>
      <c r="N551" s="32" t="e">
        <f t="shared" ca="1" si="58"/>
        <v>#DIV/0!</v>
      </c>
      <c r="O551" s="30">
        <f t="shared" si="64"/>
        <v>551</v>
      </c>
      <c r="P551" s="32">
        <f t="shared" ca="1" si="59"/>
        <v>0</v>
      </c>
      <c r="Q551" s="32">
        <f ca="1">IF(LeadTime=0,P551,IF(AND(SUM(Q550:OFFSET(Q551,-LeadTime,0))=0,P551&gt;0),MAX(P551:OFFSET(P551,-LeadTime+1,0)),0))</f>
        <v>0</v>
      </c>
    </row>
    <row r="552" spans="6:17" x14ac:dyDescent="0.25">
      <c r="F552" s="32">
        <f t="shared" si="60"/>
        <v>0</v>
      </c>
      <c r="G552" s="30" t="str">
        <f t="shared" ca="1" si="61"/>
        <v>History</v>
      </c>
      <c r="H552" s="30">
        <f t="shared" si="62"/>
        <v>1900</v>
      </c>
      <c r="I552" s="30">
        <f t="shared" si="63"/>
        <v>1</v>
      </c>
      <c r="J552" s="30">
        <f t="shared" si="57"/>
        <v>0</v>
      </c>
      <c r="L552" s="30">
        <f ca="1">SUM(K552:OFFSET(RngToDay,ROWS(Dates),10))</f>
        <v>24</v>
      </c>
      <c r="M552" s="32" t="str">
        <f ca="1">IF(B552="","",SUM(C552:OFFSET(C552,-SafetyStock!$B$4+1,0)))</f>
        <v/>
      </c>
      <c r="N552" s="32" t="e">
        <f t="shared" ca="1" si="58"/>
        <v>#DIV/0!</v>
      </c>
      <c r="O552" s="30">
        <f t="shared" si="64"/>
        <v>552</v>
      </c>
      <c r="P552" s="32">
        <f t="shared" ca="1" si="59"/>
        <v>0</v>
      </c>
      <c r="Q552" s="32">
        <f ca="1">IF(LeadTime=0,P552,IF(AND(SUM(Q551:OFFSET(Q552,-LeadTime,0))=0,P552&gt;0),MAX(P552:OFFSET(P552,-LeadTime+1,0)),0))</f>
        <v>0</v>
      </c>
    </row>
    <row r="553" spans="6:17" x14ac:dyDescent="0.25">
      <c r="F553" s="32">
        <f t="shared" si="60"/>
        <v>0</v>
      </c>
      <c r="G553" s="30" t="str">
        <f t="shared" ca="1" si="61"/>
        <v>History</v>
      </c>
      <c r="H553" s="30">
        <f t="shared" si="62"/>
        <v>1900</v>
      </c>
      <c r="I553" s="30">
        <f t="shared" si="63"/>
        <v>1</v>
      </c>
      <c r="J553" s="30">
        <f t="shared" si="57"/>
        <v>0</v>
      </c>
      <c r="L553" s="30">
        <f ca="1">SUM(K553:OFFSET(RngToDay,ROWS(Dates),10))</f>
        <v>24</v>
      </c>
      <c r="M553" s="32" t="str">
        <f ca="1">IF(B553="","",SUM(C553:OFFSET(C553,-SafetyStock!$B$4+1,0)))</f>
        <v/>
      </c>
      <c r="N553" s="32" t="e">
        <f t="shared" ca="1" si="58"/>
        <v>#DIV/0!</v>
      </c>
      <c r="O553" s="30">
        <f t="shared" si="64"/>
        <v>553</v>
      </c>
      <c r="P553" s="32">
        <f t="shared" ca="1" si="59"/>
        <v>0</v>
      </c>
      <c r="Q553" s="32">
        <f ca="1">IF(LeadTime=0,P553,IF(AND(SUM(Q552:OFFSET(Q553,-LeadTime,0))=0,P553&gt;0),MAX(P553:OFFSET(P553,-LeadTime+1,0)),0))</f>
        <v>0</v>
      </c>
    </row>
    <row r="554" spans="6:17" x14ac:dyDescent="0.25">
      <c r="F554" s="32">
        <f t="shared" si="60"/>
        <v>0</v>
      </c>
      <c r="G554" s="30" t="str">
        <f t="shared" ca="1" si="61"/>
        <v>History</v>
      </c>
      <c r="H554" s="30">
        <f t="shared" si="62"/>
        <v>1900</v>
      </c>
      <c r="I554" s="30">
        <f t="shared" si="63"/>
        <v>1</v>
      </c>
      <c r="J554" s="30">
        <f t="shared" si="57"/>
        <v>0</v>
      </c>
      <c r="L554" s="30">
        <f ca="1">SUM(K554:OFFSET(RngToDay,ROWS(Dates),10))</f>
        <v>24</v>
      </c>
      <c r="M554" s="32" t="str">
        <f ca="1">IF(B554="","",SUM(C554:OFFSET(C554,-SafetyStock!$B$4+1,0)))</f>
        <v/>
      </c>
      <c r="N554" s="32" t="e">
        <f t="shared" ca="1" si="58"/>
        <v>#DIV/0!</v>
      </c>
      <c r="O554" s="30">
        <f t="shared" si="64"/>
        <v>554</v>
      </c>
      <c r="P554" s="32">
        <f t="shared" ca="1" si="59"/>
        <v>0</v>
      </c>
      <c r="Q554" s="32">
        <f ca="1">IF(LeadTime=0,P554,IF(AND(SUM(Q553:OFFSET(Q554,-LeadTime,0))=0,P554&gt;0),MAX(P554:OFFSET(P554,-LeadTime+1,0)),0))</f>
        <v>0</v>
      </c>
    </row>
    <row r="555" spans="6:17" x14ac:dyDescent="0.25">
      <c r="F555" s="32">
        <f t="shared" si="60"/>
        <v>0</v>
      </c>
      <c r="G555" s="30" t="str">
        <f t="shared" ca="1" si="61"/>
        <v>History</v>
      </c>
      <c r="H555" s="30">
        <f t="shared" si="62"/>
        <v>1900</v>
      </c>
      <c r="I555" s="30">
        <f t="shared" si="63"/>
        <v>1</v>
      </c>
      <c r="J555" s="30">
        <f t="shared" si="57"/>
        <v>0</v>
      </c>
      <c r="L555" s="30">
        <f ca="1">SUM(K555:OFFSET(RngToDay,ROWS(Dates),10))</f>
        <v>24</v>
      </c>
      <c r="M555" s="32" t="str">
        <f ca="1">IF(B555="","",SUM(C555:OFFSET(C555,-SafetyStock!$B$4+1,0)))</f>
        <v/>
      </c>
      <c r="N555" s="32" t="e">
        <f t="shared" ca="1" si="58"/>
        <v>#DIV/0!</v>
      </c>
      <c r="O555" s="30">
        <f t="shared" si="64"/>
        <v>555</v>
      </c>
      <c r="P555" s="32">
        <f t="shared" ca="1" si="59"/>
        <v>0</v>
      </c>
      <c r="Q555" s="32">
        <f ca="1">IF(LeadTime=0,P555,IF(AND(SUM(Q554:OFFSET(Q555,-LeadTime,0))=0,P555&gt;0),MAX(P555:OFFSET(P555,-LeadTime+1,0)),0))</f>
        <v>0</v>
      </c>
    </row>
    <row r="556" spans="6:17" x14ac:dyDescent="0.25">
      <c r="F556" s="32">
        <f t="shared" si="60"/>
        <v>0</v>
      </c>
      <c r="G556" s="30" t="str">
        <f t="shared" ca="1" si="61"/>
        <v>History</v>
      </c>
      <c r="H556" s="30">
        <f t="shared" si="62"/>
        <v>1900</v>
      </c>
      <c r="I556" s="30">
        <f t="shared" si="63"/>
        <v>1</v>
      </c>
      <c r="J556" s="30">
        <f t="shared" si="57"/>
        <v>0</v>
      </c>
      <c r="L556" s="30">
        <f ca="1">SUM(K556:OFFSET(RngToDay,ROWS(Dates),10))</f>
        <v>24</v>
      </c>
      <c r="M556" s="32" t="str">
        <f ca="1">IF(B556="","",SUM(C556:OFFSET(C556,-SafetyStock!$B$4+1,0)))</f>
        <v/>
      </c>
      <c r="N556" s="32" t="e">
        <f t="shared" ca="1" si="58"/>
        <v>#DIV/0!</v>
      </c>
      <c r="O556" s="30">
        <f t="shared" si="64"/>
        <v>556</v>
      </c>
      <c r="P556" s="32">
        <f t="shared" ca="1" si="59"/>
        <v>0</v>
      </c>
      <c r="Q556" s="32">
        <f ca="1">IF(LeadTime=0,P556,IF(AND(SUM(Q555:OFFSET(Q556,-LeadTime,0))=0,P556&gt;0),MAX(P556:OFFSET(P556,-LeadTime+1,0)),0))</f>
        <v>0</v>
      </c>
    </row>
    <row r="557" spans="6:17" x14ac:dyDescent="0.25">
      <c r="F557" s="32">
        <f t="shared" si="60"/>
        <v>0</v>
      </c>
      <c r="G557" s="30" t="str">
        <f t="shared" ca="1" si="61"/>
        <v>History</v>
      </c>
      <c r="H557" s="30">
        <f t="shared" si="62"/>
        <v>1900</v>
      </c>
      <c r="I557" s="30">
        <f t="shared" si="63"/>
        <v>1</v>
      </c>
      <c r="J557" s="30">
        <f t="shared" si="57"/>
        <v>0</v>
      </c>
      <c r="L557" s="30">
        <f ca="1">SUM(K557:OFFSET(RngToDay,ROWS(Dates),10))</f>
        <v>24</v>
      </c>
      <c r="M557" s="32" t="str">
        <f ca="1">IF(B557="","",SUM(C557:OFFSET(C557,-SafetyStock!$B$4+1,0)))</f>
        <v/>
      </c>
      <c r="N557" s="32" t="e">
        <f t="shared" ca="1" si="58"/>
        <v>#DIV/0!</v>
      </c>
      <c r="O557" s="30">
        <f t="shared" si="64"/>
        <v>557</v>
      </c>
      <c r="P557" s="32">
        <f t="shared" ca="1" si="59"/>
        <v>0</v>
      </c>
      <c r="Q557" s="32">
        <f ca="1">IF(LeadTime=0,P557,IF(AND(SUM(Q556:OFFSET(Q557,-LeadTime,0))=0,P557&gt;0),MAX(P557:OFFSET(P557,-LeadTime+1,0)),0))</f>
        <v>0</v>
      </c>
    </row>
    <row r="558" spans="6:17" x14ac:dyDescent="0.25">
      <c r="F558" s="32">
        <f t="shared" si="60"/>
        <v>0</v>
      </c>
      <c r="G558" s="30" t="str">
        <f t="shared" ca="1" si="61"/>
        <v>History</v>
      </c>
      <c r="H558" s="30">
        <f t="shared" si="62"/>
        <v>1900</v>
      </c>
      <c r="I558" s="30">
        <f t="shared" si="63"/>
        <v>1</v>
      </c>
      <c r="J558" s="30">
        <f t="shared" si="57"/>
        <v>0</v>
      </c>
      <c r="L558" s="30">
        <f ca="1">SUM(K558:OFFSET(RngToDay,ROWS(Dates),10))</f>
        <v>24</v>
      </c>
      <c r="M558" s="32" t="str">
        <f ca="1">IF(B558="","",SUM(C558:OFFSET(C558,-SafetyStock!$B$4+1,0)))</f>
        <v/>
      </c>
      <c r="N558" s="32" t="e">
        <f t="shared" ca="1" si="58"/>
        <v>#DIV/0!</v>
      </c>
      <c r="O558" s="30">
        <f t="shared" si="64"/>
        <v>558</v>
      </c>
      <c r="P558" s="32">
        <f t="shared" ca="1" si="59"/>
        <v>0</v>
      </c>
      <c r="Q558" s="32">
        <f ca="1">IF(LeadTime=0,P558,IF(AND(SUM(Q557:OFFSET(Q558,-LeadTime,0))=0,P558&gt;0),MAX(P558:OFFSET(P558,-LeadTime+1,0)),0))</f>
        <v>0</v>
      </c>
    </row>
    <row r="559" spans="6:17" x14ac:dyDescent="0.25">
      <c r="F559" s="32">
        <f t="shared" si="60"/>
        <v>0</v>
      </c>
      <c r="G559" s="30" t="str">
        <f t="shared" ca="1" si="61"/>
        <v>History</v>
      </c>
      <c r="H559" s="30">
        <f t="shared" si="62"/>
        <v>1900</v>
      </c>
      <c r="I559" s="30">
        <f t="shared" si="63"/>
        <v>1</v>
      </c>
      <c r="J559" s="30">
        <f t="shared" si="57"/>
        <v>0</v>
      </c>
      <c r="L559" s="30">
        <f ca="1">SUM(K559:OFFSET(RngToDay,ROWS(Dates),10))</f>
        <v>24</v>
      </c>
      <c r="M559" s="32" t="str">
        <f ca="1">IF(B559="","",SUM(C559:OFFSET(C559,-SafetyStock!$B$4+1,0)))</f>
        <v/>
      </c>
      <c r="N559" s="32" t="e">
        <f t="shared" ca="1" si="58"/>
        <v>#DIV/0!</v>
      </c>
      <c r="O559" s="30">
        <f t="shared" si="64"/>
        <v>559</v>
      </c>
      <c r="P559" s="32">
        <f t="shared" ca="1" si="59"/>
        <v>0</v>
      </c>
      <c r="Q559" s="32">
        <f ca="1">IF(LeadTime=0,P559,IF(AND(SUM(Q558:OFFSET(Q559,-LeadTime,0))=0,P559&gt;0),MAX(P559:OFFSET(P559,-LeadTime+1,0)),0))</f>
        <v>0</v>
      </c>
    </row>
    <row r="560" spans="6:17" x14ac:dyDescent="0.25">
      <c r="F560" s="32">
        <f t="shared" si="60"/>
        <v>0</v>
      </c>
      <c r="G560" s="30" t="str">
        <f t="shared" ca="1" si="61"/>
        <v>History</v>
      </c>
      <c r="H560" s="30">
        <f t="shared" si="62"/>
        <v>1900</v>
      </c>
      <c r="I560" s="30">
        <f t="shared" si="63"/>
        <v>1</v>
      </c>
      <c r="J560" s="30">
        <f t="shared" si="57"/>
        <v>0</v>
      </c>
      <c r="L560" s="30">
        <f ca="1">SUM(K560:OFFSET(RngToDay,ROWS(Dates),10))</f>
        <v>24</v>
      </c>
      <c r="M560" s="32" t="str">
        <f ca="1">IF(B560="","",SUM(C560:OFFSET(C560,-SafetyStock!$B$4+1,0)))</f>
        <v/>
      </c>
      <c r="N560" s="32" t="e">
        <f t="shared" ca="1" si="58"/>
        <v>#DIV/0!</v>
      </c>
      <c r="O560" s="30">
        <f t="shared" si="64"/>
        <v>560</v>
      </c>
      <c r="P560" s="32">
        <f t="shared" ca="1" si="59"/>
        <v>0</v>
      </c>
      <c r="Q560" s="32">
        <f ca="1">IF(LeadTime=0,P560,IF(AND(SUM(Q559:OFFSET(Q560,-LeadTime,0))=0,P560&gt;0),MAX(P560:OFFSET(P560,-LeadTime+1,0)),0))</f>
        <v>0</v>
      </c>
    </row>
    <row r="561" spans="6:17" x14ac:dyDescent="0.25">
      <c r="F561" s="32">
        <f t="shared" si="60"/>
        <v>0</v>
      </c>
      <c r="G561" s="30" t="str">
        <f t="shared" ca="1" si="61"/>
        <v>History</v>
      </c>
      <c r="H561" s="30">
        <f t="shared" si="62"/>
        <v>1900</v>
      </c>
      <c r="I561" s="30">
        <f t="shared" si="63"/>
        <v>1</v>
      </c>
      <c r="J561" s="30">
        <f t="shared" si="57"/>
        <v>0</v>
      </c>
      <c r="L561" s="30">
        <f ca="1">SUM(K561:OFFSET(RngToDay,ROWS(Dates),10))</f>
        <v>24</v>
      </c>
      <c r="M561" s="32" t="str">
        <f ca="1">IF(B561="","",SUM(C561:OFFSET(C561,-SafetyStock!$B$4+1,0)))</f>
        <v/>
      </c>
      <c r="N561" s="32" t="e">
        <f t="shared" ca="1" si="58"/>
        <v>#DIV/0!</v>
      </c>
      <c r="O561" s="30">
        <f t="shared" si="64"/>
        <v>561</v>
      </c>
      <c r="P561" s="32">
        <f t="shared" ca="1" si="59"/>
        <v>0</v>
      </c>
      <c r="Q561" s="32">
        <f ca="1">IF(LeadTime=0,P561,IF(AND(SUM(Q560:OFFSET(Q561,-LeadTime,0))=0,P561&gt;0),MAX(P561:OFFSET(P561,-LeadTime+1,0)),0))</f>
        <v>0</v>
      </c>
    </row>
    <row r="562" spans="6:17" x14ac:dyDescent="0.25">
      <c r="F562" s="32">
        <f t="shared" si="60"/>
        <v>0</v>
      </c>
      <c r="G562" s="30" t="str">
        <f t="shared" ca="1" si="61"/>
        <v>History</v>
      </c>
      <c r="H562" s="30">
        <f t="shared" si="62"/>
        <v>1900</v>
      </c>
      <c r="I562" s="30">
        <f t="shared" si="63"/>
        <v>1</v>
      </c>
      <c r="J562" s="30">
        <f t="shared" si="57"/>
        <v>0</v>
      </c>
      <c r="L562" s="30">
        <f ca="1">SUM(K562:OFFSET(RngToDay,ROWS(Dates),10))</f>
        <v>24</v>
      </c>
      <c r="M562" s="32" t="str">
        <f ca="1">IF(B562="","",SUM(C562:OFFSET(C562,-SafetyStock!$B$4+1,0)))</f>
        <v/>
      </c>
      <c r="N562" s="32" t="e">
        <f t="shared" ca="1" si="58"/>
        <v>#DIV/0!</v>
      </c>
      <c r="O562" s="30">
        <f t="shared" si="64"/>
        <v>562</v>
      </c>
      <c r="P562" s="32">
        <f t="shared" ca="1" si="59"/>
        <v>0</v>
      </c>
      <c r="Q562" s="32">
        <f ca="1">IF(LeadTime=0,P562,IF(AND(SUM(Q561:OFFSET(Q562,-LeadTime,0))=0,P562&gt;0),MAX(P562:OFFSET(P562,-LeadTime+1,0)),0))</f>
        <v>0</v>
      </c>
    </row>
    <row r="563" spans="6:17" x14ac:dyDescent="0.25">
      <c r="F563" s="32">
        <f t="shared" si="60"/>
        <v>0</v>
      </c>
      <c r="G563" s="30" t="str">
        <f t="shared" ca="1" si="61"/>
        <v>History</v>
      </c>
      <c r="H563" s="30">
        <f t="shared" si="62"/>
        <v>1900</v>
      </c>
      <c r="I563" s="30">
        <f t="shared" si="63"/>
        <v>1</v>
      </c>
      <c r="J563" s="30">
        <f t="shared" si="57"/>
        <v>0</v>
      </c>
      <c r="L563" s="30">
        <f ca="1">SUM(K563:OFFSET(RngToDay,ROWS(Dates),10))</f>
        <v>24</v>
      </c>
      <c r="M563" s="32" t="str">
        <f ca="1">IF(B563="","",SUM(C563:OFFSET(C563,-SafetyStock!$B$4+1,0)))</f>
        <v/>
      </c>
      <c r="N563" s="32" t="e">
        <f t="shared" ca="1" si="58"/>
        <v>#DIV/0!</v>
      </c>
      <c r="O563" s="30">
        <f t="shared" si="64"/>
        <v>563</v>
      </c>
      <c r="P563" s="32">
        <f t="shared" ca="1" si="59"/>
        <v>0</v>
      </c>
      <c r="Q563" s="32">
        <f ca="1">IF(LeadTime=0,P563,IF(AND(SUM(Q562:OFFSET(Q563,-LeadTime,0))=0,P563&gt;0),MAX(P563:OFFSET(P563,-LeadTime+1,0)),0))</f>
        <v>0</v>
      </c>
    </row>
    <row r="564" spans="6:17" x14ac:dyDescent="0.25">
      <c r="F564" s="32">
        <f t="shared" si="60"/>
        <v>0</v>
      </c>
      <c r="G564" s="30" t="str">
        <f t="shared" ca="1" si="61"/>
        <v>History</v>
      </c>
      <c r="H564" s="30">
        <f t="shared" si="62"/>
        <v>1900</v>
      </c>
      <c r="I564" s="30">
        <f t="shared" si="63"/>
        <v>1</v>
      </c>
      <c r="J564" s="30">
        <f t="shared" si="57"/>
        <v>0</v>
      </c>
      <c r="L564" s="30">
        <f ca="1">SUM(K564:OFFSET(RngToDay,ROWS(Dates),10))</f>
        <v>24</v>
      </c>
      <c r="M564" s="32" t="str">
        <f ca="1">IF(B564="","",SUM(C564:OFFSET(C564,-SafetyStock!$B$4+1,0)))</f>
        <v/>
      </c>
      <c r="N564" s="32" t="e">
        <f t="shared" ca="1" si="58"/>
        <v>#DIV/0!</v>
      </c>
      <c r="O564" s="30">
        <f t="shared" si="64"/>
        <v>564</v>
      </c>
      <c r="P564" s="32">
        <f t="shared" ca="1" si="59"/>
        <v>0</v>
      </c>
      <c r="Q564" s="32">
        <f ca="1">IF(LeadTime=0,P564,IF(AND(SUM(Q563:OFFSET(Q564,-LeadTime,0))=0,P564&gt;0),MAX(P564:OFFSET(P564,-LeadTime+1,0)),0))</f>
        <v>0</v>
      </c>
    </row>
    <row r="565" spans="6:17" x14ac:dyDescent="0.25">
      <c r="F565" s="32">
        <f t="shared" si="60"/>
        <v>0</v>
      </c>
      <c r="G565" s="30" t="str">
        <f t="shared" ca="1" si="61"/>
        <v>History</v>
      </c>
      <c r="H565" s="30">
        <f t="shared" si="62"/>
        <v>1900</v>
      </c>
      <c r="I565" s="30">
        <f t="shared" si="63"/>
        <v>1</v>
      </c>
      <c r="J565" s="30">
        <f t="shared" si="57"/>
        <v>0</v>
      </c>
      <c r="L565" s="30">
        <f ca="1">SUM(K565:OFFSET(RngToDay,ROWS(Dates),10))</f>
        <v>24</v>
      </c>
      <c r="M565" s="32" t="str">
        <f ca="1">IF(B565="","",SUM(C565:OFFSET(C565,-SafetyStock!$B$4+1,0)))</f>
        <v/>
      </c>
      <c r="N565" s="32" t="e">
        <f t="shared" ca="1" si="58"/>
        <v>#DIV/0!</v>
      </c>
      <c r="O565" s="30">
        <f t="shared" si="64"/>
        <v>565</v>
      </c>
      <c r="P565" s="32">
        <f t="shared" ca="1" si="59"/>
        <v>0</v>
      </c>
      <c r="Q565" s="32">
        <f ca="1">IF(LeadTime=0,P565,IF(AND(SUM(Q564:OFFSET(Q565,-LeadTime,0))=0,P565&gt;0),MAX(P565:OFFSET(P565,-LeadTime+1,0)),0))</f>
        <v>0</v>
      </c>
    </row>
    <row r="566" spans="6:17" x14ac:dyDescent="0.25">
      <c r="F566" s="32">
        <f t="shared" si="60"/>
        <v>0</v>
      </c>
      <c r="G566" s="30" t="str">
        <f t="shared" ca="1" si="61"/>
        <v>History</v>
      </c>
      <c r="H566" s="30">
        <f t="shared" si="62"/>
        <v>1900</v>
      </c>
      <c r="I566" s="30">
        <f t="shared" si="63"/>
        <v>1</v>
      </c>
      <c r="J566" s="30">
        <f t="shared" si="57"/>
        <v>0</v>
      </c>
      <c r="L566" s="30">
        <f ca="1">SUM(K566:OFFSET(RngToDay,ROWS(Dates),10))</f>
        <v>24</v>
      </c>
      <c r="M566" s="32" t="str">
        <f ca="1">IF(B566="","",SUM(C566:OFFSET(C566,-SafetyStock!$B$4+1,0)))</f>
        <v/>
      </c>
      <c r="N566" s="32" t="e">
        <f t="shared" ca="1" si="58"/>
        <v>#DIV/0!</v>
      </c>
      <c r="O566" s="30">
        <f t="shared" si="64"/>
        <v>566</v>
      </c>
      <c r="P566" s="32">
        <f t="shared" ca="1" si="59"/>
        <v>0</v>
      </c>
      <c r="Q566" s="32">
        <f ca="1">IF(LeadTime=0,P566,IF(AND(SUM(Q565:OFFSET(Q566,-LeadTime,0))=0,P566&gt;0),MAX(P566:OFFSET(P566,-LeadTime+1,0)),0))</f>
        <v>0</v>
      </c>
    </row>
    <row r="567" spans="6:17" x14ac:dyDescent="0.25">
      <c r="F567" s="32">
        <f t="shared" si="60"/>
        <v>0</v>
      </c>
      <c r="G567" s="30" t="str">
        <f t="shared" ca="1" si="61"/>
        <v>History</v>
      </c>
      <c r="H567" s="30">
        <f t="shared" si="62"/>
        <v>1900</v>
      </c>
      <c r="I567" s="30">
        <f t="shared" si="63"/>
        <v>1</v>
      </c>
      <c r="J567" s="30">
        <f t="shared" si="57"/>
        <v>0</v>
      </c>
      <c r="L567" s="30">
        <f ca="1">SUM(K567:OFFSET(RngToDay,ROWS(Dates),10))</f>
        <v>24</v>
      </c>
      <c r="M567" s="32" t="str">
        <f ca="1">IF(B567="","",SUM(C567:OFFSET(C567,-SafetyStock!$B$4+1,0)))</f>
        <v/>
      </c>
      <c r="N567" s="32" t="e">
        <f t="shared" ca="1" si="58"/>
        <v>#DIV/0!</v>
      </c>
      <c r="O567" s="30">
        <f t="shared" si="64"/>
        <v>567</v>
      </c>
      <c r="P567" s="32">
        <f t="shared" ca="1" si="59"/>
        <v>0</v>
      </c>
      <c r="Q567" s="32">
        <f ca="1">IF(LeadTime=0,P567,IF(AND(SUM(Q566:OFFSET(Q567,-LeadTime,0))=0,P567&gt;0),MAX(P567:OFFSET(P567,-LeadTime+1,0)),0))</f>
        <v>0</v>
      </c>
    </row>
    <row r="568" spans="6:17" x14ac:dyDescent="0.25">
      <c r="F568" s="32">
        <f t="shared" si="60"/>
        <v>0</v>
      </c>
      <c r="G568" s="30" t="str">
        <f t="shared" ca="1" si="61"/>
        <v>History</v>
      </c>
      <c r="H568" s="30">
        <f t="shared" si="62"/>
        <v>1900</v>
      </c>
      <c r="I568" s="30">
        <f t="shared" si="63"/>
        <v>1</v>
      </c>
      <c r="J568" s="30">
        <f t="shared" ref="J568:J631" si="65">IF(WEEKDAY(DATE(YEAR(A568),1,1),2)&gt;4,WEEKNUM(A568,2)-1,WEEKNUM(A568,2))</f>
        <v>0</v>
      </c>
      <c r="L568" s="30">
        <f ca="1">SUM(K568:OFFSET(RngToDay,ROWS(Dates),10))</f>
        <v>24</v>
      </c>
      <c r="M568" s="32" t="str">
        <f ca="1">IF(B568="","",SUM(C568:OFFSET(C568,-SafetyStock!$B$4+1,0)))</f>
        <v/>
      </c>
      <c r="N568" s="32" t="e">
        <f t="shared" ca="1" si="58"/>
        <v>#DIV/0!</v>
      </c>
      <c r="O568" s="30">
        <f t="shared" si="64"/>
        <v>568</v>
      </c>
      <c r="P568" s="32">
        <f t="shared" ca="1" si="59"/>
        <v>0</v>
      </c>
      <c r="Q568" s="32">
        <f ca="1">IF(LeadTime=0,P568,IF(AND(SUM(Q567:OFFSET(Q568,-LeadTime,0))=0,P568&gt;0),MAX(P568:OFFSET(P568,-LeadTime+1,0)),0))</f>
        <v>0</v>
      </c>
    </row>
    <row r="569" spans="6:17" x14ac:dyDescent="0.25">
      <c r="F569" s="32">
        <f t="shared" si="60"/>
        <v>0</v>
      </c>
      <c r="G569" s="30" t="str">
        <f t="shared" ca="1" si="61"/>
        <v>History</v>
      </c>
      <c r="H569" s="30">
        <f t="shared" si="62"/>
        <v>1900</v>
      </c>
      <c r="I569" s="30">
        <f t="shared" si="63"/>
        <v>1</v>
      </c>
      <c r="J569" s="30">
        <f t="shared" si="65"/>
        <v>0</v>
      </c>
      <c r="L569" s="30">
        <f ca="1">SUM(K569:OFFSET(RngToDay,ROWS(Dates),10))</f>
        <v>24</v>
      </c>
      <c r="M569" s="32" t="str">
        <f ca="1">IF(B569="","",SUM(C569:OFFSET(C569,-SafetyStock!$B$4+1,0)))</f>
        <v/>
      </c>
      <c r="N569" s="32" t="e">
        <f t="shared" ca="1" si="58"/>
        <v>#DIV/0!</v>
      </c>
      <c r="O569" s="30">
        <f t="shared" si="64"/>
        <v>569</v>
      </c>
      <c r="P569" s="32">
        <f t="shared" ca="1" si="59"/>
        <v>0</v>
      </c>
      <c r="Q569" s="32">
        <f ca="1">IF(LeadTime=0,P569,IF(AND(SUM(Q568:OFFSET(Q569,-LeadTime,0))=0,P569&gt;0),MAX(P569:OFFSET(P569,-LeadTime+1,0)),0))</f>
        <v>0</v>
      </c>
    </row>
    <row r="570" spans="6:17" x14ac:dyDescent="0.25">
      <c r="F570" s="32">
        <f t="shared" si="60"/>
        <v>0</v>
      </c>
      <c r="G570" s="30" t="str">
        <f t="shared" ca="1" si="61"/>
        <v>History</v>
      </c>
      <c r="H570" s="30">
        <f t="shared" si="62"/>
        <v>1900</v>
      </c>
      <c r="I570" s="30">
        <f t="shared" si="63"/>
        <v>1</v>
      </c>
      <c r="J570" s="30">
        <f t="shared" si="65"/>
        <v>0</v>
      </c>
      <c r="L570" s="30">
        <f ca="1">SUM(K570:OFFSET(RngToDay,ROWS(Dates),10))</f>
        <v>24</v>
      </c>
      <c r="M570" s="32" t="str">
        <f ca="1">IF(B570="","",SUM(C570:OFFSET(C570,-SafetyStock!$B$4+1,0)))</f>
        <v/>
      </c>
      <c r="N570" s="32" t="e">
        <f t="shared" ref="N570:N633" ca="1" si="66">Saf_Stock</f>
        <v>#DIV/0!</v>
      </c>
      <c r="O570" s="30">
        <f t="shared" si="64"/>
        <v>570</v>
      </c>
      <c r="P570" s="32">
        <f t="shared" ca="1" si="59"/>
        <v>0</v>
      </c>
      <c r="Q570" s="32">
        <f ca="1">IF(LeadTime=0,P570,IF(AND(SUM(Q569:OFFSET(Q570,-LeadTime,0))=0,P570&gt;0),MAX(P570:OFFSET(P570,-LeadTime+1,0)),0))</f>
        <v>0</v>
      </c>
    </row>
    <row r="571" spans="6:17" x14ac:dyDescent="0.25">
      <c r="F571" s="32">
        <f t="shared" si="60"/>
        <v>0</v>
      </c>
      <c r="G571" s="30" t="str">
        <f t="shared" ca="1" si="61"/>
        <v>History</v>
      </c>
      <c r="H571" s="30">
        <f t="shared" si="62"/>
        <v>1900</v>
      </c>
      <c r="I571" s="30">
        <f t="shared" si="63"/>
        <v>1</v>
      </c>
      <c r="J571" s="30">
        <f t="shared" si="65"/>
        <v>0</v>
      </c>
      <c r="L571" s="30">
        <f ca="1">SUM(K571:OFFSET(RngToDay,ROWS(Dates),10))</f>
        <v>24</v>
      </c>
      <c r="M571" s="32" t="str">
        <f ca="1">IF(B571="","",SUM(C571:OFFSET(C571,-SafetyStock!$B$4+1,0)))</f>
        <v/>
      </c>
      <c r="N571" s="32" t="e">
        <f t="shared" ca="1" si="66"/>
        <v>#DIV/0!</v>
      </c>
      <c r="O571" s="30">
        <f t="shared" si="64"/>
        <v>571</v>
      </c>
      <c r="P571" s="32">
        <f t="shared" ref="P571:P633" ca="1" si="67">IF(M571="",0,IF(M571&gt;N571,M571-N571,0))</f>
        <v>0</v>
      </c>
      <c r="Q571" s="32">
        <f ca="1">IF(LeadTime=0,P571,IF(AND(SUM(Q570:OFFSET(Q571,-LeadTime,0))=0,P571&gt;0),MAX(P571:OFFSET(P571,-LeadTime+1,0)),0))</f>
        <v>0</v>
      </c>
    </row>
    <row r="572" spans="6:17" x14ac:dyDescent="0.25">
      <c r="F572" s="32">
        <f t="shared" ref="F572:F633" si="68">F571</f>
        <v>0</v>
      </c>
      <c r="G572" s="30" t="str">
        <f t="shared" ca="1" si="61"/>
        <v>History</v>
      </c>
      <c r="H572" s="30">
        <f t="shared" si="62"/>
        <v>1900</v>
      </c>
      <c r="I572" s="30">
        <f t="shared" si="63"/>
        <v>1</v>
      </c>
      <c r="J572" s="30">
        <f t="shared" si="65"/>
        <v>0</v>
      </c>
      <c r="L572" s="30">
        <f ca="1">SUM(K572:OFFSET(RngToDay,ROWS(Dates),10))</f>
        <v>24</v>
      </c>
      <c r="M572" s="32" t="str">
        <f ca="1">IF(B572="","",SUM(C572:OFFSET(C572,-SafetyStock!$B$4+1,0)))</f>
        <v/>
      </c>
      <c r="N572" s="32" t="e">
        <f t="shared" ca="1" si="66"/>
        <v>#DIV/0!</v>
      </c>
      <c r="O572" s="30">
        <f t="shared" si="64"/>
        <v>572</v>
      </c>
      <c r="P572" s="32">
        <f t="shared" ca="1" si="67"/>
        <v>0</v>
      </c>
      <c r="Q572" s="32">
        <f ca="1">IF(LeadTime=0,P572,IF(AND(SUM(Q571:OFFSET(Q572,-LeadTime,0))=0,P572&gt;0),MAX(P572:OFFSET(P572,-LeadTime+1,0)),0))</f>
        <v>0</v>
      </c>
    </row>
    <row r="573" spans="6:17" x14ac:dyDescent="0.25">
      <c r="F573" s="32">
        <f t="shared" si="68"/>
        <v>0</v>
      </c>
      <c r="G573" s="30" t="str">
        <f t="shared" ca="1" si="61"/>
        <v>History</v>
      </c>
      <c r="H573" s="30">
        <f t="shared" si="62"/>
        <v>1900</v>
      </c>
      <c r="I573" s="30">
        <f t="shared" si="63"/>
        <v>1</v>
      </c>
      <c r="J573" s="30">
        <f t="shared" si="65"/>
        <v>0</v>
      </c>
      <c r="L573" s="30">
        <f ca="1">SUM(K573:OFFSET(RngToDay,ROWS(Dates),10))</f>
        <v>24</v>
      </c>
      <c r="M573" s="32" t="str">
        <f ca="1">IF(B573="","",SUM(C573:OFFSET(C573,-SafetyStock!$B$4+1,0)))</f>
        <v/>
      </c>
      <c r="N573" s="32" t="e">
        <f t="shared" ca="1" si="66"/>
        <v>#DIV/0!</v>
      </c>
      <c r="O573" s="30">
        <f t="shared" si="64"/>
        <v>573</v>
      </c>
      <c r="P573" s="32">
        <f t="shared" ca="1" si="67"/>
        <v>0</v>
      </c>
      <c r="Q573" s="32">
        <f ca="1">IF(LeadTime=0,P573,IF(AND(SUM(Q572:OFFSET(Q573,-LeadTime,0))=0,P573&gt;0),MAX(P573:OFFSET(P573,-LeadTime+1,0)),0))</f>
        <v>0</v>
      </c>
    </row>
    <row r="574" spans="6:17" x14ac:dyDescent="0.25">
      <c r="F574" s="32">
        <f t="shared" si="68"/>
        <v>0</v>
      </c>
      <c r="G574" s="30" t="str">
        <f t="shared" ca="1" si="61"/>
        <v>History</v>
      </c>
      <c r="H574" s="30">
        <f t="shared" si="62"/>
        <v>1900</v>
      </c>
      <c r="I574" s="30">
        <f t="shared" si="63"/>
        <v>1</v>
      </c>
      <c r="J574" s="30">
        <f t="shared" si="65"/>
        <v>0</v>
      </c>
      <c r="L574" s="30">
        <f ca="1">SUM(K574:OFFSET(RngToDay,ROWS(Dates),10))</f>
        <v>24</v>
      </c>
      <c r="M574" s="32" t="str">
        <f ca="1">IF(B574="","",SUM(C574:OFFSET(C574,-SafetyStock!$B$4+1,0)))</f>
        <v/>
      </c>
      <c r="N574" s="32" t="e">
        <f t="shared" ca="1" si="66"/>
        <v>#DIV/0!</v>
      </c>
      <c r="O574" s="30">
        <f t="shared" si="64"/>
        <v>574</v>
      </c>
      <c r="P574" s="32">
        <f t="shared" ca="1" si="67"/>
        <v>0</v>
      </c>
      <c r="Q574" s="32">
        <f ca="1">IF(LeadTime=0,P574,IF(AND(SUM(Q573:OFFSET(Q574,-LeadTime,0))=0,P574&gt;0),MAX(P574:OFFSET(P574,-LeadTime+1,0)),0))</f>
        <v>0</v>
      </c>
    </row>
    <row r="575" spans="6:17" x14ac:dyDescent="0.25">
      <c r="F575" s="32">
        <f t="shared" si="68"/>
        <v>0</v>
      </c>
      <c r="G575" s="30" t="str">
        <f t="shared" ca="1" si="61"/>
        <v>History</v>
      </c>
      <c r="H575" s="30">
        <f t="shared" si="62"/>
        <v>1900</v>
      </c>
      <c r="I575" s="30">
        <f t="shared" si="63"/>
        <v>1</v>
      </c>
      <c r="J575" s="30">
        <f t="shared" si="65"/>
        <v>0</v>
      </c>
      <c r="L575" s="30">
        <f ca="1">SUM(K575:OFFSET(RngToDay,ROWS(Dates),10))</f>
        <v>24</v>
      </c>
      <c r="M575" s="32" t="str">
        <f ca="1">IF(B575="","",SUM(C575:OFFSET(C575,-SafetyStock!$B$4+1,0)))</f>
        <v/>
      </c>
      <c r="N575" s="32" t="e">
        <f t="shared" ca="1" si="66"/>
        <v>#DIV/0!</v>
      </c>
      <c r="O575" s="30">
        <f t="shared" si="64"/>
        <v>575</v>
      </c>
      <c r="P575" s="32">
        <f t="shared" ca="1" si="67"/>
        <v>0</v>
      </c>
      <c r="Q575" s="32">
        <f ca="1">IF(LeadTime=0,P575,IF(AND(SUM(Q574:OFFSET(Q575,-LeadTime,0))=0,P575&gt;0),MAX(P575:OFFSET(P575,-LeadTime+1,0)),0))</f>
        <v>0</v>
      </c>
    </row>
    <row r="576" spans="6:17" x14ac:dyDescent="0.25">
      <c r="F576" s="32">
        <f t="shared" si="68"/>
        <v>0</v>
      </c>
      <c r="G576" s="30" t="str">
        <f t="shared" ca="1" si="61"/>
        <v>History</v>
      </c>
      <c r="H576" s="30">
        <f t="shared" si="62"/>
        <v>1900</v>
      </c>
      <c r="I576" s="30">
        <f t="shared" si="63"/>
        <v>1</v>
      </c>
      <c r="J576" s="30">
        <f t="shared" si="65"/>
        <v>0</v>
      </c>
      <c r="L576" s="30">
        <f ca="1">SUM(K576:OFFSET(RngToDay,ROWS(Dates),10))</f>
        <v>24</v>
      </c>
      <c r="M576" s="32" t="str">
        <f ca="1">IF(B576="","",SUM(C576:OFFSET(C576,-SafetyStock!$B$4+1,0)))</f>
        <v/>
      </c>
      <c r="N576" s="32" t="e">
        <f t="shared" ca="1" si="66"/>
        <v>#DIV/0!</v>
      </c>
      <c r="O576" s="30">
        <f t="shared" si="64"/>
        <v>576</v>
      </c>
      <c r="P576" s="32">
        <f t="shared" ca="1" si="67"/>
        <v>0</v>
      </c>
      <c r="Q576" s="32">
        <f ca="1">IF(LeadTime=0,P576,IF(AND(SUM(Q575:OFFSET(Q576,-LeadTime,0))=0,P576&gt;0),MAX(P576:OFFSET(P576,-LeadTime+1,0)),0))</f>
        <v>0</v>
      </c>
    </row>
    <row r="577" spans="6:17" x14ac:dyDescent="0.25">
      <c r="F577" s="32">
        <f t="shared" si="68"/>
        <v>0</v>
      </c>
      <c r="G577" s="30" t="str">
        <f t="shared" ca="1" si="61"/>
        <v>History</v>
      </c>
      <c r="H577" s="30">
        <f t="shared" si="62"/>
        <v>1900</v>
      </c>
      <c r="I577" s="30">
        <f t="shared" si="63"/>
        <v>1</v>
      </c>
      <c r="J577" s="30">
        <f t="shared" si="65"/>
        <v>0</v>
      </c>
      <c r="L577" s="30">
        <f ca="1">SUM(K577:OFFSET(RngToDay,ROWS(Dates),10))</f>
        <v>24</v>
      </c>
      <c r="M577" s="32" t="str">
        <f ca="1">IF(B577="","",SUM(C577:OFFSET(C577,-SafetyStock!$B$4+1,0)))</f>
        <v/>
      </c>
      <c r="N577" s="32" t="e">
        <f t="shared" ca="1" si="66"/>
        <v>#DIV/0!</v>
      </c>
      <c r="O577" s="30">
        <f t="shared" si="64"/>
        <v>577</v>
      </c>
      <c r="P577" s="32">
        <f t="shared" ca="1" si="67"/>
        <v>0</v>
      </c>
      <c r="Q577" s="32">
        <f ca="1">IF(LeadTime=0,P577,IF(AND(SUM(Q576:OFFSET(Q577,-LeadTime,0))=0,P577&gt;0),MAX(P577:OFFSET(P577,-LeadTime+1,0)),0))</f>
        <v>0</v>
      </c>
    </row>
    <row r="578" spans="6:17" x14ac:dyDescent="0.25">
      <c r="F578" s="32">
        <f t="shared" si="68"/>
        <v>0</v>
      </c>
      <c r="G578" s="30" t="str">
        <f t="shared" ca="1" si="61"/>
        <v>History</v>
      </c>
      <c r="H578" s="30">
        <f t="shared" si="62"/>
        <v>1900</v>
      </c>
      <c r="I578" s="30">
        <f t="shared" si="63"/>
        <v>1</v>
      </c>
      <c r="J578" s="30">
        <f t="shared" si="65"/>
        <v>0</v>
      </c>
      <c r="L578" s="30">
        <f ca="1">SUM(K578:OFFSET(RngToDay,ROWS(Dates),10))</f>
        <v>24</v>
      </c>
      <c r="M578" s="32" t="str">
        <f ca="1">IF(B578="","",SUM(C578:OFFSET(C578,-SafetyStock!$B$4+1,0)))</f>
        <v/>
      </c>
      <c r="N578" s="32" t="e">
        <f t="shared" ca="1" si="66"/>
        <v>#DIV/0!</v>
      </c>
      <c r="O578" s="30">
        <f t="shared" si="64"/>
        <v>578</v>
      </c>
      <c r="P578" s="32">
        <f t="shared" ca="1" si="67"/>
        <v>0</v>
      </c>
      <c r="Q578" s="32">
        <f ca="1">IF(LeadTime=0,P578,IF(AND(SUM(Q577:OFFSET(Q578,-LeadTime,0))=0,P578&gt;0),MAX(P578:OFFSET(P578,-LeadTime+1,0)),0))</f>
        <v>0</v>
      </c>
    </row>
    <row r="579" spans="6:17" x14ac:dyDescent="0.25">
      <c r="F579" s="32">
        <f t="shared" si="68"/>
        <v>0</v>
      </c>
      <c r="G579" s="30" t="str">
        <f t="shared" ref="G579:G633" ca="1" si="69">IF(A579&gt;TODAY(),"Requirements","History")</f>
        <v>History</v>
      </c>
      <c r="H579" s="30">
        <f t="shared" ref="H579:H633" si="70">YEAR(A579)</f>
        <v>1900</v>
      </c>
      <c r="I579" s="30">
        <f t="shared" ref="I579:I633" si="71">MONTH(A579)</f>
        <v>1</v>
      </c>
      <c r="J579" s="30">
        <f t="shared" si="65"/>
        <v>0</v>
      </c>
      <c r="L579" s="30">
        <f ca="1">SUM(K579:OFFSET(RngToDay,ROWS(Dates),10))</f>
        <v>24</v>
      </c>
      <c r="M579" s="32" t="str">
        <f ca="1">IF(B579="","",SUM(C579:OFFSET(C579,-SafetyStock!$B$4+1,0)))</f>
        <v/>
      </c>
      <c r="N579" s="32" t="e">
        <f t="shared" ca="1" si="66"/>
        <v>#DIV/0!</v>
      </c>
      <c r="O579" s="30">
        <f t="shared" si="64"/>
        <v>579</v>
      </c>
      <c r="P579" s="32">
        <f t="shared" ca="1" si="67"/>
        <v>0</v>
      </c>
      <c r="Q579" s="32">
        <f ca="1">IF(LeadTime=0,P579,IF(AND(SUM(Q578:OFFSET(Q579,-LeadTime,0))=0,P579&gt;0),MAX(P579:OFFSET(P579,-LeadTime+1,0)),0))</f>
        <v>0</v>
      </c>
    </row>
    <row r="580" spans="6:17" x14ac:dyDescent="0.25">
      <c r="F580" s="32">
        <f t="shared" si="68"/>
        <v>0</v>
      </c>
      <c r="G580" s="30" t="str">
        <f t="shared" ca="1" si="69"/>
        <v>History</v>
      </c>
      <c r="H580" s="30">
        <f t="shared" si="70"/>
        <v>1900</v>
      </c>
      <c r="I580" s="30">
        <f t="shared" si="71"/>
        <v>1</v>
      </c>
      <c r="J580" s="30">
        <f t="shared" si="65"/>
        <v>0</v>
      </c>
      <c r="L580" s="30">
        <f ca="1">SUM(K580:OFFSET(RngToDay,ROWS(Dates),10))</f>
        <v>24</v>
      </c>
      <c r="M580" s="32" t="str">
        <f ca="1">IF(B580="","",SUM(C580:OFFSET(C580,-SafetyStock!$B$4+1,0)))</f>
        <v/>
      </c>
      <c r="N580" s="32" t="e">
        <f t="shared" ca="1" si="66"/>
        <v>#DIV/0!</v>
      </c>
      <c r="O580" s="30">
        <f t="shared" ref="O580:O633" si="72">O579+1</f>
        <v>580</v>
      </c>
      <c r="P580" s="32">
        <f t="shared" ca="1" si="67"/>
        <v>0</v>
      </c>
      <c r="Q580" s="32">
        <f ca="1">IF(LeadTime=0,P580,IF(AND(SUM(Q579:OFFSET(Q580,-LeadTime,0))=0,P580&gt;0),MAX(P580:OFFSET(P580,-LeadTime+1,0)),0))</f>
        <v>0</v>
      </c>
    </row>
    <row r="581" spans="6:17" x14ac:dyDescent="0.25">
      <c r="F581" s="32">
        <f t="shared" si="68"/>
        <v>0</v>
      </c>
      <c r="G581" s="30" t="str">
        <f t="shared" ca="1" si="69"/>
        <v>History</v>
      </c>
      <c r="H581" s="30">
        <f t="shared" si="70"/>
        <v>1900</v>
      </c>
      <c r="I581" s="30">
        <f t="shared" si="71"/>
        <v>1</v>
      </c>
      <c r="J581" s="30">
        <f t="shared" si="65"/>
        <v>0</v>
      </c>
      <c r="L581" s="30">
        <f ca="1">SUM(K581:OFFSET(RngToDay,ROWS(Dates),10))</f>
        <v>24</v>
      </c>
      <c r="M581" s="32" t="str">
        <f ca="1">IF(B581="","",SUM(C581:OFFSET(C581,-SafetyStock!$B$4+1,0)))</f>
        <v/>
      </c>
      <c r="N581" s="32" t="e">
        <f t="shared" ca="1" si="66"/>
        <v>#DIV/0!</v>
      </c>
      <c r="O581" s="30">
        <f t="shared" si="72"/>
        <v>581</v>
      </c>
      <c r="P581" s="32">
        <f t="shared" ca="1" si="67"/>
        <v>0</v>
      </c>
      <c r="Q581" s="32">
        <f ca="1">IF(LeadTime=0,P581,IF(AND(SUM(Q580:OFFSET(Q581,-LeadTime,0))=0,P581&gt;0),MAX(P581:OFFSET(P581,-LeadTime+1,0)),0))</f>
        <v>0</v>
      </c>
    </row>
    <row r="582" spans="6:17" x14ac:dyDescent="0.25">
      <c r="F582" s="32">
        <f t="shared" si="68"/>
        <v>0</v>
      </c>
      <c r="G582" s="30" t="str">
        <f t="shared" ca="1" si="69"/>
        <v>History</v>
      </c>
      <c r="H582" s="30">
        <f t="shared" si="70"/>
        <v>1900</v>
      </c>
      <c r="I582" s="30">
        <f t="shared" si="71"/>
        <v>1</v>
      </c>
      <c r="J582" s="30">
        <f t="shared" si="65"/>
        <v>0</v>
      </c>
      <c r="L582" s="30">
        <f ca="1">SUM(K582:OFFSET(RngToDay,ROWS(Dates),10))</f>
        <v>24</v>
      </c>
      <c r="M582" s="32" t="str">
        <f ca="1">IF(B582="","",SUM(C582:OFFSET(C582,-SafetyStock!$B$4+1,0)))</f>
        <v/>
      </c>
      <c r="N582" s="32" t="e">
        <f t="shared" ca="1" si="66"/>
        <v>#DIV/0!</v>
      </c>
      <c r="O582" s="30">
        <f t="shared" si="72"/>
        <v>582</v>
      </c>
      <c r="P582" s="32">
        <f t="shared" ca="1" si="67"/>
        <v>0</v>
      </c>
      <c r="Q582" s="32">
        <f ca="1">IF(LeadTime=0,P582,IF(AND(SUM(Q581:OFFSET(Q582,-LeadTime,0))=0,P582&gt;0),MAX(P582:OFFSET(P582,-LeadTime+1,0)),0))</f>
        <v>0</v>
      </c>
    </row>
    <row r="583" spans="6:17" x14ac:dyDescent="0.25">
      <c r="F583" s="32">
        <f t="shared" si="68"/>
        <v>0</v>
      </c>
      <c r="G583" s="30" t="str">
        <f t="shared" ca="1" si="69"/>
        <v>History</v>
      </c>
      <c r="H583" s="30">
        <f t="shared" si="70"/>
        <v>1900</v>
      </c>
      <c r="I583" s="30">
        <f t="shared" si="71"/>
        <v>1</v>
      </c>
      <c r="J583" s="30">
        <f t="shared" si="65"/>
        <v>0</v>
      </c>
      <c r="L583" s="30">
        <f ca="1">SUM(K583:OFFSET(RngToDay,ROWS(Dates),10))</f>
        <v>24</v>
      </c>
      <c r="M583" s="32" t="str">
        <f ca="1">IF(B583="","",SUM(C583:OFFSET(C583,-SafetyStock!$B$4+1,0)))</f>
        <v/>
      </c>
      <c r="N583" s="32" t="e">
        <f t="shared" ca="1" si="66"/>
        <v>#DIV/0!</v>
      </c>
      <c r="O583" s="30">
        <f t="shared" si="72"/>
        <v>583</v>
      </c>
      <c r="P583" s="32">
        <f t="shared" ca="1" si="67"/>
        <v>0</v>
      </c>
      <c r="Q583" s="32">
        <f ca="1">IF(LeadTime=0,P583,IF(AND(SUM(Q582:OFFSET(Q583,-LeadTime,0))=0,P583&gt;0),MAX(P583:OFFSET(P583,-LeadTime+1,0)),0))</f>
        <v>0</v>
      </c>
    </row>
    <row r="584" spans="6:17" x14ac:dyDescent="0.25">
      <c r="F584" s="32">
        <f t="shared" si="68"/>
        <v>0</v>
      </c>
      <c r="G584" s="30" t="str">
        <f t="shared" ca="1" si="69"/>
        <v>History</v>
      </c>
      <c r="H584" s="30">
        <f t="shared" si="70"/>
        <v>1900</v>
      </c>
      <c r="I584" s="30">
        <f t="shared" si="71"/>
        <v>1</v>
      </c>
      <c r="J584" s="30">
        <f t="shared" si="65"/>
        <v>0</v>
      </c>
      <c r="L584" s="30">
        <f ca="1">SUM(K584:OFFSET(RngToDay,ROWS(Dates),10))</f>
        <v>24</v>
      </c>
      <c r="M584" s="32" t="str">
        <f ca="1">IF(B584="","",SUM(C584:OFFSET(C584,-SafetyStock!$B$4+1,0)))</f>
        <v/>
      </c>
      <c r="N584" s="32" t="e">
        <f t="shared" ca="1" si="66"/>
        <v>#DIV/0!</v>
      </c>
      <c r="O584" s="30">
        <f t="shared" si="72"/>
        <v>584</v>
      </c>
      <c r="P584" s="32">
        <f t="shared" ca="1" si="67"/>
        <v>0</v>
      </c>
      <c r="Q584" s="32">
        <f ca="1">IF(LeadTime=0,P584,IF(AND(SUM(Q583:OFFSET(Q584,-LeadTime,0))=0,P584&gt;0),MAX(P584:OFFSET(P584,-LeadTime+1,0)),0))</f>
        <v>0</v>
      </c>
    </row>
    <row r="585" spans="6:17" x14ac:dyDescent="0.25">
      <c r="F585" s="32">
        <f t="shared" si="68"/>
        <v>0</v>
      </c>
      <c r="G585" s="30" t="str">
        <f t="shared" ca="1" si="69"/>
        <v>History</v>
      </c>
      <c r="H585" s="30">
        <f t="shared" si="70"/>
        <v>1900</v>
      </c>
      <c r="I585" s="30">
        <f t="shared" si="71"/>
        <v>1</v>
      </c>
      <c r="J585" s="30">
        <f t="shared" si="65"/>
        <v>0</v>
      </c>
      <c r="L585" s="30">
        <f ca="1">SUM(K585:OFFSET(RngToDay,ROWS(Dates),10))</f>
        <v>24</v>
      </c>
      <c r="M585" s="32" t="str">
        <f ca="1">IF(B585="","",SUM(C585:OFFSET(C585,-SafetyStock!$B$4+1,0)))</f>
        <v/>
      </c>
      <c r="N585" s="32" t="e">
        <f t="shared" ca="1" si="66"/>
        <v>#DIV/0!</v>
      </c>
      <c r="O585" s="30">
        <f t="shared" si="72"/>
        <v>585</v>
      </c>
      <c r="P585" s="32">
        <f t="shared" ca="1" si="67"/>
        <v>0</v>
      </c>
      <c r="Q585" s="32">
        <f ca="1">IF(LeadTime=0,P585,IF(AND(SUM(Q584:OFFSET(Q585,-LeadTime,0))=0,P585&gt;0),MAX(P585:OFFSET(P585,-LeadTime+1,0)),0))</f>
        <v>0</v>
      </c>
    </row>
    <row r="586" spans="6:17" x14ac:dyDescent="0.25">
      <c r="F586" s="32">
        <f t="shared" si="68"/>
        <v>0</v>
      </c>
      <c r="G586" s="30" t="str">
        <f t="shared" ca="1" si="69"/>
        <v>History</v>
      </c>
      <c r="H586" s="30">
        <f t="shared" si="70"/>
        <v>1900</v>
      </c>
      <c r="I586" s="30">
        <f t="shared" si="71"/>
        <v>1</v>
      </c>
      <c r="J586" s="30">
        <f t="shared" si="65"/>
        <v>0</v>
      </c>
      <c r="L586" s="30">
        <f ca="1">SUM(K586:OFFSET(RngToDay,ROWS(Dates),10))</f>
        <v>24</v>
      </c>
      <c r="M586" s="32" t="str">
        <f ca="1">IF(B586="","",SUM(C586:OFFSET(C586,-SafetyStock!$B$4+1,0)))</f>
        <v/>
      </c>
      <c r="N586" s="32" t="e">
        <f t="shared" ca="1" si="66"/>
        <v>#DIV/0!</v>
      </c>
      <c r="O586" s="30">
        <f t="shared" si="72"/>
        <v>586</v>
      </c>
      <c r="P586" s="32">
        <f t="shared" ca="1" si="67"/>
        <v>0</v>
      </c>
      <c r="Q586" s="32">
        <f ca="1">IF(LeadTime=0,P586,IF(AND(SUM(Q585:OFFSET(Q586,-LeadTime,0))=0,P586&gt;0),MAX(P586:OFFSET(P586,-LeadTime+1,0)),0))</f>
        <v>0</v>
      </c>
    </row>
    <row r="587" spans="6:17" x14ac:dyDescent="0.25">
      <c r="F587" s="32">
        <f t="shared" si="68"/>
        <v>0</v>
      </c>
      <c r="G587" s="30" t="str">
        <f t="shared" ca="1" si="69"/>
        <v>History</v>
      </c>
      <c r="H587" s="30">
        <f t="shared" si="70"/>
        <v>1900</v>
      </c>
      <c r="I587" s="30">
        <f t="shared" si="71"/>
        <v>1</v>
      </c>
      <c r="J587" s="30">
        <f t="shared" si="65"/>
        <v>0</v>
      </c>
      <c r="L587" s="30">
        <f ca="1">SUM(K587:OFFSET(RngToDay,ROWS(Dates),10))</f>
        <v>24</v>
      </c>
      <c r="M587" s="32" t="str">
        <f ca="1">IF(B587="","",SUM(C587:OFFSET(C587,-SafetyStock!$B$4+1,0)))</f>
        <v/>
      </c>
      <c r="N587" s="32" t="e">
        <f t="shared" ca="1" si="66"/>
        <v>#DIV/0!</v>
      </c>
      <c r="O587" s="30">
        <f t="shared" si="72"/>
        <v>587</v>
      </c>
      <c r="P587" s="32">
        <f t="shared" ca="1" si="67"/>
        <v>0</v>
      </c>
      <c r="Q587" s="32">
        <f ca="1">IF(LeadTime=0,P587,IF(AND(SUM(Q586:OFFSET(Q587,-LeadTime,0))=0,P587&gt;0),MAX(P587:OFFSET(P587,-LeadTime+1,0)),0))</f>
        <v>0</v>
      </c>
    </row>
    <row r="588" spans="6:17" x14ac:dyDescent="0.25">
      <c r="F588" s="32">
        <f t="shared" si="68"/>
        <v>0</v>
      </c>
      <c r="G588" s="30" t="str">
        <f t="shared" ca="1" si="69"/>
        <v>History</v>
      </c>
      <c r="H588" s="30">
        <f t="shared" si="70"/>
        <v>1900</v>
      </c>
      <c r="I588" s="30">
        <f t="shared" si="71"/>
        <v>1</v>
      </c>
      <c r="J588" s="30">
        <f t="shared" si="65"/>
        <v>0</v>
      </c>
      <c r="L588" s="30">
        <f ca="1">SUM(K588:OFFSET(RngToDay,ROWS(Dates),10))</f>
        <v>24</v>
      </c>
      <c r="M588" s="32" t="str">
        <f ca="1">IF(B588="","",SUM(C588:OFFSET(C588,-SafetyStock!$B$4+1,0)))</f>
        <v/>
      </c>
      <c r="N588" s="32" t="e">
        <f t="shared" ca="1" si="66"/>
        <v>#DIV/0!</v>
      </c>
      <c r="O588" s="30">
        <f t="shared" si="72"/>
        <v>588</v>
      </c>
      <c r="P588" s="32">
        <f t="shared" ca="1" si="67"/>
        <v>0</v>
      </c>
      <c r="Q588" s="32">
        <f ca="1">IF(LeadTime=0,P588,IF(AND(SUM(Q587:OFFSET(Q588,-LeadTime,0))=0,P588&gt;0),MAX(P588:OFFSET(P588,-LeadTime+1,0)),0))</f>
        <v>0</v>
      </c>
    </row>
    <row r="589" spans="6:17" x14ac:dyDescent="0.25">
      <c r="F589" s="32">
        <f t="shared" si="68"/>
        <v>0</v>
      </c>
      <c r="G589" s="30" t="str">
        <f t="shared" ca="1" si="69"/>
        <v>History</v>
      </c>
      <c r="H589" s="30">
        <f t="shared" si="70"/>
        <v>1900</v>
      </c>
      <c r="I589" s="30">
        <f t="shared" si="71"/>
        <v>1</v>
      </c>
      <c r="J589" s="30">
        <f t="shared" si="65"/>
        <v>0</v>
      </c>
      <c r="L589" s="30">
        <f ca="1">SUM(K589:OFFSET(RngToDay,ROWS(Dates),10))</f>
        <v>24</v>
      </c>
      <c r="M589" s="32" t="str">
        <f ca="1">IF(B589="","",SUM(C589:OFFSET(C589,-SafetyStock!$B$4+1,0)))</f>
        <v/>
      </c>
      <c r="N589" s="32" t="e">
        <f t="shared" ca="1" si="66"/>
        <v>#DIV/0!</v>
      </c>
      <c r="O589" s="30">
        <f t="shared" si="72"/>
        <v>589</v>
      </c>
      <c r="P589" s="32">
        <f t="shared" ca="1" si="67"/>
        <v>0</v>
      </c>
      <c r="Q589" s="32">
        <f ca="1">IF(LeadTime=0,P589,IF(AND(SUM(Q588:OFFSET(Q589,-LeadTime,0))=0,P589&gt;0),MAX(P589:OFFSET(P589,-LeadTime+1,0)),0))</f>
        <v>0</v>
      </c>
    </row>
    <row r="590" spans="6:17" x14ac:dyDescent="0.25">
      <c r="F590" s="32">
        <f t="shared" si="68"/>
        <v>0</v>
      </c>
      <c r="G590" s="30" t="str">
        <f t="shared" ca="1" si="69"/>
        <v>History</v>
      </c>
      <c r="H590" s="30">
        <f t="shared" si="70"/>
        <v>1900</v>
      </c>
      <c r="I590" s="30">
        <f t="shared" si="71"/>
        <v>1</v>
      </c>
      <c r="J590" s="30">
        <f t="shared" si="65"/>
        <v>0</v>
      </c>
      <c r="L590" s="30">
        <f ca="1">SUM(K590:OFFSET(RngToDay,ROWS(Dates),10))</f>
        <v>24</v>
      </c>
      <c r="M590" s="32" t="str">
        <f ca="1">IF(B590="","",SUM(C590:OFFSET(C590,-SafetyStock!$B$4+1,0)))</f>
        <v/>
      </c>
      <c r="N590" s="32" t="e">
        <f t="shared" ca="1" si="66"/>
        <v>#DIV/0!</v>
      </c>
      <c r="O590" s="30">
        <f t="shared" si="72"/>
        <v>590</v>
      </c>
      <c r="P590" s="32">
        <f t="shared" ca="1" si="67"/>
        <v>0</v>
      </c>
      <c r="Q590" s="32">
        <f ca="1">IF(LeadTime=0,P590,IF(AND(SUM(Q589:OFFSET(Q590,-LeadTime,0))=0,P590&gt;0),MAX(P590:OFFSET(P590,-LeadTime+1,0)),0))</f>
        <v>0</v>
      </c>
    </row>
    <row r="591" spans="6:17" x14ac:dyDescent="0.25">
      <c r="F591" s="32">
        <f t="shared" si="68"/>
        <v>0</v>
      </c>
      <c r="G591" s="30" t="str">
        <f t="shared" ca="1" si="69"/>
        <v>History</v>
      </c>
      <c r="H591" s="30">
        <f t="shared" si="70"/>
        <v>1900</v>
      </c>
      <c r="I591" s="30">
        <f t="shared" si="71"/>
        <v>1</v>
      </c>
      <c r="J591" s="30">
        <f t="shared" si="65"/>
        <v>0</v>
      </c>
      <c r="L591" s="30">
        <f ca="1">SUM(K591:OFFSET(RngToDay,ROWS(Dates),10))</f>
        <v>24</v>
      </c>
      <c r="M591" s="32" t="str">
        <f ca="1">IF(B591="","",SUM(C591:OFFSET(C591,-SafetyStock!$B$4+1,0)))</f>
        <v/>
      </c>
      <c r="N591" s="32" t="e">
        <f t="shared" ca="1" si="66"/>
        <v>#DIV/0!</v>
      </c>
      <c r="O591" s="30">
        <f t="shared" si="72"/>
        <v>591</v>
      </c>
      <c r="P591" s="32">
        <f t="shared" ca="1" si="67"/>
        <v>0</v>
      </c>
      <c r="Q591" s="32">
        <f ca="1">IF(LeadTime=0,P591,IF(AND(SUM(Q590:OFFSET(Q591,-LeadTime,0))=0,P591&gt;0),MAX(P591:OFFSET(P591,-LeadTime+1,0)),0))</f>
        <v>0</v>
      </c>
    </row>
    <row r="592" spans="6:17" x14ac:dyDescent="0.25">
      <c r="F592" s="32">
        <f t="shared" si="68"/>
        <v>0</v>
      </c>
      <c r="G592" s="30" t="str">
        <f t="shared" ca="1" si="69"/>
        <v>History</v>
      </c>
      <c r="H592" s="30">
        <f t="shared" si="70"/>
        <v>1900</v>
      </c>
      <c r="I592" s="30">
        <f t="shared" si="71"/>
        <v>1</v>
      </c>
      <c r="J592" s="30">
        <f t="shared" si="65"/>
        <v>0</v>
      </c>
      <c r="L592" s="30">
        <f ca="1">SUM(K592:OFFSET(RngToDay,ROWS(Dates),10))</f>
        <v>24</v>
      </c>
      <c r="M592" s="32" t="str">
        <f ca="1">IF(B592="","",SUM(C592:OFFSET(C592,-SafetyStock!$B$4+1,0)))</f>
        <v/>
      </c>
      <c r="N592" s="32" t="e">
        <f t="shared" ca="1" si="66"/>
        <v>#DIV/0!</v>
      </c>
      <c r="O592" s="30">
        <f t="shared" si="72"/>
        <v>592</v>
      </c>
      <c r="P592" s="32">
        <f t="shared" ca="1" si="67"/>
        <v>0</v>
      </c>
      <c r="Q592" s="32">
        <f ca="1">IF(LeadTime=0,P592,IF(AND(SUM(Q591:OFFSET(Q592,-LeadTime,0))=0,P592&gt;0),MAX(P592:OFFSET(P592,-LeadTime+1,0)),0))</f>
        <v>0</v>
      </c>
    </row>
    <row r="593" spans="6:17" x14ac:dyDescent="0.25">
      <c r="F593" s="32">
        <f t="shared" si="68"/>
        <v>0</v>
      </c>
      <c r="G593" s="30" t="str">
        <f t="shared" ca="1" si="69"/>
        <v>History</v>
      </c>
      <c r="H593" s="30">
        <f t="shared" si="70"/>
        <v>1900</v>
      </c>
      <c r="I593" s="30">
        <f t="shared" si="71"/>
        <v>1</v>
      </c>
      <c r="J593" s="30">
        <f t="shared" si="65"/>
        <v>0</v>
      </c>
      <c r="L593" s="30">
        <f ca="1">SUM(K593:OFFSET(RngToDay,ROWS(Dates),10))</f>
        <v>24</v>
      </c>
      <c r="M593" s="32" t="str">
        <f ca="1">IF(B593="","",SUM(C593:OFFSET(C593,-SafetyStock!$B$4+1,0)))</f>
        <v/>
      </c>
      <c r="N593" s="32" t="e">
        <f t="shared" ca="1" si="66"/>
        <v>#DIV/0!</v>
      </c>
      <c r="O593" s="30">
        <f t="shared" si="72"/>
        <v>593</v>
      </c>
      <c r="P593" s="32">
        <f t="shared" ca="1" si="67"/>
        <v>0</v>
      </c>
      <c r="Q593" s="32">
        <f ca="1">IF(LeadTime=0,P593,IF(AND(SUM(Q592:OFFSET(Q593,-LeadTime,0))=0,P593&gt;0),MAX(P593:OFFSET(P593,-LeadTime+1,0)),0))</f>
        <v>0</v>
      </c>
    </row>
    <row r="594" spans="6:17" x14ac:dyDescent="0.25">
      <c r="F594" s="32">
        <f t="shared" si="68"/>
        <v>0</v>
      </c>
      <c r="G594" s="30" t="str">
        <f t="shared" ca="1" si="69"/>
        <v>History</v>
      </c>
      <c r="H594" s="30">
        <f t="shared" si="70"/>
        <v>1900</v>
      </c>
      <c r="I594" s="30">
        <f t="shared" si="71"/>
        <v>1</v>
      </c>
      <c r="J594" s="30">
        <f t="shared" si="65"/>
        <v>0</v>
      </c>
      <c r="L594" s="30">
        <f ca="1">SUM(K594:OFFSET(RngToDay,ROWS(Dates),10))</f>
        <v>24</v>
      </c>
      <c r="M594" s="32" t="str">
        <f ca="1">IF(B594="","",SUM(C594:OFFSET(C594,-SafetyStock!$B$4+1,0)))</f>
        <v/>
      </c>
      <c r="N594" s="32" t="e">
        <f t="shared" ca="1" si="66"/>
        <v>#DIV/0!</v>
      </c>
      <c r="O594" s="30">
        <f t="shared" si="72"/>
        <v>594</v>
      </c>
      <c r="P594" s="32">
        <f t="shared" ca="1" si="67"/>
        <v>0</v>
      </c>
      <c r="Q594" s="32">
        <f ca="1">IF(LeadTime=0,P594,IF(AND(SUM(Q593:OFFSET(Q594,-LeadTime,0))=0,P594&gt;0),MAX(P594:OFFSET(P594,-LeadTime+1,0)),0))</f>
        <v>0</v>
      </c>
    </row>
    <row r="595" spans="6:17" x14ac:dyDescent="0.25">
      <c r="F595" s="32">
        <f t="shared" si="68"/>
        <v>0</v>
      </c>
      <c r="G595" s="30" t="str">
        <f t="shared" ca="1" si="69"/>
        <v>History</v>
      </c>
      <c r="H595" s="30">
        <f t="shared" si="70"/>
        <v>1900</v>
      </c>
      <c r="I595" s="30">
        <f t="shared" si="71"/>
        <v>1</v>
      </c>
      <c r="J595" s="30">
        <f t="shared" si="65"/>
        <v>0</v>
      </c>
      <c r="L595" s="30">
        <f ca="1">SUM(K595:OFFSET(RngToDay,ROWS(Dates),10))</f>
        <v>24</v>
      </c>
      <c r="M595" s="32" t="str">
        <f ca="1">IF(B595="","",SUM(C595:OFFSET(C595,-SafetyStock!$B$4+1,0)))</f>
        <v/>
      </c>
      <c r="N595" s="32" t="e">
        <f t="shared" ca="1" si="66"/>
        <v>#DIV/0!</v>
      </c>
      <c r="O595" s="30">
        <f t="shared" si="72"/>
        <v>595</v>
      </c>
      <c r="P595" s="32">
        <f t="shared" ca="1" si="67"/>
        <v>0</v>
      </c>
      <c r="Q595" s="32">
        <f ca="1">IF(LeadTime=0,P595,IF(AND(SUM(Q594:OFFSET(Q595,-LeadTime,0))=0,P595&gt;0),MAX(P595:OFFSET(P595,-LeadTime+1,0)),0))</f>
        <v>0</v>
      </c>
    </row>
    <row r="596" spans="6:17" x14ac:dyDescent="0.25">
      <c r="F596" s="32">
        <f t="shared" si="68"/>
        <v>0</v>
      </c>
      <c r="G596" s="30" t="str">
        <f t="shared" ca="1" si="69"/>
        <v>History</v>
      </c>
      <c r="H596" s="30">
        <f t="shared" si="70"/>
        <v>1900</v>
      </c>
      <c r="I596" s="30">
        <f t="shared" si="71"/>
        <v>1</v>
      </c>
      <c r="J596" s="30">
        <f t="shared" si="65"/>
        <v>0</v>
      </c>
      <c r="L596" s="30">
        <f ca="1">SUM(K596:OFFSET(RngToDay,ROWS(Dates),10))</f>
        <v>24</v>
      </c>
      <c r="M596" s="32" t="str">
        <f ca="1">IF(B596="","",SUM(C596:OFFSET(C596,-SafetyStock!$B$4+1,0)))</f>
        <v/>
      </c>
      <c r="N596" s="32" t="e">
        <f t="shared" ca="1" si="66"/>
        <v>#DIV/0!</v>
      </c>
      <c r="O596" s="30">
        <f t="shared" si="72"/>
        <v>596</v>
      </c>
      <c r="P596" s="32">
        <f t="shared" ca="1" si="67"/>
        <v>0</v>
      </c>
      <c r="Q596" s="32">
        <f ca="1">IF(LeadTime=0,P596,IF(AND(SUM(Q595:OFFSET(Q596,-LeadTime,0))=0,P596&gt;0),MAX(P596:OFFSET(P596,-LeadTime+1,0)),0))</f>
        <v>0</v>
      </c>
    </row>
    <row r="597" spans="6:17" x14ac:dyDescent="0.25">
      <c r="F597" s="32">
        <f t="shared" si="68"/>
        <v>0</v>
      </c>
      <c r="G597" s="30" t="str">
        <f t="shared" ca="1" si="69"/>
        <v>History</v>
      </c>
      <c r="H597" s="30">
        <f t="shared" si="70"/>
        <v>1900</v>
      </c>
      <c r="I597" s="30">
        <f t="shared" si="71"/>
        <v>1</v>
      </c>
      <c r="J597" s="30">
        <f t="shared" si="65"/>
        <v>0</v>
      </c>
      <c r="L597" s="30">
        <f ca="1">SUM(K597:OFFSET(RngToDay,ROWS(Dates),10))</f>
        <v>24</v>
      </c>
      <c r="M597" s="32" t="str">
        <f ca="1">IF(B597="","",SUM(C597:OFFSET(C597,-SafetyStock!$B$4+1,0)))</f>
        <v/>
      </c>
      <c r="N597" s="32" t="e">
        <f t="shared" ca="1" si="66"/>
        <v>#DIV/0!</v>
      </c>
      <c r="O597" s="30">
        <f t="shared" si="72"/>
        <v>597</v>
      </c>
      <c r="P597" s="32">
        <f t="shared" ca="1" si="67"/>
        <v>0</v>
      </c>
      <c r="Q597" s="32">
        <f ca="1">IF(LeadTime=0,P597,IF(AND(SUM(Q596:OFFSET(Q597,-LeadTime,0))=0,P597&gt;0),MAX(P597:OFFSET(P597,-LeadTime+1,0)),0))</f>
        <v>0</v>
      </c>
    </row>
    <row r="598" spans="6:17" x14ac:dyDescent="0.25">
      <c r="F598" s="32">
        <f t="shared" si="68"/>
        <v>0</v>
      </c>
      <c r="G598" s="30" t="str">
        <f t="shared" ca="1" si="69"/>
        <v>History</v>
      </c>
      <c r="H598" s="30">
        <f t="shared" si="70"/>
        <v>1900</v>
      </c>
      <c r="I598" s="30">
        <f t="shared" si="71"/>
        <v>1</v>
      </c>
      <c r="J598" s="30">
        <f t="shared" si="65"/>
        <v>0</v>
      </c>
      <c r="L598" s="30">
        <f ca="1">SUM(K598:OFFSET(RngToDay,ROWS(Dates),10))</f>
        <v>24</v>
      </c>
      <c r="M598" s="32" t="str">
        <f ca="1">IF(B598="","",SUM(C598:OFFSET(C598,-SafetyStock!$B$4+1,0)))</f>
        <v/>
      </c>
      <c r="N598" s="32" t="e">
        <f t="shared" ca="1" si="66"/>
        <v>#DIV/0!</v>
      </c>
      <c r="O598" s="30">
        <f t="shared" si="72"/>
        <v>598</v>
      </c>
      <c r="P598" s="32">
        <f t="shared" ca="1" si="67"/>
        <v>0</v>
      </c>
      <c r="Q598" s="32">
        <f ca="1">IF(LeadTime=0,P598,IF(AND(SUM(Q597:OFFSET(Q598,-LeadTime,0))=0,P598&gt;0),MAX(P598:OFFSET(P598,-LeadTime+1,0)),0))</f>
        <v>0</v>
      </c>
    </row>
    <row r="599" spans="6:17" x14ac:dyDescent="0.25">
      <c r="F599" s="32">
        <f t="shared" si="68"/>
        <v>0</v>
      </c>
      <c r="G599" s="30" t="str">
        <f t="shared" ca="1" si="69"/>
        <v>History</v>
      </c>
      <c r="H599" s="30">
        <f t="shared" si="70"/>
        <v>1900</v>
      </c>
      <c r="I599" s="30">
        <f t="shared" si="71"/>
        <v>1</v>
      </c>
      <c r="J599" s="30">
        <f t="shared" si="65"/>
        <v>0</v>
      </c>
      <c r="L599" s="30">
        <f ca="1">SUM(K599:OFFSET(RngToDay,ROWS(Dates),10))</f>
        <v>24</v>
      </c>
      <c r="M599" s="32" t="str">
        <f ca="1">IF(B599="","",SUM(C599:OFFSET(C599,-SafetyStock!$B$4+1,0)))</f>
        <v/>
      </c>
      <c r="N599" s="32" t="e">
        <f t="shared" ca="1" si="66"/>
        <v>#DIV/0!</v>
      </c>
      <c r="O599" s="30">
        <f t="shared" si="72"/>
        <v>599</v>
      </c>
      <c r="P599" s="32">
        <f t="shared" ca="1" si="67"/>
        <v>0</v>
      </c>
      <c r="Q599" s="32">
        <f ca="1">IF(LeadTime=0,P599,IF(AND(SUM(Q598:OFFSET(Q599,-LeadTime,0))=0,P599&gt;0),MAX(P599:OFFSET(P599,-LeadTime+1,0)),0))</f>
        <v>0</v>
      </c>
    </row>
    <row r="600" spans="6:17" x14ac:dyDescent="0.25">
      <c r="F600" s="32">
        <f t="shared" si="68"/>
        <v>0</v>
      </c>
      <c r="G600" s="30" t="str">
        <f t="shared" ca="1" si="69"/>
        <v>History</v>
      </c>
      <c r="H600" s="30">
        <f t="shared" si="70"/>
        <v>1900</v>
      </c>
      <c r="I600" s="30">
        <f t="shared" si="71"/>
        <v>1</v>
      </c>
      <c r="J600" s="30">
        <f t="shared" si="65"/>
        <v>0</v>
      </c>
      <c r="L600" s="30">
        <f ca="1">SUM(K600:OFFSET(RngToDay,ROWS(Dates),10))</f>
        <v>24</v>
      </c>
      <c r="M600" s="32" t="str">
        <f ca="1">IF(B600="","",SUM(C600:OFFSET(C600,-SafetyStock!$B$4+1,0)))</f>
        <v/>
      </c>
      <c r="N600" s="32" t="e">
        <f t="shared" ca="1" si="66"/>
        <v>#DIV/0!</v>
      </c>
      <c r="O600" s="30">
        <f t="shared" si="72"/>
        <v>600</v>
      </c>
      <c r="P600" s="32">
        <f t="shared" ca="1" si="67"/>
        <v>0</v>
      </c>
      <c r="Q600" s="32">
        <f ca="1">IF(LeadTime=0,P600,IF(AND(SUM(Q599:OFFSET(Q600,-LeadTime,0))=0,P600&gt;0),MAX(P600:OFFSET(P600,-LeadTime+1,0)),0))</f>
        <v>0</v>
      </c>
    </row>
    <row r="601" spans="6:17" x14ac:dyDescent="0.25">
      <c r="F601" s="32">
        <f t="shared" si="68"/>
        <v>0</v>
      </c>
      <c r="G601" s="30" t="str">
        <f t="shared" ca="1" si="69"/>
        <v>History</v>
      </c>
      <c r="H601" s="30">
        <f t="shared" si="70"/>
        <v>1900</v>
      </c>
      <c r="I601" s="30">
        <f t="shared" si="71"/>
        <v>1</v>
      </c>
      <c r="J601" s="30">
        <f t="shared" si="65"/>
        <v>0</v>
      </c>
      <c r="L601" s="30">
        <f ca="1">SUM(K601:OFFSET(RngToDay,ROWS(Dates),10))</f>
        <v>24</v>
      </c>
      <c r="M601" s="32" t="str">
        <f ca="1">IF(B601="","",SUM(C601:OFFSET(C601,-SafetyStock!$B$4+1,0)))</f>
        <v/>
      </c>
      <c r="N601" s="32" t="e">
        <f t="shared" ca="1" si="66"/>
        <v>#DIV/0!</v>
      </c>
      <c r="O601" s="30">
        <f t="shared" si="72"/>
        <v>601</v>
      </c>
      <c r="P601" s="32">
        <f t="shared" ca="1" si="67"/>
        <v>0</v>
      </c>
      <c r="Q601" s="32">
        <f ca="1">IF(LeadTime=0,P601,IF(AND(SUM(Q600:OFFSET(Q601,-LeadTime,0))=0,P601&gt;0),MAX(P601:OFFSET(P601,-LeadTime+1,0)),0))</f>
        <v>0</v>
      </c>
    </row>
    <row r="602" spans="6:17" x14ac:dyDescent="0.25">
      <c r="F602" s="32">
        <f t="shared" si="68"/>
        <v>0</v>
      </c>
      <c r="G602" s="30" t="str">
        <f t="shared" ca="1" si="69"/>
        <v>History</v>
      </c>
      <c r="H602" s="30">
        <f t="shared" si="70"/>
        <v>1900</v>
      </c>
      <c r="I602" s="30">
        <f t="shared" si="71"/>
        <v>1</v>
      </c>
      <c r="J602" s="30">
        <f t="shared" si="65"/>
        <v>0</v>
      </c>
      <c r="L602" s="30">
        <f ca="1">SUM(K602:OFFSET(RngToDay,ROWS(Dates),10))</f>
        <v>24</v>
      </c>
      <c r="M602" s="32" t="str">
        <f ca="1">IF(B602="","",SUM(C602:OFFSET(C602,-SafetyStock!$B$4+1,0)))</f>
        <v/>
      </c>
      <c r="N602" s="32" t="e">
        <f t="shared" ca="1" si="66"/>
        <v>#DIV/0!</v>
      </c>
      <c r="O602" s="30">
        <f t="shared" si="72"/>
        <v>602</v>
      </c>
      <c r="P602" s="32">
        <f t="shared" ca="1" si="67"/>
        <v>0</v>
      </c>
      <c r="Q602" s="32">
        <f ca="1">IF(LeadTime=0,P602,IF(AND(SUM(Q601:OFFSET(Q602,-LeadTime,0))=0,P602&gt;0),MAX(P602:OFFSET(P602,-LeadTime+1,0)),0))</f>
        <v>0</v>
      </c>
    </row>
    <row r="603" spans="6:17" x14ac:dyDescent="0.25">
      <c r="F603" s="32">
        <f t="shared" si="68"/>
        <v>0</v>
      </c>
      <c r="G603" s="30" t="str">
        <f t="shared" ca="1" si="69"/>
        <v>History</v>
      </c>
      <c r="H603" s="30">
        <f t="shared" si="70"/>
        <v>1900</v>
      </c>
      <c r="I603" s="30">
        <f t="shared" si="71"/>
        <v>1</v>
      </c>
      <c r="J603" s="30">
        <f t="shared" si="65"/>
        <v>0</v>
      </c>
      <c r="L603" s="30">
        <f ca="1">SUM(K603:OFFSET(RngToDay,ROWS(Dates),10))</f>
        <v>24</v>
      </c>
      <c r="M603" s="32" t="str">
        <f ca="1">IF(B603="","",SUM(C603:OFFSET(C603,-SafetyStock!$B$4+1,0)))</f>
        <v/>
      </c>
      <c r="N603" s="32" t="e">
        <f t="shared" ca="1" si="66"/>
        <v>#DIV/0!</v>
      </c>
      <c r="O603" s="30">
        <f t="shared" si="72"/>
        <v>603</v>
      </c>
      <c r="P603" s="32">
        <f t="shared" ca="1" si="67"/>
        <v>0</v>
      </c>
      <c r="Q603" s="32">
        <f ca="1">IF(LeadTime=0,P603,IF(AND(SUM(Q602:OFFSET(Q603,-LeadTime,0))=0,P603&gt;0),MAX(P603:OFFSET(P603,-LeadTime+1,0)),0))</f>
        <v>0</v>
      </c>
    </row>
    <row r="604" spans="6:17" x14ac:dyDescent="0.25">
      <c r="F604" s="32">
        <f t="shared" si="68"/>
        <v>0</v>
      </c>
      <c r="G604" s="30" t="str">
        <f t="shared" ca="1" si="69"/>
        <v>History</v>
      </c>
      <c r="H604" s="30">
        <f t="shared" si="70"/>
        <v>1900</v>
      </c>
      <c r="I604" s="30">
        <f t="shared" si="71"/>
        <v>1</v>
      </c>
      <c r="J604" s="30">
        <f t="shared" si="65"/>
        <v>0</v>
      </c>
      <c r="L604" s="30">
        <f ca="1">SUM(K604:OFFSET(RngToDay,ROWS(Dates),10))</f>
        <v>24</v>
      </c>
      <c r="M604" s="32" t="str">
        <f ca="1">IF(B604="","",SUM(C604:OFFSET(C604,-SafetyStock!$B$4+1,0)))</f>
        <v/>
      </c>
      <c r="N604" s="32" t="e">
        <f t="shared" ca="1" si="66"/>
        <v>#DIV/0!</v>
      </c>
      <c r="O604" s="30">
        <f t="shared" si="72"/>
        <v>604</v>
      </c>
      <c r="P604" s="32">
        <f t="shared" ca="1" si="67"/>
        <v>0</v>
      </c>
      <c r="Q604" s="32">
        <f ca="1">IF(LeadTime=0,P604,IF(AND(SUM(Q603:OFFSET(Q604,-LeadTime,0))=0,P604&gt;0),MAX(P604:OFFSET(P604,-LeadTime+1,0)),0))</f>
        <v>0</v>
      </c>
    </row>
    <row r="605" spans="6:17" x14ac:dyDescent="0.25">
      <c r="F605" s="32">
        <f t="shared" si="68"/>
        <v>0</v>
      </c>
      <c r="G605" s="30" t="str">
        <f t="shared" ca="1" si="69"/>
        <v>History</v>
      </c>
      <c r="H605" s="30">
        <f t="shared" si="70"/>
        <v>1900</v>
      </c>
      <c r="I605" s="30">
        <f t="shared" si="71"/>
        <v>1</v>
      </c>
      <c r="J605" s="30">
        <f t="shared" si="65"/>
        <v>0</v>
      </c>
      <c r="L605" s="30">
        <f ca="1">SUM(K605:OFFSET(RngToDay,ROWS(Dates),10))</f>
        <v>24</v>
      </c>
      <c r="M605" s="32" t="str">
        <f ca="1">IF(B605="","",SUM(C605:OFFSET(C605,-SafetyStock!$B$4+1,0)))</f>
        <v/>
      </c>
      <c r="N605" s="32" t="e">
        <f t="shared" ca="1" si="66"/>
        <v>#DIV/0!</v>
      </c>
      <c r="O605" s="30">
        <f t="shared" si="72"/>
        <v>605</v>
      </c>
      <c r="P605" s="32">
        <f t="shared" ca="1" si="67"/>
        <v>0</v>
      </c>
      <c r="Q605" s="32">
        <f ca="1">IF(LeadTime=0,P605,IF(AND(SUM(Q604:OFFSET(Q605,-LeadTime,0))=0,P605&gt;0),MAX(P605:OFFSET(P605,-LeadTime+1,0)),0))</f>
        <v>0</v>
      </c>
    </row>
    <row r="606" spans="6:17" x14ac:dyDescent="0.25">
      <c r="F606" s="32">
        <f t="shared" si="68"/>
        <v>0</v>
      </c>
      <c r="G606" s="30" t="str">
        <f t="shared" ca="1" si="69"/>
        <v>History</v>
      </c>
      <c r="H606" s="30">
        <f t="shared" si="70"/>
        <v>1900</v>
      </c>
      <c r="I606" s="30">
        <f t="shared" si="71"/>
        <v>1</v>
      </c>
      <c r="J606" s="30">
        <f t="shared" si="65"/>
        <v>0</v>
      </c>
      <c r="L606" s="30">
        <f ca="1">SUM(K606:OFFSET(RngToDay,ROWS(Dates),10))</f>
        <v>24</v>
      </c>
      <c r="M606" s="32" t="str">
        <f ca="1">IF(B606="","",SUM(C606:OFFSET(C606,-SafetyStock!$B$4+1,0)))</f>
        <v/>
      </c>
      <c r="N606" s="32" t="e">
        <f t="shared" ca="1" si="66"/>
        <v>#DIV/0!</v>
      </c>
      <c r="O606" s="30">
        <f t="shared" si="72"/>
        <v>606</v>
      </c>
      <c r="P606" s="32">
        <f t="shared" ca="1" si="67"/>
        <v>0</v>
      </c>
      <c r="Q606" s="32">
        <f ca="1">IF(LeadTime=0,P606,IF(AND(SUM(Q605:OFFSET(Q606,-LeadTime,0))=0,P606&gt;0),MAX(P606:OFFSET(P606,-LeadTime+1,0)),0))</f>
        <v>0</v>
      </c>
    </row>
    <row r="607" spans="6:17" x14ac:dyDescent="0.25">
      <c r="F607" s="32">
        <f t="shared" si="68"/>
        <v>0</v>
      </c>
      <c r="G607" s="30" t="str">
        <f t="shared" ca="1" si="69"/>
        <v>History</v>
      </c>
      <c r="H607" s="30">
        <f t="shared" si="70"/>
        <v>1900</v>
      </c>
      <c r="I607" s="30">
        <f t="shared" si="71"/>
        <v>1</v>
      </c>
      <c r="J607" s="30">
        <f t="shared" si="65"/>
        <v>0</v>
      </c>
      <c r="L607" s="30">
        <f ca="1">SUM(K607:OFFSET(RngToDay,ROWS(Dates),10))</f>
        <v>24</v>
      </c>
      <c r="M607" s="32" t="str">
        <f ca="1">IF(B607="","",SUM(C607:OFFSET(C607,-SafetyStock!$B$4+1,0)))</f>
        <v/>
      </c>
      <c r="N607" s="32" t="e">
        <f t="shared" ca="1" si="66"/>
        <v>#DIV/0!</v>
      </c>
      <c r="O607" s="30">
        <f t="shared" si="72"/>
        <v>607</v>
      </c>
      <c r="P607" s="32">
        <f t="shared" ca="1" si="67"/>
        <v>0</v>
      </c>
      <c r="Q607" s="32">
        <f ca="1">IF(LeadTime=0,P607,IF(AND(SUM(Q606:OFFSET(Q607,-LeadTime,0))=0,P607&gt;0),MAX(P607:OFFSET(P607,-LeadTime+1,0)),0))</f>
        <v>0</v>
      </c>
    </row>
    <row r="608" spans="6:17" x14ac:dyDescent="0.25">
      <c r="F608" s="32">
        <f t="shared" si="68"/>
        <v>0</v>
      </c>
      <c r="G608" s="30" t="str">
        <f t="shared" ca="1" si="69"/>
        <v>History</v>
      </c>
      <c r="H608" s="30">
        <f t="shared" si="70"/>
        <v>1900</v>
      </c>
      <c r="I608" s="30">
        <f t="shared" si="71"/>
        <v>1</v>
      </c>
      <c r="J608" s="30">
        <f t="shared" si="65"/>
        <v>0</v>
      </c>
      <c r="L608" s="30">
        <f ca="1">SUM(K608:OFFSET(RngToDay,ROWS(Dates),10))</f>
        <v>24</v>
      </c>
      <c r="M608" s="32" t="str">
        <f ca="1">IF(B608="","",SUM(C608:OFFSET(C608,-SafetyStock!$B$4+1,0)))</f>
        <v/>
      </c>
      <c r="N608" s="32" t="e">
        <f t="shared" ca="1" si="66"/>
        <v>#DIV/0!</v>
      </c>
      <c r="O608" s="30">
        <f t="shared" si="72"/>
        <v>608</v>
      </c>
      <c r="P608" s="32">
        <f t="shared" ca="1" si="67"/>
        <v>0</v>
      </c>
      <c r="Q608" s="32">
        <f ca="1">IF(LeadTime=0,P608,IF(AND(SUM(Q607:OFFSET(Q608,-LeadTime,0))=0,P608&gt;0),MAX(P608:OFFSET(P608,-LeadTime+1,0)),0))</f>
        <v>0</v>
      </c>
    </row>
    <row r="609" spans="6:17" x14ac:dyDescent="0.25">
      <c r="F609" s="32">
        <f t="shared" si="68"/>
        <v>0</v>
      </c>
      <c r="G609" s="30" t="str">
        <f t="shared" ca="1" si="69"/>
        <v>History</v>
      </c>
      <c r="H609" s="30">
        <f t="shared" si="70"/>
        <v>1900</v>
      </c>
      <c r="I609" s="30">
        <f t="shared" si="71"/>
        <v>1</v>
      </c>
      <c r="J609" s="30">
        <f t="shared" si="65"/>
        <v>0</v>
      </c>
      <c r="L609" s="30">
        <f ca="1">SUM(K609:OFFSET(RngToDay,ROWS(Dates),10))</f>
        <v>24</v>
      </c>
      <c r="M609" s="32" t="str">
        <f ca="1">IF(B609="","",SUM(C609:OFFSET(C609,-SafetyStock!$B$4+1,0)))</f>
        <v/>
      </c>
      <c r="N609" s="32" t="e">
        <f t="shared" ca="1" si="66"/>
        <v>#DIV/0!</v>
      </c>
      <c r="O609" s="30">
        <f t="shared" si="72"/>
        <v>609</v>
      </c>
      <c r="P609" s="32">
        <f t="shared" ca="1" si="67"/>
        <v>0</v>
      </c>
      <c r="Q609" s="32">
        <f ca="1">IF(LeadTime=0,P609,IF(AND(SUM(Q608:OFFSET(Q609,-LeadTime,0))=0,P609&gt;0),MAX(P609:OFFSET(P609,-LeadTime+1,0)),0))</f>
        <v>0</v>
      </c>
    </row>
    <row r="610" spans="6:17" x14ac:dyDescent="0.25">
      <c r="F610" s="32">
        <f t="shared" si="68"/>
        <v>0</v>
      </c>
      <c r="G610" s="30" t="str">
        <f t="shared" ca="1" si="69"/>
        <v>History</v>
      </c>
      <c r="H610" s="30">
        <f t="shared" si="70"/>
        <v>1900</v>
      </c>
      <c r="I610" s="30">
        <f t="shared" si="71"/>
        <v>1</v>
      </c>
      <c r="J610" s="30">
        <f t="shared" si="65"/>
        <v>0</v>
      </c>
      <c r="L610" s="30">
        <f ca="1">SUM(K610:OFFSET(RngToDay,ROWS(Dates),10))</f>
        <v>24</v>
      </c>
      <c r="M610" s="32" t="str">
        <f ca="1">IF(B610="","",SUM(C610:OFFSET(C610,-SafetyStock!$B$4+1,0)))</f>
        <v/>
      </c>
      <c r="N610" s="32" t="e">
        <f t="shared" ca="1" si="66"/>
        <v>#DIV/0!</v>
      </c>
      <c r="O610" s="30">
        <f t="shared" si="72"/>
        <v>610</v>
      </c>
      <c r="P610" s="32">
        <f t="shared" ca="1" si="67"/>
        <v>0</v>
      </c>
      <c r="Q610" s="32">
        <f ca="1">IF(LeadTime=0,P610,IF(AND(SUM(Q609:OFFSET(Q610,-LeadTime,0))=0,P610&gt;0),MAX(P610:OFFSET(P610,-LeadTime+1,0)),0))</f>
        <v>0</v>
      </c>
    </row>
    <row r="611" spans="6:17" x14ac:dyDescent="0.25">
      <c r="F611" s="32">
        <f t="shared" si="68"/>
        <v>0</v>
      </c>
      <c r="G611" s="30" t="str">
        <f t="shared" ca="1" si="69"/>
        <v>History</v>
      </c>
      <c r="H611" s="30">
        <f t="shared" si="70"/>
        <v>1900</v>
      </c>
      <c r="I611" s="30">
        <f t="shared" si="71"/>
        <v>1</v>
      </c>
      <c r="J611" s="30">
        <f t="shared" si="65"/>
        <v>0</v>
      </c>
      <c r="L611" s="30">
        <f ca="1">SUM(K611:OFFSET(RngToDay,ROWS(Dates),10))</f>
        <v>24</v>
      </c>
      <c r="M611" s="32" t="str">
        <f ca="1">IF(B611="","",SUM(C611:OFFSET(C611,-SafetyStock!$B$4+1,0)))</f>
        <v/>
      </c>
      <c r="N611" s="32" t="e">
        <f t="shared" ca="1" si="66"/>
        <v>#DIV/0!</v>
      </c>
      <c r="O611" s="30">
        <f t="shared" si="72"/>
        <v>611</v>
      </c>
      <c r="P611" s="32">
        <f t="shared" ca="1" si="67"/>
        <v>0</v>
      </c>
      <c r="Q611" s="32">
        <f ca="1">IF(LeadTime=0,P611,IF(AND(SUM(Q610:OFFSET(Q611,-LeadTime,0))=0,P611&gt;0),MAX(P611:OFFSET(P611,-LeadTime+1,0)),0))</f>
        <v>0</v>
      </c>
    </row>
    <row r="612" spans="6:17" x14ac:dyDescent="0.25">
      <c r="F612" s="32">
        <f t="shared" si="68"/>
        <v>0</v>
      </c>
      <c r="G612" s="30" t="str">
        <f t="shared" ca="1" si="69"/>
        <v>History</v>
      </c>
      <c r="H612" s="30">
        <f t="shared" si="70"/>
        <v>1900</v>
      </c>
      <c r="I612" s="30">
        <f t="shared" si="71"/>
        <v>1</v>
      </c>
      <c r="J612" s="30">
        <f t="shared" si="65"/>
        <v>0</v>
      </c>
      <c r="L612" s="30">
        <f ca="1">SUM(K612:OFFSET(RngToDay,ROWS(Dates),10))</f>
        <v>24</v>
      </c>
      <c r="M612" s="32" t="str">
        <f ca="1">IF(B612="","",SUM(C612:OFFSET(C612,-SafetyStock!$B$4+1,0)))</f>
        <v/>
      </c>
      <c r="N612" s="32" t="e">
        <f t="shared" ca="1" si="66"/>
        <v>#DIV/0!</v>
      </c>
      <c r="O612" s="30">
        <f t="shared" si="72"/>
        <v>612</v>
      </c>
      <c r="P612" s="32">
        <f t="shared" ca="1" si="67"/>
        <v>0</v>
      </c>
      <c r="Q612" s="32">
        <f ca="1">IF(LeadTime=0,P612,IF(AND(SUM(Q611:OFFSET(Q612,-LeadTime,0))=0,P612&gt;0),MAX(P612:OFFSET(P612,-LeadTime+1,0)),0))</f>
        <v>0</v>
      </c>
    </row>
    <row r="613" spans="6:17" x14ac:dyDescent="0.25">
      <c r="F613" s="32">
        <f t="shared" si="68"/>
        <v>0</v>
      </c>
      <c r="G613" s="30" t="str">
        <f t="shared" ca="1" si="69"/>
        <v>History</v>
      </c>
      <c r="H613" s="30">
        <f t="shared" si="70"/>
        <v>1900</v>
      </c>
      <c r="I613" s="30">
        <f t="shared" si="71"/>
        <v>1</v>
      </c>
      <c r="J613" s="30">
        <f t="shared" si="65"/>
        <v>0</v>
      </c>
      <c r="L613" s="30">
        <f ca="1">SUM(K613:OFFSET(RngToDay,ROWS(Dates),10))</f>
        <v>24</v>
      </c>
      <c r="M613" s="32" t="str">
        <f ca="1">IF(B613="","",SUM(C613:OFFSET(C613,-SafetyStock!$B$4+1,0)))</f>
        <v/>
      </c>
      <c r="N613" s="32" t="e">
        <f t="shared" ca="1" si="66"/>
        <v>#DIV/0!</v>
      </c>
      <c r="O613" s="30">
        <f t="shared" si="72"/>
        <v>613</v>
      </c>
      <c r="P613" s="32">
        <f t="shared" ca="1" si="67"/>
        <v>0</v>
      </c>
      <c r="Q613" s="32">
        <f ca="1">IF(LeadTime=0,P613,IF(AND(SUM(Q612:OFFSET(Q613,-LeadTime,0))=0,P613&gt;0),MAX(P613:OFFSET(P613,-LeadTime+1,0)),0))</f>
        <v>0</v>
      </c>
    </row>
    <row r="614" spans="6:17" x14ac:dyDescent="0.25">
      <c r="F614" s="32">
        <f t="shared" si="68"/>
        <v>0</v>
      </c>
      <c r="G614" s="30" t="str">
        <f t="shared" ca="1" si="69"/>
        <v>History</v>
      </c>
      <c r="H614" s="30">
        <f t="shared" si="70"/>
        <v>1900</v>
      </c>
      <c r="I614" s="30">
        <f t="shared" si="71"/>
        <v>1</v>
      </c>
      <c r="J614" s="30">
        <f t="shared" si="65"/>
        <v>0</v>
      </c>
      <c r="L614" s="30">
        <f ca="1">SUM(K614:OFFSET(RngToDay,ROWS(Dates),10))</f>
        <v>24</v>
      </c>
      <c r="M614" s="32" t="str">
        <f ca="1">IF(B614="","",SUM(C614:OFFSET(C614,-SafetyStock!$B$4+1,0)))</f>
        <v/>
      </c>
      <c r="N614" s="32" t="e">
        <f t="shared" ca="1" si="66"/>
        <v>#DIV/0!</v>
      </c>
      <c r="O614" s="30">
        <f t="shared" si="72"/>
        <v>614</v>
      </c>
      <c r="P614" s="32">
        <f t="shared" ca="1" si="67"/>
        <v>0</v>
      </c>
      <c r="Q614" s="32">
        <f ca="1">IF(LeadTime=0,P614,IF(AND(SUM(Q613:OFFSET(Q614,-LeadTime,0))=0,P614&gt;0),MAX(P614:OFFSET(P614,-LeadTime+1,0)),0))</f>
        <v>0</v>
      </c>
    </row>
    <row r="615" spans="6:17" x14ac:dyDescent="0.25">
      <c r="F615" s="32">
        <f t="shared" si="68"/>
        <v>0</v>
      </c>
      <c r="G615" s="30" t="str">
        <f t="shared" ca="1" si="69"/>
        <v>History</v>
      </c>
      <c r="H615" s="30">
        <f t="shared" si="70"/>
        <v>1900</v>
      </c>
      <c r="I615" s="30">
        <f t="shared" si="71"/>
        <v>1</v>
      </c>
      <c r="J615" s="30">
        <f t="shared" si="65"/>
        <v>0</v>
      </c>
      <c r="L615" s="30">
        <f ca="1">SUM(K615:OFFSET(RngToDay,ROWS(Dates),10))</f>
        <v>24</v>
      </c>
      <c r="M615" s="32" t="str">
        <f ca="1">IF(B615="","",SUM(C615:OFFSET(C615,-SafetyStock!$B$4+1,0)))</f>
        <v/>
      </c>
      <c r="N615" s="32" t="e">
        <f t="shared" ca="1" si="66"/>
        <v>#DIV/0!</v>
      </c>
      <c r="O615" s="30">
        <f t="shared" si="72"/>
        <v>615</v>
      </c>
      <c r="P615" s="32">
        <f t="shared" ca="1" si="67"/>
        <v>0</v>
      </c>
      <c r="Q615" s="32">
        <f ca="1">IF(LeadTime=0,P615,IF(AND(SUM(Q614:OFFSET(Q615,-LeadTime,0))=0,P615&gt;0),MAX(P615:OFFSET(P615,-LeadTime+1,0)),0))</f>
        <v>0</v>
      </c>
    </row>
    <row r="616" spans="6:17" x14ac:dyDescent="0.25">
      <c r="F616" s="32">
        <f t="shared" si="68"/>
        <v>0</v>
      </c>
      <c r="G616" s="30" t="str">
        <f t="shared" ca="1" si="69"/>
        <v>History</v>
      </c>
      <c r="H616" s="30">
        <f t="shared" si="70"/>
        <v>1900</v>
      </c>
      <c r="I616" s="30">
        <f t="shared" si="71"/>
        <v>1</v>
      </c>
      <c r="J616" s="30">
        <f t="shared" si="65"/>
        <v>0</v>
      </c>
      <c r="L616" s="30">
        <f ca="1">SUM(K616:OFFSET(RngToDay,ROWS(Dates),10))</f>
        <v>24</v>
      </c>
      <c r="M616" s="32" t="str">
        <f ca="1">IF(B616="","",SUM(C616:OFFSET(C616,-SafetyStock!$B$4+1,0)))</f>
        <v/>
      </c>
      <c r="N616" s="32" t="e">
        <f t="shared" ca="1" si="66"/>
        <v>#DIV/0!</v>
      </c>
      <c r="O616" s="30">
        <f t="shared" si="72"/>
        <v>616</v>
      </c>
      <c r="P616" s="32">
        <f t="shared" ca="1" si="67"/>
        <v>0</v>
      </c>
      <c r="Q616" s="32">
        <f ca="1">IF(LeadTime=0,P616,IF(AND(SUM(Q615:OFFSET(Q616,-LeadTime,0))=0,P616&gt;0),MAX(P616:OFFSET(P616,-LeadTime+1,0)),0))</f>
        <v>0</v>
      </c>
    </row>
    <row r="617" spans="6:17" x14ac:dyDescent="0.25">
      <c r="F617" s="32">
        <f t="shared" si="68"/>
        <v>0</v>
      </c>
      <c r="G617" s="30" t="str">
        <f t="shared" ca="1" si="69"/>
        <v>History</v>
      </c>
      <c r="H617" s="30">
        <f t="shared" si="70"/>
        <v>1900</v>
      </c>
      <c r="I617" s="30">
        <f t="shared" si="71"/>
        <v>1</v>
      </c>
      <c r="J617" s="30">
        <f t="shared" si="65"/>
        <v>0</v>
      </c>
      <c r="L617" s="30">
        <f ca="1">SUM(K617:OFFSET(RngToDay,ROWS(Dates),10))</f>
        <v>24</v>
      </c>
      <c r="M617" s="32" t="str">
        <f ca="1">IF(B617="","",SUM(C617:OFFSET(C617,-SafetyStock!$B$4+1,0)))</f>
        <v/>
      </c>
      <c r="N617" s="32" t="e">
        <f t="shared" ca="1" si="66"/>
        <v>#DIV/0!</v>
      </c>
      <c r="O617" s="30">
        <f t="shared" si="72"/>
        <v>617</v>
      </c>
      <c r="P617" s="32">
        <f t="shared" ca="1" si="67"/>
        <v>0</v>
      </c>
      <c r="Q617" s="32">
        <f ca="1">IF(LeadTime=0,P617,IF(AND(SUM(Q616:OFFSET(Q617,-LeadTime,0))=0,P617&gt;0),MAX(P617:OFFSET(P617,-LeadTime+1,0)),0))</f>
        <v>0</v>
      </c>
    </row>
    <row r="618" spans="6:17" x14ac:dyDescent="0.25">
      <c r="F618" s="32">
        <f t="shared" si="68"/>
        <v>0</v>
      </c>
      <c r="G618" s="30" t="str">
        <f t="shared" ca="1" si="69"/>
        <v>History</v>
      </c>
      <c r="H618" s="30">
        <f t="shared" si="70"/>
        <v>1900</v>
      </c>
      <c r="I618" s="30">
        <f t="shared" si="71"/>
        <v>1</v>
      </c>
      <c r="J618" s="30">
        <f t="shared" si="65"/>
        <v>0</v>
      </c>
      <c r="L618" s="30">
        <f ca="1">SUM(K618:OFFSET(RngToDay,ROWS(Dates),10))</f>
        <v>24</v>
      </c>
      <c r="M618" s="32" t="str">
        <f ca="1">IF(B618="","",SUM(C618:OFFSET(C618,-SafetyStock!$B$4+1,0)))</f>
        <v/>
      </c>
      <c r="N618" s="32" t="e">
        <f t="shared" ca="1" si="66"/>
        <v>#DIV/0!</v>
      </c>
      <c r="O618" s="30">
        <f t="shared" si="72"/>
        <v>618</v>
      </c>
      <c r="P618" s="32">
        <f t="shared" ca="1" si="67"/>
        <v>0</v>
      </c>
      <c r="Q618" s="32">
        <f ca="1">IF(LeadTime=0,P618,IF(AND(SUM(Q617:OFFSET(Q618,-LeadTime,0))=0,P618&gt;0),MAX(P618:OFFSET(P618,-LeadTime+1,0)),0))</f>
        <v>0</v>
      </c>
    </row>
    <row r="619" spans="6:17" x14ac:dyDescent="0.25">
      <c r="F619" s="32">
        <f t="shared" si="68"/>
        <v>0</v>
      </c>
      <c r="G619" s="30" t="str">
        <f t="shared" ca="1" si="69"/>
        <v>History</v>
      </c>
      <c r="H619" s="30">
        <f t="shared" si="70"/>
        <v>1900</v>
      </c>
      <c r="I619" s="30">
        <f t="shared" si="71"/>
        <v>1</v>
      </c>
      <c r="J619" s="30">
        <f t="shared" si="65"/>
        <v>0</v>
      </c>
      <c r="L619" s="30">
        <f ca="1">SUM(K619:OFFSET(RngToDay,ROWS(Dates),10))</f>
        <v>24</v>
      </c>
      <c r="M619" s="32" t="str">
        <f ca="1">IF(B619="","",SUM(C619:OFFSET(C619,-SafetyStock!$B$4+1,0)))</f>
        <v/>
      </c>
      <c r="N619" s="32" t="e">
        <f t="shared" ca="1" si="66"/>
        <v>#DIV/0!</v>
      </c>
      <c r="O619" s="30">
        <f t="shared" si="72"/>
        <v>619</v>
      </c>
      <c r="P619" s="32">
        <f t="shared" ca="1" si="67"/>
        <v>0</v>
      </c>
      <c r="Q619" s="32">
        <f ca="1">IF(LeadTime=0,P619,IF(AND(SUM(Q618:OFFSET(Q619,-LeadTime,0))=0,P619&gt;0),MAX(P619:OFFSET(P619,-LeadTime+1,0)),0))</f>
        <v>0</v>
      </c>
    </row>
    <row r="620" spans="6:17" x14ac:dyDescent="0.25">
      <c r="F620" s="32">
        <f t="shared" si="68"/>
        <v>0</v>
      </c>
      <c r="G620" s="30" t="str">
        <f t="shared" ca="1" si="69"/>
        <v>History</v>
      </c>
      <c r="H620" s="30">
        <f t="shared" si="70"/>
        <v>1900</v>
      </c>
      <c r="I620" s="30">
        <f t="shared" si="71"/>
        <v>1</v>
      </c>
      <c r="J620" s="30">
        <f t="shared" si="65"/>
        <v>0</v>
      </c>
      <c r="L620" s="30">
        <f ca="1">SUM(K620:OFFSET(RngToDay,ROWS(Dates),10))</f>
        <v>24</v>
      </c>
      <c r="M620" s="32" t="str">
        <f ca="1">IF(B620="","",SUM(C620:OFFSET(C620,-SafetyStock!$B$4+1,0)))</f>
        <v/>
      </c>
      <c r="N620" s="32" t="e">
        <f t="shared" ca="1" si="66"/>
        <v>#DIV/0!</v>
      </c>
      <c r="O620" s="30">
        <f t="shared" si="72"/>
        <v>620</v>
      </c>
      <c r="P620" s="32">
        <f t="shared" ca="1" si="67"/>
        <v>0</v>
      </c>
      <c r="Q620" s="32">
        <f ca="1">IF(LeadTime=0,P620,IF(AND(SUM(Q619:OFFSET(Q620,-LeadTime,0))=0,P620&gt;0),MAX(P620:OFFSET(P620,-LeadTime+1,0)),0))</f>
        <v>0</v>
      </c>
    </row>
    <row r="621" spans="6:17" x14ac:dyDescent="0.25">
      <c r="F621" s="32">
        <f t="shared" si="68"/>
        <v>0</v>
      </c>
      <c r="G621" s="30" t="str">
        <f t="shared" ca="1" si="69"/>
        <v>History</v>
      </c>
      <c r="H621" s="30">
        <f t="shared" si="70"/>
        <v>1900</v>
      </c>
      <c r="I621" s="30">
        <f t="shared" si="71"/>
        <v>1</v>
      </c>
      <c r="J621" s="30">
        <f t="shared" si="65"/>
        <v>0</v>
      </c>
      <c r="L621" s="30">
        <f ca="1">SUM(K621:OFFSET(RngToDay,ROWS(Dates),10))</f>
        <v>24</v>
      </c>
      <c r="M621" s="32" t="str">
        <f ca="1">IF(B621="","",SUM(C621:OFFSET(C621,-SafetyStock!$B$4+1,0)))</f>
        <v/>
      </c>
      <c r="N621" s="32" t="e">
        <f t="shared" ca="1" si="66"/>
        <v>#DIV/0!</v>
      </c>
      <c r="O621" s="30">
        <f t="shared" si="72"/>
        <v>621</v>
      </c>
      <c r="P621" s="32">
        <f t="shared" ca="1" si="67"/>
        <v>0</v>
      </c>
      <c r="Q621" s="32">
        <f ca="1">IF(LeadTime=0,P621,IF(AND(SUM(Q620:OFFSET(Q621,-LeadTime,0))=0,P621&gt;0),MAX(P621:OFFSET(P621,-LeadTime+1,0)),0))</f>
        <v>0</v>
      </c>
    </row>
    <row r="622" spans="6:17" x14ac:dyDescent="0.25">
      <c r="F622" s="32">
        <f t="shared" si="68"/>
        <v>0</v>
      </c>
      <c r="G622" s="30" t="str">
        <f t="shared" ca="1" si="69"/>
        <v>History</v>
      </c>
      <c r="H622" s="30">
        <f t="shared" si="70"/>
        <v>1900</v>
      </c>
      <c r="I622" s="30">
        <f t="shared" si="71"/>
        <v>1</v>
      </c>
      <c r="J622" s="30">
        <f t="shared" si="65"/>
        <v>0</v>
      </c>
      <c r="L622" s="30">
        <f ca="1">SUM(K622:OFFSET(RngToDay,ROWS(Dates),10))</f>
        <v>24</v>
      </c>
      <c r="M622" s="32" t="str">
        <f ca="1">IF(B622="","",SUM(C622:OFFSET(C622,-SafetyStock!$B$4+1,0)))</f>
        <v/>
      </c>
      <c r="N622" s="32" t="e">
        <f t="shared" ca="1" si="66"/>
        <v>#DIV/0!</v>
      </c>
      <c r="O622" s="30">
        <f t="shared" si="72"/>
        <v>622</v>
      </c>
      <c r="P622" s="32">
        <f t="shared" ca="1" si="67"/>
        <v>0</v>
      </c>
      <c r="Q622" s="32">
        <f ca="1">IF(LeadTime=0,P622,IF(AND(SUM(Q621:OFFSET(Q622,-LeadTime,0))=0,P622&gt;0),MAX(P622:OFFSET(P622,-LeadTime+1,0)),0))</f>
        <v>0</v>
      </c>
    </row>
    <row r="623" spans="6:17" x14ac:dyDescent="0.25">
      <c r="F623" s="32">
        <f t="shared" si="68"/>
        <v>0</v>
      </c>
      <c r="G623" s="30" t="str">
        <f t="shared" ca="1" si="69"/>
        <v>History</v>
      </c>
      <c r="H623" s="30">
        <f t="shared" si="70"/>
        <v>1900</v>
      </c>
      <c r="I623" s="30">
        <f t="shared" si="71"/>
        <v>1</v>
      </c>
      <c r="J623" s="30">
        <f t="shared" si="65"/>
        <v>0</v>
      </c>
      <c r="L623" s="30">
        <f ca="1">SUM(K623:OFFSET(RngToDay,ROWS(Dates),10))</f>
        <v>24</v>
      </c>
      <c r="M623" s="32" t="str">
        <f ca="1">IF(B623="","",SUM(C623:OFFSET(C623,-SafetyStock!$B$4+1,0)))</f>
        <v/>
      </c>
      <c r="N623" s="32" t="e">
        <f t="shared" ca="1" si="66"/>
        <v>#DIV/0!</v>
      </c>
      <c r="O623" s="30">
        <f t="shared" si="72"/>
        <v>623</v>
      </c>
      <c r="P623" s="32">
        <f t="shared" ca="1" si="67"/>
        <v>0</v>
      </c>
      <c r="Q623" s="32">
        <f ca="1">IF(LeadTime=0,P623,IF(AND(SUM(Q622:OFFSET(Q623,-LeadTime,0))=0,P623&gt;0),MAX(P623:OFFSET(P623,-LeadTime+1,0)),0))</f>
        <v>0</v>
      </c>
    </row>
    <row r="624" spans="6:17" x14ac:dyDescent="0.25">
      <c r="F624" s="32">
        <f t="shared" si="68"/>
        <v>0</v>
      </c>
      <c r="G624" s="30" t="str">
        <f t="shared" ca="1" si="69"/>
        <v>History</v>
      </c>
      <c r="H624" s="30">
        <f t="shared" si="70"/>
        <v>1900</v>
      </c>
      <c r="I624" s="30">
        <f t="shared" si="71"/>
        <v>1</v>
      </c>
      <c r="J624" s="30">
        <f t="shared" si="65"/>
        <v>0</v>
      </c>
      <c r="L624" s="30">
        <f ca="1">SUM(K624:OFFSET(RngToDay,ROWS(Dates),10))</f>
        <v>24</v>
      </c>
      <c r="M624" s="32" t="str">
        <f ca="1">IF(B624="","",SUM(C624:OFFSET(C624,-SafetyStock!$B$4+1,0)))</f>
        <v/>
      </c>
      <c r="N624" s="32" t="e">
        <f t="shared" ca="1" si="66"/>
        <v>#DIV/0!</v>
      </c>
      <c r="O624" s="30">
        <f t="shared" si="72"/>
        <v>624</v>
      </c>
      <c r="P624" s="32">
        <f t="shared" ca="1" si="67"/>
        <v>0</v>
      </c>
      <c r="Q624" s="32">
        <f ca="1">IF(LeadTime=0,P624,IF(AND(SUM(Q623:OFFSET(Q624,-LeadTime,0))=0,P624&gt;0),MAX(P624:OFFSET(P624,-LeadTime+1,0)),0))</f>
        <v>0</v>
      </c>
    </row>
    <row r="625" spans="6:17" x14ac:dyDescent="0.25">
      <c r="F625" s="32">
        <f t="shared" si="68"/>
        <v>0</v>
      </c>
      <c r="G625" s="30" t="str">
        <f t="shared" ca="1" si="69"/>
        <v>History</v>
      </c>
      <c r="H625" s="30">
        <f t="shared" si="70"/>
        <v>1900</v>
      </c>
      <c r="I625" s="30">
        <f t="shared" si="71"/>
        <v>1</v>
      </c>
      <c r="J625" s="30">
        <f t="shared" si="65"/>
        <v>0</v>
      </c>
      <c r="L625" s="30">
        <f ca="1">SUM(K625:OFFSET(RngToDay,ROWS(Dates),10))</f>
        <v>24</v>
      </c>
      <c r="M625" s="32" t="str">
        <f ca="1">IF(B625="","",SUM(C625:OFFSET(C625,-SafetyStock!$B$4+1,0)))</f>
        <v/>
      </c>
      <c r="N625" s="32" t="e">
        <f t="shared" ca="1" si="66"/>
        <v>#DIV/0!</v>
      </c>
      <c r="O625" s="30">
        <f t="shared" si="72"/>
        <v>625</v>
      </c>
      <c r="P625" s="32">
        <f t="shared" ca="1" si="67"/>
        <v>0</v>
      </c>
      <c r="Q625" s="32">
        <f ca="1">IF(LeadTime=0,P625,IF(AND(SUM(Q624:OFFSET(Q625,-LeadTime,0))=0,P625&gt;0),MAX(P625:OFFSET(P625,-LeadTime+1,0)),0))</f>
        <v>0</v>
      </c>
    </row>
    <row r="626" spans="6:17" x14ac:dyDescent="0.25">
      <c r="F626" s="32">
        <f t="shared" si="68"/>
        <v>0</v>
      </c>
      <c r="G626" s="30" t="str">
        <f t="shared" ca="1" si="69"/>
        <v>History</v>
      </c>
      <c r="H626" s="30">
        <f t="shared" si="70"/>
        <v>1900</v>
      </c>
      <c r="I626" s="30">
        <f t="shared" si="71"/>
        <v>1</v>
      </c>
      <c r="J626" s="30">
        <f t="shared" si="65"/>
        <v>0</v>
      </c>
      <c r="L626" s="30">
        <f ca="1">SUM(K626:OFFSET(RngToDay,ROWS(Dates),10))</f>
        <v>24</v>
      </c>
      <c r="M626" s="32" t="str">
        <f ca="1">IF(B626="","",SUM(C626:OFFSET(C626,-SafetyStock!$B$4+1,0)))</f>
        <v/>
      </c>
      <c r="N626" s="32" t="e">
        <f t="shared" ca="1" si="66"/>
        <v>#DIV/0!</v>
      </c>
      <c r="O626" s="30">
        <f t="shared" si="72"/>
        <v>626</v>
      </c>
      <c r="P626" s="32">
        <f t="shared" ca="1" si="67"/>
        <v>0</v>
      </c>
      <c r="Q626" s="32">
        <f ca="1">IF(LeadTime=0,P626,IF(AND(SUM(Q625:OFFSET(Q626,-LeadTime,0))=0,P626&gt;0),MAX(P626:OFFSET(P626,-LeadTime+1,0)),0))</f>
        <v>0</v>
      </c>
    </row>
    <row r="627" spans="6:17" x14ac:dyDescent="0.25">
      <c r="F627" s="32">
        <f t="shared" si="68"/>
        <v>0</v>
      </c>
      <c r="G627" s="30" t="str">
        <f t="shared" ca="1" si="69"/>
        <v>History</v>
      </c>
      <c r="H627" s="30">
        <f t="shared" si="70"/>
        <v>1900</v>
      </c>
      <c r="I627" s="30">
        <f t="shared" si="71"/>
        <v>1</v>
      </c>
      <c r="J627" s="30">
        <f t="shared" si="65"/>
        <v>0</v>
      </c>
      <c r="L627" s="30">
        <f ca="1">SUM(K627:OFFSET(RngToDay,ROWS(Dates),10))</f>
        <v>24</v>
      </c>
      <c r="M627" s="32" t="str">
        <f ca="1">IF(B627="","",SUM(C627:OFFSET(C627,-SafetyStock!$B$4+1,0)))</f>
        <v/>
      </c>
      <c r="N627" s="32" t="e">
        <f t="shared" ca="1" si="66"/>
        <v>#DIV/0!</v>
      </c>
      <c r="O627" s="30">
        <f t="shared" si="72"/>
        <v>627</v>
      </c>
      <c r="P627" s="32">
        <f t="shared" ca="1" si="67"/>
        <v>0</v>
      </c>
      <c r="Q627" s="32">
        <f ca="1">IF(LeadTime=0,P627,IF(AND(SUM(Q626:OFFSET(Q627,-LeadTime,0))=0,P627&gt;0),MAX(P627:OFFSET(P627,-LeadTime+1,0)),0))</f>
        <v>0</v>
      </c>
    </row>
    <row r="628" spans="6:17" x14ac:dyDescent="0.25">
      <c r="F628" s="32">
        <f t="shared" si="68"/>
        <v>0</v>
      </c>
      <c r="G628" s="30" t="str">
        <f t="shared" ca="1" si="69"/>
        <v>History</v>
      </c>
      <c r="H628" s="30">
        <f t="shared" si="70"/>
        <v>1900</v>
      </c>
      <c r="I628" s="30">
        <f t="shared" si="71"/>
        <v>1</v>
      </c>
      <c r="J628" s="30">
        <f t="shared" si="65"/>
        <v>0</v>
      </c>
      <c r="L628" s="30">
        <f ca="1">SUM(K628:OFFSET(RngToDay,ROWS(Dates),10))</f>
        <v>24</v>
      </c>
      <c r="M628" s="32" t="str">
        <f ca="1">IF(B628="","",SUM(C628:OFFSET(C628,-SafetyStock!$B$4+1,0)))</f>
        <v/>
      </c>
      <c r="N628" s="32" t="e">
        <f t="shared" ca="1" si="66"/>
        <v>#DIV/0!</v>
      </c>
      <c r="O628" s="30">
        <f t="shared" si="72"/>
        <v>628</v>
      </c>
      <c r="P628" s="32">
        <f t="shared" ca="1" si="67"/>
        <v>0</v>
      </c>
      <c r="Q628" s="32">
        <f ca="1">IF(LeadTime=0,P628,IF(AND(SUM(Q627:OFFSET(Q628,-LeadTime,0))=0,P628&gt;0),MAX(P628:OFFSET(P628,-LeadTime+1,0)),0))</f>
        <v>0</v>
      </c>
    </row>
    <row r="629" spans="6:17" x14ac:dyDescent="0.25">
      <c r="F629" s="32">
        <f t="shared" si="68"/>
        <v>0</v>
      </c>
      <c r="G629" s="30" t="str">
        <f t="shared" ca="1" si="69"/>
        <v>History</v>
      </c>
      <c r="H629" s="30">
        <f t="shared" si="70"/>
        <v>1900</v>
      </c>
      <c r="I629" s="30">
        <f t="shared" si="71"/>
        <v>1</v>
      </c>
      <c r="J629" s="30">
        <f t="shared" si="65"/>
        <v>0</v>
      </c>
      <c r="L629" s="30">
        <f ca="1">SUM(K629:OFFSET(RngToDay,ROWS(Dates),10))</f>
        <v>24</v>
      </c>
      <c r="M629" s="32" t="str">
        <f ca="1">IF(B629="","",SUM(C629:OFFSET(C629,-SafetyStock!$B$4+1,0)))</f>
        <v/>
      </c>
      <c r="N629" s="32" t="e">
        <f t="shared" ca="1" si="66"/>
        <v>#DIV/0!</v>
      </c>
      <c r="O629" s="30">
        <f t="shared" si="72"/>
        <v>629</v>
      </c>
      <c r="P629" s="32">
        <f t="shared" ca="1" si="67"/>
        <v>0</v>
      </c>
      <c r="Q629" s="32">
        <f ca="1">IF(LeadTime=0,P629,IF(AND(SUM(Q628:OFFSET(Q629,-LeadTime,0))=0,P629&gt;0),MAX(P629:OFFSET(P629,-LeadTime+1,0)),0))</f>
        <v>0</v>
      </c>
    </row>
    <row r="630" spans="6:17" x14ac:dyDescent="0.25">
      <c r="F630" s="32">
        <f t="shared" si="68"/>
        <v>0</v>
      </c>
      <c r="G630" s="30" t="str">
        <f t="shared" ca="1" si="69"/>
        <v>History</v>
      </c>
      <c r="H630" s="30">
        <f t="shared" si="70"/>
        <v>1900</v>
      </c>
      <c r="I630" s="30">
        <f t="shared" si="71"/>
        <v>1</v>
      </c>
      <c r="J630" s="30">
        <f t="shared" si="65"/>
        <v>0</v>
      </c>
      <c r="L630" s="30">
        <f ca="1">SUM(K630:OFFSET(RngToDay,ROWS(Dates),10))</f>
        <v>24</v>
      </c>
      <c r="M630" s="32" t="str">
        <f ca="1">IF(B630="","",SUM(C630:OFFSET(C630,-SafetyStock!$B$4+1,0)))</f>
        <v/>
      </c>
      <c r="N630" s="32" t="e">
        <f t="shared" ca="1" si="66"/>
        <v>#DIV/0!</v>
      </c>
      <c r="O630" s="30">
        <f t="shared" si="72"/>
        <v>630</v>
      </c>
      <c r="P630" s="32">
        <f t="shared" ca="1" si="67"/>
        <v>0</v>
      </c>
      <c r="Q630" s="32">
        <f ca="1">IF(LeadTime=0,P630,IF(AND(SUM(Q629:OFFSET(Q630,-LeadTime,0))=0,P630&gt;0),MAX(P630:OFFSET(P630,-LeadTime+1,0)),0))</f>
        <v>0</v>
      </c>
    </row>
    <row r="631" spans="6:17" x14ac:dyDescent="0.25">
      <c r="F631" s="32">
        <f t="shared" si="68"/>
        <v>0</v>
      </c>
      <c r="G631" s="30" t="str">
        <f t="shared" ca="1" si="69"/>
        <v>History</v>
      </c>
      <c r="H631" s="30">
        <f t="shared" si="70"/>
        <v>1900</v>
      </c>
      <c r="I631" s="30">
        <f t="shared" si="71"/>
        <v>1</v>
      </c>
      <c r="J631" s="30">
        <f t="shared" si="65"/>
        <v>0</v>
      </c>
      <c r="L631" s="30">
        <f ca="1">SUM(K631:OFFSET(RngToDay,ROWS(Dates),10))</f>
        <v>24</v>
      </c>
      <c r="M631" s="32" t="str">
        <f ca="1">IF(B631="","",SUM(C631:OFFSET(C631,-SafetyStock!$B$4+1,0)))</f>
        <v/>
      </c>
      <c r="N631" s="32" t="e">
        <f t="shared" ca="1" si="66"/>
        <v>#DIV/0!</v>
      </c>
      <c r="O631" s="30">
        <f t="shared" si="72"/>
        <v>631</v>
      </c>
      <c r="P631" s="32">
        <f t="shared" ca="1" si="67"/>
        <v>0</v>
      </c>
      <c r="Q631" s="32">
        <f ca="1">IF(LeadTime=0,P631,IF(AND(SUM(Q630:OFFSET(Q631,-LeadTime,0))=0,P631&gt;0),MAX(P631:OFFSET(P631,-LeadTime+1,0)),0))</f>
        <v>0</v>
      </c>
    </row>
    <row r="632" spans="6:17" x14ac:dyDescent="0.25">
      <c r="F632" s="32">
        <f t="shared" si="68"/>
        <v>0</v>
      </c>
      <c r="G632" s="30" t="str">
        <f t="shared" ca="1" si="69"/>
        <v>History</v>
      </c>
      <c r="H632" s="30">
        <f t="shared" si="70"/>
        <v>1900</v>
      </c>
      <c r="I632" s="30">
        <f t="shared" si="71"/>
        <v>1</v>
      </c>
      <c r="J632" s="30">
        <f t="shared" ref="J632:J633" si="73">IF(WEEKDAY(DATE(YEAR(A632),1,1),2)&gt;4,WEEKNUM(A632,2)-1,WEEKNUM(A632,2))</f>
        <v>0</v>
      </c>
      <c r="L632" s="30">
        <f ca="1">SUM(K632:OFFSET(RngToDay,ROWS(Dates),10))</f>
        <v>24</v>
      </c>
      <c r="M632" s="32" t="str">
        <f ca="1">IF(B632="","",SUM(C632:OFFSET(C632,-SafetyStock!$B$4+1,0)))</f>
        <v/>
      </c>
      <c r="N632" s="32" t="e">
        <f t="shared" ca="1" si="66"/>
        <v>#DIV/0!</v>
      </c>
      <c r="O632" s="30">
        <f t="shared" si="72"/>
        <v>632</v>
      </c>
      <c r="P632" s="32">
        <f t="shared" ca="1" si="67"/>
        <v>0</v>
      </c>
      <c r="Q632" s="32">
        <f ca="1">IF(LeadTime=0,P632,IF(AND(SUM(Q631:OFFSET(Q632,-LeadTime,0))=0,P632&gt;0),MAX(P632:OFFSET(P632,-LeadTime+1,0)),0))</f>
        <v>0</v>
      </c>
    </row>
    <row r="633" spans="6:17" x14ac:dyDescent="0.25">
      <c r="F633" s="32">
        <f t="shared" si="68"/>
        <v>0</v>
      </c>
      <c r="G633" s="30" t="str">
        <f t="shared" ca="1" si="69"/>
        <v>History</v>
      </c>
      <c r="H633" s="30">
        <f t="shared" si="70"/>
        <v>1900</v>
      </c>
      <c r="I633" s="30">
        <f t="shared" si="71"/>
        <v>1</v>
      </c>
      <c r="J633" s="30">
        <f t="shared" si="73"/>
        <v>0</v>
      </c>
      <c r="L633" s="30">
        <f ca="1">SUM(K633:OFFSET(RngToDay,ROWS(Dates),10))</f>
        <v>24</v>
      </c>
      <c r="M633" s="32" t="str">
        <f ca="1">IF(B633="","",SUM(C633:OFFSET(C633,-SafetyStock!$B$4+1,0)))</f>
        <v/>
      </c>
      <c r="N633" s="32" t="e">
        <f t="shared" ca="1" si="66"/>
        <v>#DIV/0!</v>
      </c>
      <c r="O633" s="30">
        <f t="shared" si="72"/>
        <v>633</v>
      </c>
      <c r="P633" s="32">
        <f t="shared" ca="1" si="67"/>
        <v>0</v>
      </c>
      <c r="Q633" s="32">
        <f ca="1">IF(LeadTime=0,P633,IF(AND(SUM(Q632:OFFSET(Q633,-LeadTime,0))=0,P633&gt;0),MAX(P633:OFFSET(P633,-LeadTime+1,0)),0))</f>
        <v>0</v>
      </c>
    </row>
  </sheetData>
  <sheetProtection password="CB87" sheet="1" objects="1" scenarios="1"/>
  <pageMargins left="0.78740157499999996" right="0.78740157499999996" top="0.984251969" bottom="0.984251969" header="0.5" footer="0.5"/>
  <pageSetup paperSize="9" orientation="portrait" verticalDpi="0" r:id="rId1"/>
  <headerFooter alignWithMargins="0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8">
    <tabColor rgb="FFFF8080"/>
  </sheetPr>
  <dimension ref="A1:E43"/>
  <sheetViews>
    <sheetView showGridLines="0" showRowColHeaders="0" zoomScale="85" workbookViewId="0">
      <pane ySplit="10" topLeftCell="A11" activePane="bottomLeft" state="frozen"/>
      <selection activeCell="B3" sqref="B3"/>
      <selection pane="bottomLeft" activeCell="A11" sqref="A11"/>
    </sheetView>
  </sheetViews>
  <sheetFormatPr defaultColWidth="11.453125" defaultRowHeight="12.5" x14ac:dyDescent="0.25"/>
  <cols>
    <col min="1" max="1" width="9.7265625" style="30" customWidth="1"/>
    <col min="2" max="2" width="9.26953125" style="30" customWidth="1"/>
    <col min="3" max="4" width="13.7265625" style="30" customWidth="1"/>
    <col min="5" max="5" width="11.26953125" style="30" customWidth="1"/>
    <col min="6" max="6" width="8.453125" style="30" customWidth="1"/>
    <col min="7" max="7" width="14.453125" style="30" customWidth="1"/>
    <col min="8" max="8" width="10.81640625" style="30" customWidth="1"/>
    <col min="9" max="9" width="6.453125" style="30" customWidth="1"/>
    <col min="10" max="14" width="9.7265625" style="30" customWidth="1"/>
    <col min="15" max="15" width="8.453125" style="30" customWidth="1"/>
    <col min="16" max="16384" width="11.453125" style="30"/>
  </cols>
  <sheetData>
    <row r="1" spans="1:5" ht="20" x14ac:dyDescent="0.4">
      <c r="A1" s="33"/>
    </row>
    <row r="6" spans="1:5" ht="14.5" x14ac:dyDescent="0.35">
      <c r="A6" s="150" t="s">
        <v>320</v>
      </c>
      <c r="B6" s="151" t="s">
        <v>532</v>
      </c>
    </row>
    <row r="7" spans="1:5" ht="14.5" x14ac:dyDescent="0.35">
      <c r="A7" s="150" t="s">
        <v>192</v>
      </c>
      <c r="B7" s="151" t="s">
        <v>532</v>
      </c>
    </row>
    <row r="9" spans="1:5" ht="14.5" x14ac:dyDescent="0.35">
      <c r="A9" s="157" t="s">
        <v>507</v>
      </c>
      <c r="B9" s="157"/>
      <c r="C9" s="157" t="s">
        <v>332</v>
      </c>
      <c r="D9" s="157"/>
      <c r="E9" s="157"/>
    </row>
    <row r="10" spans="1:5" ht="14.5" x14ac:dyDescent="0.35">
      <c r="A10" s="158" t="s">
        <v>194</v>
      </c>
      <c r="B10" s="158" t="s">
        <v>193</v>
      </c>
      <c r="C10" s="165" t="s">
        <v>508</v>
      </c>
      <c r="D10" s="180" t="s">
        <v>509</v>
      </c>
      <c r="E10" s="189" t="s">
        <v>531</v>
      </c>
    </row>
    <row r="11" spans="1:5" ht="14.5" x14ac:dyDescent="0.35">
      <c r="A11" s="177">
        <v>2012</v>
      </c>
      <c r="B11" s="169">
        <v>6</v>
      </c>
      <c r="C11" s="166"/>
      <c r="D11" s="181"/>
      <c r="E11" s="161"/>
    </row>
    <row r="12" spans="1:5" ht="14.5" x14ac:dyDescent="0.35">
      <c r="A12" s="172"/>
      <c r="B12" s="176">
        <v>7</v>
      </c>
      <c r="C12" s="182"/>
      <c r="D12" s="183"/>
      <c r="E12" s="162"/>
    </row>
    <row r="13" spans="1:5" ht="14.5" x14ac:dyDescent="0.35">
      <c r="A13" s="172"/>
      <c r="B13" s="176">
        <v>8</v>
      </c>
      <c r="C13" s="182"/>
      <c r="D13" s="183"/>
      <c r="E13" s="162"/>
    </row>
    <row r="14" spans="1:5" ht="14.5" x14ac:dyDescent="0.35">
      <c r="A14" s="172"/>
      <c r="B14" s="176">
        <v>9</v>
      </c>
      <c r="C14" s="182"/>
      <c r="D14" s="183"/>
      <c r="E14" s="162"/>
    </row>
    <row r="15" spans="1:5" ht="14.5" x14ac:dyDescent="0.35">
      <c r="A15" s="172"/>
      <c r="B15" s="176">
        <v>10</v>
      </c>
      <c r="C15" s="182"/>
      <c r="D15" s="183"/>
      <c r="E15" s="162"/>
    </row>
    <row r="16" spans="1:5" ht="14.5" x14ac:dyDescent="0.35">
      <c r="A16" s="172"/>
      <c r="B16" s="176">
        <v>11</v>
      </c>
      <c r="C16" s="182"/>
      <c r="D16" s="183"/>
      <c r="E16" s="162"/>
    </row>
    <row r="17" spans="1:5" ht="14.5" x14ac:dyDescent="0.35">
      <c r="A17" s="172"/>
      <c r="B17" s="176">
        <v>12</v>
      </c>
      <c r="C17" s="182"/>
      <c r="D17" s="183"/>
      <c r="E17" s="162"/>
    </row>
    <row r="18" spans="1:5" ht="15" thickBot="1" x14ac:dyDescent="0.4">
      <c r="A18" s="178" t="s">
        <v>533</v>
      </c>
      <c r="B18" s="179"/>
      <c r="C18" s="184"/>
      <c r="D18" s="185"/>
      <c r="E18" s="190"/>
    </row>
    <row r="19" spans="1:5" ht="15" thickTop="1" x14ac:dyDescent="0.35">
      <c r="A19" s="191"/>
      <c r="B19" s="192"/>
      <c r="C19" s="193"/>
      <c r="D19" s="194"/>
      <c r="E19" s="195"/>
    </row>
    <row r="20" spans="1:5" ht="14.5" x14ac:dyDescent="0.35">
      <c r="A20" s="177">
        <v>2013</v>
      </c>
      <c r="B20" s="169">
        <v>1</v>
      </c>
      <c r="C20" s="166"/>
      <c r="D20" s="181"/>
      <c r="E20" s="161"/>
    </row>
    <row r="21" spans="1:5" ht="14.5" x14ac:dyDescent="0.35">
      <c r="A21" s="172"/>
      <c r="B21" s="176">
        <v>2</v>
      </c>
      <c r="C21" s="182"/>
      <c r="D21" s="183"/>
      <c r="E21" s="162"/>
    </row>
    <row r="22" spans="1:5" ht="14.5" x14ac:dyDescent="0.35">
      <c r="A22" s="172"/>
      <c r="B22" s="176">
        <v>3</v>
      </c>
      <c r="C22" s="182"/>
      <c r="D22" s="183"/>
      <c r="E22" s="162"/>
    </row>
    <row r="23" spans="1:5" ht="14.5" x14ac:dyDescent="0.35">
      <c r="A23" s="172"/>
      <c r="B23" s="176">
        <v>4</v>
      </c>
      <c r="C23" s="182"/>
      <c r="D23" s="183"/>
      <c r="E23" s="162"/>
    </row>
    <row r="24" spans="1:5" ht="14.5" x14ac:dyDescent="0.35">
      <c r="A24" s="172"/>
      <c r="B24" s="176">
        <v>5</v>
      </c>
      <c r="C24" s="182"/>
      <c r="D24" s="183"/>
      <c r="E24" s="162"/>
    </row>
    <row r="25" spans="1:5" ht="14.5" x14ac:dyDescent="0.35">
      <c r="A25" s="172"/>
      <c r="B25" s="176">
        <v>6</v>
      </c>
      <c r="C25" s="182"/>
      <c r="D25" s="183"/>
      <c r="E25" s="162"/>
    </row>
    <row r="26" spans="1:5" ht="14.5" x14ac:dyDescent="0.35">
      <c r="A26" s="172"/>
      <c r="B26" s="176">
        <v>7</v>
      </c>
      <c r="C26" s="182"/>
      <c r="D26" s="183"/>
      <c r="E26" s="162"/>
    </row>
    <row r="27" spans="1:5" ht="14.5" x14ac:dyDescent="0.35">
      <c r="A27" s="172"/>
      <c r="B27" s="176">
        <v>8</v>
      </c>
      <c r="C27" s="182"/>
      <c r="D27" s="183"/>
      <c r="E27" s="162"/>
    </row>
    <row r="28" spans="1:5" ht="14.5" x14ac:dyDescent="0.35">
      <c r="A28" s="172"/>
      <c r="B28" s="176">
        <v>9</v>
      </c>
      <c r="C28" s="182"/>
      <c r="D28" s="183"/>
      <c r="E28" s="162"/>
    </row>
    <row r="29" spans="1:5" ht="14.5" x14ac:dyDescent="0.35">
      <c r="A29" s="172"/>
      <c r="B29" s="176">
        <v>10</v>
      </c>
      <c r="C29" s="182"/>
      <c r="D29" s="183"/>
      <c r="E29" s="162"/>
    </row>
    <row r="30" spans="1:5" ht="14.5" x14ac:dyDescent="0.35">
      <c r="A30" s="172"/>
      <c r="B30" s="176">
        <v>11</v>
      </c>
      <c r="C30" s="182"/>
      <c r="D30" s="183"/>
      <c r="E30" s="162"/>
    </row>
    <row r="31" spans="1:5" ht="14.5" x14ac:dyDescent="0.35">
      <c r="A31" s="172"/>
      <c r="B31" s="176">
        <v>12</v>
      </c>
      <c r="C31" s="182"/>
      <c r="D31" s="183"/>
      <c r="E31" s="162"/>
    </row>
    <row r="32" spans="1:5" ht="15" thickBot="1" x14ac:dyDescent="0.4">
      <c r="A32" s="178" t="s">
        <v>534</v>
      </c>
      <c r="B32" s="179"/>
      <c r="C32" s="184"/>
      <c r="D32" s="185"/>
      <c r="E32" s="190"/>
    </row>
    <row r="33" spans="1:5" ht="15" thickTop="1" x14ac:dyDescent="0.35">
      <c r="A33" s="191"/>
      <c r="B33" s="192"/>
      <c r="C33" s="193"/>
      <c r="D33" s="194"/>
      <c r="E33" s="195"/>
    </row>
    <row r="34" spans="1:5" ht="14.5" x14ac:dyDescent="0.35">
      <c r="A34" s="177">
        <v>2014</v>
      </c>
      <c r="B34" s="169">
        <v>1</v>
      </c>
      <c r="C34" s="166"/>
      <c r="D34" s="181"/>
      <c r="E34" s="161"/>
    </row>
    <row r="35" spans="1:5" ht="14.5" x14ac:dyDescent="0.35">
      <c r="A35" s="172"/>
      <c r="B35" s="176">
        <v>2</v>
      </c>
      <c r="C35" s="182"/>
      <c r="D35" s="183"/>
      <c r="E35" s="162"/>
    </row>
    <row r="36" spans="1:5" ht="14.5" x14ac:dyDescent="0.35">
      <c r="A36" s="172"/>
      <c r="B36" s="176">
        <v>3</v>
      </c>
      <c r="C36" s="182"/>
      <c r="D36" s="183"/>
      <c r="E36" s="162"/>
    </row>
    <row r="37" spans="1:5" ht="14.5" x14ac:dyDescent="0.35">
      <c r="A37" s="172"/>
      <c r="B37" s="176">
        <v>4</v>
      </c>
      <c r="C37" s="182"/>
      <c r="D37" s="183"/>
      <c r="E37" s="162"/>
    </row>
    <row r="38" spans="1:5" ht="14.5" x14ac:dyDescent="0.35">
      <c r="A38" s="172"/>
      <c r="B38" s="176">
        <v>5</v>
      </c>
      <c r="C38" s="182"/>
      <c r="D38" s="183"/>
      <c r="E38" s="162"/>
    </row>
    <row r="39" spans="1:5" ht="14.5" x14ac:dyDescent="0.35">
      <c r="A39" s="172"/>
      <c r="B39" s="176">
        <v>6</v>
      </c>
      <c r="C39" s="182"/>
      <c r="D39" s="183"/>
      <c r="E39" s="162"/>
    </row>
    <row r="40" spans="1:5" ht="15" thickBot="1" x14ac:dyDescent="0.4">
      <c r="A40" s="178" t="s">
        <v>535</v>
      </c>
      <c r="B40" s="179"/>
      <c r="C40" s="184"/>
      <c r="D40" s="185"/>
      <c r="E40" s="190"/>
    </row>
    <row r="41" spans="1:5" ht="15" thickTop="1" x14ac:dyDescent="0.35">
      <c r="A41" s="191"/>
      <c r="B41" s="192"/>
      <c r="C41" s="193"/>
      <c r="D41" s="194"/>
      <c r="E41" s="195"/>
    </row>
    <row r="42" spans="1:5" ht="15" thickBot="1" x14ac:dyDescent="0.4">
      <c r="A42" s="186" t="s">
        <v>531</v>
      </c>
      <c r="B42" s="187"/>
      <c r="C42" s="188"/>
      <c r="D42" s="188"/>
      <c r="E42" s="163"/>
    </row>
    <row r="43" spans="1:5" ht="13" thickTop="1" x14ac:dyDescent="0.25"/>
  </sheetData>
  <pageMargins left="0.78740157499999996" right="0.78740157499999996" top="0.984251969" bottom="0.984251969" header="0.5" footer="0.5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9">
    <tabColor rgb="FFFF8080"/>
    <pageSetUpPr fitToPage="1"/>
  </sheetPr>
  <dimension ref="A1:C16"/>
  <sheetViews>
    <sheetView showGridLines="0" zoomScale="85" workbookViewId="0">
      <pane xSplit="1" ySplit="13" topLeftCell="B14" activePane="bottomRight" state="frozen"/>
      <selection activeCell="B3" sqref="B3"/>
      <selection pane="topRight" activeCell="B3" sqref="B3"/>
      <selection pane="bottomLeft" activeCell="B3" sqref="B3"/>
      <selection pane="bottomRight" activeCell="B14" sqref="B14"/>
    </sheetView>
  </sheetViews>
  <sheetFormatPr defaultColWidth="11.453125" defaultRowHeight="12.5" x14ac:dyDescent="0.25"/>
  <cols>
    <col min="1" max="1" width="21.90625" style="30" customWidth="1"/>
    <col min="2" max="2" width="13.90625" style="30" customWidth="1"/>
    <col min="3" max="3" width="10.81640625" style="30" customWidth="1"/>
    <col min="4" max="4" width="9.453125" style="30" customWidth="1"/>
    <col min="5" max="6" width="9.81640625" style="30" customWidth="1"/>
    <col min="7" max="7" width="8.453125" style="30" customWidth="1"/>
    <col min="8" max="8" width="6.7265625" style="30" customWidth="1"/>
    <col min="9" max="9" width="6.453125" style="30" customWidth="1"/>
    <col min="10" max="13" width="7.7265625" style="30" customWidth="1"/>
    <col min="14" max="14" width="8" style="30" customWidth="1"/>
    <col min="15" max="15" width="7.453125" style="30" customWidth="1"/>
    <col min="16" max="16" width="20.7265625" style="30" customWidth="1"/>
    <col min="17" max="18" width="20.453125" style="30" bestFit="1" customWidth="1"/>
    <col min="19" max="19" width="16.7265625" style="30" bestFit="1" customWidth="1"/>
    <col min="20" max="20" width="17" style="30" bestFit="1" customWidth="1"/>
    <col min="21" max="21" width="34.54296875" style="30" bestFit="1" customWidth="1"/>
    <col min="22" max="22" width="35" style="30" bestFit="1" customWidth="1"/>
    <col min="23" max="24" width="16.453125" style="30" bestFit="1" customWidth="1"/>
    <col min="25" max="25" width="16.7265625" style="30" bestFit="1" customWidth="1"/>
    <col min="26" max="26" width="17" style="30" bestFit="1" customWidth="1"/>
    <col min="27" max="27" width="30.54296875" style="30" bestFit="1" customWidth="1"/>
    <col min="28" max="28" width="31" style="30" bestFit="1" customWidth="1"/>
    <col min="29" max="32" width="16.1796875" style="30" bestFit="1" customWidth="1"/>
    <col min="33" max="33" width="16.7265625" style="30" bestFit="1" customWidth="1"/>
    <col min="34" max="34" width="17" style="30" bestFit="1" customWidth="1"/>
    <col min="35" max="35" width="30.26953125" style="30" bestFit="1" customWidth="1"/>
    <col min="36" max="36" width="30.54296875" style="30" bestFit="1" customWidth="1"/>
    <col min="37" max="38" width="14.81640625" style="30" bestFit="1" customWidth="1"/>
    <col min="39" max="39" width="16.7265625" style="30" bestFit="1" customWidth="1"/>
    <col min="40" max="40" width="17" style="30" bestFit="1" customWidth="1"/>
    <col min="41" max="41" width="26.7265625" style="30" bestFit="1" customWidth="1"/>
    <col min="42" max="42" width="27" style="30" bestFit="1" customWidth="1"/>
    <col min="43" max="44" width="14.81640625" style="30" bestFit="1" customWidth="1"/>
    <col min="45" max="45" width="16.7265625" style="30" bestFit="1" customWidth="1"/>
    <col min="46" max="46" width="17" style="30" bestFit="1" customWidth="1"/>
    <col min="47" max="47" width="26.54296875" style="30" bestFit="1" customWidth="1"/>
    <col min="48" max="48" width="26.81640625" style="30" bestFit="1" customWidth="1"/>
    <col min="49" max="53" width="16.7265625" style="30" bestFit="1" customWidth="1"/>
    <col min="54" max="54" width="17" style="30" bestFit="1" customWidth="1"/>
    <col min="55" max="55" width="31.1796875" style="30" bestFit="1" customWidth="1"/>
    <col min="56" max="56" width="31.26953125" style="30" bestFit="1" customWidth="1"/>
    <col min="57" max="58" width="19" style="30" bestFit="1" customWidth="1"/>
    <col min="59" max="59" width="16.7265625" style="30" bestFit="1" customWidth="1"/>
    <col min="60" max="60" width="17" style="30" bestFit="1" customWidth="1"/>
    <col min="61" max="61" width="33.1796875" style="30" bestFit="1" customWidth="1"/>
    <col min="62" max="62" width="33.453125" style="30" bestFit="1" customWidth="1"/>
    <col min="63" max="63" width="20.453125" style="30" bestFit="1" customWidth="1"/>
    <col min="64" max="64" width="20.7265625" style="30" bestFit="1" customWidth="1"/>
    <col min="65" max="16384" width="11.453125" style="30"/>
  </cols>
  <sheetData>
    <row r="1" spans="1:3" ht="20" x14ac:dyDescent="0.4">
      <c r="A1" s="33"/>
    </row>
    <row r="5" spans="1:3" ht="14.5" x14ac:dyDescent="0.35">
      <c r="A5" s="210" t="s">
        <v>301</v>
      </c>
      <c r="B5" s="211" t="s">
        <v>532</v>
      </c>
    </row>
    <row r="6" spans="1:3" ht="14.5" x14ac:dyDescent="0.35">
      <c r="A6" s="210" t="s">
        <v>309</v>
      </c>
      <c r="B6" s="211" t="s">
        <v>532</v>
      </c>
    </row>
    <row r="7" spans="1:3" ht="14.5" x14ac:dyDescent="0.35">
      <c r="A7" s="210" t="s">
        <v>299</v>
      </c>
      <c r="B7" s="211" t="s">
        <v>532</v>
      </c>
    </row>
    <row r="8" spans="1:3" ht="14.5" x14ac:dyDescent="0.35">
      <c r="A8" s="210" t="s">
        <v>288</v>
      </c>
      <c r="B8" s="211" t="s">
        <v>532</v>
      </c>
    </row>
    <row r="9" spans="1:3" ht="14.5" x14ac:dyDescent="0.35">
      <c r="A9" s="210" t="s">
        <v>295</v>
      </c>
      <c r="B9" s="211" t="s">
        <v>532</v>
      </c>
    </row>
    <row r="10" spans="1:3" ht="14.5" x14ac:dyDescent="0.35">
      <c r="A10" s="210" t="s">
        <v>264</v>
      </c>
      <c r="B10" s="211" t="s">
        <v>532</v>
      </c>
    </row>
    <row r="12" spans="1:3" ht="14.5" x14ac:dyDescent="0.35">
      <c r="A12" s="157" t="s">
        <v>263</v>
      </c>
      <c r="B12" s="157" t="s">
        <v>546</v>
      </c>
      <c r="C12" s="157"/>
    </row>
    <row r="13" spans="1:3" ht="14.5" x14ac:dyDescent="0.35">
      <c r="A13" s="158" t="s">
        <v>297</v>
      </c>
      <c r="B13" s="214" t="s">
        <v>560</v>
      </c>
      <c r="C13" s="224" t="s">
        <v>531</v>
      </c>
    </row>
    <row r="14" spans="1:3" ht="14.5" x14ac:dyDescent="0.35">
      <c r="A14" s="223" t="s">
        <v>562</v>
      </c>
      <c r="B14" s="216">
        <v>0</v>
      </c>
      <c r="C14" s="219">
        <v>0</v>
      </c>
    </row>
    <row r="15" spans="1:3" ht="15" thickBot="1" x14ac:dyDescent="0.4">
      <c r="A15" s="186" t="s">
        <v>531</v>
      </c>
      <c r="B15" s="188">
        <v>0</v>
      </c>
      <c r="C15" s="163">
        <v>0</v>
      </c>
    </row>
    <row r="16" spans="1:3" ht="13" thickTop="1" x14ac:dyDescent="0.25"/>
  </sheetData>
  <pageMargins left="0.78740157499999996" right="0.78740157499999996" top="0.984251969" bottom="0.984251969" header="0.5" footer="0.5"/>
  <pageSetup paperSize="9" fitToHeight="0" orientation="portrait" verticalDpi="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2">
    <tabColor rgb="FFFF8080"/>
    <pageSetUpPr fitToPage="1"/>
  </sheetPr>
  <dimension ref="A1:G16"/>
  <sheetViews>
    <sheetView showGridLines="0" zoomScale="85" workbookViewId="0">
      <pane xSplit="6" ySplit="14" topLeftCell="G15" activePane="bottomRight" state="frozen"/>
      <selection activeCell="B3" sqref="B3"/>
      <selection pane="topRight" activeCell="B3" sqref="B3"/>
      <selection pane="bottomLeft" activeCell="B3" sqref="B3"/>
      <selection pane="bottomRight" activeCell="G15" sqref="G15"/>
    </sheetView>
  </sheetViews>
  <sheetFormatPr defaultColWidth="11.453125" defaultRowHeight="12.5" x14ac:dyDescent="0.25"/>
  <cols>
    <col min="1" max="1" width="15.54296875" style="30" customWidth="1"/>
    <col min="2" max="2" width="16.26953125" style="30" customWidth="1"/>
    <col min="3" max="3" width="13.453125" style="30" customWidth="1"/>
    <col min="4" max="4" width="27.26953125" style="30" customWidth="1"/>
    <col min="5" max="5" width="8.54296875" style="30" customWidth="1"/>
    <col min="6" max="6" width="8.453125" style="30" customWidth="1"/>
    <col min="7" max="7" width="13.90625" style="30" customWidth="1"/>
    <col min="8" max="8" width="5.81640625" style="30" customWidth="1"/>
    <col min="9" max="9" width="6.453125" style="30" customWidth="1"/>
    <col min="10" max="10" width="6" style="30" customWidth="1"/>
    <col min="11" max="16384" width="11.453125" style="30"/>
  </cols>
  <sheetData>
    <row r="1" spans="1:7" ht="20" x14ac:dyDescent="0.4">
      <c r="A1" s="33"/>
    </row>
    <row r="8" spans="1:7" ht="14.5" x14ac:dyDescent="0.35">
      <c r="A8" s="210" t="s">
        <v>288</v>
      </c>
      <c r="B8" s="211" t="s">
        <v>556</v>
      </c>
    </row>
    <row r="9" spans="1:7" ht="14.5" x14ac:dyDescent="0.35">
      <c r="A9" s="210" t="s">
        <v>291</v>
      </c>
      <c r="B9" s="211" t="s">
        <v>532</v>
      </c>
    </row>
    <row r="10" spans="1:7" ht="14.5" x14ac:dyDescent="0.35">
      <c r="A10" s="210" t="s">
        <v>290</v>
      </c>
      <c r="B10" s="211" t="s">
        <v>532</v>
      </c>
    </row>
    <row r="11" spans="1:7" ht="14.5" x14ac:dyDescent="0.35">
      <c r="A11" s="210" t="s">
        <v>309</v>
      </c>
      <c r="B11" s="211" t="s">
        <v>532</v>
      </c>
    </row>
    <row r="13" spans="1:7" ht="14.5" x14ac:dyDescent="0.35">
      <c r="A13" s="157" t="s">
        <v>263</v>
      </c>
      <c r="B13" s="157"/>
      <c r="C13" s="157"/>
      <c r="D13" s="157"/>
      <c r="E13" s="157"/>
      <c r="F13" s="157"/>
      <c r="G13" s="157" t="s">
        <v>546</v>
      </c>
    </row>
    <row r="14" spans="1:7" ht="14.5" x14ac:dyDescent="0.35">
      <c r="A14" s="158" t="s">
        <v>299</v>
      </c>
      <c r="B14" s="218" t="s">
        <v>301</v>
      </c>
      <c r="C14" s="218" t="s">
        <v>264</v>
      </c>
      <c r="D14" s="218" t="s">
        <v>297</v>
      </c>
      <c r="E14" s="218" t="s">
        <v>272</v>
      </c>
      <c r="F14" s="218" t="s">
        <v>293</v>
      </c>
      <c r="G14" s="224" t="s">
        <v>560</v>
      </c>
    </row>
    <row r="15" spans="1:7" ht="14.5" x14ac:dyDescent="0.35">
      <c r="A15" s="177">
        <v>1206296</v>
      </c>
      <c r="B15" s="226" t="s">
        <v>536</v>
      </c>
      <c r="C15" s="223">
        <v>4902095668</v>
      </c>
      <c r="D15" s="226" t="s">
        <v>562</v>
      </c>
      <c r="E15" s="223">
        <v>1206296</v>
      </c>
      <c r="F15" s="225">
        <v>6.3206018518518522E-2</v>
      </c>
      <c r="G15" s="219">
        <v>0</v>
      </c>
    </row>
    <row r="16" spans="1:7" ht="14.5" x14ac:dyDescent="0.35">
      <c r="A16" s="227"/>
      <c r="B16" s="228"/>
      <c r="C16" s="228"/>
      <c r="D16" s="228"/>
      <c r="E16" s="228"/>
      <c r="F16" s="228"/>
      <c r="G16" s="229"/>
    </row>
  </sheetData>
  <pageMargins left="0.78740157499999996" right="0.78740157499999996" top="0.984251969" bottom="0.984251969" header="0.5" footer="0.5"/>
  <pageSetup paperSize="9" fitToHeight="0" orientation="portrait" verticalDpi="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>
    <tabColor rgb="FFFF8080"/>
    <pageSetUpPr fitToPage="1"/>
  </sheetPr>
  <dimension ref="A1:G19"/>
  <sheetViews>
    <sheetView showGridLines="0" zoomScale="85" workbookViewId="0">
      <pane xSplit="1" ySplit="15" topLeftCell="B16" activePane="bottomRight" state="frozen"/>
      <selection activeCell="B3" sqref="B3"/>
      <selection pane="topRight" activeCell="B3" sqref="B3"/>
      <selection pane="bottomLeft" activeCell="B3" sqref="B3"/>
      <selection pane="bottomRight" activeCell="B16" sqref="B16"/>
    </sheetView>
  </sheetViews>
  <sheetFormatPr defaultColWidth="11.453125" defaultRowHeight="12.5" x14ac:dyDescent="0.25"/>
  <cols>
    <col min="1" max="1" width="18.54296875" style="30" customWidth="1"/>
    <col min="2" max="5" width="16.81640625" style="30" customWidth="1"/>
    <col min="6" max="6" width="18.6328125" style="30" customWidth="1"/>
    <col min="7" max="7" width="21.54296875" style="30" customWidth="1"/>
    <col min="8" max="9" width="19.453125" style="30" customWidth="1"/>
    <col min="10" max="10" width="20.81640625" style="30" customWidth="1"/>
    <col min="11" max="11" width="25.453125" style="30" customWidth="1"/>
    <col min="12" max="12" width="20.26953125" style="30" customWidth="1"/>
    <col min="13" max="13" width="24.81640625" style="30" customWidth="1"/>
    <col min="14" max="17" width="19" style="30" customWidth="1"/>
    <col min="18" max="18" width="20.26953125" style="30" customWidth="1"/>
    <col min="19" max="19" width="24.81640625" style="30" customWidth="1"/>
    <col min="20" max="20" width="20.453125" style="30" customWidth="1"/>
    <col min="21" max="21" width="24.81640625" style="30" customWidth="1"/>
    <col min="22" max="22" width="20.453125" style="30" customWidth="1"/>
    <col min="23" max="23" width="24.81640625" style="30" bestFit="1" customWidth="1"/>
    <col min="24" max="24" width="16.453125" style="30" bestFit="1" customWidth="1"/>
    <col min="25" max="25" width="16.7265625" style="30" bestFit="1" customWidth="1"/>
    <col min="26" max="26" width="17" style="30" bestFit="1" customWidth="1"/>
    <col min="27" max="27" width="30.54296875" style="30" bestFit="1" customWidth="1"/>
    <col min="28" max="28" width="31" style="30" bestFit="1" customWidth="1"/>
    <col min="29" max="32" width="16.1796875" style="30" bestFit="1" customWidth="1"/>
    <col min="33" max="33" width="16.7265625" style="30" bestFit="1" customWidth="1"/>
    <col min="34" max="34" width="17" style="30" bestFit="1" customWidth="1"/>
    <col min="35" max="35" width="30.26953125" style="30" bestFit="1" customWidth="1"/>
    <col min="36" max="36" width="30.54296875" style="30" bestFit="1" customWidth="1"/>
    <col min="37" max="38" width="14.81640625" style="30" bestFit="1" customWidth="1"/>
    <col min="39" max="39" width="16.7265625" style="30" bestFit="1" customWidth="1"/>
    <col min="40" max="40" width="17" style="30" bestFit="1" customWidth="1"/>
    <col min="41" max="41" width="26.7265625" style="30" bestFit="1" customWidth="1"/>
    <col min="42" max="42" width="27" style="30" bestFit="1" customWidth="1"/>
    <col min="43" max="44" width="14.81640625" style="30" bestFit="1" customWidth="1"/>
    <col min="45" max="45" width="16.7265625" style="30" bestFit="1" customWidth="1"/>
    <col min="46" max="46" width="17" style="30" bestFit="1" customWidth="1"/>
    <col min="47" max="47" width="26.54296875" style="30" bestFit="1" customWidth="1"/>
    <col min="48" max="48" width="26.81640625" style="30" bestFit="1" customWidth="1"/>
    <col min="49" max="53" width="16.7265625" style="30" bestFit="1" customWidth="1"/>
    <col min="54" max="54" width="17" style="30" bestFit="1" customWidth="1"/>
    <col min="55" max="55" width="31.1796875" style="30" bestFit="1" customWidth="1"/>
    <col min="56" max="56" width="31.26953125" style="30" bestFit="1" customWidth="1"/>
    <col min="57" max="58" width="19" style="30" bestFit="1" customWidth="1"/>
    <col min="59" max="59" width="16.7265625" style="30" bestFit="1" customWidth="1"/>
    <col min="60" max="60" width="17" style="30" bestFit="1" customWidth="1"/>
    <col min="61" max="61" width="33.1796875" style="30" bestFit="1" customWidth="1"/>
    <col min="62" max="62" width="33.453125" style="30" bestFit="1" customWidth="1"/>
    <col min="63" max="63" width="20.453125" style="30" bestFit="1" customWidth="1"/>
    <col min="64" max="64" width="20.7265625" style="30" bestFit="1" customWidth="1"/>
    <col min="65" max="16384" width="11.453125" style="30"/>
  </cols>
  <sheetData>
    <row r="1" spans="1:7" ht="20" x14ac:dyDescent="0.4">
      <c r="A1" s="33"/>
    </row>
    <row r="6" spans="1:7" ht="14.5" x14ac:dyDescent="0.35">
      <c r="A6" s="210" t="s">
        <v>297</v>
      </c>
      <c r="B6" s="211" t="s">
        <v>532</v>
      </c>
    </row>
    <row r="7" spans="1:7" ht="14.5" x14ac:dyDescent="0.35">
      <c r="A7" s="210" t="s">
        <v>301</v>
      </c>
      <c r="B7" s="211" t="s">
        <v>532</v>
      </c>
    </row>
    <row r="8" spans="1:7" ht="14.5" x14ac:dyDescent="0.35">
      <c r="A8" s="210" t="s">
        <v>309</v>
      </c>
      <c r="B8" s="211" t="s">
        <v>532</v>
      </c>
    </row>
    <row r="9" spans="1:7" ht="14.5" x14ac:dyDescent="0.35">
      <c r="A9" s="210" t="s">
        <v>299</v>
      </c>
      <c r="B9" s="211" t="s">
        <v>532</v>
      </c>
    </row>
    <row r="10" spans="1:7" ht="14.5" x14ac:dyDescent="0.35">
      <c r="A10" s="210" t="s">
        <v>264</v>
      </c>
      <c r="B10" s="211" t="s">
        <v>532</v>
      </c>
    </row>
    <row r="12" spans="1:7" ht="14.5" x14ac:dyDescent="0.35">
      <c r="A12" s="157"/>
      <c r="B12" s="157" t="s">
        <v>295</v>
      </c>
      <c r="C12" s="157" t="s">
        <v>546</v>
      </c>
      <c r="D12" s="157" t="s">
        <v>510</v>
      </c>
      <c r="E12" s="157"/>
      <c r="F12" s="157"/>
      <c r="G12" s="157"/>
    </row>
    <row r="13" spans="1:7" ht="14.5" x14ac:dyDescent="0.35">
      <c r="A13" s="157"/>
      <c r="B13" s="230" t="s">
        <v>511</v>
      </c>
      <c r="C13" s="231"/>
      <c r="D13" s="232" t="s">
        <v>286</v>
      </c>
      <c r="E13" s="233"/>
      <c r="F13" s="214" t="s">
        <v>537</v>
      </c>
      <c r="G13" s="224" t="s">
        <v>538</v>
      </c>
    </row>
    <row r="14" spans="1:7" ht="14.5" x14ac:dyDescent="0.35">
      <c r="A14" s="157"/>
      <c r="B14" s="230" t="s">
        <v>560</v>
      </c>
      <c r="C14" s="231"/>
      <c r="D14" s="230" t="s">
        <v>560</v>
      </c>
      <c r="E14" s="231"/>
      <c r="F14" s="240"/>
      <c r="G14" s="241"/>
    </row>
    <row r="15" spans="1:7" ht="14.5" x14ac:dyDescent="0.35">
      <c r="A15" s="158" t="s">
        <v>288</v>
      </c>
      <c r="B15" s="214" t="s">
        <v>263</v>
      </c>
      <c r="C15" s="234" t="s">
        <v>512</v>
      </c>
      <c r="D15" s="214" t="s">
        <v>263</v>
      </c>
      <c r="E15" s="234" t="s">
        <v>512</v>
      </c>
      <c r="F15" s="240"/>
      <c r="G15" s="241"/>
    </row>
    <row r="16" spans="1:7" ht="14.5" x14ac:dyDescent="0.35">
      <c r="A16" s="223" t="s">
        <v>556</v>
      </c>
      <c r="B16" s="235">
        <v>-306</v>
      </c>
      <c r="C16" s="236">
        <v>76.523911671924296</v>
      </c>
      <c r="D16" s="237">
        <v>306</v>
      </c>
      <c r="E16" s="238">
        <v>76.523911671924296</v>
      </c>
      <c r="F16" s="216">
        <v>0</v>
      </c>
      <c r="G16" s="239">
        <v>76.523911671924296</v>
      </c>
    </row>
    <row r="17" spans="1:7" ht="15" thickBot="1" x14ac:dyDescent="0.4">
      <c r="A17" s="186" t="s">
        <v>531</v>
      </c>
      <c r="B17" s="196">
        <v>-306</v>
      </c>
      <c r="C17" s="197">
        <v>76.523911671924296</v>
      </c>
      <c r="D17" s="188">
        <v>306</v>
      </c>
      <c r="E17" s="197">
        <v>76.523911671924296</v>
      </c>
      <c r="F17" s="188">
        <v>0</v>
      </c>
      <c r="G17" s="198">
        <v>76.523911671924296</v>
      </c>
    </row>
    <row r="18" spans="1:7" ht="15" thickTop="1" x14ac:dyDescent="0.35">
      <c r="A18"/>
      <c r="B18"/>
      <c r="C18"/>
      <c r="D18"/>
      <c r="E18"/>
    </row>
    <row r="19" spans="1:7" ht="13" thickTop="1" x14ac:dyDescent="0.25"/>
  </sheetData>
  <pageMargins left="0.78740157499999996" right="0.78740157499999996" top="0.984251969" bottom="0.984251969" header="0.5" footer="0.5"/>
  <pageSetup paperSize="9" fitToHeight="0" orientation="portrait" verticalDpi="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rgb="FFFF8080"/>
    <pageSetUpPr fitToPage="1"/>
  </sheetPr>
  <dimension ref="A1:H258"/>
  <sheetViews>
    <sheetView showGridLines="0" zoomScale="85" workbookViewId="0">
      <pane ySplit="12" topLeftCell="A13" activePane="bottomLeft" state="frozen"/>
      <selection activeCell="B3" sqref="B3"/>
      <selection pane="bottomLeft" activeCell="E21" sqref="E21"/>
    </sheetView>
  </sheetViews>
  <sheetFormatPr defaultColWidth="11.453125" defaultRowHeight="12.5" x14ac:dyDescent="0.25"/>
  <cols>
    <col min="1" max="1" width="13.54296875" style="30" bestFit="1" customWidth="1"/>
    <col min="2" max="2" width="9.26953125" style="30" bestFit="1" customWidth="1"/>
    <col min="3" max="3" width="22.7265625" style="30" customWidth="1"/>
    <col min="4" max="4" width="36" style="30" bestFit="1" customWidth="1"/>
    <col min="5" max="5" width="26.1796875" style="30" customWidth="1"/>
    <col min="6" max="6" width="9.453125" style="30" customWidth="1"/>
    <col min="7" max="7" width="6.7265625" style="30" customWidth="1"/>
    <col min="8" max="8" width="5.7265625" style="30" customWidth="1"/>
    <col min="9" max="16384" width="11.453125" style="30"/>
  </cols>
  <sheetData>
    <row r="1" spans="1:8" ht="20" x14ac:dyDescent="0.4">
      <c r="A1" s="33"/>
    </row>
    <row r="8" spans="1:8" ht="14.5" x14ac:dyDescent="0.35">
      <c r="A8" s="150" t="s">
        <v>193</v>
      </c>
      <c r="B8" s="151" t="s">
        <v>532</v>
      </c>
    </row>
    <row r="9" spans="1:8" ht="14.5" x14ac:dyDescent="0.35">
      <c r="A9" s="150" t="s">
        <v>192</v>
      </c>
      <c r="B9" s="151" t="s">
        <v>532</v>
      </c>
    </row>
    <row r="11" spans="1:8" ht="14.5" x14ac:dyDescent="0.35">
      <c r="A11" s="145" t="s">
        <v>263</v>
      </c>
      <c r="B11" s="167"/>
      <c r="C11" s="167"/>
      <c r="D11" s="167"/>
      <c r="E11" s="167"/>
      <c r="F11" s="145" t="s">
        <v>173</v>
      </c>
      <c r="G11" s="167"/>
      <c r="H11" s="168"/>
    </row>
    <row r="12" spans="1:8" ht="14.5" x14ac:dyDescent="0.35">
      <c r="A12" s="145" t="s">
        <v>174</v>
      </c>
      <c r="B12" s="145" t="s">
        <v>176</v>
      </c>
      <c r="C12" s="145" t="s">
        <v>177</v>
      </c>
      <c r="D12" s="145" t="s">
        <v>190</v>
      </c>
      <c r="E12" s="145" t="s">
        <v>47</v>
      </c>
      <c r="F12" s="155" t="s">
        <v>200</v>
      </c>
      <c r="G12" s="169" t="s">
        <v>204</v>
      </c>
      <c r="H12" s="164" t="s">
        <v>41</v>
      </c>
    </row>
    <row r="13" spans="1:8" ht="14.5" x14ac:dyDescent="0.35">
      <c r="A13" s="147">
        <v>41437</v>
      </c>
      <c r="B13" s="155" t="s">
        <v>197</v>
      </c>
      <c r="C13" s="155" t="s">
        <v>536</v>
      </c>
      <c r="D13" s="155" t="s">
        <v>513</v>
      </c>
      <c r="E13" s="155"/>
      <c r="F13" s="170"/>
      <c r="G13" s="171"/>
      <c r="H13" s="199">
        <v>5530</v>
      </c>
    </row>
    <row r="14" spans="1:8" ht="14.5" x14ac:dyDescent="0.35">
      <c r="A14" s="172"/>
      <c r="B14" s="155" t="s">
        <v>259</v>
      </c>
      <c r="C14" s="155" t="s">
        <v>260</v>
      </c>
      <c r="D14" s="155" t="s">
        <v>513</v>
      </c>
      <c r="E14" s="155"/>
      <c r="F14" s="170"/>
      <c r="G14" s="171"/>
      <c r="H14" s="199">
        <v>0</v>
      </c>
    </row>
    <row r="15" spans="1:8" ht="14.5" x14ac:dyDescent="0.35">
      <c r="A15" s="172"/>
      <c r="B15" s="155" t="s">
        <v>201</v>
      </c>
      <c r="C15" s="155" t="s">
        <v>202</v>
      </c>
      <c r="D15" s="155" t="s">
        <v>513</v>
      </c>
      <c r="E15" s="155" t="s">
        <v>514</v>
      </c>
      <c r="F15" s="170">
        <v>-1150</v>
      </c>
      <c r="G15" s="171"/>
      <c r="H15" s="199"/>
    </row>
    <row r="16" spans="1:8" ht="14.5" x14ac:dyDescent="0.35">
      <c r="A16" s="147">
        <v>41443</v>
      </c>
      <c r="B16" s="155" t="s">
        <v>205</v>
      </c>
      <c r="C16" s="155" t="s">
        <v>206</v>
      </c>
      <c r="D16" s="155" t="s">
        <v>513</v>
      </c>
      <c r="E16" s="155"/>
      <c r="F16" s="170"/>
      <c r="G16" s="171">
        <v>10676</v>
      </c>
      <c r="H16" s="199"/>
    </row>
    <row r="17" spans="1:8" ht="14.5" x14ac:dyDescent="0.35">
      <c r="A17" s="147">
        <v>41444</v>
      </c>
      <c r="B17" s="155" t="s">
        <v>210</v>
      </c>
      <c r="C17" s="155" t="s">
        <v>211</v>
      </c>
      <c r="D17" s="155" t="s">
        <v>513</v>
      </c>
      <c r="E17" s="155"/>
      <c r="F17" s="170">
        <v>-184</v>
      </c>
      <c r="G17" s="171"/>
      <c r="H17" s="199"/>
    </row>
    <row r="18" spans="1:8" ht="14.5" x14ac:dyDescent="0.35">
      <c r="A18" s="147">
        <v>41445</v>
      </c>
      <c r="B18" s="155" t="s">
        <v>210</v>
      </c>
      <c r="C18" s="155" t="s">
        <v>211</v>
      </c>
      <c r="D18" s="155" t="s">
        <v>513</v>
      </c>
      <c r="E18" s="155"/>
      <c r="F18" s="170">
        <v>-184</v>
      </c>
      <c r="G18" s="171"/>
      <c r="H18" s="199"/>
    </row>
    <row r="19" spans="1:8" ht="14.5" x14ac:dyDescent="0.35">
      <c r="A19" s="147">
        <v>41446</v>
      </c>
      <c r="B19" s="155" t="s">
        <v>210</v>
      </c>
      <c r="C19" s="155" t="s">
        <v>211</v>
      </c>
      <c r="D19" s="155" t="s">
        <v>513</v>
      </c>
      <c r="E19" s="155"/>
      <c r="F19" s="170">
        <v>-184</v>
      </c>
      <c r="G19" s="171"/>
      <c r="H19" s="199"/>
    </row>
    <row r="20" spans="1:8" ht="14.5" x14ac:dyDescent="0.35">
      <c r="A20" s="147">
        <v>41449</v>
      </c>
      <c r="B20" s="155" t="s">
        <v>210</v>
      </c>
      <c r="C20" s="155" t="s">
        <v>211</v>
      </c>
      <c r="D20" s="155" t="s">
        <v>513</v>
      </c>
      <c r="E20" s="155"/>
      <c r="F20" s="170">
        <v>-184</v>
      </c>
      <c r="G20" s="171"/>
      <c r="H20" s="199"/>
    </row>
    <row r="21" spans="1:8" ht="14.5" x14ac:dyDescent="0.35">
      <c r="A21" s="147">
        <v>41450</v>
      </c>
      <c r="B21" s="155" t="s">
        <v>210</v>
      </c>
      <c r="C21" s="155" t="s">
        <v>211</v>
      </c>
      <c r="D21" s="155" t="s">
        <v>513</v>
      </c>
      <c r="E21" s="155"/>
      <c r="F21" s="170">
        <v>-184</v>
      </c>
      <c r="G21" s="171"/>
      <c r="H21" s="199"/>
    </row>
    <row r="22" spans="1:8" ht="14.5" x14ac:dyDescent="0.35">
      <c r="A22" s="147">
        <v>41451</v>
      </c>
      <c r="B22" s="155" t="s">
        <v>210</v>
      </c>
      <c r="C22" s="155" t="s">
        <v>211</v>
      </c>
      <c r="D22" s="155" t="s">
        <v>513</v>
      </c>
      <c r="E22" s="155"/>
      <c r="F22" s="170">
        <v>-184</v>
      </c>
      <c r="G22" s="171"/>
      <c r="H22" s="199"/>
    </row>
    <row r="23" spans="1:8" ht="14.5" x14ac:dyDescent="0.35">
      <c r="A23" s="147">
        <v>41452</v>
      </c>
      <c r="B23" s="155" t="s">
        <v>210</v>
      </c>
      <c r="C23" s="155" t="s">
        <v>211</v>
      </c>
      <c r="D23" s="155" t="s">
        <v>513</v>
      </c>
      <c r="E23" s="155"/>
      <c r="F23" s="170">
        <v>-184</v>
      </c>
      <c r="G23" s="171"/>
      <c r="H23" s="199"/>
    </row>
    <row r="24" spans="1:8" ht="14.5" x14ac:dyDescent="0.35">
      <c r="A24" s="147">
        <v>41453</v>
      </c>
      <c r="B24" s="155" t="s">
        <v>210</v>
      </c>
      <c r="C24" s="155" t="s">
        <v>211</v>
      </c>
      <c r="D24" s="155" t="s">
        <v>513</v>
      </c>
      <c r="E24" s="155"/>
      <c r="F24" s="170">
        <v>-184</v>
      </c>
      <c r="G24" s="171"/>
      <c r="H24" s="199"/>
    </row>
    <row r="25" spans="1:8" ht="14.5" x14ac:dyDescent="0.35">
      <c r="A25" s="147">
        <v>41456</v>
      </c>
      <c r="B25" s="155" t="s">
        <v>210</v>
      </c>
      <c r="C25" s="155" t="s">
        <v>211</v>
      </c>
      <c r="D25" s="155" t="s">
        <v>513</v>
      </c>
      <c r="E25" s="155"/>
      <c r="F25" s="170">
        <v>-188</v>
      </c>
      <c r="G25" s="171"/>
      <c r="H25" s="199"/>
    </row>
    <row r="26" spans="1:8" ht="14.5" x14ac:dyDescent="0.35">
      <c r="A26" s="147">
        <v>41457</v>
      </c>
      <c r="B26" s="155" t="s">
        <v>210</v>
      </c>
      <c r="C26" s="155" t="s">
        <v>211</v>
      </c>
      <c r="D26" s="155" t="s">
        <v>513</v>
      </c>
      <c r="E26" s="155"/>
      <c r="F26" s="170">
        <v>-188</v>
      </c>
      <c r="G26" s="171"/>
      <c r="H26" s="199"/>
    </row>
    <row r="27" spans="1:8" ht="14.5" x14ac:dyDescent="0.35">
      <c r="A27" s="147">
        <v>41458</v>
      </c>
      <c r="B27" s="155" t="s">
        <v>210</v>
      </c>
      <c r="C27" s="155" t="s">
        <v>211</v>
      </c>
      <c r="D27" s="155" t="s">
        <v>513</v>
      </c>
      <c r="E27" s="155"/>
      <c r="F27" s="170">
        <v>-188</v>
      </c>
      <c r="G27" s="171"/>
      <c r="H27" s="199"/>
    </row>
    <row r="28" spans="1:8" ht="14.5" x14ac:dyDescent="0.35">
      <c r="A28" s="147">
        <v>41459</v>
      </c>
      <c r="B28" s="155" t="s">
        <v>210</v>
      </c>
      <c r="C28" s="155" t="s">
        <v>211</v>
      </c>
      <c r="D28" s="155" t="s">
        <v>513</v>
      </c>
      <c r="E28" s="155"/>
      <c r="F28" s="170">
        <v>-188</v>
      </c>
      <c r="G28" s="171"/>
      <c r="H28" s="199"/>
    </row>
    <row r="29" spans="1:8" ht="14.5" x14ac:dyDescent="0.35">
      <c r="A29" s="147">
        <v>41460</v>
      </c>
      <c r="B29" s="155" t="s">
        <v>210</v>
      </c>
      <c r="C29" s="155" t="s">
        <v>211</v>
      </c>
      <c r="D29" s="155" t="s">
        <v>513</v>
      </c>
      <c r="E29" s="155"/>
      <c r="F29" s="170">
        <v>-188</v>
      </c>
      <c r="G29" s="171"/>
      <c r="H29" s="199"/>
    </row>
    <row r="30" spans="1:8" ht="14.5" x14ac:dyDescent="0.35">
      <c r="A30" s="147">
        <v>41463</v>
      </c>
      <c r="B30" s="155" t="s">
        <v>210</v>
      </c>
      <c r="C30" s="155" t="s">
        <v>211</v>
      </c>
      <c r="D30" s="155" t="s">
        <v>513</v>
      </c>
      <c r="E30" s="155"/>
      <c r="F30" s="170">
        <v>-190</v>
      </c>
      <c r="G30" s="171"/>
      <c r="H30" s="199"/>
    </row>
    <row r="31" spans="1:8" ht="14.5" x14ac:dyDescent="0.35">
      <c r="A31" s="147">
        <v>41464</v>
      </c>
      <c r="B31" s="155" t="s">
        <v>210</v>
      </c>
      <c r="C31" s="155" t="s">
        <v>211</v>
      </c>
      <c r="D31" s="155" t="s">
        <v>513</v>
      </c>
      <c r="E31" s="155"/>
      <c r="F31" s="170">
        <v>-190</v>
      </c>
      <c r="G31" s="171"/>
      <c r="H31" s="199"/>
    </row>
    <row r="32" spans="1:8" ht="14.5" x14ac:dyDescent="0.35">
      <c r="A32" s="147">
        <v>41465</v>
      </c>
      <c r="B32" s="155" t="s">
        <v>210</v>
      </c>
      <c r="C32" s="155" t="s">
        <v>211</v>
      </c>
      <c r="D32" s="155" t="s">
        <v>513</v>
      </c>
      <c r="E32" s="155"/>
      <c r="F32" s="170">
        <v>-190</v>
      </c>
      <c r="G32" s="171"/>
      <c r="H32" s="199"/>
    </row>
    <row r="33" spans="1:8" ht="14.5" x14ac:dyDescent="0.35">
      <c r="A33" s="147">
        <v>41466</v>
      </c>
      <c r="B33" s="155" t="s">
        <v>210</v>
      </c>
      <c r="C33" s="155" t="s">
        <v>211</v>
      </c>
      <c r="D33" s="155" t="s">
        <v>513</v>
      </c>
      <c r="E33" s="155"/>
      <c r="F33" s="170">
        <v>-190</v>
      </c>
      <c r="G33" s="171"/>
      <c r="H33" s="199"/>
    </row>
    <row r="34" spans="1:8" ht="14.5" x14ac:dyDescent="0.35">
      <c r="A34" s="147">
        <v>41467</v>
      </c>
      <c r="B34" s="155" t="s">
        <v>210</v>
      </c>
      <c r="C34" s="155" t="s">
        <v>211</v>
      </c>
      <c r="D34" s="155" t="s">
        <v>513</v>
      </c>
      <c r="E34" s="155"/>
      <c r="F34" s="170">
        <v>-190</v>
      </c>
      <c r="G34" s="171"/>
      <c r="H34" s="199"/>
    </row>
    <row r="35" spans="1:8" ht="14.5" x14ac:dyDescent="0.35">
      <c r="A35" s="147">
        <v>41470</v>
      </c>
      <c r="B35" s="155" t="s">
        <v>210</v>
      </c>
      <c r="C35" s="155" t="s">
        <v>211</v>
      </c>
      <c r="D35" s="155" t="s">
        <v>513</v>
      </c>
      <c r="E35" s="155"/>
      <c r="F35" s="170">
        <v>-188</v>
      </c>
      <c r="G35" s="171"/>
      <c r="H35" s="199"/>
    </row>
    <row r="36" spans="1:8" ht="14.5" x14ac:dyDescent="0.35">
      <c r="A36" s="147">
        <v>41471</v>
      </c>
      <c r="B36" s="155" t="s">
        <v>210</v>
      </c>
      <c r="C36" s="155" t="s">
        <v>211</v>
      </c>
      <c r="D36" s="155" t="s">
        <v>513</v>
      </c>
      <c r="E36" s="155"/>
      <c r="F36" s="170">
        <v>-188</v>
      </c>
      <c r="G36" s="171"/>
      <c r="H36" s="199"/>
    </row>
    <row r="37" spans="1:8" ht="14.5" x14ac:dyDescent="0.35">
      <c r="A37" s="147">
        <v>41472</v>
      </c>
      <c r="B37" s="155" t="s">
        <v>210</v>
      </c>
      <c r="C37" s="155" t="s">
        <v>211</v>
      </c>
      <c r="D37" s="155" t="s">
        <v>513</v>
      </c>
      <c r="E37" s="155"/>
      <c r="F37" s="170">
        <v>-188</v>
      </c>
      <c r="G37" s="171"/>
      <c r="H37" s="199"/>
    </row>
    <row r="38" spans="1:8" ht="14.5" x14ac:dyDescent="0.35">
      <c r="A38" s="147">
        <v>41473</v>
      </c>
      <c r="B38" s="155" t="s">
        <v>210</v>
      </c>
      <c r="C38" s="155" t="s">
        <v>211</v>
      </c>
      <c r="D38" s="155" t="s">
        <v>513</v>
      </c>
      <c r="E38" s="155"/>
      <c r="F38" s="170">
        <v>-188</v>
      </c>
      <c r="G38" s="171"/>
      <c r="H38" s="199"/>
    </row>
    <row r="39" spans="1:8" ht="14.5" x14ac:dyDescent="0.35">
      <c r="A39" s="147">
        <v>41474</v>
      </c>
      <c r="B39" s="155" t="s">
        <v>210</v>
      </c>
      <c r="C39" s="155" t="s">
        <v>211</v>
      </c>
      <c r="D39" s="155" t="s">
        <v>513</v>
      </c>
      <c r="E39" s="155"/>
      <c r="F39" s="170">
        <v>-188</v>
      </c>
      <c r="G39" s="171"/>
      <c r="H39" s="199"/>
    </row>
    <row r="40" spans="1:8" ht="14.5" x14ac:dyDescent="0.35">
      <c r="A40" s="147">
        <v>41477</v>
      </c>
      <c r="B40" s="155" t="s">
        <v>210</v>
      </c>
      <c r="C40" s="155" t="s">
        <v>211</v>
      </c>
      <c r="D40" s="155" t="s">
        <v>513</v>
      </c>
      <c r="E40" s="155"/>
      <c r="F40" s="170">
        <v>-190</v>
      </c>
      <c r="G40" s="171"/>
      <c r="H40" s="199"/>
    </row>
    <row r="41" spans="1:8" ht="14.5" x14ac:dyDescent="0.35">
      <c r="A41" s="147">
        <v>41478</v>
      </c>
      <c r="B41" s="155" t="s">
        <v>210</v>
      </c>
      <c r="C41" s="155" t="s">
        <v>211</v>
      </c>
      <c r="D41" s="155" t="s">
        <v>513</v>
      </c>
      <c r="E41" s="155"/>
      <c r="F41" s="170">
        <v>-190</v>
      </c>
      <c r="G41" s="171"/>
      <c r="H41" s="199"/>
    </row>
    <row r="42" spans="1:8" ht="14.5" x14ac:dyDescent="0.35">
      <c r="A42" s="147">
        <v>41479</v>
      </c>
      <c r="B42" s="155" t="s">
        <v>210</v>
      </c>
      <c r="C42" s="155" t="s">
        <v>211</v>
      </c>
      <c r="D42" s="155" t="s">
        <v>513</v>
      </c>
      <c r="E42" s="155"/>
      <c r="F42" s="170">
        <v>-190</v>
      </c>
      <c r="G42" s="171"/>
      <c r="H42" s="199"/>
    </row>
    <row r="43" spans="1:8" ht="14.5" x14ac:dyDescent="0.35">
      <c r="A43" s="147">
        <v>41480</v>
      </c>
      <c r="B43" s="155" t="s">
        <v>210</v>
      </c>
      <c r="C43" s="155" t="s">
        <v>211</v>
      </c>
      <c r="D43" s="155" t="s">
        <v>513</v>
      </c>
      <c r="E43" s="155"/>
      <c r="F43" s="170">
        <v>-190</v>
      </c>
      <c r="G43" s="171"/>
      <c r="H43" s="199"/>
    </row>
    <row r="44" spans="1:8" ht="14.5" x14ac:dyDescent="0.35">
      <c r="A44" s="147">
        <v>41481</v>
      </c>
      <c r="B44" s="155" t="s">
        <v>210</v>
      </c>
      <c r="C44" s="155" t="s">
        <v>211</v>
      </c>
      <c r="D44" s="155" t="s">
        <v>513</v>
      </c>
      <c r="E44" s="155"/>
      <c r="F44" s="170">
        <v>-190</v>
      </c>
      <c r="G44" s="171"/>
      <c r="H44" s="199"/>
    </row>
    <row r="45" spans="1:8" ht="14.5" x14ac:dyDescent="0.35">
      <c r="A45" s="147">
        <v>41484</v>
      </c>
      <c r="B45" s="155" t="s">
        <v>210</v>
      </c>
      <c r="C45" s="155" t="s">
        <v>211</v>
      </c>
      <c r="D45" s="155" t="s">
        <v>513</v>
      </c>
      <c r="E45" s="155"/>
      <c r="F45" s="170">
        <v>-202</v>
      </c>
      <c r="G45" s="171"/>
      <c r="H45" s="199"/>
    </row>
    <row r="46" spans="1:8" ht="14.5" x14ac:dyDescent="0.35">
      <c r="A46" s="147">
        <v>41485</v>
      </c>
      <c r="B46" s="155" t="s">
        <v>210</v>
      </c>
      <c r="C46" s="155" t="s">
        <v>211</v>
      </c>
      <c r="D46" s="155" t="s">
        <v>513</v>
      </c>
      <c r="E46" s="155"/>
      <c r="F46" s="170">
        <v>-202</v>
      </c>
      <c r="G46" s="171"/>
      <c r="H46" s="199"/>
    </row>
    <row r="47" spans="1:8" ht="14.5" x14ac:dyDescent="0.35">
      <c r="A47" s="147">
        <v>41486</v>
      </c>
      <c r="B47" s="155" t="s">
        <v>210</v>
      </c>
      <c r="C47" s="155" t="s">
        <v>211</v>
      </c>
      <c r="D47" s="155" t="s">
        <v>513</v>
      </c>
      <c r="E47" s="155"/>
      <c r="F47" s="170">
        <v>-202</v>
      </c>
      <c r="G47" s="171"/>
      <c r="H47" s="199"/>
    </row>
    <row r="48" spans="1:8" ht="14.5" x14ac:dyDescent="0.35">
      <c r="A48" s="147">
        <v>41487</v>
      </c>
      <c r="B48" s="155" t="s">
        <v>210</v>
      </c>
      <c r="C48" s="155" t="s">
        <v>211</v>
      </c>
      <c r="D48" s="155" t="s">
        <v>513</v>
      </c>
      <c r="E48" s="155"/>
      <c r="F48" s="170">
        <v>-202</v>
      </c>
      <c r="G48" s="171"/>
      <c r="H48" s="199"/>
    </row>
    <row r="49" spans="1:8" ht="14.5" x14ac:dyDescent="0.35">
      <c r="A49" s="147">
        <v>41488</v>
      </c>
      <c r="B49" s="155" t="s">
        <v>210</v>
      </c>
      <c r="C49" s="155" t="s">
        <v>211</v>
      </c>
      <c r="D49" s="155" t="s">
        <v>513</v>
      </c>
      <c r="E49" s="155"/>
      <c r="F49" s="170">
        <v>-202</v>
      </c>
      <c r="G49" s="171"/>
      <c r="H49" s="199"/>
    </row>
    <row r="50" spans="1:8" ht="14.5" x14ac:dyDescent="0.35">
      <c r="A50" s="147">
        <v>41491</v>
      </c>
      <c r="B50" s="155" t="s">
        <v>210</v>
      </c>
      <c r="C50" s="155" t="s">
        <v>211</v>
      </c>
      <c r="D50" s="155" t="s">
        <v>513</v>
      </c>
      <c r="E50" s="155"/>
      <c r="F50" s="170">
        <v>-216</v>
      </c>
      <c r="G50" s="171"/>
      <c r="H50" s="199"/>
    </row>
    <row r="51" spans="1:8" ht="14.5" x14ac:dyDescent="0.35">
      <c r="A51" s="147">
        <v>41492</v>
      </c>
      <c r="B51" s="155" t="s">
        <v>210</v>
      </c>
      <c r="C51" s="155" t="s">
        <v>211</v>
      </c>
      <c r="D51" s="155" t="s">
        <v>513</v>
      </c>
      <c r="E51" s="155"/>
      <c r="F51" s="170">
        <v>-216</v>
      </c>
      <c r="G51" s="171"/>
      <c r="H51" s="199"/>
    </row>
    <row r="52" spans="1:8" ht="14.5" x14ac:dyDescent="0.35">
      <c r="A52" s="147">
        <v>41493</v>
      </c>
      <c r="B52" s="155" t="s">
        <v>210</v>
      </c>
      <c r="C52" s="155" t="s">
        <v>211</v>
      </c>
      <c r="D52" s="155" t="s">
        <v>513</v>
      </c>
      <c r="E52" s="155"/>
      <c r="F52" s="170">
        <v>-216</v>
      </c>
      <c r="G52" s="171"/>
      <c r="H52" s="199"/>
    </row>
    <row r="53" spans="1:8" ht="14.5" x14ac:dyDescent="0.35">
      <c r="A53" s="147">
        <v>41494</v>
      </c>
      <c r="B53" s="155" t="s">
        <v>210</v>
      </c>
      <c r="C53" s="155" t="s">
        <v>211</v>
      </c>
      <c r="D53" s="155" t="s">
        <v>513</v>
      </c>
      <c r="E53" s="155"/>
      <c r="F53" s="170">
        <v>-216</v>
      </c>
      <c r="G53" s="171"/>
      <c r="H53" s="199"/>
    </row>
    <row r="54" spans="1:8" ht="14.5" x14ac:dyDescent="0.35">
      <c r="A54" s="147">
        <v>41495</v>
      </c>
      <c r="B54" s="155" t="s">
        <v>210</v>
      </c>
      <c r="C54" s="155" t="s">
        <v>211</v>
      </c>
      <c r="D54" s="155" t="s">
        <v>513</v>
      </c>
      <c r="E54" s="155"/>
      <c r="F54" s="170">
        <v>-216</v>
      </c>
      <c r="G54" s="171"/>
      <c r="H54" s="199"/>
    </row>
    <row r="55" spans="1:8" ht="14.5" x14ac:dyDescent="0.35">
      <c r="A55" s="147">
        <v>41498</v>
      </c>
      <c r="B55" s="155" t="s">
        <v>210</v>
      </c>
      <c r="C55" s="155" t="s">
        <v>211</v>
      </c>
      <c r="D55" s="155" t="s">
        <v>513</v>
      </c>
      <c r="E55" s="155"/>
      <c r="F55" s="170">
        <v>-216</v>
      </c>
      <c r="G55" s="171"/>
      <c r="H55" s="199"/>
    </row>
    <row r="56" spans="1:8" ht="14.5" x14ac:dyDescent="0.35">
      <c r="A56" s="147">
        <v>41499</v>
      </c>
      <c r="B56" s="155" t="s">
        <v>210</v>
      </c>
      <c r="C56" s="155" t="s">
        <v>211</v>
      </c>
      <c r="D56" s="155" t="s">
        <v>513</v>
      </c>
      <c r="E56" s="155"/>
      <c r="F56" s="170">
        <v>-216</v>
      </c>
      <c r="G56" s="171"/>
      <c r="H56" s="199"/>
    </row>
    <row r="57" spans="1:8" ht="14.5" x14ac:dyDescent="0.35">
      <c r="A57" s="147">
        <v>41500</v>
      </c>
      <c r="B57" s="155" t="s">
        <v>210</v>
      </c>
      <c r="C57" s="155" t="s">
        <v>211</v>
      </c>
      <c r="D57" s="155" t="s">
        <v>513</v>
      </c>
      <c r="E57" s="155"/>
      <c r="F57" s="170">
        <v>-216</v>
      </c>
      <c r="G57" s="171"/>
      <c r="H57" s="199"/>
    </row>
    <row r="58" spans="1:8" ht="14.5" x14ac:dyDescent="0.35">
      <c r="A58" s="147">
        <v>41501</v>
      </c>
      <c r="B58" s="155" t="s">
        <v>210</v>
      </c>
      <c r="C58" s="155" t="s">
        <v>211</v>
      </c>
      <c r="D58" s="155" t="s">
        <v>513</v>
      </c>
      <c r="E58" s="155"/>
      <c r="F58" s="170">
        <v>-216</v>
      </c>
      <c r="G58" s="171"/>
      <c r="H58" s="199"/>
    </row>
    <row r="59" spans="1:8" ht="14.5" x14ac:dyDescent="0.35">
      <c r="A59" s="147">
        <v>41502</v>
      </c>
      <c r="B59" s="155" t="s">
        <v>210</v>
      </c>
      <c r="C59" s="155" t="s">
        <v>211</v>
      </c>
      <c r="D59" s="155" t="s">
        <v>513</v>
      </c>
      <c r="E59" s="155"/>
      <c r="F59" s="170">
        <v>-216</v>
      </c>
      <c r="G59" s="171"/>
      <c r="H59" s="199"/>
    </row>
    <row r="60" spans="1:8" ht="14.5" x14ac:dyDescent="0.35">
      <c r="A60" s="147">
        <v>41505</v>
      </c>
      <c r="B60" s="155" t="s">
        <v>210</v>
      </c>
      <c r="C60" s="155" t="s">
        <v>211</v>
      </c>
      <c r="D60" s="155" t="s">
        <v>513</v>
      </c>
      <c r="E60" s="155"/>
      <c r="F60" s="170">
        <v>-214</v>
      </c>
      <c r="G60" s="171"/>
      <c r="H60" s="199"/>
    </row>
    <row r="61" spans="1:8" ht="14.5" x14ac:dyDescent="0.35">
      <c r="A61" s="147">
        <v>41506</v>
      </c>
      <c r="B61" s="155" t="s">
        <v>210</v>
      </c>
      <c r="C61" s="155" t="s">
        <v>211</v>
      </c>
      <c r="D61" s="155" t="s">
        <v>513</v>
      </c>
      <c r="E61" s="155"/>
      <c r="F61" s="170">
        <v>-214</v>
      </c>
      <c r="G61" s="171"/>
      <c r="H61" s="199"/>
    </row>
    <row r="62" spans="1:8" ht="14.5" x14ac:dyDescent="0.35">
      <c r="A62" s="147">
        <v>41507</v>
      </c>
      <c r="B62" s="155" t="s">
        <v>210</v>
      </c>
      <c r="C62" s="155" t="s">
        <v>211</v>
      </c>
      <c r="D62" s="155" t="s">
        <v>513</v>
      </c>
      <c r="E62" s="155"/>
      <c r="F62" s="170">
        <v>-214</v>
      </c>
      <c r="G62" s="171"/>
      <c r="H62" s="199"/>
    </row>
    <row r="63" spans="1:8" ht="14.5" x14ac:dyDescent="0.35">
      <c r="A63" s="147">
        <v>41508</v>
      </c>
      <c r="B63" s="155" t="s">
        <v>210</v>
      </c>
      <c r="C63" s="155" t="s">
        <v>211</v>
      </c>
      <c r="D63" s="155" t="s">
        <v>513</v>
      </c>
      <c r="E63" s="155"/>
      <c r="F63" s="170">
        <v>-214</v>
      </c>
      <c r="G63" s="171"/>
      <c r="H63" s="199"/>
    </row>
    <row r="64" spans="1:8" ht="14.5" x14ac:dyDescent="0.35">
      <c r="A64" s="147">
        <v>41509</v>
      </c>
      <c r="B64" s="155" t="s">
        <v>210</v>
      </c>
      <c r="C64" s="155" t="s">
        <v>211</v>
      </c>
      <c r="D64" s="155" t="s">
        <v>513</v>
      </c>
      <c r="E64" s="155"/>
      <c r="F64" s="170">
        <v>-214</v>
      </c>
      <c r="G64" s="171"/>
      <c r="H64" s="199"/>
    </row>
    <row r="65" spans="1:8" ht="14.5" x14ac:dyDescent="0.35">
      <c r="A65" s="147">
        <v>41512</v>
      </c>
      <c r="B65" s="155" t="s">
        <v>210</v>
      </c>
      <c r="C65" s="155" t="s">
        <v>211</v>
      </c>
      <c r="D65" s="155" t="s">
        <v>513</v>
      </c>
      <c r="E65" s="155"/>
      <c r="F65" s="170">
        <v>-360</v>
      </c>
      <c r="G65" s="171"/>
      <c r="H65" s="199"/>
    </row>
    <row r="66" spans="1:8" ht="14.5" x14ac:dyDescent="0.35">
      <c r="A66" s="147">
        <v>41513</v>
      </c>
      <c r="B66" s="155" t="s">
        <v>210</v>
      </c>
      <c r="C66" s="155" t="s">
        <v>211</v>
      </c>
      <c r="D66" s="155" t="s">
        <v>513</v>
      </c>
      <c r="E66" s="155"/>
      <c r="F66" s="170">
        <v>-360</v>
      </c>
      <c r="G66" s="171"/>
      <c r="H66" s="199"/>
    </row>
    <row r="67" spans="1:8" ht="14.5" x14ac:dyDescent="0.35">
      <c r="A67" s="147">
        <v>41514</v>
      </c>
      <c r="B67" s="155" t="s">
        <v>210</v>
      </c>
      <c r="C67" s="155" t="s">
        <v>211</v>
      </c>
      <c r="D67" s="155" t="s">
        <v>513</v>
      </c>
      <c r="E67" s="155"/>
      <c r="F67" s="170">
        <v>-360</v>
      </c>
      <c r="G67" s="171"/>
      <c r="H67" s="199"/>
    </row>
    <row r="68" spans="1:8" ht="14.5" x14ac:dyDescent="0.35">
      <c r="A68" s="147">
        <v>41515</v>
      </c>
      <c r="B68" s="155" t="s">
        <v>210</v>
      </c>
      <c r="C68" s="155" t="s">
        <v>211</v>
      </c>
      <c r="D68" s="155" t="s">
        <v>513</v>
      </c>
      <c r="E68" s="155"/>
      <c r="F68" s="170">
        <v>-360</v>
      </c>
      <c r="G68" s="171"/>
      <c r="H68" s="199"/>
    </row>
    <row r="69" spans="1:8" ht="14.5" x14ac:dyDescent="0.35">
      <c r="A69" s="147">
        <v>41516</v>
      </c>
      <c r="B69" s="155" t="s">
        <v>210</v>
      </c>
      <c r="C69" s="155" t="s">
        <v>211</v>
      </c>
      <c r="D69" s="155" t="s">
        <v>513</v>
      </c>
      <c r="E69" s="155"/>
      <c r="F69" s="170">
        <v>-360</v>
      </c>
      <c r="G69" s="171"/>
      <c r="H69" s="199"/>
    </row>
    <row r="70" spans="1:8" ht="14.5" x14ac:dyDescent="0.35">
      <c r="A70" s="147">
        <v>41519</v>
      </c>
      <c r="B70" s="155" t="s">
        <v>210</v>
      </c>
      <c r="C70" s="155" t="s">
        <v>211</v>
      </c>
      <c r="D70" s="155" t="s">
        <v>513</v>
      </c>
      <c r="E70" s="155"/>
      <c r="F70" s="170">
        <v>-418</v>
      </c>
      <c r="G70" s="171"/>
      <c r="H70" s="199"/>
    </row>
    <row r="71" spans="1:8" ht="14.5" x14ac:dyDescent="0.35">
      <c r="A71" s="172"/>
      <c r="B71" s="155" t="s">
        <v>220</v>
      </c>
      <c r="C71" s="155" t="s">
        <v>221</v>
      </c>
      <c r="D71" s="155" t="s">
        <v>513</v>
      </c>
      <c r="E71" s="155"/>
      <c r="F71" s="170"/>
      <c r="G71" s="171">
        <v>16944</v>
      </c>
      <c r="H71" s="199"/>
    </row>
    <row r="72" spans="1:8" ht="14.5" x14ac:dyDescent="0.35">
      <c r="A72" s="147">
        <v>41520</v>
      </c>
      <c r="B72" s="155" t="s">
        <v>210</v>
      </c>
      <c r="C72" s="155" t="s">
        <v>211</v>
      </c>
      <c r="D72" s="155" t="s">
        <v>513</v>
      </c>
      <c r="E72" s="155"/>
      <c r="F72" s="170">
        <v>-418</v>
      </c>
      <c r="G72" s="171"/>
      <c r="H72" s="199"/>
    </row>
    <row r="73" spans="1:8" ht="14.5" x14ac:dyDescent="0.35">
      <c r="A73" s="147">
        <v>41521</v>
      </c>
      <c r="B73" s="155" t="s">
        <v>210</v>
      </c>
      <c r="C73" s="155" t="s">
        <v>211</v>
      </c>
      <c r="D73" s="155" t="s">
        <v>513</v>
      </c>
      <c r="E73" s="155"/>
      <c r="F73" s="170">
        <v>-418</v>
      </c>
      <c r="G73" s="171"/>
      <c r="H73" s="199"/>
    </row>
    <row r="74" spans="1:8" ht="14.5" x14ac:dyDescent="0.35">
      <c r="A74" s="147">
        <v>41522</v>
      </c>
      <c r="B74" s="155" t="s">
        <v>210</v>
      </c>
      <c r="C74" s="155" t="s">
        <v>211</v>
      </c>
      <c r="D74" s="155" t="s">
        <v>513</v>
      </c>
      <c r="E74" s="155"/>
      <c r="F74" s="170">
        <v>-418</v>
      </c>
      <c r="G74" s="171"/>
      <c r="H74" s="199"/>
    </row>
    <row r="75" spans="1:8" ht="14.5" x14ac:dyDescent="0.35">
      <c r="A75" s="147">
        <v>41523</v>
      </c>
      <c r="B75" s="155" t="s">
        <v>210</v>
      </c>
      <c r="C75" s="155" t="s">
        <v>211</v>
      </c>
      <c r="D75" s="155" t="s">
        <v>513</v>
      </c>
      <c r="E75" s="155"/>
      <c r="F75" s="170">
        <v>-418</v>
      </c>
      <c r="G75" s="171"/>
      <c r="H75" s="199"/>
    </row>
    <row r="76" spans="1:8" ht="14.5" x14ac:dyDescent="0.35">
      <c r="A76" s="147">
        <v>41526</v>
      </c>
      <c r="B76" s="155" t="s">
        <v>210</v>
      </c>
      <c r="C76" s="155" t="s">
        <v>211</v>
      </c>
      <c r="D76" s="155" t="s">
        <v>513</v>
      </c>
      <c r="E76" s="155"/>
      <c r="F76" s="170">
        <v>-416</v>
      </c>
      <c r="G76" s="171"/>
      <c r="H76" s="199"/>
    </row>
    <row r="77" spans="1:8" ht="14.5" x14ac:dyDescent="0.35">
      <c r="A77" s="147">
        <v>41527</v>
      </c>
      <c r="B77" s="155" t="s">
        <v>210</v>
      </c>
      <c r="C77" s="155" t="s">
        <v>211</v>
      </c>
      <c r="D77" s="155" t="s">
        <v>513</v>
      </c>
      <c r="E77" s="155"/>
      <c r="F77" s="170">
        <v>-416</v>
      </c>
      <c r="G77" s="171"/>
      <c r="H77" s="199"/>
    </row>
    <row r="78" spans="1:8" ht="14.5" x14ac:dyDescent="0.35">
      <c r="A78" s="147">
        <v>41528</v>
      </c>
      <c r="B78" s="155" t="s">
        <v>210</v>
      </c>
      <c r="C78" s="155" t="s">
        <v>211</v>
      </c>
      <c r="D78" s="155" t="s">
        <v>513</v>
      </c>
      <c r="E78" s="155"/>
      <c r="F78" s="170">
        <v>-416</v>
      </c>
      <c r="G78" s="171"/>
      <c r="H78" s="199"/>
    </row>
    <row r="79" spans="1:8" ht="14.5" x14ac:dyDescent="0.35">
      <c r="A79" s="147">
        <v>41529</v>
      </c>
      <c r="B79" s="155" t="s">
        <v>210</v>
      </c>
      <c r="C79" s="155" t="s">
        <v>211</v>
      </c>
      <c r="D79" s="155" t="s">
        <v>513</v>
      </c>
      <c r="E79" s="155"/>
      <c r="F79" s="170">
        <v>-416</v>
      </c>
      <c r="G79" s="171"/>
      <c r="H79" s="199"/>
    </row>
    <row r="80" spans="1:8" ht="14.5" x14ac:dyDescent="0.35">
      <c r="A80" s="147">
        <v>41530</v>
      </c>
      <c r="B80" s="155" t="s">
        <v>210</v>
      </c>
      <c r="C80" s="155" t="s">
        <v>211</v>
      </c>
      <c r="D80" s="155" t="s">
        <v>513</v>
      </c>
      <c r="E80" s="155"/>
      <c r="F80" s="170">
        <v>-416</v>
      </c>
      <c r="G80" s="171"/>
      <c r="H80" s="199"/>
    </row>
    <row r="81" spans="1:8" ht="14.5" x14ac:dyDescent="0.35">
      <c r="A81" s="147">
        <v>41533</v>
      </c>
      <c r="B81" s="155" t="s">
        <v>210</v>
      </c>
      <c r="C81" s="155" t="s">
        <v>211</v>
      </c>
      <c r="D81" s="155" t="s">
        <v>513</v>
      </c>
      <c r="E81" s="155"/>
      <c r="F81" s="170">
        <v>-414</v>
      </c>
      <c r="G81" s="171"/>
      <c r="H81" s="199"/>
    </row>
    <row r="82" spans="1:8" ht="14.5" x14ac:dyDescent="0.35">
      <c r="A82" s="147">
        <v>41534</v>
      </c>
      <c r="B82" s="155" t="s">
        <v>210</v>
      </c>
      <c r="C82" s="155" t="s">
        <v>211</v>
      </c>
      <c r="D82" s="155" t="s">
        <v>513</v>
      </c>
      <c r="E82" s="155"/>
      <c r="F82" s="170">
        <v>-414</v>
      </c>
      <c r="G82" s="171"/>
      <c r="H82" s="199"/>
    </row>
    <row r="83" spans="1:8" ht="14.5" x14ac:dyDescent="0.35">
      <c r="A83" s="147">
        <v>41535</v>
      </c>
      <c r="B83" s="155" t="s">
        <v>210</v>
      </c>
      <c r="C83" s="155" t="s">
        <v>211</v>
      </c>
      <c r="D83" s="155" t="s">
        <v>513</v>
      </c>
      <c r="E83" s="155"/>
      <c r="F83" s="170">
        <v>-414</v>
      </c>
      <c r="G83" s="171"/>
      <c r="H83" s="199"/>
    </row>
    <row r="84" spans="1:8" ht="14.5" x14ac:dyDescent="0.35">
      <c r="A84" s="147">
        <v>41536</v>
      </c>
      <c r="B84" s="155" t="s">
        <v>210</v>
      </c>
      <c r="C84" s="155" t="s">
        <v>211</v>
      </c>
      <c r="D84" s="155" t="s">
        <v>513</v>
      </c>
      <c r="E84" s="155"/>
      <c r="F84" s="170">
        <v>-414</v>
      </c>
      <c r="G84" s="171"/>
      <c r="H84" s="199"/>
    </row>
    <row r="85" spans="1:8" ht="14.5" x14ac:dyDescent="0.35">
      <c r="A85" s="147">
        <v>41537</v>
      </c>
      <c r="B85" s="155" t="s">
        <v>210</v>
      </c>
      <c r="C85" s="155" t="s">
        <v>211</v>
      </c>
      <c r="D85" s="155" t="s">
        <v>513</v>
      </c>
      <c r="E85" s="155"/>
      <c r="F85" s="170">
        <v>-414</v>
      </c>
      <c r="G85" s="171"/>
      <c r="H85" s="199"/>
    </row>
    <row r="86" spans="1:8" ht="14.5" x14ac:dyDescent="0.35">
      <c r="A86" s="147">
        <v>41540</v>
      </c>
      <c r="B86" s="155" t="s">
        <v>210</v>
      </c>
      <c r="C86" s="155" t="s">
        <v>211</v>
      </c>
      <c r="D86" s="155" t="s">
        <v>513</v>
      </c>
      <c r="E86" s="155"/>
      <c r="F86" s="170">
        <v>-416</v>
      </c>
      <c r="G86" s="171"/>
      <c r="H86" s="199"/>
    </row>
    <row r="87" spans="1:8" ht="14.5" x14ac:dyDescent="0.35">
      <c r="A87" s="147">
        <v>41541</v>
      </c>
      <c r="B87" s="155" t="s">
        <v>210</v>
      </c>
      <c r="C87" s="155" t="s">
        <v>211</v>
      </c>
      <c r="D87" s="155" t="s">
        <v>513</v>
      </c>
      <c r="E87" s="155"/>
      <c r="F87" s="170">
        <v>-416</v>
      </c>
      <c r="G87" s="171"/>
      <c r="H87" s="199"/>
    </row>
    <row r="88" spans="1:8" ht="14.5" x14ac:dyDescent="0.35">
      <c r="A88" s="147">
        <v>41542</v>
      </c>
      <c r="B88" s="155" t="s">
        <v>210</v>
      </c>
      <c r="C88" s="155" t="s">
        <v>211</v>
      </c>
      <c r="D88" s="155" t="s">
        <v>513</v>
      </c>
      <c r="E88" s="155"/>
      <c r="F88" s="170">
        <v>-416</v>
      </c>
      <c r="G88" s="171"/>
      <c r="H88" s="199"/>
    </row>
    <row r="89" spans="1:8" ht="14.5" x14ac:dyDescent="0.35">
      <c r="A89" s="147">
        <v>41543</v>
      </c>
      <c r="B89" s="155" t="s">
        <v>210</v>
      </c>
      <c r="C89" s="155" t="s">
        <v>211</v>
      </c>
      <c r="D89" s="155" t="s">
        <v>513</v>
      </c>
      <c r="E89" s="155"/>
      <c r="F89" s="170">
        <v>-416</v>
      </c>
      <c r="G89" s="171"/>
      <c r="H89" s="199"/>
    </row>
    <row r="90" spans="1:8" ht="14.5" x14ac:dyDescent="0.35">
      <c r="A90" s="147">
        <v>41544</v>
      </c>
      <c r="B90" s="155" t="s">
        <v>210</v>
      </c>
      <c r="C90" s="155" t="s">
        <v>211</v>
      </c>
      <c r="D90" s="155" t="s">
        <v>513</v>
      </c>
      <c r="E90" s="155"/>
      <c r="F90" s="170">
        <v>-416</v>
      </c>
      <c r="G90" s="171"/>
      <c r="H90" s="199"/>
    </row>
    <row r="91" spans="1:8" ht="14.5" x14ac:dyDescent="0.35">
      <c r="A91" s="147">
        <v>41547</v>
      </c>
      <c r="B91" s="155" t="s">
        <v>210</v>
      </c>
      <c r="C91" s="155" t="s">
        <v>211</v>
      </c>
      <c r="D91" s="155" t="s">
        <v>513</v>
      </c>
      <c r="E91" s="155"/>
      <c r="F91" s="170">
        <v>-416</v>
      </c>
      <c r="G91" s="171"/>
      <c r="H91" s="199"/>
    </row>
    <row r="92" spans="1:8" ht="14.5" x14ac:dyDescent="0.35">
      <c r="A92" s="147">
        <v>41548</v>
      </c>
      <c r="B92" s="155" t="s">
        <v>210</v>
      </c>
      <c r="C92" s="155" t="s">
        <v>211</v>
      </c>
      <c r="D92" s="155" t="s">
        <v>513</v>
      </c>
      <c r="E92" s="155"/>
      <c r="F92" s="170">
        <v>-416</v>
      </c>
      <c r="G92" s="171"/>
      <c r="H92" s="199"/>
    </row>
    <row r="93" spans="1:8" ht="14.5" x14ac:dyDescent="0.35">
      <c r="A93" s="147">
        <v>41549</v>
      </c>
      <c r="B93" s="155" t="s">
        <v>210</v>
      </c>
      <c r="C93" s="155" t="s">
        <v>211</v>
      </c>
      <c r="D93" s="155" t="s">
        <v>513</v>
      </c>
      <c r="E93" s="155"/>
      <c r="F93" s="170">
        <v>-416</v>
      </c>
      <c r="G93" s="171"/>
      <c r="H93" s="199"/>
    </row>
    <row r="94" spans="1:8" ht="14.5" x14ac:dyDescent="0.35">
      <c r="A94" s="147">
        <v>41550</v>
      </c>
      <c r="B94" s="155" t="s">
        <v>210</v>
      </c>
      <c r="C94" s="155" t="s">
        <v>211</v>
      </c>
      <c r="D94" s="155" t="s">
        <v>513</v>
      </c>
      <c r="E94" s="155"/>
      <c r="F94" s="170">
        <v>-416</v>
      </c>
      <c r="G94" s="171"/>
      <c r="H94" s="199"/>
    </row>
    <row r="95" spans="1:8" ht="14.5" x14ac:dyDescent="0.35">
      <c r="A95" s="147">
        <v>41551</v>
      </c>
      <c r="B95" s="155" t="s">
        <v>210</v>
      </c>
      <c r="C95" s="155" t="s">
        <v>211</v>
      </c>
      <c r="D95" s="155" t="s">
        <v>513</v>
      </c>
      <c r="E95" s="155"/>
      <c r="F95" s="170">
        <v>-416</v>
      </c>
      <c r="G95" s="171"/>
      <c r="H95" s="199"/>
    </row>
    <row r="96" spans="1:8" ht="14.5" x14ac:dyDescent="0.35">
      <c r="A96" s="147">
        <v>41554</v>
      </c>
      <c r="B96" s="155" t="s">
        <v>210</v>
      </c>
      <c r="C96" s="155" t="s">
        <v>211</v>
      </c>
      <c r="D96" s="155" t="s">
        <v>513</v>
      </c>
      <c r="E96" s="155"/>
      <c r="F96" s="170">
        <v>-384</v>
      </c>
      <c r="G96" s="171"/>
      <c r="H96" s="199"/>
    </row>
    <row r="97" spans="1:8" ht="14.5" x14ac:dyDescent="0.35">
      <c r="A97" s="147">
        <v>41555</v>
      </c>
      <c r="B97" s="155" t="s">
        <v>210</v>
      </c>
      <c r="C97" s="155" t="s">
        <v>211</v>
      </c>
      <c r="D97" s="155" t="s">
        <v>513</v>
      </c>
      <c r="E97" s="155"/>
      <c r="F97" s="170">
        <v>-384</v>
      </c>
      <c r="G97" s="171"/>
      <c r="H97" s="199"/>
    </row>
    <row r="98" spans="1:8" ht="14.5" x14ac:dyDescent="0.35">
      <c r="A98" s="147">
        <v>41556</v>
      </c>
      <c r="B98" s="155" t="s">
        <v>210</v>
      </c>
      <c r="C98" s="155" t="s">
        <v>211</v>
      </c>
      <c r="D98" s="155" t="s">
        <v>513</v>
      </c>
      <c r="E98" s="155"/>
      <c r="F98" s="170">
        <v>-384</v>
      </c>
      <c r="G98" s="171"/>
      <c r="H98" s="199"/>
    </row>
    <row r="99" spans="1:8" ht="14.5" x14ac:dyDescent="0.35">
      <c r="A99" s="147">
        <v>41557</v>
      </c>
      <c r="B99" s="155" t="s">
        <v>210</v>
      </c>
      <c r="C99" s="155" t="s">
        <v>211</v>
      </c>
      <c r="D99" s="155" t="s">
        <v>513</v>
      </c>
      <c r="E99" s="155"/>
      <c r="F99" s="170">
        <v>-384</v>
      </c>
      <c r="G99" s="171"/>
      <c r="H99" s="199"/>
    </row>
    <row r="100" spans="1:8" ht="14.5" x14ac:dyDescent="0.35">
      <c r="A100" s="147">
        <v>41558</v>
      </c>
      <c r="B100" s="155" t="s">
        <v>210</v>
      </c>
      <c r="C100" s="155" t="s">
        <v>211</v>
      </c>
      <c r="D100" s="155" t="s">
        <v>513</v>
      </c>
      <c r="E100" s="155"/>
      <c r="F100" s="170">
        <v>-384</v>
      </c>
      <c r="G100" s="171"/>
      <c r="H100" s="199"/>
    </row>
    <row r="101" spans="1:8" ht="14.5" x14ac:dyDescent="0.35">
      <c r="A101" s="147">
        <v>41561</v>
      </c>
      <c r="B101" s="155" t="s">
        <v>210</v>
      </c>
      <c r="C101" s="155" t="s">
        <v>211</v>
      </c>
      <c r="D101" s="155" t="s">
        <v>513</v>
      </c>
      <c r="E101" s="155"/>
      <c r="F101" s="170">
        <v>-392</v>
      </c>
      <c r="G101" s="171"/>
      <c r="H101" s="199"/>
    </row>
    <row r="102" spans="1:8" ht="14.5" x14ac:dyDescent="0.35">
      <c r="A102" s="147">
        <v>41562</v>
      </c>
      <c r="B102" s="155" t="s">
        <v>210</v>
      </c>
      <c r="C102" s="155" t="s">
        <v>211</v>
      </c>
      <c r="D102" s="155" t="s">
        <v>513</v>
      </c>
      <c r="E102" s="155"/>
      <c r="F102" s="170">
        <v>-392</v>
      </c>
      <c r="G102" s="171"/>
      <c r="H102" s="199"/>
    </row>
    <row r="103" spans="1:8" ht="14.5" x14ac:dyDescent="0.35">
      <c r="A103" s="147">
        <v>41563</v>
      </c>
      <c r="B103" s="155" t="s">
        <v>210</v>
      </c>
      <c r="C103" s="155" t="s">
        <v>211</v>
      </c>
      <c r="D103" s="155" t="s">
        <v>513</v>
      </c>
      <c r="E103" s="155"/>
      <c r="F103" s="170">
        <v>-392</v>
      </c>
      <c r="G103" s="171"/>
      <c r="H103" s="199"/>
    </row>
    <row r="104" spans="1:8" ht="14.5" x14ac:dyDescent="0.35">
      <c r="A104" s="147">
        <v>41564</v>
      </c>
      <c r="B104" s="155" t="s">
        <v>210</v>
      </c>
      <c r="C104" s="155" t="s">
        <v>211</v>
      </c>
      <c r="D104" s="155" t="s">
        <v>513</v>
      </c>
      <c r="E104" s="155"/>
      <c r="F104" s="170">
        <v>-392</v>
      </c>
      <c r="G104" s="171"/>
      <c r="H104" s="199"/>
    </row>
    <row r="105" spans="1:8" ht="14.5" x14ac:dyDescent="0.35">
      <c r="A105" s="147">
        <v>41565</v>
      </c>
      <c r="B105" s="155" t="s">
        <v>210</v>
      </c>
      <c r="C105" s="155" t="s">
        <v>211</v>
      </c>
      <c r="D105" s="155" t="s">
        <v>513</v>
      </c>
      <c r="E105" s="155"/>
      <c r="F105" s="170">
        <v>-392</v>
      </c>
      <c r="G105" s="171"/>
      <c r="H105" s="199"/>
    </row>
    <row r="106" spans="1:8" ht="14.5" x14ac:dyDescent="0.35">
      <c r="A106" s="147">
        <v>41568</v>
      </c>
      <c r="B106" s="155" t="s">
        <v>210</v>
      </c>
      <c r="C106" s="155" t="s">
        <v>211</v>
      </c>
      <c r="D106" s="155" t="s">
        <v>513</v>
      </c>
      <c r="E106" s="155"/>
      <c r="F106" s="170">
        <v>-396</v>
      </c>
      <c r="G106" s="171"/>
      <c r="H106" s="199"/>
    </row>
    <row r="107" spans="1:8" ht="14.5" x14ac:dyDescent="0.35">
      <c r="A107" s="147">
        <v>41569</v>
      </c>
      <c r="B107" s="155" t="s">
        <v>210</v>
      </c>
      <c r="C107" s="155" t="s">
        <v>211</v>
      </c>
      <c r="D107" s="155" t="s">
        <v>513</v>
      </c>
      <c r="E107" s="155"/>
      <c r="F107" s="170">
        <v>-396</v>
      </c>
      <c r="G107" s="171"/>
      <c r="H107" s="199"/>
    </row>
    <row r="108" spans="1:8" ht="14.5" x14ac:dyDescent="0.35">
      <c r="A108" s="147">
        <v>41570</v>
      </c>
      <c r="B108" s="155" t="s">
        <v>210</v>
      </c>
      <c r="C108" s="155" t="s">
        <v>211</v>
      </c>
      <c r="D108" s="155" t="s">
        <v>513</v>
      </c>
      <c r="E108" s="155"/>
      <c r="F108" s="170">
        <v>-396</v>
      </c>
      <c r="G108" s="171"/>
      <c r="H108" s="199"/>
    </row>
    <row r="109" spans="1:8" ht="14.5" x14ac:dyDescent="0.35">
      <c r="A109" s="147">
        <v>41571</v>
      </c>
      <c r="B109" s="155" t="s">
        <v>210</v>
      </c>
      <c r="C109" s="155" t="s">
        <v>211</v>
      </c>
      <c r="D109" s="155" t="s">
        <v>513</v>
      </c>
      <c r="E109" s="155"/>
      <c r="F109" s="170">
        <v>-396</v>
      </c>
      <c r="G109" s="171"/>
      <c r="H109" s="199"/>
    </row>
    <row r="110" spans="1:8" ht="14.5" x14ac:dyDescent="0.35">
      <c r="A110" s="147">
        <v>41572</v>
      </c>
      <c r="B110" s="155" t="s">
        <v>210</v>
      </c>
      <c r="C110" s="155" t="s">
        <v>211</v>
      </c>
      <c r="D110" s="155" t="s">
        <v>513</v>
      </c>
      <c r="E110" s="155"/>
      <c r="F110" s="170">
        <v>-396</v>
      </c>
      <c r="G110" s="171"/>
      <c r="H110" s="199"/>
    </row>
    <row r="111" spans="1:8" ht="14.5" x14ac:dyDescent="0.35">
      <c r="A111" s="147">
        <v>41575</v>
      </c>
      <c r="B111" s="155" t="s">
        <v>210</v>
      </c>
      <c r="C111" s="155" t="s">
        <v>211</v>
      </c>
      <c r="D111" s="155" t="s">
        <v>513</v>
      </c>
      <c r="E111" s="155"/>
      <c r="F111" s="170">
        <v>-354</v>
      </c>
      <c r="G111" s="171"/>
      <c r="H111" s="199"/>
    </row>
    <row r="112" spans="1:8" ht="14.5" x14ac:dyDescent="0.35">
      <c r="A112" s="147">
        <v>41576</v>
      </c>
      <c r="B112" s="155" t="s">
        <v>210</v>
      </c>
      <c r="C112" s="155" t="s">
        <v>211</v>
      </c>
      <c r="D112" s="155" t="s">
        <v>513</v>
      </c>
      <c r="E112" s="155"/>
      <c r="F112" s="170">
        <v>-354</v>
      </c>
      <c r="G112" s="171"/>
      <c r="H112" s="199"/>
    </row>
    <row r="113" spans="1:8" ht="14.5" x14ac:dyDescent="0.35">
      <c r="A113" s="147">
        <v>41577</v>
      </c>
      <c r="B113" s="155" t="s">
        <v>210</v>
      </c>
      <c r="C113" s="155" t="s">
        <v>211</v>
      </c>
      <c r="D113" s="155" t="s">
        <v>513</v>
      </c>
      <c r="E113" s="155"/>
      <c r="F113" s="170">
        <v>-354</v>
      </c>
      <c r="G113" s="171"/>
      <c r="H113" s="199"/>
    </row>
    <row r="114" spans="1:8" ht="14.5" x14ac:dyDescent="0.35">
      <c r="A114" s="147">
        <v>41578</v>
      </c>
      <c r="B114" s="155" t="s">
        <v>210</v>
      </c>
      <c r="C114" s="155" t="s">
        <v>211</v>
      </c>
      <c r="D114" s="155" t="s">
        <v>513</v>
      </c>
      <c r="E114" s="155"/>
      <c r="F114" s="170">
        <v>-354</v>
      </c>
      <c r="G114" s="171"/>
      <c r="H114" s="199"/>
    </row>
    <row r="115" spans="1:8" ht="14.5" x14ac:dyDescent="0.35">
      <c r="A115" s="147">
        <v>41579</v>
      </c>
      <c r="B115" s="155" t="s">
        <v>210</v>
      </c>
      <c r="C115" s="155" t="s">
        <v>211</v>
      </c>
      <c r="D115" s="155" t="s">
        <v>513</v>
      </c>
      <c r="E115" s="155"/>
      <c r="F115" s="170">
        <v>-354</v>
      </c>
      <c r="G115" s="171"/>
      <c r="H115" s="199"/>
    </row>
    <row r="116" spans="1:8" ht="14.5" x14ac:dyDescent="0.35">
      <c r="A116" s="147">
        <v>41582</v>
      </c>
      <c r="B116" s="155" t="s">
        <v>210</v>
      </c>
      <c r="C116" s="155" t="s">
        <v>211</v>
      </c>
      <c r="D116" s="155" t="s">
        <v>513</v>
      </c>
      <c r="E116" s="155"/>
      <c r="F116" s="170">
        <v>-206</v>
      </c>
      <c r="G116" s="171"/>
      <c r="H116" s="199"/>
    </row>
    <row r="117" spans="1:8" ht="14.5" x14ac:dyDescent="0.35">
      <c r="A117" s="147">
        <v>41583</v>
      </c>
      <c r="B117" s="155" t="s">
        <v>210</v>
      </c>
      <c r="C117" s="155" t="s">
        <v>211</v>
      </c>
      <c r="D117" s="155" t="s">
        <v>513</v>
      </c>
      <c r="E117" s="155"/>
      <c r="F117" s="170">
        <v>-206</v>
      </c>
      <c r="G117" s="171"/>
      <c r="H117" s="199"/>
    </row>
    <row r="118" spans="1:8" ht="14.5" x14ac:dyDescent="0.35">
      <c r="A118" s="147">
        <v>41584</v>
      </c>
      <c r="B118" s="155" t="s">
        <v>210</v>
      </c>
      <c r="C118" s="155" t="s">
        <v>211</v>
      </c>
      <c r="D118" s="155" t="s">
        <v>513</v>
      </c>
      <c r="E118" s="155"/>
      <c r="F118" s="170">
        <v>-206</v>
      </c>
      <c r="G118" s="171"/>
      <c r="H118" s="199"/>
    </row>
    <row r="119" spans="1:8" ht="14.5" x14ac:dyDescent="0.35">
      <c r="A119" s="147">
        <v>41585</v>
      </c>
      <c r="B119" s="155" t="s">
        <v>210</v>
      </c>
      <c r="C119" s="155" t="s">
        <v>211</v>
      </c>
      <c r="D119" s="155" t="s">
        <v>513</v>
      </c>
      <c r="E119" s="155"/>
      <c r="F119" s="170">
        <v>-206</v>
      </c>
      <c r="G119" s="171"/>
      <c r="H119" s="199"/>
    </row>
    <row r="120" spans="1:8" ht="14.5" x14ac:dyDescent="0.35">
      <c r="A120" s="147">
        <v>41586</v>
      </c>
      <c r="B120" s="155" t="s">
        <v>210</v>
      </c>
      <c r="C120" s="155" t="s">
        <v>211</v>
      </c>
      <c r="D120" s="155" t="s">
        <v>513</v>
      </c>
      <c r="E120" s="155"/>
      <c r="F120" s="170">
        <v>-206</v>
      </c>
      <c r="G120" s="171"/>
      <c r="H120" s="199"/>
    </row>
    <row r="121" spans="1:8" ht="14.5" x14ac:dyDescent="0.35">
      <c r="A121" s="147">
        <v>41589</v>
      </c>
      <c r="B121" s="155" t="s">
        <v>210</v>
      </c>
      <c r="C121" s="155" t="s">
        <v>211</v>
      </c>
      <c r="D121" s="155" t="s">
        <v>513</v>
      </c>
      <c r="E121" s="155"/>
      <c r="F121" s="170">
        <v>-208</v>
      </c>
      <c r="G121" s="171"/>
      <c r="H121" s="199"/>
    </row>
    <row r="122" spans="1:8" ht="14.5" x14ac:dyDescent="0.35">
      <c r="A122" s="147">
        <v>41590</v>
      </c>
      <c r="B122" s="155" t="s">
        <v>210</v>
      </c>
      <c r="C122" s="155" t="s">
        <v>211</v>
      </c>
      <c r="D122" s="155" t="s">
        <v>513</v>
      </c>
      <c r="E122" s="155"/>
      <c r="F122" s="170">
        <v>-208</v>
      </c>
      <c r="G122" s="171"/>
      <c r="H122" s="199"/>
    </row>
    <row r="123" spans="1:8" ht="14.5" x14ac:dyDescent="0.35">
      <c r="A123" s="147">
        <v>41591</v>
      </c>
      <c r="B123" s="155" t="s">
        <v>210</v>
      </c>
      <c r="C123" s="155" t="s">
        <v>211</v>
      </c>
      <c r="D123" s="155" t="s">
        <v>513</v>
      </c>
      <c r="E123" s="155"/>
      <c r="F123" s="170">
        <v>-208</v>
      </c>
      <c r="G123" s="171"/>
      <c r="H123" s="199"/>
    </row>
    <row r="124" spans="1:8" ht="14.5" x14ac:dyDescent="0.35">
      <c r="A124" s="147">
        <v>41592</v>
      </c>
      <c r="B124" s="155" t="s">
        <v>210</v>
      </c>
      <c r="C124" s="155" t="s">
        <v>211</v>
      </c>
      <c r="D124" s="155" t="s">
        <v>513</v>
      </c>
      <c r="E124" s="155"/>
      <c r="F124" s="170">
        <v>-208</v>
      </c>
      <c r="G124" s="171"/>
      <c r="H124" s="199"/>
    </row>
    <row r="125" spans="1:8" ht="14.5" x14ac:dyDescent="0.35">
      <c r="A125" s="147">
        <v>41593</v>
      </c>
      <c r="B125" s="155" t="s">
        <v>210</v>
      </c>
      <c r="C125" s="155" t="s">
        <v>211</v>
      </c>
      <c r="D125" s="155" t="s">
        <v>513</v>
      </c>
      <c r="E125" s="155"/>
      <c r="F125" s="170">
        <v>-208</v>
      </c>
      <c r="G125" s="171"/>
      <c r="H125" s="199"/>
    </row>
    <row r="126" spans="1:8" ht="14.5" x14ac:dyDescent="0.35">
      <c r="A126" s="172"/>
      <c r="B126" s="155" t="s">
        <v>220</v>
      </c>
      <c r="C126" s="155" t="s">
        <v>232</v>
      </c>
      <c r="D126" s="155" t="s">
        <v>513</v>
      </c>
      <c r="E126" s="155"/>
      <c r="F126" s="170"/>
      <c r="G126" s="171">
        <v>11469</v>
      </c>
      <c r="H126" s="199"/>
    </row>
    <row r="127" spans="1:8" ht="14.5" x14ac:dyDescent="0.35">
      <c r="A127" s="147">
        <v>41596</v>
      </c>
      <c r="B127" s="155" t="s">
        <v>210</v>
      </c>
      <c r="C127" s="155" t="s">
        <v>211</v>
      </c>
      <c r="D127" s="155" t="s">
        <v>513</v>
      </c>
      <c r="E127" s="155"/>
      <c r="F127" s="170">
        <v>-204</v>
      </c>
      <c r="G127" s="171"/>
      <c r="H127" s="199"/>
    </row>
    <row r="128" spans="1:8" ht="14.5" x14ac:dyDescent="0.35">
      <c r="A128" s="147">
        <v>41597</v>
      </c>
      <c r="B128" s="155" t="s">
        <v>210</v>
      </c>
      <c r="C128" s="155" t="s">
        <v>211</v>
      </c>
      <c r="D128" s="155" t="s">
        <v>513</v>
      </c>
      <c r="E128" s="155"/>
      <c r="F128" s="170">
        <v>-204</v>
      </c>
      <c r="G128" s="171"/>
      <c r="H128" s="199"/>
    </row>
    <row r="129" spans="1:8" ht="14.5" x14ac:dyDescent="0.35">
      <c r="A129" s="147">
        <v>41598</v>
      </c>
      <c r="B129" s="155" t="s">
        <v>210</v>
      </c>
      <c r="C129" s="155" t="s">
        <v>211</v>
      </c>
      <c r="D129" s="155" t="s">
        <v>513</v>
      </c>
      <c r="E129" s="155"/>
      <c r="F129" s="170">
        <v>-204</v>
      </c>
      <c r="G129" s="171"/>
      <c r="H129" s="199"/>
    </row>
    <row r="130" spans="1:8" ht="14.5" x14ac:dyDescent="0.35">
      <c r="A130" s="147">
        <v>41599</v>
      </c>
      <c r="B130" s="155" t="s">
        <v>210</v>
      </c>
      <c r="C130" s="155" t="s">
        <v>211</v>
      </c>
      <c r="D130" s="155" t="s">
        <v>513</v>
      </c>
      <c r="E130" s="155"/>
      <c r="F130" s="170">
        <v>-204</v>
      </c>
      <c r="G130" s="171"/>
      <c r="H130" s="199"/>
    </row>
    <row r="131" spans="1:8" ht="14.5" x14ac:dyDescent="0.35">
      <c r="A131" s="147">
        <v>41600</v>
      </c>
      <c r="B131" s="155" t="s">
        <v>210</v>
      </c>
      <c r="C131" s="155" t="s">
        <v>211</v>
      </c>
      <c r="D131" s="155" t="s">
        <v>513</v>
      </c>
      <c r="E131" s="155"/>
      <c r="F131" s="170">
        <v>-204</v>
      </c>
      <c r="G131" s="171"/>
      <c r="H131" s="199"/>
    </row>
    <row r="132" spans="1:8" ht="14.5" x14ac:dyDescent="0.35">
      <c r="A132" s="147">
        <v>41603</v>
      </c>
      <c r="B132" s="155" t="s">
        <v>210</v>
      </c>
      <c r="C132" s="155" t="s">
        <v>211</v>
      </c>
      <c r="D132" s="155" t="s">
        <v>513</v>
      </c>
      <c r="E132" s="155"/>
      <c r="F132" s="170">
        <v>-292</v>
      </c>
      <c r="G132" s="171"/>
      <c r="H132" s="199"/>
    </row>
    <row r="133" spans="1:8" ht="14.5" x14ac:dyDescent="0.35">
      <c r="A133" s="147">
        <v>41604</v>
      </c>
      <c r="B133" s="155" t="s">
        <v>210</v>
      </c>
      <c r="C133" s="155" t="s">
        <v>211</v>
      </c>
      <c r="D133" s="155" t="s">
        <v>513</v>
      </c>
      <c r="E133" s="155"/>
      <c r="F133" s="170">
        <v>-292</v>
      </c>
      <c r="G133" s="171"/>
      <c r="H133" s="199"/>
    </row>
    <row r="134" spans="1:8" ht="14.5" x14ac:dyDescent="0.35">
      <c r="A134" s="147">
        <v>41605</v>
      </c>
      <c r="B134" s="155" t="s">
        <v>210</v>
      </c>
      <c r="C134" s="155" t="s">
        <v>211</v>
      </c>
      <c r="D134" s="155" t="s">
        <v>513</v>
      </c>
      <c r="E134" s="155"/>
      <c r="F134" s="170">
        <v>-292</v>
      </c>
      <c r="G134" s="171"/>
      <c r="H134" s="199"/>
    </row>
    <row r="135" spans="1:8" ht="14.5" x14ac:dyDescent="0.35">
      <c r="A135" s="147">
        <v>41606</v>
      </c>
      <c r="B135" s="155" t="s">
        <v>210</v>
      </c>
      <c r="C135" s="155" t="s">
        <v>211</v>
      </c>
      <c r="D135" s="155" t="s">
        <v>513</v>
      </c>
      <c r="E135" s="155"/>
      <c r="F135" s="170">
        <v>-292</v>
      </c>
      <c r="G135" s="171"/>
      <c r="H135" s="199"/>
    </row>
    <row r="136" spans="1:8" ht="14.5" x14ac:dyDescent="0.35">
      <c r="A136" s="147">
        <v>41607</v>
      </c>
      <c r="B136" s="155" t="s">
        <v>210</v>
      </c>
      <c r="C136" s="155" t="s">
        <v>211</v>
      </c>
      <c r="D136" s="155" t="s">
        <v>513</v>
      </c>
      <c r="E136" s="155"/>
      <c r="F136" s="170">
        <v>-292</v>
      </c>
      <c r="G136" s="171"/>
      <c r="H136" s="199"/>
    </row>
    <row r="137" spans="1:8" ht="14.5" x14ac:dyDescent="0.35">
      <c r="A137" s="147">
        <v>41610</v>
      </c>
      <c r="B137" s="155" t="s">
        <v>210</v>
      </c>
      <c r="C137" s="155" t="s">
        <v>211</v>
      </c>
      <c r="D137" s="155" t="s">
        <v>513</v>
      </c>
      <c r="E137" s="155"/>
      <c r="F137" s="170">
        <v>-294</v>
      </c>
      <c r="G137" s="171"/>
      <c r="H137" s="199"/>
    </row>
    <row r="138" spans="1:8" ht="14.5" x14ac:dyDescent="0.35">
      <c r="A138" s="147">
        <v>41611</v>
      </c>
      <c r="B138" s="155" t="s">
        <v>210</v>
      </c>
      <c r="C138" s="155" t="s">
        <v>211</v>
      </c>
      <c r="D138" s="155" t="s">
        <v>513</v>
      </c>
      <c r="E138" s="155"/>
      <c r="F138" s="170">
        <v>-294</v>
      </c>
      <c r="G138" s="171"/>
      <c r="H138" s="199"/>
    </row>
    <row r="139" spans="1:8" ht="14.5" x14ac:dyDescent="0.35">
      <c r="A139" s="147">
        <v>41612</v>
      </c>
      <c r="B139" s="155" t="s">
        <v>210</v>
      </c>
      <c r="C139" s="155" t="s">
        <v>211</v>
      </c>
      <c r="D139" s="155" t="s">
        <v>513</v>
      </c>
      <c r="E139" s="155"/>
      <c r="F139" s="170">
        <v>-294</v>
      </c>
      <c r="G139" s="171"/>
      <c r="H139" s="199"/>
    </row>
    <row r="140" spans="1:8" ht="14.5" x14ac:dyDescent="0.35">
      <c r="A140" s="147">
        <v>41613</v>
      </c>
      <c r="B140" s="155" t="s">
        <v>210</v>
      </c>
      <c r="C140" s="155" t="s">
        <v>211</v>
      </c>
      <c r="D140" s="155" t="s">
        <v>513</v>
      </c>
      <c r="E140" s="155"/>
      <c r="F140" s="170">
        <v>-294</v>
      </c>
      <c r="G140" s="171"/>
      <c r="H140" s="199"/>
    </row>
    <row r="141" spans="1:8" ht="14.5" x14ac:dyDescent="0.35">
      <c r="A141" s="147">
        <v>41614</v>
      </c>
      <c r="B141" s="155" t="s">
        <v>210</v>
      </c>
      <c r="C141" s="155" t="s">
        <v>211</v>
      </c>
      <c r="D141" s="155" t="s">
        <v>513</v>
      </c>
      <c r="E141" s="155"/>
      <c r="F141" s="170">
        <v>-294</v>
      </c>
      <c r="G141" s="171"/>
      <c r="H141" s="199"/>
    </row>
    <row r="142" spans="1:8" ht="14.5" x14ac:dyDescent="0.35">
      <c r="A142" s="147">
        <v>41617</v>
      </c>
      <c r="B142" s="155" t="s">
        <v>210</v>
      </c>
      <c r="C142" s="155" t="s">
        <v>211</v>
      </c>
      <c r="D142" s="155" t="s">
        <v>513</v>
      </c>
      <c r="E142" s="155"/>
      <c r="F142" s="170">
        <v>-294</v>
      </c>
      <c r="G142" s="171"/>
      <c r="H142" s="199"/>
    </row>
    <row r="143" spans="1:8" ht="14.5" x14ac:dyDescent="0.35">
      <c r="A143" s="147">
        <v>41618</v>
      </c>
      <c r="B143" s="155" t="s">
        <v>210</v>
      </c>
      <c r="C143" s="155" t="s">
        <v>211</v>
      </c>
      <c r="D143" s="155" t="s">
        <v>513</v>
      </c>
      <c r="E143" s="155"/>
      <c r="F143" s="170">
        <v>-294</v>
      </c>
      <c r="G143" s="171"/>
      <c r="H143" s="199"/>
    </row>
    <row r="144" spans="1:8" ht="14.5" x14ac:dyDescent="0.35">
      <c r="A144" s="147">
        <v>41619</v>
      </c>
      <c r="B144" s="155" t="s">
        <v>210</v>
      </c>
      <c r="C144" s="155" t="s">
        <v>211</v>
      </c>
      <c r="D144" s="155" t="s">
        <v>513</v>
      </c>
      <c r="E144" s="155"/>
      <c r="F144" s="170">
        <v>-294</v>
      </c>
      <c r="G144" s="171"/>
      <c r="H144" s="199"/>
    </row>
    <row r="145" spans="1:8" ht="14.5" x14ac:dyDescent="0.35">
      <c r="A145" s="147">
        <v>41620</v>
      </c>
      <c r="B145" s="155" t="s">
        <v>210</v>
      </c>
      <c r="C145" s="155" t="s">
        <v>211</v>
      </c>
      <c r="D145" s="155" t="s">
        <v>513</v>
      </c>
      <c r="E145" s="155"/>
      <c r="F145" s="170">
        <v>-294</v>
      </c>
      <c r="G145" s="171"/>
      <c r="H145" s="199"/>
    </row>
    <row r="146" spans="1:8" ht="14.5" x14ac:dyDescent="0.35">
      <c r="A146" s="147">
        <v>41621</v>
      </c>
      <c r="B146" s="155" t="s">
        <v>210</v>
      </c>
      <c r="C146" s="155" t="s">
        <v>211</v>
      </c>
      <c r="D146" s="155" t="s">
        <v>513</v>
      </c>
      <c r="E146" s="155"/>
      <c r="F146" s="170">
        <v>-294</v>
      </c>
      <c r="G146" s="171"/>
      <c r="H146" s="199"/>
    </row>
    <row r="147" spans="1:8" ht="14.5" x14ac:dyDescent="0.35">
      <c r="A147" s="147">
        <v>41624</v>
      </c>
      <c r="B147" s="155" t="s">
        <v>210</v>
      </c>
      <c r="C147" s="155" t="s">
        <v>211</v>
      </c>
      <c r="D147" s="155" t="s">
        <v>513</v>
      </c>
      <c r="E147" s="155"/>
      <c r="F147" s="170">
        <v>-294</v>
      </c>
      <c r="G147" s="171"/>
      <c r="H147" s="199"/>
    </row>
    <row r="148" spans="1:8" ht="14.5" x14ac:dyDescent="0.35">
      <c r="A148" s="147">
        <v>41625</v>
      </c>
      <c r="B148" s="155" t="s">
        <v>210</v>
      </c>
      <c r="C148" s="155" t="s">
        <v>211</v>
      </c>
      <c r="D148" s="155" t="s">
        <v>513</v>
      </c>
      <c r="E148" s="155"/>
      <c r="F148" s="170">
        <v>-294</v>
      </c>
      <c r="G148" s="171"/>
      <c r="H148" s="199"/>
    </row>
    <row r="149" spans="1:8" ht="14.5" x14ac:dyDescent="0.35">
      <c r="A149" s="147">
        <v>41626</v>
      </c>
      <c r="B149" s="155" t="s">
        <v>210</v>
      </c>
      <c r="C149" s="155" t="s">
        <v>211</v>
      </c>
      <c r="D149" s="155" t="s">
        <v>513</v>
      </c>
      <c r="E149" s="155"/>
      <c r="F149" s="170">
        <v>-294</v>
      </c>
      <c r="G149" s="171"/>
      <c r="H149" s="199"/>
    </row>
    <row r="150" spans="1:8" ht="14.5" x14ac:dyDescent="0.35">
      <c r="A150" s="147">
        <v>41627</v>
      </c>
      <c r="B150" s="155" t="s">
        <v>210</v>
      </c>
      <c r="C150" s="155" t="s">
        <v>211</v>
      </c>
      <c r="D150" s="155" t="s">
        <v>513</v>
      </c>
      <c r="E150" s="155"/>
      <c r="F150" s="170">
        <v>-294</v>
      </c>
      <c r="G150" s="171"/>
      <c r="H150" s="199"/>
    </row>
    <row r="151" spans="1:8" ht="14.5" x14ac:dyDescent="0.35">
      <c r="A151" s="147">
        <v>41628</v>
      </c>
      <c r="B151" s="155" t="s">
        <v>210</v>
      </c>
      <c r="C151" s="155" t="s">
        <v>211</v>
      </c>
      <c r="D151" s="155" t="s">
        <v>513</v>
      </c>
      <c r="E151" s="155"/>
      <c r="F151" s="170">
        <v>-294</v>
      </c>
      <c r="G151" s="171"/>
      <c r="H151" s="199"/>
    </row>
    <row r="152" spans="1:8" ht="14.5" x14ac:dyDescent="0.35">
      <c r="A152" s="147">
        <v>41631</v>
      </c>
      <c r="B152" s="155" t="s">
        <v>210</v>
      </c>
      <c r="C152" s="155" t="s">
        <v>211</v>
      </c>
      <c r="D152" s="155" t="s">
        <v>513</v>
      </c>
      <c r="E152" s="155"/>
      <c r="F152" s="170">
        <v>-445</v>
      </c>
      <c r="G152" s="171"/>
      <c r="H152" s="199"/>
    </row>
    <row r="153" spans="1:8" ht="14.5" x14ac:dyDescent="0.35">
      <c r="A153" s="147">
        <v>41635</v>
      </c>
      <c r="B153" s="155" t="s">
        <v>210</v>
      </c>
      <c r="C153" s="155" t="s">
        <v>211</v>
      </c>
      <c r="D153" s="155" t="s">
        <v>513</v>
      </c>
      <c r="E153" s="155"/>
      <c r="F153" s="170">
        <v>-445</v>
      </c>
      <c r="G153" s="171"/>
      <c r="H153" s="199"/>
    </row>
    <row r="154" spans="1:8" ht="14.5" x14ac:dyDescent="0.35">
      <c r="A154" s="147">
        <v>41638</v>
      </c>
      <c r="B154" s="155" t="s">
        <v>210</v>
      </c>
      <c r="C154" s="155" t="s">
        <v>211</v>
      </c>
      <c r="D154" s="155" t="s">
        <v>513</v>
      </c>
      <c r="E154" s="155"/>
      <c r="F154" s="170">
        <v>-220</v>
      </c>
      <c r="G154" s="171"/>
      <c r="H154" s="199"/>
    </row>
    <row r="155" spans="1:8" ht="14.5" x14ac:dyDescent="0.35">
      <c r="A155" s="147">
        <v>41641</v>
      </c>
      <c r="B155" s="155" t="s">
        <v>210</v>
      </c>
      <c r="C155" s="155" t="s">
        <v>211</v>
      </c>
      <c r="D155" s="155" t="s">
        <v>513</v>
      </c>
      <c r="E155" s="155"/>
      <c r="F155" s="170">
        <v>-220</v>
      </c>
      <c r="G155" s="171"/>
      <c r="H155" s="199"/>
    </row>
    <row r="156" spans="1:8" ht="14.5" x14ac:dyDescent="0.35">
      <c r="A156" s="147">
        <v>41642</v>
      </c>
      <c r="B156" s="155" t="s">
        <v>210</v>
      </c>
      <c r="C156" s="155" t="s">
        <v>211</v>
      </c>
      <c r="D156" s="155" t="s">
        <v>513</v>
      </c>
      <c r="E156" s="155"/>
      <c r="F156" s="170">
        <v>-220</v>
      </c>
      <c r="G156" s="171"/>
      <c r="H156" s="199"/>
    </row>
    <row r="157" spans="1:8" ht="14.5" x14ac:dyDescent="0.35">
      <c r="A157" s="147">
        <v>41645</v>
      </c>
      <c r="B157" s="155" t="s">
        <v>210</v>
      </c>
      <c r="C157" s="155" t="s">
        <v>211</v>
      </c>
      <c r="D157" s="155" t="s">
        <v>513</v>
      </c>
      <c r="E157" s="155"/>
      <c r="F157" s="170">
        <v>-192</v>
      </c>
      <c r="G157" s="171"/>
      <c r="H157" s="199"/>
    </row>
    <row r="158" spans="1:8" ht="14.5" x14ac:dyDescent="0.35">
      <c r="A158" s="147">
        <v>41646</v>
      </c>
      <c r="B158" s="155" t="s">
        <v>210</v>
      </c>
      <c r="C158" s="155" t="s">
        <v>211</v>
      </c>
      <c r="D158" s="155" t="s">
        <v>513</v>
      </c>
      <c r="E158" s="155"/>
      <c r="F158" s="170">
        <v>-192</v>
      </c>
      <c r="G158" s="171"/>
      <c r="H158" s="199"/>
    </row>
    <row r="159" spans="1:8" ht="14.5" x14ac:dyDescent="0.35">
      <c r="A159" s="147">
        <v>41647</v>
      </c>
      <c r="B159" s="155" t="s">
        <v>210</v>
      </c>
      <c r="C159" s="155" t="s">
        <v>211</v>
      </c>
      <c r="D159" s="155" t="s">
        <v>513</v>
      </c>
      <c r="E159" s="155"/>
      <c r="F159" s="170">
        <v>-192</v>
      </c>
      <c r="G159" s="171"/>
      <c r="H159" s="199"/>
    </row>
    <row r="160" spans="1:8" ht="14.5" x14ac:dyDescent="0.35">
      <c r="A160" s="147">
        <v>41648</v>
      </c>
      <c r="B160" s="155" t="s">
        <v>210</v>
      </c>
      <c r="C160" s="155" t="s">
        <v>211</v>
      </c>
      <c r="D160" s="155" t="s">
        <v>513</v>
      </c>
      <c r="E160" s="155"/>
      <c r="F160" s="170">
        <v>-192</v>
      </c>
      <c r="G160" s="171"/>
      <c r="H160" s="199"/>
    </row>
    <row r="161" spans="1:8" ht="14.5" x14ac:dyDescent="0.35">
      <c r="A161" s="147">
        <v>41649</v>
      </c>
      <c r="B161" s="155" t="s">
        <v>210</v>
      </c>
      <c r="C161" s="155" t="s">
        <v>211</v>
      </c>
      <c r="D161" s="155" t="s">
        <v>513</v>
      </c>
      <c r="E161" s="155"/>
      <c r="F161" s="170">
        <v>-192</v>
      </c>
      <c r="G161" s="171"/>
      <c r="H161" s="199"/>
    </row>
    <row r="162" spans="1:8" ht="14.5" x14ac:dyDescent="0.35">
      <c r="A162" s="147">
        <v>41652</v>
      </c>
      <c r="B162" s="155" t="s">
        <v>210</v>
      </c>
      <c r="C162" s="155" t="s">
        <v>211</v>
      </c>
      <c r="D162" s="155" t="s">
        <v>513</v>
      </c>
      <c r="E162" s="155"/>
      <c r="F162" s="170">
        <v>-192</v>
      </c>
      <c r="G162" s="171"/>
      <c r="H162" s="199"/>
    </row>
    <row r="163" spans="1:8" ht="14.5" x14ac:dyDescent="0.35">
      <c r="A163" s="147">
        <v>41653</v>
      </c>
      <c r="B163" s="155" t="s">
        <v>210</v>
      </c>
      <c r="C163" s="155" t="s">
        <v>211</v>
      </c>
      <c r="D163" s="155" t="s">
        <v>513</v>
      </c>
      <c r="E163" s="155"/>
      <c r="F163" s="170">
        <v>-192</v>
      </c>
      <c r="G163" s="171"/>
      <c r="H163" s="199"/>
    </row>
    <row r="164" spans="1:8" ht="14.5" x14ac:dyDescent="0.35">
      <c r="A164" s="147">
        <v>41654</v>
      </c>
      <c r="B164" s="155" t="s">
        <v>210</v>
      </c>
      <c r="C164" s="155" t="s">
        <v>211</v>
      </c>
      <c r="D164" s="155" t="s">
        <v>513</v>
      </c>
      <c r="E164" s="155"/>
      <c r="F164" s="170">
        <v>-192</v>
      </c>
      <c r="G164" s="171"/>
      <c r="H164" s="199"/>
    </row>
    <row r="165" spans="1:8" ht="14.5" x14ac:dyDescent="0.35">
      <c r="A165" s="147">
        <v>41655</v>
      </c>
      <c r="B165" s="155" t="s">
        <v>210</v>
      </c>
      <c r="C165" s="155" t="s">
        <v>211</v>
      </c>
      <c r="D165" s="155" t="s">
        <v>513</v>
      </c>
      <c r="E165" s="155"/>
      <c r="F165" s="170">
        <v>-192</v>
      </c>
      <c r="G165" s="171"/>
      <c r="H165" s="199"/>
    </row>
    <row r="166" spans="1:8" ht="14.5" x14ac:dyDescent="0.35">
      <c r="A166" s="147">
        <v>41656</v>
      </c>
      <c r="B166" s="155" t="s">
        <v>210</v>
      </c>
      <c r="C166" s="155" t="s">
        <v>211</v>
      </c>
      <c r="D166" s="155" t="s">
        <v>513</v>
      </c>
      <c r="E166" s="155"/>
      <c r="F166" s="170">
        <v>-192</v>
      </c>
      <c r="G166" s="171"/>
      <c r="H166" s="199"/>
    </row>
    <row r="167" spans="1:8" ht="14.5" x14ac:dyDescent="0.35">
      <c r="A167" s="147">
        <v>41659</v>
      </c>
      <c r="B167" s="155" t="s">
        <v>210</v>
      </c>
      <c r="C167" s="155" t="s">
        <v>211</v>
      </c>
      <c r="D167" s="155" t="s">
        <v>513</v>
      </c>
      <c r="E167" s="155"/>
      <c r="F167" s="170">
        <v>-194</v>
      </c>
      <c r="G167" s="171"/>
      <c r="H167" s="199"/>
    </row>
    <row r="168" spans="1:8" ht="14.5" x14ac:dyDescent="0.35">
      <c r="A168" s="147">
        <v>41660</v>
      </c>
      <c r="B168" s="155" t="s">
        <v>210</v>
      </c>
      <c r="C168" s="155" t="s">
        <v>211</v>
      </c>
      <c r="D168" s="155" t="s">
        <v>513</v>
      </c>
      <c r="E168" s="155"/>
      <c r="F168" s="170">
        <v>-194</v>
      </c>
      <c r="G168" s="171"/>
      <c r="H168" s="199"/>
    </row>
    <row r="169" spans="1:8" ht="14.5" x14ac:dyDescent="0.35">
      <c r="A169" s="147">
        <v>41661</v>
      </c>
      <c r="B169" s="155" t="s">
        <v>210</v>
      </c>
      <c r="C169" s="155" t="s">
        <v>211</v>
      </c>
      <c r="D169" s="155" t="s">
        <v>513</v>
      </c>
      <c r="E169" s="155"/>
      <c r="F169" s="170">
        <v>-194</v>
      </c>
      <c r="G169" s="171"/>
      <c r="H169" s="199"/>
    </row>
    <row r="170" spans="1:8" ht="14.5" x14ac:dyDescent="0.35">
      <c r="A170" s="147">
        <v>41662</v>
      </c>
      <c r="B170" s="155" t="s">
        <v>210</v>
      </c>
      <c r="C170" s="155" t="s">
        <v>211</v>
      </c>
      <c r="D170" s="155" t="s">
        <v>513</v>
      </c>
      <c r="E170" s="155"/>
      <c r="F170" s="170">
        <v>-194</v>
      </c>
      <c r="G170" s="171"/>
      <c r="H170" s="199"/>
    </row>
    <row r="171" spans="1:8" ht="14.5" x14ac:dyDescent="0.35">
      <c r="A171" s="147">
        <v>41663</v>
      </c>
      <c r="B171" s="155" t="s">
        <v>210</v>
      </c>
      <c r="C171" s="155" t="s">
        <v>211</v>
      </c>
      <c r="D171" s="155" t="s">
        <v>513</v>
      </c>
      <c r="E171" s="155"/>
      <c r="F171" s="170">
        <v>-194</v>
      </c>
      <c r="G171" s="171"/>
      <c r="H171" s="199"/>
    </row>
    <row r="172" spans="1:8" ht="14.5" x14ac:dyDescent="0.35">
      <c r="A172" s="172"/>
      <c r="B172" s="155" t="s">
        <v>220</v>
      </c>
      <c r="C172" s="155" t="s">
        <v>241</v>
      </c>
      <c r="D172" s="155" t="s">
        <v>513</v>
      </c>
      <c r="E172" s="155"/>
      <c r="F172" s="170"/>
      <c r="G172" s="171">
        <v>15819</v>
      </c>
      <c r="H172" s="199"/>
    </row>
    <row r="173" spans="1:8" ht="14.5" x14ac:dyDescent="0.35">
      <c r="A173" s="147">
        <v>41666</v>
      </c>
      <c r="B173" s="155" t="s">
        <v>210</v>
      </c>
      <c r="C173" s="155" t="s">
        <v>211</v>
      </c>
      <c r="D173" s="155" t="s">
        <v>513</v>
      </c>
      <c r="E173" s="155"/>
      <c r="F173" s="170">
        <v>-190</v>
      </c>
      <c r="G173" s="171"/>
      <c r="H173" s="199"/>
    </row>
    <row r="174" spans="1:8" ht="14.5" x14ac:dyDescent="0.35">
      <c r="A174" s="147">
        <v>41667</v>
      </c>
      <c r="B174" s="155" t="s">
        <v>210</v>
      </c>
      <c r="C174" s="155" t="s">
        <v>211</v>
      </c>
      <c r="D174" s="155" t="s">
        <v>513</v>
      </c>
      <c r="E174" s="155"/>
      <c r="F174" s="170">
        <v>-190</v>
      </c>
      <c r="G174" s="171"/>
      <c r="H174" s="199"/>
    </row>
    <row r="175" spans="1:8" ht="14.5" x14ac:dyDescent="0.35">
      <c r="A175" s="147">
        <v>41668</v>
      </c>
      <c r="B175" s="155" t="s">
        <v>210</v>
      </c>
      <c r="C175" s="155" t="s">
        <v>211</v>
      </c>
      <c r="D175" s="155" t="s">
        <v>513</v>
      </c>
      <c r="E175" s="155"/>
      <c r="F175" s="170">
        <v>-190</v>
      </c>
      <c r="G175" s="171"/>
      <c r="H175" s="199"/>
    </row>
    <row r="176" spans="1:8" ht="14.5" x14ac:dyDescent="0.35">
      <c r="A176" s="147">
        <v>41669</v>
      </c>
      <c r="B176" s="155" t="s">
        <v>210</v>
      </c>
      <c r="C176" s="155" t="s">
        <v>211</v>
      </c>
      <c r="D176" s="155" t="s">
        <v>513</v>
      </c>
      <c r="E176" s="155"/>
      <c r="F176" s="170">
        <v>-190</v>
      </c>
      <c r="G176" s="171"/>
      <c r="H176" s="199"/>
    </row>
    <row r="177" spans="1:8" ht="14.5" x14ac:dyDescent="0.35">
      <c r="A177" s="147">
        <v>41670</v>
      </c>
      <c r="B177" s="155" t="s">
        <v>210</v>
      </c>
      <c r="C177" s="155" t="s">
        <v>211</v>
      </c>
      <c r="D177" s="155" t="s">
        <v>513</v>
      </c>
      <c r="E177" s="155"/>
      <c r="F177" s="170">
        <v>-190</v>
      </c>
      <c r="G177" s="171"/>
      <c r="H177" s="199"/>
    </row>
    <row r="178" spans="1:8" ht="14.5" x14ac:dyDescent="0.35">
      <c r="A178" s="147">
        <v>41673</v>
      </c>
      <c r="B178" s="155" t="s">
        <v>210</v>
      </c>
      <c r="C178" s="155" t="s">
        <v>211</v>
      </c>
      <c r="D178" s="155" t="s">
        <v>513</v>
      </c>
      <c r="E178" s="155"/>
      <c r="F178" s="170">
        <v>-586</v>
      </c>
      <c r="G178" s="171"/>
      <c r="H178" s="199"/>
    </row>
    <row r="179" spans="1:8" ht="14.5" x14ac:dyDescent="0.35">
      <c r="A179" s="147">
        <v>41674</v>
      </c>
      <c r="B179" s="155" t="s">
        <v>210</v>
      </c>
      <c r="C179" s="155" t="s">
        <v>211</v>
      </c>
      <c r="D179" s="155" t="s">
        <v>513</v>
      </c>
      <c r="E179" s="155"/>
      <c r="F179" s="170">
        <v>-586</v>
      </c>
      <c r="G179" s="171"/>
      <c r="H179" s="199"/>
    </row>
    <row r="180" spans="1:8" ht="14.5" x14ac:dyDescent="0.35">
      <c r="A180" s="147">
        <v>41675</v>
      </c>
      <c r="B180" s="155" t="s">
        <v>210</v>
      </c>
      <c r="C180" s="155" t="s">
        <v>211</v>
      </c>
      <c r="D180" s="155" t="s">
        <v>513</v>
      </c>
      <c r="E180" s="155"/>
      <c r="F180" s="170">
        <v>-586</v>
      </c>
      <c r="G180" s="171"/>
      <c r="H180" s="199"/>
    </row>
    <row r="181" spans="1:8" ht="14.5" x14ac:dyDescent="0.35">
      <c r="A181" s="147">
        <v>41676</v>
      </c>
      <c r="B181" s="155" t="s">
        <v>210</v>
      </c>
      <c r="C181" s="155" t="s">
        <v>211</v>
      </c>
      <c r="D181" s="155" t="s">
        <v>513</v>
      </c>
      <c r="E181" s="155"/>
      <c r="F181" s="170">
        <v>-586</v>
      </c>
      <c r="G181" s="171"/>
      <c r="H181" s="199"/>
    </row>
    <row r="182" spans="1:8" ht="14.5" x14ac:dyDescent="0.35">
      <c r="A182" s="147">
        <v>41677</v>
      </c>
      <c r="B182" s="155" t="s">
        <v>210</v>
      </c>
      <c r="C182" s="155" t="s">
        <v>211</v>
      </c>
      <c r="D182" s="155" t="s">
        <v>513</v>
      </c>
      <c r="E182" s="155"/>
      <c r="F182" s="170">
        <v>-586</v>
      </c>
      <c r="G182" s="171"/>
      <c r="H182" s="199"/>
    </row>
    <row r="183" spans="1:8" ht="14.5" x14ac:dyDescent="0.35">
      <c r="A183" s="147">
        <v>41680</v>
      </c>
      <c r="B183" s="155" t="s">
        <v>210</v>
      </c>
      <c r="C183" s="155" t="s">
        <v>211</v>
      </c>
      <c r="D183" s="155" t="s">
        <v>513</v>
      </c>
      <c r="E183" s="155"/>
      <c r="F183" s="170">
        <v>-584</v>
      </c>
      <c r="G183" s="171"/>
      <c r="H183" s="199"/>
    </row>
    <row r="184" spans="1:8" ht="14.5" x14ac:dyDescent="0.35">
      <c r="A184" s="147">
        <v>41681</v>
      </c>
      <c r="B184" s="155" t="s">
        <v>210</v>
      </c>
      <c r="C184" s="155" t="s">
        <v>211</v>
      </c>
      <c r="D184" s="155" t="s">
        <v>513</v>
      </c>
      <c r="E184" s="155"/>
      <c r="F184" s="170">
        <v>-584</v>
      </c>
      <c r="G184" s="171"/>
      <c r="H184" s="199"/>
    </row>
    <row r="185" spans="1:8" ht="14.5" x14ac:dyDescent="0.35">
      <c r="A185" s="147">
        <v>41682</v>
      </c>
      <c r="B185" s="155" t="s">
        <v>210</v>
      </c>
      <c r="C185" s="155" t="s">
        <v>211</v>
      </c>
      <c r="D185" s="155" t="s">
        <v>513</v>
      </c>
      <c r="E185" s="155"/>
      <c r="F185" s="170">
        <v>-584</v>
      </c>
      <c r="G185" s="171"/>
      <c r="H185" s="199"/>
    </row>
    <row r="186" spans="1:8" ht="14.5" x14ac:dyDescent="0.35">
      <c r="A186" s="147">
        <v>41683</v>
      </c>
      <c r="B186" s="155" t="s">
        <v>210</v>
      </c>
      <c r="C186" s="155" t="s">
        <v>211</v>
      </c>
      <c r="D186" s="155" t="s">
        <v>513</v>
      </c>
      <c r="E186" s="155"/>
      <c r="F186" s="170">
        <v>-584</v>
      </c>
      <c r="G186" s="171"/>
      <c r="H186" s="199"/>
    </row>
    <row r="187" spans="1:8" ht="14.5" x14ac:dyDescent="0.35">
      <c r="A187" s="147">
        <v>41684</v>
      </c>
      <c r="B187" s="155" t="s">
        <v>210</v>
      </c>
      <c r="C187" s="155" t="s">
        <v>211</v>
      </c>
      <c r="D187" s="155" t="s">
        <v>513</v>
      </c>
      <c r="E187" s="155"/>
      <c r="F187" s="170">
        <v>-584</v>
      </c>
      <c r="G187" s="171"/>
      <c r="H187" s="199"/>
    </row>
    <row r="188" spans="1:8" ht="14.5" x14ac:dyDescent="0.35">
      <c r="A188" s="147">
        <v>41687</v>
      </c>
      <c r="B188" s="155" t="s">
        <v>210</v>
      </c>
      <c r="C188" s="155" t="s">
        <v>211</v>
      </c>
      <c r="D188" s="155" t="s">
        <v>513</v>
      </c>
      <c r="E188" s="155"/>
      <c r="F188" s="170">
        <v>-586</v>
      </c>
      <c r="G188" s="171"/>
      <c r="H188" s="199"/>
    </row>
    <row r="189" spans="1:8" ht="14.5" x14ac:dyDescent="0.35">
      <c r="A189" s="147">
        <v>41688</v>
      </c>
      <c r="B189" s="155" t="s">
        <v>210</v>
      </c>
      <c r="C189" s="155" t="s">
        <v>211</v>
      </c>
      <c r="D189" s="155" t="s">
        <v>513</v>
      </c>
      <c r="E189" s="155"/>
      <c r="F189" s="170">
        <v>-586</v>
      </c>
      <c r="G189" s="171"/>
      <c r="H189" s="199"/>
    </row>
    <row r="190" spans="1:8" ht="14.5" x14ac:dyDescent="0.35">
      <c r="A190" s="147">
        <v>41689</v>
      </c>
      <c r="B190" s="155" t="s">
        <v>210</v>
      </c>
      <c r="C190" s="155" t="s">
        <v>211</v>
      </c>
      <c r="D190" s="155" t="s">
        <v>513</v>
      </c>
      <c r="E190" s="155"/>
      <c r="F190" s="170">
        <v>-586</v>
      </c>
      <c r="G190" s="171"/>
      <c r="H190" s="199"/>
    </row>
    <row r="191" spans="1:8" ht="14.5" x14ac:dyDescent="0.35">
      <c r="A191" s="147">
        <v>41690</v>
      </c>
      <c r="B191" s="155" t="s">
        <v>210</v>
      </c>
      <c r="C191" s="155" t="s">
        <v>211</v>
      </c>
      <c r="D191" s="155" t="s">
        <v>513</v>
      </c>
      <c r="E191" s="155"/>
      <c r="F191" s="170">
        <v>-586</v>
      </c>
      <c r="G191" s="171"/>
      <c r="H191" s="199"/>
    </row>
    <row r="192" spans="1:8" ht="14.5" x14ac:dyDescent="0.35">
      <c r="A192" s="147">
        <v>41691</v>
      </c>
      <c r="B192" s="155" t="s">
        <v>210</v>
      </c>
      <c r="C192" s="155" t="s">
        <v>211</v>
      </c>
      <c r="D192" s="155" t="s">
        <v>513</v>
      </c>
      <c r="E192" s="155"/>
      <c r="F192" s="170">
        <v>-586</v>
      </c>
      <c r="G192" s="171"/>
      <c r="H192" s="199"/>
    </row>
    <row r="193" spans="1:8" ht="14.5" x14ac:dyDescent="0.35">
      <c r="A193" s="147">
        <v>41694</v>
      </c>
      <c r="B193" s="155" t="s">
        <v>210</v>
      </c>
      <c r="C193" s="155" t="s">
        <v>211</v>
      </c>
      <c r="D193" s="155" t="s">
        <v>513</v>
      </c>
      <c r="E193" s="155"/>
      <c r="F193" s="170">
        <v>-584</v>
      </c>
      <c r="G193" s="171"/>
      <c r="H193" s="199"/>
    </row>
    <row r="194" spans="1:8" ht="14.5" x14ac:dyDescent="0.35">
      <c r="A194" s="147">
        <v>41695</v>
      </c>
      <c r="B194" s="155" t="s">
        <v>210</v>
      </c>
      <c r="C194" s="155" t="s">
        <v>211</v>
      </c>
      <c r="D194" s="155" t="s">
        <v>513</v>
      </c>
      <c r="E194" s="155"/>
      <c r="F194" s="170">
        <v>-584</v>
      </c>
      <c r="G194" s="171"/>
      <c r="H194" s="199"/>
    </row>
    <row r="195" spans="1:8" ht="14.5" x14ac:dyDescent="0.35">
      <c r="A195" s="147">
        <v>41696</v>
      </c>
      <c r="B195" s="155" t="s">
        <v>210</v>
      </c>
      <c r="C195" s="155" t="s">
        <v>211</v>
      </c>
      <c r="D195" s="155" t="s">
        <v>513</v>
      </c>
      <c r="E195" s="155"/>
      <c r="F195" s="170">
        <v>-584</v>
      </c>
      <c r="G195" s="171"/>
      <c r="H195" s="199"/>
    </row>
    <row r="196" spans="1:8" ht="14.5" x14ac:dyDescent="0.35">
      <c r="A196" s="147">
        <v>41697</v>
      </c>
      <c r="B196" s="155" t="s">
        <v>210</v>
      </c>
      <c r="C196" s="155" t="s">
        <v>211</v>
      </c>
      <c r="D196" s="155" t="s">
        <v>513</v>
      </c>
      <c r="E196" s="155"/>
      <c r="F196" s="170">
        <v>-584</v>
      </c>
      <c r="G196" s="171"/>
      <c r="H196" s="199"/>
    </row>
    <row r="197" spans="1:8" ht="14.5" x14ac:dyDescent="0.35">
      <c r="A197" s="147">
        <v>41698</v>
      </c>
      <c r="B197" s="155" t="s">
        <v>210</v>
      </c>
      <c r="C197" s="155" t="s">
        <v>211</v>
      </c>
      <c r="D197" s="155" t="s">
        <v>513</v>
      </c>
      <c r="E197" s="155"/>
      <c r="F197" s="170">
        <v>-584</v>
      </c>
      <c r="G197" s="171"/>
      <c r="H197" s="199"/>
    </row>
    <row r="198" spans="1:8" ht="14.5" x14ac:dyDescent="0.35">
      <c r="A198" s="147">
        <v>41701</v>
      </c>
      <c r="B198" s="155" t="s">
        <v>210</v>
      </c>
      <c r="C198" s="155" t="s">
        <v>211</v>
      </c>
      <c r="D198" s="155" t="s">
        <v>513</v>
      </c>
      <c r="E198" s="155"/>
      <c r="F198" s="170">
        <v>-180</v>
      </c>
      <c r="G198" s="171"/>
      <c r="H198" s="199"/>
    </row>
    <row r="199" spans="1:8" ht="14.5" x14ac:dyDescent="0.35">
      <c r="A199" s="147">
        <v>41702</v>
      </c>
      <c r="B199" s="155" t="s">
        <v>210</v>
      </c>
      <c r="C199" s="155" t="s">
        <v>211</v>
      </c>
      <c r="D199" s="155" t="s">
        <v>513</v>
      </c>
      <c r="E199" s="155"/>
      <c r="F199" s="170">
        <v>-180</v>
      </c>
      <c r="G199" s="171"/>
      <c r="H199" s="199"/>
    </row>
    <row r="200" spans="1:8" ht="14.5" x14ac:dyDescent="0.35">
      <c r="A200" s="147">
        <v>41703</v>
      </c>
      <c r="B200" s="155" t="s">
        <v>210</v>
      </c>
      <c r="C200" s="155" t="s">
        <v>211</v>
      </c>
      <c r="D200" s="155" t="s">
        <v>513</v>
      </c>
      <c r="E200" s="155"/>
      <c r="F200" s="170">
        <v>-180</v>
      </c>
      <c r="G200" s="171"/>
      <c r="H200" s="199"/>
    </row>
    <row r="201" spans="1:8" ht="14.5" x14ac:dyDescent="0.35">
      <c r="A201" s="147">
        <v>41704</v>
      </c>
      <c r="B201" s="155" t="s">
        <v>210</v>
      </c>
      <c r="C201" s="155" t="s">
        <v>211</v>
      </c>
      <c r="D201" s="155" t="s">
        <v>513</v>
      </c>
      <c r="E201" s="155"/>
      <c r="F201" s="170">
        <v>-180</v>
      </c>
      <c r="G201" s="171"/>
      <c r="H201" s="199"/>
    </row>
    <row r="202" spans="1:8" ht="14.5" x14ac:dyDescent="0.35">
      <c r="A202" s="147">
        <v>41705</v>
      </c>
      <c r="B202" s="155" t="s">
        <v>210</v>
      </c>
      <c r="C202" s="155" t="s">
        <v>211</v>
      </c>
      <c r="D202" s="155" t="s">
        <v>513</v>
      </c>
      <c r="E202" s="155"/>
      <c r="F202" s="170">
        <v>-180</v>
      </c>
      <c r="G202" s="171"/>
      <c r="H202" s="199"/>
    </row>
    <row r="203" spans="1:8" ht="14.5" x14ac:dyDescent="0.35">
      <c r="A203" s="147">
        <v>41708</v>
      </c>
      <c r="B203" s="155" t="s">
        <v>210</v>
      </c>
      <c r="C203" s="155" t="s">
        <v>211</v>
      </c>
      <c r="D203" s="155" t="s">
        <v>513</v>
      </c>
      <c r="E203" s="155"/>
      <c r="F203" s="170">
        <v>-182</v>
      </c>
      <c r="G203" s="171"/>
      <c r="H203" s="199"/>
    </row>
    <row r="204" spans="1:8" ht="14.5" x14ac:dyDescent="0.35">
      <c r="A204" s="147">
        <v>41709</v>
      </c>
      <c r="B204" s="155" t="s">
        <v>210</v>
      </c>
      <c r="C204" s="155" t="s">
        <v>211</v>
      </c>
      <c r="D204" s="155" t="s">
        <v>513</v>
      </c>
      <c r="E204" s="155"/>
      <c r="F204" s="170">
        <v>-182</v>
      </c>
      <c r="G204" s="171"/>
      <c r="H204" s="199"/>
    </row>
    <row r="205" spans="1:8" ht="14.5" x14ac:dyDescent="0.35">
      <c r="A205" s="147">
        <v>41710</v>
      </c>
      <c r="B205" s="155" t="s">
        <v>210</v>
      </c>
      <c r="C205" s="155" t="s">
        <v>211</v>
      </c>
      <c r="D205" s="155" t="s">
        <v>513</v>
      </c>
      <c r="E205" s="155"/>
      <c r="F205" s="170">
        <v>-182</v>
      </c>
      <c r="G205" s="171"/>
      <c r="H205" s="199"/>
    </row>
    <row r="206" spans="1:8" ht="14.5" x14ac:dyDescent="0.35">
      <c r="A206" s="147">
        <v>41711</v>
      </c>
      <c r="B206" s="155" t="s">
        <v>210</v>
      </c>
      <c r="C206" s="155" t="s">
        <v>211</v>
      </c>
      <c r="D206" s="155" t="s">
        <v>513</v>
      </c>
      <c r="E206" s="155"/>
      <c r="F206" s="170">
        <v>-182</v>
      </c>
      <c r="G206" s="171"/>
      <c r="H206" s="199"/>
    </row>
    <row r="207" spans="1:8" ht="14.5" x14ac:dyDescent="0.35">
      <c r="A207" s="147">
        <v>41712</v>
      </c>
      <c r="B207" s="155" t="s">
        <v>210</v>
      </c>
      <c r="C207" s="155" t="s">
        <v>211</v>
      </c>
      <c r="D207" s="155" t="s">
        <v>513</v>
      </c>
      <c r="E207" s="155"/>
      <c r="F207" s="170">
        <v>-182</v>
      </c>
      <c r="G207" s="171"/>
      <c r="H207" s="199"/>
    </row>
    <row r="208" spans="1:8" ht="14.5" x14ac:dyDescent="0.35">
      <c r="A208" s="147">
        <v>41715</v>
      </c>
      <c r="B208" s="155" t="s">
        <v>210</v>
      </c>
      <c r="C208" s="155" t="s">
        <v>211</v>
      </c>
      <c r="D208" s="155" t="s">
        <v>513</v>
      </c>
      <c r="E208" s="155"/>
      <c r="F208" s="170">
        <v>-172</v>
      </c>
      <c r="G208" s="171"/>
      <c r="H208" s="199"/>
    </row>
    <row r="209" spans="1:8" ht="14.5" x14ac:dyDescent="0.35">
      <c r="A209" s="147">
        <v>41716</v>
      </c>
      <c r="B209" s="155" t="s">
        <v>210</v>
      </c>
      <c r="C209" s="155" t="s">
        <v>211</v>
      </c>
      <c r="D209" s="155" t="s">
        <v>513</v>
      </c>
      <c r="E209" s="155"/>
      <c r="F209" s="170">
        <v>-172</v>
      </c>
      <c r="G209" s="171"/>
      <c r="H209" s="199"/>
    </row>
    <row r="210" spans="1:8" ht="14.5" x14ac:dyDescent="0.35">
      <c r="A210" s="147">
        <v>41717</v>
      </c>
      <c r="B210" s="155" t="s">
        <v>210</v>
      </c>
      <c r="C210" s="155" t="s">
        <v>211</v>
      </c>
      <c r="D210" s="155" t="s">
        <v>513</v>
      </c>
      <c r="E210" s="155"/>
      <c r="F210" s="170">
        <v>-172</v>
      </c>
      <c r="G210" s="171"/>
      <c r="H210" s="199"/>
    </row>
    <row r="211" spans="1:8" ht="14.5" x14ac:dyDescent="0.35">
      <c r="A211" s="147">
        <v>41718</v>
      </c>
      <c r="B211" s="155" t="s">
        <v>210</v>
      </c>
      <c r="C211" s="155" t="s">
        <v>211</v>
      </c>
      <c r="D211" s="155" t="s">
        <v>513</v>
      </c>
      <c r="E211" s="155"/>
      <c r="F211" s="170">
        <v>-172</v>
      </c>
      <c r="G211" s="171"/>
      <c r="H211" s="199"/>
    </row>
    <row r="212" spans="1:8" ht="14.5" x14ac:dyDescent="0.35">
      <c r="A212" s="147">
        <v>41719</v>
      </c>
      <c r="B212" s="155" t="s">
        <v>210</v>
      </c>
      <c r="C212" s="155" t="s">
        <v>211</v>
      </c>
      <c r="D212" s="155" t="s">
        <v>513</v>
      </c>
      <c r="E212" s="155"/>
      <c r="F212" s="170">
        <v>-172</v>
      </c>
      <c r="G212" s="171"/>
      <c r="H212" s="199"/>
    </row>
    <row r="213" spans="1:8" ht="14.5" x14ac:dyDescent="0.35">
      <c r="A213" s="147">
        <v>41722</v>
      </c>
      <c r="B213" s="155" t="s">
        <v>210</v>
      </c>
      <c r="C213" s="155" t="s">
        <v>211</v>
      </c>
      <c r="D213" s="155" t="s">
        <v>513</v>
      </c>
      <c r="E213" s="155"/>
      <c r="F213" s="170">
        <v>-182</v>
      </c>
      <c r="G213" s="171"/>
      <c r="H213" s="199"/>
    </row>
    <row r="214" spans="1:8" ht="14.5" x14ac:dyDescent="0.35">
      <c r="A214" s="147">
        <v>41723</v>
      </c>
      <c r="B214" s="155" t="s">
        <v>210</v>
      </c>
      <c r="C214" s="155" t="s">
        <v>211</v>
      </c>
      <c r="D214" s="155" t="s">
        <v>513</v>
      </c>
      <c r="E214" s="155"/>
      <c r="F214" s="170">
        <v>-182</v>
      </c>
      <c r="G214" s="171"/>
      <c r="H214" s="199"/>
    </row>
    <row r="215" spans="1:8" ht="14.5" x14ac:dyDescent="0.35">
      <c r="A215" s="147">
        <v>41724</v>
      </c>
      <c r="B215" s="155" t="s">
        <v>210</v>
      </c>
      <c r="C215" s="155" t="s">
        <v>211</v>
      </c>
      <c r="D215" s="155" t="s">
        <v>513</v>
      </c>
      <c r="E215" s="155"/>
      <c r="F215" s="170">
        <v>-182</v>
      </c>
      <c r="G215" s="171"/>
      <c r="H215" s="199"/>
    </row>
    <row r="216" spans="1:8" ht="14.5" x14ac:dyDescent="0.35">
      <c r="A216" s="147">
        <v>41725</v>
      </c>
      <c r="B216" s="155" t="s">
        <v>210</v>
      </c>
      <c r="C216" s="155" t="s">
        <v>211</v>
      </c>
      <c r="D216" s="155" t="s">
        <v>513</v>
      </c>
      <c r="E216" s="155"/>
      <c r="F216" s="170">
        <v>-182</v>
      </c>
      <c r="G216" s="171"/>
      <c r="H216" s="199"/>
    </row>
    <row r="217" spans="1:8" ht="14.5" x14ac:dyDescent="0.35">
      <c r="A217" s="147">
        <v>41726</v>
      </c>
      <c r="B217" s="155" t="s">
        <v>210</v>
      </c>
      <c r="C217" s="155" t="s">
        <v>211</v>
      </c>
      <c r="D217" s="155" t="s">
        <v>513</v>
      </c>
      <c r="E217" s="155"/>
      <c r="F217" s="170">
        <v>-182</v>
      </c>
      <c r="G217" s="171"/>
      <c r="H217" s="199"/>
    </row>
    <row r="218" spans="1:8" ht="14.5" x14ac:dyDescent="0.35">
      <c r="A218" s="172"/>
      <c r="B218" s="155" t="s">
        <v>220</v>
      </c>
      <c r="C218" s="155" t="s">
        <v>248</v>
      </c>
      <c r="D218" s="155" t="s">
        <v>513</v>
      </c>
      <c r="E218" s="155"/>
      <c r="F218" s="170"/>
      <c r="G218" s="171">
        <v>6538</v>
      </c>
      <c r="H218" s="199"/>
    </row>
    <row r="219" spans="1:8" ht="14.5" x14ac:dyDescent="0.35">
      <c r="A219" s="147">
        <v>41729</v>
      </c>
      <c r="B219" s="155" t="s">
        <v>210</v>
      </c>
      <c r="C219" s="155" t="s">
        <v>211</v>
      </c>
      <c r="D219" s="155" t="s">
        <v>513</v>
      </c>
      <c r="E219" s="155"/>
      <c r="F219" s="170">
        <v>-198</v>
      </c>
      <c r="G219" s="171"/>
      <c r="H219" s="199"/>
    </row>
    <row r="220" spans="1:8" ht="14.5" x14ac:dyDescent="0.35">
      <c r="A220" s="147">
        <v>41730</v>
      </c>
      <c r="B220" s="155" t="s">
        <v>210</v>
      </c>
      <c r="C220" s="155" t="s">
        <v>211</v>
      </c>
      <c r="D220" s="155" t="s">
        <v>513</v>
      </c>
      <c r="E220" s="155"/>
      <c r="F220" s="170">
        <v>-198</v>
      </c>
      <c r="G220" s="171"/>
      <c r="H220" s="199"/>
    </row>
    <row r="221" spans="1:8" ht="14.5" x14ac:dyDescent="0.35">
      <c r="A221" s="147">
        <v>41731</v>
      </c>
      <c r="B221" s="155" t="s">
        <v>210</v>
      </c>
      <c r="C221" s="155" t="s">
        <v>211</v>
      </c>
      <c r="D221" s="155" t="s">
        <v>513</v>
      </c>
      <c r="E221" s="155"/>
      <c r="F221" s="170">
        <v>-198</v>
      </c>
      <c r="G221" s="171"/>
      <c r="H221" s="199"/>
    </row>
    <row r="222" spans="1:8" ht="14.5" x14ac:dyDescent="0.35">
      <c r="A222" s="147">
        <v>41732</v>
      </c>
      <c r="B222" s="155" t="s">
        <v>210</v>
      </c>
      <c r="C222" s="155" t="s">
        <v>211</v>
      </c>
      <c r="D222" s="155" t="s">
        <v>513</v>
      </c>
      <c r="E222" s="155"/>
      <c r="F222" s="170">
        <v>-198</v>
      </c>
      <c r="G222" s="171"/>
      <c r="H222" s="199"/>
    </row>
    <row r="223" spans="1:8" ht="14.5" x14ac:dyDescent="0.35">
      <c r="A223" s="147">
        <v>41733</v>
      </c>
      <c r="B223" s="155" t="s">
        <v>210</v>
      </c>
      <c r="C223" s="155" t="s">
        <v>211</v>
      </c>
      <c r="D223" s="155" t="s">
        <v>513</v>
      </c>
      <c r="E223" s="155"/>
      <c r="F223" s="170">
        <v>-198</v>
      </c>
      <c r="G223" s="171"/>
      <c r="H223" s="199"/>
    </row>
    <row r="224" spans="1:8" ht="14.5" x14ac:dyDescent="0.35">
      <c r="A224" s="147">
        <v>41736</v>
      </c>
      <c r="B224" s="155" t="s">
        <v>210</v>
      </c>
      <c r="C224" s="155" t="s">
        <v>211</v>
      </c>
      <c r="D224" s="155" t="s">
        <v>513</v>
      </c>
      <c r="E224" s="155"/>
      <c r="F224" s="170">
        <v>-204</v>
      </c>
      <c r="G224" s="171"/>
      <c r="H224" s="199"/>
    </row>
    <row r="225" spans="1:8" ht="14.5" x14ac:dyDescent="0.35">
      <c r="A225" s="147">
        <v>41737</v>
      </c>
      <c r="B225" s="155" t="s">
        <v>210</v>
      </c>
      <c r="C225" s="155" t="s">
        <v>211</v>
      </c>
      <c r="D225" s="155" t="s">
        <v>513</v>
      </c>
      <c r="E225" s="155"/>
      <c r="F225" s="170">
        <v>-204</v>
      </c>
      <c r="G225" s="171"/>
      <c r="H225" s="199"/>
    </row>
    <row r="226" spans="1:8" ht="14.5" x14ac:dyDescent="0.35">
      <c r="A226" s="147">
        <v>41738</v>
      </c>
      <c r="B226" s="155" t="s">
        <v>210</v>
      </c>
      <c r="C226" s="155" t="s">
        <v>211</v>
      </c>
      <c r="D226" s="155" t="s">
        <v>513</v>
      </c>
      <c r="E226" s="155"/>
      <c r="F226" s="170">
        <v>-204</v>
      </c>
      <c r="G226" s="171"/>
      <c r="H226" s="199"/>
    </row>
    <row r="227" spans="1:8" ht="14.5" x14ac:dyDescent="0.35">
      <c r="A227" s="147">
        <v>41739</v>
      </c>
      <c r="B227" s="155" t="s">
        <v>210</v>
      </c>
      <c r="C227" s="155" t="s">
        <v>211</v>
      </c>
      <c r="D227" s="155" t="s">
        <v>513</v>
      </c>
      <c r="E227" s="155"/>
      <c r="F227" s="170">
        <v>-204</v>
      </c>
      <c r="G227" s="171"/>
      <c r="H227" s="199"/>
    </row>
    <row r="228" spans="1:8" ht="14.5" x14ac:dyDescent="0.35">
      <c r="A228" s="147">
        <v>41740</v>
      </c>
      <c r="B228" s="155" t="s">
        <v>210</v>
      </c>
      <c r="C228" s="155" t="s">
        <v>211</v>
      </c>
      <c r="D228" s="155" t="s">
        <v>513</v>
      </c>
      <c r="E228" s="155"/>
      <c r="F228" s="170">
        <v>-204</v>
      </c>
      <c r="G228" s="171"/>
      <c r="H228" s="199"/>
    </row>
    <row r="229" spans="1:8" ht="14.5" x14ac:dyDescent="0.35">
      <c r="A229" s="147">
        <v>41743</v>
      </c>
      <c r="B229" s="155" t="s">
        <v>210</v>
      </c>
      <c r="C229" s="155" t="s">
        <v>211</v>
      </c>
      <c r="D229" s="155" t="s">
        <v>513</v>
      </c>
      <c r="E229" s="155"/>
      <c r="F229" s="170">
        <v>-270</v>
      </c>
      <c r="G229" s="171"/>
      <c r="H229" s="199"/>
    </row>
    <row r="230" spans="1:8" ht="14.5" x14ac:dyDescent="0.35">
      <c r="A230" s="147">
        <v>41744</v>
      </c>
      <c r="B230" s="155" t="s">
        <v>210</v>
      </c>
      <c r="C230" s="155" t="s">
        <v>211</v>
      </c>
      <c r="D230" s="155" t="s">
        <v>513</v>
      </c>
      <c r="E230" s="155"/>
      <c r="F230" s="170">
        <v>-270</v>
      </c>
      <c r="G230" s="171"/>
      <c r="H230" s="199"/>
    </row>
    <row r="231" spans="1:8" ht="14.5" x14ac:dyDescent="0.35">
      <c r="A231" s="147">
        <v>41745</v>
      </c>
      <c r="B231" s="155" t="s">
        <v>210</v>
      </c>
      <c r="C231" s="155" t="s">
        <v>211</v>
      </c>
      <c r="D231" s="155" t="s">
        <v>513</v>
      </c>
      <c r="E231" s="155"/>
      <c r="F231" s="170">
        <v>-270</v>
      </c>
      <c r="G231" s="171"/>
      <c r="H231" s="199"/>
    </row>
    <row r="232" spans="1:8" ht="14.5" x14ac:dyDescent="0.35">
      <c r="A232" s="147">
        <v>41751</v>
      </c>
      <c r="B232" s="155" t="s">
        <v>210</v>
      </c>
      <c r="C232" s="155" t="s">
        <v>211</v>
      </c>
      <c r="D232" s="155" t="s">
        <v>513</v>
      </c>
      <c r="E232" s="155"/>
      <c r="F232" s="170">
        <v>-203</v>
      </c>
      <c r="G232" s="171"/>
      <c r="H232" s="199"/>
    </row>
    <row r="233" spans="1:8" ht="14.5" x14ac:dyDescent="0.35">
      <c r="A233" s="147">
        <v>41752</v>
      </c>
      <c r="B233" s="155" t="s">
        <v>210</v>
      </c>
      <c r="C233" s="155" t="s">
        <v>211</v>
      </c>
      <c r="D233" s="155" t="s">
        <v>513</v>
      </c>
      <c r="E233" s="155"/>
      <c r="F233" s="170">
        <v>-202</v>
      </c>
      <c r="G233" s="171"/>
      <c r="H233" s="199"/>
    </row>
    <row r="234" spans="1:8" ht="14.5" x14ac:dyDescent="0.35">
      <c r="A234" s="147">
        <v>41753</v>
      </c>
      <c r="B234" s="155" t="s">
        <v>210</v>
      </c>
      <c r="C234" s="155" t="s">
        <v>211</v>
      </c>
      <c r="D234" s="155" t="s">
        <v>513</v>
      </c>
      <c r="E234" s="155"/>
      <c r="F234" s="170">
        <v>-203</v>
      </c>
      <c r="G234" s="171"/>
      <c r="H234" s="199"/>
    </row>
    <row r="235" spans="1:8" ht="14.5" x14ac:dyDescent="0.35">
      <c r="A235" s="147">
        <v>41754</v>
      </c>
      <c r="B235" s="155" t="s">
        <v>210</v>
      </c>
      <c r="C235" s="155" t="s">
        <v>211</v>
      </c>
      <c r="D235" s="155" t="s">
        <v>513</v>
      </c>
      <c r="E235" s="155"/>
      <c r="F235" s="170">
        <v>-202</v>
      </c>
      <c r="G235" s="171"/>
      <c r="H235" s="199"/>
    </row>
    <row r="236" spans="1:8" ht="14.5" x14ac:dyDescent="0.35">
      <c r="A236" s="147">
        <v>41757</v>
      </c>
      <c r="B236" s="155" t="s">
        <v>210</v>
      </c>
      <c r="C236" s="155" t="s">
        <v>211</v>
      </c>
      <c r="D236" s="155" t="s">
        <v>513</v>
      </c>
      <c r="E236" s="155"/>
      <c r="F236" s="170">
        <v>-323</v>
      </c>
      <c r="G236" s="171"/>
      <c r="H236" s="199"/>
    </row>
    <row r="237" spans="1:8" ht="14.5" x14ac:dyDescent="0.35">
      <c r="A237" s="147">
        <v>41758</v>
      </c>
      <c r="B237" s="155" t="s">
        <v>210</v>
      </c>
      <c r="C237" s="155" t="s">
        <v>211</v>
      </c>
      <c r="D237" s="155" t="s">
        <v>513</v>
      </c>
      <c r="E237" s="155"/>
      <c r="F237" s="170">
        <v>-322</v>
      </c>
      <c r="G237" s="171"/>
      <c r="H237" s="199"/>
    </row>
    <row r="238" spans="1:8" ht="14.5" x14ac:dyDescent="0.35">
      <c r="A238" s="147">
        <v>41759</v>
      </c>
      <c r="B238" s="155" t="s">
        <v>210</v>
      </c>
      <c r="C238" s="155" t="s">
        <v>211</v>
      </c>
      <c r="D238" s="155" t="s">
        <v>513</v>
      </c>
      <c r="E238" s="155"/>
      <c r="F238" s="170">
        <v>-323</v>
      </c>
      <c r="G238" s="171"/>
      <c r="H238" s="199"/>
    </row>
    <row r="239" spans="1:8" ht="14.5" x14ac:dyDescent="0.35">
      <c r="A239" s="147">
        <v>41761</v>
      </c>
      <c r="B239" s="155" t="s">
        <v>210</v>
      </c>
      <c r="C239" s="155" t="s">
        <v>211</v>
      </c>
      <c r="D239" s="155" t="s">
        <v>513</v>
      </c>
      <c r="E239" s="155"/>
      <c r="F239" s="170">
        <v>-322</v>
      </c>
      <c r="G239" s="171"/>
      <c r="H239" s="199"/>
    </row>
    <row r="240" spans="1:8" ht="14.5" x14ac:dyDescent="0.35">
      <c r="A240" s="147">
        <v>41764</v>
      </c>
      <c r="B240" s="155" t="s">
        <v>210</v>
      </c>
      <c r="C240" s="155" t="s">
        <v>211</v>
      </c>
      <c r="D240" s="155" t="s">
        <v>513</v>
      </c>
      <c r="E240" s="155"/>
      <c r="F240" s="170">
        <v>-94</v>
      </c>
      <c r="G240" s="171"/>
      <c r="H240" s="199"/>
    </row>
    <row r="241" spans="1:8" ht="14.5" x14ac:dyDescent="0.35">
      <c r="A241" s="147">
        <v>41765</v>
      </c>
      <c r="B241" s="155" t="s">
        <v>210</v>
      </c>
      <c r="C241" s="155" t="s">
        <v>211</v>
      </c>
      <c r="D241" s="155" t="s">
        <v>513</v>
      </c>
      <c r="E241" s="155"/>
      <c r="F241" s="170">
        <v>-94</v>
      </c>
      <c r="G241" s="171"/>
      <c r="H241" s="199"/>
    </row>
    <row r="242" spans="1:8" ht="14.5" x14ac:dyDescent="0.35">
      <c r="A242" s="147">
        <v>41766</v>
      </c>
      <c r="B242" s="155" t="s">
        <v>210</v>
      </c>
      <c r="C242" s="155" t="s">
        <v>211</v>
      </c>
      <c r="D242" s="155" t="s">
        <v>513</v>
      </c>
      <c r="E242" s="155"/>
      <c r="F242" s="170">
        <v>-94</v>
      </c>
      <c r="G242" s="171"/>
      <c r="H242" s="199"/>
    </row>
    <row r="243" spans="1:8" ht="14.5" x14ac:dyDescent="0.35">
      <c r="A243" s="147">
        <v>41767</v>
      </c>
      <c r="B243" s="155" t="s">
        <v>210</v>
      </c>
      <c r="C243" s="155" t="s">
        <v>211</v>
      </c>
      <c r="D243" s="155" t="s">
        <v>513</v>
      </c>
      <c r="E243" s="155"/>
      <c r="F243" s="170">
        <v>-94</v>
      </c>
      <c r="G243" s="171"/>
      <c r="H243" s="199"/>
    </row>
    <row r="244" spans="1:8" ht="14.5" x14ac:dyDescent="0.35">
      <c r="A244" s="147">
        <v>41768</v>
      </c>
      <c r="B244" s="155" t="s">
        <v>210</v>
      </c>
      <c r="C244" s="155" t="s">
        <v>211</v>
      </c>
      <c r="D244" s="155" t="s">
        <v>513</v>
      </c>
      <c r="E244" s="155"/>
      <c r="F244" s="170">
        <v>-94</v>
      </c>
      <c r="G244" s="171"/>
      <c r="H244" s="199"/>
    </row>
    <row r="245" spans="1:8" ht="14.5" x14ac:dyDescent="0.35">
      <c r="A245" s="147">
        <v>41771</v>
      </c>
      <c r="B245" s="155" t="s">
        <v>210</v>
      </c>
      <c r="C245" s="155" t="s">
        <v>211</v>
      </c>
      <c r="D245" s="155" t="s">
        <v>513</v>
      </c>
      <c r="E245" s="155"/>
      <c r="F245" s="170">
        <v>-92</v>
      </c>
      <c r="G245" s="171"/>
      <c r="H245" s="199"/>
    </row>
    <row r="246" spans="1:8" ht="14.5" x14ac:dyDescent="0.35">
      <c r="A246" s="147">
        <v>41772</v>
      </c>
      <c r="B246" s="155" t="s">
        <v>210</v>
      </c>
      <c r="C246" s="155" t="s">
        <v>211</v>
      </c>
      <c r="D246" s="155" t="s">
        <v>513</v>
      </c>
      <c r="E246" s="155"/>
      <c r="F246" s="170">
        <v>-92</v>
      </c>
      <c r="G246" s="171"/>
      <c r="H246" s="199"/>
    </row>
    <row r="247" spans="1:8" ht="14.5" x14ac:dyDescent="0.35">
      <c r="A247" s="147">
        <v>41773</v>
      </c>
      <c r="B247" s="155" t="s">
        <v>210</v>
      </c>
      <c r="C247" s="155" t="s">
        <v>211</v>
      </c>
      <c r="D247" s="155" t="s">
        <v>513</v>
      </c>
      <c r="E247" s="155"/>
      <c r="F247" s="170">
        <v>-92</v>
      </c>
      <c r="G247" s="171"/>
      <c r="H247" s="199"/>
    </row>
    <row r="248" spans="1:8" ht="14.5" x14ac:dyDescent="0.35">
      <c r="A248" s="147">
        <v>41774</v>
      </c>
      <c r="B248" s="155" t="s">
        <v>210</v>
      </c>
      <c r="C248" s="155" t="s">
        <v>211</v>
      </c>
      <c r="D248" s="155" t="s">
        <v>513</v>
      </c>
      <c r="E248" s="155"/>
      <c r="F248" s="170">
        <v>-92</v>
      </c>
      <c r="G248" s="171"/>
      <c r="H248" s="199"/>
    </row>
    <row r="249" spans="1:8" ht="14.5" x14ac:dyDescent="0.35">
      <c r="A249" s="147">
        <v>41775</v>
      </c>
      <c r="B249" s="155" t="s">
        <v>210</v>
      </c>
      <c r="C249" s="155" t="s">
        <v>211</v>
      </c>
      <c r="D249" s="155" t="s">
        <v>513</v>
      </c>
      <c r="E249" s="155"/>
      <c r="F249" s="170">
        <v>-92</v>
      </c>
      <c r="G249" s="171"/>
      <c r="H249" s="199"/>
    </row>
    <row r="250" spans="1:8" ht="14.5" x14ac:dyDescent="0.35">
      <c r="A250" s="147">
        <v>41778</v>
      </c>
      <c r="B250" s="155" t="s">
        <v>210</v>
      </c>
      <c r="C250" s="155" t="s">
        <v>211</v>
      </c>
      <c r="D250" s="155" t="s">
        <v>513</v>
      </c>
      <c r="E250" s="155"/>
      <c r="F250" s="170">
        <v>-92</v>
      </c>
      <c r="G250" s="171"/>
      <c r="H250" s="199"/>
    </row>
    <row r="251" spans="1:8" ht="14.5" x14ac:dyDescent="0.35">
      <c r="A251" s="147">
        <v>41779</v>
      </c>
      <c r="B251" s="155" t="s">
        <v>210</v>
      </c>
      <c r="C251" s="155" t="s">
        <v>211</v>
      </c>
      <c r="D251" s="155" t="s">
        <v>513</v>
      </c>
      <c r="E251" s="155"/>
      <c r="F251" s="170">
        <v>-92</v>
      </c>
      <c r="G251" s="171"/>
      <c r="H251" s="199"/>
    </row>
    <row r="252" spans="1:8" ht="14.5" x14ac:dyDescent="0.35">
      <c r="A252" s="147">
        <v>41780</v>
      </c>
      <c r="B252" s="155" t="s">
        <v>210</v>
      </c>
      <c r="C252" s="155" t="s">
        <v>211</v>
      </c>
      <c r="D252" s="155" t="s">
        <v>513</v>
      </c>
      <c r="E252" s="155"/>
      <c r="F252" s="170">
        <v>-92</v>
      </c>
      <c r="G252" s="171"/>
      <c r="H252" s="199"/>
    </row>
    <row r="253" spans="1:8" ht="14.5" x14ac:dyDescent="0.35">
      <c r="A253" s="147">
        <v>41781</v>
      </c>
      <c r="B253" s="155" t="s">
        <v>210</v>
      </c>
      <c r="C253" s="155" t="s">
        <v>211</v>
      </c>
      <c r="D253" s="155" t="s">
        <v>513</v>
      </c>
      <c r="E253" s="155"/>
      <c r="F253" s="170">
        <v>-92</v>
      </c>
      <c r="G253" s="171"/>
      <c r="H253" s="199"/>
    </row>
    <row r="254" spans="1:8" ht="14.5" x14ac:dyDescent="0.35">
      <c r="A254" s="147">
        <v>41782</v>
      </c>
      <c r="B254" s="155" t="s">
        <v>210</v>
      </c>
      <c r="C254" s="155" t="s">
        <v>211</v>
      </c>
      <c r="D254" s="155" t="s">
        <v>513</v>
      </c>
      <c r="E254" s="155"/>
      <c r="F254" s="170">
        <v>-92</v>
      </c>
      <c r="G254" s="171"/>
      <c r="H254" s="199"/>
    </row>
    <row r="255" spans="1:8" ht="14.5" x14ac:dyDescent="0.35">
      <c r="A255" s="147">
        <v>41785</v>
      </c>
      <c r="B255" s="155" t="s">
        <v>210</v>
      </c>
      <c r="C255" s="155" t="s">
        <v>211</v>
      </c>
      <c r="D255" s="155" t="s">
        <v>513</v>
      </c>
      <c r="E255" s="155"/>
      <c r="F255" s="170">
        <v>-115</v>
      </c>
      <c r="G255" s="171"/>
      <c r="H255" s="199"/>
    </row>
    <row r="256" spans="1:8" ht="14.5" x14ac:dyDescent="0.35">
      <c r="A256" s="147">
        <v>41786</v>
      </c>
      <c r="B256" s="155" t="s">
        <v>210</v>
      </c>
      <c r="C256" s="155" t="s">
        <v>211</v>
      </c>
      <c r="D256" s="155" t="s">
        <v>513</v>
      </c>
      <c r="E256" s="155"/>
      <c r="F256" s="170">
        <v>-115</v>
      </c>
      <c r="G256" s="171"/>
      <c r="H256" s="199"/>
    </row>
    <row r="257" spans="1:8" ht="14.5" x14ac:dyDescent="0.35">
      <c r="A257" s="147">
        <v>41787</v>
      </c>
      <c r="B257" s="155" t="s">
        <v>210</v>
      </c>
      <c r="C257" s="155" t="s">
        <v>211</v>
      </c>
      <c r="D257" s="155" t="s">
        <v>513</v>
      </c>
      <c r="E257" s="155"/>
      <c r="F257" s="170">
        <v>-115</v>
      </c>
      <c r="G257" s="171"/>
      <c r="H257" s="199"/>
    </row>
    <row r="258" spans="1:8" ht="14.5" x14ac:dyDescent="0.35">
      <c r="A258" s="156">
        <v>41789</v>
      </c>
      <c r="B258" s="173" t="s">
        <v>210</v>
      </c>
      <c r="C258" s="173" t="s">
        <v>211</v>
      </c>
      <c r="D258" s="173" t="s">
        <v>513</v>
      </c>
      <c r="E258" s="173"/>
      <c r="F258" s="174">
        <v>-115</v>
      </c>
      <c r="G258" s="175"/>
      <c r="H258" s="200"/>
    </row>
  </sheetData>
  <pageMargins left="0.78740157499999996" right="0.78740157499999996" top="0.984251969" bottom="0.984251969" header="0.5" footer="0.5"/>
  <pageSetup paperSize="9" scale="73" fitToHeight="0" orientation="portrait" verticalDpi="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115</vt:i4>
      </vt:variant>
    </vt:vector>
  </HeadingPairs>
  <TitlesOfParts>
    <vt:vector size="144" baseType="lpstr">
      <vt:lpstr>Y084_MatData</vt:lpstr>
      <vt:lpstr>Y084_StockData</vt:lpstr>
      <vt:lpstr>MD04_Data</vt:lpstr>
      <vt:lpstr>Pvt_Req</vt:lpstr>
      <vt:lpstr>Database</vt:lpstr>
      <vt:lpstr>Y115_Data</vt:lpstr>
      <vt:lpstr>Descriptions</vt:lpstr>
      <vt:lpstr>PvtTableDef</vt:lpstr>
      <vt:lpstr>LocalLists</vt:lpstr>
      <vt:lpstr>ReportOptions</vt:lpstr>
      <vt:lpstr>Version</vt:lpstr>
      <vt:lpstr>Usage</vt:lpstr>
      <vt:lpstr>StockOut</vt:lpstr>
      <vt:lpstr>Rapport info</vt:lpstr>
      <vt:lpstr>Chart</vt:lpstr>
      <vt:lpstr>SafetyStock</vt:lpstr>
      <vt:lpstr>Simulation</vt:lpstr>
      <vt:lpstr>LogRanges</vt:lpstr>
      <vt:lpstr>Charts</vt:lpstr>
      <vt:lpstr>Sim_Data</vt:lpstr>
      <vt:lpstr>Log_LLS</vt:lpstr>
      <vt:lpstr>Log_Forecast</vt:lpstr>
      <vt:lpstr>Log_StockIn</vt:lpstr>
      <vt:lpstr>SourceData</vt:lpstr>
      <vt:lpstr>Material Usage Req</vt:lpstr>
      <vt:lpstr>Movement Types</vt:lpstr>
      <vt:lpstr>Stock Details</vt:lpstr>
      <vt:lpstr>Stock Dates</vt:lpstr>
      <vt:lpstr>MD04 Pivot</vt:lpstr>
      <vt:lpstr>ActCov</vt:lpstr>
      <vt:lpstr>SourceData!AvgSafStockCov</vt:lpstr>
      <vt:lpstr>Y084_StockData!ChartRange</vt:lpstr>
      <vt:lpstr>cMonthErr</vt:lpstr>
      <vt:lpstr>Cov_Range</vt:lpstr>
      <vt:lpstr>crAct_SL</vt:lpstr>
      <vt:lpstr>crAct_Stock</vt:lpstr>
      <vt:lpstr>crActStockIn</vt:lpstr>
      <vt:lpstr>crAvgFCStock</vt:lpstr>
      <vt:lpstr>crDays_Oos</vt:lpstr>
      <vt:lpstr>crFcastLoops</vt:lpstr>
      <vt:lpstr>crFcBase</vt:lpstr>
      <vt:lpstr>crFCSafTime</vt:lpstr>
      <vt:lpstr>crFCTotLY</vt:lpstr>
      <vt:lpstr>crFixedLot</vt:lpstr>
      <vt:lpstr>crIn_Stock</vt:lpstr>
      <vt:lpstr>crLead_Time</vt:lpstr>
      <vt:lpstr>crLot_Size</vt:lpstr>
      <vt:lpstr>crRoundingValue</vt:lpstr>
      <vt:lpstr>crSaf_Time</vt:lpstr>
      <vt:lpstr>crSapLS</vt:lpstr>
      <vt:lpstr>crSapLT</vt:lpstr>
      <vt:lpstr>crSapRV</vt:lpstr>
      <vt:lpstr>crSapST</vt:lpstr>
      <vt:lpstr>crStockInFrom</vt:lpstr>
      <vt:lpstr>crStockInTo</vt:lpstr>
      <vt:lpstr>crTeo_Stock</vt:lpstr>
      <vt:lpstr>crTot_Oos_Qty</vt:lpstr>
      <vt:lpstr>crTotalUsage</vt:lpstr>
      <vt:lpstr>crTotalUsageLY</vt:lpstr>
      <vt:lpstr>crTotFC</vt:lpstr>
      <vt:lpstr>Currency</vt:lpstr>
      <vt:lpstr>CustomerHierarchy</vt:lpstr>
      <vt:lpstr>Database</vt:lpstr>
      <vt:lpstr>DataPeriod</vt:lpstr>
      <vt:lpstr>DataRange</vt:lpstr>
      <vt:lpstr>Dates</vt:lpstr>
      <vt:lpstr>Dates1</vt:lpstr>
      <vt:lpstr>FactCal</vt:lpstr>
      <vt:lpstr>FirstSheet</vt:lpstr>
      <vt:lpstr>FirstTable</vt:lpstr>
      <vt:lpstr>Future_Range</vt:lpstr>
      <vt:lpstr>LeadTime</vt:lpstr>
      <vt:lpstr>MaterialName</vt:lpstr>
      <vt:lpstr>MaterialPrice</vt:lpstr>
      <vt:lpstr>MaxCov</vt:lpstr>
      <vt:lpstr>MD04_Data</vt:lpstr>
      <vt:lpstr>MD04_Fields</vt:lpstr>
      <vt:lpstr>MD04_Import</vt:lpstr>
      <vt:lpstr>MinCov</vt:lpstr>
      <vt:lpstr>Database!NewData</vt:lpstr>
      <vt:lpstr>NOAR</vt:lpstr>
      <vt:lpstr>NumbDays</vt:lpstr>
      <vt:lpstr>Database!Oppslag</vt:lpstr>
      <vt:lpstr>Database!PostDate</vt:lpstr>
      <vt:lpstr>Chart!Print_Area</vt:lpstr>
      <vt:lpstr>'MD04 Pivot'!Print_Titles</vt:lpstr>
      <vt:lpstr>'Movement Types'!Print_Titles</vt:lpstr>
      <vt:lpstr>'Stock Dates'!Print_Titles</vt:lpstr>
      <vt:lpstr>'Stock Details'!Print_Titles</vt:lpstr>
      <vt:lpstr>ProductHierarchy</vt:lpstr>
      <vt:lpstr>QuantityUnit</vt:lpstr>
      <vt:lpstr>Chart!Query</vt:lpstr>
      <vt:lpstr>rAllSourceData</vt:lpstr>
      <vt:lpstr>rDataSource</vt:lpstr>
      <vt:lpstr>RecNum</vt:lpstr>
      <vt:lpstr>'Movement Types'!ReportCaption</vt:lpstr>
      <vt:lpstr>'Stock Dates'!ReportCaption</vt:lpstr>
      <vt:lpstr>'Stock Details'!ReportCaption</vt:lpstr>
      <vt:lpstr>ReportCaption</vt:lpstr>
      <vt:lpstr>ReportID</vt:lpstr>
      <vt:lpstr>Req_Range</vt:lpstr>
      <vt:lpstr>Req_Today</vt:lpstr>
      <vt:lpstr>rFcastDevLog</vt:lpstr>
      <vt:lpstr>rFcastSource</vt:lpstr>
      <vt:lpstr>rFCLogAvg</vt:lpstr>
      <vt:lpstr>rFCPlain</vt:lpstr>
      <vt:lpstr>rFCStigningstall</vt:lpstr>
      <vt:lpstr>rFCTrend1</vt:lpstr>
      <vt:lpstr>rForecast</vt:lpstr>
      <vt:lpstr>rForecastManual</vt:lpstr>
      <vt:lpstr>rLeadTimeLog</vt:lpstr>
      <vt:lpstr>rLogValues</vt:lpstr>
      <vt:lpstr>rLotSizeLog</vt:lpstr>
      <vt:lpstr>RngToDay</vt:lpstr>
      <vt:lpstr>rSapMasterData</vt:lpstr>
      <vt:lpstr>rSimLeadTime</vt:lpstr>
      <vt:lpstr>rSimLotSize</vt:lpstr>
      <vt:lpstr>rSimSafStock</vt:lpstr>
      <vt:lpstr>rSimStockIn</vt:lpstr>
      <vt:lpstr>rSourceData</vt:lpstr>
      <vt:lpstr>Chart!rViewRange</vt:lpstr>
      <vt:lpstr>Charts!rViewRange</vt:lpstr>
      <vt:lpstr>SafetyStock!rViewRange</vt:lpstr>
      <vt:lpstr>Simulation!rViewRange</vt:lpstr>
      <vt:lpstr>Saf_Stock</vt:lpstr>
      <vt:lpstr>SafDays_Range</vt:lpstr>
      <vt:lpstr>SafDays1_Range</vt:lpstr>
      <vt:lpstr>SourceData!SafStock</vt:lpstr>
      <vt:lpstr>SafStock_Range</vt:lpstr>
      <vt:lpstr>SalesValue</vt:lpstr>
      <vt:lpstr>SapExlReportName</vt:lpstr>
      <vt:lpstr>SL_Days</vt:lpstr>
      <vt:lpstr>Stock_Range</vt:lpstr>
      <vt:lpstr>StockData</vt:lpstr>
      <vt:lpstr>Database!StockIn</vt:lpstr>
      <vt:lpstr>Time_Used</vt:lpstr>
      <vt:lpstr>TopRange</vt:lpstr>
      <vt:lpstr>TotStock</vt:lpstr>
      <vt:lpstr>SourceData!UnresStock</vt:lpstr>
      <vt:lpstr>Updated</vt:lpstr>
      <vt:lpstr>Used_Range</vt:lpstr>
      <vt:lpstr>X_Range</vt:lpstr>
      <vt:lpstr>X1_Range</vt:lpstr>
      <vt:lpstr>xDatabase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2012-10-26T21:03:07Z</cp:lastPrinted>
  <dcterms:created xsi:type="dcterms:W3CDTF">2012-10-09T11:25:20Z</dcterms:created>
  <dcterms:modified xsi:type="dcterms:W3CDTF">2016-03-11T07:46:13Z</dcterms:modified>
</cp:coreProperties>
</file>