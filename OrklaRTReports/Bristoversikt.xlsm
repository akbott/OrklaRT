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3.5 - Copy\OrklaRTReports\"/>
    </mc:Choice>
  </mc:AlternateContent>
  <workbookProtection workbookAlgorithmName="SHA-512" workbookHashValue="QsTboSL+pA0TJOWR/KRu/jsb3h6jW07YWkjtLV5y2PBpsktPleaJtyUgLYhLXBpyIxdxzD03tcah8ZvWxhDSng==" workbookSaltValue="atrRhDEtpVXbldEzd7VVTQ==" workbookSpinCount="100000" lockStructure="1"/>
  <bookViews>
    <workbookView xWindow="1536" yWindow="3180" windowWidth="17388" windowHeight="7080" tabRatio="934" firstSheet="7" activeTab="7"/>
  </bookViews>
  <sheets>
    <sheet name="Database" sheetId="9" state="hidden" r:id="rId1"/>
    <sheet name="QMLot" sheetId="47" state="hidden" r:id="rId2"/>
    <sheet name="Descriptions" sheetId="8" state="hidden" r:id="rId3"/>
    <sheet name="PvtTableDef" sheetId="33" state="hidden" r:id="rId4"/>
    <sheet name="LocalLists" sheetId="24" state="hidden" r:id="rId5"/>
    <sheet name="ReportOptions" sheetId="10" state="hidden" r:id="rId6"/>
    <sheet name="Version" sheetId="5" state="hidden" r:id="rId7"/>
    <sheet name="Rapport info" sheetId="1" r:id="rId8"/>
    <sheet name="Sikkerhetsdager ved levering" sheetId="42" r:id="rId9"/>
    <sheet name="Lagerdekning dager" sheetId="46" r:id="rId10"/>
    <sheet name="Manglende IO’s" sheetId="43" r:id="rId11"/>
    <sheet name="Detaljer" sheetId="45" r:id="rId12"/>
  </sheets>
  <definedNames>
    <definedName name="Currency">ReportOptions!$B$10</definedName>
    <definedName name="CustomerHierarchy">ReportOptions!$B$7</definedName>
    <definedName name="Datafor">'Lagerdekning dager'!$A$3</definedName>
    <definedName name="FirstSheet">Version!$B$6</definedName>
    <definedName name="FirstTable">Version!$B$7</definedName>
    <definedName name="GreenLimit">'Sikkerhetsdager ved levering'!$H$2</definedName>
    <definedName name="MaterialPrice">ReportOptions!$B$5</definedName>
    <definedName name="_xlnm.Print_Titles" localSheetId="11">Detaljer!$14:$15</definedName>
    <definedName name="_xlnm.Print_Titles" localSheetId="9">'Lagerdekning dager'!$15:$16</definedName>
    <definedName name="_xlnm.Print_Titles" localSheetId="10">'Manglende IO’s'!$12:$13</definedName>
    <definedName name="_xlnm.Print_Titles" localSheetId="8">'Sikkerhetsdager ved levering'!$15:$16</definedName>
    <definedName name="ProductHierarchy">ReportOptions!$B$6</definedName>
    <definedName name="QuantityUnit">ReportOptions!$B$9</definedName>
    <definedName name="RecNum">'Rapport info'!$K$10</definedName>
    <definedName name="ReportCaption">Version!$B$8</definedName>
    <definedName name="ReportCaption1">Version!$B$9</definedName>
    <definedName name="ReportID">Version!$B$4</definedName>
    <definedName name="ReportType">"Special"</definedName>
    <definedName name="SapExlReportName">Version!$B$5</definedName>
    <definedName name="ShowMD04Data">ReportOptions!$B$8</definedName>
    <definedName name="Time_Used">'Rapport info'!$K$12</definedName>
    <definedName name="Updated">'Rapport info'!$K$11</definedName>
  </definedNames>
  <calcPr calcId="171027"/>
  <pivotCaches>
    <pivotCache cacheId="47" r:id="rId13"/>
  </pivotCaches>
</workbook>
</file>

<file path=xl/calcChain.xml><?xml version="1.0" encoding="utf-8"?>
<calcChain xmlns="http://schemas.openxmlformats.org/spreadsheetml/2006/main">
  <c r="AL2" i="9" l="1"/>
  <c r="AL4" i="9"/>
  <c r="AL5" i="9"/>
  <c r="AL7" i="9"/>
  <c r="AL8" i="9"/>
  <c r="AL9" i="9"/>
  <c r="AL11" i="9"/>
  <c r="AL12" i="9"/>
  <c r="AL13" i="9"/>
  <c r="AL14" i="9"/>
  <c r="AL16" i="9"/>
  <c r="AF3" i="9"/>
  <c r="AF4" i="9"/>
  <c r="AF5" i="9"/>
  <c r="AF6" i="9"/>
  <c r="AF7" i="9"/>
  <c r="AF8" i="9"/>
  <c r="AF9" i="9"/>
  <c r="AF10" i="9"/>
  <c r="AF11" i="9"/>
  <c r="AF12" i="9"/>
  <c r="AF13" i="9"/>
  <c r="AF14" i="9"/>
  <c r="AF15" i="9"/>
  <c r="AF16" i="9"/>
  <c r="AE2" i="9"/>
  <c r="AE3" i="9"/>
  <c r="AE4" i="9"/>
  <c r="AE5" i="9"/>
  <c r="AE6" i="9"/>
  <c r="AE7" i="9"/>
  <c r="AE8" i="9"/>
  <c r="AE9" i="9"/>
  <c r="AE10" i="9"/>
  <c r="AE11" i="9"/>
  <c r="AE12" i="9"/>
  <c r="AE13" i="9"/>
  <c r="AE14" i="9"/>
  <c r="AE15" i="9"/>
  <c r="AE16" i="9"/>
  <c r="AI2" i="9" l="1"/>
  <c r="A2" i="43" l="1"/>
  <c r="A3" i="46"/>
  <c r="AD2" i="9" l="1"/>
  <c r="AK2" i="9"/>
  <c r="AK3" i="9"/>
  <c r="AK4" i="9"/>
  <c r="AK5" i="9"/>
  <c r="AK6" i="9"/>
  <c r="AK7" i="9"/>
  <c r="AK8" i="9"/>
  <c r="AK9" i="9"/>
  <c r="AK10" i="9"/>
  <c r="AK11" i="9"/>
  <c r="AK12" i="9"/>
  <c r="AK13" i="9"/>
  <c r="AK14" i="9"/>
  <c r="AK15" i="9"/>
  <c r="AK16" i="9"/>
  <c r="Y12" i="9" l="1"/>
  <c r="AB12" i="9" s="1"/>
  <c r="Y13" i="9"/>
  <c r="AA13" i="9" s="1"/>
  <c r="Y14" i="9"/>
  <c r="AA14" i="9" s="1"/>
  <c r="Y15" i="9"/>
  <c r="AH15" i="9" s="1"/>
  <c r="Y16" i="9"/>
  <c r="Z12" i="9"/>
  <c r="Z13" i="9"/>
  <c r="Z14" i="9"/>
  <c r="Z15" i="9"/>
  <c r="Z16" i="9"/>
  <c r="AA12" i="9"/>
  <c r="AA16" i="9"/>
  <c r="AB16" i="9"/>
  <c r="AG12" i="9"/>
  <c r="AG13" i="9"/>
  <c r="AG14" i="9"/>
  <c r="AG15" i="9"/>
  <c r="AG16" i="9"/>
  <c r="AH13" i="9"/>
  <c r="AH14" i="9"/>
  <c r="AH16" i="9"/>
  <c r="AJ12" i="9"/>
  <c r="AJ16" i="9"/>
  <c r="AJ13" i="9"/>
  <c r="AJ14" i="9"/>
  <c r="AJ15" i="9"/>
  <c r="AC15" i="9" s="1"/>
  <c r="AM12" i="9"/>
  <c r="AM13" i="9"/>
  <c r="AB13" i="9" l="1"/>
  <c r="AH12" i="9"/>
  <c r="AC16" i="9"/>
  <c r="AM16" i="9"/>
  <c r="AB15" i="9"/>
  <c r="AB14" i="9"/>
  <c r="AA15" i="9"/>
  <c r="AM14" i="9"/>
  <c r="Z2" i="9" l="1"/>
  <c r="Z3" i="9"/>
  <c r="Z4" i="9"/>
  <c r="Z5" i="9"/>
  <c r="Z6" i="9"/>
  <c r="Z7" i="9"/>
  <c r="Z8" i="9"/>
  <c r="Z9" i="9"/>
  <c r="Z10" i="9"/>
  <c r="Z11" i="9"/>
  <c r="AG2" i="9" l="1"/>
  <c r="AG3" i="9"/>
  <c r="AG4" i="9"/>
  <c r="AG5" i="9"/>
  <c r="AG6" i="9"/>
  <c r="AG7" i="9"/>
  <c r="AG8" i="9"/>
  <c r="AG9" i="9"/>
  <c r="AG10" i="9"/>
  <c r="AG11" i="9"/>
  <c r="AM4" i="9" l="1"/>
  <c r="AM5" i="9"/>
  <c r="AM7" i="9"/>
  <c r="AM8" i="9"/>
  <c r="AM9" i="9"/>
  <c r="AM11" i="9"/>
  <c r="AJ2" i="9"/>
  <c r="AF2" i="9" s="1"/>
  <c r="AJ3" i="9"/>
  <c r="AC3" i="9" s="1"/>
  <c r="AJ4" i="9"/>
  <c r="AJ5" i="9"/>
  <c r="AJ6" i="9"/>
  <c r="AC6" i="9" s="1"/>
  <c r="AJ7" i="9"/>
  <c r="AJ8" i="9"/>
  <c r="AJ9" i="9"/>
  <c r="AJ10" i="9"/>
  <c r="AC10" i="9" s="1"/>
  <c r="AJ11" i="9"/>
  <c r="AC2" i="9" l="1"/>
  <c r="AL3" i="9" s="1"/>
  <c r="AC4" i="9"/>
  <c r="AC5" i="9" s="1"/>
  <c r="AL6" i="9" s="1"/>
  <c r="AC11" i="9"/>
  <c r="AC12" i="9" s="1"/>
  <c r="AC13" i="9" s="1"/>
  <c r="AC14" i="9" s="1"/>
  <c r="AL15" i="9" s="1"/>
  <c r="AM15" i="9" s="1"/>
  <c r="AC7" i="9"/>
  <c r="AC8" i="9" s="1"/>
  <c r="AC9" i="9" s="1"/>
  <c r="AL10" i="9" s="1"/>
  <c r="AI3" i="9"/>
  <c r="AI4" i="9" s="1"/>
  <c r="AI5" i="9" s="1"/>
  <c r="AI6" i="9" s="1"/>
  <c r="AI7" i="9" s="1"/>
  <c r="AI8" i="9" s="1"/>
  <c r="AI9" i="9" s="1"/>
  <c r="AI10" i="9" s="1"/>
  <c r="AI11" i="9" s="1"/>
  <c r="AI12" i="9" s="1"/>
  <c r="AI13" i="9" s="1"/>
  <c r="AI14" i="9" s="1"/>
  <c r="AI15" i="9" s="1"/>
  <c r="AI16" i="9" s="1"/>
  <c r="Y2" i="9"/>
  <c r="Y3" i="9"/>
  <c r="Y4" i="9"/>
  <c r="Y5" i="9"/>
  <c r="Y6" i="9"/>
  <c r="Y7" i="9"/>
  <c r="Y8" i="9"/>
  <c r="Y9" i="9"/>
  <c r="Y10" i="9"/>
  <c r="Y11" i="9"/>
  <c r="AM6" i="9" l="1"/>
  <c r="AM3" i="9"/>
  <c r="AH6" i="9"/>
  <c r="AA6" i="9"/>
  <c r="AH2" i="9"/>
  <c r="AA2" i="9"/>
  <c r="AH9" i="9"/>
  <c r="AA9" i="9"/>
  <c r="AH5" i="9"/>
  <c r="AA5" i="9"/>
  <c r="AH8" i="9"/>
  <c r="AA8" i="9"/>
  <c r="AH4" i="9"/>
  <c r="AA4" i="9"/>
  <c r="AH11" i="9"/>
  <c r="AA11" i="9"/>
  <c r="AH7" i="9"/>
  <c r="AA7" i="9"/>
  <c r="AH3" i="9"/>
  <c r="AA3" i="9"/>
  <c r="AH10" i="9"/>
  <c r="AA10" i="9"/>
  <c r="AB9" i="9"/>
  <c r="AB5" i="9"/>
  <c r="AB8" i="9"/>
  <c r="AB4" i="9"/>
  <c r="AB11" i="9"/>
  <c r="AB7" i="9"/>
  <c r="AB3" i="9"/>
  <c r="AB10" i="9"/>
  <c r="AB6" i="9"/>
  <c r="AB2" i="9"/>
  <c r="AM10" i="9" l="1"/>
  <c r="A2" i="46" l="1"/>
  <c r="A2" i="45" l="1"/>
  <c r="A2" i="42"/>
  <c r="J8" i="10" l="1"/>
  <c r="J7" i="10"/>
  <c r="J6" i="10"/>
  <c r="J5" i="10"/>
  <c r="C6" i="10"/>
  <c r="C5" i="10"/>
  <c r="C8" i="10"/>
  <c r="C9" i="10"/>
  <c r="C7" i="10" l="1"/>
  <c r="C10" i="10" l="1"/>
  <c r="AM2" i="9" l="1"/>
  <c r="AD12" i="9"/>
  <c r="AD6" i="9"/>
  <c r="AD14" i="9"/>
  <c r="AD4" i="9"/>
  <c r="AD3" i="9"/>
  <c r="AD15" i="9"/>
  <c r="AD9" i="9"/>
  <c r="AD8" i="9"/>
  <c r="AD7" i="9"/>
  <c r="AD13" i="9"/>
  <c r="AD10" i="9"/>
  <c r="AD5" i="9"/>
  <c r="AD11" i="9"/>
  <c r="AD16" i="9"/>
</calcChain>
</file>

<file path=xl/connections.xml><?xml version="1.0" encoding="utf-8"?>
<connections xmlns="http://schemas.openxmlformats.org/spreadsheetml/2006/main">
  <connection id="1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<sst xmlns="http://schemas.openxmlformats.org/spreadsheetml/2006/main" count="545" uniqueCount="246">
  <si>
    <t>Material Name</t>
  </si>
  <si>
    <t>ReportName</t>
  </si>
  <si>
    <t>ReportID</t>
  </si>
  <si>
    <t>Material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</si>
  <si>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</si>
  <si>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</si>
  <si>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</si>
  <si>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</si>
  <si>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</si>
  <si>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</si>
  <si>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</si>
  <si>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</si>
  <si>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</si>
  <si>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</si>
  <si>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</si>
  <si>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</si>
  <si>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</si>
  <si>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</si>
  <si>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</si>
  <si>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Profit Center</t>
  </si>
  <si>
    <t>FieldName</t>
  </si>
  <si>
    <t>QuantityUnit</t>
  </si>
  <si>
    <t>CustomerHierarchy</t>
  </si>
  <si>
    <t>ProductHierarchy</t>
  </si>
  <si>
    <t>MaterialPrice</t>
  </si>
  <si>
    <t>NOA108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</si>
  <si>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</si>
  <si>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</si>
  <si>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</si>
  <si>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</si>
  <si>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</si>
  <si>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</si>
  <si>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</si>
  <si>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</si>
  <si>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</si>
  <si>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</si>
  <si>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</si>
  <si>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</si>
  <si>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</si>
  <si>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</si>
  <si>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</si>
  <si>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</si>
  <si>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</si>
  <si>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</si>
  <si>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</si>
  <si>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</si>
  <si>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</si>
  <si>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</si>
  <si>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</si>
  <si>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</si>
  <si>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</si>
  <si>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</si>
  <si>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</si>
  <si>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</si>
  <si>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</si>
  <si>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</si>
  <si>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</si>
  <si>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</si>
  <si>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</si>
  <si>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</si>
  <si>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</si>
  <si>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</si>
  <si>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</si>
  <si>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</si>
  <si>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</si>
  <si>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</si>
  <si>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</si>
  <si>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</si>
  <si>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</si>
  <si>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</si>
  <si>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</si>
  <si>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</si>
  <si>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</si>
  <si>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</si>
  <si>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</si>
  <si>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</si>
  <si>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</si>
  <si>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</si>
  <si>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</si>
  <si>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</si>
  <si>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</si>
  <si>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</si>
  <si>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</si>
  <si>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</si>
  <si>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</si>
  <si>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</si>
  <si>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</si>
  <si>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</si>
  <si>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</si>
  <si>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</si>
  <si>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</si>
  <si>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</si>
  <si>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</si>
  <si>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</si>
  <si>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</si>
  <si>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</si>
  <si>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Default</t>
  </si>
  <si>
    <t>PLNGSEGMT</t>
  </si>
  <si>
    <t>MRP_ELEMENT_IND</t>
  </si>
  <si>
    <t>AVAIL_DATE</t>
  </si>
  <si>
    <t>PLD_IND_REQS</t>
  </si>
  <si>
    <t>REQMTS</t>
  </si>
  <si>
    <t>RECEIPTS</t>
  </si>
  <si>
    <t>AVAIL_QTY</t>
  </si>
  <si>
    <t>ACTL_COVERAGE</t>
  </si>
  <si>
    <t>Log_Date</t>
  </si>
  <si>
    <t>Sys01</t>
  </si>
  <si>
    <t>Week</t>
  </si>
  <si>
    <t>Month</t>
  </si>
  <si>
    <t>TargetDate</t>
  </si>
  <si>
    <t>LastDate</t>
  </si>
  <si>
    <t>ZeroTest</t>
  </si>
  <si>
    <t>Help</t>
  </si>
  <si>
    <t>FutureUsage</t>
  </si>
  <si>
    <t>Rolling_Req</t>
  </si>
  <si>
    <t>Period</t>
  </si>
  <si>
    <t>Requirm</t>
  </si>
  <si>
    <t>Order</t>
  </si>
  <si>
    <t>MRP_Type</t>
  </si>
  <si>
    <t>System field - not to be displayed</t>
  </si>
  <si>
    <t>Availability date for receipts (after control time)</t>
  </si>
  <si>
    <t>Planned independed requirements (sales forecast)</t>
  </si>
  <si>
    <t>Requirements</t>
  </si>
  <si>
    <t>Total receipts</t>
  </si>
  <si>
    <t>Available stock</t>
  </si>
  <si>
    <t>Calculated coverage of actual available stock</t>
  </si>
  <si>
    <t>Material number</t>
  </si>
  <si>
    <t>MRP Element</t>
  </si>
  <si>
    <t>Alert</t>
  </si>
  <si>
    <t>Tag for showing receipt alerts</t>
  </si>
  <si>
    <t>Tag to differensiate between current period and the past</t>
  </si>
  <si>
    <t>Coverage</t>
  </si>
  <si>
    <t>Calculated coverage at stock delivery date (after control time)</t>
  </si>
  <si>
    <t>PO_#</t>
  </si>
  <si>
    <t>Purchase Order counter</t>
  </si>
  <si>
    <t>Material number and name</t>
  </si>
  <si>
    <t>PurchOrder</t>
  </si>
  <si>
    <t>Tag to identify goods receipts</t>
  </si>
  <si>
    <t>Missing POs</t>
  </si>
  <si>
    <t>Test to identify materials with no receipts in the period</t>
  </si>
  <si>
    <t>QM_Lot</t>
  </si>
  <si>
    <t>Total quantity in quality inspection - may be several POs - and avaiability date is not known</t>
  </si>
  <si>
    <t>Year and month of the availability date</t>
  </si>
  <si>
    <t>Year and week of the availability date</t>
  </si>
  <si>
    <t>Calculated rolling usage (requirements) for selected number of days</t>
  </si>
  <si>
    <t>Either Stock or Req/Rec (requirements and/or receipts)</t>
  </si>
  <si>
    <t>Total requirements</t>
  </si>
  <si>
    <t>Avg_Coverage</t>
  </si>
  <si>
    <t>Calculated average coverage weighted for all materials</t>
  </si>
  <si>
    <t>Actual stock the last day before new receipt - shown as Yes or No. Use this field to evaluate planned safety stock coverage.</t>
  </si>
  <si>
    <t>(All)</t>
  </si>
  <si>
    <t>Grand Total</t>
  </si>
  <si>
    <t>Pivottabell1</t>
  </si>
  <si>
    <t>ReportCaption1</t>
  </si>
  <si>
    <t>Språk</t>
  </si>
  <si>
    <t>Varegruppe</t>
  </si>
  <si>
    <t>Materialtype</t>
  </si>
  <si>
    <t>Fabrikk</t>
  </si>
  <si>
    <t>Innkjøpsgruppe</t>
  </si>
  <si>
    <t>Materialplanlegger</t>
  </si>
  <si>
    <t>Enhet</t>
  </si>
  <si>
    <t>Valuta</t>
  </si>
  <si>
    <t>Materialtypekode</t>
  </si>
  <si>
    <t>Språkkode</t>
  </si>
  <si>
    <t>Fabrikkode</t>
  </si>
  <si>
    <t>Ind. MRP-elem.</t>
  </si>
  <si>
    <t>planleggingssegment</t>
  </si>
  <si>
    <t>Rapporten Inneholder</t>
  </si>
  <si>
    <t>- Beregn gjennomsnittlig dekning for alle materialer.</t>
  </si>
  <si>
    <t>- Presentere lagernivåer, krav og lagerdekning i grafer.</t>
  </si>
  <si>
    <t>- Les alle fabrikkmateriale MD04 data.</t>
  </si>
  <si>
    <t xml:space="preserve">    Trykk F10 for å lansere valgskjermen</t>
  </si>
  <si>
    <t>Rapporter Statistikker</t>
  </si>
  <si>
    <t>Uke</t>
  </si>
  <si>
    <t>Behov</t>
  </si>
  <si>
    <t>Lagerdekning</t>
  </si>
  <si>
    <t>kva.mottatt</t>
  </si>
  <si>
    <t>Planl.behov</t>
  </si>
  <si>
    <t>Material Navn</t>
  </si>
  <si>
    <t>Hjelp</t>
  </si>
  <si>
    <t>Periode</t>
  </si>
  <si>
    <t>Ordre</t>
  </si>
  <si>
    <t xml:space="preserve">Behov </t>
  </si>
  <si>
    <t>TILGJ_DATO</t>
  </si>
  <si>
    <t>ShowMD04Data</t>
  </si>
  <si>
    <t xml:space="preserve">Tilgj.dato </t>
  </si>
  <si>
    <t>Tilgj.dato</t>
  </si>
  <si>
    <t>Materialer med QM Lots er merket grønt.</t>
  </si>
  <si>
    <t>ABC</t>
  </si>
  <si>
    <t>Maned</t>
  </si>
  <si>
    <t>Dekning</t>
  </si>
  <si>
    <t>I kval.konto.</t>
  </si>
  <si>
    <t>Tilgj.Kvantum</t>
  </si>
  <si>
    <t>POSTEI-LINJENE</t>
  </si>
  <si>
    <t>Ferdigvare, Stab. Pricat</t>
  </si>
  <si>
    <t>Råbekken</t>
  </si>
  <si>
    <t>Eksport samlasting</t>
  </si>
  <si>
    <t>Jarl Leander</t>
  </si>
  <si>
    <t>Ikke tilordnet</t>
  </si>
  <si>
    <t>Stykk</t>
  </si>
  <si>
    <t>ZFER</t>
  </si>
  <si>
    <t>FR00</t>
  </si>
  <si>
    <t xml:space="preserve">Dekning </t>
  </si>
  <si>
    <t xml:space="preserve">PO </t>
  </si>
  <si>
    <t xml:space="preserve">Planl.behov </t>
  </si>
  <si>
    <t xml:space="preserve">kva.mottatt </t>
  </si>
  <si>
    <t xml:space="preserve">Tilgj.Kvantum </t>
  </si>
  <si>
    <t xml:space="preserve">Lagerdekning </t>
  </si>
  <si>
    <t xml:space="preserve">QM_Lot </t>
  </si>
  <si>
    <t>Beh/Inn</t>
  </si>
  <si>
    <t>Material Besk.</t>
  </si>
  <si>
    <t>Test_QM</t>
  </si>
  <si>
    <t>Norsk</t>
  </si>
  <si>
    <t>Stabb Leverpostei 60x100g</t>
  </si>
  <si>
    <t>03.06.2015</t>
  </si>
  <si>
    <t>1022</t>
  </si>
  <si>
    <t>04.06.2015</t>
  </si>
  <si>
    <t>05.06.2015</t>
  </si>
  <si>
    <t>08.06.2015</t>
  </si>
  <si>
    <t>09.06.2015</t>
  </si>
  <si>
    <t>10.06.2015</t>
  </si>
  <si>
    <t>11.06.2015</t>
  </si>
  <si>
    <t>12.06.2015</t>
  </si>
  <si>
    <t>15.06.2015</t>
  </si>
  <si>
    <t>16.06.2015</t>
  </si>
  <si>
    <t>17.06.2015</t>
  </si>
  <si>
    <t>18.06.2015</t>
  </si>
  <si>
    <t>19.06.2015</t>
  </si>
  <si>
    <t>22.06.2015</t>
  </si>
  <si>
    <t>23.06.2015</t>
  </si>
  <si>
    <t>1022  Stabb Leverpostei 60x100g</t>
  </si>
  <si>
    <t>WB</t>
  </si>
  <si>
    <t>Behold</t>
  </si>
  <si>
    <t>OK</t>
  </si>
  <si>
    <t>Sum of I kval.konto.</t>
  </si>
  <si>
    <t>Total</t>
  </si>
  <si>
    <t>Bruke denne oversikten til lete etter mangler innkjøpsordrer.</t>
  </si>
  <si>
    <t>OBS! QM_Lot er kun merket - men tilgjengelig dato er ukjent!</t>
  </si>
  <si>
    <t>Bristoversikt</t>
  </si>
  <si>
    <t>Gjennomsnitt av dekning</t>
  </si>
  <si>
    <t>Manglende POs</t>
  </si>
  <si>
    <t>Begrense for grønt lys:</t>
  </si>
  <si>
    <t>arbeidsdager</t>
  </si>
  <si>
    <t>Alerts</t>
  </si>
  <si>
    <t>Sikkerhetsdager ved levering</t>
  </si>
  <si>
    <t>Mat.status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</si>
</sst>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_ ;[Red]\-0\ "/>
    <numFmt numFmtId="166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6"/>
      <name val="Arial"/>
      <family val="2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ABABAB"/>
      </top>
      <bottom/>
      <diagonal/>
    </border>
    <border>
      <left style="thin">
        <color rgb="FFABABAB"/>
      </left>
      <right style="thin">
        <color indexed="8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/>
      <right style="thin">
        <color rgb="FFABABAB"/>
      </right>
      <top/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7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</cellStyleXfs>
  <cellXfs count="102">
    <xf numFmtId="0" fontId="0" fillId="0" borderId="0" xfId="0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2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0" fontId="1" fillId="0" borderId="0" xfId="0" applyFont="1" applyFill="1"/>
    <xf numFmtId="0" fontId="1" fillId="3" borderId="0" xfId="0" applyFont="1" applyFill="1"/>
    <xf numFmtId="0" fontId="1" fillId="0" borderId="1" xfId="0" applyFont="1" applyBorder="1"/>
    <xf numFmtId="0" fontId="1" fillId="0" borderId="1" xfId="0" applyFont="1" applyBorder="1" applyAlignment="1"/>
    <xf numFmtId="0" fontId="1" fillId="0" borderId="1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0" fontId="0" fillId="2" borderId="0" xfId="0" applyFill="1" applyAlignment="1">
      <alignment horizontal="left"/>
    </xf>
    <xf numFmtId="0" fontId="9" fillId="0" borderId="0" xfId="0" applyFont="1" applyFill="1"/>
    <xf numFmtId="0" fontId="4" fillId="0" borderId="0" xfId="0" applyFont="1" applyFill="1" applyAlignment="1">
      <alignment horizontal="left"/>
    </xf>
    <xf numFmtId="38" fontId="0" fillId="0" borderId="0" xfId="0" applyNumberFormat="1"/>
    <xf numFmtId="0" fontId="10" fillId="0" borderId="0" xfId="1" applyFont="1"/>
    <xf numFmtId="0" fontId="7" fillId="0" borderId="0" xfId="1"/>
    <xf numFmtId="0" fontId="11" fillId="0" borderId="0" xfId="1" applyFont="1" applyFill="1"/>
    <xf numFmtId="0" fontId="7" fillId="0" borderId="0" xfId="1" applyFill="1"/>
    <xf numFmtId="0" fontId="7" fillId="0" borderId="0" xfId="1" applyFont="1"/>
    <xf numFmtId="0" fontId="1" fillId="0" borderId="2" xfId="0" applyFont="1" applyBorder="1"/>
    <xf numFmtId="0" fontId="1" fillId="0" borderId="0" xfId="0" applyFont="1" applyBorder="1"/>
    <xf numFmtId="0" fontId="1" fillId="4" borderId="3" xfId="0" applyFont="1" applyFill="1" applyBorder="1"/>
    <xf numFmtId="0" fontId="0" fillId="0" borderId="0" xfId="0" applyBorder="1"/>
    <xf numFmtId="0" fontId="4" fillId="0" borderId="0" xfId="0" applyFont="1"/>
    <xf numFmtId="0" fontId="4" fillId="0" borderId="0" xfId="0" quotePrefix="1" applyFont="1"/>
    <xf numFmtId="164" fontId="0" fillId="0" borderId="0" xfId="0" applyNumberFormat="1"/>
    <xf numFmtId="164" fontId="0" fillId="0" borderId="0" xfId="0" applyNumberFormat="1" applyBorder="1"/>
    <xf numFmtId="164" fontId="1" fillId="4" borderId="3" xfId="0" applyNumberFormat="1" applyFont="1" applyFill="1" applyBorder="1"/>
    <xf numFmtId="165" fontId="1" fillId="3" borderId="0" xfId="0" applyNumberFormat="1" applyFont="1" applyFill="1"/>
    <xf numFmtId="165" fontId="0" fillId="0" borderId="0" xfId="0" applyNumberFormat="1"/>
    <xf numFmtId="38" fontId="1" fillId="4" borderId="4" xfId="0" applyNumberFormat="1" applyFont="1" applyFill="1" applyBorder="1" applyAlignment="1">
      <alignment horizontal="right"/>
    </xf>
    <xf numFmtId="164" fontId="1" fillId="3" borderId="0" xfId="0" applyNumberFormat="1" applyFont="1" applyFill="1"/>
    <xf numFmtId="0" fontId="1" fillId="3" borderId="0" xfId="0" applyNumberFormat="1" applyFont="1" applyFill="1"/>
    <xf numFmtId="0" fontId="1" fillId="0" borderId="0" xfId="0" applyNumberFormat="1" applyFont="1"/>
    <xf numFmtId="0" fontId="1" fillId="4" borderId="5" xfId="0" applyNumberFormat="1" applyFont="1" applyFill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4" borderId="6" xfId="0" applyFont="1" applyFill="1" applyBorder="1"/>
    <xf numFmtId="0" fontId="1" fillId="4" borderId="4" xfId="0" applyFont="1" applyFill="1" applyBorder="1"/>
    <xf numFmtId="38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6" borderId="0" xfId="0" applyFill="1"/>
    <xf numFmtId="166" fontId="1" fillId="0" borderId="0" xfId="0" applyNumberFormat="1" applyFont="1"/>
    <xf numFmtId="166" fontId="0" fillId="0" borderId="0" xfId="0" applyNumberFormat="1"/>
    <xf numFmtId="49" fontId="0" fillId="7" borderId="7" xfId="0" applyNumberFormat="1" applyFont="1" applyFill="1" applyBorder="1"/>
    <xf numFmtId="49" fontId="0" fillId="7" borderId="8" xfId="0" applyNumberFormat="1" applyFont="1" applyFill="1" applyBorder="1"/>
    <xf numFmtId="14" fontId="0" fillId="7" borderId="8" xfId="0" applyNumberFormat="1" applyFont="1" applyFill="1" applyBorder="1"/>
    <xf numFmtId="0" fontId="0" fillId="7" borderId="8" xfId="0" applyNumberFormat="1" applyFont="1" applyFill="1" applyBorder="1"/>
    <xf numFmtId="49" fontId="0" fillId="0" borderId="7" xfId="0" applyNumberFormat="1" applyFont="1" applyBorder="1"/>
    <xf numFmtId="49" fontId="0" fillId="0" borderId="8" xfId="0" applyNumberFormat="1" applyFont="1" applyBorder="1"/>
    <xf numFmtId="14" fontId="0" fillId="0" borderId="8" xfId="0" applyNumberFormat="1" applyFont="1" applyBorder="1"/>
    <xf numFmtId="0" fontId="0" fillId="0" borderId="8" xfId="0" applyNumberFormat="1" applyFont="1" applyBorder="1"/>
    <xf numFmtId="0" fontId="0" fillId="7" borderId="8" xfId="0" applyFont="1" applyFill="1" applyBorder="1"/>
    <xf numFmtId="0" fontId="0" fillId="0" borderId="8" xfId="0" applyFont="1" applyBorder="1"/>
    <xf numFmtId="166" fontId="0" fillId="0" borderId="8" xfId="0" applyNumberFormat="1" applyFont="1" applyBorder="1"/>
    <xf numFmtId="166" fontId="0" fillId="7" borderId="8" xfId="0" applyNumberFormat="1" applyFont="1" applyFill="1" applyBorder="1"/>
    <xf numFmtId="0" fontId="10" fillId="8" borderId="0" xfId="1" applyFont="1" applyFill="1"/>
    <xf numFmtId="0" fontId="12" fillId="0" borderId="0" xfId="0" applyFont="1"/>
    <xf numFmtId="0" fontId="0" fillId="0" borderId="9" xfId="0" pivotButton="1" applyBorder="1"/>
    <xf numFmtId="0" fontId="0" fillId="0" borderId="10" xfId="0" applyBorder="1"/>
    <xf numFmtId="0" fontId="0" fillId="0" borderId="9" xfId="0" applyBorder="1"/>
    <xf numFmtId="0" fontId="0" fillId="0" borderId="10" xfId="0" applyNumberFormat="1" applyBorder="1"/>
    <xf numFmtId="0" fontId="0" fillId="0" borderId="11" xfId="0" applyBorder="1"/>
    <xf numFmtId="0" fontId="0" fillId="0" borderId="12" xfId="0" applyNumberFormat="1" applyBorder="1"/>
    <xf numFmtId="0" fontId="0" fillId="0" borderId="12" xfId="0" pivotButton="1" applyBorder="1"/>
    <xf numFmtId="0" fontId="0" fillId="0" borderId="12" xfId="0" applyBorder="1" applyAlignment="1">
      <alignment horizontal="left"/>
    </xf>
    <xf numFmtId="0" fontId="0" fillId="0" borderId="12" xfId="0" applyBorder="1"/>
    <xf numFmtId="164" fontId="0" fillId="0" borderId="14" xfId="0" applyNumberFormat="1" applyBorder="1"/>
    <xf numFmtId="0" fontId="0" fillId="0" borderId="14" xfId="0" applyBorder="1"/>
    <xf numFmtId="0" fontId="1" fillId="0" borderId="16" xfId="0" applyFont="1" applyBorder="1"/>
    <xf numFmtId="0" fontId="0" fillId="0" borderId="15" xfId="0" applyNumberFormat="1" applyBorder="1" applyAlignment="1">
      <alignment horizontal="right"/>
    </xf>
    <xf numFmtId="0" fontId="0" fillId="5" borderId="17" xfId="0" applyFill="1" applyBorder="1"/>
    <xf numFmtId="0" fontId="0" fillId="5" borderId="13" xfId="0" applyFill="1" applyBorder="1"/>
    <xf numFmtId="0" fontId="1" fillId="0" borderId="9" xfId="0" applyFont="1" applyBorder="1" applyAlignment="1">
      <alignment horizontal="right"/>
    </xf>
    <xf numFmtId="0" fontId="1" fillId="0" borderId="14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38" fontId="0" fillId="0" borderId="14" xfId="0" applyNumberFormat="1" applyBorder="1" applyAlignment="1">
      <alignment horizontal="right"/>
    </xf>
    <xf numFmtId="38" fontId="0" fillId="0" borderId="19" xfId="0" applyNumberFormat="1" applyBorder="1" applyAlignment="1">
      <alignment horizontal="right"/>
    </xf>
    <xf numFmtId="0" fontId="0" fillId="0" borderId="20" xfId="0" applyNumberFormat="1" applyBorder="1" applyAlignment="1">
      <alignment horizontal="right"/>
    </xf>
    <xf numFmtId="38" fontId="0" fillId="0" borderId="15" xfId="0" applyNumberFormat="1" applyBorder="1" applyAlignment="1">
      <alignment horizontal="right"/>
    </xf>
    <xf numFmtId="38" fontId="1" fillId="4" borderId="5" xfId="0" applyNumberFormat="1" applyFont="1" applyFill="1" applyBorder="1" applyAlignment="1">
      <alignment horizontal="right"/>
    </xf>
    <xf numFmtId="38" fontId="0" fillId="0" borderId="10" xfId="0" applyNumberFormat="1" applyBorder="1" applyAlignment="1">
      <alignment horizontal="right"/>
    </xf>
    <xf numFmtId="38" fontId="0" fillId="5" borderId="18" xfId="0" applyNumberFormat="1" applyFill="1" applyBorder="1" applyAlignment="1">
      <alignment horizontal="right"/>
    </xf>
    <xf numFmtId="165" fontId="1" fillId="0" borderId="9" xfId="0" applyNumberFormat="1" applyFont="1" applyBorder="1" applyAlignment="1">
      <alignment horizontal="right"/>
    </xf>
    <xf numFmtId="165" fontId="1" fillId="0" borderId="14" xfId="0" applyNumberFormat="1" applyFont="1" applyBorder="1" applyAlignment="1">
      <alignment horizontal="right"/>
    </xf>
    <xf numFmtId="165" fontId="1" fillId="0" borderId="15" xfId="0" applyNumberFormat="1" applyFont="1" applyBorder="1" applyAlignment="1">
      <alignment horizontal="right"/>
    </xf>
    <xf numFmtId="164" fontId="1" fillId="0" borderId="9" xfId="0" applyNumberFormat="1" applyFont="1" applyBorder="1" applyAlignment="1">
      <alignment textRotation="45"/>
    </xf>
    <xf numFmtId="164" fontId="1" fillId="0" borderId="14" xfId="0" applyNumberFormat="1" applyFont="1" applyBorder="1" applyAlignment="1">
      <alignment textRotation="45"/>
    </xf>
    <xf numFmtId="164" fontId="1" fillId="0" borderId="15" xfId="0" applyNumberFormat="1" applyFont="1" applyBorder="1" applyAlignment="1">
      <alignment textRotation="45"/>
    </xf>
    <xf numFmtId="0" fontId="1" fillId="0" borderId="2" xfId="0" applyFont="1" applyFill="1" applyBorder="1"/>
    <xf numFmtId="38" fontId="0" fillId="0" borderId="11" xfId="0" applyNumberFormat="1" applyBorder="1" applyAlignment="1">
      <alignment horizontal="right"/>
    </xf>
    <xf numFmtId="38" fontId="0" fillId="0" borderId="21" xfId="0" applyNumberFormat="1" applyBorder="1" applyAlignment="1">
      <alignment horizontal="right"/>
    </xf>
    <xf numFmtId="38" fontId="0" fillId="0" borderId="22" xfId="0" applyNumberFormat="1" applyBorder="1" applyAlignment="1">
      <alignment horizontal="right"/>
    </xf>
    <xf numFmtId="0" fontId="0" fillId="6" borderId="21" xfId="0" applyFill="1" applyBorder="1"/>
  </cellXfs>
  <cellStyles count="7">
    <cellStyle name="Min stil" xfId="2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</cellStyles>
  <dxfs count="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indexed="50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5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51"/>
        </patternFill>
      </fill>
    </dxf>
    <dxf>
      <font>
        <color indexed="9"/>
      </font>
      <fill>
        <patternFill>
          <bgColor indexed="10"/>
        </patternFill>
      </fill>
    </dxf>
    <dxf>
      <numFmt numFmtId="6" formatCode="#,##0;[Red]\-#,##0"/>
    </dxf>
    <dxf>
      <numFmt numFmtId="0" formatCode="General"/>
    </dxf>
    <dxf>
      <fill>
        <patternFill patternType="solid">
          <bgColor indexed="50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50"/>
        </patternFill>
      </fill>
    </dxf>
    <dxf>
      <fill>
        <patternFill patternType="solid">
          <bgColor indexed="50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textRotation="45" readingOrder="0"/>
    </dxf>
    <dxf>
      <alignment horizontal="general" readingOrder="0"/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6" formatCode="#,##0;[Red]\-#,##0"/>
    </dxf>
    <dxf>
      <numFmt numFmtId="0" formatCode="General"/>
    </dxf>
    <dxf>
      <numFmt numFmtId="0" formatCode="General"/>
    </dxf>
    <dxf>
      <numFmt numFmtId="0" formatCode="General"/>
    </dxf>
    <dxf>
      <numFmt numFmtId="165" formatCode="0_ ;[Red]\-0\ "/>
    </dxf>
    <dxf>
      <numFmt numFmtId="0" formatCode="General"/>
    </dxf>
    <dxf>
      <numFmt numFmtId="0" formatCode="General"/>
    </dxf>
    <dxf>
      <numFmt numFmtId="6" formatCode="#,##0;[Red]\-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6" formatCode="0.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6" formatCode="0.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6" formatCode="0.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6" formatCode="0.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FF8080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8</xdr:col>
      <xdr:colOff>672879</xdr:colOff>
      <xdr:row>4</xdr:row>
      <xdr:rowOff>25866</xdr:rowOff>
    </xdr:to>
    <xdr:sp macro="" textlink="SapExlReportName">
      <xdr:nvSpPr>
        <xdr:cNvPr id="6" name="Avrundet rektangel 5"/>
        <xdr:cNvSpPr/>
      </xdr:nvSpPr>
      <xdr:spPr>
        <a:xfrm>
          <a:off x="2613822" y="310542"/>
          <a:ext cx="3674853" cy="569339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Bristoversikt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134470</xdr:rowOff>
    </xdr:from>
    <xdr:to>
      <xdr:col>3</xdr:col>
      <xdr:colOff>488240</xdr:colOff>
      <xdr:row>6</xdr:row>
      <xdr:rowOff>1008</xdr:rowOff>
    </xdr:to>
    <xdr:pic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353" y="134470"/>
          <a:ext cx="1945005" cy="109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285965" cy="277097"/>
    <xdr:sp macro="" textlink="ReportCaption">
      <xdr:nvSpPr>
        <xdr:cNvPr id="3" name="Avrundet rektangel 1"/>
        <xdr:cNvSpPr/>
      </xdr:nvSpPr>
      <xdr:spPr>
        <a:xfrm>
          <a:off x="22412" y="33618"/>
          <a:ext cx="1285965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Bristoversikt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285200" cy="277097"/>
    <xdr:sp macro="" textlink="ReportCaption">
      <xdr:nvSpPr>
        <xdr:cNvPr id="3" name="Avrundet rektangel 1"/>
        <xdr:cNvSpPr/>
      </xdr:nvSpPr>
      <xdr:spPr>
        <a:xfrm>
          <a:off x="22412" y="33618"/>
          <a:ext cx="1285200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Bristoversikt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285200" cy="277097"/>
    <xdr:sp macro="" textlink="ReportCaption">
      <xdr:nvSpPr>
        <xdr:cNvPr id="2" name="Avrundet rektangel 1"/>
        <xdr:cNvSpPr/>
      </xdr:nvSpPr>
      <xdr:spPr>
        <a:xfrm>
          <a:off x="22412" y="33618"/>
          <a:ext cx="1285200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Bristoversikt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1285200" cy="277097"/>
    <xdr:sp macro="" textlink="ReportCaption">
      <xdr:nvSpPr>
        <xdr:cNvPr id="3" name="Avrundet rektangel 1"/>
        <xdr:cNvSpPr/>
      </xdr:nvSpPr>
      <xdr:spPr>
        <a:xfrm>
          <a:off x="22412" y="33618"/>
          <a:ext cx="1285200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Bristoversikt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109.331415162036" createdVersion="4" refreshedVersion="5" minRefreshableVersion="3" recordCount="15">
  <cacheSource type="worksheet">
    <worksheetSource name="SapExlData"/>
  </cacheSource>
  <cacheFields count="39">
    <cacheField name="ABC" numFmtId="49">
      <sharedItems containsBlank="1" count="2">
        <s v="A"/>
        <m u="1"/>
      </sharedItems>
    </cacheField>
    <cacheField name="Språk" numFmtId="49">
      <sharedItems/>
    </cacheField>
    <cacheField name="Material Besk." numFmtId="49">
      <sharedItems/>
    </cacheField>
    <cacheField name="Varegruppe" numFmtId="49">
      <sharedItems/>
    </cacheField>
    <cacheField name="Materialtype" numFmtId="49">
      <sharedItems/>
    </cacheField>
    <cacheField name="Fabrikk" numFmtId="49">
      <sharedItems/>
    </cacheField>
    <cacheField name="Innkjøpsgruppe" numFmtId="49">
      <sharedItems/>
    </cacheField>
    <cacheField name="Materialplanlegger" numFmtId="49">
      <sharedItems/>
    </cacheField>
    <cacheField name="Tilgj.dato" numFmtId="14">
      <sharedItems/>
    </cacheField>
    <cacheField name="Ind. MRP-elem." numFmtId="14">
      <sharedItems/>
    </cacheField>
    <cacheField name="planleggingssegment" numFmtId="0">
      <sharedItems containsSemiMixedTypes="0" containsString="0" containsNumber="1" containsInteger="1" minValue="2" maxValue="2"/>
    </cacheField>
    <cacheField name="Enhet" numFmtId="49">
      <sharedItems/>
    </cacheField>
    <cacheField name="Valuta" numFmtId="49">
      <sharedItems/>
    </cacheField>
    <cacheField name="Språkkode" numFmtId="49">
      <sharedItems/>
    </cacheField>
    <cacheField name="Material" numFmtId="49">
      <sharedItems count="1">
        <s v="1022"/>
      </sharedItems>
    </cacheField>
    <cacheField name="Materialtypekode" numFmtId="14">
      <sharedItems/>
    </cacheField>
    <cacheField name="Fabrikkode" numFmtId="14">
      <sharedItems/>
    </cacheField>
    <cacheField name="Behov" numFmtId="166">
      <sharedItems containsSemiMixedTypes="0" containsString="0" containsNumber="1" containsInteger="1" minValue="0" maxValue="0"/>
    </cacheField>
    <cacheField name="I kval.konto." numFmtId="166">
      <sharedItems containsSemiMixedTypes="0" containsString="0" containsNumber="1" containsInteger="1" minValue="0" maxValue="19"/>
    </cacheField>
    <cacheField name="Lagerdekning" numFmtId="166">
      <sharedItems containsSemiMixedTypes="0" containsString="0" containsNumber="1" containsInteger="1" minValue="-18" maxValue="19"/>
    </cacheField>
    <cacheField name="Planl.behov" numFmtId="166">
      <sharedItems containsSemiMixedTypes="0" containsString="0" containsNumber="1" minValue="-268.2" maxValue="-141"/>
    </cacheField>
    <cacheField name="kva.mottatt" numFmtId="0">
      <sharedItems containsSemiMixedTypes="0" containsString="0" containsNumber="1" minValue="0" maxValue="1373.71"/>
    </cacheField>
    <cacheField name="Tilgj.Kvantum" numFmtId="0">
      <sharedItems containsSemiMixedTypes="0" containsString="0" containsNumber="1" minValue="-9511.01" maxValue="-8251.4740000000002"/>
    </cacheField>
    <cacheField name="TILGJ_DATO" numFmtId="164">
      <sharedItems containsSemiMixedTypes="0" containsNonDate="0" containsDate="1" containsString="0" minDate="2013-12-05T00:00:00" maxDate="2036-12-06T00:00:00" count="65"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6T00:00:00"/>
        <d v="2015-06-17T00:00:00"/>
        <d v="2015-06-18T00:00:00"/>
        <d v="2015-06-19T00:00:00"/>
        <d v="2015-06-22T00:00:00"/>
        <d v="2015-06-23T00:00:00"/>
        <d v="2014-01-09T00:00:00" u="1"/>
        <d v="2014-01-02T00:00:00" u="1"/>
        <d v="2014-10-16T00:00:00" u="1"/>
        <d v="2013-12-19T00:00:00" u="1"/>
        <d v="2014-01-07T00:00:00" u="1"/>
        <d v="2013-12-12T00:00:00" u="1"/>
        <d v="2013-12-05T00:00:00" u="1"/>
        <d v="2014-12-05T00:00:00" u="1"/>
        <d v="2015-12-05T00:00:00" u="1"/>
        <d v="2016-12-05T00:00:00" u="1"/>
        <d v="2017-12-05T00:00:00" u="1"/>
        <d v="2013-12-17T00:00:00" u="1"/>
        <d v="2018-12-05T00:00:00" u="1"/>
        <d v="2019-12-05T00:00:00" u="1"/>
        <d v="2020-12-05T00:00:00" u="1"/>
        <d v="2013-12-10T00:00:00" u="1"/>
        <d v="2021-12-05T00:00:00" u="1"/>
        <d v="2022-12-05T00:00:00" u="1"/>
        <d v="2023-12-05T00:00:00" u="1"/>
        <d v="2024-12-05T00:00:00" u="1"/>
        <d v="2025-12-05T00:00:00" u="1"/>
        <d v="2026-12-05T00:00:00" u="1"/>
        <d v="2027-12-05T00:00:00" u="1"/>
        <d v="2014-01-10T00:00:00" u="1"/>
        <d v="2028-12-05T00:00:00" u="1"/>
        <d v="2029-12-05T00:00:00" u="1"/>
        <d v="2030-12-05T00:00:00" u="1"/>
        <d v="2014-01-03T00:00:00" u="1"/>
        <d v="2031-12-05T00:00:00" u="1"/>
        <d v="2032-12-05T00:00:00" u="1"/>
        <d v="2014-10-17T00:00:00" u="1"/>
        <d v="2033-12-05T00:00:00" u="1"/>
        <d v="2013-12-27T00:00:00" u="1"/>
        <d v="2034-12-05T00:00:00" u="1"/>
        <d v="2035-12-05T00:00:00" u="1"/>
        <d v="2036-12-05T00:00:00" u="1"/>
        <d v="2013-12-20T00:00:00" u="1"/>
        <d v="2014-01-08T00:00:00" u="1"/>
        <d v="2013-12-13T00:00:00" u="1"/>
        <d v="2013-12-06T00:00:00" u="1"/>
        <d v="2014-10-15T00:00:00" u="1"/>
        <d v="2014-01-13T00:00:00" u="1"/>
        <d v="2013-12-18T00:00:00" u="1"/>
        <d v="2014-01-06T00:00:00" u="1"/>
        <d v="2013-12-11T00:00:00" u="1"/>
        <d v="2014-10-20T00:00:00" u="1"/>
        <d v="2013-12-30T00:00:00" u="1"/>
        <d v="2013-12-23T00:00:00" u="1"/>
        <d v="2013-12-16T00:00:00" u="1"/>
        <d v="2013-12-09T00:00:00" u="1"/>
      </sharedItems>
    </cacheField>
    <cacheField name="Sys01" numFmtId="0">
      <sharedItems/>
    </cacheField>
    <cacheField name="Uke" numFmtId="0">
      <sharedItems containsBlank="1" count="22">
        <s v="2015-23"/>
        <s v="2015-24"/>
        <s v="2015-25"/>
        <s v="2015-26"/>
        <m u="1"/>
        <s v="2028-50" u="1"/>
        <s v="2032-49" u="1"/>
        <e v="#VALUE!" u="1"/>
        <s v="2031-49" u="1"/>
        <s v="2030-49" u="1"/>
        <s v="2029-49" u="1"/>
        <s v="2034-50" u="1"/>
        <s v="2014-42" u="1"/>
        <s v="2014-43" u="1"/>
        <s v="2023-50" u="1"/>
        <s v="2033-50" u="1"/>
        <s v="2027-49" u="1"/>
        <s v="2026-49" u="1"/>
        <s v="2036-49" u="1"/>
        <s v="2025-49" u="1"/>
        <s v="2035-49" u="1"/>
        <s v="2024-49" u="1"/>
      </sharedItems>
    </cacheField>
    <cacheField name="Maned" numFmtId="0">
      <sharedItems count="16">
        <s v="2015-06"/>
        <s v="2028-12" u="1"/>
        <s v="2027-12" u="1"/>
        <s v="2026-12" u="1"/>
        <s v="2036-12" u="1"/>
        <s v="2014-10" u="1"/>
        <s v="2025-12" u="1"/>
        <s v="2035-12" u="1"/>
        <s v="2024-12" u="1"/>
        <s v="2034-12" u="1"/>
        <s v="2023-12" u="1"/>
        <s v="2033-12" u="1"/>
        <s v="2032-12" u="1"/>
        <s v="2031-12" u="1"/>
        <s v="2030-12" u="1"/>
        <s v="2029-12" u="1"/>
      </sharedItems>
    </cacheField>
    <cacheField name="Hjelp" numFmtId="0">
      <sharedItems containsSemiMixedTypes="0" containsString="0" containsNumber="1" containsInteger="1" minValue="-18" maxValue="19"/>
    </cacheField>
    <cacheField name="Manglende POs" numFmtId="0">
      <sharedItems count="1">
        <s v="OK"/>
      </sharedItems>
    </cacheField>
    <cacheField name="Test_QM" numFmtId="0">
      <sharedItems containsSemiMixedTypes="0" containsString="0" containsNumber="1" containsInteger="1" minValue="0" maxValue="1" count="2">
        <n v="1"/>
        <n v="0"/>
      </sharedItems>
    </cacheField>
    <cacheField name="QM_Lot" numFmtId="38">
      <sharedItems containsSemiMixedTypes="0" containsString="0" containsNumber="1" containsInteger="1" minValue="0" maxValue="0"/>
    </cacheField>
    <cacheField name="Material Navn" numFmtId="0">
      <sharedItems count="4">
        <s v="1022  Stabb Leverpostei 60x100g"/>
        <s v="  " u="1"/>
        <s v="1021  Stabb Leverpostei 36x200g" u="1"/>
        <s v=" " u="1"/>
      </sharedItems>
    </cacheField>
    <cacheField name="Periode" numFmtId="0">
      <sharedItems containsSemiMixedTypes="0" containsString="0" containsNumber="1" containsInteger="1" minValue="0" maxValue="1" count="2">
        <n v="1"/>
        <n v="0" u="1"/>
      </sharedItems>
    </cacheField>
    <cacheField name="PO_#" numFmtId="165">
      <sharedItems containsSemiMixedTypes="0" containsString="0" containsNumber="1" containsInteger="1" minValue="0" maxValue="4" count="5">
        <n v="0"/>
        <n v="1"/>
        <n v="2"/>
        <n v="3"/>
        <n v="4"/>
      </sharedItems>
    </cacheField>
    <cacheField name="Ordre" numFmtId="0">
      <sharedItems containsSemiMixedTypes="0" containsString="0" containsNumber="1" containsInteger="1" minValue="0" maxValue="1" count="2">
        <n v="0"/>
        <n v="1"/>
      </sharedItems>
    </cacheField>
    <cacheField name="MRP_Type" numFmtId="0">
      <sharedItems containsBlank="1" count="5">
        <s v="Behold"/>
        <s v="Beh/Inn"/>
        <m u="1"/>
        <s v="Req/Rec" u="1"/>
        <s v="Stock" u="1"/>
      </sharedItems>
    </cacheField>
    <cacheField name="Dekning" numFmtId="0">
      <sharedItems containsSemiMixedTypes="0" containsString="0" containsNumber="1" containsInteger="1" minValue="-18" maxValue="19"/>
    </cacheField>
    <cacheField name="Alert" numFmtId="38">
      <sharedItems count="3">
        <s v="Other"/>
        <s v="Alerts"/>
        <e v="#NAME?" u="1"/>
      </sharedItems>
    </cacheField>
    <cacheField name="Gjenom_dekn" numFmtId="0" formula="(#NAME?/#NAME?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x v="0"/>
    <s v="Norsk"/>
    <s v="Stabb Leverpostei 60x100g"/>
    <s v="POSTEI-LINJENE"/>
    <s v="Ferdigvare, Stab. Pricat"/>
    <s v="Råbekken"/>
    <s v="Eksport samlasting"/>
    <s v="Jarl Leander"/>
    <s v="03.06.2015"/>
    <s v="WB"/>
    <n v="2"/>
    <s v="Stykk"/>
    <s v="Stykk"/>
    <s v="NO"/>
    <x v="0"/>
    <s v="ZFER"/>
    <s v="FR00"/>
    <n v="0"/>
    <n v="19"/>
    <n v="19"/>
    <n v="-201"/>
    <n v="549.48400000000004"/>
    <n v="-9511.01"/>
    <x v="0"/>
    <s v="23"/>
    <x v="0"/>
    <x v="0"/>
    <n v="19"/>
    <x v="0"/>
    <x v="0"/>
    <n v="0"/>
    <x v="0"/>
    <x v="0"/>
    <x v="0"/>
    <x v="0"/>
    <x v="0"/>
    <n v="19"/>
    <x v="0"/>
  </r>
  <r>
    <x v="0"/>
    <s v="Norsk"/>
    <s v="Stabb Leverpostei 60x100g"/>
    <s v="POSTEI-LINJENE"/>
    <s v="Ferdigvare, Stab. Pricat"/>
    <s v="Råbekken"/>
    <s v="Eksport samlasting"/>
    <s v="Jarl Leander"/>
    <s v="04.06.2015"/>
    <s v="Ikke tilordnet"/>
    <n v="2"/>
    <s v="Stykk"/>
    <s v="Stykk"/>
    <s v="NO"/>
    <x v="0"/>
    <s v="ZFER"/>
    <s v="FR00"/>
    <n v="0"/>
    <n v="0"/>
    <n v="-18"/>
    <n v="-201"/>
    <n v="1373.71"/>
    <n v="-8338.2999999999993"/>
    <x v="1"/>
    <s v="23"/>
    <x v="0"/>
    <x v="0"/>
    <n v="-18"/>
    <x v="0"/>
    <x v="1"/>
    <n v="0"/>
    <x v="0"/>
    <x v="0"/>
    <x v="1"/>
    <x v="1"/>
    <x v="1"/>
    <n v="19"/>
    <x v="0"/>
  </r>
  <r>
    <x v="0"/>
    <s v="Norsk"/>
    <s v="Stabb Leverpostei 60x100g"/>
    <s v="POSTEI-LINJENE"/>
    <s v="Ferdigvare, Stab. Pricat"/>
    <s v="Råbekken"/>
    <s v="Eksport samlasting"/>
    <s v="Jarl Leander"/>
    <s v="05.06.2015"/>
    <s v="Ikke tilordnet"/>
    <n v="2"/>
    <s v="Stykk"/>
    <s v="Stykk"/>
    <s v="NO"/>
    <x v="0"/>
    <s v="ZFER"/>
    <s v="FR00"/>
    <n v="0"/>
    <n v="0"/>
    <n v="-18"/>
    <n v="-201"/>
    <n v="0"/>
    <n v="-8539.2999999999993"/>
    <x v="2"/>
    <s v="23"/>
    <x v="0"/>
    <x v="0"/>
    <n v="-18"/>
    <x v="0"/>
    <x v="1"/>
    <n v="0"/>
    <x v="0"/>
    <x v="0"/>
    <x v="1"/>
    <x v="0"/>
    <x v="1"/>
    <n v="0"/>
    <x v="1"/>
  </r>
  <r>
    <x v="0"/>
    <s v="Norsk"/>
    <s v="Stabb Leverpostei 60x100g"/>
    <s v="POSTEI-LINJENE"/>
    <s v="Ferdigvare, Stab. Pricat"/>
    <s v="Råbekken"/>
    <s v="Eksport samlasting"/>
    <s v="Jarl Leander"/>
    <s v="08.06.2015"/>
    <s v="Ikke tilordnet"/>
    <n v="2"/>
    <s v="Stykk"/>
    <s v="Stykk"/>
    <s v="NO"/>
    <x v="0"/>
    <s v="ZFER"/>
    <s v="FR00"/>
    <n v="0"/>
    <n v="0"/>
    <n v="-17"/>
    <n v="-268.2"/>
    <n v="0"/>
    <n v="-8807.5"/>
    <x v="3"/>
    <s v="24"/>
    <x v="1"/>
    <x v="0"/>
    <n v="-18"/>
    <x v="0"/>
    <x v="1"/>
    <n v="0"/>
    <x v="0"/>
    <x v="0"/>
    <x v="1"/>
    <x v="0"/>
    <x v="1"/>
    <n v="0"/>
    <x v="1"/>
  </r>
  <r>
    <x v="0"/>
    <s v="Norsk"/>
    <s v="Stabb Leverpostei 60x100g"/>
    <s v="POSTEI-LINJENE"/>
    <s v="Ferdigvare, Stab. Pricat"/>
    <s v="Råbekken"/>
    <s v="Eksport samlasting"/>
    <s v="Jarl Leander"/>
    <s v="09.06.2015"/>
    <s v="Ikke tilordnet"/>
    <n v="2"/>
    <s v="Stykk"/>
    <s v="Stykk"/>
    <s v="NO"/>
    <x v="0"/>
    <s v="ZFER"/>
    <s v="FR00"/>
    <n v="0"/>
    <n v="0"/>
    <n v="-17"/>
    <n v="-268.2"/>
    <n v="824.226"/>
    <n v="-8251.4740000000002"/>
    <x v="4"/>
    <s v="24"/>
    <x v="1"/>
    <x v="0"/>
    <n v="-17"/>
    <x v="0"/>
    <x v="1"/>
    <n v="0"/>
    <x v="0"/>
    <x v="0"/>
    <x v="2"/>
    <x v="1"/>
    <x v="1"/>
    <n v="-18"/>
    <x v="1"/>
  </r>
  <r>
    <x v="0"/>
    <s v="Norsk"/>
    <s v="Stabb Leverpostei 60x100g"/>
    <s v="POSTEI-LINJENE"/>
    <s v="Ferdigvare, Stab. Pricat"/>
    <s v="Råbekken"/>
    <s v="Eksport samlasting"/>
    <s v="Jarl Leander"/>
    <s v="10.06.2015"/>
    <s v="Ikke tilordnet"/>
    <n v="2"/>
    <s v="Stykk"/>
    <s v="Stykk"/>
    <s v="NO"/>
    <x v="0"/>
    <s v="ZFER"/>
    <s v="FR00"/>
    <n v="0"/>
    <n v="0"/>
    <n v="-16"/>
    <n v="-268.2"/>
    <n v="0"/>
    <n v="-8519.6740000000009"/>
    <x v="5"/>
    <s v="24"/>
    <x v="1"/>
    <x v="0"/>
    <n v="-17"/>
    <x v="0"/>
    <x v="1"/>
    <n v="0"/>
    <x v="0"/>
    <x v="0"/>
    <x v="2"/>
    <x v="0"/>
    <x v="1"/>
    <n v="0"/>
    <x v="1"/>
  </r>
  <r>
    <x v="0"/>
    <s v="Norsk"/>
    <s v="Stabb Leverpostei 60x100g"/>
    <s v="POSTEI-LINJENE"/>
    <s v="Ferdigvare, Stab. Pricat"/>
    <s v="Råbekken"/>
    <s v="Eksport samlasting"/>
    <s v="Jarl Leander"/>
    <s v="11.06.2015"/>
    <s v="Ikke tilordnet"/>
    <n v="2"/>
    <s v="Stykk"/>
    <s v="Stykk"/>
    <s v="NO"/>
    <x v="0"/>
    <s v="ZFER"/>
    <s v="FR00"/>
    <n v="0"/>
    <n v="0"/>
    <n v="-16"/>
    <n v="-268.2"/>
    <n v="0"/>
    <n v="-8787.8739999999998"/>
    <x v="6"/>
    <s v="24"/>
    <x v="1"/>
    <x v="0"/>
    <n v="-17"/>
    <x v="0"/>
    <x v="1"/>
    <n v="0"/>
    <x v="0"/>
    <x v="0"/>
    <x v="2"/>
    <x v="0"/>
    <x v="1"/>
    <n v="0"/>
    <x v="1"/>
  </r>
  <r>
    <x v="0"/>
    <s v="Norsk"/>
    <s v="Stabb Leverpostei 60x100g"/>
    <s v="POSTEI-LINJENE"/>
    <s v="Ferdigvare, Stab. Pricat"/>
    <s v="Råbekken"/>
    <s v="Eksport samlasting"/>
    <s v="Jarl Leander"/>
    <s v="12.06.2015"/>
    <s v="Ikke tilordnet"/>
    <n v="2"/>
    <s v="Stykk"/>
    <s v="Stykk"/>
    <s v="NO"/>
    <x v="0"/>
    <s v="ZFER"/>
    <s v="FR00"/>
    <n v="0"/>
    <n v="0"/>
    <n v="-15"/>
    <n v="-268.2"/>
    <n v="0"/>
    <n v="-9056.0740000000005"/>
    <x v="7"/>
    <s v="24"/>
    <x v="1"/>
    <x v="0"/>
    <n v="-17"/>
    <x v="0"/>
    <x v="1"/>
    <n v="0"/>
    <x v="0"/>
    <x v="0"/>
    <x v="2"/>
    <x v="0"/>
    <x v="1"/>
    <n v="0"/>
    <x v="1"/>
  </r>
  <r>
    <x v="0"/>
    <s v="Norsk"/>
    <s v="Stabb Leverpostei 60x100g"/>
    <s v="POSTEI-LINJENE"/>
    <s v="Ferdigvare, Stab. Pricat"/>
    <s v="Råbekken"/>
    <s v="Eksport samlasting"/>
    <s v="Jarl Leander"/>
    <s v="15.06.2015"/>
    <s v="Ikke tilordnet"/>
    <n v="2"/>
    <s v="Stykk"/>
    <s v="Stykk"/>
    <s v="NO"/>
    <x v="0"/>
    <s v="ZFER"/>
    <s v="FR00"/>
    <n v="0"/>
    <n v="0"/>
    <n v="-14"/>
    <n v="-141"/>
    <n v="824.226"/>
    <n v="-8372.848"/>
    <x v="8"/>
    <s v="25"/>
    <x v="2"/>
    <x v="0"/>
    <n v="-14"/>
    <x v="0"/>
    <x v="1"/>
    <n v="0"/>
    <x v="0"/>
    <x v="0"/>
    <x v="3"/>
    <x v="1"/>
    <x v="1"/>
    <n v="-17"/>
    <x v="1"/>
  </r>
  <r>
    <x v="0"/>
    <s v="Norsk"/>
    <s v="Stabb Leverpostei 60x100g"/>
    <s v="POSTEI-LINJENE"/>
    <s v="Ferdigvare, Stab. Pricat"/>
    <s v="Råbekken"/>
    <s v="Eksport samlasting"/>
    <s v="Jarl Leander"/>
    <s v="16.06.2015"/>
    <s v="Ikke tilordnet"/>
    <n v="2"/>
    <s v="Stykk"/>
    <s v="Stykk"/>
    <s v="NO"/>
    <x v="0"/>
    <s v="ZFER"/>
    <s v="FR00"/>
    <n v="0"/>
    <n v="0"/>
    <n v="-14"/>
    <n v="-141"/>
    <n v="0"/>
    <n v="-8513.848"/>
    <x v="9"/>
    <s v="25"/>
    <x v="2"/>
    <x v="0"/>
    <n v="-14"/>
    <x v="0"/>
    <x v="1"/>
    <n v="0"/>
    <x v="0"/>
    <x v="0"/>
    <x v="3"/>
    <x v="0"/>
    <x v="1"/>
    <n v="0"/>
    <x v="1"/>
  </r>
  <r>
    <x v="0"/>
    <s v="Norsk"/>
    <s v="Stabb Leverpostei 60x100g"/>
    <s v="POSTEI-LINJENE"/>
    <s v="Ferdigvare, Stab. Pricat"/>
    <s v="Råbekken"/>
    <s v="Eksport samlasting"/>
    <s v="Jarl Leander"/>
    <s v="17.06.2015"/>
    <s v="Ikke tilordnet"/>
    <n v="2"/>
    <s v="Stykk"/>
    <s v="Stykk"/>
    <s v="NO"/>
    <x v="0"/>
    <s v="ZFER"/>
    <s v="FR00"/>
    <n v="0"/>
    <n v="0"/>
    <n v="-13"/>
    <n v="-141"/>
    <n v="0"/>
    <n v="-8654.848"/>
    <x v="10"/>
    <s v="25"/>
    <x v="2"/>
    <x v="0"/>
    <n v="-14"/>
    <x v="0"/>
    <x v="1"/>
    <n v="0"/>
    <x v="0"/>
    <x v="0"/>
    <x v="3"/>
    <x v="0"/>
    <x v="1"/>
    <n v="0"/>
    <x v="1"/>
  </r>
  <r>
    <x v="0"/>
    <s v="Norsk"/>
    <s v="Stabb Leverpostei 60x100g"/>
    <s v="POSTEI-LINJENE"/>
    <s v="Ferdigvare, Stab. Pricat"/>
    <s v="Råbekken"/>
    <s v="Eksport samlasting"/>
    <s v="Jarl Leander"/>
    <s v="18.06.2015"/>
    <s v="Ikke tilordnet"/>
    <n v="2"/>
    <s v="Stykk"/>
    <s v="Stykk"/>
    <s v="NO"/>
    <x v="0"/>
    <s v="ZFER"/>
    <s v="FR00"/>
    <n v="0"/>
    <n v="0"/>
    <n v="-12"/>
    <n v="-141"/>
    <n v="0"/>
    <n v="-8795.848"/>
    <x v="11"/>
    <s v="25"/>
    <x v="2"/>
    <x v="0"/>
    <n v="-14"/>
    <x v="0"/>
    <x v="1"/>
    <n v="0"/>
    <x v="0"/>
    <x v="0"/>
    <x v="3"/>
    <x v="0"/>
    <x v="1"/>
    <n v="0"/>
    <x v="1"/>
  </r>
  <r>
    <x v="0"/>
    <s v="Norsk"/>
    <s v="Stabb Leverpostei 60x100g"/>
    <s v="POSTEI-LINJENE"/>
    <s v="Ferdigvare, Stab. Pricat"/>
    <s v="Råbekken"/>
    <s v="Eksport samlasting"/>
    <s v="Jarl Leander"/>
    <s v="19.06.2015"/>
    <s v="Ikke tilordnet"/>
    <n v="2"/>
    <s v="Stykk"/>
    <s v="Stykk"/>
    <s v="NO"/>
    <x v="0"/>
    <s v="ZFER"/>
    <s v="FR00"/>
    <n v="0"/>
    <n v="0"/>
    <n v="-11"/>
    <n v="-141"/>
    <n v="0"/>
    <n v="-8936.848"/>
    <x v="12"/>
    <s v="25"/>
    <x v="2"/>
    <x v="0"/>
    <n v="-14"/>
    <x v="0"/>
    <x v="1"/>
    <n v="0"/>
    <x v="0"/>
    <x v="0"/>
    <x v="3"/>
    <x v="0"/>
    <x v="1"/>
    <n v="0"/>
    <x v="1"/>
  </r>
  <r>
    <x v="0"/>
    <s v="Norsk"/>
    <s v="Stabb Leverpostei 60x100g"/>
    <s v="POSTEI-LINJENE"/>
    <s v="Ferdigvare, Stab. Pricat"/>
    <s v="Råbekken"/>
    <s v="Eksport samlasting"/>
    <s v="Jarl Leander"/>
    <s v="22.06.2015"/>
    <s v="Ikke tilordnet"/>
    <n v="2"/>
    <s v="Stykk"/>
    <s v="Stykk"/>
    <s v="NO"/>
    <x v="0"/>
    <s v="ZFER"/>
    <s v="FR00"/>
    <n v="0"/>
    <n v="0"/>
    <n v="-12"/>
    <n v="-169"/>
    <n v="824.226"/>
    <n v="-8281.6219999999994"/>
    <x v="13"/>
    <s v="26"/>
    <x v="3"/>
    <x v="0"/>
    <n v="-12"/>
    <x v="0"/>
    <x v="1"/>
    <n v="0"/>
    <x v="0"/>
    <x v="0"/>
    <x v="4"/>
    <x v="1"/>
    <x v="1"/>
    <n v="-14"/>
    <x v="1"/>
  </r>
  <r>
    <x v="0"/>
    <s v="Norsk"/>
    <s v="Stabb Leverpostei 60x100g"/>
    <s v="POSTEI-LINJENE"/>
    <s v="Ferdigvare, Stab. Pricat"/>
    <s v="Råbekken"/>
    <s v="Eksport samlasting"/>
    <s v="Jarl Leander"/>
    <s v="23.06.2015"/>
    <s v="Ikke tilordnet"/>
    <n v="2"/>
    <s v="Stykk"/>
    <s v="Stykk"/>
    <s v="NO"/>
    <x v="0"/>
    <s v="ZFER"/>
    <s v="FR00"/>
    <n v="0"/>
    <n v="0"/>
    <n v="-11"/>
    <n v="-169"/>
    <n v="0"/>
    <n v="-8450.6219999999994"/>
    <x v="14"/>
    <s v="26"/>
    <x v="3"/>
    <x v="0"/>
    <n v="-12"/>
    <x v="0"/>
    <x v="1"/>
    <n v="0"/>
    <x v="0"/>
    <x v="0"/>
    <x v="4"/>
    <x v="0"/>
    <x v="1"/>
    <n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47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>
  <location ref="A10:B13" firstHeaderRow="2" firstDataRow="2" firstDataCol="1" rowPageCount="2" colPageCount="1"/>
  <pivotFields count="39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numFmtId="166" outline="0" subtotalTop="0" showAll="0" includeNewItemsInFilter="1" defaultSubtotal="0"/>
    <pivotField dataField="1" compact="0" numFmtId="166" outline="0" subtotalTop="0" showAll="0" includeNewItemsInFilter="1" defaultSubtotal="0"/>
    <pivotField compact="0" numFmtId="166" outline="0" subtotalTop="0" showAll="0" includeNewItemsInFilter="1" defaultSubtotal="0"/>
    <pivotField compact="0" numFmtId="166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1"/>
        <item x="0"/>
      </items>
    </pivotField>
    <pivotField compact="0" numFmtId="38" outline="0" subtotalTop="0" showAll="0" includeNewItemsInFilter="1" defaultSubtotal="0"/>
    <pivotField axis="axisRow" compact="0" outline="0" subtotalTop="0" showAll="0" includeNewItemsInFilter="1" defaultSubtotal="0">
      <items count="4">
        <item m="1" x="3"/>
        <item m="1" x="1"/>
        <item m="1" x="2"/>
        <item x="0"/>
      </items>
    </pivotField>
    <pivotField compact="0" outline="0" subtotalTop="0" showAll="0" includeNewItemsInFilter="1" defaultSubtotal="0"/>
    <pivotField compact="0" numFmtId="165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31"/>
  </rowFields>
  <rowItems count="2">
    <i>
      <x v="3"/>
    </i>
    <i t="grand">
      <x/>
    </i>
  </rowItems>
  <colItems count="1">
    <i/>
  </colItems>
  <pageFields count="2">
    <pageField fld="29" item="1" hier="-1"/>
    <pageField fld="14" hier="-1"/>
  </pageFields>
  <dataFields count="1">
    <dataField name="Sum of I kval.konto." fld="18" baseField="0" baseItem="0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ell1" cacheId="47" autoFormatId="4109" applyNumberFormats="1" applyBorderFormats="1" applyFontFormats="1" applyPatternFormats="1" applyAlignmentFormats="1" applyWidthHeightFormats="1" dataCaption="Data" updatedVersion="5" showMemberPropertyTips="0" useAutoFormatting="1" rowGrandTotals="0" colGrandTotals="0" itemPrintTitles="1" createdVersion="1" indent="0" compact="0" compactData="0" gridDropZones="1">
  <location ref="A15:D17" firstHeaderRow="1" firstDataRow="2" firstDataCol="1" rowPageCount="5" colPageCount="1"/>
  <pivotFields count="39">
    <pivotField axis="axisPage" compact="0" outline="0" subtotalTop="0" showAll="0" includeNewItemsInFilter="1" defaultSubtotal="0">
      <items count="2">
        <item x="0"/>
        <item m="1"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Tilgj.dato " axis="axisCol" compact="0" numFmtId="164" outline="0" subtotalTop="0" showAll="0" includeNewItemsInFilter="1" nonAutoSortDefault="1" defaultSubtotal="0">
      <items count="65">
        <item m="1" x="21"/>
        <item m="1" x="54"/>
        <item m="1" x="64"/>
        <item m="1" x="30"/>
        <item m="1" x="59"/>
        <item m="1" x="20"/>
        <item m="1" x="53"/>
        <item m="1" x="63"/>
        <item m="1" x="26"/>
        <item m="1" x="57"/>
        <item m="1" x="18"/>
        <item m="1" x="51"/>
        <item m="1" x="62"/>
        <item m="1" x="47"/>
        <item m="1" x="61"/>
        <item m="1" x="16"/>
        <item m="1" x="42"/>
        <item m="1" x="58"/>
        <item m="1" x="19"/>
        <item m="1" x="52"/>
        <item m="1" x="15"/>
        <item m="1" x="38"/>
        <item m="1" x="56"/>
        <item m="1" x="55"/>
        <item m="1" x="17"/>
        <item m="1" x="45"/>
        <item m="1" x="60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m="1" x="23"/>
        <item m="1" x="24"/>
        <item m="1" x="25"/>
        <item m="1" x="27"/>
        <item m="1" x="28"/>
        <item m="1" x="29"/>
        <item m="1" x="31"/>
        <item m="1" x="32"/>
        <item m="1" x="33"/>
        <item m="1" x="34"/>
        <item m="1" x="35"/>
        <item m="1" x="36"/>
        <item m="1" x="37"/>
        <item m="1" x="39"/>
        <item m="1" x="40"/>
        <item m="1" x="41"/>
        <item m="1" x="43"/>
        <item m="1" x="44"/>
        <item m="1" x="46"/>
        <item m="1" x="48"/>
        <item m="1" x="49"/>
        <item m="1" x="5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sertBlankRow="1" includeNewItemsInFilter="1" sortType="descending" defaultSubtotal="0">
      <items count="4">
        <item x="0"/>
        <item m="1" x="2"/>
        <item m="1" x="1"/>
        <item m="1" x="3"/>
      </items>
    </pivotField>
    <pivotField axis="axisPage" compact="0" outline="0" subtotalTop="0" showAll="0" includeNewItemsInFilter="1" defaultSubtotal="0">
      <items count="2">
        <item m="1" x="1"/>
        <item x="0"/>
      </items>
    </pivotField>
    <pivotField compact="0" numFmtId="165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name="MRP_Type" axis="axisPage" compact="0" outline="0" subtotalTop="0" showAll="0" includeNewItemsInFilter="1" defaultSubtotal="0">
      <items count="5">
        <item m="1" x="3"/>
        <item m="1" x="4"/>
        <item m="1" x="2"/>
        <item x="1"/>
        <item x="0"/>
      </items>
    </pivotField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3">
        <item m="1" x="2"/>
        <item x="1"/>
        <item x="0"/>
      </items>
    </pivotField>
    <pivotField compact="0" outline="0" subtotalTop="0" dragToRow="0" dragToCol="0" dragToPage="0" showAll="0" includeNewItemsInFilter="1" defaultSubtotal="0"/>
  </pivotFields>
  <rowFields count="1">
    <field x="31"/>
  </rowFields>
  <rowItems count="1">
    <i>
      <x/>
    </i>
  </rowItems>
  <colFields count="1">
    <field x="23"/>
  </colFields>
  <colItems count="3">
    <i>
      <x v="32"/>
    </i>
    <i>
      <x v="36"/>
    </i>
    <i>
      <x v="41"/>
    </i>
  </colItems>
  <pageFields count="5">
    <pageField fld="0" hier="-1"/>
    <pageField fld="34" item="1" hier="-1"/>
    <pageField fld="35" item="3" hier="-1"/>
    <pageField fld="32" item="1" hier="-1"/>
    <pageField fld="37" item="1" hier="-1"/>
  </pageFields>
  <dataFields count="1">
    <dataField name="Dekning " fld="36" baseField="31" baseItem="3" numFmtId="38"/>
  </dataFields>
  <formats count="30">
    <format dxfId="43">
      <pivotArea dataOnly="0" labelOnly="1" outline="0" fieldPosition="0">
        <references count="1">
          <reference field="23" count="4">
            <x v="29"/>
            <x v="32"/>
            <x v="36"/>
            <x v="41"/>
          </reference>
        </references>
      </pivotArea>
    </format>
    <format dxfId="42">
      <pivotArea dataOnly="0" labelOnly="1" outline="0" fieldPosition="0">
        <references count="1">
          <reference field="23" count="4">
            <x v="29"/>
            <x v="32"/>
            <x v="36"/>
            <x v="41"/>
          </reference>
        </references>
      </pivotArea>
    </format>
    <format dxfId="41">
      <pivotArea field="31" type="button" dataOnly="0" labelOnly="1" outline="0" axis="axisRow" fieldPosition="0"/>
    </format>
    <format dxfId="40">
      <pivotArea dataOnly="0" labelOnly="1" outline="0" fieldPosition="0">
        <references count="1">
          <reference field="31" count="0"/>
        </references>
      </pivotArea>
    </format>
    <format dxfId="39">
      <pivotArea dataOnly="0" labelOnly="1" grandRow="1" outline="0" fieldPosition="0"/>
    </format>
    <format dxfId="38">
      <pivotArea dataOnly="0" labelOnly="1" outline="0" fieldPosition="0">
        <references count="1">
          <reference field="31" count="0"/>
        </references>
      </pivotArea>
    </format>
    <format dxfId="37">
      <pivotArea dataOnly="0" labelOnly="1" grandRow="1" outline="0" fieldPosition="0"/>
    </format>
    <format dxfId="36">
      <pivotArea field="31" type="button" dataOnly="0" labelOnly="1" outline="0" axis="axisRow" fieldPosition="0"/>
    </format>
    <format dxfId="35">
      <pivotArea dataOnly="0" labelOnly="1" outline="0" fieldPosition="0">
        <references count="1">
          <reference field="31" count="0"/>
        </references>
      </pivotArea>
    </format>
    <format dxfId="34">
      <pivotArea dataOnly="0" labelOnly="1" grandRow="1" outline="0" fieldPosition="0"/>
    </format>
    <format dxfId="33">
      <pivotArea dataOnly="0" labelOnly="1" outline="0" fieldPosition="0">
        <references count="1">
          <reference field="31" count="0"/>
        </references>
      </pivotArea>
    </format>
    <format dxfId="32">
      <pivotArea dataOnly="0" labelOnly="1" grandRow="1" outline="0" fieldPosition="0"/>
    </format>
    <format dxfId="31">
      <pivotArea field="31" type="button" dataOnly="0" labelOnly="1" outline="0" axis="axisRow" fieldPosition="0"/>
    </format>
    <format dxfId="30">
      <pivotArea dataOnly="0" labelOnly="1" outline="0" fieldPosition="0">
        <references count="1">
          <reference field="31" count="0"/>
        </references>
      </pivotArea>
    </format>
    <format dxfId="29">
      <pivotArea dataOnly="0" labelOnly="1" grandRow="1" outline="0" fieldPosition="0"/>
    </format>
    <format dxfId="28">
      <pivotArea dataOnly="0" labelOnly="1" outline="0" fieldPosition="0">
        <references count="1">
          <reference field="31" count="0"/>
        </references>
      </pivotArea>
    </format>
    <format dxfId="27">
      <pivotArea dataOnly="0" labelOnly="1" grandRow="1" outline="0" fieldPosition="0"/>
    </format>
    <format dxfId="26">
      <pivotArea field="31" type="button" dataOnly="0" labelOnly="1" outline="0" axis="axisRow" fieldPosition="0"/>
    </format>
    <format dxfId="25">
      <pivotArea dataOnly="0" labelOnly="1" outline="0" fieldPosition="0">
        <references count="1">
          <reference field="31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31" count="0"/>
        </references>
      </pivotArea>
    </format>
    <format dxfId="22">
      <pivotArea dataOnly="0" labelOnly="1" grandRow="1" outline="0" fieldPosition="0"/>
    </format>
    <format dxfId="21">
      <pivotArea field="31" type="button" dataOnly="0" labelOnly="1" outline="0" axis="axisRow" fieldPosition="0"/>
    </format>
    <format dxfId="20">
      <pivotArea dataOnly="0" labelOnly="1" outline="0" fieldPosition="0">
        <references count="1">
          <reference field="31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1">
          <reference field="31" count="0"/>
        </references>
      </pivotArea>
    </format>
    <format dxfId="17">
      <pivotArea dataOnly="0" labelOnly="1" grandRow="1" outline="0" fieldPosition="0"/>
    </format>
    <format dxfId="16">
      <pivotArea field="31" type="button" dataOnly="0" labelOnly="1" outline="0" axis="axisRow" fieldPosition="0"/>
    </format>
    <format dxfId="15">
      <pivotArea dataOnly="0" labelOnly="1" outline="0" fieldPosition="0">
        <references count="1">
          <reference field="31" count="0"/>
        </references>
      </pivotArea>
    </format>
    <format dxfId="14">
      <pivotArea dataOnly="0" labelOnly="1" outline="0" fieldPosition="0">
        <references count="1">
          <reference field="31" count="0"/>
        </references>
      </pivotArea>
    </format>
  </formats>
  <conditionalFormats count="3">
    <conditionalFormat priority="28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29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3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ell1" cacheId="47" autoFormatId="4109" applyNumberFormats="1" applyBorderFormats="1" applyFontFormats="1" applyPatternFormats="1" applyAlignmentFormats="1" applyWidthHeightFormats="1" dataCaption="Data" updatedVersion="5" showMemberPropertyTips="0" useAutoFormatting="1" colGrandTotals="0" itemPrintTitles="1" createdVersion="1" indent="0" compact="0" compactData="0" gridDropZones="1">
  <location ref="A15:E18" firstHeaderRow="1" firstDataRow="2" firstDataCol="1" rowPageCount="5" colPageCount="1"/>
  <pivotFields count="39">
    <pivotField axis="axisPage" compact="0" outline="0" subtotalTop="0" showAll="0" includeNewItemsInFilter="1" defaultSubtotal="0">
      <items count="2">
        <item x="0"/>
        <item m="1"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Tilgj.dato2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Tilgj.dato" compact="0" numFmtId="164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sortType="ascending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sortType="descending" defaultSubtotal="0">
      <items count="4">
        <item x="0"/>
        <item m="1" x="2"/>
        <item m="1" x="1"/>
        <item m="1" x="3"/>
      </items>
    </pivotField>
    <pivotField axis="axisPage" compact="0" outline="0" subtotalTop="0" showAll="0" includeNewItemsInFilter="1" defaultSubtotal="0">
      <items count="2">
        <item m="1" x="1"/>
        <item x="0"/>
      </items>
    </pivotField>
    <pivotField name="PO " axis="axisCol" compact="0" numFmtId="165" outline="0" subtotalTop="0" showAll="0" includeNewItemsInFilter="1" sortType="ascending" defaultSubtotal="0">
      <items count="5">
        <item x="0"/>
        <item x="1"/>
        <item x="2"/>
        <item x="3"/>
        <item x="4"/>
      </items>
    </pivotField>
    <pivotField axis="axisPage" compact="0" outline="0" subtotalTop="0" showAll="0" includeNewItemsInFilter="1" defaultSubtotal="0">
      <items count="2">
        <item x="0"/>
        <item x="1"/>
      </items>
    </pivotField>
    <pivotField name="MRP_Type" axis="axisPage" compact="0" outline="0" subtotalTop="0" showAll="0" includeNewItemsInFilter="1">
      <items count="6">
        <item m="1" x="3"/>
        <item m="1" x="4"/>
        <item m="1" x="2"/>
        <item x="1"/>
        <item x="0"/>
        <item t="default"/>
      </items>
    </pivotField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3">
        <item m="1" x="2"/>
        <item x="1"/>
        <item x="0"/>
      </items>
    </pivotField>
    <pivotField compact="0" outline="0" subtotalTop="0" dragToRow="0" dragToCol="0" dragToPage="0" showAll="0" includeNewItemsInFilter="1" defaultSubtotal="0"/>
  </pivotFields>
  <rowFields count="1">
    <field x="31"/>
  </rowFields>
  <rowItems count="2">
    <i>
      <x/>
    </i>
    <i t="grand">
      <x/>
    </i>
  </rowItems>
  <colFields count="1">
    <field x="33"/>
  </colFields>
  <colItems count="4">
    <i>
      <x v="1"/>
    </i>
    <i>
      <x v="2"/>
    </i>
    <i>
      <x v="3"/>
    </i>
    <i>
      <x v="4"/>
    </i>
  </colItems>
  <pageFields count="5">
    <pageField fld="0" hier="-1"/>
    <pageField fld="34" item="1" hier="-1"/>
    <pageField fld="35" item="3" hier="-1"/>
    <pageField fld="32" hier="-1"/>
    <pageField fld="37" hier="-1"/>
  </pageFields>
  <dataFields count="1">
    <dataField name="Gjennomsnitt av dekning" fld="36" subtotal="average" baseField="31" baseItem="3" numFmtId="38"/>
  </dataField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ell1" cacheId="47" autoFormatId="4109" applyNumberFormats="1" applyBorderFormats="1" applyFontFormats="1" applyPatternFormats="1" applyAlignmentFormats="1" applyWidthHeightFormats="1" dataCaption="Data" showError="1" updatedVersion="5" showMemberPropertyTips="0" useAutoFormatting="1" itemPrintTitles="1" createdVersion="1" indent="0" compact="0" compactData="0" gridDropZones="1">
  <location ref="A12:C15" firstHeaderRow="1" firstDataRow="1" firstDataCol="2" rowPageCount="5" colPageCount="1"/>
  <pivotFields count="39">
    <pivotField axis="axisPage" compact="0" outline="0" subtotalTop="0" showAll="0" includeNewItemsInFilter="1" defaultSubtotal="0">
      <items count="2">
        <item x="0"/>
        <item m="1"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Dato" compact="0" numFmtId="164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sertBlankRow="1" includeNewItemsInFilter="1" sortType="ascending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sertBlankRow="1" includeNewItemsInFilter="1" defaultSubtotal="0">
      <items count="4">
        <item m="1" x="3"/>
        <item m="1" x="2"/>
        <item m="1" x="1"/>
        <item x="0"/>
      </items>
    </pivotField>
    <pivotField axis="axisPage" compact="0" outline="0" subtotalTop="0" showAll="0" includeNewItemsInFilter="1" defaultSubtotal="0">
      <items count="2">
        <item m="1" x="1"/>
        <item x="0"/>
      </items>
    </pivotField>
    <pivotField compact="0" numFmtId="165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name="MRP_Type" axis="axisPage" compact="0" outline="0" subtotalTop="0" showAll="0" includeNewItemsInFilter="1">
      <items count="6">
        <item m="1" x="3"/>
        <item m="1" x="4"/>
        <item m="1" x="2"/>
        <item x="1"/>
        <item x="0"/>
        <item t="default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3">
        <item m="1" x="2"/>
        <item x="1"/>
        <item x="0"/>
      </items>
    </pivotField>
    <pivotField compact="0" outline="0" subtotalTop="0" dragToRow="0" dragToCol="0" dragToPage="0" showAll="0" includeNewItemsInFilter="1" defaultSubtotal="0"/>
  </pivotFields>
  <rowFields count="2">
    <field x="28"/>
    <field x="31"/>
  </rowFields>
  <rowItems count="3">
    <i>
      <x/>
      <x v="3"/>
    </i>
    <i t="blank">
      <x/>
    </i>
    <i t="grand">
      <x/>
    </i>
  </rowItems>
  <colItems count="1">
    <i/>
  </colItems>
  <pageFields count="5">
    <pageField fld="0" hier="-1"/>
    <pageField fld="32" hier="-1"/>
    <pageField fld="35" item="4" hier="-1"/>
    <pageField fld="34" hier="-1"/>
    <pageField fld="37" hier="-1"/>
  </pageFields>
  <dataFields count="1">
    <dataField name="Sum of Lagerdekning" fld="19" baseField="28" baseItem="1" numFmtId="38"/>
  </dataFields>
  <formats count="2">
    <format dxfId="13">
      <pivotArea type="origin" dataOnly="0" labelOnly="1" outline="0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ell1" cacheId="47" autoFormatId="4109" applyNumberFormats="1" applyBorderFormats="1" applyFontFormats="1" applyPatternFormats="1" applyAlignmentFormats="1" applyWidthHeightFormats="1" dataCaption="Data" updatedVersion="5" showMemberPropertyTips="0" useAutoFormatting="1" colGrandTotals="0" itemPrintTitles="1" createdVersion="1" indent="0" compact="0" compactData="0" gridDropZones="1">
  <location ref="A14:G29" firstHeaderRow="0" firstDataRow="1" firstDataCol="1" rowPageCount="7" colPageCount="1"/>
  <pivotFields count="39">
    <pivotField axis="axisPage" compact="0" outline="0" subtotalTop="0" showAll="0" includeNewItemsInFilter="1" defaultSubtotal="0">
      <items count="2">
        <item x="0"/>
        <item m="1"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name="Tilgj.dato " axis="axisRow" compact="0" numFmtId="164" outline="0" subtotalTop="0" showAll="0" includeNewItemsInFilter="1" sortType="ascending" defaultSubtotal="0">
      <items count="65">
        <item m="1" x="21"/>
        <item m="1" x="54"/>
        <item m="1" x="64"/>
        <item m="1" x="30"/>
        <item m="1" x="59"/>
        <item m="1" x="20"/>
        <item m="1" x="53"/>
        <item m="1" x="63"/>
        <item m="1" x="26"/>
        <item m="1" x="57"/>
        <item m="1" x="18"/>
        <item m="1" x="51"/>
        <item m="1" x="62"/>
        <item m="1" x="47"/>
        <item m="1" x="61"/>
        <item m="1" x="16"/>
        <item m="1" x="42"/>
        <item m="1" x="58"/>
        <item m="1" x="19"/>
        <item m="1" x="52"/>
        <item m="1" x="15"/>
        <item m="1" x="38"/>
        <item m="1" x="56"/>
        <item m="1" x="55"/>
        <item m="1" x="17"/>
        <item m="1" x="45"/>
        <item m="1" x="60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m="1" x="23"/>
        <item m="1" x="24"/>
        <item m="1" x="25"/>
        <item m="1" x="27"/>
        <item m="1" x="28"/>
        <item m="1" x="29"/>
        <item m="1" x="31"/>
        <item m="1" x="32"/>
        <item m="1" x="33"/>
        <item m="1" x="34"/>
        <item m="1" x="35"/>
        <item m="1" x="36"/>
        <item m="1" x="37"/>
        <item m="1" x="39"/>
        <item m="1" x="40"/>
        <item m="1" x="41"/>
        <item m="1" x="43"/>
        <item m="1" x="44"/>
        <item m="1" x="46"/>
        <item m="1" x="48"/>
        <item m="1" x="49"/>
        <item m="1" x="50"/>
      </items>
    </pivotField>
    <pivotField compact="0" outline="0" subtotalTop="0" showAll="0" includeNewItemsInFilter="1"/>
    <pivotField axis="axisPage" compact="0" outline="0" subtotalTop="0" showAll="0" includeNewItemsInFilter="1" defaultSubtotal="0">
      <items count="22">
        <item m="1" x="4"/>
        <item m="1" x="7"/>
        <item m="1" x="12"/>
        <item m="1" x="13"/>
        <item m="1" x="14"/>
        <item m="1" x="21"/>
        <item m="1" x="19"/>
        <item m="1" x="17"/>
        <item m="1" x="16"/>
        <item m="1" x="5"/>
        <item m="1" x="10"/>
        <item m="1" x="9"/>
        <item m="1" x="8"/>
        <item m="1" x="6"/>
        <item m="1" x="15"/>
        <item m="1" x="11"/>
        <item m="1" x="20"/>
        <item m="1" x="18"/>
        <item x="0"/>
        <item x="1"/>
        <item x="2"/>
        <item x="3"/>
      </items>
    </pivotField>
    <pivotField axis="axisPage" compact="0" outline="0" subtotalTop="0" showAll="0" includeNewItemsInFilter="1" defaultSubtotal="0">
      <items count="16">
        <item m="1" x="5"/>
        <item m="1" x="10"/>
        <item m="1" x="8"/>
        <item m="1" x="6"/>
        <item m="1" x="3"/>
        <item m="1" x="2"/>
        <item m="1" x="1"/>
        <item m="1" x="15"/>
        <item m="1" x="14"/>
        <item m="1" x="13"/>
        <item m="1" x="12"/>
        <item m="1" x="11"/>
        <item m="1" x="9"/>
        <item m="1" x="7"/>
        <item m="1" x="4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4">
        <item m="1" x="3"/>
        <item m="1" x="2"/>
        <item m="1" x="1"/>
        <item x="0"/>
      </items>
    </pivotField>
    <pivotField compact="0" outline="0" subtotalTop="0" showAll="0" includeNewItemsInFilter="1" defaultSubtotal="0"/>
    <pivotField compact="0" numFmtId="165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name="MRP_Type" axis="axisPage" compact="0" outline="0" subtotalTop="0" showAll="0" includeNewItemsInFilter="1">
      <items count="6">
        <item m="1" x="3"/>
        <item m="1" x="4"/>
        <item m="1" x="2"/>
        <item x="1"/>
        <item x="0"/>
        <item t="default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3">
        <item m="1" x="2"/>
        <item x="1"/>
        <item x="0"/>
      </items>
    </pivotField>
    <pivotField compact="0" outline="0" subtotalTop="0" dragToRow="0" dragToCol="0" dragToPage="0" showAll="0" includeNewItemsInFilter="1" defaultSubtotal="0"/>
  </pivotFields>
  <rowFields count="1">
    <field x="23"/>
  </rowFields>
  <row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7">
    <pageField fld="0" hier="-1"/>
    <pageField fld="26" hier="-1"/>
    <pageField fld="34" hier="-1"/>
    <pageField fld="31" hier="-1"/>
    <pageField fld="35" item="3" hier="-1"/>
    <pageField fld="25" hier="-1"/>
    <pageField fld="37" hier="-1"/>
  </pageFields>
  <dataFields count="6">
    <dataField name="Planl.behov " fld="20" baseField="24" baseItem="52" numFmtId="38"/>
    <dataField name="Behov " fld="17" baseField="27" baseItem="25" numFmtId="38"/>
    <dataField name="kva.mottatt " fld="21" baseField="24" baseItem="51" numFmtId="38"/>
    <dataField name="Tilgj.Kvantum " fld="22" baseField="24" baseItem="51" numFmtId="38"/>
    <dataField name="Lagerdekning " fld="19" baseField="24" baseItem="51" numFmtId="38"/>
    <dataField name="QM_Lot " fld="30" baseField="26" baseItem="33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pExlData" displayName="SapExlData" ref="A1:AM16" totalsRowShown="0" headerRowDxfId="90">
  <autoFilter ref="A1:AM16"/>
  <tableColumns count="39">
    <tableColumn id="1" name="ABC" dataDxfId="89"/>
    <tableColumn id="7" name="Språk" dataDxfId="88"/>
    <tableColumn id="28" name="Material Besk." dataDxfId="87"/>
    <tableColumn id="27" name="Varegruppe" dataDxfId="86"/>
    <tableColumn id="26" name="Materialtype" dataDxfId="85"/>
    <tableColumn id="25" name="Fabrikk" dataDxfId="84"/>
    <tableColumn id="24" name="Innkjøpsgruppe" dataDxfId="83"/>
    <tableColumn id="23" name="Materialplanlegger" dataDxfId="82"/>
    <tableColumn id="22" name="Tilgj.dato" dataDxfId="81"/>
    <tableColumn id="21" name="Ind. MRP-elem." dataDxfId="2"/>
    <tableColumn id="8" name="Mat.status" dataDxfId="0"/>
    <tableColumn id="20" name="planleggingssegment" dataDxfId="1"/>
    <tableColumn id="14" name="Enhet" dataDxfId="80"/>
    <tableColumn id="13" name="Valuta" dataDxfId="79"/>
    <tableColumn id="12" name="Språkkode" dataDxfId="78"/>
    <tableColumn id="11" name="Material" dataDxfId="77"/>
    <tableColumn id="2" name="Materialtypekode" dataDxfId="76"/>
    <tableColumn id="3" name="Fabrikkode" dataDxfId="75"/>
    <tableColumn id="9" name="Behov" dataDxfId="74"/>
    <tableColumn id="10" name="I kval.konto." dataDxfId="73"/>
    <tableColumn id="29" name="Lagerdekning" dataDxfId="72"/>
    <tableColumn id="30" name="Planl.behov" dataDxfId="71"/>
    <tableColumn id="31" name="kva.mottatt" dataDxfId="70"/>
    <tableColumn id="4" name="Tilgj.Kvantum" dataDxfId="69"/>
    <tableColumn id="6" name="TILGJ_DATO" dataDxfId="68">
      <calculatedColumnFormula>DATEVALUE(SapExlData[Tilgj.dato])</calculatedColumnFormula>
    </tableColumn>
    <tableColumn id="32" name="Sys01" dataDxfId="67">
      <calculatedColumnFormula>TEXT(IF(WEEKDAY(DATE(YEAR(DATEVALUE(SapExlData[Tilgj.dato])),1,1),2)&gt;4,WEEKNUM(DATEVALUE(SapExlData[Tilgj.dato]),2)-1,WEEKNUM(DATEVALUE(SapExlData[Tilgj.dato]),2)),"00")</calculatedColumnFormula>
    </tableColumn>
    <tableColumn id="35" name="Uke" dataDxfId="66">
      <calculatedColumnFormula>YEAR(SapExlData[TILGJ_DATO])&amp;"-"&amp;WEEKNUM(DATEVALUE(SapExlData[Tilgj.dato]),2)</calculatedColumnFormula>
    </tableColumn>
    <tableColumn id="36" name="Maned" dataDxfId="65">
      <calculatedColumnFormula>YEAR(SapExlData[TILGJ_DATO])&amp;"-"&amp;TEXT(MONTH(SapExlData[TILGJ_DATO]),"00")</calculatedColumnFormula>
    </tableColumn>
    <tableColumn id="75" name="Hjelp" dataDxfId="64">
      <calculatedColumnFormula>IF(AJ2=1,U2,IF(AND(U1&lt;0,P2=P1,AK1&lt;&gt;"Behold"),AC1,U2))</calculatedColumnFormula>
    </tableColumn>
    <tableColumn id="38" name="Manglende POs" dataDxfId="63">
      <calculatedColumnFormula>IF(AND(SapExlData[Material]&lt;&gt;OFFSET(P2,1,0),AI2=0),"Mangler POs",IF(OFFSET(P2,1,0)="","OK",IF(P2&lt;&gt;OFFSET(P1,1,0),"OK","OK")))</calculatedColumnFormula>
    </tableColumn>
    <tableColumn id="18" name="Test_QM" dataDxfId="62">
      <calculatedColumnFormula>IF(T2&gt;0,1,0)</calculatedColumnFormula>
    </tableColumn>
    <tableColumn id="39" name="QM_Lot" dataDxfId="61">
      <calculatedColumnFormula>IF(T2=0,0,SapExlData[I kval.konto.]*IF(AND(AI2=1,AJ2=1),1,0))</calculatedColumnFormula>
    </tableColumn>
    <tableColumn id="40" name="Material Navn" dataDxfId="60">
      <calculatedColumnFormula>SapExlData[Material]&amp;"  "&amp;SapExlData[Material Besk.]</calculatedColumnFormula>
    </tableColumn>
    <tableColumn id="41" name="Periode" dataDxfId="59">
      <calculatedColumnFormula>IF(OR(SapExlData[TILGJ_DATO]&lt;=TODAY(),SapExlData[TILGJ_DATO]&gt;TODAY()+31*8),0,1)</calculatedColumnFormula>
    </tableColumn>
    <tableColumn id="42" name="PO_#" dataDxfId="58">
      <calculatedColumnFormula>IF(P2&lt;&gt;P1,0,IF(AJ2=1,AI1+1,AI1))</calculatedColumnFormula>
    </tableColumn>
    <tableColumn id="43" name="Ordre" dataDxfId="57">
      <calculatedColumnFormula>IF(ROWS(SapExlData[])&lt;4,1,IF(AND(SapExlData[MRP_Type]&lt;&gt;"Behold",SapExlData[kva.mottatt]&gt;0),1,0))</calculatedColumnFormula>
    </tableColumn>
    <tableColumn id="65" name="MRP_Type" dataDxfId="56">
      <calculatedColumnFormula>IF(SapExlData[Ind. MRP-elem.]="WB","Behold",IF(SapExlData[Ind. MRP-elem.]="Ikke tilordnet","Beh/Inn","Andre"))</calculatedColumnFormula>
    </tableColumn>
    <tableColumn id="5" name="Dekning" dataDxfId="55">
      <calculatedColumnFormula>IF(SapExlData[kva.mottatt]&gt;0,IF(P2&lt;&gt;P1,U2,AC1),0)</calculatedColumnFormula>
    </tableColumn>
    <tableColumn id="67" name="Alert" dataDxfId="54">
      <calculatedColumnFormula>IF(SapExlData[Dekning]&lt;GreenLimit,"Alerts","Other")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Descriptions" displayName="Descriptions" ref="A1:B82" totalsRowShown="0" headerRowDxfId="53">
  <autoFilter ref="A1:B82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52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51">
      <xmlColumnPr mapId="1" xpath="/XtraSerializer/@VariantID" xmlDataType="integer"/>
    </tableColumn>
    <tableColumn id="4" uniqueName="SheetName" name="SheetName" dataDxfId="50">
      <xmlColumnPr mapId="1" xpath="/XtraSerializer/property/@SheetName" xmlDataType="string"/>
    </tableColumn>
    <tableColumn id="5" uniqueName="TableName" name="TableName" dataDxfId="49">
      <xmlColumnPr mapId="1" xpath="/XtraSerializer/property/@TableName" xmlDataType="string"/>
    </tableColumn>
    <tableColumn id="6" uniqueName="Seq" name="Seq" dataDxfId="48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47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46">
      <xmlColumnPr mapId="1" xpath="/XtraSerializer/property/property/@FieldList" xmlDataType="integer"/>
    </tableColumn>
    <tableColumn id="14" uniqueName="MissingItems" name="MissingItems" dataDxfId="45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44"/>
    <tableColumn id="2" name="Value"/>
    <tableColumn id="3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AM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4140625" defaultRowHeight="14.4" x14ac:dyDescent="0.3"/>
  <cols>
    <col min="1" max="1" width="8.5546875" customWidth="1"/>
    <col min="2" max="2" width="11.21875" bestFit="1" customWidth="1"/>
    <col min="3" max="3" width="25.21875" bestFit="1" customWidth="1"/>
    <col min="4" max="4" width="13.77734375" customWidth="1"/>
    <col min="5" max="5" width="14.77734375" customWidth="1"/>
    <col min="6" max="6" width="10" customWidth="1"/>
    <col min="7" max="7" width="17.21875" customWidth="1"/>
    <col min="8" max="8" width="20.5546875" customWidth="1"/>
    <col min="9" max="9" width="11.77734375" customWidth="1"/>
    <col min="10" max="10" width="17.21875" bestFit="1" customWidth="1"/>
    <col min="11" max="11" width="11.33203125" style="17" bestFit="1" customWidth="1"/>
    <col min="12" max="12" width="14.44140625" style="17" customWidth="1"/>
    <col min="13" max="13" width="8.5546875" customWidth="1"/>
    <col min="14" max="14" width="9.21875" customWidth="1"/>
    <col min="15" max="15" width="13.5546875" style="30" customWidth="1"/>
    <col min="16" max="16" width="15.5546875" bestFit="1" customWidth="1"/>
    <col min="17" max="17" width="19.5546875" customWidth="1"/>
    <col min="18" max="18" width="13.21875" bestFit="1" customWidth="1"/>
    <col min="19" max="19" width="9" style="50" bestFit="1" customWidth="1"/>
    <col min="20" max="20" width="14.21875" style="50" bestFit="1" customWidth="1"/>
    <col min="21" max="21" width="15.21875" style="50" bestFit="1" customWidth="1"/>
    <col min="22" max="22" width="13.77734375" style="50" bestFit="1" customWidth="1"/>
    <col min="23" max="23" width="13.77734375" bestFit="1" customWidth="1"/>
    <col min="24" max="24" width="15.5546875" bestFit="1" customWidth="1"/>
    <col min="25" max="25" width="14.21875" style="33" bestFit="1" customWidth="1"/>
    <col min="26" max="26" width="8.77734375" style="17" customWidth="1"/>
    <col min="27" max="27" width="8.21875" style="17" customWidth="1"/>
    <col min="28" max="28" width="10.21875" style="17" bestFit="1" customWidth="1"/>
    <col min="29" max="29" width="8.44140625" bestFit="1" customWidth="1"/>
    <col min="30" max="30" width="16.77734375" style="17" bestFit="1" customWidth="1"/>
    <col min="31" max="31" width="11.21875" style="17" bestFit="1" customWidth="1"/>
    <col min="32" max="32" width="10.44140625" bestFit="1" customWidth="1"/>
    <col min="33" max="33" width="32.77734375" bestFit="1" customWidth="1"/>
    <col min="34" max="34" width="10.21875" bestFit="1" customWidth="1"/>
    <col min="35" max="35" width="8.21875" style="37" customWidth="1"/>
    <col min="36" max="36" width="8.5546875" customWidth="1"/>
    <col min="37" max="37" width="12.77734375" customWidth="1"/>
    <col min="38" max="38" width="10.77734375" bestFit="1" customWidth="1"/>
    <col min="39" max="39" width="8.5546875" bestFit="1" customWidth="1"/>
  </cols>
  <sheetData>
    <row r="1" spans="1:39" s="6" customFormat="1" x14ac:dyDescent="0.3">
      <c r="A1" s="9" t="s">
        <v>188</v>
      </c>
      <c r="B1" s="9" t="s">
        <v>154</v>
      </c>
      <c r="C1" s="9" t="s">
        <v>210</v>
      </c>
      <c r="D1" s="9" t="s">
        <v>155</v>
      </c>
      <c r="E1" s="9" t="s">
        <v>156</v>
      </c>
      <c r="F1" s="9" t="s">
        <v>157</v>
      </c>
      <c r="G1" s="9" t="s">
        <v>158</v>
      </c>
      <c r="H1" s="9" t="s">
        <v>159</v>
      </c>
      <c r="I1" s="6" t="s">
        <v>186</v>
      </c>
      <c r="J1" s="6" t="s">
        <v>165</v>
      </c>
      <c r="K1" s="41" t="s">
        <v>245</v>
      </c>
      <c r="L1" s="41" t="s">
        <v>166</v>
      </c>
      <c r="M1" s="6" t="s">
        <v>160</v>
      </c>
      <c r="N1" s="6" t="s">
        <v>161</v>
      </c>
      <c r="O1" s="6" t="s">
        <v>163</v>
      </c>
      <c r="P1" s="6" t="s">
        <v>3</v>
      </c>
      <c r="Q1" s="6" t="s">
        <v>162</v>
      </c>
      <c r="R1" s="6" t="s">
        <v>164</v>
      </c>
      <c r="S1" s="49" t="s">
        <v>174</v>
      </c>
      <c r="T1" s="49" t="s">
        <v>191</v>
      </c>
      <c r="U1" s="49" t="s">
        <v>175</v>
      </c>
      <c r="V1" s="49" t="s">
        <v>177</v>
      </c>
      <c r="W1" s="6" t="s">
        <v>176</v>
      </c>
      <c r="X1" s="6" t="s">
        <v>192</v>
      </c>
      <c r="Y1" s="39" t="s">
        <v>183</v>
      </c>
      <c r="Z1" s="40" t="s">
        <v>106</v>
      </c>
      <c r="AA1" s="40" t="s">
        <v>173</v>
      </c>
      <c r="AB1" s="40" t="s">
        <v>189</v>
      </c>
      <c r="AC1" s="12" t="s">
        <v>179</v>
      </c>
      <c r="AD1" s="40" t="s">
        <v>240</v>
      </c>
      <c r="AE1" s="40" t="s">
        <v>211</v>
      </c>
      <c r="AF1" s="12" t="s">
        <v>140</v>
      </c>
      <c r="AG1" s="12" t="s">
        <v>178</v>
      </c>
      <c r="AH1" s="12" t="s">
        <v>180</v>
      </c>
      <c r="AI1" s="36" t="s">
        <v>133</v>
      </c>
      <c r="AJ1" s="12" t="s">
        <v>181</v>
      </c>
      <c r="AK1" s="12" t="s">
        <v>118</v>
      </c>
      <c r="AL1" s="12" t="s">
        <v>190</v>
      </c>
      <c r="AM1" s="12" t="s">
        <v>128</v>
      </c>
    </row>
    <row r="2" spans="1:39" x14ac:dyDescent="0.3">
      <c r="A2" s="55" t="s">
        <v>27</v>
      </c>
      <c r="B2" s="56" t="s">
        <v>212</v>
      </c>
      <c r="C2" s="56" t="s">
        <v>213</v>
      </c>
      <c r="D2" s="56" t="s">
        <v>193</v>
      </c>
      <c r="E2" s="56" t="s">
        <v>194</v>
      </c>
      <c r="F2" s="56" t="s">
        <v>195</v>
      </c>
      <c r="G2" s="56" t="s">
        <v>196</v>
      </c>
      <c r="H2" s="56" t="s">
        <v>197</v>
      </c>
      <c r="I2" s="57" t="s">
        <v>214</v>
      </c>
      <c r="J2" s="57" t="s">
        <v>231</v>
      </c>
      <c r="K2" s="58">
        <v>18</v>
      </c>
      <c r="L2" s="58">
        <v>2</v>
      </c>
      <c r="M2" s="56" t="s">
        <v>199</v>
      </c>
      <c r="N2" s="56" t="s">
        <v>199</v>
      </c>
      <c r="O2" s="56" t="s">
        <v>38</v>
      </c>
      <c r="P2" s="56" t="s">
        <v>215</v>
      </c>
      <c r="Q2" s="57" t="s">
        <v>200</v>
      </c>
      <c r="R2" s="57" t="s">
        <v>201</v>
      </c>
      <c r="S2" s="61">
        <v>0</v>
      </c>
      <c r="T2" s="61">
        <v>19</v>
      </c>
      <c r="U2" s="61">
        <v>19</v>
      </c>
      <c r="V2" s="61">
        <v>-201</v>
      </c>
      <c r="W2" s="58">
        <v>549.48400000000004</v>
      </c>
      <c r="X2" s="60">
        <v>-9511.01</v>
      </c>
      <c r="Y2" s="33">
        <f>DATEVALUE(SapExlData[Tilgj.dato])</f>
        <v>42158</v>
      </c>
      <c r="Z2" s="17" t="str">
        <f>TEXT(IF(WEEKDAY(DATE(YEAR(DATEVALUE(SapExlData[Tilgj.dato])),1,1),2)&gt;4,WEEKNUM(DATEVALUE(SapExlData[Tilgj.dato]),2)-1,WEEKNUM(DATEVALUE(SapExlData[Tilgj.dato]),2)),"00")</f>
        <v>23</v>
      </c>
      <c r="AA2" s="17" t="str">
        <f>YEAR(SapExlData[TILGJ_DATO])&amp;"-"&amp;WEEKNUM(DATEVALUE(SapExlData[Tilgj.dato]),2)</f>
        <v>2015-23</v>
      </c>
      <c r="AB2" s="17" t="str">
        <f>YEAR(SapExlData[TILGJ_DATO])&amp;"-"&amp;TEXT(MONTH(SapExlData[TILGJ_DATO]),"00")</f>
        <v>2015-06</v>
      </c>
      <c r="AC2" s="17">
        <f t="shared" ref="AC2:AC16" si="0">IF(AJ2=1,U2,IF(AND(U1&lt;0,P2=P1,AK1&lt;&gt;"Behold"),AC1,U2))</f>
        <v>19</v>
      </c>
      <c r="AD2" s="17" t="str">
        <f ca="1">IF(AND(SapExlData[Material]&lt;&gt;OFFSET(P2,1,0),AI2=0),"Mangler POs",IF(OFFSET(P2,1,0)="","OK",IF(P2&lt;&gt;OFFSET(P1,1,0),"OK","OK")))</f>
        <v>OK</v>
      </c>
      <c r="AE2" s="17">
        <f t="shared" ref="AE2:AE16" si="1">IF(T2&gt;0,1,0)</f>
        <v>1</v>
      </c>
      <c r="AF2" s="21">
        <f>IF(T2=0,0,SapExlData[I kval.konto.]*IF(AND(AI2=1,AJ2=1),1,0))</f>
        <v>0</v>
      </c>
      <c r="AG2" t="str">
        <f>SapExlData[Material]&amp;"  "&amp;SapExlData[Material Besk.]</f>
        <v>1022  Stabb Leverpostei 60x100g</v>
      </c>
      <c r="AH2">
        <f ca="1">IF(OR(SapExlData[TILGJ_DATO]&lt;=TODAY(),SapExlData[TILGJ_DATO]&gt;TODAY()+31*8),0,1)</f>
        <v>0</v>
      </c>
      <c r="AI2" s="37">
        <f t="shared" ref="AI2:AI16" si="2">IF(P2&lt;&gt;P1,0,IF(AJ2=1,AI1+1,AI1))</f>
        <v>0</v>
      </c>
      <c r="AJ2">
        <f>IF(ROWS(SapExlData[])&lt;4,1,IF(AND(SapExlData[MRP_Type]&lt;&gt;"Behold",SapExlData[kva.mottatt]&gt;0),1,0))</f>
        <v>0</v>
      </c>
      <c r="AK2" t="str">
        <f>IF(SapExlData[Ind. MRP-elem.]="WB","Behold",IF(SapExlData[Ind. MRP-elem.]="Ikke tilordnet","Beh/Inn","Andre"))</f>
        <v>Behold</v>
      </c>
      <c r="AL2">
        <f>IF(SapExlData[kva.mottatt]&gt;0,IF(P2&lt;&gt;P1,U2,AC1),0)</f>
        <v>19</v>
      </c>
      <c r="AM2" s="21" t="str">
        <f>IF(SapExlData[Dekning]&lt;GreenLimit,"Alerts","Other")</f>
        <v>Other</v>
      </c>
    </row>
    <row r="3" spans="1:39" x14ac:dyDescent="0.3">
      <c r="A3" s="51" t="s">
        <v>27</v>
      </c>
      <c r="B3" s="52" t="s">
        <v>212</v>
      </c>
      <c r="C3" s="52" t="s">
        <v>213</v>
      </c>
      <c r="D3" s="52" t="s">
        <v>193</v>
      </c>
      <c r="E3" s="52" t="s">
        <v>194</v>
      </c>
      <c r="F3" s="52" t="s">
        <v>195</v>
      </c>
      <c r="G3" s="52" t="s">
        <v>196</v>
      </c>
      <c r="H3" s="52" t="s">
        <v>197</v>
      </c>
      <c r="I3" s="53" t="s">
        <v>216</v>
      </c>
      <c r="J3" s="53" t="s">
        <v>198</v>
      </c>
      <c r="K3" s="58">
        <v>18</v>
      </c>
      <c r="L3" s="54">
        <v>2</v>
      </c>
      <c r="M3" s="52" t="s">
        <v>199</v>
      </c>
      <c r="N3" s="52" t="s">
        <v>199</v>
      </c>
      <c r="O3" s="52" t="s">
        <v>38</v>
      </c>
      <c r="P3" s="52" t="s">
        <v>215</v>
      </c>
      <c r="Q3" s="53" t="s">
        <v>200</v>
      </c>
      <c r="R3" s="53" t="s">
        <v>201</v>
      </c>
      <c r="S3" s="62">
        <v>0</v>
      </c>
      <c r="T3" s="62">
        <v>0</v>
      </c>
      <c r="U3" s="62">
        <v>-18</v>
      </c>
      <c r="V3" s="62">
        <v>-201</v>
      </c>
      <c r="W3" s="54">
        <v>1373.71</v>
      </c>
      <c r="X3" s="59">
        <v>-8338.2999999999993</v>
      </c>
      <c r="Y3" s="33">
        <f>DATEVALUE(SapExlData[Tilgj.dato])</f>
        <v>42159</v>
      </c>
      <c r="Z3" s="17" t="str">
        <f>TEXT(IF(WEEKDAY(DATE(YEAR(DATEVALUE(SapExlData[Tilgj.dato])),1,1),2)&gt;4,WEEKNUM(DATEVALUE(SapExlData[Tilgj.dato]),2)-1,WEEKNUM(DATEVALUE(SapExlData[Tilgj.dato]),2)),"00")</f>
        <v>23</v>
      </c>
      <c r="AA3" s="17" t="str">
        <f>YEAR(SapExlData[TILGJ_DATO])&amp;"-"&amp;WEEKNUM(DATEVALUE(SapExlData[Tilgj.dato]),2)</f>
        <v>2015-23</v>
      </c>
      <c r="AB3" s="17" t="str">
        <f>YEAR(SapExlData[TILGJ_DATO])&amp;"-"&amp;TEXT(MONTH(SapExlData[TILGJ_DATO]),"00")</f>
        <v>2015-06</v>
      </c>
      <c r="AC3" s="17">
        <f t="shared" si="0"/>
        <v>-18</v>
      </c>
      <c r="AD3" s="17" t="str">
        <f ca="1">IF(AND(SapExlData[Material]&lt;&gt;OFFSET(P3,1,0),AI3=0),"Mangler POs",IF(OFFSET(P3,1,0)="","OK",IF(P3&lt;&gt;OFFSET(P2,1,0),"OK","OK")))</f>
        <v>OK</v>
      </c>
      <c r="AE3" s="17">
        <f t="shared" si="1"/>
        <v>0</v>
      </c>
      <c r="AF3" s="21">
        <f>IF(T3=0,0,SapExlData[I kval.konto.]*IF(AND(AI3=1,AJ3=1),1,0))</f>
        <v>0</v>
      </c>
      <c r="AG3" t="str">
        <f>SapExlData[Material]&amp;"  "&amp;SapExlData[Material Besk.]</f>
        <v>1022  Stabb Leverpostei 60x100g</v>
      </c>
      <c r="AH3">
        <f ca="1">IF(OR(SapExlData[TILGJ_DATO]&lt;=TODAY(),SapExlData[TILGJ_DATO]&gt;TODAY()+31*8),0,1)</f>
        <v>0</v>
      </c>
      <c r="AI3" s="37">
        <f t="shared" si="2"/>
        <v>1</v>
      </c>
      <c r="AJ3">
        <f>IF(ROWS(SapExlData[])&lt;4,1,IF(AND(SapExlData[MRP_Type]&lt;&gt;"Behold",SapExlData[kva.mottatt]&gt;0),1,0))</f>
        <v>1</v>
      </c>
      <c r="AK3" t="str">
        <f>IF(SapExlData[Ind. MRP-elem.]="WB","Behold",IF(SapExlData[Ind. MRP-elem.]="Ikke tilordnet","Beh/Inn","Andre"))</f>
        <v>Beh/Inn</v>
      </c>
      <c r="AL3">
        <f>IF(SapExlData[kva.mottatt]&gt;0,IF(P3&lt;&gt;P2,U3,AC2),0)</f>
        <v>19</v>
      </c>
      <c r="AM3" s="21" t="str">
        <f>IF(SapExlData[Dekning]&lt;GreenLimit,"Alerts","Other")</f>
        <v>Other</v>
      </c>
    </row>
    <row r="4" spans="1:39" x14ac:dyDescent="0.3">
      <c r="A4" s="55" t="s">
        <v>27</v>
      </c>
      <c r="B4" s="56" t="s">
        <v>212</v>
      </c>
      <c r="C4" s="56" t="s">
        <v>213</v>
      </c>
      <c r="D4" s="56" t="s">
        <v>193</v>
      </c>
      <c r="E4" s="56" t="s">
        <v>194</v>
      </c>
      <c r="F4" s="56" t="s">
        <v>195</v>
      </c>
      <c r="G4" s="56" t="s">
        <v>196</v>
      </c>
      <c r="H4" s="56" t="s">
        <v>197</v>
      </c>
      <c r="I4" s="57" t="s">
        <v>217</v>
      </c>
      <c r="J4" s="57" t="s">
        <v>198</v>
      </c>
      <c r="K4" s="58">
        <v>18</v>
      </c>
      <c r="L4" s="58">
        <v>2</v>
      </c>
      <c r="M4" s="56" t="s">
        <v>199</v>
      </c>
      <c r="N4" s="56" t="s">
        <v>199</v>
      </c>
      <c r="O4" s="56" t="s">
        <v>38</v>
      </c>
      <c r="P4" s="56" t="s">
        <v>215</v>
      </c>
      <c r="Q4" s="57" t="s">
        <v>200</v>
      </c>
      <c r="R4" s="57" t="s">
        <v>201</v>
      </c>
      <c r="S4" s="61">
        <v>0</v>
      </c>
      <c r="T4" s="61">
        <v>0</v>
      </c>
      <c r="U4" s="61">
        <v>-18</v>
      </c>
      <c r="V4" s="61">
        <v>-201</v>
      </c>
      <c r="W4" s="58">
        <v>0</v>
      </c>
      <c r="X4" s="60">
        <v>-8539.2999999999993</v>
      </c>
      <c r="Y4" s="33">
        <f>DATEVALUE(SapExlData[Tilgj.dato])</f>
        <v>42160</v>
      </c>
      <c r="Z4" s="17" t="str">
        <f>TEXT(IF(WEEKDAY(DATE(YEAR(DATEVALUE(SapExlData[Tilgj.dato])),1,1),2)&gt;4,WEEKNUM(DATEVALUE(SapExlData[Tilgj.dato]),2)-1,WEEKNUM(DATEVALUE(SapExlData[Tilgj.dato]),2)),"00")</f>
        <v>23</v>
      </c>
      <c r="AA4" s="17" t="str">
        <f>YEAR(SapExlData[TILGJ_DATO])&amp;"-"&amp;WEEKNUM(DATEVALUE(SapExlData[Tilgj.dato]),2)</f>
        <v>2015-23</v>
      </c>
      <c r="AB4" s="17" t="str">
        <f>YEAR(SapExlData[TILGJ_DATO])&amp;"-"&amp;TEXT(MONTH(SapExlData[TILGJ_DATO]),"00")</f>
        <v>2015-06</v>
      </c>
      <c r="AC4" s="17">
        <f t="shared" si="0"/>
        <v>-18</v>
      </c>
      <c r="AD4" s="17" t="str">
        <f ca="1">IF(AND(SapExlData[Material]&lt;&gt;OFFSET(P4,1,0),AI4=0),"Mangler POs",IF(OFFSET(P4,1,0)="","OK",IF(P4&lt;&gt;OFFSET(P3,1,0),"OK","OK")))</f>
        <v>OK</v>
      </c>
      <c r="AE4" s="17">
        <f t="shared" si="1"/>
        <v>0</v>
      </c>
      <c r="AF4" s="21">
        <f>IF(T4=0,0,SapExlData[I kval.konto.]*IF(AND(AI4=1,AJ4=1),1,0))</f>
        <v>0</v>
      </c>
      <c r="AG4" s="17" t="str">
        <f>SapExlData[Material]&amp;"  "&amp;SapExlData[Material Besk.]</f>
        <v>1022  Stabb Leverpostei 60x100g</v>
      </c>
      <c r="AH4" s="17">
        <f ca="1">IF(OR(SapExlData[TILGJ_DATO]&lt;=TODAY(),SapExlData[TILGJ_DATO]&gt;TODAY()+31*8),0,1)</f>
        <v>0</v>
      </c>
      <c r="AI4" s="37">
        <f t="shared" si="2"/>
        <v>1</v>
      </c>
      <c r="AJ4" s="17">
        <f>IF(ROWS(SapExlData[])&lt;4,1,IF(AND(SapExlData[MRP_Type]&lt;&gt;"Behold",SapExlData[kva.mottatt]&gt;0),1,0))</f>
        <v>0</v>
      </c>
      <c r="AK4" s="17" t="str">
        <f>IF(SapExlData[Ind. MRP-elem.]="WB","Behold",IF(SapExlData[Ind. MRP-elem.]="Ikke tilordnet","Beh/Inn","Andre"))</f>
        <v>Beh/Inn</v>
      </c>
      <c r="AL4" s="17">
        <f>IF(SapExlData[kva.mottatt]&gt;0,IF(P4&lt;&gt;P3,U4,AC3),0)</f>
        <v>0</v>
      </c>
      <c r="AM4" s="21" t="str">
        <f>IF(SapExlData[Dekning]&lt;GreenLimit,"Alerts","Other")</f>
        <v>Alerts</v>
      </c>
    </row>
    <row r="5" spans="1:39" x14ac:dyDescent="0.3">
      <c r="A5" s="51" t="s">
        <v>27</v>
      </c>
      <c r="B5" s="52" t="s">
        <v>212</v>
      </c>
      <c r="C5" s="52" t="s">
        <v>213</v>
      </c>
      <c r="D5" s="52" t="s">
        <v>193</v>
      </c>
      <c r="E5" s="52" t="s">
        <v>194</v>
      </c>
      <c r="F5" s="52" t="s">
        <v>195</v>
      </c>
      <c r="G5" s="52" t="s">
        <v>196</v>
      </c>
      <c r="H5" s="52" t="s">
        <v>197</v>
      </c>
      <c r="I5" s="53" t="s">
        <v>218</v>
      </c>
      <c r="J5" s="53" t="s">
        <v>198</v>
      </c>
      <c r="K5" s="58">
        <v>18</v>
      </c>
      <c r="L5" s="54">
        <v>2</v>
      </c>
      <c r="M5" s="52" t="s">
        <v>199</v>
      </c>
      <c r="N5" s="52" t="s">
        <v>199</v>
      </c>
      <c r="O5" s="52" t="s">
        <v>38</v>
      </c>
      <c r="P5" s="52" t="s">
        <v>215</v>
      </c>
      <c r="Q5" s="53" t="s">
        <v>200</v>
      </c>
      <c r="R5" s="53" t="s">
        <v>201</v>
      </c>
      <c r="S5" s="62">
        <v>0</v>
      </c>
      <c r="T5" s="62">
        <v>0</v>
      </c>
      <c r="U5" s="62">
        <v>-17</v>
      </c>
      <c r="V5" s="62">
        <v>-268.2</v>
      </c>
      <c r="W5" s="54">
        <v>0</v>
      </c>
      <c r="X5" s="59">
        <v>-8807.5</v>
      </c>
      <c r="Y5" s="33">
        <f>DATEVALUE(SapExlData[Tilgj.dato])</f>
        <v>42163</v>
      </c>
      <c r="Z5" s="17" t="str">
        <f>TEXT(IF(WEEKDAY(DATE(YEAR(DATEVALUE(SapExlData[Tilgj.dato])),1,1),2)&gt;4,WEEKNUM(DATEVALUE(SapExlData[Tilgj.dato]),2)-1,WEEKNUM(DATEVALUE(SapExlData[Tilgj.dato]),2)),"00")</f>
        <v>24</v>
      </c>
      <c r="AA5" s="17" t="str">
        <f>YEAR(SapExlData[TILGJ_DATO])&amp;"-"&amp;WEEKNUM(DATEVALUE(SapExlData[Tilgj.dato]),2)</f>
        <v>2015-24</v>
      </c>
      <c r="AB5" s="17" t="str">
        <f>YEAR(SapExlData[TILGJ_DATO])&amp;"-"&amp;TEXT(MONTH(SapExlData[TILGJ_DATO]),"00")</f>
        <v>2015-06</v>
      </c>
      <c r="AC5" s="17">
        <f t="shared" si="0"/>
        <v>-18</v>
      </c>
      <c r="AD5" s="17" t="str">
        <f ca="1">IF(AND(SapExlData[Material]&lt;&gt;OFFSET(P5,1,0),AI5=0),"Mangler POs",IF(OFFSET(P5,1,0)="","OK",IF(P5&lt;&gt;OFFSET(P4,1,0),"OK","OK")))</f>
        <v>OK</v>
      </c>
      <c r="AE5" s="17">
        <f t="shared" si="1"/>
        <v>0</v>
      </c>
      <c r="AF5" s="21">
        <f>IF(T5=0,0,SapExlData[I kval.konto.]*IF(AND(AI5=1,AJ5=1),1,0))</f>
        <v>0</v>
      </c>
      <c r="AG5" s="17" t="str">
        <f>SapExlData[Material]&amp;"  "&amp;SapExlData[Material Besk.]</f>
        <v>1022  Stabb Leverpostei 60x100g</v>
      </c>
      <c r="AH5" s="17">
        <f ca="1">IF(OR(SapExlData[TILGJ_DATO]&lt;=TODAY(),SapExlData[TILGJ_DATO]&gt;TODAY()+31*8),0,1)</f>
        <v>0</v>
      </c>
      <c r="AI5" s="37">
        <f t="shared" si="2"/>
        <v>1</v>
      </c>
      <c r="AJ5" s="17">
        <f>IF(ROWS(SapExlData[])&lt;4,1,IF(AND(SapExlData[MRP_Type]&lt;&gt;"Behold",SapExlData[kva.mottatt]&gt;0),1,0))</f>
        <v>0</v>
      </c>
      <c r="AK5" s="17" t="str">
        <f>IF(SapExlData[Ind. MRP-elem.]="WB","Behold",IF(SapExlData[Ind. MRP-elem.]="Ikke tilordnet","Beh/Inn","Andre"))</f>
        <v>Beh/Inn</v>
      </c>
      <c r="AL5" s="17">
        <f>IF(SapExlData[kva.mottatt]&gt;0,IF(P5&lt;&gt;P4,U5,AC4),0)</f>
        <v>0</v>
      </c>
      <c r="AM5" s="21" t="str">
        <f>IF(SapExlData[Dekning]&lt;GreenLimit,"Alerts","Other")</f>
        <v>Alerts</v>
      </c>
    </row>
    <row r="6" spans="1:39" x14ac:dyDescent="0.3">
      <c r="A6" s="55" t="s">
        <v>27</v>
      </c>
      <c r="B6" s="56" t="s">
        <v>212</v>
      </c>
      <c r="C6" s="56" t="s">
        <v>213</v>
      </c>
      <c r="D6" s="56" t="s">
        <v>193</v>
      </c>
      <c r="E6" s="56" t="s">
        <v>194</v>
      </c>
      <c r="F6" s="56" t="s">
        <v>195</v>
      </c>
      <c r="G6" s="56" t="s">
        <v>196</v>
      </c>
      <c r="H6" s="56" t="s">
        <v>197</v>
      </c>
      <c r="I6" s="57" t="s">
        <v>219</v>
      </c>
      <c r="J6" s="57" t="s">
        <v>198</v>
      </c>
      <c r="K6" s="58">
        <v>18</v>
      </c>
      <c r="L6" s="58">
        <v>2</v>
      </c>
      <c r="M6" s="56" t="s">
        <v>199</v>
      </c>
      <c r="N6" s="56" t="s">
        <v>199</v>
      </c>
      <c r="O6" s="56" t="s">
        <v>38</v>
      </c>
      <c r="P6" s="56" t="s">
        <v>215</v>
      </c>
      <c r="Q6" s="57" t="s">
        <v>200</v>
      </c>
      <c r="R6" s="57" t="s">
        <v>201</v>
      </c>
      <c r="S6" s="61">
        <v>0</v>
      </c>
      <c r="T6" s="61">
        <v>0</v>
      </c>
      <c r="U6" s="61">
        <v>-17</v>
      </c>
      <c r="V6" s="61">
        <v>-268.2</v>
      </c>
      <c r="W6" s="58">
        <v>824.226</v>
      </c>
      <c r="X6" s="60">
        <v>-8251.4740000000002</v>
      </c>
      <c r="Y6" s="33">
        <f>DATEVALUE(SapExlData[Tilgj.dato])</f>
        <v>42164</v>
      </c>
      <c r="Z6" s="17" t="str">
        <f>TEXT(IF(WEEKDAY(DATE(YEAR(DATEVALUE(SapExlData[Tilgj.dato])),1,1),2)&gt;4,WEEKNUM(DATEVALUE(SapExlData[Tilgj.dato]),2)-1,WEEKNUM(DATEVALUE(SapExlData[Tilgj.dato]),2)),"00")</f>
        <v>24</v>
      </c>
      <c r="AA6" s="17" t="str">
        <f>YEAR(SapExlData[TILGJ_DATO])&amp;"-"&amp;WEEKNUM(DATEVALUE(SapExlData[Tilgj.dato]),2)</f>
        <v>2015-24</v>
      </c>
      <c r="AB6" s="17" t="str">
        <f>YEAR(SapExlData[TILGJ_DATO])&amp;"-"&amp;TEXT(MONTH(SapExlData[TILGJ_DATO]),"00")</f>
        <v>2015-06</v>
      </c>
      <c r="AC6" s="17">
        <f t="shared" si="0"/>
        <v>-17</v>
      </c>
      <c r="AD6" s="17" t="str">
        <f ca="1">IF(AND(SapExlData[Material]&lt;&gt;OFFSET(P6,1,0),AI6=0),"Mangler POs",IF(OFFSET(P6,1,0)="","OK",IF(P6&lt;&gt;OFFSET(P5,1,0),"OK","OK")))</f>
        <v>OK</v>
      </c>
      <c r="AE6" s="17">
        <f t="shared" si="1"/>
        <v>0</v>
      </c>
      <c r="AF6" s="21">
        <f>IF(T6=0,0,SapExlData[I kval.konto.]*IF(AND(AI6=1,AJ6=1),1,0))</f>
        <v>0</v>
      </c>
      <c r="AG6" s="17" t="str">
        <f>SapExlData[Material]&amp;"  "&amp;SapExlData[Material Besk.]</f>
        <v>1022  Stabb Leverpostei 60x100g</v>
      </c>
      <c r="AH6" s="17">
        <f ca="1">IF(OR(SapExlData[TILGJ_DATO]&lt;=TODAY(),SapExlData[TILGJ_DATO]&gt;TODAY()+31*8),0,1)</f>
        <v>0</v>
      </c>
      <c r="AI6" s="37">
        <f t="shared" si="2"/>
        <v>2</v>
      </c>
      <c r="AJ6" s="17">
        <f>IF(ROWS(SapExlData[])&lt;4,1,IF(AND(SapExlData[MRP_Type]&lt;&gt;"Behold",SapExlData[kva.mottatt]&gt;0),1,0))</f>
        <v>1</v>
      </c>
      <c r="AK6" s="17" t="str">
        <f>IF(SapExlData[Ind. MRP-elem.]="WB","Behold",IF(SapExlData[Ind. MRP-elem.]="Ikke tilordnet","Beh/Inn","Andre"))</f>
        <v>Beh/Inn</v>
      </c>
      <c r="AL6" s="17">
        <f>IF(SapExlData[kva.mottatt]&gt;0,IF(P6&lt;&gt;P5,U6,AC5),0)</f>
        <v>-18</v>
      </c>
      <c r="AM6" s="21" t="str">
        <f>IF(SapExlData[Dekning]&lt;GreenLimit,"Alerts","Other")</f>
        <v>Alerts</v>
      </c>
    </row>
    <row r="7" spans="1:39" x14ac:dyDescent="0.3">
      <c r="A7" s="51" t="s">
        <v>27</v>
      </c>
      <c r="B7" s="52" t="s">
        <v>212</v>
      </c>
      <c r="C7" s="52" t="s">
        <v>213</v>
      </c>
      <c r="D7" s="52" t="s">
        <v>193</v>
      </c>
      <c r="E7" s="52" t="s">
        <v>194</v>
      </c>
      <c r="F7" s="52" t="s">
        <v>195</v>
      </c>
      <c r="G7" s="52" t="s">
        <v>196</v>
      </c>
      <c r="H7" s="52" t="s">
        <v>197</v>
      </c>
      <c r="I7" s="53" t="s">
        <v>220</v>
      </c>
      <c r="J7" s="53" t="s">
        <v>198</v>
      </c>
      <c r="K7" s="58">
        <v>18</v>
      </c>
      <c r="L7" s="54">
        <v>2</v>
      </c>
      <c r="M7" s="52" t="s">
        <v>199</v>
      </c>
      <c r="N7" s="52" t="s">
        <v>199</v>
      </c>
      <c r="O7" s="52" t="s">
        <v>38</v>
      </c>
      <c r="P7" s="52" t="s">
        <v>215</v>
      </c>
      <c r="Q7" s="53" t="s">
        <v>200</v>
      </c>
      <c r="R7" s="53" t="s">
        <v>201</v>
      </c>
      <c r="S7" s="62">
        <v>0</v>
      </c>
      <c r="T7" s="62">
        <v>0</v>
      </c>
      <c r="U7" s="62">
        <v>-16</v>
      </c>
      <c r="V7" s="62">
        <v>-268.2</v>
      </c>
      <c r="W7" s="54">
        <v>0</v>
      </c>
      <c r="X7" s="59">
        <v>-8519.6740000000009</v>
      </c>
      <c r="Y7" s="33">
        <f>DATEVALUE(SapExlData[Tilgj.dato])</f>
        <v>42165</v>
      </c>
      <c r="Z7" s="17" t="str">
        <f>TEXT(IF(WEEKDAY(DATE(YEAR(DATEVALUE(SapExlData[Tilgj.dato])),1,1),2)&gt;4,WEEKNUM(DATEVALUE(SapExlData[Tilgj.dato]),2)-1,WEEKNUM(DATEVALUE(SapExlData[Tilgj.dato]),2)),"00")</f>
        <v>24</v>
      </c>
      <c r="AA7" s="17" t="str">
        <f>YEAR(SapExlData[TILGJ_DATO])&amp;"-"&amp;WEEKNUM(DATEVALUE(SapExlData[Tilgj.dato]),2)</f>
        <v>2015-24</v>
      </c>
      <c r="AB7" s="17" t="str">
        <f>YEAR(SapExlData[TILGJ_DATO])&amp;"-"&amp;TEXT(MONTH(SapExlData[TILGJ_DATO]),"00")</f>
        <v>2015-06</v>
      </c>
      <c r="AC7" s="17">
        <f t="shared" si="0"/>
        <v>-17</v>
      </c>
      <c r="AD7" s="17" t="str">
        <f ca="1">IF(AND(SapExlData[Material]&lt;&gt;OFFSET(P7,1,0),AI7=0),"Mangler POs",IF(OFFSET(P7,1,0)="","OK",IF(P7&lt;&gt;OFFSET(P6,1,0),"OK","OK")))</f>
        <v>OK</v>
      </c>
      <c r="AE7" s="17">
        <f t="shared" si="1"/>
        <v>0</v>
      </c>
      <c r="AF7" s="21">
        <f>IF(T7=0,0,SapExlData[I kval.konto.]*IF(AND(AI7=1,AJ7=1),1,0))</f>
        <v>0</v>
      </c>
      <c r="AG7" s="17" t="str">
        <f>SapExlData[Material]&amp;"  "&amp;SapExlData[Material Besk.]</f>
        <v>1022  Stabb Leverpostei 60x100g</v>
      </c>
      <c r="AH7" s="17">
        <f ca="1">IF(OR(SapExlData[TILGJ_DATO]&lt;=TODAY(),SapExlData[TILGJ_DATO]&gt;TODAY()+31*8),0,1)</f>
        <v>0</v>
      </c>
      <c r="AI7" s="37">
        <f t="shared" si="2"/>
        <v>2</v>
      </c>
      <c r="AJ7" s="17">
        <f>IF(ROWS(SapExlData[])&lt;4,1,IF(AND(SapExlData[MRP_Type]&lt;&gt;"Behold",SapExlData[kva.mottatt]&gt;0),1,0))</f>
        <v>0</v>
      </c>
      <c r="AK7" s="17" t="str">
        <f>IF(SapExlData[Ind. MRP-elem.]="WB","Behold",IF(SapExlData[Ind. MRP-elem.]="Ikke tilordnet","Beh/Inn","Andre"))</f>
        <v>Beh/Inn</v>
      </c>
      <c r="AL7" s="17">
        <f>IF(SapExlData[kva.mottatt]&gt;0,IF(P7&lt;&gt;P6,U7,AC6),0)</f>
        <v>0</v>
      </c>
      <c r="AM7" s="21" t="str">
        <f>IF(SapExlData[Dekning]&lt;GreenLimit,"Alerts","Other")</f>
        <v>Alerts</v>
      </c>
    </row>
    <row r="8" spans="1:39" x14ac:dyDescent="0.3">
      <c r="A8" s="55" t="s">
        <v>27</v>
      </c>
      <c r="B8" s="56" t="s">
        <v>212</v>
      </c>
      <c r="C8" s="56" t="s">
        <v>213</v>
      </c>
      <c r="D8" s="56" t="s">
        <v>193</v>
      </c>
      <c r="E8" s="56" t="s">
        <v>194</v>
      </c>
      <c r="F8" s="56" t="s">
        <v>195</v>
      </c>
      <c r="G8" s="56" t="s">
        <v>196</v>
      </c>
      <c r="H8" s="56" t="s">
        <v>197</v>
      </c>
      <c r="I8" s="57" t="s">
        <v>221</v>
      </c>
      <c r="J8" s="57" t="s">
        <v>198</v>
      </c>
      <c r="K8" s="58">
        <v>18</v>
      </c>
      <c r="L8" s="58">
        <v>2</v>
      </c>
      <c r="M8" s="56" t="s">
        <v>199</v>
      </c>
      <c r="N8" s="56" t="s">
        <v>199</v>
      </c>
      <c r="O8" s="56" t="s">
        <v>38</v>
      </c>
      <c r="P8" s="56" t="s">
        <v>215</v>
      </c>
      <c r="Q8" s="57" t="s">
        <v>200</v>
      </c>
      <c r="R8" s="57" t="s">
        <v>201</v>
      </c>
      <c r="S8" s="61">
        <v>0</v>
      </c>
      <c r="T8" s="61">
        <v>0</v>
      </c>
      <c r="U8" s="61">
        <v>-16</v>
      </c>
      <c r="V8" s="61">
        <v>-268.2</v>
      </c>
      <c r="W8" s="58">
        <v>0</v>
      </c>
      <c r="X8" s="60">
        <v>-8787.8739999999998</v>
      </c>
      <c r="Y8" s="33">
        <f>DATEVALUE(SapExlData[Tilgj.dato])</f>
        <v>42166</v>
      </c>
      <c r="Z8" s="17" t="str">
        <f>TEXT(IF(WEEKDAY(DATE(YEAR(DATEVALUE(SapExlData[Tilgj.dato])),1,1),2)&gt;4,WEEKNUM(DATEVALUE(SapExlData[Tilgj.dato]),2)-1,WEEKNUM(DATEVALUE(SapExlData[Tilgj.dato]),2)),"00")</f>
        <v>24</v>
      </c>
      <c r="AA8" s="17" t="str">
        <f>YEAR(SapExlData[TILGJ_DATO])&amp;"-"&amp;WEEKNUM(DATEVALUE(SapExlData[Tilgj.dato]),2)</f>
        <v>2015-24</v>
      </c>
      <c r="AB8" s="17" t="str">
        <f>YEAR(SapExlData[TILGJ_DATO])&amp;"-"&amp;TEXT(MONTH(SapExlData[TILGJ_DATO]),"00")</f>
        <v>2015-06</v>
      </c>
      <c r="AC8" s="17">
        <f t="shared" si="0"/>
        <v>-17</v>
      </c>
      <c r="AD8" s="17" t="str">
        <f ca="1">IF(AND(SapExlData[Material]&lt;&gt;OFFSET(P8,1,0),AI8=0),"Mangler POs",IF(OFFSET(P8,1,0)="","OK",IF(P8&lt;&gt;OFFSET(P7,1,0),"OK","OK")))</f>
        <v>OK</v>
      </c>
      <c r="AE8" s="17">
        <f t="shared" si="1"/>
        <v>0</v>
      </c>
      <c r="AF8" s="21">
        <f>IF(T8=0,0,SapExlData[I kval.konto.]*IF(AND(AI8=1,AJ8=1),1,0))</f>
        <v>0</v>
      </c>
      <c r="AG8" s="17" t="str">
        <f>SapExlData[Material]&amp;"  "&amp;SapExlData[Material Besk.]</f>
        <v>1022  Stabb Leverpostei 60x100g</v>
      </c>
      <c r="AH8" s="17">
        <f ca="1">IF(OR(SapExlData[TILGJ_DATO]&lt;=TODAY(),SapExlData[TILGJ_DATO]&gt;TODAY()+31*8),0,1)</f>
        <v>0</v>
      </c>
      <c r="AI8" s="37">
        <f t="shared" si="2"/>
        <v>2</v>
      </c>
      <c r="AJ8" s="17">
        <f>IF(ROWS(SapExlData[])&lt;4,1,IF(AND(SapExlData[MRP_Type]&lt;&gt;"Behold",SapExlData[kva.mottatt]&gt;0),1,0))</f>
        <v>0</v>
      </c>
      <c r="AK8" s="17" t="str">
        <f>IF(SapExlData[Ind. MRP-elem.]="WB","Behold",IF(SapExlData[Ind. MRP-elem.]="Ikke tilordnet","Beh/Inn","Andre"))</f>
        <v>Beh/Inn</v>
      </c>
      <c r="AL8" s="17">
        <f>IF(SapExlData[kva.mottatt]&gt;0,IF(P8&lt;&gt;P7,U8,AC7),0)</f>
        <v>0</v>
      </c>
      <c r="AM8" s="21" t="str">
        <f>IF(SapExlData[Dekning]&lt;GreenLimit,"Alerts","Other")</f>
        <v>Alerts</v>
      </c>
    </row>
    <row r="9" spans="1:39" x14ac:dyDescent="0.3">
      <c r="A9" s="51" t="s">
        <v>27</v>
      </c>
      <c r="B9" s="52" t="s">
        <v>212</v>
      </c>
      <c r="C9" s="52" t="s">
        <v>213</v>
      </c>
      <c r="D9" s="52" t="s">
        <v>193</v>
      </c>
      <c r="E9" s="52" t="s">
        <v>194</v>
      </c>
      <c r="F9" s="52" t="s">
        <v>195</v>
      </c>
      <c r="G9" s="52" t="s">
        <v>196</v>
      </c>
      <c r="H9" s="52" t="s">
        <v>197</v>
      </c>
      <c r="I9" s="53" t="s">
        <v>222</v>
      </c>
      <c r="J9" s="53" t="s">
        <v>198</v>
      </c>
      <c r="K9" s="58">
        <v>18</v>
      </c>
      <c r="L9" s="54">
        <v>2</v>
      </c>
      <c r="M9" s="52" t="s">
        <v>199</v>
      </c>
      <c r="N9" s="52" t="s">
        <v>199</v>
      </c>
      <c r="O9" s="52" t="s">
        <v>38</v>
      </c>
      <c r="P9" s="52" t="s">
        <v>215</v>
      </c>
      <c r="Q9" s="53" t="s">
        <v>200</v>
      </c>
      <c r="R9" s="53" t="s">
        <v>201</v>
      </c>
      <c r="S9" s="62">
        <v>0</v>
      </c>
      <c r="T9" s="62">
        <v>0</v>
      </c>
      <c r="U9" s="62">
        <v>-15</v>
      </c>
      <c r="V9" s="62">
        <v>-268.2</v>
      </c>
      <c r="W9" s="54">
        <v>0</v>
      </c>
      <c r="X9" s="59">
        <v>-9056.0740000000005</v>
      </c>
      <c r="Y9" s="33">
        <f>DATEVALUE(SapExlData[Tilgj.dato])</f>
        <v>42167</v>
      </c>
      <c r="Z9" s="17" t="str">
        <f>TEXT(IF(WEEKDAY(DATE(YEAR(DATEVALUE(SapExlData[Tilgj.dato])),1,1),2)&gt;4,WEEKNUM(DATEVALUE(SapExlData[Tilgj.dato]),2)-1,WEEKNUM(DATEVALUE(SapExlData[Tilgj.dato]),2)),"00")</f>
        <v>24</v>
      </c>
      <c r="AA9" s="17" t="str">
        <f>YEAR(SapExlData[TILGJ_DATO])&amp;"-"&amp;WEEKNUM(DATEVALUE(SapExlData[Tilgj.dato]),2)</f>
        <v>2015-24</v>
      </c>
      <c r="AB9" s="17" t="str">
        <f>YEAR(SapExlData[TILGJ_DATO])&amp;"-"&amp;TEXT(MONTH(SapExlData[TILGJ_DATO]),"00")</f>
        <v>2015-06</v>
      </c>
      <c r="AC9" s="17">
        <f t="shared" si="0"/>
        <v>-17</v>
      </c>
      <c r="AD9" s="17" t="str">
        <f ca="1">IF(AND(SapExlData[Material]&lt;&gt;OFFSET(P9,1,0),AI9=0),"Mangler POs",IF(OFFSET(P9,1,0)="","OK",IF(P9&lt;&gt;OFFSET(P8,1,0),"OK","OK")))</f>
        <v>OK</v>
      </c>
      <c r="AE9" s="17">
        <f t="shared" si="1"/>
        <v>0</v>
      </c>
      <c r="AF9" s="21">
        <f>IF(T9=0,0,SapExlData[I kval.konto.]*IF(AND(AI9=1,AJ9=1),1,0))</f>
        <v>0</v>
      </c>
      <c r="AG9" s="17" t="str">
        <f>SapExlData[Material]&amp;"  "&amp;SapExlData[Material Besk.]</f>
        <v>1022  Stabb Leverpostei 60x100g</v>
      </c>
      <c r="AH9" s="17">
        <f ca="1">IF(OR(SapExlData[TILGJ_DATO]&lt;=TODAY(),SapExlData[TILGJ_DATO]&gt;TODAY()+31*8),0,1)</f>
        <v>0</v>
      </c>
      <c r="AI9" s="37">
        <f t="shared" si="2"/>
        <v>2</v>
      </c>
      <c r="AJ9" s="17">
        <f>IF(ROWS(SapExlData[])&lt;4,1,IF(AND(SapExlData[MRP_Type]&lt;&gt;"Behold",SapExlData[kva.mottatt]&gt;0),1,0))</f>
        <v>0</v>
      </c>
      <c r="AK9" s="17" t="str">
        <f>IF(SapExlData[Ind. MRP-elem.]="WB","Behold",IF(SapExlData[Ind. MRP-elem.]="Ikke tilordnet","Beh/Inn","Andre"))</f>
        <v>Beh/Inn</v>
      </c>
      <c r="AL9" s="17">
        <f>IF(SapExlData[kva.mottatt]&gt;0,IF(P9&lt;&gt;P8,U9,AC8),0)</f>
        <v>0</v>
      </c>
      <c r="AM9" s="21" t="str">
        <f>IF(SapExlData[Dekning]&lt;GreenLimit,"Alerts","Other")</f>
        <v>Alerts</v>
      </c>
    </row>
    <row r="10" spans="1:39" x14ac:dyDescent="0.3">
      <c r="A10" s="55" t="s">
        <v>27</v>
      </c>
      <c r="B10" s="56" t="s">
        <v>212</v>
      </c>
      <c r="C10" s="56" t="s">
        <v>213</v>
      </c>
      <c r="D10" s="56" t="s">
        <v>193</v>
      </c>
      <c r="E10" s="56" t="s">
        <v>194</v>
      </c>
      <c r="F10" s="56" t="s">
        <v>195</v>
      </c>
      <c r="G10" s="56" t="s">
        <v>196</v>
      </c>
      <c r="H10" s="56" t="s">
        <v>197</v>
      </c>
      <c r="I10" s="57" t="s">
        <v>223</v>
      </c>
      <c r="J10" s="57" t="s">
        <v>198</v>
      </c>
      <c r="K10" s="58">
        <v>18</v>
      </c>
      <c r="L10" s="58">
        <v>2</v>
      </c>
      <c r="M10" s="56" t="s">
        <v>199</v>
      </c>
      <c r="N10" s="56" t="s">
        <v>199</v>
      </c>
      <c r="O10" s="56" t="s">
        <v>38</v>
      </c>
      <c r="P10" s="56" t="s">
        <v>215</v>
      </c>
      <c r="Q10" s="57" t="s">
        <v>200</v>
      </c>
      <c r="R10" s="57" t="s">
        <v>201</v>
      </c>
      <c r="S10" s="61">
        <v>0</v>
      </c>
      <c r="T10" s="61">
        <v>0</v>
      </c>
      <c r="U10" s="61">
        <v>-14</v>
      </c>
      <c r="V10" s="61">
        <v>-141</v>
      </c>
      <c r="W10" s="58">
        <v>824.226</v>
      </c>
      <c r="X10" s="60">
        <v>-8372.848</v>
      </c>
      <c r="Y10" s="33">
        <f>DATEVALUE(SapExlData[Tilgj.dato])</f>
        <v>42170</v>
      </c>
      <c r="Z10" s="17" t="str">
        <f>TEXT(IF(WEEKDAY(DATE(YEAR(DATEVALUE(SapExlData[Tilgj.dato])),1,1),2)&gt;4,WEEKNUM(DATEVALUE(SapExlData[Tilgj.dato]),2)-1,WEEKNUM(DATEVALUE(SapExlData[Tilgj.dato]),2)),"00")</f>
        <v>25</v>
      </c>
      <c r="AA10" s="17" t="str">
        <f>YEAR(SapExlData[TILGJ_DATO])&amp;"-"&amp;WEEKNUM(DATEVALUE(SapExlData[Tilgj.dato]),2)</f>
        <v>2015-25</v>
      </c>
      <c r="AB10" s="17" t="str">
        <f>YEAR(SapExlData[TILGJ_DATO])&amp;"-"&amp;TEXT(MONTH(SapExlData[TILGJ_DATO]),"00")</f>
        <v>2015-06</v>
      </c>
      <c r="AC10" s="17">
        <f t="shared" si="0"/>
        <v>-14</v>
      </c>
      <c r="AD10" s="17" t="str">
        <f ca="1">IF(AND(SapExlData[Material]&lt;&gt;OFFSET(P10,1,0),AI10=0),"Mangler POs",IF(OFFSET(P10,1,0)="","OK",IF(P10&lt;&gt;OFFSET(P9,1,0),"OK","OK")))</f>
        <v>OK</v>
      </c>
      <c r="AE10" s="17">
        <f t="shared" si="1"/>
        <v>0</v>
      </c>
      <c r="AF10" s="21">
        <f>IF(T10=0,0,SapExlData[I kval.konto.]*IF(AND(AI10=1,AJ10=1),1,0))</f>
        <v>0</v>
      </c>
      <c r="AG10" s="17" t="str">
        <f>SapExlData[Material]&amp;"  "&amp;SapExlData[Material Besk.]</f>
        <v>1022  Stabb Leverpostei 60x100g</v>
      </c>
      <c r="AH10" s="17">
        <f ca="1">IF(OR(SapExlData[TILGJ_DATO]&lt;=TODAY(),SapExlData[TILGJ_DATO]&gt;TODAY()+31*8),0,1)</f>
        <v>0</v>
      </c>
      <c r="AI10" s="37">
        <f t="shared" si="2"/>
        <v>3</v>
      </c>
      <c r="AJ10" s="17">
        <f>IF(ROWS(SapExlData[])&lt;4,1,IF(AND(SapExlData[MRP_Type]&lt;&gt;"Behold",SapExlData[kva.mottatt]&gt;0),1,0))</f>
        <v>1</v>
      </c>
      <c r="AK10" s="17" t="str">
        <f>IF(SapExlData[Ind. MRP-elem.]="WB","Behold",IF(SapExlData[Ind. MRP-elem.]="Ikke tilordnet","Beh/Inn","Andre"))</f>
        <v>Beh/Inn</v>
      </c>
      <c r="AL10" s="17">
        <f>IF(SapExlData[kva.mottatt]&gt;0,IF(P10&lt;&gt;P9,U10,AC9),0)</f>
        <v>-17</v>
      </c>
      <c r="AM10" s="21" t="str">
        <f>IF(SapExlData[Dekning]&lt;GreenLimit,"Alerts","Other")</f>
        <v>Alerts</v>
      </c>
    </row>
    <row r="11" spans="1:39" x14ac:dyDescent="0.3">
      <c r="A11" s="51" t="s">
        <v>27</v>
      </c>
      <c r="B11" s="52" t="s">
        <v>212</v>
      </c>
      <c r="C11" s="52" t="s">
        <v>213</v>
      </c>
      <c r="D11" s="52" t="s">
        <v>193</v>
      </c>
      <c r="E11" s="52" t="s">
        <v>194</v>
      </c>
      <c r="F11" s="52" t="s">
        <v>195</v>
      </c>
      <c r="G11" s="52" t="s">
        <v>196</v>
      </c>
      <c r="H11" s="52" t="s">
        <v>197</v>
      </c>
      <c r="I11" s="53" t="s">
        <v>224</v>
      </c>
      <c r="J11" s="53" t="s">
        <v>198</v>
      </c>
      <c r="K11" s="58">
        <v>18</v>
      </c>
      <c r="L11" s="54">
        <v>2</v>
      </c>
      <c r="M11" s="52" t="s">
        <v>199</v>
      </c>
      <c r="N11" s="52" t="s">
        <v>199</v>
      </c>
      <c r="O11" s="52" t="s">
        <v>38</v>
      </c>
      <c r="P11" s="52" t="s">
        <v>215</v>
      </c>
      <c r="Q11" s="53" t="s">
        <v>200</v>
      </c>
      <c r="R11" s="53" t="s">
        <v>201</v>
      </c>
      <c r="S11" s="62">
        <v>0</v>
      </c>
      <c r="T11" s="62">
        <v>0</v>
      </c>
      <c r="U11" s="62">
        <v>-14</v>
      </c>
      <c r="V11" s="62">
        <v>-141</v>
      </c>
      <c r="W11" s="54">
        <v>0</v>
      </c>
      <c r="X11" s="59">
        <v>-8513.848</v>
      </c>
      <c r="Y11" s="33">
        <f>DATEVALUE(SapExlData[Tilgj.dato])</f>
        <v>42171</v>
      </c>
      <c r="Z11" s="17" t="str">
        <f>TEXT(IF(WEEKDAY(DATE(YEAR(DATEVALUE(SapExlData[Tilgj.dato])),1,1),2)&gt;4,WEEKNUM(DATEVALUE(SapExlData[Tilgj.dato]),2)-1,WEEKNUM(DATEVALUE(SapExlData[Tilgj.dato]),2)),"00")</f>
        <v>25</v>
      </c>
      <c r="AA11" s="17" t="str">
        <f>YEAR(SapExlData[TILGJ_DATO])&amp;"-"&amp;WEEKNUM(DATEVALUE(SapExlData[Tilgj.dato]),2)</f>
        <v>2015-25</v>
      </c>
      <c r="AB11" s="17" t="str">
        <f>YEAR(SapExlData[TILGJ_DATO])&amp;"-"&amp;TEXT(MONTH(SapExlData[TILGJ_DATO]),"00")</f>
        <v>2015-06</v>
      </c>
      <c r="AC11" s="17">
        <f t="shared" si="0"/>
        <v>-14</v>
      </c>
      <c r="AD11" s="17" t="str">
        <f ca="1">IF(AND(SapExlData[Material]&lt;&gt;OFFSET(P11,1,0),AI11=0),"Mangler POs",IF(OFFSET(P11,1,0)="","OK",IF(P11&lt;&gt;OFFSET(P10,1,0),"OK","OK")))</f>
        <v>OK</v>
      </c>
      <c r="AE11" s="17">
        <f t="shared" si="1"/>
        <v>0</v>
      </c>
      <c r="AF11" s="21">
        <f>IF(T11=0,0,SapExlData[I kval.konto.]*IF(AND(AI11=1,AJ11=1),1,0))</f>
        <v>0</v>
      </c>
      <c r="AG11" s="17" t="str">
        <f>SapExlData[Material]&amp;"  "&amp;SapExlData[Material Besk.]</f>
        <v>1022  Stabb Leverpostei 60x100g</v>
      </c>
      <c r="AH11" s="17">
        <f ca="1">IF(OR(SapExlData[TILGJ_DATO]&lt;=TODAY(),SapExlData[TILGJ_DATO]&gt;TODAY()+31*8),0,1)</f>
        <v>0</v>
      </c>
      <c r="AI11" s="37">
        <f t="shared" si="2"/>
        <v>3</v>
      </c>
      <c r="AJ11" s="17">
        <f>IF(ROWS(SapExlData[])&lt;4,1,IF(AND(SapExlData[MRP_Type]&lt;&gt;"Behold",SapExlData[kva.mottatt]&gt;0),1,0))</f>
        <v>0</v>
      </c>
      <c r="AK11" s="17" t="str">
        <f>IF(SapExlData[Ind. MRP-elem.]="WB","Behold",IF(SapExlData[Ind. MRP-elem.]="Ikke tilordnet","Beh/Inn","Andre"))</f>
        <v>Beh/Inn</v>
      </c>
      <c r="AL11" s="17">
        <f>IF(SapExlData[kva.mottatt]&gt;0,IF(P11&lt;&gt;P10,U11,AC10),0)</f>
        <v>0</v>
      </c>
      <c r="AM11" s="21" t="str">
        <f>IF(SapExlData[Dekning]&lt;GreenLimit,"Alerts","Other")</f>
        <v>Alerts</v>
      </c>
    </row>
    <row r="12" spans="1:39" x14ac:dyDescent="0.3">
      <c r="A12" s="55" t="s">
        <v>27</v>
      </c>
      <c r="B12" s="56" t="s">
        <v>212</v>
      </c>
      <c r="C12" s="56" t="s">
        <v>213</v>
      </c>
      <c r="D12" s="56" t="s">
        <v>193</v>
      </c>
      <c r="E12" s="56" t="s">
        <v>194</v>
      </c>
      <c r="F12" s="56" t="s">
        <v>195</v>
      </c>
      <c r="G12" s="56" t="s">
        <v>196</v>
      </c>
      <c r="H12" s="56" t="s">
        <v>197</v>
      </c>
      <c r="I12" s="57" t="s">
        <v>225</v>
      </c>
      <c r="J12" s="57" t="s">
        <v>198</v>
      </c>
      <c r="K12" s="58">
        <v>18</v>
      </c>
      <c r="L12" s="58">
        <v>2</v>
      </c>
      <c r="M12" s="56" t="s">
        <v>199</v>
      </c>
      <c r="N12" s="56" t="s">
        <v>199</v>
      </c>
      <c r="O12" s="56" t="s">
        <v>38</v>
      </c>
      <c r="P12" s="56" t="s">
        <v>215</v>
      </c>
      <c r="Q12" s="57" t="s">
        <v>200</v>
      </c>
      <c r="R12" s="57" t="s">
        <v>201</v>
      </c>
      <c r="S12" s="61">
        <v>0</v>
      </c>
      <c r="T12" s="61">
        <v>0</v>
      </c>
      <c r="U12" s="61">
        <v>-13</v>
      </c>
      <c r="V12" s="61">
        <v>-141</v>
      </c>
      <c r="W12" s="58">
        <v>0</v>
      </c>
      <c r="X12" s="60">
        <v>-8654.848</v>
      </c>
      <c r="Y12" s="33">
        <f>DATEVALUE(SapExlData[Tilgj.dato])</f>
        <v>42172</v>
      </c>
      <c r="Z12" s="17" t="str">
        <f>TEXT(IF(WEEKDAY(DATE(YEAR(DATEVALUE(SapExlData[Tilgj.dato])),1,1),2)&gt;4,WEEKNUM(DATEVALUE(SapExlData[Tilgj.dato]),2)-1,WEEKNUM(DATEVALUE(SapExlData[Tilgj.dato]),2)),"00")</f>
        <v>25</v>
      </c>
      <c r="AA12" s="17" t="str">
        <f>YEAR(SapExlData[TILGJ_DATO])&amp;"-"&amp;WEEKNUM(DATEVALUE(SapExlData[Tilgj.dato]),2)</f>
        <v>2015-25</v>
      </c>
      <c r="AB12" s="17" t="str">
        <f>YEAR(SapExlData[TILGJ_DATO])&amp;"-"&amp;TEXT(MONTH(SapExlData[TILGJ_DATO]),"00")</f>
        <v>2015-06</v>
      </c>
      <c r="AC12" s="17">
        <f t="shared" si="0"/>
        <v>-14</v>
      </c>
      <c r="AD12" s="17" t="str">
        <f ca="1">IF(AND(SapExlData[Material]&lt;&gt;OFFSET(P12,1,0),AI12=0),"Mangler POs",IF(OFFSET(P12,1,0)="","OK",IF(P12&lt;&gt;OFFSET(P11,1,0),"OK","OK")))</f>
        <v>OK</v>
      </c>
      <c r="AE12" s="17">
        <f t="shared" si="1"/>
        <v>0</v>
      </c>
      <c r="AF12" s="21">
        <f>IF(T12=0,0,SapExlData[I kval.konto.]*IF(AND(AI12=1,AJ12=1),1,0))</f>
        <v>0</v>
      </c>
      <c r="AG12" s="17" t="str">
        <f>SapExlData[Material]&amp;"  "&amp;SapExlData[Material Besk.]</f>
        <v>1022  Stabb Leverpostei 60x100g</v>
      </c>
      <c r="AH12" s="17">
        <f ca="1">IF(OR(SapExlData[TILGJ_DATO]&lt;=TODAY(),SapExlData[TILGJ_DATO]&gt;TODAY()+31*8),0,1)</f>
        <v>0</v>
      </c>
      <c r="AI12" s="37">
        <f t="shared" si="2"/>
        <v>3</v>
      </c>
      <c r="AJ12" s="17">
        <f>IF(ROWS(SapExlData[])&lt;4,1,IF(AND(SapExlData[MRP_Type]&lt;&gt;"Behold",SapExlData[kva.mottatt]&gt;0),1,0))</f>
        <v>0</v>
      </c>
      <c r="AK12" s="17" t="str">
        <f>IF(SapExlData[Ind. MRP-elem.]="WB","Behold",IF(SapExlData[Ind. MRP-elem.]="Ikke tilordnet","Beh/Inn","Andre"))</f>
        <v>Beh/Inn</v>
      </c>
      <c r="AL12" s="17">
        <f>IF(SapExlData[kva.mottatt]&gt;0,IF(P12&lt;&gt;P11,U12,AC11),0)</f>
        <v>0</v>
      </c>
      <c r="AM12" s="21" t="str">
        <f>IF(SapExlData[Dekning]&lt;GreenLimit,"Alerts","Other")</f>
        <v>Alerts</v>
      </c>
    </row>
    <row r="13" spans="1:39" x14ac:dyDescent="0.3">
      <c r="A13" s="51" t="s">
        <v>27</v>
      </c>
      <c r="B13" s="52" t="s">
        <v>212</v>
      </c>
      <c r="C13" s="52" t="s">
        <v>213</v>
      </c>
      <c r="D13" s="52" t="s">
        <v>193</v>
      </c>
      <c r="E13" s="52" t="s">
        <v>194</v>
      </c>
      <c r="F13" s="52" t="s">
        <v>195</v>
      </c>
      <c r="G13" s="52" t="s">
        <v>196</v>
      </c>
      <c r="H13" s="52" t="s">
        <v>197</v>
      </c>
      <c r="I13" s="53" t="s">
        <v>226</v>
      </c>
      <c r="J13" s="53" t="s">
        <v>198</v>
      </c>
      <c r="K13" s="58">
        <v>18</v>
      </c>
      <c r="L13" s="54">
        <v>2</v>
      </c>
      <c r="M13" s="52" t="s">
        <v>199</v>
      </c>
      <c r="N13" s="52" t="s">
        <v>199</v>
      </c>
      <c r="O13" s="52" t="s">
        <v>38</v>
      </c>
      <c r="P13" s="52" t="s">
        <v>215</v>
      </c>
      <c r="Q13" s="53" t="s">
        <v>200</v>
      </c>
      <c r="R13" s="53" t="s">
        <v>201</v>
      </c>
      <c r="S13" s="62">
        <v>0</v>
      </c>
      <c r="T13" s="62">
        <v>0</v>
      </c>
      <c r="U13" s="62">
        <v>-12</v>
      </c>
      <c r="V13" s="62">
        <v>-141</v>
      </c>
      <c r="W13" s="54">
        <v>0</v>
      </c>
      <c r="X13" s="59">
        <v>-8795.848</v>
      </c>
      <c r="Y13" s="33">
        <f>DATEVALUE(SapExlData[Tilgj.dato])</f>
        <v>42173</v>
      </c>
      <c r="Z13" s="17" t="str">
        <f>TEXT(IF(WEEKDAY(DATE(YEAR(DATEVALUE(SapExlData[Tilgj.dato])),1,1),2)&gt;4,WEEKNUM(DATEVALUE(SapExlData[Tilgj.dato]),2)-1,WEEKNUM(DATEVALUE(SapExlData[Tilgj.dato]),2)),"00")</f>
        <v>25</v>
      </c>
      <c r="AA13" s="17" t="str">
        <f>YEAR(SapExlData[TILGJ_DATO])&amp;"-"&amp;WEEKNUM(DATEVALUE(SapExlData[Tilgj.dato]),2)</f>
        <v>2015-25</v>
      </c>
      <c r="AB13" s="17" t="str">
        <f>YEAR(SapExlData[TILGJ_DATO])&amp;"-"&amp;TEXT(MONTH(SapExlData[TILGJ_DATO]),"00")</f>
        <v>2015-06</v>
      </c>
      <c r="AC13" s="17">
        <f t="shared" si="0"/>
        <v>-14</v>
      </c>
      <c r="AD13" s="17" t="str">
        <f ca="1">IF(AND(SapExlData[Material]&lt;&gt;OFFSET(P13,1,0),AI13=0),"Mangler POs",IF(OFFSET(P13,1,0)="","OK",IF(P13&lt;&gt;OFFSET(P12,1,0),"OK","OK")))</f>
        <v>OK</v>
      </c>
      <c r="AE13" s="17">
        <f t="shared" si="1"/>
        <v>0</v>
      </c>
      <c r="AF13" s="21">
        <f>IF(T13=0,0,SapExlData[I kval.konto.]*IF(AND(AI13=1,AJ13=1),1,0))</f>
        <v>0</v>
      </c>
      <c r="AG13" s="17" t="str">
        <f>SapExlData[Material]&amp;"  "&amp;SapExlData[Material Besk.]</f>
        <v>1022  Stabb Leverpostei 60x100g</v>
      </c>
      <c r="AH13" s="17">
        <f ca="1">IF(OR(SapExlData[TILGJ_DATO]&lt;=TODAY(),SapExlData[TILGJ_DATO]&gt;TODAY()+31*8),0,1)</f>
        <v>0</v>
      </c>
      <c r="AI13" s="37">
        <f t="shared" si="2"/>
        <v>3</v>
      </c>
      <c r="AJ13" s="17">
        <f>IF(ROWS(SapExlData[])&lt;4,1,IF(AND(SapExlData[MRP_Type]&lt;&gt;"Behold",SapExlData[kva.mottatt]&gt;0),1,0))</f>
        <v>0</v>
      </c>
      <c r="AK13" s="17" t="str">
        <f>IF(SapExlData[Ind. MRP-elem.]="WB","Behold",IF(SapExlData[Ind. MRP-elem.]="Ikke tilordnet","Beh/Inn","Andre"))</f>
        <v>Beh/Inn</v>
      </c>
      <c r="AL13" s="17">
        <f>IF(SapExlData[kva.mottatt]&gt;0,IF(P13&lt;&gt;P12,U13,AC12),0)</f>
        <v>0</v>
      </c>
      <c r="AM13" s="21" t="str">
        <f>IF(SapExlData[Dekning]&lt;GreenLimit,"Alerts","Other")</f>
        <v>Alerts</v>
      </c>
    </row>
    <row r="14" spans="1:39" x14ac:dyDescent="0.3">
      <c r="A14" s="55" t="s">
        <v>27</v>
      </c>
      <c r="B14" s="56" t="s">
        <v>212</v>
      </c>
      <c r="C14" s="56" t="s">
        <v>213</v>
      </c>
      <c r="D14" s="56" t="s">
        <v>193</v>
      </c>
      <c r="E14" s="56" t="s">
        <v>194</v>
      </c>
      <c r="F14" s="56" t="s">
        <v>195</v>
      </c>
      <c r="G14" s="56" t="s">
        <v>196</v>
      </c>
      <c r="H14" s="56" t="s">
        <v>197</v>
      </c>
      <c r="I14" s="57" t="s">
        <v>227</v>
      </c>
      <c r="J14" s="57" t="s">
        <v>198</v>
      </c>
      <c r="K14" s="58">
        <v>18</v>
      </c>
      <c r="L14" s="58">
        <v>2</v>
      </c>
      <c r="M14" s="56" t="s">
        <v>199</v>
      </c>
      <c r="N14" s="56" t="s">
        <v>199</v>
      </c>
      <c r="O14" s="56" t="s">
        <v>38</v>
      </c>
      <c r="P14" s="56" t="s">
        <v>215</v>
      </c>
      <c r="Q14" s="57" t="s">
        <v>200</v>
      </c>
      <c r="R14" s="57" t="s">
        <v>201</v>
      </c>
      <c r="S14" s="61">
        <v>0</v>
      </c>
      <c r="T14" s="61">
        <v>0</v>
      </c>
      <c r="U14" s="61">
        <v>-11</v>
      </c>
      <c r="V14" s="61">
        <v>-141</v>
      </c>
      <c r="W14" s="58">
        <v>0</v>
      </c>
      <c r="X14" s="60">
        <v>-8936.848</v>
      </c>
      <c r="Y14" s="33">
        <f>DATEVALUE(SapExlData[Tilgj.dato])</f>
        <v>42174</v>
      </c>
      <c r="Z14" s="17" t="str">
        <f>TEXT(IF(WEEKDAY(DATE(YEAR(DATEVALUE(SapExlData[Tilgj.dato])),1,1),2)&gt;4,WEEKNUM(DATEVALUE(SapExlData[Tilgj.dato]),2)-1,WEEKNUM(DATEVALUE(SapExlData[Tilgj.dato]),2)),"00")</f>
        <v>25</v>
      </c>
      <c r="AA14" s="17" t="str">
        <f>YEAR(SapExlData[TILGJ_DATO])&amp;"-"&amp;WEEKNUM(DATEVALUE(SapExlData[Tilgj.dato]),2)</f>
        <v>2015-25</v>
      </c>
      <c r="AB14" s="17" t="str">
        <f>YEAR(SapExlData[TILGJ_DATO])&amp;"-"&amp;TEXT(MONTH(SapExlData[TILGJ_DATO]),"00")</f>
        <v>2015-06</v>
      </c>
      <c r="AC14" s="17">
        <f t="shared" si="0"/>
        <v>-14</v>
      </c>
      <c r="AD14" s="17" t="str">
        <f ca="1">IF(AND(SapExlData[Material]&lt;&gt;OFFSET(P14,1,0),AI14=0),"Mangler POs",IF(OFFSET(P14,1,0)="","OK",IF(P14&lt;&gt;OFFSET(P13,1,0),"OK","OK")))</f>
        <v>OK</v>
      </c>
      <c r="AE14" s="17">
        <f t="shared" si="1"/>
        <v>0</v>
      </c>
      <c r="AF14" s="21">
        <f>IF(T14=0,0,SapExlData[I kval.konto.]*IF(AND(AI14=1,AJ14=1),1,0))</f>
        <v>0</v>
      </c>
      <c r="AG14" s="17" t="str">
        <f>SapExlData[Material]&amp;"  "&amp;SapExlData[Material Besk.]</f>
        <v>1022  Stabb Leverpostei 60x100g</v>
      </c>
      <c r="AH14" s="17">
        <f ca="1">IF(OR(SapExlData[TILGJ_DATO]&lt;=TODAY(),SapExlData[TILGJ_DATO]&gt;TODAY()+31*8),0,1)</f>
        <v>0</v>
      </c>
      <c r="AI14" s="37">
        <f t="shared" si="2"/>
        <v>3</v>
      </c>
      <c r="AJ14" s="17">
        <f>IF(ROWS(SapExlData[])&lt;4,1,IF(AND(SapExlData[MRP_Type]&lt;&gt;"Behold",SapExlData[kva.mottatt]&gt;0),1,0))</f>
        <v>0</v>
      </c>
      <c r="AK14" s="17" t="str">
        <f>IF(SapExlData[Ind. MRP-elem.]="WB","Behold",IF(SapExlData[Ind. MRP-elem.]="Ikke tilordnet","Beh/Inn","Andre"))</f>
        <v>Beh/Inn</v>
      </c>
      <c r="AL14" s="17">
        <f>IF(SapExlData[kva.mottatt]&gt;0,IF(P14&lt;&gt;P13,U14,AC13),0)</f>
        <v>0</v>
      </c>
      <c r="AM14" s="21" t="str">
        <f>IF(SapExlData[Dekning]&lt;GreenLimit,"Alerts","Other")</f>
        <v>Alerts</v>
      </c>
    </row>
    <row r="15" spans="1:39" x14ac:dyDescent="0.3">
      <c r="A15" s="51" t="s">
        <v>27</v>
      </c>
      <c r="B15" s="52" t="s">
        <v>212</v>
      </c>
      <c r="C15" s="52" t="s">
        <v>213</v>
      </c>
      <c r="D15" s="52" t="s">
        <v>193</v>
      </c>
      <c r="E15" s="52" t="s">
        <v>194</v>
      </c>
      <c r="F15" s="52" t="s">
        <v>195</v>
      </c>
      <c r="G15" s="52" t="s">
        <v>196</v>
      </c>
      <c r="H15" s="52" t="s">
        <v>197</v>
      </c>
      <c r="I15" s="53" t="s">
        <v>228</v>
      </c>
      <c r="J15" s="53" t="s">
        <v>198</v>
      </c>
      <c r="K15" s="58">
        <v>18</v>
      </c>
      <c r="L15" s="54">
        <v>2</v>
      </c>
      <c r="M15" s="52" t="s">
        <v>199</v>
      </c>
      <c r="N15" s="52" t="s">
        <v>199</v>
      </c>
      <c r="O15" s="52" t="s">
        <v>38</v>
      </c>
      <c r="P15" s="52" t="s">
        <v>215</v>
      </c>
      <c r="Q15" s="53" t="s">
        <v>200</v>
      </c>
      <c r="R15" s="53" t="s">
        <v>201</v>
      </c>
      <c r="S15" s="62">
        <v>0</v>
      </c>
      <c r="T15" s="62">
        <v>0</v>
      </c>
      <c r="U15" s="62">
        <v>-12</v>
      </c>
      <c r="V15" s="62">
        <v>-169</v>
      </c>
      <c r="W15" s="54">
        <v>824.226</v>
      </c>
      <c r="X15" s="59">
        <v>-8281.6219999999994</v>
      </c>
      <c r="Y15" s="33">
        <f>DATEVALUE(SapExlData[Tilgj.dato])</f>
        <v>42177</v>
      </c>
      <c r="Z15" s="17" t="str">
        <f>TEXT(IF(WEEKDAY(DATE(YEAR(DATEVALUE(SapExlData[Tilgj.dato])),1,1),2)&gt;4,WEEKNUM(DATEVALUE(SapExlData[Tilgj.dato]),2)-1,WEEKNUM(DATEVALUE(SapExlData[Tilgj.dato]),2)),"00")</f>
        <v>26</v>
      </c>
      <c r="AA15" s="17" t="str">
        <f>YEAR(SapExlData[TILGJ_DATO])&amp;"-"&amp;WEEKNUM(DATEVALUE(SapExlData[Tilgj.dato]),2)</f>
        <v>2015-26</v>
      </c>
      <c r="AB15" s="17" t="str">
        <f>YEAR(SapExlData[TILGJ_DATO])&amp;"-"&amp;TEXT(MONTH(SapExlData[TILGJ_DATO]),"00")</f>
        <v>2015-06</v>
      </c>
      <c r="AC15" s="17">
        <f t="shared" si="0"/>
        <v>-12</v>
      </c>
      <c r="AD15" s="17" t="str">
        <f ca="1">IF(AND(SapExlData[Material]&lt;&gt;OFFSET(P15,1,0),AI15=0),"Mangler POs",IF(OFFSET(P15,1,0)="","OK",IF(P15&lt;&gt;OFFSET(P14,1,0),"OK","OK")))</f>
        <v>OK</v>
      </c>
      <c r="AE15" s="17">
        <f t="shared" si="1"/>
        <v>0</v>
      </c>
      <c r="AF15" s="21">
        <f>IF(T15=0,0,SapExlData[I kval.konto.]*IF(AND(AI15=1,AJ15=1),1,0))</f>
        <v>0</v>
      </c>
      <c r="AG15" s="17" t="str">
        <f>SapExlData[Material]&amp;"  "&amp;SapExlData[Material Besk.]</f>
        <v>1022  Stabb Leverpostei 60x100g</v>
      </c>
      <c r="AH15" s="17">
        <f ca="1">IF(OR(SapExlData[TILGJ_DATO]&lt;=TODAY(),SapExlData[TILGJ_DATO]&gt;TODAY()+31*8),0,1)</f>
        <v>0</v>
      </c>
      <c r="AI15" s="37">
        <f t="shared" si="2"/>
        <v>4</v>
      </c>
      <c r="AJ15" s="17">
        <f>IF(ROWS(SapExlData[])&lt;4,1,IF(AND(SapExlData[MRP_Type]&lt;&gt;"Behold",SapExlData[kva.mottatt]&gt;0),1,0))</f>
        <v>1</v>
      </c>
      <c r="AK15" s="17" t="str">
        <f>IF(SapExlData[Ind. MRP-elem.]="WB","Behold",IF(SapExlData[Ind. MRP-elem.]="Ikke tilordnet","Beh/Inn","Andre"))</f>
        <v>Beh/Inn</v>
      </c>
      <c r="AL15" s="17">
        <f>IF(SapExlData[kva.mottatt]&gt;0,IF(P15&lt;&gt;P14,U15,AC14),0)</f>
        <v>-14</v>
      </c>
      <c r="AM15" s="21" t="str">
        <f>IF(SapExlData[Dekning]&lt;GreenLimit,"Alerts","Other")</f>
        <v>Alerts</v>
      </c>
    </row>
    <row r="16" spans="1:39" x14ac:dyDescent="0.3">
      <c r="A16" s="55" t="s">
        <v>27</v>
      </c>
      <c r="B16" s="56" t="s">
        <v>212</v>
      </c>
      <c r="C16" s="56" t="s">
        <v>213</v>
      </c>
      <c r="D16" s="56" t="s">
        <v>193</v>
      </c>
      <c r="E16" s="56" t="s">
        <v>194</v>
      </c>
      <c r="F16" s="56" t="s">
        <v>195</v>
      </c>
      <c r="G16" s="56" t="s">
        <v>196</v>
      </c>
      <c r="H16" s="56" t="s">
        <v>197</v>
      </c>
      <c r="I16" s="57" t="s">
        <v>229</v>
      </c>
      <c r="J16" s="57" t="s">
        <v>198</v>
      </c>
      <c r="K16" s="58">
        <v>18</v>
      </c>
      <c r="L16" s="58">
        <v>2</v>
      </c>
      <c r="M16" s="56" t="s">
        <v>199</v>
      </c>
      <c r="N16" s="56" t="s">
        <v>199</v>
      </c>
      <c r="O16" s="56" t="s">
        <v>38</v>
      </c>
      <c r="P16" s="56" t="s">
        <v>215</v>
      </c>
      <c r="Q16" s="57" t="s">
        <v>200</v>
      </c>
      <c r="R16" s="57" t="s">
        <v>201</v>
      </c>
      <c r="S16" s="61">
        <v>0</v>
      </c>
      <c r="T16" s="61">
        <v>0</v>
      </c>
      <c r="U16" s="61">
        <v>-11</v>
      </c>
      <c r="V16" s="61">
        <v>-169</v>
      </c>
      <c r="W16" s="58">
        <v>0</v>
      </c>
      <c r="X16" s="60">
        <v>-8450.6219999999994</v>
      </c>
      <c r="Y16" s="33">
        <f>DATEVALUE(SapExlData[Tilgj.dato])</f>
        <v>42178</v>
      </c>
      <c r="Z16" s="17" t="str">
        <f>TEXT(IF(WEEKDAY(DATE(YEAR(DATEVALUE(SapExlData[Tilgj.dato])),1,1),2)&gt;4,WEEKNUM(DATEVALUE(SapExlData[Tilgj.dato]),2)-1,WEEKNUM(DATEVALUE(SapExlData[Tilgj.dato]),2)),"00")</f>
        <v>26</v>
      </c>
      <c r="AA16" s="17" t="str">
        <f>YEAR(SapExlData[TILGJ_DATO])&amp;"-"&amp;WEEKNUM(DATEVALUE(SapExlData[Tilgj.dato]),2)</f>
        <v>2015-26</v>
      </c>
      <c r="AB16" s="17" t="str">
        <f>YEAR(SapExlData[TILGJ_DATO])&amp;"-"&amp;TEXT(MONTH(SapExlData[TILGJ_DATO]),"00")</f>
        <v>2015-06</v>
      </c>
      <c r="AC16" s="17">
        <f t="shared" si="0"/>
        <v>-12</v>
      </c>
      <c r="AD16" s="17" t="str">
        <f ca="1">IF(AND(SapExlData[Material]&lt;&gt;OFFSET(P16,1,0),AI16=0),"Mangler POs",IF(OFFSET(P16,1,0)="","OK",IF(P16&lt;&gt;OFFSET(P15,1,0),"OK","OK")))</f>
        <v>OK</v>
      </c>
      <c r="AE16" s="17">
        <f t="shared" si="1"/>
        <v>0</v>
      </c>
      <c r="AF16" s="21">
        <f>IF(T16=0,0,SapExlData[I kval.konto.]*IF(AND(AI16=1,AJ16=1),1,0))</f>
        <v>0</v>
      </c>
      <c r="AG16" s="17" t="str">
        <f>SapExlData[Material]&amp;"  "&amp;SapExlData[Material Besk.]</f>
        <v>1022  Stabb Leverpostei 60x100g</v>
      </c>
      <c r="AH16" s="17">
        <f ca="1">IF(OR(SapExlData[TILGJ_DATO]&lt;=TODAY(),SapExlData[TILGJ_DATO]&gt;TODAY()+31*8),0,1)</f>
        <v>0</v>
      </c>
      <c r="AI16" s="37">
        <f t="shared" si="2"/>
        <v>4</v>
      </c>
      <c r="AJ16" s="17">
        <f>IF(ROWS(SapExlData[])&lt;4,1,IF(AND(SapExlData[MRP_Type]&lt;&gt;"Behold",SapExlData[kva.mottatt]&gt;0),1,0))</f>
        <v>0</v>
      </c>
      <c r="AK16" s="17" t="str">
        <f>IF(SapExlData[Ind. MRP-elem.]="WB","Behold",IF(SapExlData[Ind. MRP-elem.]="Ikke tilordnet","Beh/Inn","Andre"))</f>
        <v>Beh/Inn</v>
      </c>
      <c r="AL16" s="17">
        <f>IF(SapExlData[kva.mottatt]&gt;0,IF(P16&lt;&gt;P15,U16,AC15),0)</f>
        <v>0</v>
      </c>
      <c r="AM16" s="21" t="str">
        <f>IF(SapExlData[Dekning]&lt;GreenLimit,"Alerts","Other")</f>
        <v>Alerts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indexed="29"/>
  </sheetPr>
  <dimension ref="A7:G33"/>
  <sheetViews>
    <sheetView showGridLines="0" zoomScale="85" workbookViewId="0">
      <selection activeCell="A11" sqref="A11"/>
    </sheetView>
  </sheetViews>
  <sheetFormatPr defaultColWidth="11.44140625" defaultRowHeight="13.2" x14ac:dyDescent="0.25"/>
  <cols>
    <col min="1" max="1" width="28.77734375" style="23" customWidth="1"/>
    <col min="2" max="2" width="6.88671875" style="23" customWidth="1"/>
    <col min="3" max="3" width="11.77734375" style="23" customWidth="1"/>
    <col min="4" max="4" width="18.77734375" style="23" bestFit="1" customWidth="1"/>
    <col min="5" max="16384" width="11.44140625" style="23"/>
  </cols>
  <sheetData>
    <row r="7" spans="1:7" ht="14.4" x14ac:dyDescent="0.3">
      <c r="A7" s="71" t="s">
        <v>211</v>
      </c>
      <c r="B7" s="72">
        <v>1</v>
      </c>
    </row>
    <row r="8" spans="1:7" ht="14.4" x14ac:dyDescent="0.3">
      <c r="A8" s="71" t="s">
        <v>3</v>
      </c>
      <c r="B8" s="73" t="s">
        <v>150</v>
      </c>
    </row>
    <row r="10" spans="1:7" ht="14.4" x14ac:dyDescent="0.3">
      <c r="A10" s="65" t="s">
        <v>234</v>
      </c>
      <c r="B10" s="66"/>
      <c r="C10"/>
      <c r="D10"/>
      <c r="E10"/>
      <c r="F10"/>
      <c r="G10"/>
    </row>
    <row r="11" spans="1:7" ht="14.4" x14ac:dyDescent="0.3">
      <c r="A11" s="65" t="s">
        <v>178</v>
      </c>
      <c r="B11" s="66" t="s">
        <v>235</v>
      </c>
      <c r="C11"/>
      <c r="D11"/>
      <c r="E11"/>
      <c r="F11"/>
      <c r="G11"/>
    </row>
    <row r="12" spans="1:7" ht="14.4" x14ac:dyDescent="0.3">
      <c r="A12" s="67" t="s">
        <v>230</v>
      </c>
      <c r="B12" s="68">
        <v>19</v>
      </c>
      <c r="C12"/>
      <c r="D12"/>
      <c r="E12"/>
      <c r="F12"/>
      <c r="G12"/>
    </row>
    <row r="13" spans="1:7" ht="14.4" x14ac:dyDescent="0.3">
      <c r="A13" s="69" t="s">
        <v>151</v>
      </c>
      <c r="B13" s="70">
        <v>19</v>
      </c>
      <c r="C13"/>
      <c r="D13"/>
      <c r="E13"/>
      <c r="F13"/>
      <c r="G13"/>
    </row>
    <row r="14" spans="1:7" ht="14.4" x14ac:dyDescent="0.3">
      <c r="A14"/>
      <c r="B14"/>
      <c r="C14"/>
      <c r="D14"/>
      <c r="E14"/>
      <c r="F14"/>
      <c r="G14"/>
    </row>
    <row r="15" spans="1:7" ht="14.4" x14ac:dyDescent="0.3">
      <c r="A15"/>
      <c r="B15"/>
      <c r="C15"/>
      <c r="D15"/>
      <c r="E15"/>
      <c r="F15"/>
      <c r="G15"/>
    </row>
    <row r="16" spans="1:7" ht="14.4" x14ac:dyDescent="0.3">
      <c r="A16"/>
      <c r="B16"/>
      <c r="C16"/>
      <c r="D16"/>
      <c r="E16"/>
      <c r="F16"/>
      <c r="G16"/>
    </row>
    <row r="17" spans="1:7" ht="14.4" x14ac:dyDescent="0.3">
      <c r="A17"/>
      <c r="B17"/>
      <c r="C17"/>
      <c r="D17"/>
      <c r="E17"/>
      <c r="F17"/>
      <c r="G17"/>
    </row>
    <row r="18" spans="1:7" ht="14.4" x14ac:dyDescent="0.3">
      <c r="A18"/>
      <c r="B18"/>
      <c r="C18"/>
      <c r="D18"/>
      <c r="E18"/>
      <c r="F18"/>
      <c r="G18"/>
    </row>
    <row r="19" spans="1:7" ht="14.4" x14ac:dyDescent="0.3">
      <c r="A19"/>
      <c r="B19"/>
      <c r="C19"/>
      <c r="D19"/>
      <c r="E19"/>
      <c r="F19"/>
      <c r="G19"/>
    </row>
    <row r="20" spans="1:7" ht="14.4" x14ac:dyDescent="0.3">
      <c r="A20"/>
      <c r="B20"/>
      <c r="C20"/>
      <c r="D20"/>
      <c r="E20"/>
      <c r="F20"/>
      <c r="G20"/>
    </row>
    <row r="21" spans="1:7" ht="14.4" x14ac:dyDescent="0.3">
      <c r="A21"/>
      <c r="B21"/>
      <c r="C21"/>
      <c r="D21"/>
      <c r="E21"/>
      <c r="F21"/>
      <c r="G21"/>
    </row>
    <row r="22" spans="1:7" ht="14.4" x14ac:dyDescent="0.3">
      <c r="A22"/>
      <c r="B22"/>
      <c r="C22"/>
      <c r="D22"/>
      <c r="E22"/>
      <c r="F22"/>
      <c r="G22"/>
    </row>
    <row r="23" spans="1:7" ht="14.4" x14ac:dyDescent="0.3">
      <c r="A23"/>
      <c r="B23"/>
      <c r="C23"/>
      <c r="D23"/>
      <c r="E23"/>
      <c r="F23"/>
      <c r="G23"/>
    </row>
    <row r="24" spans="1:7" ht="14.4" x14ac:dyDescent="0.3">
      <c r="A24"/>
      <c r="B24"/>
    </row>
    <row r="25" spans="1:7" ht="14.4" x14ac:dyDescent="0.3">
      <c r="A25"/>
      <c r="B25"/>
    </row>
    <row r="26" spans="1:7" ht="14.4" x14ac:dyDescent="0.3">
      <c r="A26"/>
      <c r="B26"/>
    </row>
    <row r="27" spans="1:7" ht="14.4" x14ac:dyDescent="0.3">
      <c r="A27"/>
      <c r="B27"/>
    </row>
    <row r="28" spans="1:7" ht="14.4" x14ac:dyDescent="0.3">
      <c r="A28"/>
      <c r="B28"/>
    </row>
    <row r="29" spans="1:7" ht="14.4" x14ac:dyDescent="0.3">
      <c r="A29"/>
      <c r="B29"/>
    </row>
    <row r="30" spans="1:7" ht="14.4" x14ac:dyDescent="0.3">
      <c r="A30"/>
      <c r="B30"/>
    </row>
    <row r="31" spans="1:7" ht="14.4" x14ac:dyDescent="0.3">
      <c r="A31"/>
      <c r="B31"/>
    </row>
    <row r="32" spans="1:7" ht="14.4" x14ac:dyDescent="0.3">
      <c r="A32"/>
      <c r="B32"/>
    </row>
    <row r="33" spans="1:2" ht="14.4" x14ac:dyDescent="0.3">
      <c r="A33"/>
      <c r="B33"/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34"/>
  <sheetViews>
    <sheetView showGridLines="0" zoomScale="85" zoomScaleNormal="85" workbookViewId="0"/>
  </sheetViews>
  <sheetFormatPr defaultColWidth="11.44140625" defaultRowHeight="14.4" x14ac:dyDescent="0.3"/>
  <cols>
    <col min="1" max="1" width="29.21875" bestFit="1" customWidth="1"/>
    <col min="2" max="2" width="106.77734375" bestFit="1" customWidth="1"/>
  </cols>
  <sheetData>
    <row r="1" spans="1:2" x14ac:dyDescent="0.3">
      <c r="A1" s="6" t="s">
        <v>20</v>
      </c>
      <c r="B1" s="6" t="s">
        <v>9</v>
      </c>
    </row>
    <row r="2" spans="1:2" x14ac:dyDescent="0.3">
      <c r="A2" s="23" t="s">
        <v>97</v>
      </c>
      <c r="B2" s="23" t="s">
        <v>119</v>
      </c>
    </row>
    <row r="3" spans="1:2" x14ac:dyDescent="0.3">
      <c r="A3" s="23" t="s">
        <v>98</v>
      </c>
      <c r="B3" s="23" t="s">
        <v>119</v>
      </c>
    </row>
    <row r="4" spans="1:2" x14ac:dyDescent="0.3">
      <c r="A4" s="23" t="s">
        <v>99</v>
      </c>
      <c r="B4" s="23" t="s">
        <v>120</v>
      </c>
    </row>
    <row r="5" spans="1:2" x14ac:dyDescent="0.3">
      <c r="A5" s="23" t="s">
        <v>100</v>
      </c>
      <c r="B5" s="23" t="s">
        <v>121</v>
      </c>
    </row>
    <row r="6" spans="1:2" x14ac:dyDescent="0.3">
      <c r="A6" s="23" t="s">
        <v>101</v>
      </c>
      <c r="B6" s="23" t="s">
        <v>122</v>
      </c>
    </row>
    <row r="7" spans="1:2" x14ac:dyDescent="0.3">
      <c r="A7" s="23" t="s">
        <v>102</v>
      </c>
      <c r="B7" s="23" t="s">
        <v>123</v>
      </c>
    </row>
    <row r="8" spans="1:2" x14ac:dyDescent="0.3">
      <c r="A8" s="23" t="s">
        <v>103</v>
      </c>
      <c r="B8" s="23" t="s">
        <v>124</v>
      </c>
    </row>
    <row r="9" spans="1:2" x14ac:dyDescent="0.3">
      <c r="A9" s="23" t="s">
        <v>104</v>
      </c>
      <c r="B9" s="23" t="s">
        <v>125</v>
      </c>
    </row>
    <row r="10" spans="1:2" x14ac:dyDescent="0.3">
      <c r="A10" s="23" t="s">
        <v>3</v>
      </c>
      <c r="B10" s="23" t="s">
        <v>126</v>
      </c>
    </row>
    <row r="11" spans="1:2" x14ac:dyDescent="0.3">
      <c r="A11" s="23" t="s">
        <v>105</v>
      </c>
      <c r="B11" s="23" t="s">
        <v>119</v>
      </c>
    </row>
    <row r="12" spans="1:2" x14ac:dyDescent="0.3">
      <c r="A12" s="23" t="s">
        <v>127</v>
      </c>
      <c r="B12" s="23" t="s">
        <v>127</v>
      </c>
    </row>
    <row r="13" spans="1:2" x14ac:dyDescent="0.3">
      <c r="A13" s="23" t="s">
        <v>128</v>
      </c>
      <c r="B13" s="23" t="s">
        <v>129</v>
      </c>
    </row>
    <row r="14" spans="1:2" x14ac:dyDescent="0.3">
      <c r="A14" s="23" t="s">
        <v>115</v>
      </c>
      <c r="B14" s="23" t="s">
        <v>130</v>
      </c>
    </row>
    <row r="15" spans="1:2" x14ac:dyDescent="0.3">
      <c r="A15" s="23" t="s">
        <v>131</v>
      </c>
      <c r="B15" s="23" t="s">
        <v>132</v>
      </c>
    </row>
    <row r="16" spans="1:2" x14ac:dyDescent="0.3">
      <c r="A16" s="23" t="s">
        <v>133</v>
      </c>
      <c r="B16" s="23" t="s">
        <v>134</v>
      </c>
    </row>
    <row r="17" spans="1:2" x14ac:dyDescent="0.3">
      <c r="A17" s="23" t="s">
        <v>0</v>
      </c>
      <c r="B17" s="23" t="s">
        <v>135</v>
      </c>
    </row>
    <row r="18" spans="1:2" x14ac:dyDescent="0.3">
      <c r="A18" s="23" t="s">
        <v>136</v>
      </c>
      <c r="B18" s="23" t="s">
        <v>137</v>
      </c>
    </row>
    <row r="19" spans="1:2" x14ac:dyDescent="0.3">
      <c r="A19" s="23" t="s">
        <v>112</v>
      </c>
      <c r="B19" s="23" t="s">
        <v>119</v>
      </c>
    </row>
    <row r="20" spans="1:2" x14ac:dyDescent="0.3">
      <c r="A20" s="23" t="s">
        <v>138</v>
      </c>
      <c r="B20" s="23" t="s">
        <v>139</v>
      </c>
    </row>
    <row r="21" spans="1:2" x14ac:dyDescent="0.3">
      <c r="A21" s="23" t="s">
        <v>140</v>
      </c>
      <c r="B21" s="23" t="s">
        <v>141</v>
      </c>
    </row>
    <row r="22" spans="1:2" x14ac:dyDescent="0.3">
      <c r="A22" s="23" t="s">
        <v>108</v>
      </c>
      <c r="B22" s="23" t="s">
        <v>142</v>
      </c>
    </row>
    <row r="23" spans="1:2" x14ac:dyDescent="0.3">
      <c r="A23" s="23" t="s">
        <v>107</v>
      </c>
      <c r="B23" s="23" t="s">
        <v>143</v>
      </c>
    </row>
    <row r="24" spans="1:2" x14ac:dyDescent="0.3">
      <c r="A24" s="23" t="s">
        <v>106</v>
      </c>
      <c r="B24" s="23" t="s">
        <v>119</v>
      </c>
    </row>
    <row r="25" spans="1:2" x14ac:dyDescent="0.3">
      <c r="A25" s="23" t="s">
        <v>109</v>
      </c>
      <c r="B25" s="23" t="s">
        <v>119</v>
      </c>
    </row>
    <row r="26" spans="1:2" x14ac:dyDescent="0.3">
      <c r="A26" s="23" t="s">
        <v>110</v>
      </c>
      <c r="B26" s="23" t="s">
        <v>119</v>
      </c>
    </row>
    <row r="27" spans="1:2" x14ac:dyDescent="0.3">
      <c r="A27" s="23" t="s">
        <v>112</v>
      </c>
      <c r="B27" s="23" t="s">
        <v>119</v>
      </c>
    </row>
    <row r="28" spans="1:2" x14ac:dyDescent="0.3">
      <c r="A28" s="23" t="s">
        <v>111</v>
      </c>
      <c r="B28" s="23" t="s">
        <v>119</v>
      </c>
    </row>
    <row r="29" spans="1:2" x14ac:dyDescent="0.3">
      <c r="A29" s="23" t="s">
        <v>113</v>
      </c>
      <c r="B29" s="23" t="s">
        <v>119</v>
      </c>
    </row>
    <row r="30" spans="1:2" x14ac:dyDescent="0.3">
      <c r="A30" s="23" t="s">
        <v>114</v>
      </c>
      <c r="B30" s="23" t="s">
        <v>144</v>
      </c>
    </row>
    <row r="31" spans="1:2" x14ac:dyDescent="0.3">
      <c r="A31" s="23" t="s">
        <v>118</v>
      </c>
      <c r="B31" s="23" t="s">
        <v>145</v>
      </c>
    </row>
    <row r="32" spans="1:2" x14ac:dyDescent="0.3">
      <c r="A32" s="23" t="s">
        <v>116</v>
      </c>
      <c r="B32" s="23" t="s">
        <v>146</v>
      </c>
    </row>
    <row r="33" spans="1:2" x14ac:dyDescent="0.3">
      <c r="A33" s="23" t="s">
        <v>147</v>
      </c>
      <c r="B33" s="23" t="s">
        <v>148</v>
      </c>
    </row>
    <row r="34" spans="1:2" x14ac:dyDescent="0.3">
      <c r="A34" s="23" t="s">
        <v>117</v>
      </c>
      <c r="B34" s="23" t="s">
        <v>149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4" x14ac:dyDescent="0.3"/>
  <cols>
    <col min="1" max="1" width="11" customWidth="1"/>
    <col min="2" max="2" width="11.21875" bestFit="1" customWidth="1"/>
    <col min="3" max="3" width="11.5546875" bestFit="1" customWidth="1"/>
    <col min="4" max="4" width="13.77734375" customWidth="1"/>
    <col min="5" max="5" width="13.44140625" bestFit="1" customWidth="1"/>
    <col min="6" max="6" width="11" customWidth="1"/>
    <col min="7" max="7" width="15.44140625" bestFit="1" customWidth="1"/>
    <col min="8" max="8" width="14.5546875" bestFit="1" customWidth="1"/>
    <col min="9" max="9" width="15.77734375" bestFit="1" customWidth="1"/>
    <col min="10" max="10" width="12.5546875" bestFit="1" customWidth="1"/>
    <col min="11" max="11" width="19.21875" bestFit="1" customWidth="1"/>
    <col min="12" max="12" width="12.21875" bestFit="1" customWidth="1"/>
    <col min="13" max="14" width="12" customWidth="1"/>
    <col min="15" max="15" width="17" customWidth="1"/>
    <col min="16" max="16" width="20.77734375" bestFit="1" customWidth="1"/>
    <col min="17" max="17" width="12" customWidth="1"/>
    <col min="18" max="18" width="8.5546875" customWidth="1"/>
    <col min="19" max="19" width="9.21875" customWidth="1"/>
    <col min="20" max="20" width="13.5546875" customWidth="1"/>
    <col min="21" max="21" width="11" customWidth="1"/>
    <col min="22" max="23" width="12" customWidth="1"/>
    <col min="24" max="24" width="12.77734375" customWidth="1"/>
    <col min="25" max="51" width="12" customWidth="1"/>
  </cols>
  <sheetData>
    <row r="1" spans="1:33" x14ac:dyDescent="0.3">
      <c r="A1" t="s">
        <v>64</v>
      </c>
      <c r="B1" t="s">
        <v>2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72</v>
      </c>
      <c r="K1" t="s">
        <v>73</v>
      </c>
      <c r="L1" t="s">
        <v>74</v>
      </c>
      <c r="M1" t="s">
        <v>75</v>
      </c>
      <c r="N1" t="s">
        <v>76</v>
      </c>
      <c r="O1" t="s">
        <v>77</v>
      </c>
      <c r="P1" t="s">
        <v>78</v>
      </c>
      <c r="Q1" t="s">
        <v>79</v>
      </c>
      <c r="R1" t="s">
        <v>80</v>
      </c>
      <c r="S1" t="s">
        <v>81</v>
      </c>
      <c r="T1" t="s">
        <v>82</v>
      </c>
      <c r="U1" t="s">
        <v>83</v>
      </c>
      <c r="V1" t="s">
        <v>84</v>
      </c>
      <c r="W1" t="s">
        <v>85</v>
      </c>
      <c r="X1" t="s">
        <v>86</v>
      </c>
      <c r="Y1" t="s">
        <v>87</v>
      </c>
      <c r="Z1" t="s">
        <v>88</v>
      </c>
      <c r="AA1" t="s">
        <v>89</v>
      </c>
      <c r="AB1" t="s">
        <v>90</v>
      </c>
      <c r="AC1" t="s">
        <v>91</v>
      </c>
      <c r="AD1" t="s">
        <v>92</v>
      </c>
      <c r="AE1" t="s">
        <v>93</v>
      </c>
      <c r="AF1" t="s">
        <v>94</v>
      </c>
      <c r="AG1" t="s">
        <v>95</v>
      </c>
    </row>
    <row r="2" spans="1:33" x14ac:dyDescent="0.3">
      <c r="A2" s="10"/>
      <c r="C2" s="10"/>
      <c r="D2" s="10"/>
      <c r="E2" s="10"/>
      <c r="F2" s="10"/>
      <c r="G2" s="10"/>
      <c r="H2" s="10"/>
      <c r="I2" s="10"/>
      <c r="L2" s="10"/>
      <c r="M2" s="10"/>
      <c r="N2" s="10"/>
      <c r="O2" s="10"/>
      <c r="P2" s="10"/>
      <c r="Q2" s="10"/>
      <c r="R2" s="10"/>
      <c r="S2" s="10"/>
      <c r="U2" s="10"/>
      <c r="V2" s="10"/>
      <c r="W2" s="10"/>
      <c r="X2" s="10"/>
      <c r="AA2" s="10"/>
      <c r="AE2" s="10"/>
      <c r="AF2" s="10"/>
    </row>
    <row r="3" spans="1:33" x14ac:dyDescent="0.3">
      <c r="D3" s="10"/>
      <c r="E3" s="10"/>
      <c r="G3" s="10"/>
      <c r="H3" s="10"/>
      <c r="L3" s="10"/>
      <c r="M3" s="10"/>
      <c r="N3" s="10"/>
      <c r="O3" s="10"/>
      <c r="Q3" s="10"/>
      <c r="R3" s="10"/>
      <c r="S3" s="10"/>
      <c r="U3" s="10"/>
    </row>
    <row r="4" spans="1:33" x14ac:dyDescent="0.3">
      <c r="D4" s="10"/>
      <c r="E4" s="10"/>
      <c r="G4" s="10"/>
      <c r="H4" s="10"/>
      <c r="L4" s="10"/>
      <c r="M4" s="10"/>
      <c r="N4" s="10"/>
      <c r="O4" s="10"/>
      <c r="Q4" s="10"/>
      <c r="R4" s="10"/>
      <c r="S4" s="10"/>
      <c r="U4" s="10"/>
    </row>
    <row r="5" spans="1:33" x14ac:dyDescent="0.3">
      <c r="D5" s="10"/>
      <c r="E5" s="10"/>
      <c r="G5" s="10"/>
      <c r="H5" s="10"/>
      <c r="L5" s="10"/>
      <c r="M5" s="10"/>
      <c r="N5" s="10"/>
      <c r="O5" s="10"/>
      <c r="Q5" s="10"/>
      <c r="R5" s="10"/>
      <c r="S5" s="10"/>
      <c r="U5" s="10"/>
    </row>
    <row r="6" spans="1:33" x14ac:dyDescent="0.3">
      <c r="D6" s="10"/>
      <c r="E6" s="10"/>
      <c r="G6" s="10"/>
      <c r="H6" s="10"/>
      <c r="L6" s="10"/>
      <c r="M6" s="10"/>
      <c r="N6" s="10"/>
      <c r="O6" s="10"/>
      <c r="Q6" s="10"/>
      <c r="R6" s="10"/>
      <c r="S6" s="10"/>
      <c r="U6" s="10"/>
    </row>
    <row r="7" spans="1:33" x14ac:dyDescent="0.3">
      <c r="D7" s="10"/>
      <c r="E7" s="10"/>
      <c r="G7" s="10"/>
      <c r="H7" s="10"/>
      <c r="L7" s="10"/>
      <c r="M7" s="10"/>
      <c r="N7" s="10"/>
      <c r="O7" s="10"/>
      <c r="Q7" s="10"/>
      <c r="R7" s="10"/>
      <c r="S7" s="10"/>
      <c r="U7" s="10"/>
    </row>
    <row r="8" spans="1:33" x14ac:dyDescent="0.3">
      <c r="D8" s="10"/>
      <c r="E8" s="10"/>
      <c r="G8" s="10"/>
      <c r="H8" s="10"/>
      <c r="L8" s="10"/>
      <c r="M8" s="10"/>
      <c r="N8" s="10"/>
      <c r="O8" s="10"/>
      <c r="Q8" s="10"/>
      <c r="R8" s="10"/>
      <c r="S8" s="10"/>
      <c r="U8" s="10"/>
    </row>
    <row r="9" spans="1:33" x14ac:dyDescent="0.3">
      <c r="D9" s="10"/>
      <c r="E9" s="10"/>
      <c r="G9" s="10"/>
      <c r="H9" s="10"/>
      <c r="L9" s="10"/>
      <c r="M9" s="10"/>
      <c r="N9" s="10"/>
      <c r="O9" s="10"/>
      <c r="Q9" s="10"/>
      <c r="R9" s="10"/>
      <c r="S9" s="10"/>
      <c r="U9" s="10"/>
    </row>
    <row r="10" spans="1:33" x14ac:dyDescent="0.3">
      <c r="D10" s="10"/>
      <c r="E10" s="10"/>
      <c r="G10" s="10"/>
      <c r="H10" s="10"/>
      <c r="L10" s="10"/>
      <c r="M10" s="10"/>
      <c r="N10" s="10"/>
      <c r="O10" s="10"/>
      <c r="Q10" s="10"/>
      <c r="R10" s="10"/>
      <c r="S10" s="10"/>
      <c r="U10" s="10"/>
    </row>
    <row r="11" spans="1:33" x14ac:dyDescent="0.3">
      <c r="D11" s="10"/>
      <c r="E11" s="10"/>
      <c r="G11" s="10"/>
      <c r="H11" s="10"/>
      <c r="L11" s="10"/>
      <c r="M11" s="10"/>
      <c r="N11" s="10"/>
      <c r="O11" s="10"/>
      <c r="Q11" s="10"/>
      <c r="R11" s="10"/>
      <c r="S11" s="10"/>
      <c r="U11" s="10"/>
    </row>
    <row r="12" spans="1:33" x14ac:dyDescent="0.3">
      <c r="D12" s="10"/>
      <c r="E12" s="10"/>
      <c r="G12" s="10"/>
      <c r="H12" s="10"/>
      <c r="L12" s="10"/>
      <c r="M12" s="10"/>
      <c r="N12" s="10"/>
      <c r="O12" s="10"/>
      <c r="Q12" s="10"/>
      <c r="R12" s="10"/>
      <c r="S12" s="10"/>
      <c r="U12" s="10"/>
    </row>
    <row r="13" spans="1:33" x14ac:dyDescent="0.3">
      <c r="D13" s="10"/>
      <c r="E13" s="10"/>
      <c r="G13" s="10"/>
      <c r="H13" s="10"/>
      <c r="L13" s="10"/>
      <c r="M13" s="10"/>
      <c r="N13" s="10"/>
      <c r="O13" s="10"/>
      <c r="Q13" s="10"/>
      <c r="R13" s="10"/>
      <c r="S13" s="10"/>
      <c r="U13" s="10"/>
    </row>
    <row r="14" spans="1:33" x14ac:dyDescent="0.3">
      <c r="D14" s="10"/>
      <c r="E14" s="10"/>
      <c r="G14" s="10"/>
      <c r="H14" s="10"/>
      <c r="L14" s="10"/>
      <c r="M14" s="10"/>
      <c r="N14" s="10"/>
      <c r="O14" s="10"/>
      <c r="Q14" s="10"/>
      <c r="R14" s="10"/>
      <c r="S14" s="10"/>
      <c r="U14" s="10"/>
    </row>
    <row r="15" spans="1:33" x14ac:dyDescent="0.3">
      <c r="D15" s="10"/>
      <c r="E15" s="10"/>
      <c r="G15" s="10"/>
      <c r="H15" s="10"/>
      <c r="L15" s="10"/>
      <c r="M15" s="10"/>
      <c r="N15" s="10"/>
      <c r="O15" s="10"/>
      <c r="Q15" s="10"/>
      <c r="R15" s="10"/>
      <c r="S15" s="10"/>
      <c r="U15" s="10"/>
    </row>
    <row r="16" spans="1:33" x14ac:dyDescent="0.3">
      <c r="D16" s="10"/>
      <c r="E16" s="10"/>
      <c r="G16" s="10"/>
      <c r="H16" s="10"/>
      <c r="L16" s="10"/>
      <c r="M16" s="10"/>
      <c r="N16" s="10"/>
      <c r="O16" s="10"/>
      <c r="Q16" s="10"/>
      <c r="R16" s="10"/>
      <c r="S16" s="10"/>
      <c r="U16" s="10"/>
    </row>
    <row r="17" spans="4:21" x14ac:dyDescent="0.3">
      <c r="D17" s="10"/>
      <c r="E17" s="10"/>
      <c r="G17" s="10"/>
      <c r="H17" s="10"/>
      <c r="L17" s="10"/>
      <c r="M17" s="10"/>
      <c r="N17" s="10"/>
      <c r="O17" s="10"/>
      <c r="Q17" s="10"/>
      <c r="R17" s="10"/>
      <c r="S17" s="10"/>
      <c r="U17" s="10"/>
    </row>
    <row r="18" spans="4:21" x14ac:dyDescent="0.3">
      <c r="D18" s="10"/>
      <c r="E18" s="10"/>
      <c r="G18" s="10"/>
      <c r="H18" s="10"/>
      <c r="L18" s="10"/>
      <c r="M18" s="10"/>
      <c r="N18" s="10"/>
      <c r="O18" s="10"/>
      <c r="Q18" s="10"/>
      <c r="R18" s="10"/>
      <c r="S18" s="10"/>
      <c r="U18" s="10"/>
    </row>
    <row r="19" spans="4:21" x14ac:dyDescent="0.3">
      <c r="D19" s="10"/>
      <c r="E19" s="10"/>
      <c r="G19" s="10"/>
      <c r="H19" s="10"/>
      <c r="L19" s="10"/>
      <c r="M19" s="10"/>
      <c r="N19" s="10"/>
      <c r="O19" s="10"/>
      <c r="Q19" s="10"/>
      <c r="R19" s="10"/>
      <c r="S19" s="10"/>
      <c r="U19" s="10"/>
    </row>
    <row r="20" spans="4:21" x14ac:dyDescent="0.3">
      <c r="D20" s="10"/>
      <c r="E20" s="10"/>
      <c r="G20" s="10"/>
      <c r="H20" s="10"/>
      <c r="L20" s="10"/>
      <c r="M20" s="10"/>
      <c r="N20" s="10"/>
      <c r="O20" s="10"/>
      <c r="Q20" s="10"/>
      <c r="R20" s="10"/>
      <c r="S20" s="10"/>
      <c r="U20" s="10"/>
    </row>
    <row r="21" spans="4:21" x14ac:dyDescent="0.3">
      <c r="D21" s="10"/>
      <c r="E21" s="10"/>
      <c r="G21" s="10"/>
      <c r="H21" s="10"/>
      <c r="L21" s="10"/>
      <c r="M21" s="10"/>
      <c r="N21" s="10"/>
      <c r="O21" s="10"/>
      <c r="Q21" s="10"/>
      <c r="R21" s="10"/>
      <c r="S21" s="10"/>
      <c r="U21" s="10"/>
    </row>
    <row r="22" spans="4:21" x14ac:dyDescent="0.3">
      <c r="D22" s="10"/>
      <c r="E22" s="10"/>
      <c r="G22" s="10"/>
      <c r="H22" s="10"/>
      <c r="L22" s="10"/>
      <c r="M22" s="10"/>
      <c r="N22" s="10"/>
      <c r="O22" s="10"/>
      <c r="Q22" s="10"/>
      <c r="R22" s="10"/>
      <c r="S22" s="10"/>
      <c r="U22" s="10"/>
    </row>
    <row r="23" spans="4:21" x14ac:dyDescent="0.3">
      <c r="D23" s="10"/>
      <c r="E23" s="10"/>
      <c r="G23" s="10"/>
      <c r="H23" s="10"/>
      <c r="L23" s="10"/>
      <c r="M23" s="10"/>
      <c r="N23" s="10"/>
      <c r="O23" s="10"/>
      <c r="Q23" s="10"/>
      <c r="R23" s="10"/>
      <c r="S23" s="10"/>
      <c r="U23" s="10"/>
    </row>
    <row r="24" spans="4:21" x14ac:dyDescent="0.3">
      <c r="D24" s="10"/>
      <c r="E24" s="10"/>
      <c r="G24" s="10"/>
      <c r="H24" s="10"/>
      <c r="L24" s="10"/>
      <c r="M24" s="10"/>
      <c r="N24" s="10"/>
      <c r="O24" s="10"/>
      <c r="Q24" s="10"/>
      <c r="R24" s="10"/>
      <c r="S24" s="10"/>
      <c r="U24" s="10"/>
    </row>
    <row r="25" spans="4:21" x14ac:dyDescent="0.3">
      <c r="D25" s="10"/>
      <c r="E25" s="10"/>
      <c r="G25" s="10"/>
      <c r="H25" s="10"/>
      <c r="L25" s="10"/>
      <c r="M25" s="10"/>
      <c r="N25" s="10"/>
      <c r="O25" s="10"/>
      <c r="Q25" s="10"/>
      <c r="R25" s="10"/>
      <c r="S25" s="10"/>
      <c r="U25" s="10"/>
    </row>
    <row r="26" spans="4:21" x14ac:dyDescent="0.3">
      <c r="D26" s="10"/>
      <c r="E26" s="10"/>
      <c r="G26" s="10"/>
      <c r="H26" s="10"/>
      <c r="L26" s="10"/>
      <c r="M26" s="10"/>
      <c r="N26" s="10"/>
      <c r="O26" s="10"/>
      <c r="Q26" s="10"/>
      <c r="R26" s="10"/>
      <c r="S26" s="10"/>
      <c r="U26" s="10"/>
    </row>
    <row r="27" spans="4:21" x14ac:dyDescent="0.3">
      <c r="D27" s="10"/>
      <c r="E27" s="10"/>
      <c r="G27" s="10"/>
      <c r="H27" s="10"/>
      <c r="L27" s="10"/>
      <c r="M27" s="10"/>
      <c r="N27" s="10"/>
      <c r="O27" s="10"/>
      <c r="Q27" s="10"/>
      <c r="R27" s="10"/>
      <c r="S27" s="10"/>
      <c r="U27" s="10"/>
    </row>
    <row r="28" spans="4:21" x14ac:dyDescent="0.3">
      <c r="D28" s="10"/>
      <c r="E28" s="10"/>
      <c r="G28" s="10"/>
      <c r="H28" s="10"/>
      <c r="L28" s="10"/>
      <c r="M28" s="10"/>
      <c r="N28" s="10"/>
      <c r="O28" s="10"/>
      <c r="Q28" s="10"/>
      <c r="R28" s="10"/>
      <c r="S28" s="10"/>
      <c r="U28" s="10"/>
    </row>
    <row r="29" spans="4:21" x14ac:dyDescent="0.3">
      <c r="D29" s="10"/>
      <c r="E29" s="10"/>
      <c r="G29" s="10"/>
      <c r="H29" s="10"/>
      <c r="L29" s="10"/>
      <c r="M29" s="10"/>
      <c r="N29" s="10"/>
      <c r="O29" s="10"/>
      <c r="Q29" s="10"/>
      <c r="R29" s="10"/>
      <c r="S29" s="10"/>
      <c r="U29" s="10"/>
    </row>
    <row r="30" spans="4:21" x14ac:dyDescent="0.3">
      <c r="D30" s="10"/>
      <c r="E30" s="10"/>
      <c r="G30" s="10"/>
      <c r="H30" s="10"/>
      <c r="L30" s="10"/>
      <c r="M30" s="10"/>
      <c r="N30" s="10"/>
      <c r="O30" s="10"/>
      <c r="Q30" s="10"/>
      <c r="R30" s="10"/>
      <c r="S30" s="10"/>
      <c r="U30" s="10"/>
    </row>
    <row r="31" spans="4:21" x14ac:dyDescent="0.3">
      <c r="D31" s="10"/>
      <c r="E31" s="10"/>
      <c r="G31" s="10"/>
      <c r="H31" s="10"/>
      <c r="L31" s="10"/>
      <c r="M31" s="10"/>
      <c r="N31" s="10"/>
      <c r="O31" s="10"/>
      <c r="Q31" s="10"/>
      <c r="R31" s="10"/>
      <c r="S31" s="10"/>
      <c r="U31" s="10"/>
    </row>
    <row r="32" spans="4:21" x14ac:dyDescent="0.3">
      <c r="D32" s="10"/>
      <c r="E32" s="10"/>
      <c r="G32" s="10"/>
      <c r="H32" s="10"/>
      <c r="L32" s="10"/>
      <c r="M32" s="10"/>
      <c r="N32" s="10"/>
      <c r="O32" s="10"/>
      <c r="Q32" s="10"/>
      <c r="R32" s="10"/>
      <c r="S32" s="10"/>
      <c r="U32" s="10"/>
    </row>
    <row r="33" spans="4:21" x14ac:dyDescent="0.3">
      <c r="D33" s="10"/>
      <c r="E33" s="10"/>
      <c r="G33" s="10"/>
      <c r="H33" s="10"/>
      <c r="L33" s="10"/>
      <c r="M33" s="10"/>
      <c r="N33" s="10"/>
      <c r="O33" s="10"/>
      <c r="Q33" s="10"/>
      <c r="R33" s="10"/>
      <c r="S33" s="10"/>
      <c r="U33" s="10"/>
    </row>
    <row r="34" spans="4:21" x14ac:dyDescent="0.3">
      <c r="D34" s="10"/>
      <c r="E34" s="10"/>
      <c r="G34" s="10"/>
      <c r="H34" s="10"/>
      <c r="L34" s="10"/>
      <c r="M34" s="10"/>
      <c r="N34" s="10"/>
      <c r="O34" s="10"/>
      <c r="Q34" s="10"/>
      <c r="R34" s="10"/>
      <c r="S34" s="10"/>
      <c r="U34" s="10"/>
    </row>
    <row r="35" spans="4:21" x14ac:dyDescent="0.3">
      <c r="D35" s="10"/>
      <c r="E35" s="10"/>
      <c r="G35" s="10"/>
      <c r="H35" s="10"/>
      <c r="L35" s="10"/>
      <c r="M35" s="10"/>
      <c r="N35" s="10"/>
      <c r="O35" s="10"/>
      <c r="Q35" s="10"/>
      <c r="R35" s="10"/>
      <c r="S35" s="10"/>
      <c r="U35" s="10"/>
    </row>
    <row r="36" spans="4:21" x14ac:dyDescent="0.3">
      <c r="D36" s="10"/>
      <c r="E36" s="10"/>
      <c r="G36" s="10"/>
      <c r="H36" s="10"/>
      <c r="L36" s="10"/>
      <c r="M36" s="10"/>
      <c r="N36" s="10"/>
      <c r="O36" s="10"/>
      <c r="Q36" s="10"/>
      <c r="R36" s="10"/>
      <c r="S36" s="10"/>
      <c r="U36" s="10"/>
    </row>
    <row r="37" spans="4:21" x14ac:dyDescent="0.3">
      <c r="D37" s="10"/>
      <c r="E37" s="10"/>
      <c r="G37" s="10"/>
      <c r="H37" s="10"/>
      <c r="L37" s="10"/>
      <c r="M37" s="10"/>
      <c r="N37" s="10"/>
      <c r="O37" s="10"/>
      <c r="Q37" s="10"/>
      <c r="R37" s="10"/>
      <c r="S37" s="10"/>
      <c r="U37" s="10"/>
    </row>
    <row r="38" spans="4:21" x14ac:dyDescent="0.3">
      <c r="D38" s="10"/>
      <c r="E38" s="10"/>
      <c r="G38" s="10"/>
      <c r="H38" s="10"/>
      <c r="L38" s="10"/>
      <c r="M38" s="10"/>
      <c r="N38" s="10"/>
      <c r="O38" s="10"/>
      <c r="Q38" s="10"/>
      <c r="R38" s="10"/>
      <c r="S38" s="10"/>
      <c r="U38" s="10"/>
    </row>
    <row r="39" spans="4:21" x14ac:dyDescent="0.3">
      <c r="D39" s="10"/>
      <c r="E39" s="10"/>
      <c r="G39" s="10"/>
      <c r="H39" s="10"/>
      <c r="L39" s="10"/>
      <c r="M39" s="10"/>
      <c r="N39" s="10"/>
      <c r="O39" s="10"/>
      <c r="Q39" s="10"/>
      <c r="R39" s="10"/>
      <c r="S39" s="10"/>
      <c r="U39" s="10"/>
    </row>
    <row r="40" spans="4:21" x14ac:dyDescent="0.3">
      <c r="D40" s="10"/>
      <c r="E40" s="10"/>
      <c r="G40" s="10"/>
      <c r="H40" s="10"/>
      <c r="L40" s="10"/>
      <c r="M40" s="10"/>
      <c r="N40" s="10"/>
      <c r="O40" s="10"/>
      <c r="Q40" s="10"/>
      <c r="R40" s="10"/>
      <c r="S40" s="10"/>
      <c r="U40" s="10"/>
    </row>
    <row r="41" spans="4:21" x14ac:dyDescent="0.3">
      <c r="D41" s="10"/>
      <c r="E41" s="10"/>
      <c r="G41" s="10"/>
      <c r="H41" s="10"/>
      <c r="L41" s="10"/>
      <c r="M41" s="10"/>
      <c r="N41" s="10"/>
      <c r="O41" s="10"/>
      <c r="Q41" s="10"/>
      <c r="R41" s="10"/>
      <c r="S41" s="10"/>
      <c r="U41" s="10"/>
    </row>
    <row r="42" spans="4:21" x14ac:dyDescent="0.3">
      <c r="D42" s="10"/>
      <c r="E42" s="10"/>
      <c r="G42" s="10"/>
      <c r="H42" s="10"/>
      <c r="L42" s="10"/>
      <c r="M42" s="10"/>
      <c r="N42" s="10"/>
      <c r="O42" s="10"/>
      <c r="Q42" s="10"/>
      <c r="R42" s="10"/>
      <c r="S42" s="10"/>
      <c r="U42" s="10"/>
    </row>
    <row r="43" spans="4:21" x14ac:dyDescent="0.3">
      <c r="D43" s="10"/>
      <c r="E43" s="10"/>
      <c r="G43" s="10"/>
      <c r="H43" s="10"/>
      <c r="L43" s="10"/>
      <c r="M43" s="10"/>
      <c r="N43" s="10"/>
      <c r="O43" s="10"/>
      <c r="Q43" s="10"/>
      <c r="R43" s="10"/>
      <c r="S43" s="10"/>
      <c r="U43" s="10"/>
    </row>
    <row r="44" spans="4:21" x14ac:dyDescent="0.3">
      <c r="D44" s="10"/>
      <c r="E44" s="10"/>
      <c r="G44" s="10"/>
      <c r="H44" s="10"/>
      <c r="L44" s="10"/>
      <c r="M44" s="10"/>
      <c r="N44" s="10"/>
      <c r="O44" s="10"/>
      <c r="Q44" s="10"/>
      <c r="R44" s="10"/>
      <c r="S44" s="10"/>
      <c r="U44" s="10"/>
    </row>
    <row r="45" spans="4:21" x14ac:dyDescent="0.3">
      <c r="D45" s="10"/>
      <c r="E45" s="10"/>
      <c r="G45" s="10"/>
      <c r="H45" s="10"/>
      <c r="L45" s="10"/>
      <c r="M45" s="10"/>
      <c r="N45" s="10"/>
      <c r="O45" s="10"/>
      <c r="Q45" s="10"/>
      <c r="R45" s="10"/>
      <c r="S45" s="10"/>
      <c r="U45" s="10"/>
    </row>
    <row r="46" spans="4:21" x14ac:dyDescent="0.3">
      <c r="D46" s="10"/>
      <c r="E46" s="10"/>
      <c r="G46" s="10"/>
      <c r="H46" s="10"/>
      <c r="L46" s="10"/>
      <c r="M46" s="10"/>
      <c r="N46" s="10"/>
      <c r="O46" s="10"/>
      <c r="Q46" s="10"/>
      <c r="R46" s="10"/>
      <c r="S46" s="10"/>
      <c r="U46" s="10"/>
    </row>
    <row r="47" spans="4:21" x14ac:dyDescent="0.3">
      <c r="D47" s="10"/>
      <c r="E47" s="10"/>
      <c r="G47" s="10"/>
      <c r="H47" s="10"/>
      <c r="L47" s="10"/>
      <c r="M47" s="10"/>
      <c r="N47" s="10"/>
      <c r="O47" s="10"/>
      <c r="Q47" s="10"/>
      <c r="R47" s="10"/>
      <c r="S47" s="10"/>
      <c r="U47" s="10"/>
    </row>
    <row r="48" spans="4:21" x14ac:dyDescent="0.3">
      <c r="D48" s="10"/>
      <c r="E48" s="10"/>
      <c r="G48" s="10"/>
      <c r="H48" s="10"/>
      <c r="L48" s="10"/>
      <c r="M48" s="10"/>
      <c r="N48" s="10"/>
      <c r="O48" s="10"/>
      <c r="Q48" s="10"/>
      <c r="R48" s="10"/>
      <c r="S48" s="10"/>
      <c r="U48" s="10"/>
    </row>
    <row r="49" spans="4:21" x14ac:dyDescent="0.3">
      <c r="D49" s="10"/>
      <c r="E49" s="10"/>
      <c r="G49" s="10"/>
      <c r="H49" s="10"/>
      <c r="L49" s="10"/>
      <c r="M49" s="10"/>
      <c r="N49" s="10"/>
      <c r="O49" s="10"/>
      <c r="Q49" s="10"/>
      <c r="R49" s="10"/>
      <c r="S49" s="10"/>
      <c r="U49" s="10"/>
    </row>
    <row r="50" spans="4:21" x14ac:dyDescent="0.3">
      <c r="D50" s="10"/>
      <c r="E50" s="10"/>
      <c r="G50" s="10"/>
      <c r="H50" s="10"/>
      <c r="L50" s="10"/>
      <c r="M50" s="10"/>
      <c r="N50" s="10"/>
      <c r="O50" s="10"/>
      <c r="Q50" s="10"/>
      <c r="R50" s="10"/>
      <c r="S50" s="10"/>
      <c r="U50" s="10"/>
    </row>
    <row r="51" spans="4:21" x14ac:dyDescent="0.3">
      <c r="D51" s="10"/>
      <c r="E51" s="10"/>
      <c r="G51" s="10"/>
      <c r="H51" s="10"/>
      <c r="L51" s="10"/>
      <c r="M51" s="10"/>
      <c r="N51" s="10"/>
      <c r="O51" s="10"/>
      <c r="Q51" s="10"/>
      <c r="R51" s="10"/>
      <c r="S51" s="10"/>
      <c r="U51" s="10"/>
    </row>
    <row r="52" spans="4:21" x14ac:dyDescent="0.3">
      <c r="D52" s="10"/>
      <c r="E52" s="10"/>
      <c r="G52" s="10"/>
      <c r="H52" s="10"/>
      <c r="L52" s="10"/>
      <c r="M52" s="10"/>
      <c r="N52" s="10"/>
      <c r="O52" s="10"/>
      <c r="Q52" s="10"/>
      <c r="R52" s="10"/>
      <c r="S52" s="10"/>
      <c r="U52" s="10"/>
    </row>
    <row r="53" spans="4:21" x14ac:dyDescent="0.3">
      <c r="D53" s="10"/>
      <c r="E53" s="10"/>
      <c r="G53" s="10"/>
      <c r="H53" s="10"/>
      <c r="L53" s="10"/>
      <c r="M53" s="10"/>
      <c r="N53" s="10"/>
      <c r="O53" s="10"/>
      <c r="Q53" s="10"/>
      <c r="R53" s="10"/>
      <c r="S53" s="10"/>
      <c r="U53" s="10"/>
    </row>
    <row r="54" spans="4:21" x14ac:dyDescent="0.3">
      <c r="D54" s="10"/>
      <c r="E54" s="10"/>
      <c r="G54" s="10"/>
      <c r="H54" s="10"/>
      <c r="L54" s="10"/>
      <c r="M54" s="10"/>
      <c r="N54" s="10"/>
      <c r="O54" s="10"/>
      <c r="Q54" s="10"/>
      <c r="R54" s="10"/>
      <c r="S54" s="10"/>
      <c r="U54" s="10"/>
    </row>
    <row r="55" spans="4:21" x14ac:dyDescent="0.3">
      <c r="D55" s="10"/>
      <c r="E55" s="10"/>
      <c r="G55" s="10"/>
      <c r="H55" s="10"/>
      <c r="L55" s="10"/>
      <c r="M55" s="10"/>
      <c r="N55" s="10"/>
      <c r="O55" s="10"/>
      <c r="Q55" s="10"/>
      <c r="R55" s="10"/>
      <c r="S55" s="10"/>
      <c r="U55" s="10"/>
    </row>
    <row r="56" spans="4:21" x14ac:dyDescent="0.3">
      <c r="D56" s="10"/>
      <c r="E56" s="10"/>
      <c r="G56" s="10"/>
      <c r="H56" s="10"/>
      <c r="L56" s="10"/>
      <c r="M56" s="10"/>
      <c r="N56" s="10"/>
      <c r="O56" s="10"/>
      <c r="Q56" s="10"/>
      <c r="R56" s="10"/>
      <c r="S56" s="10"/>
      <c r="U56" s="10"/>
    </row>
    <row r="57" spans="4:21" x14ac:dyDescent="0.3">
      <c r="D57" s="10"/>
      <c r="E57" s="10"/>
      <c r="G57" s="10"/>
      <c r="H57" s="10"/>
      <c r="L57" s="10"/>
      <c r="M57" s="10"/>
      <c r="N57" s="10"/>
      <c r="O57" s="10"/>
      <c r="Q57" s="10"/>
      <c r="R57" s="10"/>
      <c r="S57" s="10"/>
      <c r="U57" s="10"/>
    </row>
    <row r="58" spans="4:21" x14ac:dyDescent="0.3">
      <c r="D58" s="10"/>
      <c r="E58" s="10"/>
      <c r="G58" s="10"/>
      <c r="H58" s="10"/>
      <c r="L58" s="10"/>
      <c r="M58" s="10"/>
      <c r="N58" s="10"/>
      <c r="O58" s="10"/>
      <c r="Q58" s="10"/>
      <c r="R58" s="10"/>
      <c r="S58" s="10"/>
      <c r="U58" s="10"/>
    </row>
    <row r="59" spans="4:21" x14ac:dyDescent="0.3">
      <c r="D59" s="10"/>
      <c r="E59" s="10"/>
      <c r="G59" s="10"/>
      <c r="H59" s="10"/>
      <c r="L59" s="10"/>
      <c r="M59" s="10"/>
      <c r="N59" s="10"/>
      <c r="O59" s="10"/>
      <c r="Q59" s="10"/>
      <c r="R59" s="10"/>
      <c r="S59" s="10"/>
      <c r="U59" s="10"/>
    </row>
    <row r="60" spans="4:21" x14ac:dyDescent="0.3">
      <c r="D60" s="10"/>
      <c r="E60" s="10"/>
      <c r="G60" s="10"/>
      <c r="H60" s="10"/>
      <c r="L60" s="10"/>
      <c r="M60" s="10"/>
      <c r="N60" s="10"/>
      <c r="O60" s="10"/>
      <c r="Q60" s="10"/>
      <c r="R60" s="10"/>
      <c r="S60" s="10"/>
      <c r="U60" s="10"/>
    </row>
    <row r="61" spans="4:21" x14ac:dyDescent="0.3">
      <c r="D61" s="10"/>
      <c r="E61" s="10"/>
      <c r="G61" s="10"/>
      <c r="H61" s="10"/>
      <c r="L61" s="10"/>
      <c r="M61" s="10"/>
      <c r="N61" s="10"/>
      <c r="O61" s="10"/>
      <c r="Q61" s="10"/>
      <c r="R61" s="10"/>
      <c r="S61" s="10"/>
      <c r="U61" s="10"/>
    </row>
    <row r="62" spans="4:21" x14ac:dyDescent="0.3">
      <c r="D62" s="10"/>
      <c r="E62" s="10"/>
      <c r="G62" s="10"/>
      <c r="H62" s="10"/>
      <c r="L62" s="10"/>
      <c r="M62" s="10"/>
      <c r="N62" s="10"/>
      <c r="O62" s="10"/>
      <c r="Q62" s="10"/>
      <c r="R62" s="10"/>
      <c r="S62" s="10"/>
      <c r="U62" s="10"/>
    </row>
    <row r="63" spans="4:21" x14ac:dyDescent="0.3">
      <c r="D63" s="10"/>
      <c r="E63" s="10"/>
      <c r="G63" s="10"/>
      <c r="H63" s="10"/>
      <c r="L63" s="10"/>
      <c r="M63" s="10"/>
      <c r="N63" s="10"/>
      <c r="O63" s="10"/>
      <c r="Q63" s="10"/>
      <c r="R63" s="10"/>
      <c r="S63" s="10"/>
      <c r="U63" s="10"/>
    </row>
    <row r="64" spans="4:21" x14ac:dyDescent="0.3">
      <c r="D64" s="10"/>
      <c r="E64" s="10"/>
      <c r="G64" s="10"/>
      <c r="H64" s="10"/>
      <c r="L64" s="10"/>
      <c r="M64" s="10"/>
      <c r="N64" s="10"/>
      <c r="O64" s="10"/>
      <c r="Q64" s="10"/>
      <c r="R64" s="10"/>
      <c r="S64" s="10"/>
      <c r="U64" s="10"/>
    </row>
    <row r="65" spans="4:21" x14ac:dyDescent="0.3">
      <c r="D65" s="10"/>
      <c r="E65" s="10"/>
      <c r="G65" s="10"/>
      <c r="H65" s="10"/>
      <c r="L65" s="10"/>
      <c r="M65" s="10"/>
      <c r="N65" s="10"/>
      <c r="O65" s="10"/>
      <c r="Q65" s="10"/>
      <c r="R65" s="10"/>
      <c r="S65" s="10"/>
      <c r="U65" s="10"/>
    </row>
    <row r="66" spans="4:21" x14ac:dyDescent="0.3">
      <c r="D66" s="10"/>
      <c r="E66" s="10"/>
      <c r="G66" s="10"/>
      <c r="H66" s="10"/>
      <c r="L66" s="10"/>
      <c r="M66" s="10"/>
      <c r="N66" s="10"/>
      <c r="O66" s="10"/>
      <c r="Q66" s="10"/>
      <c r="R66" s="10"/>
      <c r="S66" s="10"/>
      <c r="U66" s="10"/>
    </row>
    <row r="67" spans="4:21" x14ac:dyDescent="0.3">
      <c r="D67" s="10"/>
      <c r="E67" s="10"/>
      <c r="G67" s="10"/>
      <c r="H67" s="10"/>
      <c r="L67" s="10"/>
      <c r="M67" s="10"/>
      <c r="N67" s="10"/>
      <c r="O67" s="10"/>
      <c r="Q67" s="10"/>
      <c r="R67" s="10"/>
      <c r="S67" s="10"/>
      <c r="U67" s="10"/>
    </row>
    <row r="68" spans="4:21" x14ac:dyDescent="0.3">
      <c r="D68" s="10"/>
      <c r="E68" s="10"/>
      <c r="G68" s="10"/>
      <c r="H68" s="10"/>
      <c r="L68" s="10"/>
      <c r="M68" s="10"/>
      <c r="N68" s="10"/>
      <c r="O68" s="10"/>
      <c r="Q68" s="10"/>
      <c r="R68" s="10"/>
      <c r="S68" s="10"/>
      <c r="U68" s="10"/>
    </row>
    <row r="69" spans="4:21" x14ac:dyDescent="0.3">
      <c r="D69" s="10"/>
      <c r="E69" s="10"/>
      <c r="G69" s="10"/>
      <c r="H69" s="10"/>
      <c r="L69" s="10"/>
      <c r="M69" s="10"/>
      <c r="N69" s="10"/>
      <c r="O69" s="10"/>
      <c r="Q69" s="10"/>
      <c r="R69" s="10"/>
      <c r="S69" s="10"/>
      <c r="U69" s="10"/>
    </row>
    <row r="70" spans="4:21" x14ac:dyDescent="0.3">
      <c r="D70" s="10"/>
      <c r="E70" s="10"/>
      <c r="G70" s="10"/>
      <c r="H70" s="10"/>
      <c r="L70" s="10"/>
      <c r="M70" s="10"/>
      <c r="N70" s="10"/>
      <c r="O70" s="10"/>
      <c r="Q70" s="10"/>
      <c r="R70" s="10"/>
      <c r="S70" s="10"/>
      <c r="U70" s="10"/>
    </row>
    <row r="71" spans="4:21" x14ac:dyDescent="0.3">
      <c r="D71" s="10"/>
      <c r="E71" s="10"/>
      <c r="G71" s="10"/>
      <c r="H71" s="10"/>
      <c r="L71" s="10"/>
      <c r="M71" s="10"/>
      <c r="N71" s="10"/>
      <c r="O71" s="10"/>
      <c r="Q71" s="10"/>
      <c r="R71" s="10"/>
      <c r="S71" s="10"/>
      <c r="U71" s="10"/>
    </row>
    <row r="72" spans="4:21" x14ac:dyDescent="0.3">
      <c r="D72" s="10"/>
      <c r="E72" s="10"/>
      <c r="G72" s="10"/>
      <c r="H72" s="10"/>
      <c r="L72" s="10"/>
      <c r="M72" s="10"/>
      <c r="N72" s="10"/>
      <c r="O72" s="10"/>
      <c r="Q72" s="10"/>
      <c r="R72" s="10"/>
      <c r="S72" s="10"/>
      <c r="U72" s="10"/>
    </row>
    <row r="73" spans="4:21" x14ac:dyDescent="0.3">
      <c r="D73" s="10"/>
      <c r="E73" s="10"/>
      <c r="G73" s="10"/>
      <c r="H73" s="10"/>
      <c r="L73" s="10"/>
      <c r="M73" s="10"/>
      <c r="N73" s="10"/>
      <c r="O73" s="10"/>
      <c r="Q73" s="10"/>
      <c r="R73" s="10"/>
      <c r="S73" s="10"/>
      <c r="U73" s="10"/>
    </row>
    <row r="74" spans="4:21" x14ac:dyDescent="0.3">
      <c r="D74" s="10"/>
      <c r="E74" s="10"/>
      <c r="G74" s="10"/>
      <c r="H74" s="10"/>
      <c r="L74" s="10"/>
      <c r="M74" s="10"/>
      <c r="N74" s="10"/>
      <c r="O74" s="10"/>
      <c r="Q74" s="10"/>
      <c r="R74" s="10"/>
      <c r="S74" s="10"/>
      <c r="U74" s="10"/>
    </row>
    <row r="75" spans="4:21" x14ac:dyDescent="0.3">
      <c r="D75" s="10"/>
      <c r="E75" s="10"/>
      <c r="G75" s="10"/>
      <c r="H75" s="10"/>
      <c r="L75" s="10"/>
      <c r="M75" s="10"/>
      <c r="N75" s="10"/>
      <c r="O75" s="10"/>
      <c r="Q75" s="10"/>
      <c r="R75" s="10"/>
      <c r="S75" s="10"/>
      <c r="U75" s="10"/>
    </row>
    <row r="76" spans="4:21" x14ac:dyDescent="0.3">
      <c r="D76" s="10"/>
      <c r="E76" s="10"/>
      <c r="G76" s="10"/>
      <c r="H76" s="10"/>
      <c r="L76" s="10"/>
      <c r="M76" s="10"/>
      <c r="N76" s="10"/>
      <c r="O76" s="10"/>
      <c r="Q76" s="10"/>
      <c r="R76" s="10"/>
      <c r="S76" s="10"/>
      <c r="U76" s="10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F6"/>
  <sheetViews>
    <sheetView showGridLines="0" zoomScale="85" zoomScaleNormal="85" workbookViewId="0"/>
  </sheetViews>
  <sheetFormatPr defaultColWidth="11.44140625" defaultRowHeight="14.4" x14ac:dyDescent="0.3"/>
  <cols>
    <col min="1" max="2" width="11.21875" bestFit="1" customWidth="1"/>
    <col min="3" max="3" width="18.77734375" bestFit="1" customWidth="1"/>
    <col min="5" max="5" width="14.44140625" bestFit="1" customWidth="1"/>
    <col min="6" max="6" width="9.21875" bestFit="1" customWidth="1"/>
  </cols>
  <sheetData>
    <row r="1" spans="1:6" x14ac:dyDescent="0.3">
      <c r="A1" t="s">
        <v>37</v>
      </c>
      <c r="B1" t="s">
        <v>36</v>
      </c>
      <c r="C1" t="s">
        <v>9</v>
      </c>
      <c r="E1" t="s">
        <v>19</v>
      </c>
      <c r="F1" t="s">
        <v>61</v>
      </c>
    </row>
    <row r="2" spans="1:6" x14ac:dyDescent="0.3">
      <c r="C2" t="s">
        <v>35</v>
      </c>
      <c r="E2" t="s">
        <v>4</v>
      </c>
      <c r="F2" t="s">
        <v>55</v>
      </c>
    </row>
    <row r="3" spans="1:6" x14ac:dyDescent="0.3">
      <c r="A3" t="s">
        <v>27</v>
      </c>
      <c r="B3" t="s">
        <v>34</v>
      </c>
      <c r="C3" t="s">
        <v>33</v>
      </c>
      <c r="E3" t="s">
        <v>25</v>
      </c>
      <c r="F3" t="s">
        <v>56</v>
      </c>
    </row>
    <row r="4" spans="1:6" x14ac:dyDescent="0.3">
      <c r="A4" t="s">
        <v>32</v>
      </c>
      <c r="B4" t="s">
        <v>31</v>
      </c>
      <c r="C4" t="s">
        <v>30</v>
      </c>
      <c r="E4" t="s">
        <v>57</v>
      </c>
      <c r="F4" t="s">
        <v>58</v>
      </c>
    </row>
    <row r="5" spans="1:6" x14ac:dyDescent="0.3">
      <c r="A5" t="s">
        <v>26</v>
      </c>
      <c r="B5" t="s">
        <v>29</v>
      </c>
      <c r="C5" t="s">
        <v>28</v>
      </c>
      <c r="E5" t="s">
        <v>59</v>
      </c>
      <c r="F5" t="s">
        <v>55</v>
      </c>
    </row>
    <row r="6" spans="1:6" x14ac:dyDescent="0.3">
      <c r="E6" t="s">
        <v>60</v>
      </c>
      <c r="F6" t="s">
        <v>55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O10"/>
  <sheetViews>
    <sheetView showGridLines="0" zoomScale="85" zoomScaleNormal="85" workbookViewId="0"/>
  </sheetViews>
  <sheetFormatPr defaultColWidth="11.44140625" defaultRowHeight="14.4" x14ac:dyDescent="0.3"/>
  <cols>
    <col min="1" max="1" width="17.21875" customWidth="1"/>
    <col min="2" max="2" width="13.21875" customWidth="1"/>
    <col min="3" max="3" width="11.77734375" customWidth="1"/>
    <col min="4" max="4" width="5.21875" customWidth="1"/>
    <col min="5" max="5" width="15.5546875" customWidth="1"/>
    <col min="6" max="6" width="8" customWidth="1"/>
    <col min="7" max="7" width="34.5546875" bestFit="1" customWidth="1"/>
    <col min="8" max="8" width="4" customWidth="1"/>
    <col min="9" max="9" width="8.21875" customWidth="1"/>
    <col min="10" max="10" width="10.21875" customWidth="1"/>
    <col min="11" max="11" width="13.5546875" bestFit="1" customWidth="1"/>
    <col min="12" max="12" width="3" customWidth="1"/>
    <col min="13" max="13" width="8.21875" customWidth="1"/>
    <col min="14" max="14" width="12.77734375" customWidth="1"/>
    <col min="15" max="15" width="22.44140625" bestFit="1" customWidth="1"/>
  </cols>
  <sheetData>
    <row r="1" spans="1:15" ht="23.4" x14ac:dyDescent="0.45">
      <c r="A1" s="7" t="s">
        <v>8</v>
      </c>
    </row>
    <row r="4" spans="1:15" x14ac:dyDescent="0.3">
      <c r="A4" s="13" t="s">
        <v>10</v>
      </c>
      <c r="B4" s="14" t="s">
        <v>15</v>
      </c>
      <c r="C4" s="15" t="s">
        <v>11</v>
      </c>
      <c r="E4" s="6" t="s">
        <v>62</v>
      </c>
      <c r="F4" s="8" t="s">
        <v>11</v>
      </c>
      <c r="G4" s="6" t="s">
        <v>9</v>
      </c>
      <c r="I4" t="s">
        <v>44</v>
      </c>
      <c r="J4" t="s">
        <v>45</v>
      </c>
      <c r="K4" t="s">
        <v>9</v>
      </c>
      <c r="M4" t="s">
        <v>44</v>
      </c>
      <c r="N4" t="s">
        <v>50</v>
      </c>
      <c r="O4" t="s">
        <v>9</v>
      </c>
    </row>
    <row r="5" spans="1:15" x14ac:dyDescent="0.3">
      <c r="A5" t="s">
        <v>24</v>
      </c>
      <c r="B5" s="5"/>
      <c r="C5" t="str">
        <f>IFERROR(VLOOKUP(MaterialPrice,tMaterialPrice[],2,FALSE),"")</f>
        <v/>
      </c>
      <c r="E5" s="1" t="s">
        <v>13</v>
      </c>
      <c r="G5" t="s">
        <v>6</v>
      </c>
      <c r="I5" t="s">
        <v>46</v>
      </c>
      <c r="J5" t="e">
        <f>COLUMN(#REF!)</f>
        <v>#REF!</v>
      </c>
      <c r="K5" t="s">
        <v>40</v>
      </c>
      <c r="M5" t="s">
        <v>46</v>
      </c>
      <c r="N5">
        <v>2</v>
      </c>
      <c r="O5" t="s">
        <v>51</v>
      </c>
    </row>
    <row r="6" spans="1:15" x14ac:dyDescent="0.3">
      <c r="A6" t="s">
        <v>23</v>
      </c>
      <c r="B6" s="5" t="s">
        <v>46</v>
      </c>
      <c r="C6">
        <f>IFERROR(VLOOKUP(ProductHierarchy,tProductHierarchyLevel[],2,FALSE),"")</f>
        <v>2</v>
      </c>
      <c r="E6" s="1" t="s">
        <v>12</v>
      </c>
      <c r="G6" t="s">
        <v>16</v>
      </c>
      <c r="I6" t="s">
        <v>47</v>
      </c>
      <c r="J6" t="e">
        <f>COLUMN(#REF!)</f>
        <v>#REF!</v>
      </c>
      <c r="K6" t="s">
        <v>41</v>
      </c>
      <c r="M6" t="s">
        <v>47</v>
      </c>
      <c r="N6">
        <v>5</v>
      </c>
      <c r="O6" t="s">
        <v>52</v>
      </c>
    </row>
    <row r="7" spans="1:15" x14ac:dyDescent="0.3">
      <c r="A7" t="s">
        <v>22</v>
      </c>
      <c r="B7" s="5" t="s">
        <v>48</v>
      </c>
      <c r="C7" t="str">
        <f>IFERROR(VLOOKUP(CustomerHierarchy,tCustomerLevel[],2,FALSE),"")</f>
        <v/>
      </c>
      <c r="E7" s="1" t="s">
        <v>14</v>
      </c>
      <c r="G7" t="s">
        <v>7</v>
      </c>
      <c r="I7" t="s">
        <v>48</v>
      </c>
      <c r="J7" t="e">
        <f>COLUMN(#REF!)</f>
        <v>#REF!</v>
      </c>
      <c r="K7" t="s">
        <v>42</v>
      </c>
      <c r="M7" t="s">
        <v>48</v>
      </c>
      <c r="N7">
        <v>8</v>
      </c>
      <c r="O7" t="s">
        <v>53</v>
      </c>
    </row>
    <row r="8" spans="1:15" x14ac:dyDescent="0.3">
      <c r="A8" t="s">
        <v>184</v>
      </c>
      <c r="B8" s="5" t="s">
        <v>177</v>
      </c>
      <c r="C8" t="str">
        <f t="shared" ref="C8:C10" si="0">B8</f>
        <v>Planl.behov</v>
      </c>
      <c r="I8" t="s">
        <v>49</v>
      </c>
      <c r="J8" t="e">
        <f>COLUMN(#REF!)</f>
        <v>#REF!</v>
      </c>
      <c r="K8" t="s">
        <v>43</v>
      </c>
      <c r="M8" t="s">
        <v>49</v>
      </c>
      <c r="N8">
        <v>12</v>
      </c>
      <c r="O8" t="s">
        <v>54</v>
      </c>
    </row>
    <row r="9" spans="1:15" x14ac:dyDescent="0.3">
      <c r="A9" t="s">
        <v>21</v>
      </c>
      <c r="B9" s="5">
        <v>1</v>
      </c>
      <c r="C9">
        <f t="shared" si="0"/>
        <v>1</v>
      </c>
    </row>
    <row r="10" spans="1:15" x14ac:dyDescent="0.3">
      <c r="A10" t="s">
        <v>5</v>
      </c>
      <c r="B10" s="5" t="s">
        <v>96</v>
      </c>
      <c r="C10" t="str">
        <f t="shared" si="0"/>
        <v>Default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1">
    <tabColor rgb="FFFF8080"/>
  </sheetPr>
  <dimension ref="A1:B9"/>
  <sheetViews>
    <sheetView showGridLines="0" zoomScale="85" zoomScaleNormal="85" workbookViewId="0"/>
  </sheetViews>
  <sheetFormatPr defaultColWidth="11.44140625" defaultRowHeight="14.4" x14ac:dyDescent="0.3"/>
  <cols>
    <col min="1" max="1" width="13.21875" bestFit="1" customWidth="1"/>
    <col min="2" max="2" width="42.21875" bestFit="1" customWidth="1"/>
  </cols>
  <sheetData>
    <row r="1" spans="1:2" ht="23.4" x14ac:dyDescent="0.45">
      <c r="A1" s="7" t="s">
        <v>39</v>
      </c>
    </row>
    <row r="4" spans="1:2" x14ac:dyDescent="0.3">
      <c r="A4" t="s">
        <v>2</v>
      </c>
      <c r="B4" s="18">
        <v>16</v>
      </c>
    </row>
    <row r="5" spans="1:2" x14ac:dyDescent="0.3">
      <c r="A5" t="s">
        <v>1</v>
      </c>
      <c r="B5" s="18" t="s">
        <v>238</v>
      </c>
    </row>
    <row r="6" spans="1:2" x14ac:dyDescent="0.3">
      <c r="A6" t="s">
        <v>17</v>
      </c>
      <c r="B6" s="18" t="s">
        <v>244</v>
      </c>
    </row>
    <row r="7" spans="1:2" x14ac:dyDescent="0.3">
      <c r="A7" t="s">
        <v>18</v>
      </c>
      <c r="B7" s="18" t="s">
        <v>152</v>
      </c>
    </row>
    <row r="8" spans="1:2" x14ac:dyDescent="0.3">
      <c r="A8" t="s">
        <v>63</v>
      </c>
      <c r="B8" s="18" t="s">
        <v>238</v>
      </c>
    </row>
    <row r="9" spans="1:2" x14ac:dyDescent="0.3">
      <c r="A9" t="s">
        <v>153</v>
      </c>
      <c r="B9" s="5" t="s">
        <v>238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K25"/>
  <sheetViews>
    <sheetView showGridLines="0" showRowColHeaders="0" tabSelected="1" zoomScale="85" zoomScaleNormal="85" workbookViewId="0">
      <pane ySplit="64" topLeftCell="A65" activePane="bottomLeft" state="frozen"/>
      <selection activeCell="B2" sqref="B2"/>
      <selection pane="bottomLeft" activeCell="A65" sqref="A65"/>
    </sheetView>
  </sheetViews>
  <sheetFormatPr defaultColWidth="11" defaultRowHeight="15.6" x14ac:dyDescent="0.3"/>
  <cols>
    <col min="1" max="1" width="4.44140625" style="1" customWidth="1"/>
    <col min="2" max="3" width="11" style="3"/>
    <col min="4" max="16384" width="11" style="1"/>
  </cols>
  <sheetData>
    <row r="2" spans="2:11" ht="17.399999999999999" x14ac:dyDescent="0.3">
      <c r="K2" s="2"/>
    </row>
    <row r="5" spans="2:11" x14ac:dyDescent="0.3">
      <c r="E5" s="3" t="s">
        <v>171</v>
      </c>
    </row>
    <row r="9" spans="2:11" ht="21" x14ac:dyDescent="0.4">
      <c r="B9" s="4" t="s">
        <v>167</v>
      </c>
      <c r="J9" s="11"/>
      <c r="K9" s="11" t="s">
        <v>172</v>
      </c>
    </row>
    <row r="10" spans="2:11" x14ac:dyDescent="0.3">
      <c r="B10" s="32" t="s">
        <v>170</v>
      </c>
    </row>
    <row r="11" spans="2:11" x14ac:dyDescent="0.3">
      <c r="B11" s="31" t="s">
        <v>168</v>
      </c>
    </row>
    <row r="12" spans="2:11" x14ac:dyDescent="0.3">
      <c r="B12" s="31" t="s">
        <v>169</v>
      </c>
    </row>
    <row r="19" spans="2:2" x14ac:dyDescent="0.3">
      <c r="B19" s="16"/>
    </row>
    <row r="22" spans="2:2" x14ac:dyDescent="0.3">
      <c r="B22" s="19"/>
    </row>
    <row r="24" spans="2:2" x14ac:dyDescent="0.3">
      <c r="B24" s="16"/>
    </row>
    <row r="25" spans="2:2" x14ac:dyDescent="0.3">
      <c r="B25" s="20"/>
    </row>
  </sheetData>
  <sheetProtection password="CB87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>
    <tabColor rgb="FFC00000"/>
    <pageSetUpPr fitToPage="1"/>
  </sheetPr>
  <dimension ref="A1:Y528"/>
  <sheetViews>
    <sheetView showGridLines="0" zoomScale="85" workbookViewId="0">
      <pane xSplit="2" ySplit="16" topLeftCell="C17" activePane="bottomRight" state="frozen"/>
      <selection pane="topRight" activeCell="C1" sqref="C1"/>
      <selection pane="bottomLeft" activeCell="A17" sqref="A17"/>
      <selection pane="bottomRight" activeCell="C17" sqref="C17"/>
    </sheetView>
  </sheetViews>
  <sheetFormatPr defaultColWidth="11.44140625" defaultRowHeight="13.2" x14ac:dyDescent="0.25"/>
  <cols>
    <col min="1" max="1" width="27.6640625" style="23" customWidth="1"/>
    <col min="2" max="2" width="7.6640625" style="23" customWidth="1"/>
    <col min="3" max="5" width="3.77734375" style="23" customWidth="1"/>
    <col min="6" max="16" width="10.5546875" style="23" customWidth="1"/>
    <col min="17" max="25" width="10.21875" style="23" customWidth="1"/>
    <col min="26" max="16384" width="11.44140625" style="23"/>
  </cols>
  <sheetData>
    <row r="1" spans="1:25" ht="30" customHeight="1" x14ac:dyDescent="0.4">
      <c r="A1" s="24"/>
    </row>
    <row r="2" spans="1:25" ht="12" customHeight="1" x14ac:dyDescent="0.3">
      <c r="A2" s="25">
        <f>Updated</f>
        <v>0</v>
      </c>
      <c r="G2" s="47" t="s">
        <v>241</v>
      </c>
      <c r="H2" s="48">
        <v>4</v>
      </c>
      <c r="I2" t="s">
        <v>242</v>
      </c>
    </row>
    <row r="3" spans="1:25" x14ac:dyDescent="0.25">
      <c r="A3" s="63" t="s">
        <v>187</v>
      </c>
    </row>
    <row r="7" spans="1:25" ht="14.4" x14ac:dyDescent="0.3">
      <c r="A7"/>
      <c r="B7"/>
    </row>
    <row r="8" spans="1:25" ht="14.4" x14ac:dyDescent="0.3">
      <c r="A8"/>
      <c r="B8"/>
    </row>
    <row r="9" spans="1:25" ht="14.4" x14ac:dyDescent="0.3">
      <c r="A9" s="71" t="s">
        <v>188</v>
      </c>
      <c r="B9" s="73" t="s">
        <v>150</v>
      </c>
    </row>
    <row r="10" spans="1:25" ht="14.4" x14ac:dyDescent="0.3">
      <c r="A10" s="71" t="s">
        <v>181</v>
      </c>
      <c r="B10" s="72">
        <v>1</v>
      </c>
    </row>
    <row r="11" spans="1:25" ht="14.4" x14ac:dyDescent="0.3">
      <c r="A11" s="71" t="s">
        <v>118</v>
      </c>
      <c r="B11" s="73" t="s">
        <v>209</v>
      </c>
    </row>
    <row r="12" spans="1:25" ht="14.4" x14ac:dyDescent="0.3">
      <c r="A12" s="71" t="s">
        <v>180</v>
      </c>
      <c r="B12" s="72">
        <v>1</v>
      </c>
    </row>
    <row r="13" spans="1:25" ht="14.4" x14ac:dyDescent="0.3">
      <c r="A13" s="71" t="s">
        <v>128</v>
      </c>
      <c r="B13" s="73" t="s">
        <v>243</v>
      </c>
    </row>
    <row r="15" spans="1:25" ht="14.4" x14ac:dyDescent="0.3">
      <c r="A15" s="28" t="s">
        <v>202</v>
      </c>
      <c r="B15" s="28" t="s">
        <v>185</v>
      </c>
      <c r="C15" s="28"/>
      <c r="D15" s="28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</row>
    <row r="16" spans="1:25" ht="48" x14ac:dyDescent="0.3">
      <c r="A16" s="97" t="s">
        <v>178</v>
      </c>
      <c r="B16" s="94">
        <v>42164</v>
      </c>
      <c r="C16" s="95">
        <v>42170</v>
      </c>
      <c r="D16" s="96">
        <v>42177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</row>
    <row r="17" spans="1:25" ht="14.4" x14ac:dyDescent="0.3">
      <c r="A17" s="101" t="s">
        <v>230</v>
      </c>
      <c r="B17" s="98">
        <v>-18</v>
      </c>
      <c r="C17" s="99">
        <v>-17</v>
      </c>
      <c r="D17" s="100">
        <v>-14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</row>
    <row r="18" spans="1:25" ht="15" thickBot="1" x14ac:dyDescent="0.3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</row>
    <row r="19" spans="1:25" ht="15" thickTop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25" ht="15" thickTop="1" x14ac:dyDescent="0.3">
      <c r="A20"/>
      <c r="B20"/>
      <c r="C20"/>
      <c r="D20"/>
      <c r="E20"/>
      <c r="F20"/>
      <c r="G20"/>
      <c r="H20"/>
    </row>
    <row r="21" spans="1:25" ht="14.4" x14ac:dyDescent="0.3">
      <c r="A21"/>
      <c r="B21"/>
      <c r="C21"/>
      <c r="D21"/>
      <c r="E21"/>
      <c r="F21"/>
      <c r="G21"/>
      <c r="H21"/>
    </row>
    <row r="22" spans="1:25" ht="14.4" x14ac:dyDescent="0.3">
      <c r="A22"/>
      <c r="B22"/>
      <c r="C22"/>
      <c r="D22"/>
      <c r="E22"/>
      <c r="F22"/>
      <c r="G22"/>
      <c r="H22"/>
    </row>
    <row r="23" spans="1:25" ht="14.4" x14ac:dyDescent="0.3">
      <c r="A23"/>
      <c r="B23"/>
      <c r="C23"/>
      <c r="D23"/>
      <c r="E23"/>
      <c r="F23"/>
      <c r="G23"/>
      <c r="H23"/>
    </row>
    <row r="24" spans="1:25" ht="14.4" x14ac:dyDescent="0.3">
      <c r="A24"/>
      <c r="B24"/>
      <c r="C24"/>
      <c r="D24"/>
      <c r="E24"/>
      <c r="F24"/>
      <c r="G24"/>
      <c r="H24"/>
    </row>
    <row r="25" spans="1:25" ht="14.4" x14ac:dyDescent="0.3">
      <c r="A25"/>
      <c r="B25"/>
      <c r="C25"/>
      <c r="D25"/>
      <c r="E25"/>
      <c r="F25"/>
      <c r="G25"/>
      <c r="H25"/>
    </row>
    <row r="26" spans="1:25" ht="14.4" x14ac:dyDescent="0.3">
      <c r="A26"/>
      <c r="B26"/>
      <c r="C26"/>
      <c r="D26"/>
      <c r="E26"/>
      <c r="F26"/>
      <c r="G26"/>
      <c r="H26"/>
    </row>
    <row r="27" spans="1:25" ht="14.4" x14ac:dyDescent="0.3">
      <c r="A27"/>
      <c r="B27"/>
      <c r="C27"/>
      <c r="D27"/>
      <c r="E27"/>
      <c r="F27"/>
      <c r="G27"/>
      <c r="H27"/>
    </row>
    <row r="28" spans="1:25" ht="14.4" x14ac:dyDescent="0.3">
      <c r="A28"/>
      <c r="B28"/>
      <c r="C28"/>
      <c r="D28"/>
      <c r="E28"/>
      <c r="F28"/>
      <c r="G28"/>
      <c r="H28"/>
    </row>
    <row r="29" spans="1:25" ht="14.4" x14ac:dyDescent="0.3">
      <c r="A29"/>
      <c r="B29"/>
      <c r="C29"/>
      <c r="D29"/>
      <c r="E29"/>
      <c r="F29"/>
      <c r="G29"/>
      <c r="H29"/>
    </row>
    <row r="30" spans="1:25" ht="14.4" x14ac:dyDescent="0.3">
      <c r="A30"/>
      <c r="B30"/>
      <c r="C30"/>
      <c r="D30"/>
      <c r="E30"/>
      <c r="F30"/>
      <c r="G30"/>
      <c r="H30"/>
    </row>
    <row r="31" spans="1:25" ht="14.4" x14ac:dyDescent="0.3">
      <c r="A31"/>
      <c r="B31"/>
      <c r="C31"/>
      <c r="D31"/>
      <c r="E31"/>
      <c r="F31"/>
      <c r="G31"/>
      <c r="H31"/>
    </row>
    <row r="32" spans="1:25" ht="14.4" x14ac:dyDescent="0.3">
      <c r="A32"/>
      <c r="B32"/>
      <c r="C32"/>
      <c r="D32"/>
      <c r="E32"/>
      <c r="F32"/>
      <c r="G32"/>
      <c r="H32"/>
    </row>
    <row r="33" spans="1:8" ht="14.4" x14ac:dyDescent="0.3">
      <c r="A33"/>
      <c r="B33"/>
      <c r="C33"/>
      <c r="D33"/>
      <c r="E33"/>
      <c r="F33"/>
      <c r="G33"/>
      <c r="H33"/>
    </row>
    <row r="34" spans="1:8" ht="14.4" x14ac:dyDescent="0.3">
      <c r="A34"/>
      <c r="B34"/>
      <c r="C34"/>
      <c r="D34"/>
      <c r="E34"/>
      <c r="F34"/>
      <c r="G34"/>
      <c r="H34"/>
    </row>
    <row r="35" spans="1:8" ht="14.4" x14ac:dyDescent="0.3">
      <c r="A35"/>
      <c r="B35"/>
      <c r="C35"/>
      <c r="D35"/>
      <c r="E35"/>
      <c r="F35"/>
      <c r="G35"/>
      <c r="H35"/>
    </row>
    <row r="36" spans="1:8" ht="14.4" x14ac:dyDescent="0.3">
      <c r="A36"/>
      <c r="B36"/>
      <c r="C36"/>
      <c r="D36"/>
      <c r="E36"/>
      <c r="F36"/>
      <c r="G36"/>
      <c r="H36"/>
    </row>
    <row r="37" spans="1:8" ht="14.4" x14ac:dyDescent="0.3">
      <c r="A37"/>
      <c r="B37"/>
      <c r="C37"/>
      <c r="D37"/>
      <c r="E37"/>
      <c r="F37"/>
      <c r="G37"/>
      <c r="H37"/>
    </row>
    <row r="38" spans="1:8" ht="14.4" x14ac:dyDescent="0.3">
      <c r="A38"/>
      <c r="B38"/>
      <c r="C38"/>
      <c r="D38"/>
      <c r="E38"/>
      <c r="F38"/>
      <c r="G38"/>
      <c r="H38"/>
    </row>
    <row r="39" spans="1:8" ht="14.4" x14ac:dyDescent="0.3">
      <c r="A39"/>
      <c r="B39"/>
      <c r="C39"/>
      <c r="D39"/>
      <c r="E39"/>
      <c r="F39"/>
      <c r="G39"/>
      <c r="H39"/>
    </row>
    <row r="40" spans="1:8" ht="14.4" x14ac:dyDescent="0.3">
      <c r="A40"/>
      <c r="B40"/>
      <c r="C40"/>
      <c r="D40"/>
      <c r="E40"/>
      <c r="F40"/>
      <c r="G40"/>
      <c r="H40"/>
    </row>
    <row r="41" spans="1:8" ht="14.4" x14ac:dyDescent="0.3">
      <c r="A41"/>
      <c r="B41"/>
      <c r="C41"/>
      <c r="D41"/>
      <c r="E41"/>
      <c r="F41"/>
      <c r="G41"/>
      <c r="H41"/>
    </row>
    <row r="42" spans="1:8" ht="14.4" x14ac:dyDescent="0.3">
      <c r="A42"/>
      <c r="B42"/>
      <c r="C42"/>
      <c r="D42"/>
      <c r="E42"/>
      <c r="F42"/>
      <c r="G42"/>
    </row>
    <row r="43" spans="1:8" ht="14.4" x14ac:dyDescent="0.3">
      <c r="A43"/>
      <c r="B43"/>
      <c r="C43"/>
      <c r="D43"/>
      <c r="E43"/>
      <c r="F43"/>
      <c r="G43"/>
    </row>
    <row r="44" spans="1:8" ht="14.4" x14ac:dyDescent="0.3">
      <c r="A44"/>
      <c r="B44"/>
      <c r="C44"/>
      <c r="D44"/>
      <c r="E44"/>
      <c r="F44"/>
      <c r="G44"/>
    </row>
    <row r="45" spans="1:8" ht="14.4" x14ac:dyDescent="0.3">
      <c r="A45"/>
      <c r="B45"/>
      <c r="C45"/>
      <c r="D45"/>
      <c r="E45"/>
      <c r="F45"/>
      <c r="G45"/>
    </row>
    <row r="46" spans="1:8" ht="14.4" x14ac:dyDescent="0.3">
      <c r="A46"/>
      <c r="B46"/>
      <c r="C46"/>
      <c r="D46"/>
      <c r="E46"/>
      <c r="F46"/>
      <c r="G46"/>
    </row>
    <row r="47" spans="1:8" ht="14.4" x14ac:dyDescent="0.3">
      <c r="A47"/>
      <c r="B47"/>
      <c r="C47"/>
      <c r="D47"/>
      <c r="E47"/>
      <c r="F47"/>
      <c r="G47"/>
    </row>
    <row r="48" spans="1:8" ht="14.4" x14ac:dyDescent="0.3">
      <c r="A48"/>
      <c r="B48"/>
      <c r="C48"/>
      <c r="D48"/>
      <c r="E48"/>
      <c r="F48"/>
      <c r="G48"/>
    </row>
    <row r="49" spans="1:7" ht="14.4" x14ac:dyDescent="0.3">
      <c r="A49"/>
      <c r="B49"/>
      <c r="C49"/>
      <c r="D49"/>
      <c r="E49"/>
      <c r="F49"/>
      <c r="G49"/>
    </row>
    <row r="50" spans="1:7" ht="14.4" x14ac:dyDescent="0.3">
      <c r="A50"/>
      <c r="B50"/>
      <c r="C50"/>
      <c r="D50"/>
      <c r="E50"/>
      <c r="F50"/>
      <c r="G50"/>
    </row>
    <row r="51" spans="1:7" ht="14.4" x14ac:dyDescent="0.3">
      <c r="A51"/>
      <c r="B51"/>
      <c r="C51"/>
      <c r="D51"/>
      <c r="E51"/>
      <c r="F51"/>
      <c r="G51"/>
    </row>
    <row r="52" spans="1:7" ht="14.4" x14ac:dyDescent="0.3">
      <c r="A52"/>
      <c r="B52"/>
      <c r="C52"/>
      <c r="D52"/>
      <c r="E52"/>
      <c r="F52"/>
      <c r="G52"/>
    </row>
    <row r="53" spans="1:7" ht="14.4" x14ac:dyDescent="0.3">
      <c r="A53"/>
      <c r="B53"/>
      <c r="C53"/>
      <c r="D53"/>
      <c r="E53"/>
      <c r="F53"/>
      <c r="G53"/>
    </row>
    <row r="54" spans="1:7" ht="14.4" x14ac:dyDescent="0.3">
      <c r="A54"/>
      <c r="B54"/>
      <c r="C54"/>
      <c r="D54"/>
      <c r="E54"/>
      <c r="F54"/>
      <c r="G54"/>
    </row>
    <row r="55" spans="1:7" ht="14.4" x14ac:dyDescent="0.3">
      <c r="A55"/>
      <c r="B55"/>
      <c r="C55"/>
      <c r="D55"/>
      <c r="E55"/>
      <c r="F55"/>
      <c r="G55"/>
    </row>
    <row r="56" spans="1:7" ht="14.4" x14ac:dyDescent="0.3">
      <c r="A56"/>
      <c r="B56"/>
      <c r="C56"/>
      <c r="D56"/>
      <c r="E56"/>
      <c r="F56"/>
      <c r="G56"/>
    </row>
    <row r="57" spans="1:7" ht="14.4" x14ac:dyDescent="0.3">
      <c r="A57"/>
      <c r="B57"/>
      <c r="C57"/>
      <c r="D57"/>
      <c r="E57"/>
      <c r="F57"/>
      <c r="G57"/>
    </row>
    <row r="58" spans="1:7" ht="14.4" x14ac:dyDescent="0.3">
      <c r="A58"/>
      <c r="B58"/>
      <c r="C58"/>
      <c r="D58"/>
      <c r="E58"/>
      <c r="F58"/>
      <c r="G58"/>
    </row>
    <row r="59" spans="1:7" ht="14.4" x14ac:dyDescent="0.3">
      <c r="A59"/>
      <c r="B59"/>
      <c r="C59"/>
      <c r="D59"/>
      <c r="E59"/>
      <c r="F59"/>
      <c r="G59"/>
    </row>
    <row r="60" spans="1:7" ht="14.4" x14ac:dyDescent="0.3">
      <c r="A60"/>
      <c r="B60"/>
      <c r="C60"/>
      <c r="D60"/>
      <c r="E60"/>
      <c r="F60"/>
      <c r="G60"/>
    </row>
    <row r="61" spans="1:7" ht="14.4" x14ac:dyDescent="0.3">
      <c r="A61"/>
      <c r="B61"/>
      <c r="C61"/>
      <c r="D61"/>
      <c r="E61"/>
      <c r="F61"/>
      <c r="G61"/>
    </row>
    <row r="62" spans="1:7" ht="14.4" x14ac:dyDescent="0.3">
      <c r="A62"/>
      <c r="B62"/>
      <c r="C62"/>
      <c r="D62"/>
      <c r="E62"/>
      <c r="F62"/>
      <c r="G62"/>
    </row>
    <row r="63" spans="1:7" ht="14.4" x14ac:dyDescent="0.3">
      <c r="A63"/>
      <c r="B63"/>
      <c r="C63"/>
      <c r="D63"/>
      <c r="E63"/>
      <c r="F63"/>
      <c r="G63"/>
    </row>
    <row r="64" spans="1:7" ht="15" thickBot="1" x14ac:dyDescent="0.35">
      <c r="A64"/>
      <c r="B64"/>
      <c r="C64"/>
      <c r="D64"/>
      <c r="E64"/>
      <c r="F64"/>
      <c r="G64"/>
    </row>
    <row r="65" spans="1:7" ht="15" thickTop="1" x14ac:dyDescent="0.3">
      <c r="A65"/>
      <c r="B65"/>
      <c r="C65"/>
      <c r="D65"/>
      <c r="E65"/>
      <c r="F65"/>
      <c r="G65"/>
    </row>
    <row r="66" spans="1:7" ht="14.4" x14ac:dyDescent="0.3">
      <c r="A66"/>
      <c r="B66"/>
      <c r="C66"/>
      <c r="D66"/>
      <c r="E66"/>
      <c r="F66"/>
      <c r="G66"/>
    </row>
    <row r="67" spans="1:7" ht="14.4" x14ac:dyDescent="0.3">
      <c r="A67"/>
      <c r="B67"/>
      <c r="C67"/>
      <c r="D67"/>
      <c r="E67"/>
      <c r="F67"/>
      <c r="G67"/>
    </row>
    <row r="68" spans="1:7" ht="14.4" x14ac:dyDescent="0.3">
      <c r="A68"/>
      <c r="B68"/>
      <c r="C68"/>
      <c r="D68"/>
      <c r="E68"/>
      <c r="F68"/>
      <c r="G68"/>
    </row>
    <row r="69" spans="1:7" ht="14.4" x14ac:dyDescent="0.3">
      <c r="A69"/>
      <c r="B69"/>
      <c r="C69"/>
      <c r="D69"/>
      <c r="E69"/>
      <c r="F69"/>
      <c r="G69"/>
    </row>
    <row r="70" spans="1:7" ht="14.4" x14ac:dyDescent="0.3">
      <c r="A70"/>
      <c r="B70"/>
      <c r="C70"/>
      <c r="D70"/>
      <c r="E70"/>
      <c r="F70"/>
      <c r="G70"/>
    </row>
    <row r="71" spans="1:7" ht="14.4" x14ac:dyDescent="0.3">
      <c r="A71"/>
      <c r="B71"/>
      <c r="C71"/>
      <c r="D71"/>
      <c r="E71"/>
      <c r="F71"/>
      <c r="G71"/>
    </row>
    <row r="72" spans="1:7" ht="14.4" x14ac:dyDescent="0.3">
      <c r="A72"/>
      <c r="B72"/>
      <c r="C72"/>
      <c r="D72"/>
      <c r="E72"/>
      <c r="F72"/>
      <c r="G72"/>
    </row>
    <row r="73" spans="1:7" ht="14.4" x14ac:dyDescent="0.3">
      <c r="A73"/>
      <c r="B73"/>
      <c r="C73"/>
      <c r="D73"/>
      <c r="E73"/>
      <c r="F73"/>
      <c r="G73"/>
    </row>
    <row r="74" spans="1:7" ht="14.4" x14ac:dyDescent="0.3">
      <c r="A74"/>
      <c r="B74"/>
      <c r="C74"/>
      <c r="D74"/>
      <c r="E74"/>
      <c r="F74"/>
      <c r="G74"/>
    </row>
    <row r="75" spans="1:7" ht="14.4" x14ac:dyDescent="0.3">
      <c r="A75"/>
      <c r="B75"/>
      <c r="C75"/>
      <c r="D75"/>
      <c r="E75"/>
      <c r="F75"/>
      <c r="G75"/>
    </row>
    <row r="76" spans="1:7" ht="14.4" x14ac:dyDescent="0.3">
      <c r="A76"/>
      <c r="B76"/>
      <c r="C76"/>
      <c r="D76"/>
      <c r="E76"/>
      <c r="F76"/>
      <c r="G76"/>
    </row>
    <row r="77" spans="1:7" ht="14.4" x14ac:dyDescent="0.3">
      <c r="A77"/>
      <c r="B77"/>
      <c r="C77"/>
      <c r="D77"/>
      <c r="E77"/>
      <c r="F77"/>
      <c r="G77"/>
    </row>
    <row r="78" spans="1:7" ht="14.4" x14ac:dyDescent="0.3">
      <c r="A78"/>
      <c r="B78"/>
      <c r="C78"/>
      <c r="D78"/>
      <c r="E78"/>
      <c r="F78"/>
      <c r="G78"/>
    </row>
    <row r="79" spans="1:7" ht="14.4" x14ac:dyDescent="0.3">
      <c r="A79"/>
      <c r="B79"/>
      <c r="C79"/>
      <c r="D79"/>
      <c r="E79"/>
      <c r="F79"/>
      <c r="G79"/>
    </row>
    <row r="80" spans="1:7" ht="14.4" x14ac:dyDescent="0.3">
      <c r="A80"/>
      <c r="B80"/>
      <c r="C80"/>
      <c r="D80"/>
      <c r="E80"/>
      <c r="F80"/>
      <c r="G80"/>
    </row>
    <row r="81" spans="1:7" ht="14.4" x14ac:dyDescent="0.3">
      <c r="A81"/>
      <c r="B81"/>
      <c r="C81"/>
      <c r="D81"/>
      <c r="E81"/>
      <c r="F81"/>
      <c r="G81"/>
    </row>
    <row r="82" spans="1:7" ht="14.4" x14ac:dyDescent="0.3">
      <c r="A82"/>
      <c r="B82"/>
      <c r="C82"/>
      <c r="D82"/>
      <c r="E82"/>
      <c r="F82"/>
      <c r="G82"/>
    </row>
    <row r="83" spans="1:7" ht="14.4" x14ac:dyDescent="0.3">
      <c r="A83"/>
      <c r="B83"/>
      <c r="C83"/>
      <c r="D83"/>
      <c r="E83"/>
      <c r="F83"/>
      <c r="G83"/>
    </row>
    <row r="84" spans="1:7" ht="14.4" x14ac:dyDescent="0.3">
      <c r="A84"/>
      <c r="B84"/>
      <c r="C84"/>
      <c r="D84"/>
      <c r="E84"/>
      <c r="F84"/>
      <c r="G84"/>
    </row>
    <row r="85" spans="1:7" ht="14.4" x14ac:dyDescent="0.3">
      <c r="A85"/>
      <c r="B85"/>
      <c r="C85"/>
      <c r="D85"/>
      <c r="E85"/>
      <c r="F85"/>
      <c r="G85"/>
    </row>
    <row r="86" spans="1:7" ht="14.4" x14ac:dyDescent="0.3">
      <c r="A86"/>
      <c r="B86"/>
      <c r="C86"/>
      <c r="D86"/>
      <c r="E86"/>
      <c r="F86"/>
      <c r="G86"/>
    </row>
    <row r="87" spans="1:7" ht="14.4" x14ac:dyDescent="0.3">
      <c r="A87"/>
      <c r="B87"/>
      <c r="C87"/>
      <c r="D87"/>
      <c r="E87"/>
      <c r="F87"/>
      <c r="G87"/>
    </row>
    <row r="88" spans="1:7" ht="14.4" x14ac:dyDescent="0.3">
      <c r="A88"/>
      <c r="B88"/>
      <c r="C88"/>
      <c r="D88"/>
      <c r="E88"/>
      <c r="F88"/>
      <c r="G88"/>
    </row>
    <row r="89" spans="1:7" ht="14.4" x14ac:dyDescent="0.3">
      <c r="A89"/>
      <c r="B89"/>
      <c r="C89"/>
      <c r="D89"/>
      <c r="E89"/>
      <c r="F89"/>
      <c r="G89"/>
    </row>
    <row r="90" spans="1:7" ht="14.4" x14ac:dyDescent="0.3">
      <c r="A90"/>
      <c r="B90"/>
      <c r="C90"/>
      <c r="D90"/>
      <c r="E90"/>
      <c r="F90"/>
      <c r="G90"/>
    </row>
    <row r="91" spans="1:7" ht="14.4" x14ac:dyDescent="0.3">
      <c r="A91"/>
      <c r="B91"/>
      <c r="C91"/>
      <c r="D91"/>
      <c r="E91"/>
      <c r="F91"/>
      <c r="G91"/>
    </row>
    <row r="92" spans="1:7" ht="14.4" x14ac:dyDescent="0.3">
      <c r="A92"/>
      <c r="B92"/>
      <c r="C92"/>
      <c r="D92"/>
      <c r="E92"/>
      <c r="F92"/>
      <c r="G92"/>
    </row>
    <row r="93" spans="1:7" ht="14.4" x14ac:dyDescent="0.3">
      <c r="A93"/>
      <c r="B93"/>
      <c r="C93"/>
      <c r="D93"/>
      <c r="E93"/>
      <c r="F93"/>
      <c r="G93"/>
    </row>
    <row r="94" spans="1:7" ht="14.4" x14ac:dyDescent="0.3">
      <c r="A94"/>
      <c r="B94"/>
      <c r="C94"/>
      <c r="D94"/>
      <c r="E94"/>
      <c r="F94"/>
      <c r="G94"/>
    </row>
    <row r="95" spans="1:7" ht="14.4" x14ac:dyDescent="0.3">
      <c r="A95"/>
      <c r="B95"/>
      <c r="C95"/>
      <c r="D95"/>
      <c r="E95"/>
      <c r="F95"/>
      <c r="G95"/>
    </row>
    <row r="96" spans="1:7" ht="14.4" x14ac:dyDescent="0.3">
      <c r="A96"/>
      <c r="B96"/>
      <c r="C96"/>
      <c r="D96"/>
      <c r="E96"/>
      <c r="F96"/>
      <c r="G96"/>
    </row>
    <row r="97" spans="1:7" ht="14.4" x14ac:dyDescent="0.3">
      <c r="A97"/>
      <c r="B97"/>
      <c r="C97"/>
      <c r="D97"/>
      <c r="E97"/>
      <c r="F97"/>
      <c r="G97"/>
    </row>
    <row r="98" spans="1:7" ht="14.4" x14ac:dyDescent="0.3">
      <c r="A98"/>
      <c r="B98"/>
      <c r="C98"/>
      <c r="D98"/>
      <c r="E98"/>
      <c r="F98"/>
      <c r="G98"/>
    </row>
    <row r="99" spans="1:7" ht="14.4" x14ac:dyDescent="0.3">
      <c r="A99"/>
      <c r="B99"/>
      <c r="C99"/>
      <c r="D99"/>
      <c r="E99"/>
      <c r="F99"/>
      <c r="G99"/>
    </row>
    <row r="100" spans="1:7" ht="14.4" x14ac:dyDescent="0.3">
      <c r="A100"/>
      <c r="B100"/>
      <c r="C100"/>
      <c r="D100"/>
      <c r="E100"/>
      <c r="F100"/>
      <c r="G100"/>
    </row>
    <row r="101" spans="1:7" ht="14.4" x14ac:dyDescent="0.3">
      <c r="A101"/>
      <c r="B101"/>
      <c r="C101"/>
      <c r="D101"/>
      <c r="E101"/>
      <c r="F101"/>
      <c r="G101"/>
    </row>
    <row r="102" spans="1:7" ht="14.4" x14ac:dyDescent="0.3">
      <c r="A102"/>
      <c r="B102"/>
      <c r="C102"/>
      <c r="D102"/>
      <c r="E102"/>
      <c r="F102"/>
      <c r="G102"/>
    </row>
    <row r="103" spans="1:7" ht="14.4" x14ac:dyDescent="0.3">
      <c r="A103"/>
      <c r="B103"/>
      <c r="C103"/>
      <c r="D103"/>
      <c r="E103"/>
      <c r="F103"/>
      <c r="G103"/>
    </row>
    <row r="104" spans="1:7" ht="14.4" x14ac:dyDescent="0.3">
      <c r="A104"/>
      <c r="B104"/>
      <c r="C104"/>
      <c r="D104"/>
      <c r="E104"/>
      <c r="F104"/>
      <c r="G104"/>
    </row>
    <row r="105" spans="1:7" ht="14.4" x14ac:dyDescent="0.3">
      <c r="A105"/>
      <c r="B105"/>
      <c r="C105"/>
      <c r="D105"/>
      <c r="E105"/>
      <c r="F105"/>
      <c r="G105"/>
    </row>
    <row r="106" spans="1:7" ht="14.4" x14ac:dyDescent="0.3">
      <c r="A106"/>
      <c r="B106"/>
      <c r="C106"/>
      <c r="D106"/>
      <c r="E106"/>
      <c r="F106"/>
      <c r="G106"/>
    </row>
    <row r="107" spans="1:7" ht="14.4" x14ac:dyDescent="0.3">
      <c r="A107"/>
      <c r="B107"/>
      <c r="C107"/>
      <c r="D107"/>
      <c r="E107"/>
      <c r="F107"/>
      <c r="G107"/>
    </row>
    <row r="108" spans="1:7" ht="14.4" x14ac:dyDescent="0.3">
      <c r="A108"/>
      <c r="B108"/>
      <c r="C108"/>
      <c r="D108"/>
      <c r="E108"/>
      <c r="F108"/>
      <c r="G108"/>
    </row>
    <row r="109" spans="1:7" ht="14.4" x14ac:dyDescent="0.3">
      <c r="A109"/>
      <c r="B109"/>
      <c r="C109"/>
      <c r="D109"/>
      <c r="E109"/>
      <c r="F109"/>
      <c r="G109"/>
    </row>
    <row r="110" spans="1:7" ht="14.4" x14ac:dyDescent="0.3">
      <c r="A110"/>
      <c r="B110"/>
      <c r="C110"/>
      <c r="D110"/>
      <c r="E110"/>
      <c r="F110"/>
      <c r="G110"/>
    </row>
    <row r="111" spans="1:7" ht="14.4" x14ac:dyDescent="0.3">
      <c r="A111"/>
      <c r="B111"/>
      <c r="C111"/>
      <c r="D111"/>
      <c r="E111"/>
      <c r="F111"/>
      <c r="G111"/>
    </row>
    <row r="112" spans="1:7" ht="14.4" x14ac:dyDescent="0.3">
      <c r="A112"/>
      <c r="B112"/>
      <c r="C112"/>
      <c r="D112"/>
      <c r="E112"/>
      <c r="F112"/>
      <c r="G112"/>
    </row>
    <row r="113" spans="1:7" ht="14.4" x14ac:dyDescent="0.3">
      <c r="A113"/>
      <c r="B113"/>
      <c r="C113"/>
      <c r="D113"/>
      <c r="E113"/>
      <c r="F113"/>
      <c r="G113"/>
    </row>
    <row r="114" spans="1:7" ht="14.4" x14ac:dyDescent="0.3">
      <c r="A114"/>
      <c r="B114"/>
      <c r="C114"/>
      <c r="D114"/>
      <c r="E114"/>
      <c r="F114"/>
      <c r="G114"/>
    </row>
    <row r="115" spans="1:7" ht="14.4" x14ac:dyDescent="0.3">
      <c r="A115"/>
      <c r="B115"/>
      <c r="C115"/>
      <c r="D115"/>
      <c r="E115"/>
      <c r="F115"/>
      <c r="G115"/>
    </row>
    <row r="116" spans="1:7" ht="14.4" x14ac:dyDescent="0.3">
      <c r="A116"/>
      <c r="B116"/>
      <c r="C116"/>
      <c r="D116"/>
      <c r="E116"/>
      <c r="F116"/>
      <c r="G116"/>
    </row>
    <row r="117" spans="1:7" ht="14.4" x14ac:dyDescent="0.3">
      <c r="A117"/>
      <c r="B117"/>
      <c r="C117"/>
      <c r="D117"/>
      <c r="E117"/>
      <c r="F117"/>
      <c r="G117"/>
    </row>
    <row r="118" spans="1:7" ht="14.4" x14ac:dyDescent="0.3">
      <c r="A118"/>
      <c r="B118"/>
      <c r="C118"/>
      <c r="D118"/>
      <c r="E118"/>
      <c r="F118"/>
      <c r="G118"/>
    </row>
    <row r="119" spans="1:7" ht="14.4" x14ac:dyDescent="0.3">
      <c r="A119"/>
      <c r="B119"/>
      <c r="C119"/>
      <c r="D119"/>
      <c r="E119"/>
      <c r="F119"/>
      <c r="G119"/>
    </row>
    <row r="120" spans="1:7" ht="14.4" x14ac:dyDescent="0.3">
      <c r="A120"/>
      <c r="B120"/>
      <c r="C120"/>
      <c r="D120"/>
      <c r="E120"/>
      <c r="F120"/>
      <c r="G120"/>
    </row>
    <row r="121" spans="1:7" ht="14.4" x14ac:dyDescent="0.3">
      <c r="A121"/>
      <c r="B121"/>
      <c r="C121"/>
      <c r="D121"/>
      <c r="E121"/>
      <c r="F121"/>
      <c r="G121"/>
    </row>
    <row r="122" spans="1:7" ht="14.4" x14ac:dyDescent="0.3">
      <c r="A122"/>
      <c r="B122"/>
      <c r="C122"/>
      <c r="D122"/>
      <c r="E122"/>
      <c r="F122"/>
      <c r="G122"/>
    </row>
    <row r="123" spans="1:7" ht="14.4" x14ac:dyDescent="0.3">
      <c r="A123"/>
      <c r="B123"/>
      <c r="C123"/>
      <c r="D123"/>
      <c r="E123"/>
      <c r="F123"/>
      <c r="G123"/>
    </row>
    <row r="124" spans="1:7" ht="14.4" x14ac:dyDescent="0.3">
      <c r="A124"/>
      <c r="B124"/>
      <c r="C124"/>
      <c r="D124"/>
      <c r="E124"/>
      <c r="F124"/>
      <c r="G124"/>
    </row>
    <row r="125" spans="1:7" ht="14.4" x14ac:dyDescent="0.3">
      <c r="A125"/>
      <c r="B125"/>
      <c r="C125"/>
      <c r="D125"/>
      <c r="E125"/>
      <c r="F125"/>
      <c r="G125"/>
    </row>
    <row r="126" spans="1:7" ht="14.4" x14ac:dyDescent="0.3">
      <c r="A126"/>
      <c r="B126"/>
      <c r="C126"/>
      <c r="D126"/>
      <c r="E126"/>
      <c r="F126"/>
      <c r="G126"/>
    </row>
    <row r="127" spans="1:7" ht="14.4" x14ac:dyDescent="0.3">
      <c r="A127"/>
      <c r="B127"/>
      <c r="C127"/>
      <c r="D127"/>
      <c r="E127"/>
      <c r="F127"/>
      <c r="G127"/>
    </row>
    <row r="128" spans="1:7" ht="14.4" x14ac:dyDescent="0.3">
      <c r="A128"/>
      <c r="B128"/>
      <c r="C128"/>
      <c r="D128"/>
      <c r="E128"/>
      <c r="F128"/>
      <c r="G128"/>
    </row>
    <row r="129" spans="1:7" ht="14.4" x14ac:dyDescent="0.3">
      <c r="A129"/>
      <c r="B129"/>
      <c r="C129"/>
      <c r="D129"/>
      <c r="E129"/>
      <c r="F129"/>
      <c r="G129"/>
    </row>
    <row r="130" spans="1:7" ht="14.4" x14ac:dyDescent="0.3">
      <c r="A130"/>
      <c r="B130"/>
      <c r="C130"/>
      <c r="D130"/>
      <c r="E130"/>
      <c r="F130"/>
      <c r="G130"/>
    </row>
    <row r="131" spans="1:7" ht="14.4" x14ac:dyDescent="0.3">
      <c r="A131"/>
      <c r="B131"/>
      <c r="C131"/>
      <c r="D131"/>
      <c r="E131"/>
      <c r="F131"/>
      <c r="G131"/>
    </row>
    <row r="132" spans="1:7" ht="14.4" x14ac:dyDescent="0.3">
      <c r="A132"/>
      <c r="B132"/>
      <c r="C132"/>
      <c r="D132"/>
      <c r="E132"/>
      <c r="F132"/>
      <c r="G132"/>
    </row>
    <row r="133" spans="1:7" ht="14.4" x14ac:dyDescent="0.3">
      <c r="A133"/>
      <c r="B133"/>
      <c r="C133"/>
      <c r="D133"/>
      <c r="E133"/>
      <c r="F133"/>
      <c r="G133"/>
    </row>
    <row r="134" spans="1:7" ht="14.4" x14ac:dyDescent="0.3">
      <c r="A134"/>
      <c r="B134"/>
      <c r="C134"/>
      <c r="D134"/>
      <c r="E134"/>
      <c r="F134"/>
      <c r="G134"/>
    </row>
    <row r="135" spans="1:7" ht="14.4" x14ac:dyDescent="0.3">
      <c r="A135"/>
      <c r="B135"/>
      <c r="C135"/>
      <c r="D135"/>
      <c r="E135"/>
      <c r="F135"/>
      <c r="G135"/>
    </row>
    <row r="136" spans="1:7" ht="14.4" x14ac:dyDescent="0.3">
      <c r="A136"/>
      <c r="B136"/>
      <c r="C136"/>
      <c r="D136"/>
      <c r="E136"/>
      <c r="F136"/>
      <c r="G136"/>
    </row>
    <row r="137" spans="1:7" ht="14.4" x14ac:dyDescent="0.3">
      <c r="A137"/>
      <c r="B137"/>
      <c r="C137"/>
      <c r="D137"/>
      <c r="E137"/>
      <c r="F137"/>
      <c r="G137"/>
    </row>
    <row r="138" spans="1:7" ht="14.4" x14ac:dyDescent="0.3">
      <c r="A138"/>
      <c r="B138"/>
      <c r="C138"/>
      <c r="D138"/>
      <c r="E138"/>
      <c r="F138"/>
      <c r="G138"/>
    </row>
    <row r="139" spans="1:7" ht="14.4" x14ac:dyDescent="0.3">
      <c r="A139"/>
      <c r="B139"/>
      <c r="C139"/>
      <c r="D139"/>
      <c r="E139"/>
      <c r="F139"/>
      <c r="G139"/>
    </row>
    <row r="140" spans="1:7" ht="14.4" x14ac:dyDescent="0.3">
      <c r="A140"/>
      <c r="B140"/>
      <c r="C140"/>
      <c r="D140"/>
      <c r="E140"/>
      <c r="F140"/>
      <c r="G140"/>
    </row>
    <row r="141" spans="1:7" ht="14.4" x14ac:dyDescent="0.3">
      <c r="A141"/>
      <c r="B141"/>
      <c r="C141"/>
      <c r="D141"/>
      <c r="E141"/>
      <c r="F141"/>
      <c r="G141"/>
    </row>
    <row r="142" spans="1:7" ht="14.4" x14ac:dyDescent="0.3">
      <c r="A142"/>
      <c r="B142"/>
      <c r="C142"/>
      <c r="D142"/>
      <c r="E142"/>
      <c r="F142"/>
      <c r="G142"/>
    </row>
    <row r="143" spans="1:7" ht="14.4" x14ac:dyDescent="0.3">
      <c r="A143"/>
      <c r="B143"/>
      <c r="C143"/>
      <c r="D143"/>
      <c r="E143"/>
      <c r="F143"/>
      <c r="G143"/>
    </row>
    <row r="144" spans="1:7" ht="14.4" x14ac:dyDescent="0.3">
      <c r="A144"/>
      <c r="B144"/>
      <c r="C144"/>
      <c r="D144"/>
      <c r="E144"/>
      <c r="F144"/>
      <c r="G144"/>
    </row>
    <row r="145" spans="1:7" ht="14.4" x14ac:dyDescent="0.3">
      <c r="A145"/>
      <c r="B145"/>
      <c r="C145"/>
      <c r="D145"/>
      <c r="E145"/>
      <c r="F145"/>
      <c r="G145"/>
    </row>
    <row r="146" spans="1:7" ht="14.4" x14ac:dyDescent="0.3">
      <c r="A146"/>
      <c r="B146"/>
      <c r="C146"/>
      <c r="D146"/>
      <c r="E146"/>
      <c r="F146"/>
      <c r="G146"/>
    </row>
    <row r="147" spans="1:7" ht="14.4" x14ac:dyDescent="0.3">
      <c r="A147"/>
      <c r="B147"/>
      <c r="C147"/>
      <c r="D147"/>
      <c r="E147"/>
      <c r="F147"/>
      <c r="G147"/>
    </row>
    <row r="148" spans="1:7" ht="14.4" x14ac:dyDescent="0.3">
      <c r="A148"/>
      <c r="B148"/>
      <c r="C148"/>
      <c r="D148"/>
      <c r="E148"/>
      <c r="F148"/>
      <c r="G148"/>
    </row>
    <row r="149" spans="1:7" ht="14.4" x14ac:dyDescent="0.3">
      <c r="A149"/>
      <c r="B149"/>
      <c r="C149"/>
      <c r="D149"/>
      <c r="E149"/>
      <c r="F149"/>
      <c r="G149"/>
    </row>
    <row r="150" spans="1:7" ht="14.4" x14ac:dyDescent="0.3">
      <c r="A150"/>
      <c r="B150"/>
      <c r="C150"/>
      <c r="D150"/>
      <c r="E150"/>
      <c r="F150"/>
      <c r="G150"/>
    </row>
    <row r="151" spans="1:7" ht="14.4" x14ac:dyDescent="0.3">
      <c r="A151"/>
      <c r="B151"/>
      <c r="C151"/>
      <c r="D151"/>
      <c r="E151"/>
      <c r="F151"/>
      <c r="G151"/>
    </row>
    <row r="152" spans="1:7" ht="14.4" x14ac:dyDescent="0.3">
      <c r="A152"/>
      <c r="B152"/>
      <c r="C152"/>
      <c r="D152"/>
      <c r="E152"/>
      <c r="F152"/>
      <c r="G152"/>
    </row>
    <row r="153" spans="1:7" ht="14.4" x14ac:dyDescent="0.3">
      <c r="A153"/>
      <c r="B153"/>
      <c r="C153"/>
      <c r="D153"/>
      <c r="E153"/>
      <c r="F153"/>
      <c r="G153"/>
    </row>
    <row r="154" spans="1:7" ht="14.4" x14ac:dyDescent="0.3">
      <c r="A154"/>
      <c r="B154"/>
      <c r="C154"/>
      <c r="D154"/>
      <c r="E154"/>
      <c r="F154"/>
      <c r="G154"/>
    </row>
    <row r="155" spans="1:7" ht="14.4" x14ac:dyDescent="0.3">
      <c r="A155"/>
      <c r="B155"/>
      <c r="C155"/>
      <c r="D155"/>
      <c r="E155"/>
      <c r="F155"/>
      <c r="G155"/>
    </row>
    <row r="156" spans="1:7" ht="14.4" x14ac:dyDescent="0.3">
      <c r="A156"/>
      <c r="B156"/>
      <c r="C156"/>
      <c r="D156"/>
      <c r="E156"/>
      <c r="F156"/>
      <c r="G156"/>
    </row>
    <row r="157" spans="1:7" ht="14.4" x14ac:dyDescent="0.3">
      <c r="A157"/>
      <c r="B157"/>
      <c r="C157"/>
      <c r="D157"/>
      <c r="E157"/>
      <c r="F157"/>
      <c r="G157"/>
    </row>
    <row r="158" spans="1:7" ht="14.4" x14ac:dyDescent="0.3">
      <c r="A158"/>
      <c r="B158"/>
      <c r="C158"/>
      <c r="D158"/>
      <c r="E158"/>
      <c r="F158"/>
      <c r="G158"/>
    </row>
    <row r="159" spans="1:7" ht="14.4" x14ac:dyDescent="0.3">
      <c r="A159"/>
      <c r="B159"/>
      <c r="C159"/>
      <c r="D159"/>
      <c r="E159"/>
      <c r="F159"/>
      <c r="G159"/>
    </row>
    <row r="160" spans="1:7" ht="14.4" x14ac:dyDescent="0.3">
      <c r="A160"/>
      <c r="B160"/>
      <c r="C160"/>
      <c r="D160"/>
      <c r="E160"/>
      <c r="F160"/>
      <c r="G160"/>
    </row>
    <row r="161" spans="1:7" ht="14.4" x14ac:dyDescent="0.3">
      <c r="A161"/>
      <c r="B161"/>
      <c r="C161"/>
      <c r="D161"/>
      <c r="E161"/>
      <c r="F161"/>
      <c r="G161"/>
    </row>
    <row r="162" spans="1:7" ht="14.4" x14ac:dyDescent="0.3">
      <c r="A162"/>
      <c r="B162"/>
      <c r="C162"/>
      <c r="D162"/>
      <c r="E162"/>
      <c r="F162"/>
      <c r="G162"/>
    </row>
    <row r="163" spans="1:7" ht="14.4" x14ac:dyDescent="0.3">
      <c r="A163"/>
      <c r="B163"/>
      <c r="C163"/>
      <c r="D163"/>
      <c r="E163"/>
      <c r="F163"/>
      <c r="G163"/>
    </row>
    <row r="164" spans="1:7" ht="14.4" x14ac:dyDescent="0.3">
      <c r="A164"/>
      <c r="B164"/>
      <c r="C164"/>
      <c r="D164"/>
      <c r="E164"/>
      <c r="F164"/>
      <c r="G164"/>
    </row>
    <row r="165" spans="1:7" ht="14.4" x14ac:dyDescent="0.3">
      <c r="A165"/>
      <c r="B165"/>
      <c r="C165"/>
      <c r="D165"/>
      <c r="E165"/>
      <c r="F165"/>
      <c r="G165"/>
    </row>
    <row r="166" spans="1:7" ht="14.4" x14ac:dyDescent="0.3">
      <c r="A166"/>
      <c r="B166"/>
      <c r="C166"/>
      <c r="D166"/>
      <c r="E166"/>
      <c r="F166"/>
      <c r="G166"/>
    </row>
    <row r="167" spans="1:7" ht="14.4" x14ac:dyDescent="0.3">
      <c r="A167"/>
      <c r="B167"/>
      <c r="C167"/>
      <c r="D167"/>
      <c r="E167"/>
      <c r="F167"/>
      <c r="G167"/>
    </row>
    <row r="168" spans="1:7" ht="14.4" x14ac:dyDescent="0.3">
      <c r="A168"/>
      <c r="B168"/>
      <c r="C168"/>
      <c r="D168"/>
      <c r="E168"/>
      <c r="F168"/>
      <c r="G168"/>
    </row>
    <row r="169" spans="1:7" ht="14.4" x14ac:dyDescent="0.3">
      <c r="A169"/>
      <c r="B169"/>
      <c r="C169"/>
      <c r="D169"/>
      <c r="E169"/>
      <c r="F169"/>
      <c r="G169"/>
    </row>
    <row r="170" spans="1:7" ht="14.4" x14ac:dyDescent="0.3">
      <c r="A170"/>
      <c r="B170"/>
      <c r="C170"/>
      <c r="D170"/>
      <c r="E170"/>
      <c r="F170"/>
      <c r="G170"/>
    </row>
    <row r="171" spans="1:7" ht="14.4" x14ac:dyDescent="0.3">
      <c r="A171"/>
      <c r="B171"/>
      <c r="C171"/>
      <c r="D171"/>
      <c r="E171"/>
      <c r="F171"/>
      <c r="G171"/>
    </row>
    <row r="172" spans="1:7" ht="14.4" x14ac:dyDescent="0.3">
      <c r="A172"/>
      <c r="B172"/>
      <c r="C172"/>
      <c r="D172"/>
      <c r="E172"/>
      <c r="F172"/>
      <c r="G172"/>
    </row>
    <row r="173" spans="1:7" ht="14.4" x14ac:dyDescent="0.3">
      <c r="A173"/>
      <c r="B173"/>
      <c r="C173"/>
      <c r="D173"/>
      <c r="E173"/>
      <c r="F173"/>
      <c r="G173"/>
    </row>
    <row r="174" spans="1:7" ht="14.4" x14ac:dyDescent="0.3">
      <c r="A174"/>
      <c r="B174"/>
      <c r="C174"/>
      <c r="D174"/>
      <c r="E174"/>
      <c r="F174"/>
      <c r="G174"/>
    </row>
    <row r="175" spans="1:7" ht="14.4" x14ac:dyDescent="0.3">
      <c r="A175"/>
      <c r="B175"/>
      <c r="C175"/>
      <c r="D175"/>
      <c r="E175"/>
      <c r="F175"/>
      <c r="G175"/>
    </row>
    <row r="176" spans="1:7" ht="14.4" x14ac:dyDescent="0.3">
      <c r="A176"/>
      <c r="B176"/>
      <c r="C176"/>
      <c r="D176"/>
      <c r="E176"/>
      <c r="F176"/>
      <c r="G176"/>
    </row>
    <row r="177" spans="1:7" ht="14.4" x14ac:dyDescent="0.3">
      <c r="A177"/>
      <c r="B177"/>
      <c r="C177"/>
      <c r="D177"/>
      <c r="E177"/>
      <c r="F177"/>
      <c r="G177"/>
    </row>
    <row r="178" spans="1:7" ht="14.4" x14ac:dyDescent="0.3">
      <c r="A178"/>
      <c r="B178"/>
      <c r="C178"/>
      <c r="D178"/>
      <c r="E178"/>
      <c r="F178"/>
      <c r="G178"/>
    </row>
    <row r="179" spans="1:7" ht="14.4" x14ac:dyDescent="0.3">
      <c r="A179"/>
      <c r="B179"/>
      <c r="C179"/>
      <c r="D179"/>
      <c r="E179"/>
      <c r="F179"/>
      <c r="G179"/>
    </row>
    <row r="180" spans="1:7" ht="14.4" x14ac:dyDescent="0.3">
      <c r="A180"/>
      <c r="B180"/>
      <c r="C180"/>
      <c r="D180"/>
      <c r="E180"/>
      <c r="F180"/>
      <c r="G180"/>
    </row>
    <row r="181" spans="1:7" ht="14.4" x14ac:dyDescent="0.3">
      <c r="A181"/>
      <c r="B181"/>
      <c r="C181"/>
      <c r="D181"/>
      <c r="E181"/>
      <c r="F181"/>
      <c r="G181"/>
    </row>
    <row r="182" spans="1:7" ht="14.4" x14ac:dyDescent="0.3">
      <c r="A182"/>
      <c r="B182"/>
      <c r="C182"/>
      <c r="D182"/>
      <c r="E182"/>
      <c r="F182"/>
      <c r="G182"/>
    </row>
    <row r="183" spans="1:7" ht="14.4" x14ac:dyDescent="0.3">
      <c r="A183"/>
      <c r="B183"/>
      <c r="C183"/>
      <c r="D183"/>
      <c r="E183"/>
      <c r="F183"/>
      <c r="G183"/>
    </row>
    <row r="184" spans="1:7" ht="14.4" x14ac:dyDescent="0.3">
      <c r="A184"/>
      <c r="B184"/>
      <c r="C184"/>
      <c r="D184"/>
      <c r="E184"/>
      <c r="F184"/>
      <c r="G184"/>
    </row>
    <row r="185" spans="1:7" ht="14.4" x14ac:dyDescent="0.3">
      <c r="A185"/>
      <c r="B185"/>
      <c r="C185"/>
      <c r="D185"/>
      <c r="E185"/>
      <c r="F185"/>
      <c r="G185"/>
    </row>
    <row r="186" spans="1:7" ht="14.4" x14ac:dyDescent="0.3">
      <c r="A186"/>
      <c r="B186"/>
      <c r="C186"/>
      <c r="D186"/>
      <c r="E186"/>
      <c r="F186"/>
      <c r="G186"/>
    </row>
    <row r="187" spans="1:7" ht="14.4" x14ac:dyDescent="0.3">
      <c r="A187"/>
      <c r="B187"/>
      <c r="C187"/>
      <c r="D187"/>
      <c r="E187"/>
      <c r="F187"/>
      <c r="G187"/>
    </row>
    <row r="188" spans="1:7" ht="14.4" x14ac:dyDescent="0.3">
      <c r="A188"/>
      <c r="B188"/>
      <c r="C188"/>
      <c r="D188"/>
      <c r="E188"/>
      <c r="F188"/>
      <c r="G188"/>
    </row>
    <row r="189" spans="1:7" ht="14.4" x14ac:dyDescent="0.3">
      <c r="A189"/>
      <c r="B189"/>
      <c r="C189"/>
      <c r="D189"/>
      <c r="E189"/>
      <c r="F189"/>
      <c r="G189"/>
    </row>
    <row r="190" spans="1:7" ht="14.4" x14ac:dyDescent="0.3">
      <c r="A190"/>
      <c r="B190"/>
      <c r="C190"/>
      <c r="D190"/>
      <c r="E190"/>
      <c r="F190"/>
      <c r="G190"/>
    </row>
    <row r="191" spans="1:7" ht="14.4" x14ac:dyDescent="0.3">
      <c r="A191"/>
      <c r="B191"/>
      <c r="C191"/>
      <c r="D191"/>
      <c r="E191"/>
      <c r="F191"/>
      <c r="G191"/>
    </row>
    <row r="192" spans="1:7" ht="14.4" x14ac:dyDescent="0.3">
      <c r="A192"/>
      <c r="B192"/>
      <c r="C192"/>
      <c r="D192"/>
      <c r="E192"/>
      <c r="F192"/>
      <c r="G192"/>
    </row>
    <row r="193" spans="1:7" ht="14.4" x14ac:dyDescent="0.3">
      <c r="A193"/>
      <c r="B193"/>
      <c r="C193"/>
      <c r="D193"/>
      <c r="E193"/>
      <c r="F193"/>
      <c r="G193"/>
    </row>
    <row r="194" spans="1:7" ht="14.4" x14ac:dyDescent="0.3">
      <c r="A194"/>
      <c r="B194"/>
      <c r="C194"/>
      <c r="D194"/>
      <c r="E194"/>
      <c r="F194"/>
      <c r="G194"/>
    </row>
    <row r="195" spans="1:7" ht="14.4" x14ac:dyDescent="0.3">
      <c r="A195"/>
      <c r="B195"/>
      <c r="C195"/>
      <c r="D195"/>
      <c r="E195"/>
      <c r="F195"/>
      <c r="G195"/>
    </row>
    <row r="196" spans="1:7" ht="14.4" x14ac:dyDescent="0.3">
      <c r="A196"/>
      <c r="B196"/>
      <c r="C196"/>
      <c r="D196"/>
      <c r="E196"/>
      <c r="F196"/>
      <c r="G196"/>
    </row>
    <row r="197" spans="1:7" ht="14.4" x14ac:dyDescent="0.3">
      <c r="A197"/>
      <c r="B197"/>
      <c r="C197"/>
      <c r="D197"/>
      <c r="E197"/>
      <c r="F197"/>
      <c r="G197"/>
    </row>
    <row r="198" spans="1:7" ht="14.4" x14ac:dyDescent="0.3">
      <c r="A198"/>
      <c r="B198"/>
      <c r="C198"/>
      <c r="D198"/>
      <c r="E198"/>
      <c r="F198"/>
      <c r="G198"/>
    </row>
    <row r="199" spans="1:7" ht="14.4" x14ac:dyDescent="0.3">
      <c r="A199"/>
      <c r="B199"/>
      <c r="C199"/>
      <c r="D199"/>
      <c r="E199"/>
      <c r="F199"/>
      <c r="G199"/>
    </row>
    <row r="200" spans="1:7" ht="14.4" x14ac:dyDescent="0.3">
      <c r="A200"/>
      <c r="B200"/>
      <c r="C200"/>
      <c r="D200"/>
      <c r="E200"/>
      <c r="F200"/>
      <c r="G200"/>
    </row>
    <row r="201" spans="1:7" ht="14.4" x14ac:dyDescent="0.3">
      <c r="A201"/>
      <c r="B201"/>
      <c r="C201"/>
      <c r="D201"/>
      <c r="E201"/>
      <c r="F201"/>
      <c r="G201"/>
    </row>
    <row r="202" spans="1:7" ht="14.4" x14ac:dyDescent="0.3">
      <c r="A202"/>
      <c r="B202"/>
      <c r="C202"/>
      <c r="D202"/>
      <c r="E202"/>
      <c r="F202"/>
      <c r="G202"/>
    </row>
    <row r="203" spans="1:7" ht="14.4" x14ac:dyDescent="0.3">
      <c r="A203"/>
      <c r="B203"/>
      <c r="C203"/>
      <c r="D203"/>
      <c r="E203"/>
      <c r="F203"/>
      <c r="G203"/>
    </row>
    <row r="204" spans="1:7" ht="14.4" x14ac:dyDescent="0.3">
      <c r="A204"/>
      <c r="B204"/>
      <c r="C204"/>
      <c r="D204"/>
      <c r="E204"/>
      <c r="F204"/>
      <c r="G204"/>
    </row>
    <row r="205" spans="1:7" ht="14.4" x14ac:dyDescent="0.3">
      <c r="A205"/>
      <c r="B205"/>
      <c r="C205"/>
      <c r="D205"/>
      <c r="E205"/>
      <c r="F205"/>
      <c r="G205"/>
    </row>
    <row r="206" spans="1:7" ht="14.4" x14ac:dyDescent="0.3">
      <c r="A206"/>
      <c r="B206"/>
      <c r="C206"/>
      <c r="D206"/>
      <c r="E206"/>
      <c r="F206"/>
      <c r="G206"/>
    </row>
    <row r="207" spans="1:7" ht="14.4" x14ac:dyDescent="0.3">
      <c r="A207"/>
      <c r="B207"/>
      <c r="C207"/>
      <c r="D207"/>
      <c r="E207"/>
      <c r="F207"/>
      <c r="G207"/>
    </row>
    <row r="208" spans="1:7" ht="14.4" x14ac:dyDescent="0.3">
      <c r="A208"/>
      <c r="B208"/>
      <c r="C208"/>
      <c r="D208"/>
      <c r="E208"/>
      <c r="F208"/>
      <c r="G208"/>
    </row>
    <row r="209" spans="1:7" ht="14.4" x14ac:dyDescent="0.3">
      <c r="A209"/>
      <c r="B209"/>
      <c r="C209"/>
      <c r="D209"/>
      <c r="E209"/>
      <c r="F209"/>
      <c r="G209"/>
    </row>
    <row r="210" spans="1:7" ht="14.4" x14ac:dyDescent="0.3">
      <c r="A210"/>
      <c r="B210"/>
      <c r="C210"/>
      <c r="D210"/>
      <c r="E210"/>
      <c r="F210"/>
      <c r="G210"/>
    </row>
    <row r="211" spans="1:7" ht="14.4" x14ac:dyDescent="0.3">
      <c r="A211"/>
      <c r="B211"/>
      <c r="C211"/>
      <c r="D211"/>
      <c r="E211"/>
      <c r="F211"/>
      <c r="G211"/>
    </row>
    <row r="212" spans="1:7" ht="14.4" x14ac:dyDescent="0.3">
      <c r="A212"/>
      <c r="B212"/>
      <c r="C212"/>
      <c r="D212"/>
      <c r="E212"/>
      <c r="F212"/>
      <c r="G212"/>
    </row>
    <row r="213" spans="1:7" ht="14.4" x14ac:dyDescent="0.3">
      <c r="A213"/>
      <c r="B213"/>
      <c r="C213"/>
      <c r="D213"/>
      <c r="E213"/>
      <c r="F213"/>
      <c r="G213"/>
    </row>
    <row r="214" spans="1:7" ht="14.4" x14ac:dyDescent="0.3">
      <c r="A214"/>
      <c r="B214"/>
      <c r="C214"/>
      <c r="D214"/>
      <c r="E214"/>
      <c r="F214"/>
      <c r="G214"/>
    </row>
    <row r="215" spans="1:7" ht="14.4" x14ac:dyDescent="0.3">
      <c r="A215"/>
      <c r="B215"/>
      <c r="C215"/>
      <c r="D215"/>
      <c r="E215"/>
      <c r="F215"/>
      <c r="G215"/>
    </row>
    <row r="216" spans="1:7" ht="14.4" x14ac:dyDescent="0.3">
      <c r="A216"/>
      <c r="B216"/>
      <c r="C216"/>
      <c r="D216"/>
      <c r="E216"/>
      <c r="F216"/>
      <c r="G216"/>
    </row>
    <row r="217" spans="1:7" ht="14.4" x14ac:dyDescent="0.3">
      <c r="A217"/>
      <c r="B217"/>
      <c r="C217"/>
      <c r="D217"/>
      <c r="E217"/>
      <c r="F217"/>
      <c r="G217"/>
    </row>
    <row r="218" spans="1:7" ht="14.4" x14ac:dyDescent="0.3">
      <c r="A218"/>
      <c r="B218"/>
      <c r="C218"/>
      <c r="D218"/>
      <c r="E218"/>
      <c r="F218"/>
      <c r="G218"/>
    </row>
    <row r="219" spans="1:7" ht="14.4" x14ac:dyDescent="0.3">
      <c r="A219"/>
      <c r="B219"/>
      <c r="C219"/>
      <c r="D219"/>
      <c r="E219"/>
      <c r="F219"/>
      <c r="G219"/>
    </row>
    <row r="220" spans="1:7" ht="14.4" x14ac:dyDescent="0.3">
      <c r="A220"/>
      <c r="B220"/>
      <c r="C220"/>
      <c r="D220"/>
      <c r="E220"/>
      <c r="F220"/>
      <c r="G220"/>
    </row>
    <row r="221" spans="1:7" ht="14.4" x14ac:dyDescent="0.3">
      <c r="A221"/>
      <c r="B221"/>
      <c r="C221"/>
      <c r="D221"/>
      <c r="E221"/>
      <c r="F221"/>
      <c r="G221"/>
    </row>
    <row r="222" spans="1:7" ht="14.4" x14ac:dyDescent="0.3">
      <c r="A222"/>
      <c r="B222"/>
      <c r="C222"/>
      <c r="D222"/>
      <c r="E222"/>
      <c r="F222"/>
      <c r="G222"/>
    </row>
    <row r="223" spans="1:7" ht="14.4" x14ac:dyDescent="0.3">
      <c r="A223"/>
      <c r="B223"/>
      <c r="C223"/>
      <c r="D223"/>
      <c r="E223"/>
      <c r="F223"/>
      <c r="G223"/>
    </row>
    <row r="224" spans="1:7" ht="14.4" x14ac:dyDescent="0.3">
      <c r="A224"/>
      <c r="B224"/>
      <c r="C224"/>
      <c r="D224"/>
      <c r="E224"/>
      <c r="F224"/>
      <c r="G224"/>
    </row>
    <row r="225" spans="1:7" ht="14.4" x14ac:dyDescent="0.3">
      <c r="A225"/>
      <c r="B225"/>
      <c r="C225"/>
      <c r="D225"/>
      <c r="E225"/>
      <c r="F225"/>
      <c r="G225"/>
    </row>
    <row r="226" spans="1:7" ht="14.4" x14ac:dyDescent="0.3">
      <c r="A226"/>
      <c r="B226"/>
      <c r="C226"/>
      <c r="D226"/>
      <c r="E226"/>
      <c r="F226"/>
      <c r="G226"/>
    </row>
    <row r="227" spans="1:7" ht="14.4" x14ac:dyDescent="0.3">
      <c r="A227"/>
      <c r="B227"/>
      <c r="C227"/>
      <c r="D227"/>
      <c r="E227"/>
      <c r="F227"/>
      <c r="G227"/>
    </row>
    <row r="228" spans="1:7" ht="14.4" x14ac:dyDescent="0.3">
      <c r="A228"/>
      <c r="B228"/>
      <c r="C228"/>
      <c r="D228"/>
      <c r="E228"/>
      <c r="F228"/>
      <c r="G228"/>
    </row>
    <row r="229" spans="1:7" ht="14.4" x14ac:dyDescent="0.3">
      <c r="A229"/>
      <c r="B229"/>
      <c r="C229"/>
      <c r="D229"/>
      <c r="E229"/>
      <c r="F229"/>
      <c r="G229"/>
    </row>
    <row r="230" spans="1:7" ht="14.4" x14ac:dyDescent="0.3">
      <c r="A230"/>
      <c r="B230"/>
      <c r="C230"/>
      <c r="D230"/>
      <c r="E230"/>
      <c r="F230"/>
      <c r="G230"/>
    </row>
    <row r="231" spans="1:7" ht="14.4" x14ac:dyDescent="0.3">
      <c r="A231"/>
      <c r="B231"/>
      <c r="C231"/>
      <c r="D231"/>
      <c r="E231"/>
      <c r="F231"/>
      <c r="G231"/>
    </row>
    <row r="232" spans="1:7" ht="14.4" x14ac:dyDescent="0.3">
      <c r="A232"/>
      <c r="B232"/>
      <c r="C232"/>
      <c r="D232"/>
      <c r="E232"/>
      <c r="F232"/>
      <c r="G232"/>
    </row>
    <row r="233" spans="1:7" ht="14.4" x14ac:dyDescent="0.3">
      <c r="A233"/>
      <c r="B233"/>
      <c r="C233"/>
      <c r="D233"/>
      <c r="E233"/>
      <c r="F233"/>
      <c r="G233"/>
    </row>
    <row r="234" spans="1:7" ht="14.4" x14ac:dyDescent="0.3">
      <c r="A234"/>
      <c r="B234"/>
      <c r="C234"/>
      <c r="D234"/>
      <c r="E234"/>
      <c r="F234"/>
      <c r="G234"/>
    </row>
    <row r="235" spans="1:7" ht="14.4" x14ac:dyDescent="0.3">
      <c r="A235"/>
      <c r="B235"/>
      <c r="C235"/>
      <c r="D235"/>
      <c r="E235"/>
      <c r="F235"/>
      <c r="G235"/>
    </row>
    <row r="236" spans="1:7" ht="14.4" x14ac:dyDescent="0.3">
      <c r="A236"/>
      <c r="B236"/>
      <c r="C236"/>
      <c r="D236"/>
      <c r="E236"/>
      <c r="F236"/>
      <c r="G236"/>
    </row>
    <row r="237" spans="1:7" ht="14.4" x14ac:dyDescent="0.3">
      <c r="A237"/>
      <c r="B237"/>
      <c r="C237"/>
      <c r="D237"/>
      <c r="E237"/>
      <c r="F237"/>
      <c r="G237"/>
    </row>
    <row r="238" spans="1:7" ht="14.4" x14ac:dyDescent="0.3">
      <c r="A238"/>
      <c r="B238"/>
      <c r="C238"/>
      <c r="D238"/>
      <c r="E238"/>
      <c r="F238"/>
      <c r="G238"/>
    </row>
    <row r="239" spans="1:7" ht="14.4" x14ac:dyDescent="0.3">
      <c r="A239"/>
      <c r="B239"/>
      <c r="C239"/>
      <c r="D239"/>
      <c r="E239"/>
      <c r="F239"/>
      <c r="G239"/>
    </row>
    <row r="240" spans="1:7" ht="14.4" x14ac:dyDescent="0.3">
      <c r="A240"/>
      <c r="B240"/>
      <c r="C240"/>
      <c r="D240"/>
      <c r="E240"/>
      <c r="F240"/>
      <c r="G240"/>
    </row>
    <row r="241" spans="1:7" ht="14.4" x14ac:dyDescent="0.3">
      <c r="A241"/>
      <c r="B241"/>
      <c r="C241"/>
      <c r="D241"/>
      <c r="E241"/>
      <c r="F241"/>
      <c r="G241"/>
    </row>
    <row r="242" spans="1:7" ht="14.4" x14ac:dyDescent="0.3">
      <c r="A242"/>
      <c r="B242"/>
      <c r="C242"/>
      <c r="D242"/>
      <c r="E242"/>
      <c r="F242"/>
      <c r="G242"/>
    </row>
    <row r="243" spans="1:7" ht="14.4" x14ac:dyDescent="0.3">
      <c r="A243"/>
      <c r="B243"/>
      <c r="C243"/>
      <c r="D243"/>
      <c r="E243"/>
      <c r="F243"/>
      <c r="G243"/>
    </row>
    <row r="244" spans="1:7" ht="14.4" x14ac:dyDescent="0.3">
      <c r="A244"/>
      <c r="B244"/>
      <c r="C244"/>
      <c r="D244"/>
      <c r="E244"/>
      <c r="F244"/>
      <c r="G244"/>
    </row>
    <row r="245" spans="1:7" ht="14.4" x14ac:dyDescent="0.3">
      <c r="A245"/>
      <c r="B245"/>
      <c r="C245"/>
      <c r="D245"/>
      <c r="E245"/>
      <c r="F245"/>
      <c r="G245"/>
    </row>
    <row r="246" spans="1:7" ht="14.4" x14ac:dyDescent="0.3">
      <c r="A246"/>
      <c r="B246"/>
      <c r="C246"/>
      <c r="D246"/>
      <c r="E246"/>
      <c r="F246"/>
      <c r="G246"/>
    </row>
    <row r="247" spans="1:7" ht="14.4" x14ac:dyDescent="0.3">
      <c r="A247"/>
      <c r="B247"/>
      <c r="C247"/>
      <c r="D247"/>
      <c r="E247"/>
      <c r="F247"/>
      <c r="G247"/>
    </row>
    <row r="248" spans="1:7" ht="14.4" x14ac:dyDescent="0.3">
      <c r="A248"/>
      <c r="B248"/>
      <c r="C248"/>
      <c r="D248"/>
      <c r="E248"/>
      <c r="F248"/>
      <c r="G248"/>
    </row>
    <row r="249" spans="1:7" ht="14.4" x14ac:dyDescent="0.3">
      <c r="A249"/>
      <c r="B249"/>
      <c r="C249"/>
      <c r="D249"/>
      <c r="E249"/>
      <c r="F249"/>
      <c r="G249"/>
    </row>
    <row r="250" spans="1:7" ht="14.4" x14ac:dyDescent="0.3">
      <c r="A250"/>
      <c r="B250"/>
      <c r="C250"/>
      <c r="D250"/>
      <c r="E250"/>
      <c r="F250"/>
      <c r="G250"/>
    </row>
    <row r="251" spans="1:7" ht="14.4" x14ac:dyDescent="0.3">
      <c r="A251"/>
      <c r="B251"/>
      <c r="C251"/>
      <c r="D251"/>
      <c r="E251"/>
      <c r="F251"/>
      <c r="G251"/>
    </row>
    <row r="252" spans="1:7" ht="14.4" x14ac:dyDescent="0.3">
      <c r="A252"/>
      <c r="B252"/>
      <c r="C252"/>
      <c r="D252"/>
      <c r="E252"/>
      <c r="F252"/>
      <c r="G252"/>
    </row>
    <row r="253" spans="1:7" ht="14.4" x14ac:dyDescent="0.3">
      <c r="A253"/>
      <c r="B253"/>
      <c r="C253"/>
      <c r="D253"/>
      <c r="E253"/>
      <c r="F253"/>
      <c r="G253"/>
    </row>
    <row r="254" spans="1:7" ht="14.4" x14ac:dyDescent="0.3">
      <c r="A254"/>
      <c r="B254"/>
      <c r="C254"/>
      <c r="D254"/>
      <c r="E254"/>
      <c r="F254"/>
      <c r="G254"/>
    </row>
    <row r="255" spans="1:7" ht="14.4" x14ac:dyDescent="0.3">
      <c r="A255"/>
      <c r="B255"/>
      <c r="C255"/>
      <c r="D255"/>
      <c r="E255"/>
      <c r="F255"/>
      <c r="G255"/>
    </row>
    <row r="256" spans="1:7" ht="14.4" x14ac:dyDescent="0.3">
      <c r="A256"/>
      <c r="B256"/>
      <c r="C256"/>
      <c r="D256"/>
      <c r="E256"/>
      <c r="F256"/>
      <c r="G256"/>
    </row>
    <row r="257" spans="1:7" ht="14.4" x14ac:dyDescent="0.3">
      <c r="A257"/>
      <c r="B257"/>
      <c r="C257"/>
      <c r="D257"/>
      <c r="E257"/>
      <c r="F257"/>
      <c r="G257"/>
    </row>
    <row r="258" spans="1:7" ht="14.4" x14ac:dyDescent="0.3">
      <c r="A258"/>
      <c r="B258"/>
      <c r="C258"/>
      <c r="D258"/>
      <c r="E258"/>
      <c r="F258"/>
      <c r="G258"/>
    </row>
    <row r="259" spans="1:7" ht="14.4" x14ac:dyDescent="0.3">
      <c r="A259"/>
      <c r="B259"/>
      <c r="C259"/>
      <c r="D259"/>
      <c r="E259"/>
      <c r="F259"/>
      <c r="G259"/>
    </row>
    <row r="260" spans="1:7" ht="14.4" x14ac:dyDescent="0.3">
      <c r="A260"/>
      <c r="B260"/>
      <c r="C260"/>
      <c r="D260"/>
      <c r="E260"/>
      <c r="F260"/>
      <c r="G260"/>
    </row>
    <row r="261" spans="1:7" ht="14.4" x14ac:dyDescent="0.3">
      <c r="A261"/>
      <c r="B261"/>
      <c r="C261"/>
      <c r="D261"/>
      <c r="E261"/>
      <c r="F261"/>
      <c r="G261"/>
    </row>
    <row r="262" spans="1:7" ht="14.4" x14ac:dyDescent="0.3">
      <c r="A262"/>
      <c r="B262"/>
      <c r="C262"/>
      <c r="D262"/>
      <c r="E262"/>
      <c r="F262"/>
      <c r="G262"/>
    </row>
    <row r="263" spans="1:7" ht="14.4" x14ac:dyDescent="0.3">
      <c r="A263"/>
      <c r="B263"/>
      <c r="C263"/>
      <c r="D263"/>
      <c r="E263"/>
      <c r="F263"/>
      <c r="G263"/>
    </row>
    <row r="264" spans="1:7" ht="14.4" x14ac:dyDescent="0.3">
      <c r="A264"/>
      <c r="B264"/>
      <c r="C264"/>
      <c r="D264"/>
      <c r="E264"/>
      <c r="F264"/>
      <c r="G264"/>
    </row>
    <row r="265" spans="1:7" ht="14.4" x14ac:dyDescent="0.3">
      <c r="A265"/>
      <c r="B265"/>
      <c r="C265"/>
      <c r="D265"/>
      <c r="E265"/>
      <c r="F265"/>
      <c r="G265"/>
    </row>
    <row r="266" spans="1:7" ht="14.4" x14ac:dyDescent="0.3">
      <c r="A266"/>
      <c r="B266"/>
      <c r="C266"/>
      <c r="D266"/>
      <c r="E266"/>
      <c r="F266"/>
      <c r="G266"/>
    </row>
    <row r="267" spans="1:7" ht="14.4" x14ac:dyDescent="0.3">
      <c r="A267"/>
      <c r="B267"/>
      <c r="C267"/>
      <c r="D267"/>
      <c r="E267"/>
      <c r="F267"/>
      <c r="G267"/>
    </row>
    <row r="268" spans="1:7" ht="14.4" x14ac:dyDescent="0.3">
      <c r="A268"/>
      <c r="B268"/>
      <c r="C268"/>
      <c r="D268"/>
      <c r="E268"/>
      <c r="F268"/>
      <c r="G268"/>
    </row>
    <row r="269" spans="1:7" ht="14.4" x14ac:dyDescent="0.3">
      <c r="A269"/>
      <c r="B269"/>
      <c r="C269"/>
      <c r="D269"/>
      <c r="E269"/>
      <c r="F269"/>
      <c r="G269"/>
    </row>
    <row r="270" spans="1:7" ht="14.4" x14ac:dyDescent="0.3">
      <c r="A270"/>
      <c r="B270"/>
      <c r="C270"/>
      <c r="D270"/>
      <c r="E270"/>
      <c r="F270"/>
      <c r="G270"/>
    </row>
    <row r="271" spans="1:7" ht="14.4" x14ac:dyDescent="0.3">
      <c r="A271"/>
      <c r="B271"/>
      <c r="C271"/>
      <c r="D271"/>
      <c r="E271"/>
      <c r="F271"/>
      <c r="G271"/>
    </row>
    <row r="272" spans="1:7" ht="14.4" x14ac:dyDescent="0.3">
      <c r="A272"/>
      <c r="B272"/>
      <c r="C272"/>
      <c r="D272"/>
      <c r="E272"/>
      <c r="F272"/>
      <c r="G272"/>
    </row>
    <row r="273" spans="1:7" ht="14.4" x14ac:dyDescent="0.3">
      <c r="A273"/>
      <c r="B273"/>
      <c r="C273"/>
      <c r="D273"/>
      <c r="E273"/>
      <c r="F273"/>
      <c r="G273"/>
    </row>
    <row r="274" spans="1:7" ht="14.4" x14ac:dyDescent="0.3">
      <c r="A274"/>
      <c r="B274"/>
      <c r="C274"/>
      <c r="D274"/>
      <c r="E274"/>
      <c r="F274"/>
      <c r="G274"/>
    </row>
    <row r="275" spans="1:7" ht="14.4" x14ac:dyDescent="0.3">
      <c r="A275"/>
      <c r="B275"/>
      <c r="C275"/>
      <c r="D275"/>
      <c r="E275"/>
      <c r="F275"/>
      <c r="G275"/>
    </row>
    <row r="276" spans="1:7" ht="14.4" x14ac:dyDescent="0.3">
      <c r="A276"/>
      <c r="B276"/>
      <c r="C276"/>
      <c r="D276"/>
      <c r="E276"/>
      <c r="F276"/>
      <c r="G276"/>
    </row>
    <row r="277" spans="1:7" ht="14.4" x14ac:dyDescent="0.3">
      <c r="A277"/>
      <c r="B277"/>
      <c r="C277"/>
      <c r="D277"/>
      <c r="E277"/>
      <c r="F277"/>
      <c r="G277"/>
    </row>
    <row r="278" spans="1:7" ht="14.4" x14ac:dyDescent="0.3">
      <c r="A278"/>
      <c r="B278"/>
      <c r="C278"/>
      <c r="D278"/>
      <c r="E278"/>
      <c r="F278"/>
      <c r="G278"/>
    </row>
    <row r="279" spans="1:7" ht="14.4" x14ac:dyDescent="0.3">
      <c r="A279"/>
      <c r="B279"/>
      <c r="C279"/>
      <c r="D279"/>
      <c r="E279"/>
      <c r="F279"/>
      <c r="G279"/>
    </row>
    <row r="280" spans="1:7" ht="14.4" x14ac:dyDescent="0.3">
      <c r="A280"/>
      <c r="B280"/>
      <c r="C280"/>
      <c r="D280"/>
      <c r="E280"/>
      <c r="F280"/>
      <c r="G280"/>
    </row>
    <row r="281" spans="1:7" ht="14.4" x14ac:dyDescent="0.3">
      <c r="A281"/>
      <c r="B281"/>
      <c r="C281"/>
      <c r="D281"/>
      <c r="E281"/>
      <c r="F281"/>
      <c r="G281"/>
    </row>
    <row r="282" spans="1:7" ht="14.4" x14ac:dyDescent="0.3">
      <c r="A282"/>
      <c r="B282"/>
      <c r="C282"/>
      <c r="D282"/>
      <c r="E282"/>
      <c r="F282"/>
      <c r="G282"/>
    </row>
    <row r="283" spans="1:7" ht="14.4" x14ac:dyDescent="0.3">
      <c r="A283"/>
      <c r="B283"/>
      <c r="C283"/>
      <c r="D283"/>
      <c r="E283"/>
      <c r="F283"/>
      <c r="G283"/>
    </row>
    <row r="284" spans="1:7" ht="14.4" x14ac:dyDescent="0.3">
      <c r="A284"/>
      <c r="B284"/>
      <c r="C284"/>
      <c r="D284"/>
      <c r="E284"/>
      <c r="F284"/>
      <c r="G284"/>
    </row>
    <row r="285" spans="1:7" ht="14.4" x14ac:dyDescent="0.3">
      <c r="A285"/>
      <c r="B285"/>
      <c r="C285"/>
      <c r="D285"/>
      <c r="E285"/>
      <c r="F285"/>
      <c r="G285"/>
    </row>
    <row r="286" spans="1:7" ht="14.4" x14ac:dyDescent="0.3">
      <c r="A286"/>
      <c r="B286"/>
      <c r="C286"/>
      <c r="D286"/>
      <c r="E286"/>
      <c r="F286"/>
      <c r="G286"/>
    </row>
    <row r="287" spans="1:7" ht="14.4" x14ac:dyDescent="0.3">
      <c r="A287"/>
      <c r="B287"/>
      <c r="C287"/>
      <c r="D287"/>
      <c r="E287"/>
      <c r="F287"/>
      <c r="G287"/>
    </row>
    <row r="288" spans="1:7" ht="14.4" x14ac:dyDescent="0.3">
      <c r="A288"/>
      <c r="B288"/>
      <c r="C288"/>
      <c r="D288"/>
      <c r="E288"/>
      <c r="F288"/>
      <c r="G288"/>
    </row>
    <row r="289" spans="1:7" ht="14.4" x14ac:dyDescent="0.3">
      <c r="A289"/>
      <c r="B289"/>
      <c r="C289"/>
      <c r="D289"/>
      <c r="E289"/>
      <c r="F289"/>
      <c r="G289"/>
    </row>
    <row r="290" spans="1:7" ht="14.4" x14ac:dyDescent="0.3">
      <c r="A290"/>
      <c r="B290"/>
      <c r="C290"/>
      <c r="D290"/>
      <c r="E290"/>
      <c r="F290"/>
      <c r="G290"/>
    </row>
    <row r="291" spans="1:7" ht="14.4" x14ac:dyDescent="0.3">
      <c r="A291"/>
      <c r="B291"/>
      <c r="C291"/>
      <c r="D291"/>
      <c r="E291"/>
      <c r="F291"/>
      <c r="G291"/>
    </row>
    <row r="292" spans="1:7" ht="14.4" x14ac:dyDescent="0.3">
      <c r="A292"/>
      <c r="B292"/>
      <c r="C292"/>
      <c r="D292"/>
      <c r="E292"/>
      <c r="F292"/>
      <c r="G292"/>
    </row>
    <row r="293" spans="1:7" ht="14.4" x14ac:dyDescent="0.3">
      <c r="A293"/>
      <c r="B293"/>
      <c r="C293"/>
      <c r="D293"/>
      <c r="E293"/>
      <c r="F293"/>
      <c r="G293"/>
    </row>
    <row r="294" spans="1:7" ht="14.4" x14ac:dyDescent="0.3">
      <c r="A294"/>
      <c r="B294"/>
      <c r="C294"/>
      <c r="D294"/>
      <c r="E294"/>
      <c r="F294"/>
      <c r="G294"/>
    </row>
    <row r="295" spans="1:7" ht="14.4" x14ac:dyDescent="0.3">
      <c r="A295"/>
      <c r="B295"/>
      <c r="C295"/>
      <c r="D295"/>
      <c r="E295"/>
      <c r="F295"/>
      <c r="G295"/>
    </row>
    <row r="296" spans="1:7" ht="14.4" x14ac:dyDescent="0.3">
      <c r="A296"/>
      <c r="B296"/>
      <c r="C296"/>
      <c r="D296"/>
      <c r="E296"/>
      <c r="F296"/>
      <c r="G296"/>
    </row>
    <row r="297" spans="1:7" ht="14.4" x14ac:dyDescent="0.3">
      <c r="A297"/>
      <c r="B297"/>
      <c r="C297"/>
      <c r="D297"/>
      <c r="E297"/>
      <c r="F297"/>
      <c r="G297"/>
    </row>
    <row r="298" spans="1:7" ht="14.4" x14ac:dyDescent="0.3">
      <c r="A298"/>
      <c r="B298"/>
      <c r="C298"/>
      <c r="D298"/>
      <c r="E298"/>
      <c r="F298"/>
      <c r="G298"/>
    </row>
    <row r="299" spans="1:7" ht="14.4" x14ac:dyDescent="0.3">
      <c r="A299"/>
      <c r="B299"/>
      <c r="C299"/>
      <c r="D299"/>
      <c r="E299"/>
      <c r="F299"/>
      <c r="G299"/>
    </row>
    <row r="300" spans="1:7" ht="14.4" x14ac:dyDescent="0.3">
      <c r="A300"/>
      <c r="B300"/>
      <c r="C300"/>
      <c r="D300"/>
      <c r="E300"/>
      <c r="F300"/>
      <c r="G300"/>
    </row>
    <row r="301" spans="1:7" ht="14.4" x14ac:dyDescent="0.3">
      <c r="A301"/>
      <c r="B301"/>
      <c r="C301"/>
      <c r="D301"/>
      <c r="E301"/>
      <c r="F301"/>
      <c r="G301"/>
    </row>
    <row r="302" spans="1:7" ht="14.4" x14ac:dyDescent="0.3">
      <c r="A302"/>
      <c r="B302"/>
      <c r="C302"/>
      <c r="D302"/>
      <c r="E302"/>
      <c r="F302"/>
      <c r="G302"/>
    </row>
    <row r="303" spans="1:7" ht="14.4" x14ac:dyDescent="0.3">
      <c r="A303"/>
      <c r="B303"/>
      <c r="C303"/>
      <c r="D303"/>
      <c r="E303"/>
      <c r="F303"/>
      <c r="G303"/>
    </row>
    <row r="304" spans="1:7" ht="14.4" x14ac:dyDescent="0.3">
      <c r="A304"/>
      <c r="B304"/>
      <c r="C304"/>
      <c r="D304"/>
      <c r="E304"/>
      <c r="F304"/>
      <c r="G304"/>
    </row>
    <row r="305" spans="1:7" ht="14.4" x14ac:dyDescent="0.3">
      <c r="A305"/>
      <c r="B305"/>
      <c r="C305"/>
      <c r="D305"/>
      <c r="E305"/>
      <c r="F305"/>
      <c r="G305"/>
    </row>
    <row r="306" spans="1:7" ht="14.4" x14ac:dyDescent="0.3">
      <c r="A306"/>
      <c r="B306"/>
      <c r="C306"/>
      <c r="D306"/>
      <c r="E306"/>
      <c r="F306"/>
      <c r="G306"/>
    </row>
    <row r="307" spans="1:7" ht="14.4" x14ac:dyDescent="0.3">
      <c r="A307"/>
      <c r="B307"/>
      <c r="C307"/>
      <c r="D307"/>
      <c r="E307"/>
      <c r="F307"/>
      <c r="G307"/>
    </row>
    <row r="308" spans="1:7" ht="14.4" x14ac:dyDescent="0.3">
      <c r="A308"/>
      <c r="B308"/>
      <c r="C308"/>
      <c r="D308"/>
      <c r="E308"/>
      <c r="F308"/>
      <c r="G308"/>
    </row>
    <row r="309" spans="1:7" ht="14.4" x14ac:dyDescent="0.3">
      <c r="A309"/>
      <c r="B309"/>
      <c r="C309"/>
      <c r="D309"/>
      <c r="E309"/>
      <c r="F309"/>
      <c r="G309"/>
    </row>
    <row r="310" spans="1:7" ht="14.4" x14ac:dyDescent="0.3">
      <c r="A310"/>
      <c r="B310"/>
      <c r="C310"/>
      <c r="D310"/>
      <c r="E310"/>
      <c r="F310"/>
      <c r="G310"/>
    </row>
    <row r="311" spans="1:7" ht="14.4" x14ac:dyDescent="0.3">
      <c r="A311"/>
      <c r="B311"/>
      <c r="C311"/>
      <c r="D311"/>
      <c r="E311"/>
      <c r="F311"/>
      <c r="G311"/>
    </row>
    <row r="312" spans="1:7" ht="14.4" x14ac:dyDescent="0.3">
      <c r="A312"/>
      <c r="B312"/>
      <c r="C312"/>
      <c r="D312"/>
      <c r="E312"/>
      <c r="F312"/>
      <c r="G312"/>
    </row>
    <row r="313" spans="1:7" ht="14.4" x14ac:dyDescent="0.3">
      <c r="A313"/>
      <c r="B313"/>
      <c r="C313"/>
      <c r="D313"/>
      <c r="E313"/>
      <c r="F313"/>
      <c r="G313"/>
    </row>
    <row r="314" spans="1:7" ht="14.4" x14ac:dyDescent="0.3">
      <c r="A314"/>
      <c r="B314"/>
      <c r="C314"/>
      <c r="D314"/>
      <c r="E314"/>
      <c r="F314"/>
      <c r="G314"/>
    </row>
    <row r="315" spans="1:7" ht="14.4" x14ac:dyDescent="0.3">
      <c r="A315"/>
      <c r="B315"/>
      <c r="C315"/>
      <c r="D315"/>
      <c r="E315"/>
      <c r="F315"/>
      <c r="G315"/>
    </row>
    <row r="316" spans="1:7" ht="14.4" x14ac:dyDescent="0.3">
      <c r="A316"/>
      <c r="B316"/>
      <c r="C316"/>
      <c r="D316"/>
      <c r="E316"/>
      <c r="F316"/>
      <c r="G316"/>
    </row>
    <row r="317" spans="1:7" ht="14.4" x14ac:dyDescent="0.3">
      <c r="A317"/>
      <c r="B317"/>
      <c r="C317"/>
      <c r="D317"/>
      <c r="E317"/>
      <c r="F317"/>
      <c r="G317"/>
    </row>
    <row r="318" spans="1:7" ht="14.4" x14ac:dyDescent="0.3">
      <c r="A318"/>
      <c r="B318"/>
      <c r="C318"/>
      <c r="D318"/>
      <c r="E318"/>
      <c r="F318"/>
      <c r="G318"/>
    </row>
    <row r="319" spans="1:7" ht="14.4" x14ac:dyDescent="0.3">
      <c r="A319"/>
      <c r="B319"/>
      <c r="C319"/>
      <c r="D319"/>
      <c r="E319"/>
      <c r="F319"/>
      <c r="G319"/>
    </row>
    <row r="320" spans="1:7" ht="14.4" x14ac:dyDescent="0.3">
      <c r="A320"/>
      <c r="B320"/>
      <c r="C320"/>
      <c r="D320"/>
      <c r="E320"/>
      <c r="F320"/>
      <c r="G320"/>
    </row>
    <row r="321" spans="1:7" ht="14.4" x14ac:dyDescent="0.3">
      <c r="A321"/>
      <c r="B321"/>
      <c r="C321"/>
      <c r="D321"/>
      <c r="E321"/>
      <c r="F321"/>
      <c r="G321"/>
    </row>
    <row r="322" spans="1:7" ht="14.4" x14ac:dyDescent="0.3">
      <c r="A322"/>
      <c r="B322"/>
      <c r="C322"/>
      <c r="D322"/>
      <c r="E322"/>
      <c r="F322"/>
      <c r="G322"/>
    </row>
    <row r="323" spans="1:7" ht="14.4" x14ac:dyDescent="0.3">
      <c r="A323"/>
      <c r="B323"/>
      <c r="C323"/>
      <c r="D323"/>
      <c r="E323"/>
      <c r="F323"/>
      <c r="G323"/>
    </row>
    <row r="324" spans="1:7" ht="14.4" x14ac:dyDescent="0.3">
      <c r="A324"/>
      <c r="B324"/>
      <c r="C324"/>
      <c r="D324"/>
      <c r="E324"/>
      <c r="F324"/>
      <c r="G324"/>
    </row>
    <row r="325" spans="1:7" ht="14.4" x14ac:dyDescent="0.3">
      <c r="A325"/>
      <c r="B325"/>
      <c r="C325"/>
      <c r="D325"/>
      <c r="E325"/>
      <c r="F325"/>
      <c r="G325"/>
    </row>
    <row r="326" spans="1:7" ht="14.4" x14ac:dyDescent="0.3">
      <c r="A326"/>
      <c r="B326"/>
      <c r="C326"/>
      <c r="D326"/>
      <c r="E326"/>
      <c r="F326"/>
      <c r="G326"/>
    </row>
    <row r="327" spans="1:7" ht="14.4" x14ac:dyDescent="0.3">
      <c r="A327"/>
      <c r="B327"/>
      <c r="C327"/>
      <c r="D327"/>
      <c r="E327"/>
      <c r="F327"/>
      <c r="G327"/>
    </row>
    <row r="328" spans="1:7" ht="14.4" x14ac:dyDescent="0.3">
      <c r="A328"/>
      <c r="B328"/>
      <c r="C328"/>
      <c r="D328"/>
      <c r="E328"/>
      <c r="F328"/>
      <c r="G328"/>
    </row>
    <row r="329" spans="1:7" ht="14.4" x14ac:dyDescent="0.3">
      <c r="A329"/>
      <c r="B329"/>
      <c r="C329"/>
      <c r="D329"/>
      <c r="E329"/>
      <c r="F329"/>
      <c r="G329"/>
    </row>
    <row r="330" spans="1:7" ht="14.4" x14ac:dyDescent="0.3">
      <c r="A330"/>
      <c r="B330"/>
      <c r="C330"/>
      <c r="D330"/>
      <c r="E330"/>
      <c r="F330"/>
      <c r="G330"/>
    </row>
    <row r="331" spans="1:7" ht="14.4" x14ac:dyDescent="0.3">
      <c r="A331"/>
      <c r="B331"/>
      <c r="C331"/>
      <c r="D331"/>
      <c r="E331"/>
      <c r="F331"/>
      <c r="G331"/>
    </row>
    <row r="332" spans="1:7" ht="14.4" x14ac:dyDescent="0.3">
      <c r="A332"/>
      <c r="B332"/>
      <c r="C332"/>
      <c r="D332"/>
      <c r="E332"/>
      <c r="F332"/>
      <c r="G332"/>
    </row>
    <row r="333" spans="1:7" ht="14.4" x14ac:dyDescent="0.3">
      <c r="A333"/>
      <c r="B333"/>
      <c r="C333"/>
      <c r="D333"/>
      <c r="E333"/>
      <c r="F333"/>
      <c r="G333"/>
    </row>
    <row r="334" spans="1:7" ht="14.4" x14ac:dyDescent="0.3">
      <c r="A334"/>
      <c r="B334"/>
      <c r="C334"/>
      <c r="D334"/>
      <c r="E334"/>
      <c r="F334"/>
      <c r="G334"/>
    </row>
    <row r="335" spans="1:7" ht="14.4" x14ac:dyDescent="0.3">
      <c r="A335"/>
      <c r="B335"/>
      <c r="C335"/>
      <c r="D335"/>
      <c r="E335"/>
      <c r="F335"/>
      <c r="G335"/>
    </row>
    <row r="336" spans="1:7" ht="14.4" x14ac:dyDescent="0.3">
      <c r="A336"/>
      <c r="B336"/>
      <c r="C336"/>
      <c r="D336"/>
      <c r="E336"/>
      <c r="F336"/>
      <c r="G336"/>
    </row>
    <row r="337" spans="1:7" ht="14.4" x14ac:dyDescent="0.3">
      <c r="A337"/>
      <c r="B337"/>
      <c r="C337"/>
      <c r="D337"/>
      <c r="E337"/>
      <c r="F337"/>
      <c r="G337"/>
    </row>
    <row r="338" spans="1:7" ht="14.4" x14ac:dyDescent="0.3">
      <c r="A338"/>
      <c r="B338"/>
      <c r="C338"/>
      <c r="D338"/>
      <c r="E338"/>
      <c r="F338"/>
      <c r="G338"/>
    </row>
    <row r="339" spans="1:7" ht="14.4" x14ac:dyDescent="0.3">
      <c r="A339"/>
      <c r="B339"/>
      <c r="C339"/>
      <c r="D339"/>
      <c r="E339"/>
      <c r="F339"/>
      <c r="G339"/>
    </row>
    <row r="340" spans="1:7" ht="14.4" x14ac:dyDescent="0.3">
      <c r="A340"/>
      <c r="B340"/>
      <c r="C340"/>
      <c r="D340"/>
      <c r="E340"/>
      <c r="F340"/>
      <c r="G340"/>
    </row>
    <row r="341" spans="1:7" ht="14.4" x14ac:dyDescent="0.3">
      <c r="A341"/>
      <c r="B341"/>
      <c r="C341"/>
      <c r="D341"/>
      <c r="E341"/>
      <c r="F341"/>
      <c r="G341"/>
    </row>
    <row r="342" spans="1:7" ht="14.4" x14ac:dyDescent="0.3">
      <c r="A342"/>
      <c r="B342"/>
      <c r="C342"/>
      <c r="D342"/>
      <c r="E342"/>
      <c r="F342"/>
      <c r="G342"/>
    </row>
    <row r="343" spans="1:7" ht="14.4" x14ac:dyDescent="0.3">
      <c r="A343"/>
      <c r="B343"/>
      <c r="C343"/>
      <c r="D343"/>
      <c r="E343"/>
      <c r="F343"/>
      <c r="G343"/>
    </row>
    <row r="344" spans="1:7" ht="14.4" x14ac:dyDescent="0.3">
      <c r="A344"/>
      <c r="B344"/>
      <c r="C344"/>
      <c r="D344"/>
      <c r="E344"/>
      <c r="F344"/>
      <c r="G344"/>
    </row>
    <row r="345" spans="1:7" ht="14.4" x14ac:dyDescent="0.3">
      <c r="A345"/>
      <c r="B345"/>
      <c r="C345"/>
      <c r="D345"/>
      <c r="E345"/>
      <c r="F345"/>
      <c r="G345"/>
    </row>
    <row r="346" spans="1:7" ht="14.4" x14ac:dyDescent="0.3">
      <c r="A346"/>
      <c r="B346"/>
      <c r="C346"/>
      <c r="D346"/>
      <c r="E346"/>
      <c r="F346"/>
      <c r="G346"/>
    </row>
    <row r="347" spans="1:7" ht="14.4" x14ac:dyDescent="0.3">
      <c r="A347"/>
      <c r="B347"/>
      <c r="C347"/>
      <c r="D347"/>
      <c r="E347"/>
      <c r="F347"/>
      <c r="G347"/>
    </row>
    <row r="348" spans="1:7" ht="14.4" x14ac:dyDescent="0.3">
      <c r="A348"/>
      <c r="B348"/>
      <c r="C348"/>
      <c r="D348"/>
      <c r="E348"/>
      <c r="F348"/>
      <c r="G348"/>
    </row>
    <row r="349" spans="1:7" ht="14.4" x14ac:dyDescent="0.3">
      <c r="A349"/>
      <c r="B349"/>
      <c r="C349"/>
      <c r="D349"/>
      <c r="E349"/>
      <c r="F349"/>
      <c r="G349"/>
    </row>
    <row r="350" spans="1:7" ht="14.4" x14ac:dyDescent="0.3">
      <c r="A350"/>
      <c r="B350"/>
      <c r="C350"/>
      <c r="D350"/>
      <c r="E350"/>
      <c r="F350"/>
      <c r="G350"/>
    </row>
    <row r="351" spans="1:7" ht="14.4" x14ac:dyDescent="0.3">
      <c r="A351"/>
      <c r="B351"/>
      <c r="C351"/>
      <c r="D351"/>
      <c r="E351"/>
      <c r="F351"/>
      <c r="G351"/>
    </row>
    <row r="352" spans="1:7" ht="14.4" x14ac:dyDescent="0.3">
      <c r="A352"/>
      <c r="B352"/>
      <c r="C352"/>
      <c r="D352"/>
      <c r="E352"/>
      <c r="F352"/>
      <c r="G352"/>
    </row>
    <row r="353" spans="1:7" ht="14.4" x14ac:dyDescent="0.3">
      <c r="A353"/>
      <c r="B353"/>
      <c r="C353"/>
      <c r="D353"/>
      <c r="E353"/>
      <c r="F353"/>
      <c r="G353"/>
    </row>
    <row r="354" spans="1:7" ht="14.4" x14ac:dyDescent="0.3">
      <c r="A354"/>
      <c r="B354"/>
      <c r="C354"/>
      <c r="D354"/>
      <c r="E354"/>
      <c r="F354"/>
      <c r="G354"/>
    </row>
    <row r="355" spans="1:7" ht="14.4" x14ac:dyDescent="0.3">
      <c r="A355"/>
      <c r="B355"/>
      <c r="C355"/>
      <c r="D355"/>
      <c r="E355"/>
      <c r="F355"/>
      <c r="G355"/>
    </row>
    <row r="356" spans="1:7" ht="14.4" x14ac:dyDescent="0.3">
      <c r="A356"/>
      <c r="B356"/>
      <c r="C356"/>
      <c r="D356"/>
      <c r="E356"/>
      <c r="F356"/>
      <c r="G356"/>
    </row>
    <row r="357" spans="1:7" ht="14.4" x14ac:dyDescent="0.3">
      <c r="A357"/>
      <c r="B357"/>
      <c r="C357"/>
      <c r="D357"/>
      <c r="E357"/>
      <c r="F357"/>
      <c r="G357"/>
    </row>
    <row r="358" spans="1:7" ht="14.4" x14ac:dyDescent="0.3">
      <c r="A358"/>
      <c r="B358"/>
      <c r="C358"/>
      <c r="D358"/>
      <c r="E358"/>
      <c r="F358"/>
      <c r="G358"/>
    </row>
    <row r="359" spans="1:7" ht="14.4" x14ac:dyDescent="0.3">
      <c r="A359"/>
      <c r="B359"/>
      <c r="C359"/>
      <c r="D359"/>
      <c r="E359"/>
      <c r="F359"/>
      <c r="G359"/>
    </row>
    <row r="360" spans="1:7" ht="14.4" x14ac:dyDescent="0.3">
      <c r="A360"/>
      <c r="B360"/>
      <c r="C360"/>
      <c r="D360"/>
      <c r="E360"/>
      <c r="F360"/>
      <c r="G360"/>
    </row>
    <row r="361" spans="1:7" ht="14.4" x14ac:dyDescent="0.3">
      <c r="A361"/>
      <c r="B361"/>
      <c r="C361"/>
      <c r="D361"/>
      <c r="E361"/>
      <c r="F361"/>
      <c r="G361"/>
    </row>
    <row r="362" spans="1:7" ht="14.4" x14ac:dyDescent="0.3">
      <c r="A362"/>
      <c r="B362"/>
      <c r="C362"/>
      <c r="D362"/>
      <c r="E362"/>
      <c r="F362"/>
      <c r="G362"/>
    </row>
    <row r="363" spans="1:7" ht="14.4" x14ac:dyDescent="0.3">
      <c r="A363"/>
      <c r="B363"/>
      <c r="C363"/>
      <c r="D363"/>
      <c r="E363"/>
      <c r="F363"/>
      <c r="G363"/>
    </row>
    <row r="364" spans="1:7" ht="14.4" x14ac:dyDescent="0.3">
      <c r="A364"/>
      <c r="B364"/>
      <c r="C364"/>
      <c r="D364"/>
      <c r="E364"/>
      <c r="F364"/>
      <c r="G364"/>
    </row>
    <row r="365" spans="1:7" ht="14.4" x14ac:dyDescent="0.3">
      <c r="A365"/>
      <c r="B365"/>
      <c r="C365"/>
      <c r="D365"/>
      <c r="E365"/>
      <c r="F365"/>
      <c r="G365"/>
    </row>
    <row r="366" spans="1:7" ht="14.4" x14ac:dyDescent="0.3">
      <c r="A366"/>
      <c r="B366"/>
      <c r="C366"/>
      <c r="D366"/>
      <c r="E366"/>
      <c r="F366"/>
      <c r="G366"/>
    </row>
    <row r="367" spans="1:7" ht="14.4" x14ac:dyDescent="0.3">
      <c r="A367"/>
      <c r="B367"/>
      <c r="C367"/>
      <c r="D367"/>
      <c r="E367"/>
      <c r="F367"/>
      <c r="G367"/>
    </row>
    <row r="368" spans="1:7" ht="14.4" x14ac:dyDescent="0.3">
      <c r="A368"/>
      <c r="B368"/>
      <c r="C368"/>
      <c r="D368"/>
      <c r="E368"/>
      <c r="F368"/>
      <c r="G368"/>
    </row>
    <row r="369" spans="1:7" ht="14.4" x14ac:dyDescent="0.3">
      <c r="A369"/>
      <c r="B369"/>
      <c r="C369"/>
      <c r="D369"/>
      <c r="E369"/>
      <c r="F369"/>
      <c r="G369"/>
    </row>
    <row r="370" spans="1:7" ht="14.4" x14ac:dyDescent="0.3">
      <c r="A370"/>
      <c r="B370"/>
      <c r="C370"/>
      <c r="D370"/>
      <c r="E370"/>
      <c r="F370"/>
      <c r="G370"/>
    </row>
    <row r="371" spans="1:7" ht="14.4" x14ac:dyDescent="0.3">
      <c r="A371"/>
      <c r="B371"/>
      <c r="C371"/>
      <c r="D371"/>
      <c r="E371"/>
      <c r="F371"/>
      <c r="G371"/>
    </row>
    <row r="372" spans="1:7" ht="14.4" x14ac:dyDescent="0.3">
      <c r="A372"/>
      <c r="B372"/>
      <c r="C372"/>
      <c r="D372"/>
      <c r="E372"/>
      <c r="F372"/>
      <c r="G372"/>
    </row>
    <row r="373" spans="1:7" ht="14.4" x14ac:dyDescent="0.3">
      <c r="A373"/>
      <c r="B373"/>
      <c r="C373"/>
      <c r="D373"/>
      <c r="E373"/>
      <c r="F373"/>
      <c r="G373"/>
    </row>
    <row r="374" spans="1:7" ht="14.4" x14ac:dyDescent="0.3">
      <c r="A374"/>
      <c r="B374"/>
      <c r="C374"/>
      <c r="D374"/>
      <c r="E374"/>
      <c r="F374"/>
      <c r="G374"/>
    </row>
    <row r="375" spans="1:7" ht="14.4" x14ac:dyDescent="0.3">
      <c r="A375"/>
      <c r="B375"/>
      <c r="C375"/>
      <c r="D375"/>
      <c r="E375"/>
      <c r="F375"/>
      <c r="G375"/>
    </row>
    <row r="376" spans="1:7" ht="14.4" x14ac:dyDescent="0.3">
      <c r="A376"/>
      <c r="B376"/>
      <c r="C376"/>
      <c r="D376"/>
      <c r="E376"/>
      <c r="F376"/>
      <c r="G376"/>
    </row>
    <row r="377" spans="1:7" ht="14.4" x14ac:dyDescent="0.3">
      <c r="A377"/>
      <c r="B377"/>
      <c r="C377"/>
      <c r="D377"/>
      <c r="E377"/>
      <c r="F377"/>
      <c r="G377"/>
    </row>
    <row r="378" spans="1:7" ht="14.4" x14ac:dyDescent="0.3">
      <c r="A378"/>
      <c r="B378"/>
      <c r="C378"/>
      <c r="D378"/>
      <c r="E378"/>
      <c r="F378"/>
      <c r="G378"/>
    </row>
    <row r="379" spans="1:7" ht="14.4" x14ac:dyDescent="0.3">
      <c r="A379"/>
      <c r="B379"/>
      <c r="C379"/>
      <c r="D379"/>
      <c r="E379"/>
      <c r="F379"/>
      <c r="G379"/>
    </row>
    <row r="380" spans="1:7" ht="14.4" x14ac:dyDescent="0.3">
      <c r="A380"/>
      <c r="B380"/>
      <c r="C380"/>
      <c r="D380"/>
      <c r="E380"/>
      <c r="F380"/>
      <c r="G380"/>
    </row>
    <row r="381" spans="1:7" ht="14.4" x14ac:dyDescent="0.3">
      <c r="A381"/>
      <c r="B381"/>
      <c r="C381"/>
      <c r="D381"/>
      <c r="E381"/>
      <c r="F381"/>
      <c r="G381"/>
    </row>
    <row r="382" spans="1:7" ht="14.4" x14ac:dyDescent="0.3">
      <c r="A382"/>
      <c r="B382"/>
      <c r="C382"/>
      <c r="D382"/>
      <c r="E382"/>
      <c r="F382"/>
      <c r="G382"/>
    </row>
    <row r="383" spans="1:7" ht="14.4" x14ac:dyDescent="0.3">
      <c r="A383"/>
      <c r="B383"/>
      <c r="C383"/>
      <c r="D383"/>
      <c r="E383"/>
      <c r="F383"/>
      <c r="G383"/>
    </row>
    <row r="384" spans="1:7" ht="14.4" x14ac:dyDescent="0.3">
      <c r="A384"/>
      <c r="B384"/>
      <c r="C384"/>
      <c r="D384"/>
      <c r="E384"/>
      <c r="F384"/>
      <c r="G384"/>
    </row>
    <row r="385" spans="1:7" ht="14.4" x14ac:dyDescent="0.3">
      <c r="A385"/>
      <c r="B385"/>
      <c r="C385"/>
      <c r="D385"/>
      <c r="E385"/>
      <c r="F385"/>
      <c r="G385"/>
    </row>
    <row r="386" spans="1:7" ht="14.4" x14ac:dyDescent="0.3">
      <c r="A386"/>
      <c r="B386"/>
      <c r="C386"/>
      <c r="D386"/>
      <c r="E386"/>
      <c r="F386"/>
      <c r="G386"/>
    </row>
    <row r="387" spans="1:7" ht="14.4" x14ac:dyDescent="0.3">
      <c r="A387"/>
      <c r="B387"/>
      <c r="C387"/>
      <c r="D387"/>
      <c r="E387"/>
      <c r="F387"/>
      <c r="G387"/>
    </row>
    <row r="388" spans="1:7" ht="14.4" x14ac:dyDescent="0.3">
      <c r="A388"/>
      <c r="B388"/>
      <c r="C388"/>
      <c r="D388"/>
      <c r="E388"/>
      <c r="F388"/>
      <c r="G388"/>
    </row>
    <row r="389" spans="1:7" ht="14.4" x14ac:dyDescent="0.3">
      <c r="A389"/>
      <c r="B389"/>
      <c r="C389"/>
      <c r="D389"/>
      <c r="E389"/>
      <c r="F389"/>
      <c r="G389"/>
    </row>
    <row r="390" spans="1:7" ht="14.4" x14ac:dyDescent="0.3">
      <c r="A390"/>
      <c r="B390"/>
      <c r="C390"/>
      <c r="D390"/>
      <c r="E390"/>
      <c r="F390"/>
      <c r="G390"/>
    </row>
    <row r="391" spans="1:7" ht="14.4" x14ac:dyDescent="0.3">
      <c r="A391"/>
      <c r="B391"/>
      <c r="C391"/>
      <c r="D391"/>
      <c r="E391"/>
      <c r="F391"/>
      <c r="G391"/>
    </row>
    <row r="392" spans="1:7" ht="14.4" x14ac:dyDescent="0.3">
      <c r="A392"/>
      <c r="B392"/>
      <c r="C392"/>
      <c r="D392"/>
      <c r="E392"/>
      <c r="F392"/>
      <c r="G392"/>
    </row>
    <row r="393" spans="1:7" ht="14.4" x14ac:dyDescent="0.3">
      <c r="A393"/>
      <c r="B393"/>
      <c r="C393"/>
      <c r="D393"/>
      <c r="E393"/>
      <c r="F393"/>
      <c r="G393"/>
    </row>
    <row r="394" spans="1:7" ht="14.4" x14ac:dyDescent="0.3">
      <c r="A394"/>
      <c r="B394"/>
      <c r="C394"/>
      <c r="D394"/>
      <c r="E394"/>
      <c r="F394"/>
      <c r="G394"/>
    </row>
    <row r="395" spans="1:7" ht="14.4" x14ac:dyDescent="0.3">
      <c r="A395"/>
      <c r="B395"/>
      <c r="C395"/>
      <c r="D395"/>
      <c r="E395"/>
      <c r="F395"/>
      <c r="G395"/>
    </row>
    <row r="396" spans="1:7" ht="14.4" x14ac:dyDescent="0.3">
      <c r="A396"/>
      <c r="B396"/>
      <c r="C396"/>
      <c r="D396"/>
      <c r="E396"/>
      <c r="F396"/>
      <c r="G396"/>
    </row>
    <row r="397" spans="1:7" ht="14.4" x14ac:dyDescent="0.3">
      <c r="A397"/>
      <c r="B397"/>
      <c r="C397"/>
      <c r="D397"/>
      <c r="E397"/>
      <c r="F397"/>
      <c r="G397"/>
    </row>
    <row r="398" spans="1:7" ht="14.4" x14ac:dyDescent="0.3">
      <c r="A398"/>
      <c r="B398"/>
      <c r="C398"/>
      <c r="D398"/>
      <c r="E398"/>
      <c r="F398"/>
      <c r="G398"/>
    </row>
    <row r="399" spans="1:7" ht="14.4" x14ac:dyDescent="0.3">
      <c r="A399"/>
      <c r="B399"/>
      <c r="C399"/>
      <c r="D399"/>
      <c r="E399"/>
      <c r="F399"/>
      <c r="G399"/>
    </row>
    <row r="400" spans="1:7" ht="14.4" x14ac:dyDescent="0.3">
      <c r="A400"/>
      <c r="B400"/>
      <c r="C400"/>
      <c r="D400"/>
      <c r="E400"/>
      <c r="F400"/>
      <c r="G400"/>
    </row>
    <row r="401" spans="1:7" ht="14.4" x14ac:dyDescent="0.3">
      <c r="A401"/>
      <c r="B401"/>
      <c r="C401"/>
      <c r="D401"/>
      <c r="E401"/>
      <c r="F401"/>
      <c r="G401"/>
    </row>
    <row r="402" spans="1:7" ht="14.4" x14ac:dyDescent="0.3">
      <c r="A402"/>
      <c r="B402"/>
      <c r="C402"/>
      <c r="D402"/>
      <c r="E402"/>
      <c r="F402"/>
      <c r="G402"/>
    </row>
    <row r="403" spans="1:7" ht="14.4" x14ac:dyDescent="0.3">
      <c r="A403"/>
      <c r="B403"/>
      <c r="C403"/>
      <c r="D403"/>
      <c r="E403"/>
      <c r="F403"/>
      <c r="G403"/>
    </row>
    <row r="404" spans="1:7" ht="14.4" x14ac:dyDescent="0.3">
      <c r="A404"/>
      <c r="B404"/>
      <c r="C404"/>
      <c r="D404"/>
      <c r="E404"/>
      <c r="F404"/>
      <c r="G404"/>
    </row>
    <row r="405" spans="1:7" ht="14.4" x14ac:dyDescent="0.3">
      <c r="A405"/>
      <c r="B405"/>
      <c r="C405"/>
      <c r="D405"/>
      <c r="E405"/>
      <c r="F405"/>
      <c r="G405"/>
    </row>
    <row r="406" spans="1:7" ht="14.4" x14ac:dyDescent="0.3">
      <c r="A406"/>
      <c r="B406"/>
      <c r="C406"/>
      <c r="D406"/>
      <c r="E406"/>
      <c r="F406"/>
      <c r="G406"/>
    </row>
    <row r="407" spans="1:7" ht="14.4" x14ac:dyDescent="0.3">
      <c r="A407"/>
      <c r="B407"/>
      <c r="C407"/>
      <c r="D407"/>
      <c r="E407"/>
      <c r="F407"/>
      <c r="G407"/>
    </row>
    <row r="408" spans="1:7" ht="14.4" x14ac:dyDescent="0.3">
      <c r="A408"/>
      <c r="B408"/>
      <c r="C408"/>
      <c r="D408"/>
      <c r="E408"/>
      <c r="F408"/>
      <c r="G408"/>
    </row>
    <row r="409" spans="1:7" ht="14.4" x14ac:dyDescent="0.3">
      <c r="A409"/>
      <c r="B409"/>
      <c r="C409"/>
      <c r="D409"/>
      <c r="E409"/>
      <c r="F409"/>
      <c r="G409"/>
    </row>
    <row r="410" spans="1:7" ht="14.4" x14ac:dyDescent="0.3">
      <c r="A410"/>
      <c r="B410"/>
      <c r="C410"/>
      <c r="D410"/>
      <c r="E410"/>
      <c r="F410"/>
      <c r="G410"/>
    </row>
    <row r="411" spans="1:7" ht="14.4" x14ac:dyDescent="0.3">
      <c r="A411"/>
      <c r="B411"/>
      <c r="C411"/>
      <c r="D411"/>
      <c r="E411"/>
      <c r="F411"/>
      <c r="G411"/>
    </row>
    <row r="412" spans="1:7" ht="14.4" x14ac:dyDescent="0.3">
      <c r="A412"/>
      <c r="B412"/>
      <c r="C412"/>
      <c r="D412"/>
      <c r="E412"/>
      <c r="F412"/>
      <c r="G412"/>
    </row>
    <row r="413" spans="1:7" ht="14.4" x14ac:dyDescent="0.3">
      <c r="A413"/>
      <c r="B413"/>
      <c r="C413"/>
      <c r="D413"/>
      <c r="E413"/>
      <c r="F413"/>
      <c r="G413"/>
    </row>
    <row r="414" spans="1:7" ht="14.4" x14ac:dyDescent="0.3">
      <c r="A414"/>
      <c r="B414"/>
      <c r="C414"/>
      <c r="D414"/>
      <c r="E414"/>
      <c r="F414"/>
      <c r="G414"/>
    </row>
    <row r="415" spans="1:7" ht="14.4" x14ac:dyDescent="0.3">
      <c r="A415"/>
      <c r="B415"/>
      <c r="C415"/>
      <c r="D415"/>
      <c r="E415"/>
      <c r="F415"/>
      <c r="G415"/>
    </row>
    <row r="416" spans="1:7" ht="14.4" x14ac:dyDescent="0.3">
      <c r="A416"/>
      <c r="B416"/>
      <c r="C416"/>
      <c r="D416"/>
      <c r="E416"/>
      <c r="F416"/>
      <c r="G416"/>
    </row>
    <row r="417" spans="1:7" ht="14.4" x14ac:dyDescent="0.3">
      <c r="A417"/>
      <c r="B417"/>
      <c r="C417"/>
      <c r="D417"/>
      <c r="E417"/>
      <c r="F417"/>
      <c r="G417"/>
    </row>
    <row r="418" spans="1:7" ht="14.4" x14ac:dyDescent="0.3">
      <c r="A418"/>
      <c r="B418"/>
      <c r="C418"/>
      <c r="D418"/>
      <c r="E418"/>
      <c r="F418"/>
      <c r="G418"/>
    </row>
    <row r="419" spans="1:7" ht="14.4" x14ac:dyDescent="0.3">
      <c r="A419"/>
      <c r="B419"/>
      <c r="C419"/>
      <c r="D419"/>
      <c r="E419"/>
      <c r="F419"/>
      <c r="G419"/>
    </row>
    <row r="420" spans="1:7" ht="14.4" x14ac:dyDescent="0.3">
      <c r="A420"/>
      <c r="B420"/>
      <c r="C420"/>
      <c r="D420"/>
      <c r="E420"/>
      <c r="F420"/>
      <c r="G420"/>
    </row>
    <row r="421" spans="1:7" ht="14.4" x14ac:dyDescent="0.3">
      <c r="A421"/>
      <c r="B421"/>
      <c r="C421"/>
      <c r="D421"/>
      <c r="E421"/>
      <c r="F421"/>
      <c r="G421"/>
    </row>
    <row r="422" spans="1:7" ht="14.4" x14ac:dyDescent="0.3">
      <c r="A422"/>
      <c r="B422"/>
      <c r="C422"/>
      <c r="D422"/>
      <c r="E422"/>
      <c r="F422"/>
      <c r="G422"/>
    </row>
    <row r="423" spans="1:7" ht="14.4" x14ac:dyDescent="0.3">
      <c r="A423"/>
      <c r="B423"/>
      <c r="C423"/>
      <c r="D423"/>
      <c r="E423"/>
      <c r="F423"/>
      <c r="G423"/>
    </row>
    <row r="424" spans="1:7" ht="14.4" x14ac:dyDescent="0.3">
      <c r="A424"/>
      <c r="B424"/>
      <c r="C424"/>
      <c r="D424"/>
      <c r="E424"/>
      <c r="F424"/>
      <c r="G424"/>
    </row>
    <row r="425" spans="1:7" ht="14.4" x14ac:dyDescent="0.3">
      <c r="A425"/>
      <c r="B425"/>
      <c r="C425"/>
      <c r="D425"/>
      <c r="E425"/>
      <c r="F425"/>
      <c r="G425"/>
    </row>
    <row r="426" spans="1:7" ht="14.4" x14ac:dyDescent="0.3">
      <c r="A426"/>
      <c r="B426"/>
      <c r="C426"/>
      <c r="D426"/>
      <c r="E426"/>
      <c r="F426"/>
      <c r="G426"/>
    </row>
    <row r="427" spans="1:7" ht="14.4" x14ac:dyDescent="0.3">
      <c r="A427"/>
      <c r="B427"/>
      <c r="C427"/>
      <c r="D427"/>
      <c r="E427"/>
      <c r="F427"/>
      <c r="G427"/>
    </row>
    <row r="428" spans="1:7" ht="14.4" x14ac:dyDescent="0.3">
      <c r="A428"/>
      <c r="B428"/>
      <c r="C428"/>
      <c r="D428"/>
      <c r="E428"/>
      <c r="F428"/>
      <c r="G428"/>
    </row>
    <row r="429" spans="1:7" ht="14.4" x14ac:dyDescent="0.3">
      <c r="A429"/>
      <c r="B429"/>
      <c r="C429"/>
      <c r="D429"/>
      <c r="E429"/>
      <c r="F429"/>
      <c r="G429"/>
    </row>
    <row r="430" spans="1:7" ht="14.4" x14ac:dyDescent="0.3">
      <c r="A430"/>
      <c r="B430"/>
      <c r="C430"/>
      <c r="D430"/>
      <c r="E430"/>
      <c r="F430"/>
      <c r="G430"/>
    </row>
    <row r="431" spans="1:7" ht="14.4" x14ac:dyDescent="0.3">
      <c r="A431"/>
      <c r="B431"/>
      <c r="C431"/>
      <c r="D431"/>
      <c r="E431"/>
      <c r="F431"/>
      <c r="G431"/>
    </row>
    <row r="432" spans="1:7" ht="14.4" x14ac:dyDescent="0.3">
      <c r="A432"/>
      <c r="B432"/>
      <c r="C432"/>
      <c r="D432"/>
      <c r="E432"/>
      <c r="F432"/>
      <c r="G432"/>
    </row>
    <row r="433" spans="1:7" ht="14.4" x14ac:dyDescent="0.3">
      <c r="A433"/>
      <c r="B433"/>
      <c r="C433"/>
      <c r="D433"/>
      <c r="E433"/>
      <c r="F433"/>
      <c r="G433"/>
    </row>
    <row r="434" spans="1:7" ht="14.4" x14ac:dyDescent="0.3">
      <c r="A434"/>
      <c r="B434"/>
      <c r="C434"/>
      <c r="D434"/>
      <c r="E434"/>
      <c r="F434"/>
      <c r="G434"/>
    </row>
    <row r="435" spans="1:7" ht="14.4" x14ac:dyDescent="0.3">
      <c r="A435"/>
      <c r="B435"/>
      <c r="C435"/>
      <c r="D435"/>
      <c r="E435"/>
      <c r="F435"/>
      <c r="G435"/>
    </row>
    <row r="436" spans="1:7" ht="14.4" x14ac:dyDescent="0.3">
      <c r="A436"/>
      <c r="B436"/>
      <c r="C436"/>
      <c r="D436"/>
      <c r="E436"/>
      <c r="F436"/>
      <c r="G436"/>
    </row>
    <row r="437" spans="1:7" ht="14.4" x14ac:dyDescent="0.3">
      <c r="A437"/>
      <c r="B437"/>
      <c r="C437"/>
      <c r="D437"/>
      <c r="E437"/>
      <c r="F437"/>
      <c r="G437"/>
    </row>
    <row r="438" spans="1:7" ht="14.4" x14ac:dyDescent="0.3">
      <c r="A438"/>
      <c r="B438"/>
      <c r="C438"/>
      <c r="D438"/>
      <c r="E438"/>
      <c r="F438"/>
      <c r="G438"/>
    </row>
    <row r="439" spans="1:7" ht="14.4" x14ac:dyDescent="0.3">
      <c r="A439"/>
      <c r="B439"/>
      <c r="C439"/>
      <c r="D439"/>
      <c r="E439"/>
      <c r="F439"/>
      <c r="G439"/>
    </row>
    <row r="440" spans="1:7" ht="14.4" x14ac:dyDescent="0.3">
      <c r="A440"/>
      <c r="B440"/>
      <c r="C440"/>
      <c r="D440"/>
      <c r="E440"/>
      <c r="F440"/>
      <c r="G440"/>
    </row>
    <row r="441" spans="1:7" ht="14.4" x14ac:dyDescent="0.3">
      <c r="A441"/>
      <c r="B441"/>
      <c r="C441"/>
      <c r="D441"/>
      <c r="E441"/>
      <c r="F441"/>
      <c r="G441"/>
    </row>
    <row r="442" spans="1:7" ht="14.4" x14ac:dyDescent="0.3">
      <c r="A442"/>
      <c r="B442"/>
      <c r="C442"/>
      <c r="D442"/>
      <c r="E442"/>
      <c r="F442"/>
      <c r="G442"/>
    </row>
    <row r="443" spans="1:7" ht="14.4" x14ac:dyDescent="0.3">
      <c r="A443"/>
      <c r="B443"/>
      <c r="C443"/>
      <c r="D443"/>
      <c r="E443"/>
      <c r="F443"/>
      <c r="G443"/>
    </row>
    <row r="444" spans="1:7" ht="14.4" x14ac:dyDescent="0.3">
      <c r="A444"/>
      <c r="B444"/>
      <c r="C444"/>
      <c r="D444"/>
      <c r="E444"/>
      <c r="F444"/>
      <c r="G444"/>
    </row>
    <row r="445" spans="1:7" ht="14.4" x14ac:dyDescent="0.3">
      <c r="A445"/>
      <c r="B445"/>
      <c r="C445"/>
      <c r="D445"/>
      <c r="E445"/>
      <c r="F445"/>
      <c r="G445"/>
    </row>
    <row r="446" spans="1:7" ht="14.4" x14ac:dyDescent="0.3">
      <c r="A446"/>
      <c r="B446"/>
      <c r="C446"/>
      <c r="D446"/>
      <c r="E446"/>
      <c r="F446"/>
      <c r="G446"/>
    </row>
    <row r="447" spans="1:7" ht="14.4" x14ac:dyDescent="0.3">
      <c r="A447"/>
      <c r="B447"/>
      <c r="C447"/>
      <c r="D447"/>
      <c r="E447"/>
      <c r="F447"/>
      <c r="G447"/>
    </row>
    <row r="448" spans="1:7" ht="14.4" x14ac:dyDescent="0.3">
      <c r="A448"/>
      <c r="B448"/>
      <c r="C448"/>
      <c r="D448"/>
      <c r="E448"/>
      <c r="F448"/>
      <c r="G448"/>
    </row>
    <row r="449" spans="1:7" ht="14.4" x14ac:dyDescent="0.3">
      <c r="A449"/>
      <c r="B449"/>
      <c r="C449"/>
      <c r="D449"/>
      <c r="E449"/>
      <c r="F449"/>
      <c r="G449"/>
    </row>
    <row r="450" spans="1:7" ht="14.4" x14ac:dyDescent="0.3">
      <c r="A450"/>
      <c r="B450"/>
      <c r="C450"/>
      <c r="D450"/>
      <c r="E450"/>
      <c r="F450"/>
      <c r="G450"/>
    </row>
    <row r="451" spans="1:7" ht="14.4" x14ac:dyDescent="0.3">
      <c r="A451"/>
      <c r="B451"/>
      <c r="C451"/>
      <c r="D451"/>
      <c r="E451"/>
      <c r="F451"/>
      <c r="G451"/>
    </row>
    <row r="452" spans="1:7" ht="14.4" x14ac:dyDescent="0.3">
      <c r="A452"/>
      <c r="B452"/>
      <c r="C452"/>
      <c r="D452"/>
      <c r="E452"/>
      <c r="F452"/>
      <c r="G452"/>
    </row>
    <row r="453" spans="1:7" ht="14.4" x14ac:dyDescent="0.3">
      <c r="A453"/>
      <c r="B453"/>
      <c r="C453"/>
      <c r="D453"/>
      <c r="E453"/>
      <c r="F453"/>
      <c r="G453"/>
    </row>
    <row r="454" spans="1:7" ht="14.4" x14ac:dyDescent="0.3">
      <c r="A454"/>
      <c r="B454"/>
      <c r="C454"/>
      <c r="D454"/>
      <c r="E454"/>
      <c r="F454"/>
      <c r="G454"/>
    </row>
    <row r="455" spans="1:7" ht="14.4" x14ac:dyDescent="0.3">
      <c r="A455"/>
      <c r="B455"/>
      <c r="C455"/>
      <c r="D455"/>
      <c r="E455"/>
      <c r="F455"/>
      <c r="G455"/>
    </row>
    <row r="456" spans="1:7" ht="14.4" x14ac:dyDescent="0.3">
      <c r="A456"/>
      <c r="B456"/>
      <c r="C456"/>
      <c r="D456"/>
      <c r="E456"/>
      <c r="F456"/>
      <c r="G456"/>
    </row>
    <row r="457" spans="1:7" ht="14.4" x14ac:dyDescent="0.3">
      <c r="A457"/>
      <c r="B457"/>
      <c r="C457"/>
      <c r="D457"/>
      <c r="E457"/>
      <c r="F457"/>
      <c r="G457"/>
    </row>
    <row r="458" spans="1:7" ht="14.4" x14ac:dyDescent="0.3">
      <c r="A458"/>
      <c r="B458"/>
      <c r="C458"/>
      <c r="D458"/>
      <c r="E458"/>
      <c r="F458"/>
      <c r="G458"/>
    </row>
    <row r="459" spans="1:7" ht="14.4" x14ac:dyDescent="0.3">
      <c r="A459"/>
      <c r="B459"/>
      <c r="C459"/>
      <c r="D459"/>
      <c r="E459"/>
      <c r="F459"/>
      <c r="G459"/>
    </row>
    <row r="460" spans="1:7" ht="14.4" x14ac:dyDescent="0.3">
      <c r="A460"/>
      <c r="B460"/>
      <c r="C460"/>
      <c r="D460"/>
      <c r="E460"/>
      <c r="F460"/>
      <c r="G460"/>
    </row>
    <row r="461" spans="1:7" ht="14.4" x14ac:dyDescent="0.3">
      <c r="A461"/>
      <c r="B461"/>
      <c r="C461"/>
      <c r="D461"/>
      <c r="E461"/>
      <c r="F461"/>
      <c r="G461"/>
    </row>
    <row r="462" spans="1:7" ht="14.4" x14ac:dyDescent="0.3">
      <c r="A462"/>
      <c r="B462"/>
      <c r="C462"/>
      <c r="D462"/>
      <c r="E462"/>
      <c r="F462"/>
      <c r="G462"/>
    </row>
    <row r="463" spans="1:7" ht="14.4" x14ac:dyDescent="0.3">
      <c r="A463"/>
      <c r="B463"/>
      <c r="C463"/>
      <c r="D463"/>
      <c r="E463"/>
      <c r="F463"/>
      <c r="G463"/>
    </row>
    <row r="464" spans="1:7" ht="14.4" x14ac:dyDescent="0.3">
      <c r="A464"/>
      <c r="B464"/>
      <c r="C464"/>
      <c r="D464"/>
      <c r="E464"/>
      <c r="F464"/>
      <c r="G464"/>
    </row>
    <row r="465" spans="1:7" ht="14.4" x14ac:dyDescent="0.3">
      <c r="A465"/>
      <c r="B465"/>
      <c r="C465"/>
      <c r="D465"/>
      <c r="E465"/>
      <c r="F465"/>
      <c r="G465"/>
    </row>
    <row r="466" spans="1:7" ht="14.4" x14ac:dyDescent="0.3">
      <c r="A466"/>
      <c r="B466"/>
      <c r="C466"/>
      <c r="D466"/>
      <c r="E466"/>
      <c r="F466"/>
      <c r="G466"/>
    </row>
    <row r="467" spans="1:7" ht="14.4" x14ac:dyDescent="0.3">
      <c r="A467"/>
      <c r="B467"/>
      <c r="C467"/>
      <c r="D467"/>
      <c r="E467"/>
      <c r="F467"/>
      <c r="G467"/>
    </row>
    <row r="468" spans="1:7" ht="14.4" x14ac:dyDescent="0.3">
      <c r="A468"/>
      <c r="B468"/>
      <c r="C468"/>
      <c r="D468"/>
      <c r="E468"/>
      <c r="F468"/>
      <c r="G468"/>
    </row>
    <row r="469" spans="1:7" ht="14.4" x14ac:dyDescent="0.3">
      <c r="A469"/>
      <c r="B469"/>
      <c r="C469"/>
      <c r="D469"/>
      <c r="E469"/>
      <c r="F469"/>
      <c r="G469"/>
    </row>
    <row r="470" spans="1:7" ht="14.4" x14ac:dyDescent="0.3">
      <c r="A470"/>
      <c r="B470"/>
      <c r="C470"/>
      <c r="D470"/>
      <c r="E470"/>
      <c r="F470"/>
      <c r="G470"/>
    </row>
    <row r="471" spans="1:7" ht="14.4" x14ac:dyDescent="0.3">
      <c r="A471"/>
      <c r="B471"/>
      <c r="C471"/>
      <c r="D471"/>
      <c r="E471"/>
      <c r="F471"/>
      <c r="G471"/>
    </row>
    <row r="472" spans="1:7" ht="14.4" x14ac:dyDescent="0.3">
      <c r="A472"/>
      <c r="B472"/>
      <c r="C472"/>
      <c r="D472"/>
      <c r="E472"/>
      <c r="F472"/>
      <c r="G472"/>
    </row>
    <row r="473" spans="1:7" ht="14.4" x14ac:dyDescent="0.3">
      <c r="A473"/>
      <c r="B473"/>
      <c r="C473"/>
      <c r="D473"/>
      <c r="E473"/>
      <c r="F473"/>
      <c r="G473"/>
    </row>
    <row r="474" spans="1:7" ht="14.4" x14ac:dyDescent="0.3">
      <c r="A474"/>
      <c r="B474"/>
      <c r="C474"/>
      <c r="D474"/>
      <c r="E474"/>
      <c r="F474"/>
      <c r="G474"/>
    </row>
    <row r="475" spans="1:7" ht="14.4" x14ac:dyDescent="0.3">
      <c r="A475"/>
      <c r="B475"/>
      <c r="C475"/>
      <c r="D475"/>
      <c r="E475"/>
      <c r="F475"/>
      <c r="G475"/>
    </row>
    <row r="476" spans="1:7" ht="14.4" x14ac:dyDescent="0.3">
      <c r="A476"/>
      <c r="B476"/>
      <c r="C476"/>
      <c r="D476"/>
      <c r="E476"/>
      <c r="F476"/>
      <c r="G476"/>
    </row>
    <row r="477" spans="1:7" ht="14.4" x14ac:dyDescent="0.3">
      <c r="A477"/>
      <c r="B477"/>
      <c r="C477"/>
      <c r="D477"/>
      <c r="E477"/>
      <c r="F477"/>
      <c r="G477"/>
    </row>
    <row r="478" spans="1:7" ht="14.4" x14ac:dyDescent="0.3">
      <c r="A478"/>
      <c r="B478"/>
      <c r="C478"/>
      <c r="D478"/>
      <c r="E478"/>
      <c r="F478"/>
      <c r="G478"/>
    </row>
    <row r="479" spans="1:7" ht="14.4" x14ac:dyDescent="0.3">
      <c r="A479"/>
      <c r="B479"/>
      <c r="C479"/>
      <c r="D479"/>
      <c r="E479"/>
      <c r="F479"/>
      <c r="G479"/>
    </row>
    <row r="480" spans="1:7" ht="14.4" x14ac:dyDescent="0.3">
      <c r="A480"/>
      <c r="B480"/>
      <c r="C480"/>
      <c r="D480"/>
      <c r="E480"/>
      <c r="F480"/>
      <c r="G480"/>
    </row>
    <row r="481" spans="1:7" ht="14.4" x14ac:dyDescent="0.3">
      <c r="A481"/>
      <c r="B481"/>
      <c r="C481"/>
      <c r="D481"/>
      <c r="E481"/>
      <c r="F481"/>
      <c r="G481"/>
    </row>
    <row r="482" spans="1:7" ht="14.4" x14ac:dyDescent="0.3">
      <c r="A482"/>
      <c r="B482"/>
      <c r="C482"/>
      <c r="D482"/>
      <c r="E482"/>
      <c r="F482"/>
      <c r="G482"/>
    </row>
    <row r="483" spans="1:7" ht="14.4" x14ac:dyDescent="0.3">
      <c r="A483"/>
      <c r="B483"/>
      <c r="C483"/>
      <c r="D483"/>
      <c r="E483"/>
      <c r="F483"/>
      <c r="G483"/>
    </row>
    <row r="484" spans="1:7" ht="14.4" x14ac:dyDescent="0.3">
      <c r="A484"/>
      <c r="B484"/>
      <c r="C484"/>
      <c r="D484"/>
      <c r="E484"/>
      <c r="F484"/>
      <c r="G484"/>
    </row>
    <row r="485" spans="1:7" ht="14.4" x14ac:dyDescent="0.3">
      <c r="A485"/>
      <c r="B485"/>
      <c r="C485"/>
      <c r="D485"/>
      <c r="E485"/>
      <c r="F485"/>
      <c r="G485"/>
    </row>
    <row r="486" spans="1:7" ht="14.4" x14ac:dyDescent="0.3">
      <c r="A486"/>
      <c r="B486"/>
      <c r="C486"/>
      <c r="D486"/>
      <c r="E486"/>
      <c r="F486"/>
      <c r="G486"/>
    </row>
    <row r="487" spans="1:7" ht="14.4" x14ac:dyDescent="0.3">
      <c r="A487"/>
      <c r="B487"/>
      <c r="C487"/>
      <c r="D487"/>
      <c r="E487"/>
      <c r="F487"/>
      <c r="G487"/>
    </row>
    <row r="488" spans="1:7" ht="14.4" x14ac:dyDescent="0.3">
      <c r="A488"/>
      <c r="B488"/>
      <c r="C488"/>
      <c r="D488"/>
      <c r="E488"/>
      <c r="F488"/>
      <c r="G488"/>
    </row>
    <row r="489" spans="1:7" ht="14.4" x14ac:dyDescent="0.3">
      <c r="A489"/>
      <c r="B489"/>
      <c r="C489"/>
      <c r="D489"/>
      <c r="E489"/>
      <c r="F489"/>
      <c r="G489"/>
    </row>
    <row r="490" spans="1:7" ht="14.4" x14ac:dyDescent="0.3">
      <c r="A490"/>
      <c r="B490"/>
      <c r="C490"/>
      <c r="D490"/>
      <c r="E490"/>
      <c r="F490"/>
      <c r="G490"/>
    </row>
    <row r="491" spans="1:7" ht="14.4" x14ac:dyDescent="0.3">
      <c r="A491"/>
      <c r="B491"/>
      <c r="C491"/>
      <c r="D491"/>
      <c r="E491"/>
      <c r="F491"/>
      <c r="G491"/>
    </row>
    <row r="492" spans="1:7" ht="14.4" x14ac:dyDescent="0.3">
      <c r="A492"/>
      <c r="B492"/>
      <c r="C492"/>
      <c r="D492"/>
      <c r="E492"/>
      <c r="F492"/>
      <c r="G492"/>
    </row>
    <row r="493" spans="1:7" ht="14.4" x14ac:dyDescent="0.3">
      <c r="A493"/>
      <c r="B493"/>
      <c r="C493"/>
      <c r="D493"/>
      <c r="E493"/>
      <c r="F493"/>
      <c r="G493"/>
    </row>
    <row r="494" spans="1:7" ht="14.4" x14ac:dyDescent="0.3">
      <c r="A494"/>
      <c r="B494"/>
      <c r="C494"/>
      <c r="D494"/>
      <c r="E494"/>
      <c r="F494"/>
      <c r="G494"/>
    </row>
    <row r="495" spans="1:7" ht="14.4" x14ac:dyDescent="0.3">
      <c r="A495"/>
      <c r="B495"/>
      <c r="C495"/>
      <c r="D495"/>
      <c r="E495"/>
      <c r="F495"/>
      <c r="G495"/>
    </row>
    <row r="496" spans="1:7" ht="14.4" x14ac:dyDescent="0.3">
      <c r="A496"/>
      <c r="B496"/>
      <c r="C496"/>
      <c r="D496"/>
      <c r="E496"/>
      <c r="F496"/>
      <c r="G496"/>
    </row>
    <row r="497" spans="1:7" ht="14.4" x14ac:dyDescent="0.3">
      <c r="A497"/>
      <c r="B497"/>
      <c r="C497"/>
      <c r="D497"/>
      <c r="E497"/>
      <c r="F497"/>
      <c r="G497"/>
    </row>
    <row r="498" spans="1:7" ht="14.4" x14ac:dyDescent="0.3">
      <c r="A498"/>
      <c r="B498"/>
      <c r="C498"/>
      <c r="D498"/>
      <c r="E498"/>
      <c r="F498"/>
      <c r="G498"/>
    </row>
    <row r="499" spans="1:7" ht="14.4" x14ac:dyDescent="0.3">
      <c r="A499"/>
      <c r="B499"/>
      <c r="C499"/>
      <c r="D499"/>
      <c r="E499"/>
      <c r="F499"/>
      <c r="G499"/>
    </row>
    <row r="500" spans="1:7" ht="14.4" x14ac:dyDescent="0.3">
      <c r="A500"/>
      <c r="B500"/>
      <c r="C500"/>
      <c r="D500"/>
      <c r="E500"/>
      <c r="F500"/>
      <c r="G500"/>
    </row>
    <row r="501" spans="1:7" ht="14.4" x14ac:dyDescent="0.3">
      <c r="A501"/>
      <c r="B501"/>
      <c r="C501"/>
      <c r="D501"/>
      <c r="E501"/>
      <c r="F501"/>
      <c r="G501"/>
    </row>
    <row r="502" spans="1:7" ht="14.4" x14ac:dyDescent="0.3">
      <c r="A502"/>
      <c r="B502"/>
      <c r="C502"/>
      <c r="D502"/>
      <c r="E502"/>
      <c r="F502"/>
      <c r="G502"/>
    </row>
    <row r="503" spans="1:7" ht="14.4" x14ac:dyDescent="0.3">
      <c r="A503"/>
      <c r="B503"/>
      <c r="C503"/>
      <c r="D503"/>
      <c r="E503"/>
      <c r="F503"/>
      <c r="G503"/>
    </row>
    <row r="504" spans="1:7" ht="14.4" x14ac:dyDescent="0.3">
      <c r="A504"/>
      <c r="B504"/>
      <c r="C504"/>
      <c r="D504"/>
      <c r="E504"/>
      <c r="F504"/>
      <c r="G504"/>
    </row>
    <row r="505" spans="1:7" ht="14.4" x14ac:dyDescent="0.3">
      <c r="A505"/>
      <c r="B505"/>
      <c r="C505"/>
      <c r="D505"/>
      <c r="E505"/>
      <c r="F505"/>
      <c r="G505"/>
    </row>
    <row r="506" spans="1:7" ht="14.4" x14ac:dyDescent="0.3">
      <c r="A506"/>
      <c r="B506"/>
      <c r="C506"/>
      <c r="D506"/>
      <c r="E506"/>
      <c r="F506"/>
      <c r="G506"/>
    </row>
    <row r="507" spans="1:7" ht="14.4" x14ac:dyDescent="0.3">
      <c r="A507"/>
      <c r="B507"/>
      <c r="C507"/>
      <c r="D507"/>
      <c r="E507"/>
      <c r="F507"/>
      <c r="G507"/>
    </row>
    <row r="508" spans="1:7" ht="14.4" x14ac:dyDescent="0.3">
      <c r="A508"/>
      <c r="B508"/>
      <c r="C508"/>
      <c r="D508"/>
      <c r="E508"/>
      <c r="F508"/>
      <c r="G508"/>
    </row>
    <row r="509" spans="1:7" ht="14.4" x14ac:dyDescent="0.3">
      <c r="A509"/>
      <c r="B509"/>
      <c r="C509"/>
      <c r="D509"/>
      <c r="E509"/>
      <c r="F509"/>
      <c r="G509"/>
    </row>
    <row r="510" spans="1:7" ht="14.4" x14ac:dyDescent="0.3">
      <c r="A510"/>
      <c r="B510"/>
      <c r="C510"/>
      <c r="D510"/>
      <c r="E510"/>
      <c r="F510"/>
      <c r="G510"/>
    </row>
    <row r="511" spans="1:7" ht="14.4" x14ac:dyDescent="0.3">
      <c r="A511"/>
      <c r="B511"/>
      <c r="C511"/>
      <c r="D511"/>
      <c r="E511"/>
      <c r="F511"/>
      <c r="G511"/>
    </row>
    <row r="512" spans="1:7" ht="14.4" x14ac:dyDescent="0.3">
      <c r="A512"/>
      <c r="B512"/>
      <c r="C512"/>
      <c r="D512"/>
      <c r="E512"/>
      <c r="F512"/>
      <c r="G512"/>
    </row>
    <row r="513" spans="1:7" ht="14.4" x14ac:dyDescent="0.3">
      <c r="A513"/>
      <c r="B513"/>
      <c r="C513"/>
      <c r="D513"/>
      <c r="E513"/>
      <c r="F513"/>
      <c r="G513"/>
    </row>
    <row r="514" spans="1:7" ht="14.4" x14ac:dyDescent="0.3">
      <c r="A514"/>
      <c r="B514"/>
      <c r="C514"/>
      <c r="D514"/>
      <c r="E514"/>
      <c r="F514"/>
      <c r="G514"/>
    </row>
    <row r="515" spans="1:7" ht="14.4" x14ac:dyDescent="0.3">
      <c r="A515"/>
      <c r="B515"/>
      <c r="C515"/>
      <c r="D515"/>
      <c r="E515"/>
      <c r="F515"/>
      <c r="G515"/>
    </row>
    <row r="516" spans="1:7" ht="14.4" x14ac:dyDescent="0.3">
      <c r="A516"/>
      <c r="B516"/>
      <c r="C516"/>
      <c r="D516"/>
      <c r="E516"/>
      <c r="F516"/>
      <c r="G516"/>
    </row>
    <row r="517" spans="1:7" ht="14.4" x14ac:dyDescent="0.3">
      <c r="A517"/>
      <c r="B517"/>
      <c r="C517"/>
      <c r="D517"/>
      <c r="E517"/>
      <c r="F517"/>
      <c r="G517"/>
    </row>
    <row r="518" spans="1:7" ht="14.4" x14ac:dyDescent="0.3">
      <c r="A518"/>
      <c r="B518"/>
      <c r="C518"/>
      <c r="D518"/>
      <c r="E518"/>
      <c r="F518"/>
      <c r="G518"/>
    </row>
    <row r="519" spans="1:7" ht="14.4" x14ac:dyDescent="0.3">
      <c r="A519"/>
      <c r="B519"/>
      <c r="C519"/>
      <c r="D519"/>
      <c r="E519"/>
      <c r="F519"/>
      <c r="G519"/>
    </row>
    <row r="520" spans="1:7" ht="14.4" x14ac:dyDescent="0.3">
      <c r="A520"/>
      <c r="B520"/>
      <c r="C520"/>
      <c r="D520"/>
      <c r="E520"/>
      <c r="F520"/>
      <c r="G520"/>
    </row>
    <row r="521" spans="1:7" ht="14.4" x14ac:dyDescent="0.3">
      <c r="A521"/>
      <c r="B521"/>
      <c r="C521"/>
      <c r="D521"/>
      <c r="E521"/>
      <c r="F521"/>
      <c r="G521"/>
    </row>
    <row r="522" spans="1:7" ht="14.4" x14ac:dyDescent="0.3">
      <c r="A522"/>
      <c r="B522"/>
      <c r="C522"/>
      <c r="D522"/>
      <c r="E522"/>
      <c r="F522"/>
      <c r="G522"/>
    </row>
    <row r="523" spans="1:7" ht="14.4" x14ac:dyDescent="0.3">
      <c r="A523"/>
      <c r="B523"/>
      <c r="C523"/>
      <c r="D523"/>
      <c r="E523"/>
      <c r="F523"/>
      <c r="G523"/>
    </row>
    <row r="524" spans="1:7" ht="14.4" x14ac:dyDescent="0.3">
      <c r="A524"/>
      <c r="B524"/>
      <c r="C524"/>
      <c r="D524"/>
      <c r="E524"/>
      <c r="F524"/>
      <c r="G524"/>
    </row>
    <row r="525" spans="1:7" ht="14.4" x14ac:dyDescent="0.3">
      <c r="A525"/>
      <c r="B525"/>
      <c r="C525"/>
      <c r="D525"/>
      <c r="E525"/>
      <c r="F525"/>
      <c r="G525"/>
    </row>
    <row r="526" spans="1:7" ht="14.4" x14ac:dyDescent="0.3">
      <c r="A526"/>
      <c r="B526"/>
      <c r="C526"/>
      <c r="D526"/>
      <c r="E526"/>
      <c r="F526"/>
      <c r="G526"/>
    </row>
    <row r="527" spans="1:7" ht="15" thickBot="1" x14ac:dyDescent="0.35">
      <c r="A527"/>
      <c r="B527"/>
      <c r="C527"/>
      <c r="D527"/>
      <c r="E527"/>
      <c r="F527"/>
      <c r="G527"/>
    </row>
    <row r="528" spans="1:7" ht="13.8" thickTop="1" x14ac:dyDescent="0.25"/>
  </sheetData>
  <sheetProtection pivotTables="0"/>
  <conditionalFormatting pivot="1" sqref="B17:D17">
    <cfRule type="cellIs" dxfId="11" priority="28" stopIfTrue="1" operator="lessThan">
      <formula>0</formula>
    </cfRule>
  </conditionalFormatting>
  <conditionalFormatting pivot="1" sqref="B17:D17">
    <cfRule type="cellIs" dxfId="10" priority="29" stopIfTrue="1" operator="between">
      <formula>0.01</formula>
      <formula>3.99999</formula>
    </cfRule>
  </conditionalFormatting>
  <conditionalFormatting pivot="1" sqref="B17:D17">
    <cfRule type="cellIs" dxfId="9" priority="30" stopIfTrue="1" operator="greaterThanOrEqual">
      <formula>4</formula>
    </cfRule>
  </conditionalFormatting>
  <pageMargins left="0.75" right="0.75" top="1" bottom="1" header="0.5" footer="0.5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>
    <tabColor rgb="FFC00000"/>
    <pageSetUpPr fitToPage="1"/>
  </sheetPr>
  <dimension ref="A1:G527"/>
  <sheetViews>
    <sheetView showGridLines="0" zoomScale="85" workbookViewId="0">
      <pane ySplit="15" topLeftCell="A16" activePane="bottomLeft" state="frozen"/>
      <selection pane="bottomLeft" activeCell="B17" sqref="B17"/>
    </sheetView>
  </sheetViews>
  <sheetFormatPr defaultColWidth="11.44140625" defaultRowHeight="13.2" x14ac:dyDescent="0.25"/>
  <cols>
    <col min="1" max="1" width="28.77734375" style="23" customWidth="1"/>
    <col min="2" max="2" width="7.6640625" style="23" customWidth="1"/>
    <col min="3" max="5" width="3.5546875" style="23" customWidth="1"/>
    <col min="6" max="6" width="15.5546875" style="23" customWidth="1"/>
    <col min="7" max="7" width="16.5546875" style="23" customWidth="1"/>
    <col min="8" max="8" width="12" style="23" customWidth="1"/>
    <col min="9" max="16384" width="11.44140625" style="23"/>
  </cols>
  <sheetData>
    <row r="1" spans="1:7" ht="30" customHeight="1" x14ac:dyDescent="0.4">
      <c r="A1" s="24"/>
    </row>
    <row r="2" spans="1:7" x14ac:dyDescent="0.25">
      <c r="A2" s="25">
        <f>Updated</f>
        <v>0</v>
      </c>
    </row>
    <row r="3" spans="1:7" x14ac:dyDescent="0.25">
      <c r="A3" s="26" t="str">
        <f>"Bruke denne oversikten til å vurdere gjennomsnitt dekning ved leveringstid (faktiske sikkerhetslager)"</f>
        <v>Bruke denne oversikten til å vurdere gjennomsnitt dekning ved leveringstid (faktiske sikkerhetslager)</v>
      </c>
    </row>
    <row r="7" spans="1:7" ht="14.4" x14ac:dyDescent="0.3">
      <c r="A7"/>
      <c r="B7"/>
    </row>
    <row r="8" spans="1:7" ht="14.4" x14ac:dyDescent="0.3">
      <c r="A8"/>
      <c r="B8"/>
    </row>
    <row r="9" spans="1:7" ht="14.4" x14ac:dyDescent="0.3">
      <c r="A9" s="71" t="s">
        <v>188</v>
      </c>
      <c r="B9" s="73" t="s">
        <v>150</v>
      </c>
    </row>
    <row r="10" spans="1:7" ht="14.4" x14ac:dyDescent="0.3">
      <c r="A10" s="71" t="s">
        <v>181</v>
      </c>
      <c r="B10" s="72">
        <v>1</v>
      </c>
    </row>
    <row r="11" spans="1:7" ht="14.4" x14ac:dyDescent="0.3">
      <c r="A11" s="71" t="s">
        <v>118</v>
      </c>
      <c r="B11" s="73" t="s">
        <v>209</v>
      </c>
    </row>
    <row r="12" spans="1:7" ht="14.4" x14ac:dyDescent="0.3">
      <c r="A12" s="71" t="s">
        <v>180</v>
      </c>
      <c r="B12" s="73" t="s">
        <v>150</v>
      </c>
    </row>
    <row r="13" spans="1:7" ht="14.4" x14ac:dyDescent="0.3">
      <c r="A13" s="71" t="s">
        <v>128</v>
      </c>
      <c r="B13" s="73" t="s">
        <v>150</v>
      </c>
    </row>
    <row r="15" spans="1:7" ht="14.4" x14ac:dyDescent="0.3">
      <c r="A15" s="28" t="s">
        <v>239</v>
      </c>
      <c r="B15" s="28" t="s">
        <v>203</v>
      </c>
      <c r="C15" s="28"/>
      <c r="D15" s="28"/>
      <c r="E15" s="28"/>
      <c r="F15"/>
      <c r="G15"/>
    </row>
    <row r="16" spans="1:7" ht="14.4" x14ac:dyDescent="0.3">
      <c r="A16" s="27" t="s">
        <v>178</v>
      </c>
      <c r="B16" s="91">
        <v>1</v>
      </c>
      <c r="C16" s="92">
        <v>2</v>
      </c>
      <c r="D16" s="92">
        <v>3</v>
      </c>
      <c r="E16" s="93">
        <v>4</v>
      </c>
      <c r="F16"/>
      <c r="G16"/>
    </row>
    <row r="17" spans="1:7" ht="14.4" x14ac:dyDescent="0.3">
      <c r="A17" s="75" t="s">
        <v>230</v>
      </c>
      <c r="B17" s="83">
        <v>19</v>
      </c>
      <c r="C17" s="84">
        <v>-18</v>
      </c>
      <c r="D17" s="84">
        <v>-17</v>
      </c>
      <c r="E17" s="87">
        <v>-14</v>
      </c>
      <c r="F17"/>
      <c r="G17"/>
    </row>
    <row r="18" spans="1:7" ht="15" thickBot="1" x14ac:dyDescent="0.35">
      <c r="A18" s="29" t="s">
        <v>151</v>
      </c>
      <c r="B18" s="38">
        <v>19</v>
      </c>
      <c r="C18" s="38">
        <v>-18</v>
      </c>
      <c r="D18" s="38">
        <v>-17</v>
      </c>
      <c r="E18" s="88">
        <v>-14</v>
      </c>
      <c r="F18"/>
      <c r="G18"/>
    </row>
    <row r="19" spans="1:7" ht="15" thickTop="1" x14ac:dyDescent="0.3">
      <c r="A19"/>
      <c r="B19"/>
      <c r="C19"/>
      <c r="D19"/>
      <c r="E19"/>
      <c r="F19"/>
      <c r="G19"/>
    </row>
    <row r="20" spans="1:7" ht="15" thickTop="1" x14ac:dyDescent="0.3">
      <c r="A20"/>
      <c r="B20"/>
      <c r="C20"/>
      <c r="D20"/>
      <c r="E20"/>
      <c r="F20"/>
      <c r="G20"/>
    </row>
    <row r="21" spans="1:7" ht="14.4" x14ac:dyDescent="0.3">
      <c r="A21"/>
      <c r="B21"/>
      <c r="C21"/>
      <c r="D21"/>
      <c r="E21"/>
      <c r="F21"/>
      <c r="G21"/>
    </row>
    <row r="22" spans="1:7" ht="14.4" x14ac:dyDescent="0.3">
      <c r="A22"/>
      <c r="B22"/>
      <c r="C22"/>
      <c r="D22"/>
      <c r="E22"/>
      <c r="F22"/>
      <c r="G22"/>
    </row>
    <row r="23" spans="1:7" ht="14.4" x14ac:dyDescent="0.3">
      <c r="A23"/>
      <c r="B23"/>
      <c r="C23"/>
      <c r="D23"/>
      <c r="E23"/>
      <c r="F23"/>
      <c r="G23"/>
    </row>
    <row r="24" spans="1:7" ht="14.4" x14ac:dyDescent="0.3">
      <c r="A24"/>
      <c r="B24"/>
      <c r="C24"/>
      <c r="D24"/>
      <c r="E24"/>
      <c r="F24"/>
      <c r="G24"/>
    </row>
    <row r="25" spans="1:7" ht="14.4" x14ac:dyDescent="0.3">
      <c r="A25"/>
      <c r="B25"/>
      <c r="C25"/>
      <c r="D25"/>
      <c r="E25"/>
      <c r="F25"/>
      <c r="G25"/>
    </row>
    <row r="26" spans="1:7" ht="14.4" x14ac:dyDescent="0.3">
      <c r="A26"/>
      <c r="B26"/>
      <c r="C26"/>
      <c r="D26"/>
      <c r="E26"/>
      <c r="F26"/>
      <c r="G26"/>
    </row>
    <row r="27" spans="1:7" ht="14.4" x14ac:dyDescent="0.3">
      <c r="A27"/>
      <c r="B27"/>
      <c r="C27"/>
      <c r="D27"/>
      <c r="E27"/>
      <c r="F27"/>
      <c r="G27"/>
    </row>
    <row r="28" spans="1:7" ht="14.4" x14ac:dyDescent="0.3">
      <c r="A28"/>
      <c r="B28"/>
      <c r="C28"/>
      <c r="D28"/>
      <c r="E28"/>
      <c r="F28"/>
      <c r="G28"/>
    </row>
    <row r="29" spans="1:7" ht="14.4" x14ac:dyDescent="0.3">
      <c r="A29"/>
      <c r="B29"/>
      <c r="C29"/>
      <c r="D29"/>
      <c r="E29"/>
      <c r="F29"/>
      <c r="G29"/>
    </row>
    <row r="30" spans="1:7" ht="14.4" x14ac:dyDescent="0.3">
      <c r="A30"/>
      <c r="B30"/>
      <c r="C30"/>
      <c r="D30"/>
      <c r="E30"/>
      <c r="F30"/>
      <c r="G30"/>
    </row>
    <row r="31" spans="1:7" ht="14.4" x14ac:dyDescent="0.3">
      <c r="A31"/>
      <c r="B31"/>
      <c r="C31"/>
      <c r="D31"/>
      <c r="E31"/>
      <c r="F31"/>
      <c r="G31"/>
    </row>
    <row r="32" spans="1:7" ht="14.4" x14ac:dyDescent="0.3">
      <c r="A32"/>
      <c r="B32"/>
      <c r="C32"/>
      <c r="D32"/>
      <c r="E32"/>
      <c r="F32"/>
      <c r="G32"/>
    </row>
    <row r="33" spans="1:7" ht="14.4" x14ac:dyDescent="0.3">
      <c r="A33"/>
      <c r="B33"/>
      <c r="C33"/>
      <c r="D33"/>
      <c r="E33"/>
      <c r="F33"/>
      <c r="G33"/>
    </row>
    <row r="34" spans="1:7" ht="14.4" x14ac:dyDescent="0.3">
      <c r="A34"/>
      <c r="B34"/>
      <c r="C34"/>
      <c r="D34"/>
      <c r="E34"/>
      <c r="F34"/>
      <c r="G34"/>
    </row>
    <row r="35" spans="1:7" ht="14.4" x14ac:dyDescent="0.3">
      <c r="A35"/>
      <c r="B35"/>
      <c r="C35"/>
      <c r="D35"/>
      <c r="E35"/>
      <c r="F35"/>
      <c r="G35"/>
    </row>
    <row r="36" spans="1:7" ht="14.4" x14ac:dyDescent="0.3">
      <c r="A36"/>
      <c r="B36"/>
      <c r="C36"/>
      <c r="D36"/>
      <c r="E36"/>
      <c r="F36"/>
      <c r="G36"/>
    </row>
    <row r="37" spans="1:7" ht="14.4" x14ac:dyDescent="0.3">
      <c r="A37"/>
      <c r="B37"/>
      <c r="C37"/>
      <c r="D37"/>
      <c r="E37"/>
      <c r="F37"/>
      <c r="G37"/>
    </row>
    <row r="38" spans="1:7" ht="14.4" x14ac:dyDescent="0.3">
      <c r="A38"/>
      <c r="B38"/>
      <c r="C38"/>
      <c r="D38"/>
      <c r="E38"/>
      <c r="F38"/>
      <c r="G38"/>
    </row>
    <row r="39" spans="1:7" ht="14.4" x14ac:dyDescent="0.3">
      <c r="A39"/>
      <c r="B39"/>
      <c r="C39"/>
      <c r="D39"/>
      <c r="E39"/>
      <c r="F39"/>
      <c r="G39"/>
    </row>
    <row r="40" spans="1:7" ht="15" thickBot="1" x14ac:dyDescent="0.35">
      <c r="A40"/>
      <c r="B40"/>
      <c r="C40"/>
      <c r="D40"/>
      <c r="E40"/>
      <c r="F40"/>
      <c r="G40"/>
    </row>
    <row r="41" spans="1:7" ht="15" thickTop="1" x14ac:dyDescent="0.3">
      <c r="A41"/>
      <c r="B41"/>
      <c r="C41"/>
      <c r="D41"/>
      <c r="E41"/>
      <c r="F41"/>
      <c r="G41"/>
    </row>
    <row r="42" spans="1:7" ht="14.4" x14ac:dyDescent="0.3">
      <c r="A42"/>
      <c r="B42"/>
      <c r="C42"/>
      <c r="D42"/>
      <c r="E42"/>
      <c r="F42"/>
      <c r="G42"/>
    </row>
    <row r="43" spans="1:7" ht="14.4" x14ac:dyDescent="0.3">
      <c r="A43"/>
      <c r="B43"/>
      <c r="C43"/>
      <c r="D43"/>
      <c r="E43"/>
      <c r="F43"/>
      <c r="G43"/>
    </row>
    <row r="44" spans="1:7" ht="14.4" x14ac:dyDescent="0.3">
      <c r="A44"/>
      <c r="B44"/>
      <c r="C44"/>
      <c r="D44"/>
      <c r="E44"/>
      <c r="F44"/>
      <c r="G44"/>
    </row>
    <row r="45" spans="1:7" ht="14.4" x14ac:dyDescent="0.3">
      <c r="A45"/>
      <c r="B45"/>
      <c r="C45"/>
      <c r="D45"/>
      <c r="E45"/>
      <c r="F45"/>
      <c r="G45"/>
    </row>
    <row r="46" spans="1:7" ht="14.4" x14ac:dyDescent="0.3">
      <c r="A46"/>
      <c r="B46"/>
      <c r="C46"/>
      <c r="D46"/>
      <c r="E46"/>
      <c r="F46"/>
      <c r="G46"/>
    </row>
    <row r="47" spans="1:7" ht="14.4" x14ac:dyDescent="0.3">
      <c r="A47"/>
      <c r="B47"/>
      <c r="C47"/>
      <c r="D47"/>
      <c r="E47"/>
      <c r="F47"/>
      <c r="G47"/>
    </row>
    <row r="48" spans="1:7" ht="14.4" x14ac:dyDescent="0.3">
      <c r="A48"/>
      <c r="B48"/>
      <c r="C48"/>
      <c r="D48"/>
      <c r="E48"/>
      <c r="F48"/>
      <c r="G48"/>
    </row>
    <row r="49" spans="1:7" ht="14.4" x14ac:dyDescent="0.3">
      <c r="A49"/>
      <c r="B49"/>
      <c r="C49"/>
      <c r="D49"/>
      <c r="E49"/>
      <c r="F49"/>
      <c r="G49"/>
    </row>
    <row r="50" spans="1:7" ht="14.4" x14ac:dyDescent="0.3">
      <c r="A50"/>
      <c r="B50"/>
      <c r="C50"/>
      <c r="D50"/>
      <c r="E50"/>
      <c r="F50"/>
      <c r="G50"/>
    </row>
    <row r="51" spans="1:7" ht="14.4" x14ac:dyDescent="0.3">
      <c r="A51"/>
      <c r="B51"/>
      <c r="C51"/>
      <c r="D51"/>
      <c r="E51"/>
      <c r="F51"/>
      <c r="G51"/>
    </row>
    <row r="52" spans="1:7" ht="14.4" x14ac:dyDescent="0.3">
      <c r="A52"/>
      <c r="B52"/>
      <c r="C52"/>
      <c r="D52"/>
      <c r="E52"/>
      <c r="F52"/>
      <c r="G52"/>
    </row>
    <row r="53" spans="1:7" ht="14.4" x14ac:dyDescent="0.3">
      <c r="A53"/>
      <c r="B53"/>
      <c r="C53"/>
      <c r="D53"/>
      <c r="E53"/>
      <c r="F53"/>
      <c r="G53"/>
    </row>
    <row r="54" spans="1:7" ht="14.4" x14ac:dyDescent="0.3">
      <c r="A54"/>
      <c r="B54"/>
      <c r="C54"/>
      <c r="D54"/>
      <c r="E54"/>
      <c r="F54"/>
      <c r="G54"/>
    </row>
    <row r="55" spans="1:7" ht="14.4" x14ac:dyDescent="0.3">
      <c r="A55"/>
      <c r="B55"/>
      <c r="C55"/>
      <c r="D55"/>
      <c r="E55"/>
      <c r="F55"/>
      <c r="G55"/>
    </row>
    <row r="56" spans="1:7" ht="14.4" x14ac:dyDescent="0.3">
      <c r="A56"/>
      <c r="B56"/>
      <c r="C56"/>
      <c r="D56"/>
      <c r="E56"/>
      <c r="F56"/>
      <c r="G56"/>
    </row>
    <row r="57" spans="1:7" ht="14.4" x14ac:dyDescent="0.3">
      <c r="A57"/>
      <c r="B57"/>
      <c r="C57"/>
      <c r="D57"/>
      <c r="E57"/>
      <c r="F57"/>
      <c r="G57"/>
    </row>
    <row r="58" spans="1:7" ht="14.4" x14ac:dyDescent="0.3">
      <c r="A58"/>
      <c r="B58"/>
      <c r="C58"/>
      <c r="D58"/>
      <c r="E58"/>
      <c r="F58"/>
      <c r="G58"/>
    </row>
    <row r="59" spans="1:7" ht="14.4" x14ac:dyDescent="0.3">
      <c r="A59"/>
      <c r="B59"/>
      <c r="C59"/>
      <c r="D59"/>
      <c r="E59"/>
      <c r="F59"/>
      <c r="G59"/>
    </row>
    <row r="60" spans="1:7" ht="14.4" x14ac:dyDescent="0.3">
      <c r="A60"/>
      <c r="B60"/>
      <c r="C60"/>
      <c r="D60"/>
      <c r="E60"/>
      <c r="F60"/>
      <c r="G60"/>
    </row>
    <row r="61" spans="1:7" ht="14.4" x14ac:dyDescent="0.3">
      <c r="A61"/>
      <c r="B61"/>
      <c r="C61"/>
      <c r="D61"/>
      <c r="E61"/>
      <c r="F61"/>
      <c r="G61"/>
    </row>
    <row r="62" spans="1:7" ht="14.4" x14ac:dyDescent="0.3">
      <c r="A62"/>
      <c r="B62"/>
      <c r="C62"/>
      <c r="D62"/>
      <c r="E62"/>
      <c r="F62"/>
      <c r="G62"/>
    </row>
    <row r="63" spans="1:7" ht="14.4" x14ac:dyDescent="0.3">
      <c r="A63"/>
      <c r="B63"/>
      <c r="C63"/>
      <c r="D63"/>
      <c r="E63"/>
      <c r="F63"/>
      <c r="G63"/>
    </row>
    <row r="64" spans="1:7" ht="14.4" x14ac:dyDescent="0.3">
      <c r="A64"/>
      <c r="B64"/>
      <c r="C64"/>
      <c r="D64"/>
      <c r="E64"/>
      <c r="F64"/>
      <c r="G64"/>
    </row>
    <row r="65" spans="1:7" ht="14.4" x14ac:dyDescent="0.3">
      <c r="A65"/>
      <c r="B65"/>
      <c r="C65"/>
      <c r="D65"/>
      <c r="E65"/>
      <c r="F65"/>
      <c r="G65"/>
    </row>
    <row r="66" spans="1:7" ht="14.4" x14ac:dyDescent="0.3">
      <c r="A66"/>
      <c r="B66"/>
      <c r="C66"/>
      <c r="D66"/>
      <c r="E66"/>
      <c r="F66"/>
      <c r="G66"/>
    </row>
    <row r="67" spans="1:7" ht="14.4" x14ac:dyDescent="0.3">
      <c r="A67"/>
      <c r="B67"/>
      <c r="C67"/>
      <c r="D67"/>
      <c r="E67"/>
      <c r="F67"/>
      <c r="G67"/>
    </row>
    <row r="68" spans="1:7" ht="14.4" x14ac:dyDescent="0.3">
      <c r="A68"/>
      <c r="B68"/>
      <c r="C68"/>
      <c r="D68"/>
      <c r="E68"/>
      <c r="F68"/>
      <c r="G68"/>
    </row>
    <row r="69" spans="1:7" ht="14.4" x14ac:dyDescent="0.3">
      <c r="A69"/>
      <c r="B69"/>
      <c r="C69"/>
      <c r="D69"/>
      <c r="E69"/>
      <c r="F69"/>
      <c r="G69"/>
    </row>
    <row r="70" spans="1:7" ht="14.4" x14ac:dyDescent="0.3">
      <c r="A70"/>
      <c r="B70"/>
      <c r="C70"/>
      <c r="D70"/>
      <c r="E70"/>
      <c r="F70"/>
      <c r="G70"/>
    </row>
    <row r="71" spans="1:7" ht="14.4" x14ac:dyDescent="0.3">
      <c r="A71"/>
      <c r="B71"/>
      <c r="C71"/>
      <c r="D71"/>
      <c r="E71"/>
      <c r="F71"/>
      <c r="G71"/>
    </row>
    <row r="72" spans="1:7" ht="14.4" x14ac:dyDescent="0.3">
      <c r="A72"/>
      <c r="B72"/>
      <c r="C72"/>
      <c r="D72"/>
      <c r="E72"/>
      <c r="F72"/>
      <c r="G72"/>
    </row>
    <row r="73" spans="1:7" ht="14.4" x14ac:dyDescent="0.3">
      <c r="A73"/>
      <c r="B73"/>
      <c r="C73"/>
      <c r="D73"/>
      <c r="E73"/>
      <c r="F73"/>
      <c r="G73"/>
    </row>
    <row r="74" spans="1:7" ht="14.4" x14ac:dyDescent="0.3">
      <c r="A74"/>
      <c r="B74"/>
      <c r="C74"/>
      <c r="D74"/>
      <c r="E74"/>
      <c r="F74"/>
      <c r="G74"/>
    </row>
    <row r="75" spans="1:7" ht="14.4" x14ac:dyDescent="0.3">
      <c r="A75"/>
      <c r="B75"/>
      <c r="C75"/>
      <c r="D75"/>
      <c r="E75"/>
      <c r="F75"/>
      <c r="G75"/>
    </row>
    <row r="76" spans="1:7" ht="14.4" x14ac:dyDescent="0.3">
      <c r="A76"/>
      <c r="B76"/>
      <c r="C76"/>
      <c r="D76"/>
      <c r="E76"/>
      <c r="F76"/>
      <c r="G76"/>
    </row>
    <row r="77" spans="1:7" ht="14.4" x14ac:dyDescent="0.3">
      <c r="A77"/>
      <c r="B77"/>
      <c r="C77"/>
      <c r="D77"/>
      <c r="E77"/>
      <c r="F77"/>
      <c r="G77"/>
    </row>
    <row r="78" spans="1:7" ht="14.4" x14ac:dyDescent="0.3">
      <c r="A78"/>
      <c r="B78"/>
      <c r="C78"/>
      <c r="D78"/>
      <c r="E78"/>
      <c r="F78"/>
      <c r="G78"/>
    </row>
    <row r="79" spans="1:7" ht="14.4" x14ac:dyDescent="0.3">
      <c r="A79"/>
      <c r="B79"/>
      <c r="C79"/>
      <c r="D79"/>
      <c r="E79"/>
      <c r="F79"/>
      <c r="G79"/>
    </row>
    <row r="80" spans="1:7" ht="14.4" x14ac:dyDescent="0.3">
      <c r="A80"/>
      <c r="B80"/>
      <c r="C80"/>
      <c r="D80"/>
      <c r="E80"/>
      <c r="F80"/>
      <c r="G80"/>
    </row>
    <row r="81" spans="1:7" ht="14.4" x14ac:dyDescent="0.3">
      <c r="A81"/>
      <c r="B81"/>
      <c r="C81"/>
      <c r="D81"/>
      <c r="E81"/>
      <c r="F81"/>
      <c r="G81"/>
    </row>
    <row r="82" spans="1:7" ht="14.4" x14ac:dyDescent="0.3">
      <c r="A82"/>
      <c r="B82"/>
      <c r="C82"/>
      <c r="D82"/>
      <c r="E82"/>
      <c r="F82"/>
      <c r="G82"/>
    </row>
    <row r="83" spans="1:7" ht="14.4" x14ac:dyDescent="0.3">
      <c r="A83"/>
      <c r="B83"/>
      <c r="C83"/>
      <c r="D83"/>
      <c r="E83"/>
      <c r="F83"/>
      <c r="G83"/>
    </row>
    <row r="84" spans="1:7" ht="14.4" x14ac:dyDescent="0.3">
      <c r="A84"/>
      <c r="B84"/>
      <c r="C84"/>
      <c r="D84"/>
      <c r="E84"/>
      <c r="F84"/>
      <c r="G84"/>
    </row>
    <row r="85" spans="1:7" ht="14.4" x14ac:dyDescent="0.3">
      <c r="A85"/>
      <c r="B85"/>
      <c r="C85"/>
      <c r="D85"/>
      <c r="E85"/>
      <c r="F85"/>
      <c r="G85"/>
    </row>
    <row r="86" spans="1:7" ht="14.4" x14ac:dyDescent="0.3">
      <c r="A86"/>
      <c r="B86"/>
      <c r="C86"/>
      <c r="D86"/>
      <c r="E86"/>
      <c r="F86"/>
      <c r="G86"/>
    </row>
    <row r="87" spans="1:7" ht="14.4" x14ac:dyDescent="0.3">
      <c r="A87"/>
      <c r="B87"/>
      <c r="C87"/>
      <c r="D87"/>
      <c r="E87"/>
      <c r="F87"/>
      <c r="G87"/>
    </row>
    <row r="88" spans="1:7" ht="14.4" x14ac:dyDescent="0.3">
      <c r="A88"/>
      <c r="B88"/>
      <c r="C88"/>
      <c r="D88"/>
      <c r="E88"/>
      <c r="F88"/>
      <c r="G88"/>
    </row>
    <row r="89" spans="1:7" ht="14.4" x14ac:dyDescent="0.3">
      <c r="A89"/>
      <c r="B89"/>
      <c r="C89"/>
      <c r="D89"/>
      <c r="E89"/>
      <c r="F89"/>
      <c r="G89"/>
    </row>
    <row r="90" spans="1:7" ht="14.4" x14ac:dyDescent="0.3">
      <c r="A90"/>
      <c r="B90"/>
      <c r="C90"/>
      <c r="D90"/>
      <c r="E90"/>
      <c r="F90"/>
      <c r="G90"/>
    </row>
    <row r="91" spans="1:7" ht="14.4" x14ac:dyDescent="0.3">
      <c r="A91"/>
      <c r="B91"/>
      <c r="C91"/>
      <c r="D91"/>
      <c r="E91"/>
      <c r="F91"/>
      <c r="G91"/>
    </row>
    <row r="92" spans="1:7" ht="14.4" x14ac:dyDescent="0.3">
      <c r="A92"/>
      <c r="B92"/>
      <c r="C92"/>
      <c r="D92"/>
      <c r="E92"/>
      <c r="F92"/>
      <c r="G92"/>
    </row>
    <row r="93" spans="1:7" ht="14.4" x14ac:dyDescent="0.3">
      <c r="A93"/>
      <c r="B93"/>
      <c r="C93"/>
      <c r="D93"/>
      <c r="E93"/>
      <c r="F93"/>
      <c r="G93"/>
    </row>
    <row r="94" spans="1:7" ht="14.4" x14ac:dyDescent="0.3">
      <c r="A94"/>
      <c r="B94"/>
      <c r="C94"/>
      <c r="D94"/>
      <c r="E94"/>
      <c r="F94"/>
      <c r="G94"/>
    </row>
    <row r="95" spans="1:7" ht="14.4" x14ac:dyDescent="0.3">
      <c r="A95"/>
      <c r="B95"/>
      <c r="C95"/>
      <c r="D95"/>
      <c r="E95"/>
      <c r="F95"/>
      <c r="G95"/>
    </row>
    <row r="96" spans="1:7" ht="14.4" x14ac:dyDescent="0.3">
      <c r="A96"/>
      <c r="B96"/>
      <c r="C96"/>
      <c r="D96"/>
      <c r="E96"/>
      <c r="F96"/>
      <c r="G96"/>
    </row>
    <row r="97" spans="1:7" ht="14.4" x14ac:dyDescent="0.3">
      <c r="A97"/>
      <c r="B97"/>
      <c r="C97"/>
      <c r="D97"/>
      <c r="E97"/>
      <c r="F97"/>
      <c r="G97"/>
    </row>
    <row r="98" spans="1:7" ht="14.4" x14ac:dyDescent="0.3">
      <c r="A98"/>
      <c r="B98"/>
      <c r="C98"/>
      <c r="D98"/>
      <c r="E98"/>
      <c r="F98"/>
      <c r="G98"/>
    </row>
    <row r="99" spans="1:7" ht="14.4" x14ac:dyDescent="0.3">
      <c r="A99"/>
      <c r="B99"/>
      <c r="C99"/>
      <c r="D99"/>
      <c r="E99"/>
      <c r="F99"/>
      <c r="G99"/>
    </row>
    <row r="100" spans="1:7" ht="14.4" x14ac:dyDescent="0.3">
      <c r="A100"/>
      <c r="B100"/>
      <c r="C100"/>
      <c r="D100"/>
      <c r="E100"/>
      <c r="F100"/>
      <c r="G100"/>
    </row>
    <row r="101" spans="1:7" ht="14.4" x14ac:dyDescent="0.3">
      <c r="A101"/>
      <c r="B101"/>
      <c r="C101"/>
      <c r="D101"/>
      <c r="E101"/>
      <c r="F101"/>
      <c r="G101"/>
    </row>
    <row r="102" spans="1:7" ht="14.4" x14ac:dyDescent="0.3">
      <c r="A102"/>
      <c r="B102"/>
      <c r="C102"/>
      <c r="D102"/>
      <c r="E102"/>
      <c r="F102"/>
      <c r="G102"/>
    </row>
    <row r="103" spans="1:7" ht="14.4" x14ac:dyDescent="0.3">
      <c r="A103"/>
      <c r="B103"/>
      <c r="C103"/>
      <c r="D103"/>
      <c r="E103"/>
      <c r="F103"/>
      <c r="G103"/>
    </row>
    <row r="104" spans="1:7" ht="14.4" x14ac:dyDescent="0.3">
      <c r="A104"/>
      <c r="B104"/>
      <c r="C104"/>
      <c r="D104"/>
      <c r="E104"/>
      <c r="F104"/>
      <c r="G104"/>
    </row>
    <row r="105" spans="1:7" ht="14.4" x14ac:dyDescent="0.3">
      <c r="A105"/>
      <c r="B105"/>
      <c r="C105"/>
      <c r="D105"/>
      <c r="E105"/>
      <c r="F105"/>
      <c r="G105"/>
    </row>
    <row r="106" spans="1:7" ht="14.4" x14ac:dyDescent="0.3">
      <c r="A106"/>
      <c r="B106"/>
      <c r="C106"/>
      <c r="D106"/>
      <c r="E106"/>
      <c r="F106"/>
      <c r="G106"/>
    </row>
    <row r="107" spans="1:7" ht="14.4" x14ac:dyDescent="0.3">
      <c r="A107"/>
      <c r="B107"/>
      <c r="C107"/>
      <c r="D107"/>
      <c r="E107"/>
      <c r="F107"/>
      <c r="G107"/>
    </row>
    <row r="108" spans="1:7" ht="14.4" x14ac:dyDescent="0.3">
      <c r="A108"/>
      <c r="B108"/>
      <c r="C108"/>
      <c r="D108"/>
      <c r="E108"/>
      <c r="F108"/>
      <c r="G108"/>
    </row>
    <row r="109" spans="1:7" ht="14.4" x14ac:dyDescent="0.3">
      <c r="A109"/>
      <c r="B109"/>
      <c r="C109"/>
      <c r="D109"/>
      <c r="E109"/>
      <c r="F109"/>
      <c r="G109"/>
    </row>
    <row r="110" spans="1:7" ht="14.4" x14ac:dyDescent="0.3">
      <c r="A110"/>
      <c r="B110"/>
      <c r="C110"/>
      <c r="D110"/>
      <c r="E110"/>
      <c r="F110"/>
      <c r="G110"/>
    </row>
    <row r="111" spans="1:7" ht="14.4" x14ac:dyDescent="0.3">
      <c r="A111"/>
      <c r="B111"/>
      <c r="C111"/>
      <c r="D111"/>
      <c r="E111"/>
      <c r="F111"/>
      <c r="G111"/>
    </row>
    <row r="112" spans="1:7" ht="14.4" x14ac:dyDescent="0.3">
      <c r="A112"/>
      <c r="B112"/>
      <c r="C112"/>
      <c r="D112"/>
      <c r="E112"/>
      <c r="F112"/>
      <c r="G112"/>
    </row>
    <row r="113" spans="1:7" ht="14.4" x14ac:dyDescent="0.3">
      <c r="A113"/>
      <c r="B113"/>
      <c r="C113"/>
      <c r="D113"/>
      <c r="E113"/>
      <c r="F113"/>
      <c r="G113"/>
    </row>
    <row r="114" spans="1:7" ht="14.4" x14ac:dyDescent="0.3">
      <c r="A114"/>
      <c r="B114"/>
      <c r="C114"/>
      <c r="D114"/>
      <c r="E114"/>
      <c r="F114"/>
      <c r="G114"/>
    </row>
    <row r="115" spans="1:7" ht="14.4" x14ac:dyDescent="0.3">
      <c r="A115"/>
      <c r="B115"/>
      <c r="C115"/>
      <c r="D115"/>
      <c r="E115"/>
      <c r="F115"/>
      <c r="G115"/>
    </row>
    <row r="116" spans="1:7" ht="14.4" x14ac:dyDescent="0.3">
      <c r="A116"/>
      <c r="B116"/>
      <c r="C116"/>
      <c r="D116"/>
      <c r="E116"/>
      <c r="F116"/>
      <c r="G116"/>
    </row>
    <row r="117" spans="1:7" ht="14.4" x14ac:dyDescent="0.3">
      <c r="A117"/>
      <c r="B117"/>
      <c r="C117"/>
      <c r="D117"/>
      <c r="E117"/>
      <c r="F117"/>
      <c r="G117"/>
    </row>
    <row r="118" spans="1:7" ht="14.4" x14ac:dyDescent="0.3">
      <c r="A118"/>
      <c r="B118"/>
      <c r="C118"/>
      <c r="D118"/>
      <c r="E118"/>
      <c r="F118"/>
      <c r="G118"/>
    </row>
    <row r="119" spans="1:7" ht="14.4" x14ac:dyDescent="0.3">
      <c r="A119"/>
      <c r="B119"/>
      <c r="C119"/>
      <c r="D119"/>
      <c r="E119"/>
      <c r="F119"/>
      <c r="G119"/>
    </row>
    <row r="120" spans="1:7" ht="14.4" x14ac:dyDescent="0.3">
      <c r="A120"/>
      <c r="B120"/>
      <c r="C120"/>
      <c r="D120"/>
      <c r="E120"/>
      <c r="F120"/>
      <c r="G120"/>
    </row>
    <row r="121" spans="1:7" ht="14.4" x14ac:dyDescent="0.3">
      <c r="A121"/>
      <c r="B121"/>
      <c r="C121"/>
      <c r="D121"/>
      <c r="E121"/>
      <c r="F121"/>
      <c r="G121"/>
    </row>
    <row r="122" spans="1:7" ht="14.4" x14ac:dyDescent="0.3">
      <c r="A122"/>
      <c r="B122"/>
      <c r="C122"/>
      <c r="D122"/>
      <c r="E122"/>
      <c r="F122"/>
      <c r="G122"/>
    </row>
    <row r="123" spans="1:7" ht="14.4" x14ac:dyDescent="0.3">
      <c r="A123"/>
      <c r="B123"/>
      <c r="C123"/>
      <c r="D123"/>
      <c r="E123"/>
      <c r="F123"/>
      <c r="G123"/>
    </row>
    <row r="124" spans="1:7" ht="14.4" x14ac:dyDescent="0.3">
      <c r="A124"/>
      <c r="B124"/>
      <c r="C124"/>
      <c r="D124"/>
      <c r="E124"/>
      <c r="F124"/>
      <c r="G124"/>
    </row>
    <row r="125" spans="1:7" ht="14.4" x14ac:dyDescent="0.3">
      <c r="A125"/>
      <c r="B125"/>
      <c r="C125"/>
      <c r="D125"/>
      <c r="E125"/>
      <c r="F125"/>
      <c r="G125"/>
    </row>
    <row r="126" spans="1:7" ht="14.4" x14ac:dyDescent="0.3">
      <c r="A126"/>
      <c r="B126"/>
      <c r="C126"/>
      <c r="D126"/>
      <c r="E126"/>
      <c r="F126"/>
      <c r="G126"/>
    </row>
    <row r="127" spans="1:7" ht="14.4" x14ac:dyDescent="0.3">
      <c r="A127"/>
      <c r="B127"/>
      <c r="C127"/>
      <c r="D127"/>
      <c r="E127"/>
      <c r="F127"/>
      <c r="G127"/>
    </row>
    <row r="128" spans="1:7" ht="14.4" x14ac:dyDescent="0.3">
      <c r="A128"/>
      <c r="B128"/>
      <c r="C128"/>
      <c r="D128"/>
      <c r="E128"/>
      <c r="F128"/>
      <c r="G128"/>
    </row>
    <row r="129" spans="1:7" ht="14.4" x14ac:dyDescent="0.3">
      <c r="A129"/>
      <c r="B129"/>
      <c r="C129"/>
      <c r="D129"/>
      <c r="E129"/>
      <c r="F129"/>
      <c r="G129"/>
    </row>
    <row r="130" spans="1:7" ht="14.4" x14ac:dyDescent="0.3">
      <c r="A130"/>
      <c r="B130"/>
      <c r="C130"/>
      <c r="D130"/>
      <c r="E130"/>
      <c r="F130"/>
      <c r="G130"/>
    </row>
    <row r="131" spans="1:7" ht="14.4" x14ac:dyDescent="0.3">
      <c r="A131"/>
      <c r="B131"/>
      <c r="C131"/>
      <c r="D131"/>
      <c r="E131"/>
      <c r="F131"/>
      <c r="G131"/>
    </row>
    <row r="132" spans="1:7" ht="14.4" x14ac:dyDescent="0.3">
      <c r="A132"/>
      <c r="B132"/>
      <c r="C132"/>
      <c r="D132"/>
      <c r="E132"/>
      <c r="F132"/>
      <c r="G132"/>
    </row>
    <row r="133" spans="1:7" ht="14.4" x14ac:dyDescent="0.3">
      <c r="A133"/>
      <c r="B133"/>
      <c r="C133"/>
      <c r="D133"/>
      <c r="E133"/>
      <c r="F133"/>
      <c r="G133"/>
    </row>
    <row r="134" spans="1:7" ht="14.4" x14ac:dyDescent="0.3">
      <c r="A134"/>
      <c r="B134"/>
      <c r="C134"/>
      <c r="D134"/>
      <c r="E134"/>
      <c r="F134"/>
      <c r="G134"/>
    </row>
    <row r="135" spans="1:7" ht="14.4" x14ac:dyDescent="0.3">
      <c r="A135"/>
      <c r="B135"/>
      <c r="C135"/>
      <c r="D135"/>
      <c r="E135"/>
      <c r="F135"/>
      <c r="G135"/>
    </row>
    <row r="136" spans="1:7" ht="14.4" x14ac:dyDescent="0.3">
      <c r="A136"/>
      <c r="B136"/>
      <c r="C136"/>
      <c r="D136"/>
      <c r="E136"/>
      <c r="F136"/>
      <c r="G136"/>
    </row>
    <row r="137" spans="1:7" ht="14.4" x14ac:dyDescent="0.3">
      <c r="A137"/>
      <c r="B137"/>
      <c r="C137"/>
      <c r="D137"/>
      <c r="E137"/>
      <c r="F137"/>
      <c r="G137"/>
    </row>
    <row r="138" spans="1:7" ht="14.4" x14ac:dyDescent="0.3">
      <c r="A138"/>
      <c r="B138"/>
      <c r="C138"/>
      <c r="D138"/>
      <c r="E138"/>
      <c r="F138"/>
      <c r="G138"/>
    </row>
    <row r="139" spans="1:7" ht="14.4" x14ac:dyDescent="0.3">
      <c r="A139"/>
      <c r="B139"/>
      <c r="C139"/>
      <c r="D139"/>
      <c r="E139"/>
      <c r="F139"/>
      <c r="G139"/>
    </row>
    <row r="140" spans="1:7" ht="14.4" x14ac:dyDescent="0.3">
      <c r="A140"/>
      <c r="B140"/>
      <c r="C140"/>
      <c r="D140"/>
      <c r="E140"/>
      <c r="F140"/>
      <c r="G140"/>
    </row>
    <row r="141" spans="1:7" ht="14.4" x14ac:dyDescent="0.3">
      <c r="A141"/>
      <c r="B141"/>
      <c r="C141"/>
      <c r="D141"/>
      <c r="E141"/>
      <c r="F141"/>
      <c r="G141"/>
    </row>
    <row r="142" spans="1:7" ht="14.4" x14ac:dyDescent="0.3">
      <c r="A142"/>
      <c r="B142"/>
      <c r="C142"/>
      <c r="D142"/>
      <c r="E142"/>
      <c r="F142"/>
      <c r="G142"/>
    </row>
    <row r="143" spans="1:7" ht="14.4" x14ac:dyDescent="0.3">
      <c r="A143"/>
      <c r="B143"/>
      <c r="C143"/>
      <c r="D143"/>
      <c r="E143"/>
      <c r="F143"/>
      <c r="G143"/>
    </row>
    <row r="144" spans="1:7" ht="14.4" x14ac:dyDescent="0.3">
      <c r="A144"/>
      <c r="B144"/>
      <c r="C144"/>
      <c r="D144"/>
      <c r="E144"/>
      <c r="F144"/>
      <c r="G144"/>
    </row>
    <row r="145" spans="1:7" ht="14.4" x14ac:dyDescent="0.3">
      <c r="A145"/>
      <c r="B145"/>
      <c r="C145"/>
      <c r="D145"/>
      <c r="E145"/>
      <c r="F145"/>
      <c r="G145"/>
    </row>
    <row r="146" spans="1:7" ht="14.4" x14ac:dyDescent="0.3">
      <c r="A146"/>
      <c r="B146"/>
      <c r="C146"/>
      <c r="D146"/>
      <c r="E146"/>
      <c r="F146"/>
      <c r="G146"/>
    </row>
    <row r="147" spans="1:7" ht="14.4" x14ac:dyDescent="0.3">
      <c r="A147"/>
      <c r="B147"/>
      <c r="C147"/>
      <c r="D147"/>
      <c r="E147"/>
      <c r="F147"/>
      <c r="G147"/>
    </row>
    <row r="148" spans="1:7" ht="14.4" x14ac:dyDescent="0.3">
      <c r="A148"/>
      <c r="B148"/>
      <c r="C148"/>
      <c r="D148"/>
      <c r="E148"/>
      <c r="F148"/>
      <c r="G148"/>
    </row>
    <row r="149" spans="1:7" ht="14.4" x14ac:dyDescent="0.3">
      <c r="A149"/>
      <c r="B149"/>
      <c r="C149"/>
      <c r="D149"/>
      <c r="E149"/>
      <c r="F149"/>
      <c r="G149"/>
    </row>
    <row r="150" spans="1:7" ht="14.4" x14ac:dyDescent="0.3">
      <c r="A150"/>
      <c r="B150"/>
      <c r="C150"/>
      <c r="D150"/>
      <c r="E150"/>
      <c r="F150"/>
      <c r="G150"/>
    </row>
    <row r="151" spans="1:7" ht="14.4" x14ac:dyDescent="0.3">
      <c r="A151"/>
      <c r="B151"/>
      <c r="C151"/>
      <c r="D151"/>
      <c r="E151"/>
      <c r="F151"/>
      <c r="G151"/>
    </row>
    <row r="152" spans="1:7" ht="14.4" x14ac:dyDescent="0.3">
      <c r="A152"/>
      <c r="B152"/>
      <c r="C152"/>
      <c r="D152"/>
      <c r="E152"/>
      <c r="F152"/>
      <c r="G152"/>
    </row>
    <row r="153" spans="1:7" ht="14.4" x14ac:dyDescent="0.3">
      <c r="A153"/>
      <c r="B153"/>
      <c r="C153"/>
      <c r="D153"/>
      <c r="E153"/>
      <c r="F153"/>
      <c r="G153"/>
    </row>
    <row r="154" spans="1:7" ht="14.4" x14ac:dyDescent="0.3">
      <c r="A154"/>
      <c r="B154"/>
      <c r="C154"/>
      <c r="D154"/>
      <c r="E154"/>
      <c r="F154"/>
      <c r="G154"/>
    </row>
    <row r="155" spans="1:7" ht="14.4" x14ac:dyDescent="0.3">
      <c r="A155"/>
      <c r="B155"/>
      <c r="C155"/>
      <c r="D155"/>
      <c r="E155"/>
      <c r="F155"/>
      <c r="G155"/>
    </row>
    <row r="156" spans="1:7" ht="14.4" x14ac:dyDescent="0.3">
      <c r="A156"/>
      <c r="B156"/>
      <c r="C156"/>
      <c r="D156"/>
      <c r="E156"/>
      <c r="F156"/>
      <c r="G156"/>
    </row>
    <row r="157" spans="1:7" ht="14.4" x14ac:dyDescent="0.3">
      <c r="A157"/>
      <c r="B157"/>
      <c r="C157"/>
      <c r="D157"/>
      <c r="E157"/>
      <c r="F157"/>
      <c r="G157"/>
    </row>
    <row r="158" spans="1:7" ht="14.4" x14ac:dyDescent="0.3">
      <c r="A158"/>
      <c r="B158"/>
      <c r="C158"/>
      <c r="D158"/>
      <c r="E158"/>
      <c r="F158"/>
      <c r="G158"/>
    </row>
    <row r="159" spans="1:7" ht="14.4" x14ac:dyDescent="0.3">
      <c r="A159"/>
      <c r="B159"/>
      <c r="C159"/>
      <c r="D159"/>
      <c r="E159"/>
      <c r="F159"/>
      <c r="G159"/>
    </row>
    <row r="160" spans="1:7" ht="14.4" x14ac:dyDescent="0.3">
      <c r="A160"/>
      <c r="B160"/>
      <c r="C160"/>
      <c r="D160"/>
      <c r="E160"/>
      <c r="F160"/>
      <c r="G160"/>
    </row>
    <row r="161" spans="1:7" ht="14.4" x14ac:dyDescent="0.3">
      <c r="A161"/>
      <c r="B161"/>
      <c r="C161"/>
      <c r="D161"/>
      <c r="E161"/>
      <c r="F161"/>
      <c r="G161"/>
    </row>
    <row r="162" spans="1:7" ht="14.4" x14ac:dyDescent="0.3">
      <c r="A162"/>
      <c r="B162"/>
      <c r="C162"/>
      <c r="D162"/>
      <c r="E162"/>
      <c r="F162"/>
      <c r="G162"/>
    </row>
    <row r="163" spans="1:7" ht="14.4" x14ac:dyDescent="0.3">
      <c r="A163"/>
      <c r="B163"/>
      <c r="C163"/>
      <c r="D163"/>
      <c r="E163"/>
      <c r="F163"/>
      <c r="G163"/>
    </row>
    <row r="164" spans="1:7" ht="14.4" x14ac:dyDescent="0.3">
      <c r="A164"/>
      <c r="B164"/>
      <c r="C164"/>
      <c r="D164"/>
      <c r="E164"/>
      <c r="F164"/>
      <c r="G164"/>
    </row>
    <row r="165" spans="1:7" ht="14.4" x14ac:dyDescent="0.3">
      <c r="A165"/>
      <c r="B165"/>
      <c r="C165"/>
      <c r="D165"/>
      <c r="E165"/>
      <c r="F165"/>
      <c r="G165"/>
    </row>
    <row r="166" spans="1:7" ht="14.4" x14ac:dyDescent="0.3">
      <c r="A166"/>
      <c r="B166"/>
      <c r="C166"/>
      <c r="D166"/>
      <c r="E166"/>
      <c r="F166"/>
      <c r="G166"/>
    </row>
    <row r="167" spans="1:7" ht="14.4" x14ac:dyDescent="0.3">
      <c r="A167"/>
      <c r="B167"/>
      <c r="C167"/>
      <c r="D167"/>
      <c r="E167"/>
      <c r="F167"/>
      <c r="G167"/>
    </row>
    <row r="168" spans="1:7" ht="14.4" x14ac:dyDescent="0.3">
      <c r="A168"/>
      <c r="B168"/>
      <c r="C168"/>
      <c r="D168"/>
      <c r="E168"/>
      <c r="F168"/>
      <c r="G168"/>
    </row>
    <row r="169" spans="1:7" ht="14.4" x14ac:dyDescent="0.3">
      <c r="A169"/>
      <c r="B169"/>
      <c r="C169"/>
      <c r="D169"/>
      <c r="E169"/>
      <c r="F169"/>
      <c r="G169"/>
    </row>
    <row r="170" spans="1:7" ht="14.4" x14ac:dyDescent="0.3">
      <c r="A170"/>
      <c r="B170"/>
      <c r="C170"/>
      <c r="D170"/>
      <c r="E170"/>
      <c r="F170"/>
      <c r="G170"/>
    </row>
    <row r="171" spans="1:7" ht="14.4" x14ac:dyDescent="0.3">
      <c r="A171"/>
      <c r="B171"/>
      <c r="C171"/>
      <c r="D171"/>
      <c r="E171"/>
      <c r="F171"/>
      <c r="G171"/>
    </row>
    <row r="172" spans="1:7" ht="14.4" x14ac:dyDescent="0.3">
      <c r="A172"/>
      <c r="B172"/>
      <c r="C172"/>
      <c r="D172"/>
      <c r="E172"/>
      <c r="F172"/>
      <c r="G172"/>
    </row>
    <row r="173" spans="1:7" ht="14.4" x14ac:dyDescent="0.3">
      <c r="A173"/>
      <c r="B173"/>
      <c r="C173"/>
      <c r="D173"/>
      <c r="E173"/>
      <c r="F173"/>
      <c r="G173"/>
    </row>
    <row r="174" spans="1:7" ht="14.4" x14ac:dyDescent="0.3">
      <c r="A174"/>
      <c r="B174"/>
      <c r="C174"/>
      <c r="D174"/>
      <c r="E174"/>
      <c r="F174"/>
      <c r="G174"/>
    </row>
    <row r="175" spans="1:7" ht="14.4" x14ac:dyDescent="0.3">
      <c r="A175"/>
      <c r="B175"/>
      <c r="C175"/>
      <c r="D175"/>
      <c r="E175"/>
      <c r="F175"/>
      <c r="G175"/>
    </row>
    <row r="176" spans="1:7" ht="14.4" x14ac:dyDescent="0.3">
      <c r="A176"/>
      <c r="B176"/>
      <c r="C176"/>
      <c r="D176"/>
      <c r="E176"/>
      <c r="F176"/>
      <c r="G176"/>
    </row>
    <row r="177" spans="1:7" ht="14.4" x14ac:dyDescent="0.3">
      <c r="A177"/>
      <c r="B177"/>
      <c r="C177"/>
      <c r="D177"/>
      <c r="E177"/>
      <c r="F177"/>
      <c r="G177"/>
    </row>
    <row r="178" spans="1:7" ht="14.4" x14ac:dyDescent="0.3">
      <c r="A178"/>
      <c r="B178"/>
      <c r="C178"/>
      <c r="D178"/>
      <c r="E178"/>
      <c r="F178"/>
      <c r="G178"/>
    </row>
    <row r="179" spans="1:7" ht="14.4" x14ac:dyDescent="0.3">
      <c r="A179"/>
      <c r="B179"/>
      <c r="C179"/>
      <c r="D179"/>
      <c r="E179"/>
      <c r="F179"/>
      <c r="G179"/>
    </row>
    <row r="180" spans="1:7" ht="14.4" x14ac:dyDescent="0.3">
      <c r="A180"/>
      <c r="B180"/>
      <c r="C180"/>
      <c r="D180"/>
      <c r="E180"/>
      <c r="F180"/>
      <c r="G180"/>
    </row>
    <row r="181" spans="1:7" ht="14.4" x14ac:dyDescent="0.3">
      <c r="A181"/>
      <c r="B181"/>
      <c r="C181"/>
      <c r="D181"/>
      <c r="E181"/>
      <c r="F181"/>
      <c r="G181"/>
    </row>
    <row r="182" spans="1:7" ht="14.4" x14ac:dyDescent="0.3">
      <c r="A182"/>
      <c r="B182"/>
      <c r="C182"/>
      <c r="D182"/>
      <c r="E182"/>
      <c r="F182"/>
      <c r="G182"/>
    </row>
    <row r="183" spans="1:7" ht="14.4" x14ac:dyDescent="0.3">
      <c r="A183"/>
      <c r="B183"/>
      <c r="C183"/>
      <c r="D183"/>
      <c r="E183"/>
      <c r="F183"/>
      <c r="G183"/>
    </row>
    <row r="184" spans="1:7" ht="14.4" x14ac:dyDescent="0.3">
      <c r="A184"/>
      <c r="B184"/>
      <c r="C184"/>
      <c r="D184"/>
      <c r="E184"/>
      <c r="F184"/>
      <c r="G184"/>
    </row>
    <row r="185" spans="1:7" ht="14.4" x14ac:dyDescent="0.3">
      <c r="A185"/>
      <c r="B185"/>
      <c r="C185"/>
      <c r="D185"/>
      <c r="E185"/>
      <c r="F185"/>
      <c r="G185"/>
    </row>
    <row r="186" spans="1:7" ht="14.4" x14ac:dyDescent="0.3">
      <c r="A186"/>
      <c r="B186"/>
      <c r="C186"/>
      <c r="D186"/>
      <c r="E186"/>
      <c r="F186"/>
      <c r="G186"/>
    </row>
    <row r="187" spans="1:7" ht="14.4" x14ac:dyDescent="0.3">
      <c r="A187"/>
      <c r="B187"/>
      <c r="C187"/>
      <c r="D187"/>
      <c r="E187"/>
      <c r="F187"/>
      <c r="G187"/>
    </row>
    <row r="188" spans="1:7" ht="14.4" x14ac:dyDescent="0.3">
      <c r="A188"/>
      <c r="B188"/>
      <c r="C188"/>
      <c r="D188"/>
      <c r="E188"/>
      <c r="F188"/>
      <c r="G188"/>
    </row>
    <row r="189" spans="1:7" ht="14.4" x14ac:dyDescent="0.3">
      <c r="A189"/>
      <c r="B189"/>
      <c r="C189"/>
      <c r="D189"/>
      <c r="E189"/>
      <c r="F189"/>
      <c r="G189"/>
    </row>
    <row r="190" spans="1:7" ht="14.4" x14ac:dyDescent="0.3">
      <c r="A190"/>
      <c r="B190"/>
      <c r="C190"/>
      <c r="D190"/>
      <c r="E190"/>
      <c r="F190"/>
      <c r="G190"/>
    </row>
    <row r="191" spans="1:7" ht="14.4" x14ac:dyDescent="0.3">
      <c r="A191"/>
      <c r="B191"/>
      <c r="C191"/>
      <c r="D191"/>
      <c r="E191"/>
      <c r="F191"/>
      <c r="G191"/>
    </row>
    <row r="192" spans="1:7" ht="14.4" x14ac:dyDescent="0.3">
      <c r="A192"/>
      <c r="B192"/>
      <c r="C192"/>
      <c r="D192"/>
      <c r="E192"/>
      <c r="F192"/>
      <c r="G192"/>
    </row>
    <row r="193" spans="1:7" ht="14.4" x14ac:dyDescent="0.3">
      <c r="A193"/>
      <c r="B193"/>
      <c r="C193"/>
      <c r="D193"/>
      <c r="E193"/>
      <c r="F193"/>
      <c r="G193"/>
    </row>
    <row r="194" spans="1:7" ht="14.4" x14ac:dyDescent="0.3">
      <c r="A194"/>
      <c r="B194"/>
      <c r="C194"/>
      <c r="D194"/>
      <c r="E194"/>
      <c r="F194"/>
      <c r="G194"/>
    </row>
    <row r="195" spans="1:7" ht="14.4" x14ac:dyDescent="0.3">
      <c r="A195"/>
      <c r="B195"/>
      <c r="C195"/>
      <c r="D195"/>
      <c r="E195"/>
      <c r="F195"/>
      <c r="G195"/>
    </row>
    <row r="196" spans="1:7" ht="14.4" x14ac:dyDescent="0.3">
      <c r="A196"/>
      <c r="B196"/>
      <c r="C196"/>
      <c r="D196"/>
      <c r="E196"/>
      <c r="F196"/>
      <c r="G196"/>
    </row>
    <row r="197" spans="1:7" ht="14.4" x14ac:dyDescent="0.3">
      <c r="A197"/>
      <c r="B197"/>
      <c r="C197"/>
      <c r="D197"/>
      <c r="E197"/>
      <c r="F197"/>
      <c r="G197"/>
    </row>
    <row r="198" spans="1:7" ht="14.4" x14ac:dyDescent="0.3">
      <c r="A198"/>
      <c r="B198"/>
      <c r="C198"/>
      <c r="D198"/>
      <c r="E198"/>
      <c r="F198"/>
      <c r="G198"/>
    </row>
    <row r="199" spans="1:7" ht="14.4" x14ac:dyDescent="0.3">
      <c r="A199"/>
      <c r="B199"/>
      <c r="C199"/>
      <c r="D199"/>
      <c r="E199"/>
      <c r="F199"/>
      <c r="G199"/>
    </row>
    <row r="200" spans="1:7" ht="14.4" x14ac:dyDescent="0.3">
      <c r="A200"/>
      <c r="B200"/>
      <c r="C200"/>
      <c r="D200"/>
      <c r="E200"/>
      <c r="F200"/>
      <c r="G200"/>
    </row>
    <row r="201" spans="1:7" ht="14.4" x14ac:dyDescent="0.3">
      <c r="A201"/>
      <c r="B201"/>
      <c r="C201"/>
      <c r="D201"/>
      <c r="E201"/>
      <c r="F201"/>
      <c r="G201"/>
    </row>
    <row r="202" spans="1:7" ht="14.4" x14ac:dyDescent="0.3">
      <c r="A202"/>
      <c r="B202"/>
      <c r="C202"/>
      <c r="D202"/>
      <c r="E202"/>
      <c r="F202"/>
      <c r="G202"/>
    </row>
    <row r="203" spans="1:7" ht="14.4" x14ac:dyDescent="0.3">
      <c r="A203"/>
      <c r="B203"/>
      <c r="C203"/>
      <c r="D203"/>
      <c r="E203"/>
      <c r="F203"/>
      <c r="G203"/>
    </row>
    <row r="204" spans="1:7" ht="14.4" x14ac:dyDescent="0.3">
      <c r="A204"/>
      <c r="B204"/>
      <c r="C204"/>
      <c r="D204"/>
      <c r="E204"/>
      <c r="F204"/>
      <c r="G204"/>
    </row>
    <row r="205" spans="1:7" ht="14.4" x14ac:dyDescent="0.3">
      <c r="A205"/>
      <c r="B205"/>
      <c r="C205"/>
      <c r="D205"/>
      <c r="E205"/>
      <c r="F205"/>
      <c r="G205"/>
    </row>
    <row r="206" spans="1:7" ht="14.4" x14ac:dyDescent="0.3">
      <c r="A206"/>
      <c r="B206"/>
      <c r="C206"/>
      <c r="D206"/>
      <c r="E206"/>
      <c r="F206"/>
      <c r="G206"/>
    </row>
    <row r="207" spans="1:7" ht="14.4" x14ac:dyDescent="0.3">
      <c r="A207"/>
      <c r="B207"/>
      <c r="C207"/>
      <c r="D207"/>
      <c r="E207"/>
      <c r="F207"/>
      <c r="G207"/>
    </row>
    <row r="208" spans="1:7" ht="14.4" x14ac:dyDescent="0.3">
      <c r="A208"/>
      <c r="B208"/>
      <c r="C208"/>
      <c r="D208"/>
      <c r="E208"/>
      <c r="F208"/>
      <c r="G208"/>
    </row>
    <row r="209" spans="1:7" ht="14.4" x14ac:dyDescent="0.3">
      <c r="A209"/>
      <c r="B209"/>
      <c r="C209"/>
      <c r="D209"/>
      <c r="E209"/>
      <c r="F209"/>
      <c r="G209"/>
    </row>
    <row r="210" spans="1:7" ht="14.4" x14ac:dyDescent="0.3">
      <c r="A210"/>
      <c r="B210"/>
      <c r="C210"/>
      <c r="D210"/>
      <c r="E210"/>
      <c r="F210"/>
      <c r="G210"/>
    </row>
    <row r="211" spans="1:7" ht="14.4" x14ac:dyDescent="0.3">
      <c r="A211"/>
      <c r="B211"/>
      <c r="C211"/>
      <c r="D211"/>
      <c r="E211"/>
      <c r="F211"/>
      <c r="G211"/>
    </row>
    <row r="212" spans="1:7" ht="14.4" x14ac:dyDescent="0.3">
      <c r="A212"/>
      <c r="B212"/>
      <c r="C212"/>
      <c r="D212"/>
      <c r="E212"/>
      <c r="F212"/>
      <c r="G212"/>
    </row>
    <row r="213" spans="1:7" ht="14.4" x14ac:dyDescent="0.3">
      <c r="A213"/>
      <c r="B213"/>
      <c r="C213"/>
      <c r="D213"/>
      <c r="E213"/>
      <c r="F213"/>
      <c r="G213"/>
    </row>
    <row r="214" spans="1:7" ht="14.4" x14ac:dyDescent="0.3">
      <c r="A214"/>
      <c r="B214"/>
      <c r="C214"/>
      <c r="D214"/>
      <c r="E214"/>
      <c r="F214"/>
      <c r="G214"/>
    </row>
    <row r="215" spans="1:7" ht="14.4" x14ac:dyDescent="0.3">
      <c r="A215"/>
      <c r="B215"/>
      <c r="C215"/>
      <c r="D215"/>
      <c r="E215"/>
      <c r="F215"/>
      <c r="G215"/>
    </row>
    <row r="216" spans="1:7" ht="14.4" x14ac:dyDescent="0.3">
      <c r="A216"/>
      <c r="B216"/>
      <c r="C216"/>
      <c r="D216"/>
      <c r="E216"/>
      <c r="F216"/>
      <c r="G216"/>
    </row>
    <row r="217" spans="1:7" ht="14.4" x14ac:dyDescent="0.3">
      <c r="A217"/>
      <c r="B217"/>
      <c r="C217"/>
      <c r="D217"/>
      <c r="E217"/>
      <c r="F217"/>
      <c r="G217"/>
    </row>
    <row r="218" spans="1:7" ht="14.4" x14ac:dyDescent="0.3">
      <c r="A218"/>
      <c r="B218"/>
      <c r="C218"/>
      <c r="D218"/>
      <c r="E218"/>
      <c r="F218"/>
      <c r="G218"/>
    </row>
    <row r="219" spans="1:7" ht="14.4" x14ac:dyDescent="0.3">
      <c r="A219"/>
      <c r="B219"/>
      <c r="C219"/>
      <c r="D219"/>
      <c r="E219"/>
      <c r="F219"/>
      <c r="G219"/>
    </row>
    <row r="220" spans="1:7" ht="14.4" x14ac:dyDescent="0.3">
      <c r="A220"/>
      <c r="B220"/>
      <c r="C220"/>
      <c r="D220"/>
      <c r="E220"/>
      <c r="F220"/>
      <c r="G220"/>
    </row>
    <row r="221" spans="1:7" ht="14.4" x14ac:dyDescent="0.3">
      <c r="A221"/>
      <c r="B221"/>
      <c r="C221"/>
      <c r="D221"/>
      <c r="E221"/>
      <c r="F221"/>
      <c r="G221"/>
    </row>
    <row r="222" spans="1:7" ht="14.4" x14ac:dyDescent="0.3">
      <c r="A222"/>
      <c r="B222"/>
      <c r="C222"/>
      <c r="D222"/>
      <c r="E222"/>
      <c r="F222"/>
      <c r="G222"/>
    </row>
    <row r="223" spans="1:7" ht="14.4" x14ac:dyDescent="0.3">
      <c r="A223"/>
      <c r="B223"/>
      <c r="C223"/>
      <c r="D223"/>
      <c r="E223"/>
      <c r="F223"/>
      <c r="G223"/>
    </row>
    <row r="224" spans="1:7" ht="14.4" x14ac:dyDescent="0.3">
      <c r="A224"/>
      <c r="B224"/>
      <c r="C224"/>
      <c r="D224"/>
      <c r="E224"/>
      <c r="F224"/>
      <c r="G224"/>
    </row>
    <row r="225" spans="1:7" ht="14.4" x14ac:dyDescent="0.3">
      <c r="A225"/>
      <c r="B225"/>
      <c r="C225"/>
      <c r="D225"/>
      <c r="E225"/>
      <c r="F225"/>
      <c r="G225"/>
    </row>
    <row r="226" spans="1:7" ht="14.4" x14ac:dyDescent="0.3">
      <c r="A226"/>
      <c r="B226"/>
      <c r="C226"/>
      <c r="D226"/>
      <c r="E226"/>
      <c r="F226"/>
      <c r="G226"/>
    </row>
    <row r="227" spans="1:7" ht="14.4" x14ac:dyDescent="0.3">
      <c r="A227"/>
      <c r="B227"/>
      <c r="C227"/>
      <c r="D227"/>
      <c r="E227"/>
      <c r="F227"/>
      <c r="G227"/>
    </row>
    <row r="228" spans="1:7" ht="14.4" x14ac:dyDescent="0.3">
      <c r="A228"/>
      <c r="B228"/>
      <c r="C228"/>
      <c r="D228"/>
      <c r="E228"/>
      <c r="F228"/>
      <c r="G228"/>
    </row>
    <row r="229" spans="1:7" ht="14.4" x14ac:dyDescent="0.3">
      <c r="A229"/>
      <c r="B229"/>
      <c r="C229"/>
      <c r="D229"/>
      <c r="E229"/>
      <c r="F229"/>
      <c r="G229"/>
    </row>
    <row r="230" spans="1:7" ht="14.4" x14ac:dyDescent="0.3">
      <c r="A230"/>
      <c r="B230"/>
      <c r="C230"/>
      <c r="D230"/>
      <c r="E230"/>
      <c r="F230"/>
      <c r="G230"/>
    </row>
    <row r="231" spans="1:7" ht="14.4" x14ac:dyDescent="0.3">
      <c r="A231"/>
      <c r="B231"/>
      <c r="C231"/>
      <c r="D231"/>
      <c r="E231"/>
      <c r="F231"/>
      <c r="G231"/>
    </row>
    <row r="232" spans="1:7" ht="14.4" x14ac:dyDescent="0.3">
      <c r="A232"/>
      <c r="B232"/>
      <c r="C232"/>
      <c r="D232"/>
      <c r="E232"/>
      <c r="F232"/>
      <c r="G232"/>
    </row>
    <row r="233" spans="1:7" ht="14.4" x14ac:dyDescent="0.3">
      <c r="A233"/>
      <c r="B233"/>
      <c r="C233"/>
      <c r="D233"/>
      <c r="E233"/>
      <c r="F233"/>
      <c r="G233"/>
    </row>
    <row r="234" spans="1:7" ht="14.4" x14ac:dyDescent="0.3">
      <c r="A234"/>
      <c r="B234"/>
      <c r="C234"/>
      <c r="D234"/>
      <c r="E234"/>
      <c r="F234"/>
      <c r="G234"/>
    </row>
    <row r="235" spans="1:7" ht="14.4" x14ac:dyDescent="0.3">
      <c r="A235"/>
      <c r="B235"/>
      <c r="C235"/>
      <c r="D235"/>
      <c r="E235"/>
      <c r="F235"/>
      <c r="G235"/>
    </row>
    <row r="236" spans="1:7" ht="14.4" x14ac:dyDescent="0.3">
      <c r="A236"/>
      <c r="B236"/>
      <c r="C236"/>
      <c r="D236"/>
      <c r="E236"/>
      <c r="F236"/>
      <c r="G236"/>
    </row>
    <row r="237" spans="1:7" ht="14.4" x14ac:dyDescent="0.3">
      <c r="A237"/>
      <c r="B237"/>
      <c r="C237"/>
      <c r="D237"/>
      <c r="E237"/>
      <c r="F237"/>
      <c r="G237"/>
    </row>
    <row r="238" spans="1:7" ht="14.4" x14ac:dyDescent="0.3">
      <c r="A238"/>
      <c r="B238"/>
      <c r="C238"/>
      <c r="D238"/>
      <c r="E238"/>
      <c r="F238"/>
      <c r="G238"/>
    </row>
    <row r="239" spans="1:7" ht="14.4" x14ac:dyDescent="0.3">
      <c r="A239"/>
      <c r="B239"/>
      <c r="C239"/>
      <c r="D239"/>
      <c r="E239"/>
      <c r="F239"/>
      <c r="G239"/>
    </row>
    <row r="240" spans="1:7" ht="14.4" x14ac:dyDescent="0.3">
      <c r="A240"/>
      <c r="B240"/>
      <c r="C240"/>
      <c r="D240"/>
      <c r="E240"/>
      <c r="F240"/>
      <c r="G240"/>
    </row>
    <row r="241" spans="1:7" ht="14.4" x14ac:dyDescent="0.3">
      <c r="A241"/>
      <c r="B241"/>
      <c r="C241"/>
      <c r="D241"/>
      <c r="E241"/>
      <c r="F241"/>
      <c r="G241"/>
    </row>
    <row r="242" spans="1:7" ht="14.4" x14ac:dyDescent="0.3">
      <c r="A242"/>
      <c r="B242"/>
      <c r="C242"/>
      <c r="D242"/>
      <c r="E242"/>
      <c r="F242"/>
      <c r="G242"/>
    </row>
    <row r="243" spans="1:7" ht="14.4" x14ac:dyDescent="0.3">
      <c r="A243"/>
      <c r="B243"/>
      <c r="C243"/>
      <c r="D243"/>
      <c r="E243"/>
      <c r="F243"/>
      <c r="G243"/>
    </row>
    <row r="244" spans="1:7" ht="14.4" x14ac:dyDescent="0.3">
      <c r="A244"/>
      <c r="B244"/>
      <c r="C244"/>
      <c r="D244"/>
      <c r="E244"/>
      <c r="F244"/>
      <c r="G244"/>
    </row>
    <row r="245" spans="1:7" ht="14.4" x14ac:dyDescent="0.3">
      <c r="A245"/>
      <c r="B245"/>
      <c r="C245"/>
      <c r="D245"/>
      <c r="E245"/>
      <c r="F245"/>
      <c r="G245"/>
    </row>
    <row r="246" spans="1:7" ht="14.4" x14ac:dyDescent="0.3">
      <c r="A246"/>
      <c r="B246"/>
      <c r="C246"/>
      <c r="D246"/>
      <c r="E246"/>
      <c r="F246"/>
      <c r="G246"/>
    </row>
    <row r="247" spans="1:7" ht="14.4" x14ac:dyDescent="0.3">
      <c r="A247"/>
      <c r="B247"/>
      <c r="C247"/>
      <c r="D247"/>
      <c r="E247"/>
      <c r="F247"/>
      <c r="G247"/>
    </row>
    <row r="248" spans="1:7" ht="14.4" x14ac:dyDescent="0.3">
      <c r="A248"/>
      <c r="B248"/>
      <c r="C248"/>
      <c r="D248"/>
      <c r="E248"/>
      <c r="F248"/>
      <c r="G248"/>
    </row>
    <row r="249" spans="1:7" ht="14.4" x14ac:dyDescent="0.3">
      <c r="A249"/>
      <c r="B249"/>
      <c r="C249"/>
      <c r="D249"/>
      <c r="E249"/>
      <c r="F249"/>
      <c r="G249"/>
    </row>
    <row r="250" spans="1:7" ht="14.4" x14ac:dyDescent="0.3">
      <c r="A250"/>
      <c r="B250"/>
      <c r="C250"/>
      <c r="D250"/>
      <c r="E250"/>
      <c r="F250"/>
      <c r="G250"/>
    </row>
    <row r="251" spans="1:7" ht="14.4" x14ac:dyDescent="0.3">
      <c r="A251"/>
      <c r="B251"/>
      <c r="C251"/>
      <c r="D251"/>
      <c r="E251"/>
      <c r="F251"/>
      <c r="G251"/>
    </row>
    <row r="252" spans="1:7" ht="14.4" x14ac:dyDescent="0.3">
      <c r="A252"/>
      <c r="B252"/>
      <c r="C252"/>
      <c r="D252"/>
      <c r="E252"/>
      <c r="F252"/>
      <c r="G252"/>
    </row>
    <row r="253" spans="1:7" ht="14.4" x14ac:dyDescent="0.3">
      <c r="A253"/>
      <c r="B253"/>
      <c r="C253"/>
      <c r="D253"/>
      <c r="E253"/>
      <c r="F253"/>
      <c r="G253"/>
    </row>
    <row r="254" spans="1:7" ht="14.4" x14ac:dyDescent="0.3">
      <c r="A254"/>
      <c r="B254"/>
      <c r="C254"/>
      <c r="D254"/>
      <c r="E254"/>
      <c r="F254"/>
      <c r="G254"/>
    </row>
    <row r="255" spans="1:7" ht="14.4" x14ac:dyDescent="0.3">
      <c r="A255"/>
      <c r="B255"/>
      <c r="C255"/>
      <c r="D255"/>
      <c r="E255"/>
      <c r="F255"/>
      <c r="G255"/>
    </row>
    <row r="256" spans="1:7" ht="14.4" x14ac:dyDescent="0.3">
      <c r="A256"/>
      <c r="B256"/>
      <c r="C256"/>
      <c r="D256"/>
      <c r="E256"/>
      <c r="F256"/>
      <c r="G256"/>
    </row>
    <row r="257" spans="1:7" ht="14.4" x14ac:dyDescent="0.3">
      <c r="A257"/>
      <c r="B257"/>
      <c r="C257"/>
      <c r="D257"/>
      <c r="E257"/>
      <c r="F257"/>
      <c r="G257"/>
    </row>
    <row r="258" spans="1:7" ht="14.4" x14ac:dyDescent="0.3">
      <c r="A258"/>
      <c r="B258"/>
      <c r="C258"/>
      <c r="D258"/>
      <c r="E258"/>
      <c r="F258"/>
      <c r="G258"/>
    </row>
    <row r="259" spans="1:7" ht="14.4" x14ac:dyDescent="0.3">
      <c r="A259"/>
      <c r="B259"/>
      <c r="C259"/>
      <c r="D259"/>
      <c r="E259"/>
      <c r="F259"/>
      <c r="G259"/>
    </row>
    <row r="260" spans="1:7" ht="14.4" x14ac:dyDescent="0.3">
      <c r="A260"/>
      <c r="B260"/>
      <c r="C260"/>
      <c r="D260"/>
      <c r="E260"/>
      <c r="F260"/>
      <c r="G260"/>
    </row>
    <row r="261" spans="1:7" ht="14.4" x14ac:dyDescent="0.3">
      <c r="A261"/>
      <c r="B261"/>
      <c r="C261"/>
      <c r="D261"/>
      <c r="E261"/>
      <c r="F261"/>
      <c r="G261"/>
    </row>
    <row r="262" spans="1:7" ht="14.4" x14ac:dyDescent="0.3">
      <c r="A262"/>
      <c r="B262"/>
      <c r="C262"/>
      <c r="D262"/>
      <c r="E262"/>
      <c r="F262"/>
      <c r="G262"/>
    </row>
    <row r="263" spans="1:7" ht="14.4" x14ac:dyDescent="0.3">
      <c r="A263"/>
      <c r="B263"/>
      <c r="C263"/>
      <c r="D263"/>
      <c r="E263"/>
      <c r="F263"/>
      <c r="G263"/>
    </row>
    <row r="264" spans="1:7" ht="14.4" x14ac:dyDescent="0.3">
      <c r="A264"/>
      <c r="B264"/>
      <c r="C264"/>
      <c r="D264"/>
      <c r="E264"/>
      <c r="F264"/>
      <c r="G264"/>
    </row>
    <row r="265" spans="1:7" ht="14.4" x14ac:dyDescent="0.3">
      <c r="A265"/>
      <c r="B265"/>
      <c r="C265"/>
      <c r="D265"/>
      <c r="E265"/>
      <c r="F265"/>
      <c r="G265"/>
    </row>
    <row r="266" spans="1:7" ht="14.4" x14ac:dyDescent="0.3">
      <c r="A266"/>
      <c r="B266"/>
      <c r="C266"/>
      <c r="D266"/>
      <c r="E266"/>
      <c r="F266"/>
      <c r="G266"/>
    </row>
    <row r="267" spans="1:7" ht="14.4" x14ac:dyDescent="0.3">
      <c r="A267"/>
      <c r="B267"/>
      <c r="C267"/>
      <c r="D267"/>
      <c r="E267"/>
      <c r="F267"/>
      <c r="G267"/>
    </row>
    <row r="268" spans="1:7" ht="14.4" x14ac:dyDescent="0.3">
      <c r="A268"/>
      <c r="B268"/>
      <c r="C268"/>
      <c r="D268"/>
      <c r="E268"/>
      <c r="F268"/>
      <c r="G268"/>
    </row>
    <row r="269" spans="1:7" ht="14.4" x14ac:dyDescent="0.3">
      <c r="A269"/>
      <c r="B269"/>
      <c r="C269"/>
      <c r="D269"/>
      <c r="E269"/>
      <c r="F269"/>
      <c r="G269"/>
    </row>
    <row r="270" spans="1:7" ht="14.4" x14ac:dyDescent="0.3">
      <c r="A270"/>
      <c r="B270"/>
      <c r="C270"/>
      <c r="D270"/>
      <c r="E270"/>
      <c r="F270"/>
      <c r="G270"/>
    </row>
    <row r="271" spans="1:7" ht="14.4" x14ac:dyDescent="0.3">
      <c r="A271"/>
      <c r="B271"/>
      <c r="C271"/>
      <c r="D271"/>
      <c r="E271"/>
      <c r="F271"/>
      <c r="G271"/>
    </row>
    <row r="272" spans="1:7" ht="14.4" x14ac:dyDescent="0.3">
      <c r="A272"/>
      <c r="B272"/>
      <c r="C272"/>
      <c r="D272"/>
      <c r="E272"/>
      <c r="F272"/>
      <c r="G272"/>
    </row>
    <row r="273" spans="1:7" ht="14.4" x14ac:dyDescent="0.3">
      <c r="A273"/>
      <c r="B273"/>
      <c r="C273"/>
      <c r="D273"/>
      <c r="E273"/>
      <c r="F273"/>
      <c r="G273"/>
    </row>
    <row r="274" spans="1:7" ht="14.4" x14ac:dyDescent="0.3">
      <c r="A274"/>
      <c r="B274"/>
      <c r="C274"/>
      <c r="D274"/>
      <c r="E274"/>
      <c r="F274"/>
      <c r="G274"/>
    </row>
    <row r="275" spans="1:7" ht="14.4" x14ac:dyDescent="0.3">
      <c r="A275"/>
      <c r="B275"/>
      <c r="C275"/>
      <c r="D275"/>
      <c r="E275"/>
      <c r="F275"/>
      <c r="G275"/>
    </row>
    <row r="276" spans="1:7" ht="14.4" x14ac:dyDescent="0.3">
      <c r="A276"/>
      <c r="B276"/>
      <c r="C276"/>
      <c r="D276"/>
      <c r="E276"/>
      <c r="F276"/>
      <c r="G276"/>
    </row>
    <row r="277" spans="1:7" ht="14.4" x14ac:dyDescent="0.3">
      <c r="A277"/>
      <c r="B277"/>
      <c r="C277"/>
      <c r="D277"/>
      <c r="E277"/>
      <c r="F277"/>
      <c r="G277"/>
    </row>
    <row r="278" spans="1:7" ht="14.4" x14ac:dyDescent="0.3">
      <c r="A278"/>
      <c r="B278"/>
      <c r="C278"/>
      <c r="D278"/>
      <c r="E278"/>
      <c r="F278"/>
      <c r="G278"/>
    </row>
    <row r="279" spans="1:7" ht="14.4" x14ac:dyDescent="0.3">
      <c r="A279"/>
      <c r="B279"/>
      <c r="C279"/>
      <c r="D279"/>
      <c r="E279"/>
      <c r="F279"/>
      <c r="G279"/>
    </row>
    <row r="280" spans="1:7" ht="14.4" x14ac:dyDescent="0.3">
      <c r="A280"/>
      <c r="B280"/>
      <c r="C280"/>
      <c r="D280"/>
      <c r="E280"/>
      <c r="F280"/>
      <c r="G280"/>
    </row>
    <row r="281" spans="1:7" ht="14.4" x14ac:dyDescent="0.3">
      <c r="A281"/>
      <c r="B281"/>
      <c r="C281"/>
      <c r="D281"/>
      <c r="E281"/>
      <c r="F281"/>
      <c r="G281"/>
    </row>
    <row r="282" spans="1:7" ht="14.4" x14ac:dyDescent="0.3">
      <c r="A282"/>
      <c r="B282"/>
      <c r="C282"/>
      <c r="D282"/>
      <c r="E282"/>
      <c r="F282"/>
      <c r="G282"/>
    </row>
    <row r="283" spans="1:7" ht="14.4" x14ac:dyDescent="0.3">
      <c r="A283"/>
      <c r="B283"/>
      <c r="C283"/>
      <c r="D283"/>
      <c r="E283"/>
      <c r="F283"/>
      <c r="G283"/>
    </row>
    <row r="284" spans="1:7" ht="14.4" x14ac:dyDescent="0.3">
      <c r="A284"/>
      <c r="B284"/>
      <c r="C284"/>
      <c r="D284"/>
      <c r="E284"/>
      <c r="F284"/>
      <c r="G284"/>
    </row>
    <row r="285" spans="1:7" ht="14.4" x14ac:dyDescent="0.3">
      <c r="A285"/>
      <c r="B285"/>
      <c r="C285"/>
      <c r="D285"/>
      <c r="E285"/>
      <c r="F285"/>
      <c r="G285"/>
    </row>
    <row r="286" spans="1:7" ht="14.4" x14ac:dyDescent="0.3">
      <c r="A286"/>
      <c r="B286"/>
      <c r="C286"/>
      <c r="D286"/>
      <c r="E286"/>
      <c r="F286"/>
      <c r="G286"/>
    </row>
    <row r="287" spans="1:7" ht="14.4" x14ac:dyDescent="0.3">
      <c r="A287"/>
      <c r="B287"/>
      <c r="C287"/>
      <c r="D287"/>
      <c r="E287"/>
      <c r="F287"/>
      <c r="G287"/>
    </row>
    <row r="288" spans="1:7" ht="14.4" x14ac:dyDescent="0.3">
      <c r="A288"/>
      <c r="B288"/>
      <c r="C288"/>
      <c r="D288"/>
      <c r="E288"/>
      <c r="F288"/>
      <c r="G288"/>
    </row>
    <row r="289" spans="1:7" ht="14.4" x14ac:dyDescent="0.3">
      <c r="A289"/>
      <c r="B289"/>
      <c r="C289"/>
      <c r="D289"/>
      <c r="E289"/>
      <c r="F289"/>
      <c r="G289"/>
    </row>
    <row r="290" spans="1:7" ht="14.4" x14ac:dyDescent="0.3">
      <c r="A290"/>
      <c r="B290"/>
      <c r="C290"/>
      <c r="D290"/>
      <c r="E290"/>
      <c r="F290"/>
      <c r="G290"/>
    </row>
    <row r="291" spans="1:7" ht="14.4" x14ac:dyDescent="0.3">
      <c r="A291"/>
      <c r="B291"/>
      <c r="C291"/>
      <c r="D291"/>
      <c r="E291"/>
      <c r="F291"/>
      <c r="G291"/>
    </row>
    <row r="292" spans="1:7" ht="14.4" x14ac:dyDescent="0.3">
      <c r="A292"/>
      <c r="B292"/>
      <c r="C292"/>
      <c r="D292"/>
      <c r="E292"/>
      <c r="F292"/>
      <c r="G292"/>
    </row>
    <row r="293" spans="1:7" ht="14.4" x14ac:dyDescent="0.3">
      <c r="A293"/>
      <c r="B293"/>
      <c r="C293"/>
      <c r="D293"/>
      <c r="E293"/>
      <c r="F293"/>
      <c r="G293"/>
    </row>
    <row r="294" spans="1:7" ht="14.4" x14ac:dyDescent="0.3">
      <c r="A294"/>
      <c r="B294"/>
      <c r="C294"/>
      <c r="D294"/>
      <c r="E294"/>
      <c r="F294"/>
      <c r="G294"/>
    </row>
    <row r="295" spans="1:7" ht="14.4" x14ac:dyDescent="0.3">
      <c r="A295"/>
      <c r="B295"/>
      <c r="C295"/>
      <c r="D295"/>
      <c r="E295"/>
      <c r="F295"/>
      <c r="G295"/>
    </row>
    <row r="296" spans="1:7" ht="14.4" x14ac:dyDescent="0.3">
      <c r="A296"/>
      <c r="B296"/>
      <c r="C296"/>
      <c r="D296"/>
      <c r="E296"/>
      <c r="F296"/>
      <c r="G296"/>
    </row>
    <row r="297" spans="1:7" ht="14.4" x14ac:dyDescent="0.3">
      <c r="A297"/>
      <c r="B297"/>
      <c r="C297"/>
      <c r="D297"/>
      <c r="E297"/>
      <c r="F297"/>
      <c r="G297"/>
    </row>
    <row r="298" spans="1:7" ht="14.4" x14ac:dyDescent="0.3">
      <c r="A298"/>
      <c r="B298"/>
      <c r="C298"/>
      <c r="D298"/>
      <c r="E298"/>
      <c r="F298"/>
      <c r="G298"/>
    </row>
    <row r="299" spans="1:7" ht="14.4" x14ac:dyDescent="0.3">
      <c r="A299"/>
      <c r="B299"/>
      <c r="C299"/>
      <c r="D299"/>
      <c r="E299"/>
      <c r="F299"/>
      <c r="G299"/>
    </row>
    <row r="300" spans="1:7" ht="14.4" x14ac:dyDescent="0.3">
      <c r="A300"/>
      <c r="B300"/>
      <c r="C300"/>
      <c r="D300"/>
      <c r="E300"/>
      <c r="F300"/>
      <c r="G300"/>
    </row>
    <row r="301" spans="1:7" ht="14.4" x14ac:dyDescent="0.3">
      <c r="A301"/>
      <c r="B301"/>
      <c r="C301"/>
      <c r="D301"/>
      <c r="E301"/>
      <c r="F301"/>
      <c r="G301"/>
    </row>
    <row r="302" spans="1:7" ht="14.4" x14ac:dyDescent="0.3">
      <c r="A302"/>
      <c r="B302"/>
      <c r="C302"/>
      <c r="D302"/>
      <c r="E302"/>
      <c r="F302"/>
      <c r="G302"/>
    </row>
    <row r="303" spans="1:7" ht="14.4" x14ac:dyDescent="0.3">
      <c r="A303"/>
      <c r="B303"/>
      <c r="C303"/>
      <c r="D303"/>
      <c r="E303"/>
      <c r="F303"/>
      <c r="G303"/>
    </row>
    <row r="304" spans="1:7" ht="14.4" x14ac:dyDescent="0.3">
      <c r="A304"/>
      <c r="B304"/>
      <c r="C304"/>
      <c r="D304"/>
      <c r="E304"/>
      <c r="F304"/>
      <c r="G304"/>
    </row>
    <row r="305" spans="1:7" ht="14.4" x14ac:dyDescent="0.3">
      <c r="A305"/>
      <c r="B305"/>
      <c r="C305"/>
      <c r="D305"/>
      <c r="E305"/>
      <c r="F305"/>
      <c r="G305"/>
    </row>
    <row r="306" spans="1:7" ht="14.4" x14ac:dyDescent="0.3">
      <c r="A306"/>
      <c r="B306"/>
      <c r="C306"/>
      <c r="D306"/>
      <c r="E306"/>
      <c r="F306"/>
      <c r="G306"/>
    </row>
    <row r="307" spans="1:7" ht="14.4" x14ac:dyDescent="0.3">
      <c r="A307"/>
      <c r="B307"/>
      <c r="C307"/>
      <c r="D307"/>
      <c r="E307"/>
      <c r="F307"/>
      <c r="G307"/>
    </row>
    <row r="308" spans="1:7" ht="14.4" x14ac:dyDescent="0.3">
      <c r="A308"/>
      <c r="B308"/>
      <c r="C308"/>
      <c r="D308"/>
      <c r="E308"/>
      <c r="F308"/>
      <c r="G308"/>
    </row>
    <row r="309" spans="1:7" ht="14.4" x14ac:dyDescent="0.3">
      <c r="A309"/>
      <c r="B309"/>
      <c r="C309"/>
      <c r="D309"/>
      <c r="E309"/>
      <c r="F309"/>
      <c r="G309"/>
    </row>
    <row r="310" spans="1:7" ht="14.4" x14ac:dyDescent="0.3">
      <c r="A310"/>
      <c r="B310"/>
      <c r="C310"/>
      <c r="D310"/>
      <c r="E310"/>
      <c r="F310"/>
      <c r="G310"/>
    </row>
    <row r="311" spans="1:7" ht="14.4" x14ac:dyDescent="0.3">
      <c r="A311"/>
      <c r="B311"/>
      <c r="C311"/>
      <c r="D311"/>
      <c r="E311"/>
      <c r="F311"/>
      <c r="G311"/>
    </row>
    <row r="312" spans="1:7" ht="14.4" x14ac:dyDescent="0.3">
      <c r="A312"/>
      <c r="B312"/>
      <c r="C312"/>
      <c r="D312"/>
      <c r="E312"/>
      <c r="F312"/>
      <c r="G312"/>
    </row>
    <row r="313" spans="1:7" ht="14.4" x14ac:dyDescent="0.3">
      <c r="A313"/>
      <c r="B313"/>
      <c r="C313"/>
      <c r="D313"/>
      <c r="E313"/>
      <c r="F313"/>
      <c r="G313"/>
    </row>
    <row r="314" spans="1:7" ht="14.4" x14ac:dyDescent="0.3">
      <c r="A314"/>
      <c r="B314"/>
      <c r="C314"/>
      <c r="D314"/>
      <c r="E314"/>
      <c r="F314"/>
      <c r="G314"/>
    </row>
    <row r="315" spans="1:7" ht="14.4" x14ac:dyDescent="0.3">
      <c r="A315"/>
      <c r="B315"/>
      <c r="C315"/>
      <c r="D315"/>
      <c r="E315"/>
      <c r="F315"/>
      <c r="G315"/>
    </row>
    <row r="316" spans="1:7" ht="14.4" x14ac:dyDescent="0.3">
      <c r="A316"/>
      <c r="B316"/>
      <c r="C316"/>
      <c r="D316"/>
      <c r="E316"/>
      <c r="F316"/>
      <c r="G316"/>
    </row>
    <row r="317" spans="1:7" ht="14.4" x14ac:dyDescent="0.3">
      <c r="A317"/>
      <c r="B317"/>
      <c r="C317"/>
      <c r="D317"/>
      <c r="E317"/>
      <c r="F317"/>
      <c r="G317"/>
    </row>
    <row r="318" spans="1:7" ht="14.4" x14ac:dyDescent="0.3">
      <c r="A318"/>
      <c r="B318"/>
      <c r="C318"/>
      <c r="D318"/>
      <c r="E318"/>
      <c r="F318"/>
      <c r="G318"/>
    </row>
    <row r="319" spans="1:7" ht="14.4" x14ac:dyDescent="0.3">
      <c r="A319"/>
      <c r="B319"/>
      <c r="C319"/>
      <c r="D319"/>
      <c r="E319"/>
      <c r="F319"/>
      <c r="G319"/>
    </row>
    <row r="320" spans="1:7" ht="14.4" x14ac:dyDescent="0.3">
      <c r="A320"/>
      <c r="B320"/>
      <c r="C320"/>
      <c r="D320"/>
      <c r="E320"/>
      <c r="F320"/>
      <c r="G320"/>
    </row>
    <row r="321" spans="1:7" ht="14.4" x14ac:dyDescent="0.3">
      <c r="A321"/>
      <c r="B321"/>
      <c r="C321"/>
      <c r="D321"/>
      <c r="E321"/>
      <c r="F321"/>
      <c r="G321"/>
    </row>
    <row r="322" spans="1:7" ht="14.4" x14ac:dyDescent="0.3">
      <c r="A322"/>
      <c r="B322"/>
      <c r="C322"/>
      <c r="D322"/>
      <c r="E322"/>
      <c r="F322"/>
      <c r="G322"/>
    </row>
    <row r="323" spans="1:7" ht="14.4" x14ac:dyDescent="0.3">
      <c r="A323"/>
      <c r="B323"/>
      <c r="C323"/>
      <c r="D323"/>
      <c r="E323"/>
      <c r="F323"/>
      <c r="G323"/>
    </row>
    <row r="324" spans="1:7" ht="14.4" x14ac:dyDescent="0.3">
      <c r="A324"/>
      <c r="B324"/>
      <c r="C324"/>
      <c r="D324"/>
      <c r="E324"/>
      <c r="F324"/>
      <c r="G324"/>
    </row>
    <row r="325" spans="1:7" ht="14.4" x14ac:dyDescent="0.3">
      <c r="A325"/>
      <c r="B325"/>
      <c r="C325"/>
      <c r="D325"/>
      <c r="E325"/>
      <c r="F325"/>
      <c r="G325"/>
    </row>
    <row r="326" spans="1:7" ht="14.4" x14ac:dyDescent="0.3">
      <c r="A326"/>
      <c r="B326"/>
      <c r="C326"/>
      <c r="D326"/>
      <c r="E326"/>
      <c r="F326"/>
      <c r="G326"/>
    </row>
    <row r="327" spans="1:7" ht="14.4" x14ac:dyDescent="0.3">
      <c r="A327"/>
      <c r="B327"/>
      <c r="C327"/>
      <c r="D327"/>
      <c r="E327"/>
      <c r="F327"/>
      <c r="G327"/>
    </row>
    <row r="328" spans="1:7" ht="14.4" x14ac:dyDescent="0.3">
      <c r="A328"/>
      <c r="B328"/>
      <c r="C328"/>
      <c r="D328"/>
      <c r="E328"/>
      <c r="F328"/>
      <c r="G328"/>
    </row>
    <row r="329" spans="1:7" ht="14.4" x14ac:dyDescent="0.3">
      <c r="A329"/>
      <c r="B329"/>
      <c r="C329"/>
      <c r="D329"/>
      <c r="E329"/>
      <c r="F329"/>
      <c r="G329"/>
    </row>
    <row r="330" spans="1:7" ht="14.4" x14ac:dyDescent="0.3">
      <c r="A330"/>
      <c r="B330"/>
      <c r="C330"/>
      <c r="D330"/>
      <c r="E330"/>
      <c r="F330"/>
      <c r="G330"/>
    </row>
    <row r="331" spans="1:7" ht="14.4" x14ac:dyDescent="0.3">
      <c r="A331"/>
      <c r="B331"/>
      <c r="C331"/>
      <c r="D331"/>
      <c r="E331"/>
      <c r="F331"/>
      <c r="G331"/>
    </row>
    <row r="332" spans="1:7" ht="14.4" x14ac:dyDescent="0.3">
      <c r="A332"/>
      <c r="B332"/>
      <c r="C332"/>
      <c r="D332"/>
      <c r="E332"/>
      <c r="F332"/>
      <c r="G332"/>
    </row>
    <row r="333" spans="1:7" ht="14.4" x14ac:dyDescent="0.3">
      <c r="A333"/>
      <c r="B333"/>
      <c r="C333"/>
      <c r="D333"/>
      <c r="E333"/>
      <c r="F333"/>
      <c r="G333"/>
    </row>
    <row r="334" spans="1:7" ht="14.4" x14ac:dyDescent="0.3">
      <c r="A334"/>
      <c r="B334"/>
      <c r="C334"/>
      <c r="D334"/>
      <c r="E334"/>
      <c r="F334"/>
      <c r="G334"/>
    </row>
    <row r="335" spans="1:7" ht="14.4" x14ac:dyDescent="0.3">
      <c r="A335"/>
      <c r="B335"/>
      <c r="C335"/>
      <c r="D335"/>
      <c r="E335"/>
      <c r="F335"/>
      <c r="G335"/>
    </row>
    <row r="336" spans="1:7" ht="14.4" x14ac:dyDescent="0.3">
      <c r="A336"/>
      <c r="B336"/>
      <c r="C336"/>
      <c r="D336"/>
      <c r="E336"/>
      <c r="F336"/>
      <c r="G336"/>
    </row>
    <row r="337" spans="1:7" ht="14.4" x14ac:dyDescent="0.3">
      <c r="A337"/>
      <c r="B337"/>
      <c r="C337"/>
      <c r="D337"/>
      <c r="E337"/>
      <c r="F337"/>
      <c r="G337"/>
    </row>
    <row r="338" spans="1:7" ht="14.4" x14ac:dyDescent="0.3">
      <c r="A338"/>
      <c r="B338"/>
      <c r="C338"/>
      <c r="D338"/>
      <c r="E338"/>
      <c r="F338"/>
      <c r="G338"/>
    </row>
    <row r="339" spans="1:7" ht="14.4" x14ac:dyDescent="0.3">
      <c r="A339"/>
      <c r="B339"/>
      <c r="C339"/>
      <c r="D339"/>
      <c r="E339"/>
      <c r="F339"/>
      <c r="G339"/>
    </row>
    <row r="340" spans="1:7" ht="14.4" x14ac:dyDescent="0.3">
      <c r="A340"/>
      <c r="B340"/>
      <c r="C340"/>
      <c r="D340"/>
      <c r="E340"/>
      <c r="F340"/>
      <c r="G340"/>
    </row>
    <row r="341" spans="1:7" ht="14.4" x14ac:dyDescent="0.3">
      <c r="A341"/>
      <c r="B341"/>
      <c r="C341"/>
      <c r="D341"/>
      <c r="E341"/>
      <c r="F341"/>
      <c r="G341"/>
    </row>
    <row r="342" spans="1:7" ht="14.4" x14ac:dyDescent="0.3">
      <c r="A342"/>
      <c r="B342"/>
      <c r="C342"/>
      <c r="D342"/>
      <c r="E342"/>
      <c r="F342"/>
      <c r="G342"/>
    </row>
    <row r="343" spans="1:7" ht="14.4" x14ac:dyDescent="0.3">
      <c r="A343"/>
      <c r="B343"/>
      <c r="C343"/>
      <c r="D343"/>
      <c r="E343"/>
      <c r="F343"/>
      <c r="G343"/>
    </row>
    <row r="344" spans="1:7" ht="14.4" x14ac:dyDescent="0.3">
      <c r="A344"/>
      <c r="B344"/>
      <c r="C344"/>
      <c r="D344"/>
      <c r="E344"/>
      <c r="F344"/>
      <c r="G344"/>
    </row>
    <row r="345" spans="1:7" ht="14.4" x14ac:dyDescent="0.3">
      <c r="A345"/>
      <c r="B345"/>
      <c r="C345"/>
      <c r="D345"/>
      <c r="E345"/>
      <c r="F345"/>
      <c r="G345"/>
    </row>
    <row r="346" spans="1:7" ht="14.4" x14ac:dyDescent="0.3">
      <c r="A346"/>
      <c r="B346"/>
      <c r="C346"/>
      <c r="D346"/>
      <c r="E346"/>
      <c r="F346"/>
      <c r="G346"/>
    </row>
    <row r="347" spans="1:7" ht="14.4" x14ac:dyDescent="0.3">
      <c r="A347"/>
      <c r="B347"/>
      <c r="C347"/>
      <c r="D347"/>
      <c r="E347"/>
      <c r="F347"/>
      <c r="G347"/>
    </row>
    <row r="348" spans="1:7" ht="14.4" x14ac:dyDescent="0.3">
      <c r="A348"/>
      <c r="B348"/>
      <c r="C348"/>
      <c r="D348"/>
      <c r="E348"/>
      <c r="F348"/>
      <c r="G348"/>
    </row>
    <row r="349" spans="1:7" ht="14.4" x14ac:dyDescent="0.3">
      <c r="A349"/>
      <c r="B349"/>
      <c r="C349"/>
      <c r="D349"/>
      <c r="E349"/>
      <c r="F349"/>
      <c r="G349"/>
    </row>
    <row r="350" spans="1:7" ht="14.4" x14ac:dyDescent="0.3">
      <c r="A350"/>
      <c r="B350"/>
      <c r="C350"/>
      <c r="D350"/>
      <c r="E350"/>
      <c r="F350"/>
      <c r="G350"/>
    </row>
    <row r="351" spans="1:7" ht="14.4" x14ac:dyDescent="0.3">
      <c r="A351"/>
      <c r="B351"/>
      <c r="C351"/>
      <c r="D351"/>
      <c r="E351"/>
      <c r="F351"/>
      <c r="G351"/>
    </row>
    <row r="352" spans="1:7" ht="14.4" x14ac:dyDescent="0.3">
      <c r="A352"/>
      <c r="B352"/>
      <c r="C352"/>
      <c r="D352"/>
      <c r="E352"/>
      <c r="F352"/>
      <c r="G352"/>
    </row>
    <row r="353" spans="1:7" ht="14.4" x14ac:dyDescent="0.3">
      <c r="A353"/>
      <c r="B353"/>
      <c r="C353"/>
      <c r="D353"/>
      <c r="E353"/>
      <c r="F353"/>
      <c r="G353"/>
    </row>
    <row r="354" spans="1:7" ht="14.4" x14ac:dyDescent="0.3">
      <c r="A354"/>
      <c r="B354"/>
      <c r="C354"/>
      <c r="D354"/>
      <c r="E354"/>
      <c r="F354"/>
      <c r="G354"/>
    </row>
    <row r="355" spans="1:7" ht="14.4" x14ac:dyDescent="0.3">
      <c r="A355"/>
      <c r="B355"/>
      <c r="C355"/>
      <c r="D355"/>
      <c r="E355"/>
      <c r="F355"/>
      <c r="G355"/>
    </row>
    <row r="356" spans="1:7" ht="14.4" x14ac:dyDescent="0.3">
      <c r="A356"/>
      <c r="B356"/>
      <c r="C356"/>
      <c r="D356"/>
      <c r="E356"/>
      <c r="F356"/>
      <c r="G356"/>
    </row>
    <row r="357" spans="1:7" ht="14.4" x14ac:dyDescent="0.3">
      <c r="A357"/>
      <c r="B357"/>
      <c r="C357"/>
      <c r="D357"/>
      <c r="E357"/>
      <c r="F357"/>
      <c r="G357"/>
    </row>
    <row r="358" spans="1:7" ht="14.4" x14ac:dyDescent="0.3">
      <c r="A358"/>
      <c r="B358"/>
      <c r="C358"/>
      <c r="D358"/>
      <c r="E358"/>
      <c r="F358"/>
      <c r="G358"/>
    </row>
    <row r="359" spans="1:7" ht="14.4" x14ac:dyDescent="0.3">
      <c r="A359"/>
      <c r="B359"/>
      <c r="C359"/>
      <c r="D359"/>
      <c r="E359"/>
      <c r="F359"/>
      <c r="G359"/>
    </row>
    <row r="360" spans="1:7" ht="14.4" x14ac:dyDescent="0.3">
      <c r="A360"/>
      <c r="B360"/>
      <c r="C360"/>
      <c r="D360"/>
      <c r="E360"/>
      <c r="F360"/>
      <c r="G360"/>
    </row>
    <row r="361" spans="1:7" ht="14.4" x14ac:dyDescent="0.3">
      <c r="A361"/>
      <c r="B361"/>
      <c r="C361"/>
      <c r="D361"/>
      <c r="E361"/>
      <c r="F361"/>
      <c r="G361"/>
    </row>
    <row r="362" spans="1:7" ht="14.4" x14ac:dyDescent="0.3">
      <c r="A362"/>
      <c r="B362"/>
      <c r="C362"/>
      <c r="D362"/>
      <c r="E362"/>
      <c r="F362"/>
      <c r="G362"/>
    </row>
    <row r="363" spans="1:7" ht="14.4" x14ac:dyDescent="0.3">
      <c r="A363"/>
      <c r="B363"/>
      <c r="C363"/>
      <c r="D363"/>
      <c r="E363"/>
      <c r="F363"/>
      <c r="G363"/>
    </row>
    <row r="364" spans="1:7" ht="14.4" x14ac:dyDescent="0.3">
      <c r="A364"/>
      <c r="B364"/>
      <c r="C364"/>
      <c r="D364"/>
      <c r="E364"/>
      <c r="F364"/>
      <c r="G364"/>
    </row>
    <row r="365" spans="1:7" ht="14.4" x14ac:dyDescent="0.3">
      <c r="A365"/>
      <c r="B365"/>
      <c r="C365"/>
      <c r="D365"/>
      <c r="E365"/>
      <c r="F365"/>
      <c r="G365"/>
    </row>
    <row r="366" spans="1:7" ht="14.4" x14ac:dyDescent="0.3">
      <c r="A366"/>
      <c r="B366"/>
      <c r="C366"/>
      <c r="D366"/>
      <c r="E366"/>
      <c r="F366"/>
      <c r="G366"/>
    </row>
    <row r="367" spans="1:7" ht="14.4" x14ac:dyDescent="0.3">
      <c r="A367"/>
      <c r="B367"/>
      <c r="C367"/>
      <c r="D367"/>
      <c r="E367"/>
      <c r="F367"/>
      <c r="G367"/>
    </row>
    <row r="368" spans="1:7" ht="14.4" x14ac:dyDescent="0.3">
      <c r="A368"/>
      <c r="B368"/>
      <c r="C368"/>
      <c r="D368"/>
      <c r="E368"/>
      <c r="F368"/>
      <c r="G368"/>
    </row>
    <row r="369" spans="1:7" ht="14.4" x14ac:dyDescent="0.3">
      <c r="A369"/>
      <c r="B369"/>
      <c r="C369"/>
      <c r="D369"/>
      <c r="E369"/>
      <c r="F369"/>
      <c r="G369"/>
    </row>
    <row r="370" spans="1:7" ht="14.4" x14ac:dyDescent="0.3">
      <c r="A370"/>
      <c r="B370"/>
      <c r="C370"/>
      <c r="D370"/>
      <c r="E370"/>
      <c r="F370"/>
      <c r="G370"/>
    </row>
    <row r="371" spans="1:7" ht="14.4" x14ac:dyDescent="0.3">
      <c r="A371"/>
      <c r="B371"/>
      <c r="C371"/>
      <c r="D371"/>
      <c r="E371"/>
      <c r="F371"/>
      <c r="G371"/>
    </row>
    <row r="372" spans="1:7" ht="14.4" x14ac:dyDescent="0.3">
      <c r="A372"/>
      <c r="B372"/>
      <c r="C372"/>
      <c r="D372"/>
      <c r="E372"/>
      <c r="F372"/>
      <c r="G372"/>
    </row>
    <row r="373" spans="1:7" ht="14.4" x14ac:dyDescent="0.3">
      <c r="A373"/>
      <c r="B373"/>
      <c r="C373"/>
      <c r="D373"/>
      <c r="E373"/>
      <c r="F373"/>
      <c r="G373"/>
    </row>
    <row r="374" spans="1:7" ht="14.4" x14ac:dyDescent="0.3">
      <c r="A374"/>
      <c r="B374"/>
      <c r="C374"/>
      <c r="D374"/>
      <c r="E374"/>
      <c r="F374"/>
      <c r="G374"/>
    </row>
    <row r="375" spans="1:7" ht="14.4" x14ac:dyDescent="0.3">
      <c r="A375"/>
      <c r="B375"/>
      <c r="C375"/>
      <c r="D375"/>
      <c r="E375"/>
      <c r="F375"/>
      <c r="G375"/>
    </row>
    <row r="376" spans="1:7" ht="14.4" x14ac:dyDescent="0.3">
      <c r="A376"/>
      <c r="B376"/>
      <c r="C376"/>
      <c r="D376"/>
      <c r="E376"/>
      <c r="F376"/>
      <c r="G376"/>
    </row>
    <row r="377" spans="1:7" ht="14.4" x14ac:dyDescent="0.3">
      <c r="A377"/>
      <c r="B377"/>
      <c r="C377"/>
      <c r="D377"/>
      <c r="E377"/>
      <c r="F377"/>
      <c r="G377"/>
    </row>
    <row r="378" spans="1:7" ht="14.4" x14ac:dyDescent="0.3">
      <c r="A378"/>
      <c r="B378"/>
      <c r="C378"/>
      <c r="D378"/>
      <c r="E378"/>
      <c r="F378"/>
      <c r="G378"/>
    </row>
    <row r="379" spans="1:7" ht="14.4" x14ac:dyDescent="0.3">
      <c r="A379"/>
      <c r="B379"/>
      <c r="C379"/>
      <c r="D379"/>
      <c r="E379"/>
      <c r="F379"/>
      <c r="G379"/>
    </row>
    <row r="380" spans="1:7" ht="14.4" x14ac:dyDescent="0.3">
      <c r="A380"/>
      <c r="B380"/>
      <c r="C380"/>
      <c r="D380"/>
      <c r="E380"/>
      <c r="F380"/>
      <c r="G380"/>
    </row>
    <row r="381" spans="1:7" ht="14.4" x14ac:dyDescent="0.3">
      <c r="A381"/>
      <c r="B381"/>
      <c r="C381"/>
      <c r="D381"/>
      <c r="E381"/>
      <c r="F381"/>
      <c r="G381"/>
    </row>
    <row r="382" spans="1:7" ht="14.4" x14ac:dyDescent="0.3">
      <c r="A382"/>
      <c r="B382"/>
      <c r="C382"/>
      <c r="D382"/>
      <c r="E382"/>
      <c r="F382"/>
      <c r="G382"/>
    </row>
    <row r="383" spans="1:7" ht="14.4" x14ac:dyDescent="0.3">
      <c r="A383"/>
      <c r="B383"/>
      <c r="C383"/>
      <c r="D383"/>
      <c r="E383"/>
      <c r="F383"/>
      <c r="G383"/>
    </row>
    <row r="384" spans="1:7" ht="14.4" x14ac:dyDescent="0.3">
      <c r="A384"/>
      <c r="B384"/>
      <c r="C384"/>
      <c r="D384"/>
      <c r="E384"/>
      <c r="F384"/>
      <c r="G384"/>
    </row>
    <row r="385" spans="1:7" ht="14.4" x14ac:dyDescent="0.3">
      <c r="A385"/>
      <c r="B385"/>
      <c r="C385"/>
      <c r="D385"/>
      <c r="E385"/>
      <c r="F385"/>
      <c r="G385"/>
    </row>
    <row r="386" spans="1:7" ht="14.4" x14ac:dyDescent="0.3">
      <c r="A386"/>
      <c r="B386"/>
      <c r="C386"/>
      <c r="D386"/>
      <c r="E386"/>
      <c r="F386"/>
      <c r="G386"/>
    </row>
    <row r="387" spans="1:7" ht="14.4" x14ac:dyDescent="0.3">
      <c r="A387"/>
      <c r="B387"/>
      <c r="C387"/>
      <c r="D387"/>
      <c r="E387"/>
      <c r="F387"/>
      <c r="G387"/>
    </row>
    <row r="388" spans="1:7" ht="14.4" x14ac:dyDescent="0.3">
      <c r="A388"/>
      <c r="B388"/>
      <c r="C388"/>
      <c r="D388"/>
      <c r="E388"/>
      <c r="F388"/>
      <c r="G388"/>
    </row>
    <row r="389" spans="1:7" ht="14.4" x14ac:dyDescent="0.3">
      <c r="A389"/>
      <c r="B389"/>
      <c r="C389"/>
      <c r="D389"/>
      <c r="E389"/>
      <c r="F389"/>
      <c r="G389"/>
    </row>
    <row r="390" spans="1:7" ht="14.4" x14ac:dyDescent="0.3">
      <c r="A390"/>
      <c r="B390"/>
      <c r="C390"/>
      <c r="D390"/>
      <c r="E390"/>
      <c r="F390"/>
      <c r="G390"/>
    </row>
    <row r="391" spans="1:7" ht="14.4" x14ac:dyDescent="0.3">
      <c r="A391"/>
      <c r="B391"/>
      <c r="C391"/>
      <c r="D391"/>
      <c r="E391"/>
      <c r="F391"/>
      <c r="G391"/>
    </row>
    <row r="392" spans="1:7" ht="14.4" x14ac:dyDescent="0.3">
      <c r="A392"/>
      <c r="B392"/>
      <c r="C392"/>
      <c r="D392"/>
      <c r="E392"/>
      <c r="F392"/>
      <c r="G392"/>
    </row>
    <row r="393" spans="1:7" ht="14.4" x14ac:dyDescent="0.3">
      <c r="A393"/>
      <c r="B393"/>
      <c r="C393"/>
      <c r="D393"/>
      <c r="E393"/>
      <c r="F393"/>
      <c r="G393"/>
    </row>
    <row r="394" spans="1:7" ht="14.4" x14ac:dyDescent="0.3">
      <c r="A394"/>
      <c r="B394"/>
      <c r="C394"/>
      <c r="D394"/>
      <c r="E394"/>
      <c r="F394"/>
      <c r="G394"/>
    </row>
    <row r="395" spans="1:7" ht="14.4" x14ac:dyDescent="0.3">
      <c r="A395"/>
      <c r="B395"/>
      <c r="C395"/>
      <c r="D395"/>
      <c r="E395"/>
      <c r="F395"/>
      <c r="G395"/>
    </row>
    <row r="396" spans="1:7" ht="14.4" x14ac:dyDescent="0.3">
      <c r="A396"/>
      <c r="B396"/>
      <c r="C396"/>
      <c r="D396"/>
      <c r="E396"/>
      <c r="F396"/>
      <c r="G396"/>
    </row>
    <row r="397" spans="1:7" ht="14.4" x14ac:dyDescent="0.3">
      <c r="A397"/>
      <c r="B397"/>
      <c r="C397"/>
      <c r="D397"/>
      <c r="E397"/>
      <c r="F397"/>
      <c r="G397"/>
    </row>
    <row r="398" spans="1:7" ht="14.4" x14ac:dyDescent="0.3">
      <c r="A398"/>
      <c r="B398"/>
      <c r="C398"/>
      <c r="D398"/>
      <c r="E398"/>
      <c r="F398"/>
      <c r="G398"/>
    </row>
    <row r="399" spans="1:7" ht="14.4" x14ac:dyDescent="0.3">
      <c r="A399"/>
      <c r="B399"/>
      <c r="C399"/>
      <c r="D399"/>
      <c r="E399"/>
      <c r="F399"/>
      <c r="G399"/>
    </row>
    <row r="400" spans="1:7" ht="14.4" x14ac:dyDescent="0.3">
      <c r="A400"/>
      <c r="B400"/>
      <c r="C400"/>
      <c r="D400"/>
      <c r="E400"/>
      <c r="F400"/>
      <c r="G400"/>
    </row>
    <row r="401" spans="1:7" ht="14.4" x14ac:dyDescent="0.3">
      <c r="A401"/>
      <c r="B401"/>
      <c r="C401"/>
      <c r="D401"/>
      <c r="E401"/>
      <c r="F401"/>
      <c r="G401"/>
    </row>
    <row r="402" spans="1:7" ht="14.4" x14ac:dyDescent="0.3">
      <c r="A402"/>
      <c r="B402"/>
      <c r="C402"/>
      <c r="D402"/>
      <c r="E402"/>
      <c r="F402"/>
      <c r="G402"/>
    </row>
    <row r="403" spans="1:7" ht="14.4" x14ac:dyDescent="0.3">
      <c r="A403"/>
      <c r="B403"/>
      <c r="C403"/>
      <c r="D403"/>
      <c r="E403"/>
      <c r="F403"/>
      <c r="G403"/>
    </row>
    <row r="404" spans="1:7" ht="14.4" x14ac:dyDescent="0.3">
      <c r="A404"/>
      <c r="B404"/>
      <c r="C404"/>
      <c r="D404"/>
      <c r="E404"/>
      <c r="F404"/>
      <c r="G404"/>
    </row>
    <row r="405" spans="1:7" ht="14.4" x14ac:dyDescent="0.3">
      <c r="A405"/>
      <c r="B405"/>
      <c r="C405"/>
      <c r="D405"/>
      <c r="E405"/>
      <c r="F405"/>
      <c r="G405"/>
    </row>
    <row r="406" spans="1:7" ht="14.4" x14ac:dyDescent="0.3">
      <c r="A406"/>
      <c r="B406"/>
      <c r="C406"/>
      <c r="D406"/>
      <c r="E406"/>
      <c r="F406"/>
      <c r="G406"/>
    </row>
    <row r="407" spans="1:7" ht="14.4" x14ac:dyDescent="0.3">
      <c r="A407"/>
      <c r="B407"/>
      <c r="C407"/>
      <c r="D407"/>
      <c r="E407"/>
      <c r="F407"/>
      <c r="G407"/>
    </row>
    <row r="408" spans="1:7" ht="14.4" x14ac:dyDescent="0.3">
      <c r="A408"/>
      <c r="B408"/>
      <c r="C408"/>
      <c r="D408"/>
      <c r="E408"/>
      <c r="F408"/>
      <c r="G408"/>
    </row>
    <row r="409" spans="1:7" ht="14.4" x14ac:dyDescent="0.3">
      <c r="A409"/>
      <c r="B409"/>
      <c r="C409"/>
      <c r="D409"/>
      <c r="E409"/>
      <c r="F409"/>
      <c r="G409"/>
    </row>
    <row r="410" spans="1:7" ht="14.4" x14ac:dyDescent="0.3">
      <c r="A410"/>
      <c r="B410"/>
      <c r="C410"/>
      <c r="D410"/>
      <c r="E410"/>
      <c r="F410"/>
      <c r="G410"/>
    </row>
    <row r="411" spans="1:7" ht="14.4" x14ac:dyDescent="0.3">
      <c r="A411"/>
      <c r="B411"/>
      <c r="C411"/>
      <c r="D411"/>
      <c r="E411"/>
      <c r="F411"/>
      <c r="G411"/>
    </row>
    <row r="412" spans="1:7" ht="14.4" x14ac:dyDescent="0.3">
      <c r="A412"/>
      <c r="B412"/>
      <c r="C412"/>
      <c r="D412"/>
      <c r="E412"/>
      <c r="F412"/>
      <c r="G412"/>
    </row>
    <row r="413" spans="1:7" ht="14.4" x14ac:dyDescent="0.3">
      <c r="A413"/>
      <c r="B413"/>
      <c r="C413"/>
      <c r="D413"/>
      <c r="E413"/>
      <c r="F413"/>
      <c r="G413"/>
    </row>
    <row r="414" spans="1:7" ht="14.4" x14ac:dyDescent="0.3">
      <c r="A414"/>
      <c r="B414"/>
      <c r="C414"/>
      <c r="D414"/>
      <c r="E414"/>
      <c r="F414"/>
      <c r="G414"/>
    </row>
    <row r="415" spans="1:7" ht="14.4" x14ac:dyDescent="0.3">
      <c r="A415"/>
      <c r="B415"/>
      <c r="C415"/>
      <c r="D415"/>
      <c r="E415"/>
      <c r="F415"/>
      <c r="G415"/>
    </row>
    <row r="416" spans="1:7" ht="14.4" x14ac:dyDescent="0.3">
      <c r="A416"/>
      <c r="B416"/>
      <c r="C416"/>
      <c r="D416"/>
      <c r="E416"/>
      <c r="F416"/>
      <c r="G416"/>
    </row>
    <row r="417" spans="1:7" ht="14.4" x14ac:dyDescent="0.3">
      <c r="A417"/>
      <c r="B417"/>
      <c r="C417"/>
      <c r="D417"/>
      <c r="E417"/>
      <c r="F417"/>
      <c r="G417"/>
    </row>
    <row r="418" spans="1:7" ht="14.4" x14ac:dyDescent="0.3">
      <c r="A418"/>
      <c r="B418"/>
      <c r="C418"/>
      <c r="D418"/>
      <c r="E418"/>
      <c r="F418"/>
      <c r="G418"/>
    </row>
    <row r="419" spans="1:7" ht="14.4" x14ac:dyDescent="0.3">
      <c r="A419"/>
      <c r="B419"/>
      <c r="C419"/>
      <c r="D419"/>
      <c r="E419"/>
      <c r="F419"/>
      <c r="G419"/>
    </row>
    <row r="420" spans="1:7" ht="14.4" x14ac:dyDescent="0.3">
      <c r="A420"/>
      <c r="B420"/>
      <c r="C420"/>
      <c r="D420"/>
      <c r="E420"/>
      <c r="F420"/>
      <c r="G420"/>
    </row>
    <row r="421" spans="1:7" ht="14.4" x14ac:dyDescent="0.3">
      <c r="A421"/>
      <c r="B421"/>
      <c r="C421"/>
      <c r="D421"/>
      <c r="E421"/>
      <c r="F421"/>
      <c r="G421"/>
    </row>
    <row r="422" spans="1:7" ht="14.4" x14ac:dyDescent="0.3">
      <c r="A422"/>
      <c r="B422"/>
      <c r="C422"/>
      <c r="D422"/>
      <c r="E422"/>
      <c r="F422"/>
      <c r="G422"/>
    </row>
    <row r="423" spans="1:7" ht="14.4" x14ac:dyDescent="0.3">
      <c r="A423"/>
      <c r="B423"/>
      <c r="C423"/>
      <c r="D423"/>
      <c r="E423"/>
      <c r="F423"/>
      <c r="G423"/>
    </row>
    <row r="424" spans="1:7" ht="14.4" x14ac:dyDescent="0.3">
      <c r="A424"/>
      <c r="B424"/>
      <c r="C424"/>
      <c r="D424"/>
      <c r="E424"/>
      <c r="F424"/>
      <c r="G424"/>
    </row>
    <row r="425" spans="1:7" ht="14.4" x14ac:dyDescent="0.3">
      <c r="A425"/>
      <c r="B425"/>
      <c r="C425"/>
      <c r="D425"/>
      <c r="E425"/>
      <c r="F425"/>
      <c r="G425"/>
    </row>
    <row r="426" spans="1:7" ht="14.4" x14ac:dyDescent="0.3">
      <c r="A426"/>
      <c r="B426"/>
      <c r="C426"/>
      <c r="D426"/>
      <c r="E426"/>
      <c r="F426"/>
      <c r="G426"/>
    </row>
    <row r="427" spans="1:7" ht="14.4" x14ac:dyDescent="0.3">
      <c r="A427"/>
      <c r="B427"/>
      <c r="C427"/>
      <c r="D427"/>
      <c r="E427"/>
      <c r="F427"/>
      <c r="G427"/>
    </row>
    <row r="428" spans="1:7" ht="14.4" x14ac:dyDescent="0.3">
      <c r="A428"/>
      <c r="B428"/>
      <c r="C428"/>
      <c r="D428"/>
      <c r="E428"/>
      <c r="F428"/>
      <c r="G428"/>
    </row>
    <row r="429" spans="1:7" ht="14.4" x14ac:dyDescent="0.3">
      <c r="A429"/>
      <c r="B429"/>
      <c r="C429"/>
      <c r="D429"/>
      <c r="E429"/>
      <c r="F429"/>
      <c r="G429"/>
    </row>
    <row r="430" spans="1:7" ht="14.4" x14ac:dyDescent="0.3">
      <c r="A430"/>
      <c r="B430"/>
      <c r="C430"/>
      <c r="D430"/>
      <c r="E430"/>
      <c r="F430"/>
      <c r="G430"/>
    </row>
    <row r="431" spans="1:7" ht="14.4" x14ac:dyDescent="0.3">
      <c r="A431"/>
      <c r="B431"/>
      <c r="C431"/>
      <c r="D431"/>
      <c r="E431"/>
      <c r="F431"/>
      <c r="G431"/>
    </row>
    <row r="432" spans="1:7" ht="14.4" x14ac:dyDescent="0.3">
      <c r="A432"/>
      <c r="B432"/>
      <c r="C432"/>
      <c r="D432"/>
      <c r="E432"/>
      <c r="F432"/>
      <c r="G432"/>
    </row>
    <row r="433" spans="1:7" ht="14.4" x14ac:dyDescent="0.3">
      <c r="A433"/>
      <c r="B433"/>
      <c r="C433"/>
      <c r="D433"/>
      <c r="E433"/>
      <c r="F433"/>
      <c r="G433"/>
    </row>
    <row r="434" spans="1:7" ht="14.4" x14ac:dyDescent="0.3">
      <c r="A434"/>
      <c r="B434"/>
      <c r="C434"/>
      <c r="D434"/>
      <c r="E434"/>
      <c r="F434"/>
      <c r="G434"/>
    </row>
    <row r="435" spans="1:7" ht="14.4" x14ac:dyDescent="0.3">
      <c r="A435"/>
      <c r="B435"/>
      <c r="C435"/>
      <c r="D435"/>
      <c r="E435"/>
      <c r="F435"/>
      <c r="G435"/>
    </row>
    <row r="436" spans="1:7" ht="14.4" x14ac:dyDescent="0.3">
      <c r="A436"/>
      <c r="B436"/>
      <c r="C436"/>
      <c r="D436"/>
      <c r="E436"/>
      <c r="F436"/>
      <c r="G436"/>
    </row>
    <row r="437" spans="1:7" ht="14.4" x14ac:dyDescent="0.3">
      <c r="A437"/>
      <c r="B437"/>
      <c r="C437"/>
      <c r="D437"/>
      <c r="E437"/>
      <c r="F437"/>
      <c r="G437"/>
    </row>
    <row r="438" spans="1:7" ht="14.4" x14ac:dyDescent="0.3">
      <c r="A438"/>
      <c r="B438"/>
      <c r="C438"/>
      <c r="D438"/>
      <c r="E438"/>
      <c r="F438"/>
      <c r="G438"/>
    </row>
    <row r="439" spans="1:7" ht="14.4" x14ac:dyDescent="0.3">
      <c r="A439"/>
      <c r="B439"/>
      <c r="C439"/>
      <c r="D439"/>
      <c r="E439"/>
      <c r="F439"/>
      <c r="G439"/>
    </row>
    <row r="440" spans="1:7" ht="14.4" x14ac:dyDescent="0.3">
      <c r="A440"/>
      <c r="B440"/>
      <c r="C440"/>
      <c r="D440"/>
      <c r="E440"/>
      <c r="F440"/>
      <c r="G440"/>
    </row>
    <row r="441" spans="1:7" ht="14.4" x14ac:dyDescent="0.3">
      <c r="A441"/>
      <c r="B441"/>
      <c r="C441"/>
      <c r="D441"/>
      <c r="E441"/>
      <c r="F441"/>
      <c r="G441"/>
    </row>
    <row r="442" spans="1:7" ht="14.4" x14ac:dyDescent="0.3">
      <c r="A442"/>
      <c r="B442"/>
      <c r="C442"/>
      <c r="D442"/>
      <c r="E442"/>
      <c r="F442"/>
      <c r="G442"/>
    </row>
    <row r="443" spans="1:7" ht="14.4" x14ac:dyDescent="0.3">
      <c r="A443"/>
      <c r="B443"/>
      <c r="C443"/>
      <c r="D443"/>
      <c r="E443"/>
      <c r="F443"/>
      <c r="G443"/>
    </row>
    <row r="444" spans="1:7" ht="14.4" x14ac:dyDescent="0.3">
      <c r="A444"/>
      <c r="B444"/>
      <c r="C444"/>
      <c r="D444"/>
      <c r="E444"/>
      <c r="F444"/>
      <c r="G444"/>
    </row>
    <row r="445" spans="1:7" ht="14.4" x14ac:dyDescent="0.3">
      <c r="A445"/>
      <c r="B445"/>
      <c r="C445"/>
      <c r="D445"/>
      <c r="E445"/>
      <c r="F445"/>
      <c r="G445"/>
    </row>
    <row r="446" spans="1:7" ht="14.4" x14ac:dyDescent="0.3">
      <c r="A446"/>
      <c r="B446"/>
      <c r="C446"/>
      <c r="D446"/>
      <c r="E446"/>
      <c r="F446"/>
      <c r="G446"/>
    </row>
    <row r="447" spans="1:7" ht="14.4" x14ac:dyDescent="0.3">
      <c r="A447"/>
      <c r="B447"/>
      <c r="C447"/>
      <c r="D447"/>
      <c r="E447"/>
      <c r="F447"/>
      <c r="G447"/>
    </row>
    <row r="448" spans="1:7" ht="14.4" x14ac:dyDescent="0.3">
      <c r="A448"/>
      <c r="B448"/>
      <c r="C448"/>
      <c r="D448"/>
      <c r="E448"/>
      <c r="F448"/>
      <c r="G448"/>
    </row>
    <row r="449" spans="1:7" ht="14.4" x14ac:dyDescent="0.3">
      <c r="A449"/>
      <c r="B449"/>
      <c r="C449"/>
      <c r="D449"/>
      <c r="E449"/>
      <c r="F449"/>
      <c r="G449"/>
    </row>
    <row r="450" spans="1:7" ht="14.4" x14ac:dyDescent="0.3">
      <c r="A450"/>
      <c r="B450"/>
      <c r="C450"/>
      <c r="D450"/>
      <c r="E450"/>
      <c r="F450"/>
      <c r="G450"/>
    </row>
    <row r="451" spans="1:7" ht="14.4" x14ac:dyDescent="0.3">
      <c r="A451"/>
      <c r="B451"/>
      <c r="C451"/>
      <c r="D451"/>
      <c r="E451"/>
      <c r="F451"/>
      <c r="G451"/>
    </row>
    <row r="452" spans="1:7" ht="14.4" x14ac:dyDescent="0.3">
      <c r="A452"/>
      <c r="B452"/>
      <c r="C452"/>
      <c r="D452"/>
      <c r="E452"/>
      <c r="F452"/>
      <c r="G452"/>
    </row>
    <row r="453" spans="1:7" ht="14.4" x14ac:dyDescent="0.3">
      <c r="A453"/>
      <c r="B453"/>
      <c r="C453"/>
      <c r="D453"/>
      <c r="E453"/>
      <c r="F453"/>
      <c r="G453"/>
    </row>
    <row r="454" spans="1:7" ht="14.4" x14ac:dyDescent="0.3">
      <c r="A454"/>
      <c r="B454"/>
      <c r="C454"/>
      <c r="D454"/>
      <c r="E454"/>
      <c r="F454"/>
      <c r="G454"/>
    </row>
    <row r="455" spans="1:7" ht="14.4" x14ac:dyDescent="0.3">
      <c r="A455"/>
      <c r="B455"/>
      <c r="C455"/>
      <c r="D455"/>
      <c r="E455"/>
      <c r="F455"/>
      <c r="G455"/>
    </row>
    <row r="456" spans="1:7" ht="14.4" x14ac:dyDescent="0.3">
      <c r="A456"/>
      <c r="B456"/>
      <c r="C456"/>
      <c r="D456"/>
      <c r="E456"/>
      <c r="F456"/>
      <c r="G456"/>
    </row>
    <row r="457" spans="1:7" ht="14.4" x14ac:dyDescent="0.3">
      <c r="A457"/>
      <c r="B457"/>
      <c r="C457"/>
      <c r="D457"/>
      <c r="E457"/>
      <c r="F457"/>
      <c r="G457"/>
    </row>
    <row r="458" spans="1:7" ht="14.4" x14ac:dyDescent="0.3">
      <c r="A458"/>
      <c r="B458"/>
      <c r="C458"/>
      <c r="D458"/>
      <c r="E458"/>
      <c r="F458"/>
      <c r="G458"/>
    </row>
    <row r="459" spans="1:7" ht="14.4" x14ac:dyDescent="0.3">
      <c r="A459"/>
      <c r="B459"/>
      <c r="C459"/>
      <c r="D459"/>
      <c r="E459"/>
      <c r="F459"/>
      <c r="G459"/>
    </row>
    <row r="460" spans="1:7" ht="14.4" x14ac:dyDescent="0.3">
      <c r="A460"/>
      <c r="B460"/>
      <c r="C460"/>
      <c r="D460"/>
      <c r="E460"/>
      <c r="F460"/>
      <c r="G460"/>
    </row>
    <row r="461" spans="1:7" ht="14.4" x14ac:dyDescent="0.3">
      <c r="A461"/>
      <c r="B461"/>
      <c r="C461"/>
      <c r="D461"/>
      <c r="E461"/>
      <c r="F461"/>
      <c r="G461"/>
    </row>
    <row r="462" spans="1:7" ht="14.4" x14ac:dyDescent="0.3">
      <c r="A462"/>
      <c r="B462"/>
      <c r="C462"/>
      <c r="D462"/>
      <c r="E462"/>
      <c r="F462"/>
      <c r="G462"/>
    </row>
    <row r="463" spans="1:7" ht="14.4" x14ac:dyDescent="0.3">
      <c r="A463"/>
      <c r="B463"/>
      <c r="C463"/>
      <c r="D463"/>
      <c r="E463"/>
      <c r="F463"/>
      <c r="G463"/>
    </row>
    <row r="464" spans="1:7" ht="14.4" x14ac:dyDescent="0.3">
      <c r="A464"/>
      <c r="B464"/>
      <c r="C464"/>
      <c r="D464"/>
      <c r="E464"/>
      <c r="F464"/>
      <c r="G464"/>
    </row>
    <row r="465" spans="1:7" ht="14.4" x14ac:dyDescent="0.3">
      <c r="A465"/>
      <c r="B465"/>
      <c r="C465"/>
      <c r="D465"/>
      <c r="E465"/>
      <c r="F465"/>
      <c r="G465"/>
    </row>
    <row r="466" spans="1:7" ht="14.4" x14ac:dyDescent="0.3">
      <c r="A466"/>
      <c r="B466"/>
      <c r="C466"/>
      <c r="D466"/>
      <c r="E466"/>
      <c r="F466"/>
      <c r="G466"/>
    </row>
    <row r="467" spans="1:7" ht="14.4" x14ac:dyDescent="0.3">
      <c r="A467"/>
      <c r="B467"/>
      <c r="C467"/>
      <c r="D467"/>
      <c r="E467"/>
      <c r="F467"/>
      <c r="G467"/>
    </row>
    <row r="468" spans="1:7" ht="14.4" x14ac:dyDescent="0.3">
      <c r="A468"/>
      <c r="B468"/>
      <c r="C468"/>
      <c r="D468"/>
      <c r="E468"/>
      <c r="F468"/>
      <c r="G468"/>
    </row>
    <row r="469" spans="1:7" ht="14.4" x14ac:dyDescent="0.3">
      <c r="A469"/>
      <c r="B469"/>
      <c r="C469"/>
      <c r="D469"/>
      <c r="E469"/>
      <c r="F469"/>
      <c r="G469"/>
    </row>
    <row r="470" spans="1:7" ht="14.4" x14ac:dyDescent="0.3">
      <c r="A470"/>
      <c r="B470"/>
      <c r="C470"/>
      <c r="D470"/>
      <c r="E470"/>
      <c r="F470"/>
      <c r="G470"/>
    </row>
    <row r="471" spans="1:7" ht="14.4" x14ac:dyDescent="0.3">
      <c r="A471"/>
      <c r="B471"/>
      <c r="C471"/>
      <c r="D471"/>
      <c r="E471"/>
      <c r="F471"/>
      <c r="G471"/>
    </row>
    <row r="472" spans="1:7" ht="14.4" x14ac:dyDescent="0.3">
      <c r="A472"/>
      <c r="B472"/>
      <c r="C472"/>
      <c r="D472"/>
      <c r="E472"/>
      <c r="F472"/>
      <c r="G472"/>
    </row>
    <row r="473" spans="1:7" ht="14.4" x14ac:dyDescent="0.3">
      <c r="A473"/>
      <c r="B473"/>
      <c r="C473"/>
      <c r="D473"/>
      <c r="E473"/>
      <c r="F473"/>
      <c r="G473"/>
    </row>
    <row r="474" spans="1:7" ht="14.4" x14ac:dyDescent="0.3">
      <c r="A474"/>
      <c r="B474"/>
      <c r="C474"/>
      <c r="D474"/>
      <c r="E474"/>
      <c r="F474"/>
      <c r="G474"/>
    </row>
    <row r="475" spans="1:7" ht="14.4" x14ac:dyDescent="0.3">
      <c r="A475"/>
      <c r="B475"/>
      <c r="C475"/>
      <c r="D475"/>
      <c r="E475"/>
      <c r="F475"/>
      <c r="G475"/>
    </row>
    <row r="476" spans="1:7" ht="14.4" x14ac:dyDescent="0.3">
      <c r="A476"/>
      <c r="B476"/>
      <c r="C476"/>
      <c r="D476"/>
      <c r="E476"/>
      <c r="F476"/>
      <c r="G476"/>
    </row>
    <row r="477" spans="1:7" ht="14.4" x14ac:dyDescent="0.3">
      <c r="A477"/>
      <c r="B477"/>
      <c r="C477"/>
      <c r="D477"/>
      <c r="E477"/>
      <c r="F477"/>
      <c r="G477"/>
    </row>
    <row r="478" spans="1:7" ht="14.4" x14ac:dyDescent="0.3">
      <c r="A478"/>
      <c r="B478"/>
      <c r="C478"/>
      <c r="D478"/>
      <c r="E478"/>
      <c r="F478"/>
      <c r="G478"/>
    </row>
    <row r="479" spans="1:7" ht="14.4" x14ac:dyDescent="0.3">
      <c r="A479"/>
      <c r="B479"/>
      <c r="C479"/>
      <c r="D479"/>
      <c r="E479"/>
      <c r="F479"/>
      <c r="G479"/>
    </row>
    <row r="480" spans="1:7" ht="14.4" x14ac:dyDescent="0.3">
      <c r="A480"/>
      <c r="B480"/>
      <c r="C480"/>
      <c r="D480"/>
      <c r="E480"/>
      <c r="F480"/>
      <c r="G480"/>
    </row>
    <row r="481" spans="1:7" ht="14.4" x14ac:dyDescent="0.3">
      <c r="A481"/>
      <c r="B481"/>
      <c r="C481"/>
      <c r="D481"/>
      <c r="E481"/>
      <c r="F481"/>
      <c r="G481"/>
    </row>
    <row r="482" spans="1:7" ht="14.4" x14ac:dyDescent="0.3">
      <c r="A482"/>
      <c r="B482"/>
      <c r="C482"/>
      <c r="D482"/>
      <c r="E482"/>
      <c r="F482"/>
      <c r="G482"/>
    </row>
    <row r="483" spans="1:7" ht="14.4" x14ac:dyDescent="0.3">
      <c r="A483"/>
      <c r="B483"/>
      <c r="C483"/>
      <c r="D483"/>
      <c r="E483"/>
      <c r="F483"/>
      <c r="G483"/>
    </row>
    <row r="484" spans="1:7" ht="14.4" x14ac:dyDescent="0.3">
      <c r="A484"/>
      <c r="B484"/>
      <c r="C484"/>
      <c r="D484"/>
      <c r="E484"/>
      <c r="F484"/>
      <c r="G484"/>
    </row>
    <row r="485" spans="1:7" ht="14.4" x14ac:dyDescent="0.3">
      <c r="A485"/>
      <c r="B485"/>
      <c r="C485"/>
      <c r="D485"/>
      <c r="E485"/>
      <c r="F485"/>
      <c r="G485"/>
    </row>
    <row r="486" spans="1:7" ht="14.4" x14ac:dyDescent="0.3">
      <c r="A486"/>
      <c r="B486"/>
      <c r="C486"/>
      <c r="D486"/>
      <c r="E486"/>
      <c r="F486"/>
      <c r="G486"/>
    </row>
    <row r="487" spans="1:7" ht="14.4" x14ac:dyDescent="0.3">
      <c r="A487"/>
      <c r="B487"/>
      <c r="C487"/>
      <c r="D487"/>
      <c r="E487"/>
      <c r="F487"/>
      <c r="G487"/>
    </row>
    <row r="488" spans="1:7" ht="14.4" x14ac:dyDescent="0.3">
      <c r="A488"/>
      <c r="B488"/>
      <c r="C488"/>
      <c r="D488"/>
      <c r="E488"/>
      <c r="F488"/>
      <c r="G488"/>
    </row>
    <row r="489" spans="1:7" ht="14.4" x14ac:dyDescent="0.3">
      <c r="A489"/>
      <c r="B489"/>
      <c r="C489"/>
      <c r="D489"/>
      <c r="E489"/>
      <c r="F489"/>
      <c r="G489"/>
    </row>
    <row r="490" spans="1:7" ht="14.4" x14ac:dyDescent="0.3">
      <c r="A490"/>
      <c r="B490"/>
      <c r="C490"/>
      <c r="D490"/>
      <c r="E490"/>
      <c r="F490"/>
      <c r="G490"/>
    </row>
    <row r="491" spans="1:7" ht="14.4" x14ac:dyDescent="0.3">
      <c r="A491"/>
      <c r="B491"/>
      <c r="C491"/>
      <c r="D491"/>
      <c r="E491"/>
      <c r="F491"/>
      <c r="G491"/>
    </row>
    <row r="492" spans="1:7" ht="14.4" x14ac:dyDescent="0.3">
      <c r="A492"/>
      <c r="B492"/>
      <c r="C492"/>
      <c r="D492"/>
      <c r="E492"/>
      <c r="F492"/>
      <c r="G492"/>
    </row>
    <row r="493" spans="1:7" ht="14.4" x14ac:dyDescent="0.3">
      <c r="A493"/>
      <c r="B493"/>
      <c r="C493"/>
      <c r="D493"/>
      <c r="E493"/>
      <c r="F493"/>
      <c r="G493"/>
    </row>
    <row r="494" spans="1:7" ht="14.4" x14ac:dyDescent="0.3">
      <c r="A494"/>
      <c r="B494"/>
      <c r="C494"/>
      <c r="D494"/>
      <c r="E494"/>
      <c r="F494"/>
      <c r="G494"/>
    </row>
    <row r="495" spans="1:7" ht="14.4" x14ac:dyDescent="0.3">
      <c r="A495"/>
      <c r="B495"/>
      <c r="C495"/>
      <c r="D495"/>
      <c r="E495"/>
      <c r="F495"/>
      <c r="G495"/>
    </row>
    <row r="496" spans="1:7" ht="14.4" x14ac:dyDescent="0.3">
      <c r="A496"/>
      <c r="B496"/>
      <c r="C496"/>
      <c r="D496"/>
      <c r="E496"/>
      <c r="F496"/>
      <c r="G496"/>
    </row>
    <row r="497" spans="1:7" ht="14.4" x14ac:dyDescent="0.3">
      <c r="A497"/>
      <c r="B497"/>
      <c r="C497"/>
      <c r="D497"/>
      <c r="E497"/>
      <c r="F497"/>
      <c r="G497"/>
    </row>
    <row r="498" spans="1:7" ht="14.4" x14ac:dyDescent="0.3">
      <c r="A498"/>
      <c r="B498"/>
      <c r="C498"/>
      <c r="D498"/>
      <c r="E498"/>
      <c r="F498"/>
      <c r="G498"/>
    </row>
    <row r="499" spans="1:7" ht="14.4" x14ac:dyDescent="0.3">
      <c r="A499"/>
      <c r="B499"/>
      <c r="C499"/>
      <c r="D499"/>
      <c r="E499"/>
      <c r="F499"/>
      <c r="G499"/>
    </row>
    <row r="500" spans="1:7" ht="14.4" x14ac:dyDescent="0.3">
      <c r="A500"/>
      <c r="B500"/>
      <c r="C500"/>
      <c r="D500"/>
      <c r="E500"/>
      <c r="F500"/>
      <c r="G500"/>
    </row>
    <row r="501" spans="1:7" ht="14.4" x14ac:dyDescent="0.3">
      <c r="A501"/>
      <c r="B501"/>
      <c r="C501"/>
      <c r="D501"/>
      <c r="E501"/>
      <c r="F501"/>
      <c r="G501"/>
    </row>
    <row r="502" spans="1:7" ht="14.4" x14ac:dyDescent="0.3">
      <c r="A502"/>
      <c r="B502"/>
      <c r="C502"/>
      <c r="D502"/>
      <c r="E502"/>
      <c r="F502"/>
      <c r="G502"/>
    </row>
    <row r="503" spans="1:7" ht="14.4" x14ac:dyDescent="0.3">
      <c r="A503"/>
      <c r="B503"/>
      <c r="C503"/>
      <c r="D503"/>
      <c r="E503"/>
      <c r="F503"/>
      <c r="G503"/>
    </row>
    <row r="504" spans="1:7" ht="14.4" x14ac:dyDescent="0.3">
      <c r="A504"/>
      <c r="B504"/>
      <c r="C504"/>
      <c r="D504"/>
      <c r="E504"/>
      <c r="F504"/>
      <c r="G504"/>
    </row>
    <row r="505" spans="1:7" ht="14.4" x14ac:dyDescent="0.3">
      <c r="A505"/>
      <c r="B505"/>
      <c r="C505"/>
      <c r="D505"/>
      <c r="E505"/>
      <c r="F505"/>
      <c r="G505"/>
    </row>
    <row r="506" spans="1:7" ht="14.4" x14ac:dyDescent="0.3">
      <c r="A506"/>
      <c r="B506"/>
      <c r="C506"/>
      <c r="D506"/>
      <c r="E506"/>
      <c r="F506"/>
      <c r="G506"/>
    </row>
    <row r="507" spans="1:7" ht="14.4" x14ac:dyDescent="0.3">
      <c r="A507"/>
      <c r="B507"/>
      <c r="C507"/>
      <c r="D507"/>
      <c r="E507"/>
      <c r="F507"/>
      <c r="G507"/>
    </row>
    <row r="508" spans="1:7" ht="14.4" x14ac:dyDescent="0.3">
      <c r="A508"/>
      <c r="B508"/>
      <c r="C508"/>
      <c r="D508"/>
      <c r="E508"/>
      <c r="F508"/>
      <c r="G508"/>
    </row>
    <row r="509" spans="1:7" ht="14.4" x14ac:dyDescent="0.3">
      <c r="A509"/>
      <c r="B509"/>
      <c r="C509"/>
      <c r="D509"/>
      <c r="E509"/>
      <c r="F509"/>
      <c r="G509"/>
    </row>
    <row r="510" spans="1:7" ht="14.4" x14ac:dyDescent="0.3">
      <c r="A510"/>
      <c r="B510"/>
      <c r="C510"/>
      <c r="D510"/>
      <c r="E510"/>
      <c r="F510"/>
      <c r="G510"/>
    </row>
    <row r="511" spans="1:7" ht="14.4" x14ac:dyDescent="0.3">
      <c r="A511"/>
      <c r="B511"/>
      <c r="C511"/>
      <c r="D511"/>
      <c r="E511"/>
      <c r="F511"/>
      <c r="G511"/>
    </row>
    <row r="512" spans="1:7" ht="14.4" x14ac:dyDescent="0.3">
      <c r="A512"/>
      <c r="B512"/>
      <c r="C512"/>
      <c r="D512"/>
      <c r="E512"/>
      <c r="F512"/>
      <c r="G512"/>
    </row>
    <row r="513" spans="1:7" ht="14.4" x14ac:dyDescent="0.3">
      <c r="A513"/>
      <c r="B513"/>
      <c r="C513"/>
      <c r="D513"/>
      <c r="E513"/>
      <c r="F513"/>
      <c r="G513"/>
    </row>
    <row r="514" spans="1:7" ht="14.4" x14ac:dyDescent="0.3">
      <c r="A514"/>
      <c r="B514"/>
      <c r="C514"/>
      <c r="D514"/>
      <c r="E514"/>
      <c r="F514"/>
      <c r="G514"/>
    </row>
    <row r="515" spans="1:7" ht="14.4" x14ac:dyDescent="0.3">
      <c r="A515"/>
      <c r="B515"/>
      <c r="C515"/>
      <c r="D515"/>
      <c r="E515"/>
      <c r="F515"/>
      <c r="G515"/>
    </row>
    <row r="516" spans="1:7" ht="14.4" x14ac:dyDescent="0.3">
      <c r="A516"/>
      <c r="B516"/>
      <c r="C516"/>
      <c r="D516"/>
      <c r="E516"/>
      <c r="F516"/>
      <c r="G516"/>
    </row>
    <row r="517" spans="1:7" ht="14.4" x14ac:dyDescent="0.3">
      <c r="A517"/>
      <c r="B517"/>
      <c r="C517"/>
      <c r="D517"/>
      <c r="E517"/>
      <c r="F517"/>
      <c r="G517"/>
    </row>
    <row r="518" spans="1:7" ht="14.4" x14ac:dyDescent="0.3">
      <c r="A518"/>
      <c r="B518"/>
      <c r="C518"/>
      <c r="D518"/>
      <c r="E518"/>
      <c r="F518"/>
      <c r="G518"/>
    </row>
    <row r="519" spans="1:7" ht="14.4" x14ac:dyDescent="0.3">
      <c r="A519"/>
      <c r="B519"/>
      <c r="C519"/>
      <c r="D519"/>
      <c r="E519"/>
      <c r="F519"/>
      <c r="G519"/>
    </row>
    <row r="520" spans="1:7" ht="14.4" x14ac:dyDescent="0.3">
      <c r="A520"/>
      <c r="B520"/>
      <c r="C520"/>
      <c r="D520"/>
      <c r="E520"/>
      <c r="F520"/>
      <c r="G520"/>
    </row>
    <row r="521" spans="1:7" ht="14.4" x14ac:dyDescent="0.3">
      <c r="A521"/>
      <c r="B521"/>
      <c r="C521"/>
      <c r="D521"/>
      <c r="E521"/>
      <c r="F521"/>
      <c r="G521"/>
    </row>
    <row r="522" spans="1:7" ht="14.4" x14ac:dyDescent="0.3">
      <c r="A522"/>
      <c r="B522"/>
      <c r="C522"/>
      <c r="D522"/>
      <c r="E522"/>
      <c r="F522"/>
      <c r="G522"/>
    </row>
    <row r="523" spans="1:7" ht="14.4" x14ac:dyDescent="0.3">
      <c r="A523"/>
      <c r="B523"/>
      <c r="C523"/>
      <c r="D523"/>
      <c r="E523"/>
      <c r="F523"/>
      <c r="G523"/>
    </row>
    <row r="524" spans="1:7" ht="14.4" x14ac:dyDescent="0.3">
      <c r="A524"/>
      <c r="B524"/>
      <c r="C524"/>
      <c r="D524"/>
      <c r="E524"/>
      <c r="F524"/>
      <c r="G524"/>
    </row>
    <row r="525" spans="1:7" ht="14.4" x14ac:dyDescent="0.3">
      <c r="A525"/>
      <c r="B525"/>
      <c r="C525"/>
      <c r="D525"/>
      <c r="E525"/>
      <c r="F525"/>
      <c r="G525"/>
    </row>
    <row r="526" spans="1:7" ht="14.4" x14ac:dyDescent="0.3">
      <c r="A526"/>
      <c r="B526"/>
      <c r="C526"/>
      <c r="D526"/>
      <c r="E526"/>
      <c r="F526"/>
      <c r="G526"/>
    </row>
    <row r="527" spans="1:7" ht="14.4" x14ac:dyDescent="0.3">
      <c r="A527"/>
      <c r="B527"/>
      <c r="C527"/>
      <c r="D527"/>
      <c r="E527"/>
      <c r="F527"/>
      <c r="G527"/>
    </row>
  </sheetData>
  <sheetProtection pivotTables="0"/>
  <pageMargins left="0.75" right="0.75" top="1" bottom="1" header="0.5" footer="0.5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>
    <tabColor rgb="FFC00000"/>
    <pageSetUpPr fitToPage="1"/>
  </sheetPr>
  <dimension ref="A1:SS200"/>
  <sheetViews>
    <sheetView showGridLines="0" showZeros="0" zoomScale="85" workbookViewId="0">
      <pane ySplit="12" topLeftCell="A13" activePane="bottomLeft" state="frozen"/>
      <selection pane="bottomLeft" activeCell="A12" sqref="A12"/>
    </sheetView>
  </sheetViews>
  <sheetFormatPr defaultColWidth="11.44140625" defaultRowHeight="13.2" x14ac:dyDescent="0.25"/>
  <cols>
    <col min="1" max="1" width="28.77734375" style="23" bestFit="1" customWidth="1"/>
    <col min="2" max="2" width="28.77734375" style="23" customWidth="1"/>
    <col min="3" max="3" width="12.21875" style="23" customWidth="1"/>
    <col min="4" max="20" width="10.21875" style="23" customWidth="1"/>
    <col min="21" max="21" width="11.21875" style="23" customWidth="1"/>
    <col min="22" max="25" width="10.21875" style="23" customWidth="1"/>
    <col min="26" max="26" width="11.21875" style="23" customWidth="1"/>
    <col min="27" max="49" width="10.21875" style="23" customWidth="1"/>
    <col min="50" max="50" width="11.21875" style="23" customWidth="1"/>
    <col min="51" max="512" width="10.21875" style="23" customWidth="1"/>
    <col min="513" max="513" width="11.77734375" style="23" bestFit="1" customWidth="1"/>
    <col min="514" max="16384" width="11.44140625" style="23"/>
  </cols>
  <sheetData>
    <row r="1" spans="1:513" ht="30" customHeight="1" x14ac:dyDescent="0.4">
      <c r="A1" s="24"/>
    </row>
    <row r="2" spans="1:513" x14ac:dyDescent="0.25">
      <c r="A2" s="25">
        <f>Updated</f>
        <v>0</v>
      </c>
    </row>
    <row r="3" spans="1:513" x14ac:dyDescent="0.25">
      <c r="A3" s="64" t="s">
        <v>236</v>
      </c>
    </row>
    <row r="6" spans="1:513" ht="14.4" x14ac:dyDescent="0.3">
      <c r="A6" s="71" t="s">
        <v>188</v>
      </c>
      <c r="B6" s="73" t="s">
        <v>150</v>
      </c>
    </row>
    <row r="7" spans="1:513" ht="14.4" x14ac:dyDescent="0.3">
      <c r="A7" s="71" t="s">
        <v>180</v>
      </c>
      <c r="B7" s="73" t="s">
        <v>150</v>
      </c>
    </row>
    <row r="8" spans="1:513" ht="14.4" x14ac:dyDescent="0.3">
      <c r="A8" s="71" t="s">
        <v>118</v>
      </c>
      <c r="B8" s="73" t="s">
        <v>232</v>
      </c>
    </row>
    <row r="9" spans="1:513" ht="14.4" x14ac:dyDescent="0.3">
      <c r="A9" s="71" t="s">
        <v>181</v>
      </c>
      <c r="B9" s="73" t="s">
        <v>150</v>
      </c>
    </row>
    <row r="10" spans="1:513" ht="14.4" x14ac:dyDescent="0.3">
      <c r="A10" s="71" t="s">
        <v>128</v>
      </c>
      <c r="B10" s="73" t="s">
        <v>150</v>
      </c>
    </row>
    <row r="12" spans="1:513" ht="14.4" x14ac:dyDescent="0.3">
      <c r="A12" s="27" t="s">
        <v>240</v>
      </c>
      <c r="B12" s="76" t="s">
        <v>178</v>
      </c>
      <c r="C12" s="43" t="s">
        <v>175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</row>
    <row r="13" spans="1:513" ht="14.4" x14ac:dyDescent="0.3">
      <c r="A13" s="44" t="s">
        <v>233</v>
      </c>
      <c r="B13" s="75" t="s">
        <v>230</v>
      </c>
      <c r="C13" s="89">
        <v>19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</row>
    <row r="14" spans="1:513" ht="14.4" x14ac:dyDescent="0.3">
      <c r="A14" s="78"/>
      <c r="B14" s="79"/>
      <c r="C14" s="90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</row>
    <row r="15" spans="1:513" ht="15" thickBot="1" x14ac:dyDescent="0.35">
      <c r="A15" s="29" t="s">
        <v>151</v>
      </c>
      <c r="B15" s="45"/>
      <c r="C15" s="88">
        <v>19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</row>
    <row r="16" spans="1:513" ht="15" thickTop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</row>
    <row r="17" spans="1:513" ht="15" thickBot="1" x14ac:dyDescent="0.3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</row>
    <row r="18" spans="1:513" ht="14.4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</row>
    <row r="19" spans="1:513" ht="15" thickBot="1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</row>
    <row r="20" spans="1:513" ht="15" thickTop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</row>
    <row r="21" spans="1:513" ht="14.4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</row>
    <row r="22" spans="1:513" ht="14.4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</row>
    <row r="23" spans="1:513" ht="14.4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</row>
    <row r="24" spans="1:513" ht="14.4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</row>
    <row r="25" spans="1:513" ht="14.4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</row>
    <row r="26" spans="1:513" ht="14.4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</row>
    <row r="27" spans="1:513" ht="14.4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</row>
    <row r="28" spans="1:513" ht="14.4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</row>
    <row r="29" spans="1:513" ht="14.4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</row>
    <row r="30" spans="1:513" ht="14.4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</row>
    <row r="31" spans="1:513" ht="14.4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513" ht="14.4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ht="14.4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ht="14.4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ht="14.4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ht="14.4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ht="14.4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ht="14.4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13" ht="14.4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13" ht="14.4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13" ht="14.4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13" ht="14.4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</row>
    <row r="43" spans="1:513" ht="14.4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</row>
    <row r="44" spans="1:513" ht="14.4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</row>
    <row r="45" spans="1:513" ht="14.4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</row>
    <row r="46" spans="1:513" ht="14.4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</row>
    <row r="47" spans="1:513" ht="14.4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</row>
    <row r="48" spans="1:513" ht="14.4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</row>
    <row r="49" spans="1:513" ht="14.4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</row>
    <row r="50" spans="1:513" ht="14.4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</row>
    <row r="51" spans="1:513" ht="14.4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</row>
    <row r="52" spans="1:513" ht="14.4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</row>
    <row r="53" spans="1:513" ht="14.4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</row>
    <row r="54" spans="1:513" ht="14.4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</row>
    <row r="55" spans="1:513" ht="14.4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</row>
    <row r="56" spans="1:513" ht="14.4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</row>
    <row r="57" spans="1:513" ht="14.4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</row>
    <row r="58" spans="1:513" ht="14.4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</row>
    <row r="59" spans="1:513" ht="14.4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</row>
    <row r="60" spans="1:513" ht="14.4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</row>
    <row r="61" spans="1:513" ht="14.4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</row>
    <row r="62" spans="1:513" ht="14.4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</row>
    <row r="63" spans="1:513" ht="14.4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</row>
    <row r="64" spans="1:513" ht="14.4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</row>
    <row r="65" spans="1:513" ht="14.4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</row>
    <row r="66" spans="1:513" ht="14.4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</row>
    <row r="67" spans="1:513" ht="14.4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</row>
    <row r="68" spans="1:513" ht="14.4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</row>
    <row r="69" spans="1:513" ht="14.4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</row>
    <row r="70" spans="1:513" ht="14.4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</row>
    <row r="71" spans="1:513" ht="14.4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</row>
    <row r="72" spans="1:513" ht="14.4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</row>
    <row r="73" spans="1:513" ht="14.4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</row>
    <row r="74" spans="1:513" ht="14.4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</row>
    <row r="75" spans="1:513" ht="14.4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</row>
    <row r="76" spans="1:513" ht="14.4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</row>
    <row r="77" spans="1:513" ht="14.4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</row>
    <row r="78" spans="1:513" ht="14.4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</row>
    <row r="79" spans="1:513" ht="14.4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</row>
    <row r="80" spans="1:513" ht="14.4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</row>
    <row r="81" spans="1:513" ht="14.4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</row>
    <row r="82" spans="1:513" ht="14.4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</row>
    <row r="83" spans="1:513" ht="14.4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</row>
    <row r="84" spans="1:513" ht="14.4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</row>
    <row r="85" spans="1:513" ht="14.4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</row>
    <row r="86" spans="1:513" ht="14.4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</row>
    <row r="87" spans="1:513" ht="14.4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</row>
    <row r="88" spans="1:513" ht="14.4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</row>
    <row r="89" spans="1:513" ht="14.4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</row>
    <row r="90" spans="1:513" ht="14.4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</row>
    <row r="91" spans="1:513" ht="14.4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</row>
    <row r="92" spans="1:513" ht="14.4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</row>
    <row r="93" spans="1:513" ht="14.4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</row>
    <row r="94" spans="1:513" ht="14.4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</row>
    <row r="95" spans="1:513" ht="14.4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</row>
    <row r="96" spans="1:513" ht="14.4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</row>
    <row r="97" spans="1:513" ht="14.4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</row>
    <row r="98" spans="1:513" ht="14.4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</row>
    <row r="99" spans="1:513" ht="14.4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</row>
    <row r="100" spans="1:513" ht="14.4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</row>
    <row r="101" spans="1:513" ht="14.4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</row>
    <row r="102" spans="1:513" ht="14.4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</row>
    <row r="103" spans="1:513" ht="14.4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</row>
    <row r="104" spans="1:513" ht="14.4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</row>
    <row r="105" spans="1:513" ht="14.4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</row>
    <row r="106" spans="1:513" ht="14.4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</row>
    <row r="107" spans="1:513" ht="14.4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</row>
    <row r="108" spans="1:513" ht="14.4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</row>
    <row r="109" spans="1:513" ht="14.4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</row>
    <row r="110" spans="1:513" ht="14.4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</row>
    <row r="111" spans="1:513" ht="14.4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</row>
    <row r="112" spans="1:513" ht="14.4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</row>
    <row r="113" spans="1:513" ht="14.4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</row>
    <row r="114" spans="1:513" ht="14.4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</row>
    <row r="115" spans="1:513" ht="14.4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</row>
    <row r="116" spans="1:513" ht="14.4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</row>
    <row r="117" spans="1:513" ht="14.4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</row>
    <row r="118" spans="1:513" ht="14.4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</row>
    <row r="119" spans="1:513" ht="14.4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</row>
    <row r="120" spans="1:513" ht="14.4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</row>
    <row r="121" spans="1:513" ht="14.4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</row>
    <row r="122" spans="1:513" ht="14.4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</row>
    <row r="123" spans="1:513" ht="14.4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</row>
    <row r="124" spans="1:513" ht="14.4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</row>
    <row r="125" spans="1:513" ht="14.4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</row>
    <row r="126" spans="1:513" ht="14.4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</row>
    <row r="127" spans="1:513" ht="14.4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</row>
    <row r="128" spans="1:513" ht="14.4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</row>
    <row r="129" spans="1:513" ht="14.4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</row>
    <row r="130" spans="1:513" ht="14.4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</row>
    <row r="131" spans="1:513" ht="14.4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</row>
    <row r="132" spans="1:513" ht="14.4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</row>
    <row r="133" spans="1:513" ht="14.4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</row>
    <row r="134" spans="1:513" ht="14.4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</row>
    <row r="135" spans="1:513" ht="14.4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</row>
    <row r="136" spans="1:513" ht="14.4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</row>
    <row r="137" spans="1:513" ht="14.4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</row>
    <row r="138" spans="1:513" ht="14.4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</row>
    <row r="139" spans="1:513" ht="14.4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</row>
    <row r="140" spans="1:513" ht="14.4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</row>
    <row r="141" spans="1:513" ht="14.4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</row>
    <row r="142" spans="1:513" ht="14.4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</row>
    <row r="143" spans="1:513" ht="14.4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</row>
    <row r="144" spans="1:513" ht="14.4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</row>
    <row r="145" spans="1:513" ht="14.4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</row>
    <row r="146" spans="1:513" ht="14.4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</row>
    <row r="147" spans="1:513" ht="14.4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</row>
    <row r="148" spans="1:513" ht="14.4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</row>
    <row r="149" spans="1:513" ht="14.4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</row>
    <row r="150" spans="1:513" ht="14.4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</row>
    <row r="151" spans="1:513" ht="14.4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</row>
    <row r="152" spans="1:513" ht="14.4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</row>
    <row r="153" spans="1:513" ht="14.4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</row>
    <row r="154" spans="1:513" ht="14.4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</row>
    <row r="155" spans="1:513" ht="14.4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</row>
    <row r="156" spans="1:513" ht="14.4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</row>
    <row r="157" spans="1:513" ht="14.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</row>
    <row r="158" spans="1:513" ht="14.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</row>
    <row r="159" spans="1:513" ht="14.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</row>
    <row r="160" spans="1:513" ht="14.4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</row>
    <row r="161" spans="1:513" ht="14.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</row>
    <row r="162" spans="1:513" ht="14.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</row>
    <row r="163" spans="1:513" ht="14.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</row>
    <row r="164" spans="1:513" ht="14.4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</row>
    <row r="165" spans="1:513" ht="14.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</row>
    <row r="166" spans="1:513" ht="14.4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  <c r="RZ166"/>
      <c r="SA166"/>
      <c r="SB166"/>
      <c r="SC166"/>
      <c r="SD166"/>
      <c r="SE166"/>
      <c r="SF166"/>
      <c r="SG166"/>
      <c r="SH166"/>
      <c r="SI166"/>
      <c r="SJ166"/>
      <c r="SK166"/>
      <c r="SL166"/>
      <c r="SM166"/>
      <c r="SN166"/>
      <c r="SO166"/>
      <c r="SP166"/>
      <c r="SQ166"/>
      <c r="SR166"/>
      <c r="SS166"/>
    </row>
    <row r="167" spans="1:513" ht="14.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  <c r="RZ167"/>
      <c r="SA167"/>
      <c r="SB167"/>
      <c r="SC167"/>
      <c r="SD167"/>
      <c r="SE167"/>
      <c r="SF167"/>
      <c r="SG167"/>
      <c r="SH167"/>
      <c r="SI167"/>
      <c r="SJ167"/>
      <c r="SK167"/>
      <c r="SL167"/>
      <c r="SM167"/>
      <c r="SN167"/>
      <c r="SO167"/>
      <c r="SP167"/>
      <c r="SQ167"/>
      <c r="SR167"/>
      <c r="SS167"/>
    </row>
    <row r="168" spans="1:513" ht="14.4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  <c r="RZ168"/>
      <c r="SA168"/>
      <c r="SB168"/>
      <c r="SC168"/>
      <c r="SD168"/>
      <c r="SE168"/>
      <c r="SF168"/>
      <c r="SG168"/>
      <c r="SH168"/>
      <c r="SI168"/>
      <c r="SJ168"/>
      <c r="SK168"/>
      <c r="SL168"/>
      <c r="SM168"/>
      <c r="SN168"/>
      <c r="SO168"/>
      <c r="SP168"/>
      <c r="SQ168"/>
      <c r="SR168"/>
      <c r="SS168"/>
    </row>
    <row r="169" spans="1:513" ht="14.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  <c r="RZ169"/>
      <c r="SA169"/>
      <c r="SB169"/>
      <c r="SC169"/>
      <c r="SD169"/>
      <c r="SE169"/>
      <c r="SF169"/>
      <c r="SG169"/>
      <c r="SH169"/>
      <c r="SI169"/>
      <c r="SJ169"/>
      <c r="SK169"/>
      <c r="SL169"/>
      <c r="SM169"/>
      <c r="SN169"/>
      <c r="SO169"/>
      <c r="SP169"/>
      <c r="SQ169"/>
      <c r="SR169"/>
      <c r="SS169"/>
    </row>
    <row r="170" spans="1:513" ht="14.4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  <c r="RZ170"/>
      <c r="SA170"/>
      <c r="SB170"/>
      <c r="SC170"/>
      <c r="SD170"/>
      <c r="SE170"/>
      <c r="SF170"/>
      <c r="SG170"/>
      <c r="SH170"/>
      <c r="SI170"/>
      <c r="SJ170"/>
      <c r="SK170"/>
      <c r="SL170"/>
      <c r="SM170"/>
      <c r="SN170"/>
      <c r="SO170"/>
      <c r="SP170"/>
      <c r="SQ170"/>
      <c r="SR170"/>
      <c r="SS170"/>
    </row>
    <row r="171" spans="1:513" ht="14.4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</row>
    <row r="172" spans="1:513" ht="14.4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</row>
    <row r="173" spans="1:513" ht="14.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  <c r="RZ173"/>
      <c r="SA173"/>
      <c r="SB173"/>
      <c r="SC173"/>
      <c r="SD173"/>
      <c r="SE173"/>
      <c r="SF173"/>
      <c r="SG173"/>
      <c r="SH173"/>
      <c r="SI173"/>
      <c r="SJ173"/>
      <c r="SK173"/>
      <c r="SL173"/>
      <c r="SM173"/>
      <c r="SN173"/>
      <c r="SO173"/>
      <c r="SP173"/>
      <c r="SQ173"/>
      <c r="SR173"/>
      <c r="SS173"/>
    </row>
    <row r="174" spans="1:513" ht="14.4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  <c r="RZ174"/>
      <c r="SA174"/>
      <c r="SB174"/>
      <c r="SC174"/>
      <c r="SD174"/>
      <c r="SE174"/>
      <c r="SF174"/>
      <c r="SG174"/>
      <c r="SH174"/>
      <c r="SI174"/>
      <c r="SJ174"/>
      <c r="SK174"/>
      <c r="SL174"/>
      <c r="SM174"/>
      <c r="SN174"/>
      <c r="SO174"/>
      <c r="SP174"/>
      <c r="SQ174"/>
      <c r="SR174"/>
      <c r="SS174"/>
    </row>
    <row r="175" spans="1:513" ht="14.4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  <c r="RZ175"/>
      <c r="SA175"/>
      <c r="SB175"/>
      <c r="SC175"/>
      <c r="SD175"/>
      <c r="SE175"/>
      <c r="SF175"/>
      <c r="SG175"/>
      <c r="SH175"/>
      <c r="SI175"/>
      <c r="SJ175"/>
      <c r="SK175"/>
      <c r="SL175"/>
      <c r="SM175"/>
      <c r="SN175"/>
      <c r="SO175"/>
      <c r="SP175"/>
      <c r="SQ175"/>
      <c r="SR175"/>
      <c r="SS175"/>
    </row>
    <row r="176" spans="1:513" ht="14.4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  <c r="RZ176"/>
      <c r="SA176"/>
      <c r="SB176"/>
      <c r="SC176"/>
      <c r="SD176"/>
      <c r="SE176"/>
      <c r="SF176"/>
      <c r="SG176"/>
      <c r="SH176"/>
      <c r="SI176"/>
      <c r="SJ176"/>
      <c r="SK176"/>
      <c r="SL176"/>
      <c r="SM176"/>
      <c r="SN176"/>
      <c r="SO176"/>
      <c r="SP176"/>
      <c r="SQ176"/>
      <c r="SR176"/>
      <c r="SS176"/>
    </row>
    <row r="177" spans="1:513" ht="14.4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  <c r="RZ177"/>
      <c r="SA177"/>
      <c r="SB177"/>
      <c r="SC177"/>
      <c r="SD177"/>
      <c r="SE177"/>
      <c r="SF177"/>
      <c r="SG177"/>
      <c r="SH177"/>
      <c r="SI177"/>
      <c r="SJ177"/>
      <c r="SK177"/>
      <c r="SL177"/>
      <c r="SM177"/>
      <c r="SN177"/>
      <c r="SO177"/>
      <c r="SP177"/>
      <c r="SQ177"/>
      <c r="SR177"/>
      <c r="SS177"/>
    </row>
    <row r="178" spans="1:513" ht="14.4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  <c r="RZ178"/>
      <c r="SA178"/>
      <c r="SB178"/>
      <c r="SC178"/>
      <c r="SD178"/>
      <c r="SE178"/>
      <c r="SF178"/>
      <c r="SG178"/>
      <c r="SH178"/>
      <c r="SI178"/>
      <c r="SJ178"/>
      <c r="SK178"/>
      <c r="SL178"/>
      <c r="SM178"/>
      <c r="SN178"/>
      <c r="SO178"/>
      <c r="SP178"/>
      <c r="SQ178"/>
      <c r="SR178"/>
      <c r="SS178"/>
    </row>
    <row r="179" spans="1:513" ht="14.4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  <c r="RZ179"/>
      <c r="SA179"/>
      <c r="SB179"/>
      <c r="SC179"/>
      <c r="SD179"/>
      <c r="SE179"/>
      <c r="SF179"/>
      <c r="SG179"/>
      <c r="SH179"/>
      <c r="SI179"/>
      <c r="SJ179"/>
      <c r="SK179"/>
      <c r="SL179"/>
      <c r="SM179"/>
      <c r="SN179"/>
      <c r="SO179"/>
      <c r="SP179"/>
      <c r="SQ179"/>
      <c r="SR179"/>
      <c r="SS179"/>
    </row>
    <row r="180" spans="1:513" ht="14.4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  <c r="RZ180"/>
      <c r="SA180"/>
      <c r="SB180"/>
      <c r="SC180"/>
      <c r="SD180"/>
      <c r="SE180"/>
      <c r="SF180"/>
      <c r="SG180"/>
      <c r="SH180"/>
      <c r="SI180"/>
      <c r="SJ180"/>
      <c r="SK180"/>
      <c r="SL180"/>
      <c r="SM180"/>
      <c r="SN180"/>
      <c r="SO180"/>
      <c r="SP180"/>
      <c r="SQ180"/>
      <c r="SR180"/>
      <c r="SS180"/>
    </row>
    <row r="181" spans="1:513" ht="14.4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  <c r="RZ181"/>
      <c r="SA181"/>
      <c r="SB181"/>
      <c r="SC181"/>
      <c r="SD181"/>
      <c r="SE181"/>
      <c r="SF181"/>
      <c r="SG181"/>
      <c r="SH181"/>
      <c r="SI181"/>
      <c r="SJ181"/>
      <c r="SK181"/>
      <c r="SL181"/>
      <c r="SM181"/>
      <c r="SN181"/>
      <c r="SO181"/>
      <c r="SP181"/>
      <c r="SQ181"/>
      <c r="SR181"/>
      <c r="SS181"/>
    </row>
    <row r="182" spans="1:513" ht="14.4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  <c r="RZ182"/>
      <c r="SA182"/>
      <c r="SB182"/>
      <c r="SC182"/>
      <c r="SD182"/>
      <c r="SE182"/>
      <c r="SF182"/>
      <c r="SG182"/>
      <c r="SH182"/>
      <c r="SI182"/>
      <c r="SJ182"/>
      <c r="SK182"/>
      <c r="SL182"/>
      <c r="SM182"/>
      <c r="SN182"/>
      <c r="SO182"/>
      <c r="SP182"/>
      <c r="SQ182"/>
      <c r="SR182"/>
      <c r="SS182"/>
    </row>
    <row r="183" spans="1:513" ht="14.4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  <c r="RZ183"/>
      <c r="SA183"/>
      <c r="SB183"/>
      <c r="SC183"/>
      <c r="SD183"/>
      <c r="SE183"/>
      <c r="SF183"/>
      <c r="SG183"/>
      <c r="SH183"/>
      <c r="SI183"/>
      <c r="SJ183"/>
      <c r="SK183"/>
      <c r="SL183"/>
      <c r="SM183"/>
      <c r="SN183"/>
      <c r="SO183"/>
      <c r="SP183"/>
      <c r="SQ183"/>
      <c r="SR183"/>
      <c r="SS183"/>
    </row>
    <row r="184" spans="1:513" ht="14.4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  <c r="RZ184"/>
      <c r="SA184"/>
      <c r="SB184"/>
      <c r="SC184"/>
      <c r="SD184"/>
      <c r="SE184"/>
      <c r="SF184"/>
      <c r="SG184"/>
      <c r="SH184"/>
      <c r="SI184"/>
      <c r="SJ184"/>
      <c r="SK184"/>
      <c r="SL184"/>
      <c r="SM184"/>
      <c r="SN184"/>
      <c r="SO184"/>
      <c r="SP184"/>
      <c r="SQ184"/>
      <c r="SR184"/>
      <c r="SS184"/>
    </row>
    <row r="185" spans="1:513" ht="14.4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  <c r="RZ185"/>
      <c r="SA185"/>
      <c r="SB185"/>
      <c r="SC185"/>
      <c r="SD185"/>
      <c r="SE185"/>
      <c r="SF185"/>
      <c r="SG185"/>
      <c r="SH185"/>
      <c r="SI185"/>
      <c r="SJ185"/>
      <c r="SK185"/>
      <c r="SL185"/>
      <c r="SM185"/>
      <c r="SN185"/>
      <c r="SO185"/>
      <c r="SP185"/>
      <c r="SQ185"/>
      <c r="SR185"/>
      <c r="SS185"/>
    </row>
    <row r="186" spans="1:513" ht="14.4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  <c r="RZ186"/>
      <c r="SA186"/>
      <c r="SB186"/>
      <c r="SC186"/>
      <c r="SD186"/>
      <c r="SE186"/>
      <c r="SF186"/>
      <c r="SG186"/>
      <c r="SH186"/>
      <c r="SI186"/>
      <c r="SJ186"/>
      <c r="SK186"/>
      <c r="SL186"/>
      <c r="SM186"/>
      <c r="SN186"/>
      <c r="SO186"/>
      <c r="SP186"/>
      <c r="SQ186"/>
      <c r="SR186"/>
      <c r="SS186"/>
    </row>
    <row r="187" spans="1:513" ht="14.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  <c r="RZ187"/>
      <c r="SA187"/>
      <c r="SB187"/>
      <c r="SC187"/>
      <c r="SD187"/>
      <c r="SE187"/>
      <c r="SF187"/>
      <c r="SG187"/>
      <c r="SH187"/>
      <c r="SI187"/>
      <c r="SJ187"/>
      <c r="SK187"/>
      <c r="SL187"/>
      <c r="SM187"/>
      <c r="SN187"/>
      <c r="SO187"/>
      <c r="SP187"/>
      <c r="SQ187"/>
      <c r="SR187"/>
      <c r="SS187"/>
    </row>
    <row r="188" spans="1:513" ht="14.4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  <c r="RZ188"/>
      <c r="SA188"/>
      <c r="SB188"/>
      <c r="SC188"/>
      <c r="SD188"/>
      <c r="SE188"/>
      <c r="SF188"/>
      <c r="SG188"/>
      <c r="SH188"/>
      <c r="SI188"/>
      <c r="SJ188"/>
      <c r="SK188"/>
      <c r="SL188"/>
      <c r="SM188"/>
      <c r="SN188"/>
      <c r="SO188"/>
      <c r="SP188"/>
      <c r="SQ188"/>
      <c r="SR188"/>
      <c r="SS188"/>
    </row>
    <row r="189" spans="1:513" ht="14.4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  <c r="RZ189"/>
      <c r="SA189"/>
      <c r="SB189"/>
      <c r="SC189"/>
      <c r="SD189"/>
      <c r="SE189"/>
      <c r="SF189"/>
      <c r="SG189"/>
      <c r="SH189"/>
      <c r="SI189"/>
      <c r="SJ189"/>
      <c r="SK189"/>
      <c r="SL189"/>
      <c r="SM189"/>
      <c r="SN189"/>
      <c r="SO189"/>
      <c r="SP189"/>
      <c r="SQ189"/>
      <c r="SR189"/>
      <c r="SS189"/>
    </row>
    <row r="190" spans="1:513" ht="14.4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  <c r="RZ190"/>
      <c r="SA190"/>
      <c r="SB190"/>
      <c r="SC190"/>
      <c r="SD190"/>
      <c r="SE190"/>
      <c r="SF190"/>
      <c r="SG190"/>
      <c r="SH190"/>
      <c r="SI190"/>
      <c r="SJ190"/>
      <c r="SK190"/>
      <c r="SL190"/>
      <c r="SM190"/>
      <c r="SN190"/>
      <c r="SO190"/>
      <c r="SP190"/>
      <c r="SQ190"/>
      <c r="SR190"/>
      <c r="SS190"/>
    </row>
    <row r="191" spans="1:513" ht="14.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  <c r="RZ191"/>
      <c r="SA191"/>
      <c r="SB191"/>
      <c r="SC191"/>
      <c r="SD191"/>
      <c r="SE191"/>
      <c r="SF191"/>
      <c r="SG191"/>
      <c r="SH191"/>
      <c r="SI191"/>
      <c r="SJ191"/>
      <c r="SK191"/>
      <c r="SL191"/>
      <c r="SM191"/>
      <c r="SN191"/>
      <c r="SO191"/>
      <c r="SP191"/>
      <c r="SQ191"/>
      <c r="SR191"/>
      <c r="SS191"/>
    </row>
    <row r="192" spans="1:513" ht="14.4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  <c r="RZ192"/>
      <c r="SA192"/>
      <c r="SB192"/>
      <c r="SC192"/>
      <c r="SD192"/>
      <c r="SE192"/>
      <c r="SF192"/>
      <c r="SG192"/>
      <c r="SH192"/>
      <c r="SI192"/>
      <c r="SJ192"/>
      <c r="SK192"/>
      <c r="SL192"/>
      <c r="SM192"/>
      <c r="SN192"/>
      <c r="SO192"/>
      <c r="SP192"/>
      <c r="SQ192"/>
      <c r="SR192"/>
      <c r="SS192"/>
    </row>
    <row r="193" spans="1:513" ht="14.4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  <c r="RZ193"/>
      <c r="SA193"/>
      <c r="SB193"/>
      <c r="SC193"/>
      <c r="SD193"/>
      <c r="SE193"/>
      <c r="SF193"/>
      <c r="SG193"/>
      <c r="SH193"/>
      <c r="SI193"/>
      <c r="SJ193"/>
      <c r="SK193"/>
      <c r="SL193"/>
      <c r="SM193"/>
      <c r="SN193"/>
      <c r="SO193"/>
      <c r="SP193"/>
      <c r="SQ193"/>
      <c r="SR193"/>
      <c r="SS193"/>
    </row>
    <row r="194" spans="1:513" ht="14.4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  <c r="RZ194"/>
      <c r="SA194"/>
      <c r="SB194"/>
      <c r="SC194"/>
      <c r="SD194"/>
      <c r="SE194"/>
      <c r="SF194"/>
      <c r="SG194"/>
      <c r="SH194"/>
      <c r="SI194"/>
      <c r="SJ194"/>
      <c r="SK194"/>
      <c r="SL194"/>
      <c r="SM194"/>
      <c r="SN194"/>
      <c r="SO194"/>
      <c r="SP194"/>
      <c r="SQ194"/>
      <c r="SR194"/>
      <c r="SS194"/>
    </row>
    <row r="195" spans="1:513" ht="14.4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  <c r="RZ195"/>
      <c r="SA195"/>
      <c r="SB195"/>
      <c r="SC195"/>
      <c r="SD195"/>
      <c r="SE195"/>
      <c r="SF195"/>
      <c r="SG195"/>
      <c r="SH195"/>
      <c r="SI195"/>
      <c r="SJ195"/>
      <c r="SK195"/>
      <c r="SL195"/>
      <c r="SM195"/>
      <c r="SN195"/>
      <c r="SO195"/>
      <c r="SP195"/>
      <c r="SQ195"/>
      <c r="SR195"/>
      <c r="SS195"/>
    </row>
    <row r="196" spans="1:513" ht="14.4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  <c r="RZ196"/>
      <c r="SA196"/>
      <c r="SB196"/>
      <c r="SC196"/>
      <c r="SD196"/>
      <c r="SE196"/>
      <c r="SF196"/>
      <c r="SG196"/>
      <c r="SH196"/>
      <c r="SI196"/>
      <c r="SJ196"/>
      <c r="SK196"/>
      <c r="SL196"/>
      <c r="SM196"/>
      <c r="SN196"/>
      <c r="SO196"/>
      <c r="SP196"/>
      <c r="SQ196"/>
      <c r="SR196"/>
      <c r="SS196"/>
    </row>
    <row r="197" spans="1:513" ht="14.4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  <c r="RZ197"/>
      <c r="SA197"/>
      <c r="SB197"/>
      <c r="SC197"/>
      <c r="SD197"/>
      <c r="SE197"/>
      <c r="SF197"/>
      <c r="SG197"/>
      <c r="SH197"/>
      <c r="SI197"/>
      <c r="SJ197"/>
      <c r="SK197"/>
      <c r="SL197"/>
      <c r="SM197"/>
      <c r="SN197"/>
      <c r="SO197"/>
      <c r="SP197"/>
      <c r="SQ197"/>
      <c r="SR197"/>
      <c r="SS197"/>
    </row>
    <row r="198" spans="1:513" ht="14.4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  <c r="RZ198"/>
      <c r="SA198"/>
      <c r="SB198"/>
      <c r="SC198"/>
      <c r="SD198"/>
      <c r="SE198"/>
      <c r="SF198"/>
      <c r="SG198"/>
      <c r="SH198"/>
      <c r="SI198"/>
      <c r="SJ198"/>
      <c r="SK198"/>
      <c r="SL198"/>
      <c r="SM198"/>
      <c r="SN198"/>
      <c r="SO198"/>
      <c r="SP198"/>
      <c r="SQ198"/>
      <c r="SR198"/>
      <c r="SS198"/>
    </row>
    <row r="199" spans="1:513" ht="15" thickBot="1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  <c r="RZ199"/>
      <c r="SA199"/>
      <c r="SB199"/>
      <c r="SC199"/>
      <c r="SD199"/>
      <c r="SE199"/>
      <c r="SF199"/>
      <c r="SG199"/>
      <c r="SH199"/>
      <c r="SI199"/>
      <c r="SJ199"/>
      <c r="SK199"/>
      <c r="SL199"/>
      <c r="SM199"/>
      <c r="SN199"/>
      <c r="SO199"/>
      <c r="SP199"/>
      <c r="SQ199"/>
      <c r="SR199"/>
      <c r="SS199"/>
    </row>
    <row r="200" spans="1:513" ht="13.8" thickTop="1" x14ac:dyDescent="0.25"/>
  </sheetData>
  <sheetProtection pivotTables="0"/>
  <conditionalFormatting sqref="B4">
    <cfRule type="cellIs" dxfId="8" priority="1" stopIfTrue="1" operator="lessThan">
      <formula>0</formula>
    </cfRule>
    <cfRule type="cellIs" dxfId="7" priority="2" stopIfTrue="1" operator="between">
      <formula>0.01</formula>
      <formula>19.99999</formula>
    </cfRule>
    <cfRule type="cellIs" dxfId="6" priority="3" stopIfTrue="1" operator="greaterThanOrEqual">
      <formula>20</formula>
    </cfRule>
  </conditionalFormatting>
  <pageMargins left="0.75" right="0.75" top="1" bottom="1" header="0.5" footer="0.5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>
    <tabColor rgb="FFC00000"/>
    <pageSetUpPr fitToPage="1"/>
  </sheetPr>
  <dimension ref="A1:G527"/>
  <sheetViews>
    <sheetView showGridLines="0" zoomScale="85" workbookViewId="0">
      <pane ySplit="14" topLeftCell="A15" activePane="bottomLeft" state="frozen"/>
      <selection activeCell="A15" sqref="A15"/>
      <selection pane="bottomLeft" activeCell="A15" sqref="A15"/>
    </sheetView>
  </sheetViews>
  <sheetFormatPr defaultColWidth="11.44140625" defaultRowHeight="13.2" x14ac:dyDescent="0.25"/>
  <cols>
    <col min="1" max="1" width="12.5546875" style="23" customWidth="1"/>
    <col min="2" max="2" width="11.33203125" style="23" customWidth="1"/>
    <col min="3" max="3" width="6.77734375" style="23" customWidth="1"/>
    <col min="4" max="4" width="11.44140625" style="23" customWidth="1"/>
    <col min="5" max="5" width="12.88671875" style="23" customWidth="1"/>
    <col min="6" max="6" width="12.77734375" style="23" customWidth="1"/>
    <col min="7" max="7" width="8.21875" style="23" customWidth="1"/>
    <col min="8" max="10" width="19" style="23" bestFit="1" customWidth="1"/>
    <col min="11" max="11" width="19" style="23" customWidth="1"/>
    <col min="12" max="14" width="19" style="23" bestFit="1" customWidth="1"/>
    <col min="15" max="15" width="19" style="23" customWidth="1"/>
    <col min="16" max="25" width="19" style="23" bestFit="1" customWidth="1"/>
    <col min="26" max="16384" width="11.44140625" style="23"/>
  </cols>
  <sheetData>
    <row r="1" spans="1:7" ht="30" customHeight="1" x14ac:dyDescent="0.4">
      <c r="A1" s="24"/>
    </row>
    <row r="2" spans="1:7" x14ac:dyDescent="0.25">
      <c r="A2" s="25">
        <f>Updated</f>
        <v>0</v>
      </c>
    </row>
    <row r="3" spans="1:7" x14ac:dyDescent="0.25">
      <c r="A3" s="22" t="s">
        <v>237</v>
      </c>
    </row>
    <row r="4" spans="1:7" x14ac:dyDescent="0.25">
      <c r="A4" s="26"/>
    </row>
    <row r="6" spans="1:7" ht="14.4" x14ac:dyDescent="0.3">
      <c r="A6" s="71" t="s">
        <v>188</v>
      </c>
      <c r="B6" s="73" t="s">
        <v>150</v>
      </c>
    </row>
    <row r="7" spans="1:7" ht="14.4" x14ac:dyDescent="0.3">
      <c r="A7" s="71" t="s">
        <v>189</v>
      </c>
      <c r="B7" s="73" t="s">
        <v>150</v>
      </c>
    </row>
    <row r="8" spans="1:7" ht="14.4" x14ac:dyDescent="0.3">
      <c r="A8" s="71" t="s">
        <v>181</v>
      </c>
      <c r="B8" s="73" t="s">
        <v>150</v>
      </c>
    </row>
    <row r="9" spans="1:7" ht="14.4" x14ac:dyDescent="0.3">
      <c r="A9" s="71" t="s">
        <v>178</v>
      </c>
      <c r="B9" s="73" t="s">
        <v>150</v>
      </c>
    </row>
    <row r="10" spans="1:7" ht="14.4" x14ac:dyDescent="0.3">
      <c r="A10" s="71" t="s">
        <v>118</v>
      </c>
      <c r="B10" s="73" t="s">
        <v>209</v>
      </c>
    </row>
    <row r="11" spans="1:7" ht="14.4" x14ac:dyDescent="0.3">
      <c r="A11" s="71" t="s">
        <v>173</v>
      </c>
      <c r="B11" s="73" t="s">
        <v>150</v>
      </c>
    </row>
    <row r="12" spans="1:7" ht="14.4" x14ac:dyDescent="0.3">
      <c r="A12" s="71" t="s">
        <v>128</v>
      </c>
      <c r="B12" s="73" t="s">
        <v>150</v>
      </c>
    </row>
    <row r="14" spans="1:7" ht="14.4" x14ac:dyDescent="0.3">
      <c r="A14" s="27" t="s">
        <v>185</v>
      </c>
      <c r="B14" s="80" t="s">
        <v>204</v>
      </c>
      <c r="C14" s="81" t="s">
        <v>182</v>
      </c>
      <c r="D14" s="81" t="s">
        <v>205</v>
      </c>
      <c r="E14" s="81" t="s">
        <v>206</v>
      </c>
      <c r="F14" s="81" t="s">
        <v>207</v>
      </c>
      <c r="G14" s="82" t="s">
        <v>208</v>
      </c>
    </row>
    <row r="15" spans="1:7" ht="14.4" x14ac:dyDescent="0.3">
      <c r="A15" s="74">
        <v>42159</v>
      </c>
      <c r="B15" s="83">
        <v>-201</v>
      </c>
      <c r="C15" s="84">
        <v>0</v>
      </c>
      <c r="D15" s="84">
        <v>1373.71</v>
      </c>
      <c r="E15" s="84">
        <v>-8338.2999999999993</v>
      </c>
      <c r="F15" s="84">
        <v>-18</v>
      </c>
      <c r="G15" s="77">
        <v>0</v>
      </c>
    </row>
    <row r="16" spans="1:7" ht="14.4" x14ac:dyDescent="0.3">
      <c r="A16" s="34">
        <v>42160</v>
      </c>
      <c r="B16" s="85">
        <v>-201</v>
      </c>
      <c r="C16" s="46">
        <v>0</v>
      </c>
      <c r="D16" s="46">
        <v>0</v>
      </c>
      <c r="E16" s="46">
        <v>-8539.2999999999993</v>
      </c>
      <c r="F16" s="46">
        <v>-18</v>
      </c>
      <c r="G16" s="86">
        <v>0</v>
      </c>
    </row>
    <row r="17" spans="1:7" ht="14.4" x14ac:dyDescent="0.3">
      <c r="A17" s="34">
        <v>42163</v>
      </c>
      <c r="B17" s="85">
        <v>-268.2</v>
      </c>
      <c r="C17" s="46">
        <v>0</v>
      </c>
      <c r="D17" s="46">
        <v>0</v>
      </c>
      <c r="E17" s="46">
        <v>-8807.5</v>
      </c>
      <c r="F17" s="46">
        <v>-17</v>
      </c>
      <c r="G17" s="86">
        <v>0</v>
      </c>
    </row>
    <row r="18" spans="1:7" ht="14.4" x14ac:dyDescent="0.3">
      <c r="A18" s="34">
        <v>42164</v>
      </c>
      <c r="B18" s="85">
        <v>-268.2</v>
      </c>
      <c r="C18" s="46">
        <v>0</v>
      </c>
      <c r="D18" s="46">
        <v>824.226</v>
      </c>
      <c r="E18" s="46">
        <v>-8251.4740000000002</v>
      </c>
      <c r="F18" s="46">
        <v>-17</v>
      </c>
      <c r="G18" s="86">
        <v>0</v>
      </c>
    </row>
    <row r="19" spans="1:7" ht="15" thickBot="1" x14ac:dyDescent="0.35">
      <c r="A19" s="34">
        <v>42165</v>
      </c>
      <c r="B19" s="85">
        <v>-268.2</v>
      </c>
      <c r="C19" s="46">
        <v>0</v>
      </c>
      <c r="D19" s="46">
        <v>0</v>
      </c>
      <c r="E19" s="46">
        <v>-8519.6740000000009</v>
      </c>
      <c r="F19" s="46">
        <v>-16</v>
      </c>
      <c r="G19" s="86">
        <v>0</v>
      </c>
    </row>
    <row r="20" spans="1:7" ht="15" thickTop="1" x14ac:dyDescent="0.3">
      <c r="A20" s="34">
        <v>42166</v>
      </c>
      <c r="B20" s="85">
        <v>-268.2</v>
      </c>
      <c r="C20" s="46">
        <v>0</v>
      </c>
      <c r="D20" s="46">
        <v>0</v>
      </c>
      <c r="E20" s="46">
        <v>-8787.8739999999998</v>
      </c>
      <c r="F20" s="46">
        <v>-16</v>
      </c>
      <c r="G20" s="86">
        <v>0</v>
      </c>
    </row>
    <row r="21" spans="1:7" ht="14.4" x14ac:dyDescent="0.3">
      <c r="A21" s="34">
        <v>42167</v>
      </c>
      <c r="B21" s="85">
        <v>-268.2</v>
      </c>
      <c r="C21" s="46">
        <v>0</v>
      </c>
      <c r="D21" s="46">
        <v>0</v>
      </c>
      <c r="E21" s="46">
        <v>-9056.0740000000005</v>
      </c>
      <c r="F21" s="46">
        <v>-15</v>
      </c>
      <c r="G21" s="86">
        <v>0</v>
      </c>
    </row>
    <row r="22" spans="1:7" ht="14.4" x14ac:dyDescent="0.3">
      <c r="A22" s="34">
        <v>42170</v>
      </c>
      <c r="B22" s="85">
        <v>-141</v>
      </c>
      <c r="C22" s="46">
        <v>0</v>
      </c>
      <c r="D22" s="46">
        <v>824.226</v>
      </c>
      <c r="E22" s="46">
        <v>-8372.848</v>
      </c>
      <c r="F22" s="46">
        <v>-14</v>
      </c>
      <c r="G22" s="86">
        <v>0</v>
      </c>
    </row>
    <row r="23" spans="1:7" ht="14.4" x14ac:dyDescent="0.3">
      <c r="A23" s="34">
        <v>42171</v>
      </c>
      <c r="B23" s="85">
        <v>-141</v>
      </c>
      <c r="C23" s="46">
        <v>0</v>
      </c>
      <c r="D23" s="46">
        <v>0</v>
      </c>
      <c r="E23" s="46">
        <v>-8513.848</v>
      </c>
      <c r="F23" s="46">
        <v>-14</v>
      </c>
      <c r="G23" s="86">
        <v>0</v>
      </c>
    </row>
    <row r="24" spans="1:7" ht="14.4" x14ac:dyDescent="0.3">
      <c r="A24" s="34">
        <v>42172</v>
      </c>
      <c r="B24" s="85">
        <v>-141</v>
      </c>
      <c r="C24" s="46">
        <v>0</v>
      </c>
      <c r="D24" s="46">
        <v>0</v>
      </c>
      <c r="E24" s="46">
        <v>-8654.848</v>
      </c>
      <c r="F24" s="46">
        <v>-13</v>
      </c>
      <c r="G24" s="86">
        <v>0</v>
      </c>
    </row>
    <row r="25" spans="1:7" ht="14.4" x14ac:dyDescent="0.3">
      <c r="A25" s="34">
        <v>42173</v>
      </c>
      <c r="B25" s="85">
        <v>-141</v>
      </c>
      <c r="C25" s="46">
        <v>0</v>
      </c>
      <c r="D25" s="46">
        <v>0</v>
      </c>
      <c r="E25" s="46">
        <v>-8795.848</v>
      </c>
      <c r="F25" s="46">
        <v>-12</v>
      </c>
      <c r="G25" s="86">
        <v>0</v>
      </c>
    </row>
    <row r="26" spans="1:7" ht="14.4" x14ac:dyDescent="0.3">
      <c r="A26" s="34">
        <v>42174</v>
      </c>
      <c r="B26" s="85">
        <v>-141</v>
      </c>
      <c r="C26" s="46">
        <v>0</v>
      </c>
      <c r="D26" s="46">
        <v>0</v>
      </c>
      <c r="E26" s="46">
        <v>-8936.848</v>
      </c>
      <c r="F26" s="46">
        <v>-11</v>
      </c>
      <c r="G26" s="86">
        <v>0</v>
      </c>
    </row>
    <row r="27" spans="1:7" ht="14.4" x14ac:dyDescent="0.3">
      <c r="A27" s="34">
        <v>42177</v>
      </c>
      <c r="B27" s="85">
        <v>-169</v>
      </c>
      <c r="C27" s="46">
        <v>0</v>
      </c>
      <c r="D27" s="46">
        <v>824.226</v>
      </c>
      <c r="E27" s="46">
        <v>-8281.6219999999994</v>
      </c>
      <c r="F27" s="46">
        <v>-12</v>
      </c>
      <c r="G27" s="86">
        <v>0</v>
      </c>
    </row>
    <row r="28" spans="1:7" ht="14.4" x14ac:dyDescent="0.3">
      <c r="A28" s="34">
        <v>42178</v>
      </c>
      <c r="B28" s="85">
        <v>-169</v>
      </c>
      <c r="C28" s="46">
        <v>0</v>
      </c>
      <c r="D28" s="46">
        <v>0</v>
      </c>
      <c r="E28" s="46">
        <v>-8450.6219999999994</v>
      </c>
      <c r="F28" s="46">
        <v>-11</v>
      </c>
      <c r="G28" s="86">
        <v>0</v>
      </c>
    </row>
    <row r="29" spans="1:7" ht="15" thickBot="1" x14ac:dyDescent="0.35">
      <c r="A29" s="35" t="s">
        <v>151</v>
      </c>
      <c r="B29" s="38">
        <v>-2786</v>
      </c>
      <c r="C29" s="38">
        <v>0</v>
      </c>
      <c r="D29" s="38">
        <v>3846.3880000000004</v>
      </c>
      <c r="E29" s="38">
        <v>-120306.68000000001</v>
      </c>
      <c r="F29" s="38">
        <v>-204</v>
      </c>
      <c r="G29" s="42">
        <v>0</v>
      </c>
    </row>
    <row r="30" spans="1:7" ht="15" thickTop="1" x14ac:dyDescent="0.3">
      <c r="A30"/>
      <c r="B30"/>
      <c r="C30"/>
      <c r="D30"/>
      <c r="E30"/>
      <c r="F30"/>
      <c r="G30"/>
    </row>
    <row r="31" spans="1:7" ht="15" thickTop="1" x14ac:dyDescent="0.3">
      <c r="A31"/>
      <c r="B31"/>
      <c r="C31"/>
      <c r="D31"/>
      <c r="E31"/>
      <c r="F31"/>
      <c r="G31"/>
    </row>
    <row r="32" spans="1:7" ht="14.4" x14ac:dyDescent="0.3">
      <c r="A32"/>
      <c r="B32"/>
      <c r="C32"/>
      <c r="D32"/>
      <c r="E32"/>
      <c r="F32"/>
      <c r="G32"/>
    </row>
    <row r="33" spans="1:7" ht="15" thickBot="1" x14ac:dyDescent="0.35">
      <c r="A33"/>
      <c r="B33"/>
      <c r="C33"/>
      <c r="D33"/>
      <c r="E33"/>
      <c r="F33"/>
      <c r="G33"/>
    </row>
    <row r="34" spans="1:7" ht="15" thickTop="1" x14ac:dyDescent="0.3">
      <c r="A34"/>
      <c r="B34"/>
      <c r="C34"/>
      <c r="D34"/>
      <c r="E34"/>
      <c r="F34"/>
      <c r="G34"/>
    </row>
    <row r="35" spans="1:7" ht="14.4" x14ac:dyDescent="0.3">
      <c r="A35"/>
      <c r="B35"/>
      <c r="C35"/>
      <c r="D35"/>
      <c r="E35"/>
      <c r="F35"/>
      <c r="G35"/>
    </row>
    <row r="36" spans="1:7" ht="14.4" x14ac:dyDescent="0.3">
      <c r="A36"/>
      <c r="B36"/>
      <c r="C36"/>
      <c r="D36"/>
      <c r="E36"/>
      <c r="F36"/>
      <c r="G36"/>
    </row>
    <row r="37" spans="1:7" ht="14.4" x14ac:dyDescent="0.3">
      <c r="A37"/>
      <c r="B37"/>
      <c r="C37"/>
      <c r="D37"/>
      <c r="E37"/>
      <c r="F37"/>
      <c r="G37"/>
    </row>
    <row r="38" spans="1:7" ht="14.4" x14ac:dyDescent="0.3">
      <c r="A38"/>
      <c r="B38"/>
      <c r="C38"/>
      <c r="D38"/>
      <c r="E38"/>
      <c r="F38"/>
      <c r="G38"/>
    </row>
    <row r="39" spans="1:7" ht="15" thickBot="1" x14ac:dyDescent="0.35">
      <c r="A39"/>
      <c r="B39"/>
      <c r="C39"/>
      <c r="D39"/>
      <c r="E39"/>
    </row>
    <row r="40" spans="1:7" ht="15" thickTop="1" x14ac:dyDescent="0.3">
      <c r="A40"/>
      <c r="B40"/>
      <c r="C40"/>
      <c r="D40"/>
      <c r="E40"/>
    </row>
    <row r="41" spans="1:7" ht="14.4" x14ac:dyDescent="0.3">
      <c r="A41"/>
      <c r="B41"/>
      <c r="C41"/>
      <c r="D41"/>
      <c r="E41"/>
    </row>
    <row r="42" spans="1:7" ht="14.4" x14ac:dyDescent="0.3">
      <c r="A42"/>
      <c r="B42"/>
      <c r="C42"/>
      <c r="D42"/>
      <c r="E42"/>
    </row>
    <row r="43" spans="1:7" ht="14.4" x14ac:dyDescent="0.3">
      <c r="A43"/>
      <c r="B43"/>
      <c r="C43"/>
      <c r="D43"/>
      <c r="E43"/>
    </row>
    <row r="44" spans="1:7" ht="14.4" x14ac:dyDescent="0.3">
      <c r="A44"/>
      <c r="B44"/>
      <c r="C44"/>
      <c r="D44"/>
      <c r="E44"/>
    </row>
    <row r="45" spans="1:7" ht="14.4" x14ac:dyDescent="0.3">
      <c r="A45"/>
      <c r="B45"/>
      <c r="C45"/>
      <c r="D45"/>
      <c r="E45"/>
    </row>
    <row r="46" spans="1:7" ht="14.4" x14ac:dyDescent="0.3">
      <c r="A46"/>
      <c r="B46"/>
      <c r="C46"/>
      <c r="D46"/>
      <c r="E46"/>
    </row>
    <row r="47" spans="1:7" ht="14.4" x14ac:dyDescent="0.3">
      <c r="A47"/>
      <c r="B47"/>
      <c r="C47"/>
      <c r="D47"/>
      <c r="E47"/>
    </row>
    <row r="48" spans="1:7" ht="14.4" x14ac:dyDescent="0.3">
      <c r="A48"/>
      <c r="B48"/>
      <c r="C48"/>
      <c r="D48"/>
      <c r="E48"/>
    </row>
    <row r="49" spans="1:5" ht="14.4" x14ac:dyDescent="0.3">
      <c r="A49"/>
      <c r="B49"/>
      <c r="C49"/>
      <c r="D49"/>
      <c r="E49"/>
    </row>
    <row r="50" spans="1:5" ht="14.4" x14ac:dyDescent="0.3">
      <c r="A50"/>
      <c r="B50"/>
      <c r="C50"/>
      <c r="D50"/>
      <c r="E50"/>
    </row>
    <row r="51" spans="1:5" ht="14.4" x14ac:dyDescent="0.3">
      <c r="A51"/>
      <c r="B51"/>
      <c r="C51"/>
      <c r="D51"/>
      <c r="E51"/>
    </row>
    <row r="52" spans="1:5" ht="14.4" x14ac:dyDescent="0.3">
      <c r="A52"/>
      <c r="B52"/>
      <c r="C52"/>
      <c r="D52"/>
      <c r="E52"/>
    </row>
    <row r="53" spans="1:5" ht="14.4" x14ac:dyDescent="0.3">
      <c r="A53"/>
      <c r="B53"/>
      <c r="C53"/>
      <c r="D53"/>
      <c r="E53"/>
    </row>
    <row r="54" spans="1:5" ht="14.4" x14ac:dyDescent="0.3">
      <c r="A54"/>
      <c r="B54"/>
      <c r="C54"/>
      <c r="D54"/>
      <c r="E54"/>
    </row>
    <row r="55" spans="1:5" ht="14.4" x14ac:dyDescent="0.3">
      <c r="A55"/>
      <c r="B55"/>
      <c r="C55"/>
      <c r="D55"/>
      <c r="E55"/>
    </row>
    <row r="56" spans="1:5" ht="14.4" x14ac:dyDescent="0.3">
      <c r="A56"/>
      <c r="B56"/>
      <c r="C56"/>
      <c r="D56"/>
      <c r="E56"/>
    </row>
    <row r="57" spans="1:5" ht="14.4" x14ac:dyDescent="0.3">
      <c r="A57"/>
      <c r="B57"/>
      <c r="C57"/>
      <c r="D57"/>
      <c r="E57"/>
    </row>
    <row r="58" spans="1:5" ht="14.4" x14ac:dyDescent="0.3">
      <c r="A58"/>
      <c r="B58"/>
      <c r="C58"/>
      <c r="D58"/>
      <c r="E58"/>
    </row>
    <row r="59" spans="1:5" ht="14.4" x14ac:dyDescent="0.3">
      <c r="A59"/>
      <c r="B59"/>
      <c r="C59"/>
      <c r="D59"/>
      <c r="E59"/>
    </row>
    <row r="60" spans="1:5" ht="14.4" x14ac:dyDescent="0.3">
      <c r="A60"/>
      <c r="B60"/>
      <c r="C60"/>
      <c r="D60"/>
      <c r="E60"/>
    </row>
    <row r="61" spans="1:5" ht="14.4" x14ac:dyDescent="0.3">
      <c r="A61"/>
      <c r="B61"/>
      <c r="C61"/>
      <c r="D61"/>
      <c r="E61"/>
    </row>
    <row r="62" spans="1:5" ht="14.4" x14ac:dyDescent="0.3">
      <c r="A62"/>
      <c r="B62"/>
      <c r="C62"/>
      <c r="D62"/>
      <c r="E62"/>
    </row>
    <row r="63" spans="1:5" ht="14.4" x14ac:dyDescent="0.3">
      <c r="A63"/>
      <c r="B63"/>
      <c r="C63"/>
      <c r="D63"/>
      <c r="E63"/>
    </row>
    <row r="64" spans="1:5" ht="14.4" x14ac:dyDescent="0.3">
      <c r="A64"/>
      <c r="B64"/>
      <c r="C64"/>
      <c r="D64"/>
      <c r="E64"/>
    </row>
    <row r="65" spans="1:5" ht="14.4" x14ac:dyDescent="0.3">
      <c r="A65"/>
      <c r="B65"/>
      <c r="C65"/>
      <c r="D65"/>
      <c r="E65"/>
    </row>
    <row r="66" spans="1:5" ht="14.4" x14ac:dyDescent="0.3">
      <c r="A66"/>
      <c r="B66"/>
      <c r="C66"/>
      <c r="D66"/>
      <c r="E66"/>
    </row>
    <row r="67" spans="1:5" ht="14.4" x14ac:dyDescent="0.3">
      <c r="A67"/>
      <c r="B67"/>
      <c r="C67"/>
      <c r="D67"/>
      <c r="E67"/>
    </row>
    <row r="68" spans="1:5" ht="14.4" x14ac:dyDescent="0.3">
      <c r="A68"/>
      <c r="B68"/>
      <c r="C68"/>
      <c r="D68"/>
      <c r="E68"/>
    </row>
    <row r="69" spans="1:5" ht="14.4" x14ac:dyDescent="0.3">
      <c r="A69"/>
      <c r="B69"/>
      <c r="C69"/>
      <c r="D69"/>
      <c r="E69"/>
    </row>
    <row r="70" spans="1:5" ht="14.4" x14ac:dyDescent="0.3">
      <c r="A70"/>
      <c r="B70"/>
      <c r="C70"/>
      <c r="D70"/>
      <c r="E70"/>
    </row>
    <row r="71" spans="1:5" ht="14.4" x14ac:dyDescent="0.3">
      <c r="A71"/>
      <c r="B71"/>
      <c r="C71"/>
      <c r="D71"/>
      <c r="E71"/>
    </row>
    <row r="72" spans="1:5" ht="14.4" x14ac:dyDescent="0.3">
      <c r="A72"/>
      <c r="B72"/>
      <c r="C72"/>
      <c r="D72"/>
      <c r="E72"/>
    </row>
    <row r="73" spans="1:5" ht="14.4" x14ac:dyDescent="0.3">
      <c r="A73"/>
      <c r="B73"/>
      <c r="C73"/>
      <c r="D73"/>
      <c r="E73"/>
    </row>
    <row r="74" spans="1:5" ht="14.4" x14ac:dyDescent="0.3">
      <c r="A74"/>
      <c r="B74"/>
      <c r="C74"/>
      <c r="D74"/>
      <c r="E74"/>
    </row>
    <row r="75" spans="1:5" ht="14.4" x14ac:dyDescent="0.3">
      <c r="A75"/>
      <c r="B75"/>
      <c r="C75"/>
      <c r="D75"/>
      <c r="E75"/>
    </row>
    <row r="76" spans="1:5" ht="14.4" x14ac:dyDescent="0.3">
      <c r="A76"/>
      <c r="B76"/>
      <c r="C76"/>
      <c r="D76"/>
      <c r="E76"/>
    </row>
    <row r="77" spans="1:5" ht="14.4" x14ac:dyDescent="0.3">
      <c r="A77"/>
      <c r="B77"/>
      <c r="C77"/>
      <c r="D77"/>
      <c r="E77"/>
    </row>
    <row r="78" spans="1:5" ht="14.4" x14ac:dyDescent="0.3">
      <c r="A78"/>
      <c r="B78"/>
      <c r="C78"/>
      <c r="D78"/>
      <c r="E78"/>
    </row>
    <row r="79" spans="1:5" ht="14.4" x14ac:dyDescent="0.3">
      <c r="A79"/>
      <c r="B79"/>
      <c r="C79"/>
      <c r="D79"/>
      <c r="E79"/>
    </row>
    <row r="80" spans="1:5" ht="14.4" x14ac:dyDescent="0.3">
      <c r="A80"/>
      <c r="B80"/>
      <c r="C80"/>
      <c r="D80"/>
      <c r="E80"/>
    </row>
    <row r="81" spans="1:5" ht="14.4" x14ac:dyDescent="0.3">
      <c r="A81"/>
      <c r="B81"/>
      <c r="C81"/>
      <c r="D81"/>
      <c r="E81"/>
    </row>
    <row r="82" spans="1:5" ht="14.4" x14ac:dyDescent="0.3">
      <c r="A82"/>
      <c r="B82"/>
      <c r="C82"/>
      <c r="D82"/>
      <c r="E82"/>
    </row>
    <row r="83" spans="1:5" ht="14.4" x14ac:dyDescent="0.3">
      <c r="A83"/>
      <c r="B83"/>
      <c r="C83"/>
      <c r="D83"/>
      <c r="E83"/>
    </row>
    <row r="84" spans="1:5" ht="14.4" x14ac:dyDescent="0.3">
      <c r="A84"/>
      <c r="B84"/>
      <c r="C84"/>
      <c r="D84"/>
      <c r="E84"/>
    </row>
    <row r="85" spans="1:5" ht="14.4" x14ac:dyDescent="0.3">
      <c r="A85"/>
      <c r="B85"/>
      <c r="C85"/>
      <c r="D85"/>
      <c r="E85"/>
    </row>
    <row r="86" spans="1:5" ht="14.4" x14ac:dyDescent="0.3">
      <c r="A86"/>
      <c r="B86"/>
      <c r="C86"/>
      <c r="D86"/>
      <c r="E86"/>
    </row>
    <row r="87" spans="1:5" ht="14.4" x14ac:dyDescent="0.3">
      <c r="A87"/>
      <c r="B87"/>
      <c r="C87"/>
      <c r="D87"/>
      <c r="E87"/>
    </row>
    <row r="88" spans="1:5" ht="14.4" x14ac:dyDescent="0.3">
      <c r="A88"/>
      <c r="B88"/>
      <c r="C88"/>
      <c r="D88"/>
      <c r="E88"/>
    </row>
    <row r="89" spans="1:5" ht="14.4" x14ac:dyDescent="0.3">
      <c r="A89"/>
      <c r="B89"/>
      <c r="C89"/>
      <c r="D89"/>
      <c r="E89"/>
    </row>
    <row r="90" spans="1:5" ht="14.4" x14ac:dyDescent="0.3">
      <c r="A90"/>
      <c r="B90"/>
      <c r="C90"/>
      <c r="D90"/>
      <c r="E90"/>
    </row>
    <row r="91" spans="1:5" ht="14.4" x14ac:dyDescent="0.3">
      <c r="A91"/>
      <c r="B91"/>
      <c r="C91"/>
      <c r="D91"/>
      <c r="E91"/>
    </row>
    <row r="92" spans="1:5" ht="14.4" x14ac:dyDescent="0.3">
      <c r="A92"/>
      <c r="B92"/>
      <c r="C92"/>
      <c r="D92"/>
      <c r="E92"/>
    </row>
    <row r="93" spans="1:5" ht="14.4" x14ac:dyDescent="0.3">
      <c r="A93"/>
      <c r="B93"/>
      <c r="C93"/>
      <c r="D93"/>
      <c r="E93"/>
    </row>
    <row r="94" spans="1:5" ht="14.4" x14ac:dyDescent="0.3">
      <c r="A94"/>
      <c r="B94"/>
      <c r="C94"/>
      <c r="D94"/>
      <c r="E94"/>
    </row>
    <row r="95" spans="1:5" ht="14.4" x14ac:dyDescent="0.3">
      <c r="A95"/>
      <c r="B95"/>
      <c r="C95"/>
      <c r="D95"/>
      <c r="E95"/>
    </row>
    <row r="96" spans="1:5" ht="14.4" x14ac:dyDescent="0.3">
      <c r="A96"/>
      <c r="B96"/>
      <c r="C96"/>
      <c r="D96"/>
      <c r="E96"/>
    </row>
    <row r="97" spans="1:5" ht="14.4" x14ac:dyDescent="0.3">
      <c r="A97"/>
      <c r="B97"/>
      <c r="C97"/>
      <c r="D97"/>
      <c r="E97"/>
    </row>
    <row r="98" spans="1:5" ht="14.4" x14ac:dyDescent="0.3">
      <c r="A98"/>
      <c r="B98"/>
      <c r="C98"/>
      <c r="D98"/>
      <c r="E98"/>
    </row>
    <row r="99" spans="1:5" ht="14.4" x14ac:dyDescent="0.3">
      <c r="A99"/>
      <c r="B99"/>
      <c r="C99"/>
      <c r="D99"/>
      <c r="E99"/>
    </row>
    <row r="100" spans="1:5" ht="14.4" x14ac:dyDescent="0.3">
      <c r="A100"/>
      <c r="B100"/>
      <c r="C100"/>
      <c r="D100"/>
      <c r="E100"/>
    </row>
    <row r="101" spans="1:5" ht="14.4" x14ac:dyDescent="0.3">
      <c r="A101"/>
      <c r="B101"/>
      <c r="C101"/>
      <c r="D101"/>
      <c r="E101"/>
    </row>
    <row r="102" spans="1:5" ht="14.4" x14ac:dyDescent="0.3">
      <c r="A102"/>
      <c r="B102"/>
      <c r="C102"/>
      <c r="D102"/>
      <c r="E102"/>
    </row>
    <row r="103" spans="1:5" ht="14.4" x14ac:dyDescent="0.3">
      <c r="A103"/>
      <c r="B103"/>
      <c r="C103"/>
      <c r="D103"/>
      <c r="E103"/>
    </row>
    <row r="104" spans="1:5" ht="14.4" x14ac:dyDescent="0.3">
      <c r="A104"/>
      <c r="B104"/>
      <c r="C104"/>
      <c r="D104"/>
      <c r="E104"/>
    </row>
    <row r="105" spans="1:5" ht="14.4" x14ac:dyDescent="0.3">
      <c r="A105"/>
      <c r="B105"/>
      <c r="C105"/>
      <c r="D105"/>
      <c r="E105"/>
    </row>
    <row r="106" spans="1:5" ht="14.4" x14ac:dyDescent="0.3">
      <c r="A106"/>
      <c r="B106"/>
      <c r="C106"/>
      <c r="D106"/>
      <c r="E106"/>
    </row>
    <row r="107" spans="1:5" ht="14.4" x14ac:dyDescent="0.3">
      <c r="A107"/>
      <c r="B107"/>
      <c r="C107"/>
      <c r="D107"/>
      <c r="E107"/>
    </row>
    <row r="108" spans="1:5" ht="14.4" x14ac:dyDescent="0.3">
      <c r="A108"/>
      <c r="B108"/>
      <c r="C108"/>
      <c r="D108"/>
      <c r="E108"/>
    </row>
    <row r="109" spans="1:5" ht="14.4" x14ac:dyDescent="0.3">
      <c r="A109"/>
      <c r="B109"/>
      <c r="C109"/>
      <c r="D109"/>
      <c r="E109"/>
    </row>
    <row r="110" spans="1:5" ht="14.4" x14ac:dyDescent="0.3">
      <c r="A110"/>
      <c r="B110"/>
      <c r="C110"/>
      <c r="D110"/>
      <c r="E110"/>
    </row>
    <row r="111" spans="1:5" ht="14.4" x14ac:dyDescent="0.3">
      <c r="A111"/>
      <c r="B111"/>
      <c r="C111"/>
      <c r="D111"/>
      <c r="E111"/>
    </row>
    <row r="112" spans="1:5" ht="14.4" x14ac:dyDescent="0.3">
      <c r="A112"/>
      <c r="B112"/>
      <c r="C112"/>
      <c r="D112"/>
      <c r="E112"/>
    </row>
    <row r="113" spans="1:5" ht="14.4" x14ac:dyDescent="0.3">
      <c r="A113"/>
      <c r="B113"/>
      <c r="C113"/>
      <c r="D113"/>
      <c r="E113"/>
    </row>
    <row r="114" spans="1:5" ht="14.4" x14ac:dyDescent="0.3">
      <c r="A114"/>
      <c r="B114"/>
      <c r="C114"/>
      <c r="D114"/>
      <c r="E114"/>
    </row>
    <row r="115" spans="1:5" ht="14.4" x14ac:dyDescent="0.3">
      <c r="A115"/>
      <c r="B115"/>
      <c r="C115"/>
      <c r="D115"/>
      <c r="E115"/>
    </row>
    <row r="116" spans="1:5" ht="14.4" x14ac:dyDescent="0.3">
      <c r="A116"/>
      <c r="B116"/>
      <c r="C116"/>
      <c r="D116"/>
      <c r="E116"/>
    </row>
    <row r="117" spans="1:5" ht="14.4" x14ac:dyDescent="0.3">
      <c r="A117"/>
      <c r="B117"/>
      <c r="C117"/>
      <c r="D117"/>
      <c r="E117"/>
    </row>
    <row r="118" spans="1:5" ht="14.4" x14ac:dyDescent="0.3">
      <c r="A118"/>
      <c r="B118"/>
      <c r="C118"/>
      <c r="D118"/>
      <c r="E118"/>
    </row>
    <row r="119" spans="1:5" ht="14.4" x14ac:dyDescent="0.3">
      <c r="A119"/>
      <c r="B119"/>
      <c r="C119"/>
      <c r="D119"/>
      <c r="E119"/>
    </row>
    <row r="120" spans="1:5" ht="14.4" x14ac:dyDescent="0.3">
      <c r="A120"/>
      <c r="B120"/>
      <c r="C120"/>
      <c r="D120"/>
      <c r="E120"/>
    </row>
    <row r="121" spans="1:5" ht="14.4" x14ac:dyDescent="0.3">
      <c r="A121"/>
      <c r="B121"/>
      <c r="C121"/>
      <c r="D121"/>
      <c r="E121"/>
    </row>
    <row r="122" spans="1:5" ht="14.4" x14ac:dyDescent="0.3">
      <c r="A122"/>
      <c r="B122"/>
      <c r="C122"/>
      <c r="D122"/>
      <c r="E122"/>
    </row>
    <row r="123" spans="1:5" ht="14.4" x14ac:dyDescent="0.3">
      <c r="A123"/>
      <c r="B123"/>
      <c r="C123"/>
      <c r="D123"/>
      <c r="E123"/>
    </row>
    <row r="124" spans="1:5" ht="14.4" x14ac:dyDescent="0.3">
      <c r="A124"/>
      <c r="B124"/>
      <c r="C124"/>
      <c r="D124"/>
      <c r="E124"/>
    </row>
    <row r="125" spans="1:5" ht="14.4" x14ac:dyDescent="0.3">
      <c r="A125"/>
      <c r="B125"/>
      <c r="C125"/>
      <c r="D125"/>
      <c r="E125"/>
    </row>
    <row r="126" spans="1:5" ht="14.4" x14ac:dyDescent="0.3">
      <c r="A126"/>
      <c r="B126"/>
      <c r="C126"/>
      <c r="D126"/>
      <c r="E126"/>
    </row>
    <row r="127" spans="1:5" ht="14.4" x14ac:dyDescent="0.3">
      <c r="A127"/>
      <c r="B127"/>
      <c r="C127"/>
      <c r="D127"/>
      <c r="E127"/>
    </row>
    <row r="128" spans="1:5" ht="14.4" x14ac:dyDescent="0.3">
      <c r="A128"/>
      <c r="B128"/>
      <c r="C128"/>
      <c r="D128"/>
      <c r="E128"/>
    </row>
    <row r="129" spans="1:5" ht="14.4" x14ac:dyDescent="0.3">
      <c r="A129"/>
      <c r="B129"/>
      <c r="C129"/>
      <c r="D129"/>
      <c r="E129"/>
    </row>
    <row r="130" spans="1:5" ht="14.4" x14ac:dyDescent="0.3">
      <c r="A130"/>
      <c r="B130"/>
      <c r="C130"/>
      <c r="D130"/>
      <c r="E130"/>
    </row>
    <row r="131" spans="1:5" ht="14.4" x14ac:dyDescent="0.3">
      <c r="A131"/>
      <c r="B131"/>
      <c r="C131"/>
      <c r="D131"/>
      <c r="E131"/>
    </row>
    <row r="132" spans="1:5" ht="14.4" x14ac:dyDescent="0.3">
      <c r="A132"/>
      <c r="B132"/>
      <c r="C132"/>
      <c r="D132"/>
      <c r="E132"/>
    </row>
    <row r="133" spans="1:5" ht="14.4" x14ac:dyDescent="0.3">
      <c r="A133"/>
      <c r="B133"/>
      <c r="C133"/>
      <c r="D133"/>
      <c r="E133"/>
    </row>
    <row r="134" spans="1:5" ht="14.4" x14ac:dyDescent="0.3">
      <c r="A134"/>
      <c r="B134"/>
      <c r="C134"/>
      <c r="D134"/>
      <c r="E134"/>
    </row>
    <row r="135" spans="1:5" ht="14.4" x14ac:dyDescent="0.3">
      <c r="A135"/>
      <c r="B135"/>
      <c r="C135"/>
      <c r="D135"/>
      <c r="E135"/>
    </row>
    <row r="136" spans="1:5" ht="14.4" x14ac:dyDescent="0.3">
      <c r="A136"/>
      <c r="B136"/>
      <c r="C136"/>
      <c r="D136"/>
      <c r="E136"/>
    </row>
    <row r="137" spans="1:5" ht="14.4" x14ac:dyDescent="0.3">
      <c r="A137"/>
      <c r="B137"/>
      <c r="C137"/>
      <c r="D137"/>
      <c r="E137"/>
    </row>
    <row r="138" spans="1:5" ht="14.4" x14ac:dyDescent="0.3">
      <c r="A138"/>
      <c r="B138"/>
      <c r="C138"/>
      <c r="D138"/>
      <c r="E138"/>
    </row>
    <row r="139" spans="1:5" ht="14.4" x14ac:dyDescent="0.3">
      <c r="A139"/>
      <c r="B139"/>
      <c r="C139"/>
      <c r="D139"/>
      <c r="E139"/>
    </row>
    <row r="140" spans="1:5" ht="14.4" x14ac:dyDescent="0.3">
      <c r="A140"/>
      <c r="B140"/>
      <c r="C140"/>
      <c r="D140"/>
      <c r="E140"/>
    </row>
    <row r="141" spans="1:5" ht="14.4" x14ac:dyDescent="0.3">
      <c r="A141"/>
      <c r="B141"/>
      <c r="C141"/>
      <c r="D141"/>
      <c r="E141"/>
    </row>
    <row r="142" spans="1:5" ht="14.4" x14ac:dyDescent="0.3">
      <c r="A142"/>
      <c r="B142"/>
      <c r="C142"/>
      <c r="D142"/>
      <c r="E142"/>
    </row>
    <row r="143" spans="1:5" ht="14.4" x14ac:dyDescent="0.3">
      <c r="A143"/>
      <c r="B143"/>
      <c r="C143"/>
      <c r="D143"/>
      <c r="E143"/>
    </row>
    <row r="144" spans="1:5" ht="14.4" x14ac:dyDescent="0.3">
      <c r="A144"/>
      <c r="B144"/>
      <c r="C144"/>
      <c r="D144"/>
      <c r="E144"/>
    </row>
    <row r="145" spans="1:5" ht="14.4" x14ac:dyDescent="0.3">
      <c r="A145"/>
      <c r="B145"/>
      <c r="C145"/>
      <c r="D145"/>
      <c r="E145"/>
    </row>
    <row r="146" spans="1:5" ht="14.4" x14ac:dyDescent="0.3">
      <c r="A146"/>
      <c r="B146"/>
      <c r="C146"/>
      <c r="D146"/>
      <c r="E146"/>
    </row>
    <row r="147" spans="1:5" ht="14.4" x14ac:dyDescent="0.3">
      <c r="A147"/>
      <c r="B147"/>
      <c r="C147"/>
      <c r="D147"/>
      <c r="E147"/>
    </row>
    <row r="148" spans="1:5" ht="14.4" x14ac:dyDescent="0.3">
      <c r="A148"/>
      <c r="B148"/>
      <c r="C148"/>
      <c r="D148"/>
      <c r="E148"/>
    </row>
    <row r="149" spans="1:5" ht="14.4" x14ac:dyDescent="0.3">
      <c r="A149"/>
      <c r="B149"/>
      <c r="C149"/>
      <c r="D149"/>
      <c r="E149"/>
    </row>
    <row r="150" spans="1:5" ht="14.4" x14ac:dyDescent="0.3">
      <c r="A150"/>
      <c r="B150"/>
      <c r="C150"/>
      <c r="D150"/>
      <c r="E150"/>
    </row>
    <row r="151" spans="1:5" ht="14.4" x14ac:dyDescent="0.3">
      <c r="A151"/>
      <c r="B151"/>
      <c r="C151"/>
      <c r="D151"/>
      <c r="E151"/>
    </row>
    <row r="152" spans="1:5" ht="14.4" x14ac:dyDescent="0.3">
      <c r="A152"/>
      <c r="B152"/>
      <c r="C152"/>
      <c r="D152"/>
      <c r="E152"/>
    </row>
    <row r="153" spans="1:5" ht="14.4" x14ac:dyDescent="0.3">
      <c r="A153"/>
      <c r="B153"/>
      <c r="C153"/>
      <c r="D153"/>
      <c r="E153"/>
    </row>
    <row r="154" spans="1:5" ht="14.4" x14ac:dyDescent="0.3">
      <c r="A154"/>
      <c r="B154"/>
      <c r="C154"/>
      <c r="D154"/>
      <c r="E154"/>
    </row>
    <row r="155" spans="1:5" ht="14.4" x14ac:dyDescent="0.3">
      <c r="A155"/>
      <c r="B155"/>
      <c r="C155"/>
      <c r="D155"/>
      <c r="E155"/>
    </row>
    <row r="156" spans="1:5" ht="14.4" x14ac:dyDescent="0.3">
      <c r="A156"/>
      <c r="B156"/>
      <c r="C156"/>
      <c r="D156"/>
      <c r="E156"/>
    </row>
    <row r="157" spans="1:5" ht="14.4" x14ac:dyDescent="0.3">
      <c r="A157"/>
      <c r="B157"/>
      <c r="C157"/>
      <c r="D157"/>
      <c r="E157"/>
    </row>
    <row r="158" spans="1:5" ht="14.4" x14ac:dyDescent="0.3">
      <c r="A158"/>
      <c r="B158"/>
      <c r="C158"/>
      <c r="D158"/>
      <c r="E158"/>
    </row>
    <row r="159" spans="1:5" ht="14.4" x14ac:dyDescent="0.3">
      <c r="A159"/>
      <c r="B159"/>
      <c r="C159"/>
      <c r="D159"/>
      <c r="E159"/>
    </row>
    <row r="160" spans="1:5" ht="14.4" x14ac:dyDescent="0.3">
      <c r="A160"/>
      <c r="B160"/>
      <c r="C160"/>
      <c r="D160"/>
      <c r="E160"/>
    </row>
    <row r="161" spans="1:5" ht="14.4" x14ac:dyDescent="0.3">
      <c r="A161"/>
      <c r="B161"/>
      <c r="C161"/>
      <c r="D161"/>
      <c r="E161"/>
    </row>
    <row r="162" spans="1:5" ht="14.4" x14ac:dyDescent="0.3">
      <c r="A162"/>
      <c r="B162"/>
      <c r="C162"/>
      <c r="D162"/>
      <c r="E162"/>
    </row>
    <row r="163" spans="1:5" ht="14.4" x14ac:dyDescent="0.3">
      <c r="A163"/>
      <c r="B163"/>
      <c r="C163"/>
      <c r="D163"/>
      <c r="E163"/>
    </row>
    <row r="164" spans="1:5" ht="14.4" x14ac:dyDescent="0.3">
      <c r="A164"/>
      <c r="B164"/>
      <c r="C164"/>
      <c r="D164"/>
      <c r="E164"/>
    </row>
    <row r="165" spans="1:5" ht="14.4" x14ac:dyDescent="0.3">
      <c r="A165"/>
      <c r="B165"/>
      <c r="C165"/>
      <c r="D165"/>
      <c r="E165"/>
    </row>
    <row r="166" spans="1:5" ht="14.4" x14ac:dyDescent="0.3">
      <c r="A166"/>
      <c r="B166"/>
      <c r="C166"/>
      <c r="D166"/>
      <c r="E166"/>
    </row>
    <row r="167" spans="1:5" ht="14.4" x14ac:dyDescent="0.3">
      <c r="A167"/>
      <c r="B167"/>
      <c r="C167"/>
      <c r="D167"/>
      <c r="E167"/>
    </row>
    <row r="168" spans="1:5" ht="14.4" x14ac:dyDescent="0.3">
      <c r="A168"/>
      <c r="B168"/>
      <c r="C168"/>
      <c r="D168"/>
      <c r="E168"/>
    </row>
    <row r="169" spans="1:5" ht="14.4" x14ac:dyDescent="0.3">
      <c r="A169"/>
      <c r="B169"/>
      <c r="C169"/>
      <c r="D169"/>
      <c r="E169"/>
    </row>
    <row r="170" spans="1:5" ht="14.4" x14ac:dyDescent="0.3">
      <c r="A170"/>
      <c r="B170"/>
      <c r="C170"/>
      <c r="D170"/>
      <c r="E170"/>
    </row>
    <row r="171" spans="1:5" ht="14.4" x14ac:dyDescent="0.3">
      <c r="A171"/>
      <c r="B171"/>
      <c r="C171"/>
      <c r="D171"/>
      <c r="E171"/>
    </row>
    <row r="172" spans="1:5" ht="14.4" x14ac:dyDescent="0.3">
      <c r="A172"/>
      <c r="B172"/>
      <c r="C172"/>
      <c r="D172"/>
      <c r="E172"/>
    </row>
    <row r="173" spans="1:5" ht="14.4" x14ac:dyDescent="0.3">
      <c r="A173"/>
      <c r="B173"/>
      <c r="C173"/>
      <c r="D173"/>
      <c r="E173"/>
    </row>
    <row r="174" spans="1:5" ht="14.4" x14ac:dyDescent="0.3">
      <c r="A174"/>
      <c r="B174"/>
      <c r="C174"/>
      <c r="D174"/>
      <c r="E174"/>
    </row>
    <row r="175" spans="1:5" ht="14.4" x14ac:dyDescent="0.3">
      <c r="A175"/>
      <c r="B175"/>
      <c r="C175"/>
      <c r="D175"/>
      <c r="E175"/>
    </row>
    <row r="176" spans="1:5" ht="14.4" x14ac:dyDescent="0.3">
      <c r="A176"/>
      <c r="B176"/>
      <c r="C176"/>
      <c r="D176"/>
      <c r="E176"/>
    </row>
    <row r="177" spans="1:5" ht="14.4" x14ac:dyDescent="0.3">
      <c r="A177"/>
      <c r="B177"/>
      <c r="C177"/>
      <c r="D177"/>
      <c r="E177"/>
    </row>
    <row r="178" spans="1:5" ht="14.4" x14ac:dyDescent="0.3">
      <c r="A178"/>
      <c r="B178"/>
      <c r="C178"/>
      <c r="D178"/>
      <c r="E178"/>
    </row>
    <row r="179" spans="1:5" ht="14.4" x14ac:dyDescent="0.3">
      <c r="A179"/>
      <c r="B179"/>
      <c r="C179"/>
      <c r="D179"/>
      <c r="E179"/>
    </row>
    <row r="180" spans="1:5" ht="14.4" x14ac:dyDescent="0.3">
      <c r="A180"/>
      <c r="B180"/>
      <c r="C180"/>
      <c r="D180"/>
      <c r="E180"/>
    </row>
    <row r="181" spans="1:5" ht="14.4" x14ac:dyDescent="0.3">
      <c r="A181"/>
      <c r="B181"/>
      <c r="C181"/>
      <c r="D181"/>
      <c r="E181"/>
    </row>
    <row r="182" spans="1:5" ht="14.4" x14ac:dyDescent="0.3">
      <c r="A182"/>
      <c r="B182"/>
      <c r="C182"/>
      <c r="D182"/>
      <c r="E182"/>
    </row>
    <row r="183" spans="1:5" ht="14.4" x14ac:dyDescent="0.3">
      <c r="A183"/>
      <c r="B183"/>
      <c r="C183"/>
      <c r="D183"/>
      <c r="E183"/>
    </row>
    <row r="184" spans="1:5" ht="14.4" x14ac:dyDescent="0.3">
      <c r="A184"/>
      <c r="B184"/>
      <c r="C184"/>
      <c r="D184"/>
      <c r="E184"/>
    </row>
    <row r="185" spans="1:5" ht="14.4" x14ac:dyDescent="0.3">
      <c r="A185"/>
      <c r="B185"/>
      <c r="C185"/>
      <c r="D185"/>
      <c r="E185"/>
    </row>
    <row r="186" spans="1:5" ht="14.4" x14ac:dyDescent="0.3">
      <c r="A186"/>
      <c r="B186"/>
      <c r="C186"/>
      <c r="D186"/>
      <c r="E186"/>
    </row>
    <row r="187" spans="1:5" ht="14.4" x14ac:dyDescent="0.3">
      <c r="A187"/>
      <c r="B187"/>
      <c r="C187"/>
      <c r="D187"/>
      <c r="E187"/>
    </row>
    <row r="188" spans="1:5" ht="14.4" x14ac:dyDescent="0.3">
      <c r="A188"/>
      <c r="B188"/>
      <c r="C188"/>
      <c r="D188"/>
      <c r="E188"/>
    </row>
    <row r="189" spans="1:5" ht="14.4" x14ac:dyDescent="0.3">
      <c r="A189"/>
      <c r="B189"/>
      <c r="C189"/>
      <c r="D189"/>
      <c r="E189"/>
    </row>
    <row r="190" spans="1:5" ht="14.4" x14ac:dyDescent="0.3">
      <c r="A190"/>
      <c r="B190"/>
      <c r="C190"/>
      <c r="D190"/>
      <c r="E190"/>
    </row>
    <row r="191" spans="1:5" ht="14.4" x14ac:dyDescent="0.3">
      <c r="A191"/>
      <c r="B191"/>
      <c r="C191"/>
      <c r="D191"/>
      <c r="E191"/>
    </row>
    <row r="192" spans="1:5" ht="14.4" x14ac:dyDescent="0.3">
      <c r="A192"/>
      <c r="B192"/>
      <c r="C192"/>
      <c r="D192"/>
      <c r="E192"/>
    </row>
    <row r="193" spans="1:5" ht="14.4" x14ac:dyDescent="0.3">
      <c r="A193"/>
      <c r="B193"/>
      <c r="C193"/>
      <c r="D193"/>
      <c r="E193"/>
    </row>
    <row r="194" spans="1:5" ht="14.4" x14ac:dyDescent="0.3">
      <c r="A194"/>
      <c r="B194"/>
      <c r="C194"/>
      <c r="D194"/>
      <c r="E194"/>
    </row>
    <row r="195" spans="1:5" ht="14.4" x14ac:dyDescent="0.3">
      <c r="A195"/>
      <c r="B195"/>
      <c r="C195"/>
      <c r="D195"/>
      <c r="E195"/>
    </row>
    <row r="196" spans="1:5" ht="14.4" x14ac:dyDescent="0.3">
      <c r="A196"/>
      <c r="B196"/>
      <c r="C196"/>
      <c r="D196"/>
      <c r="E196"/>
    </row>
    <row r="197" spans="1:5" ht="14.4" x14ac:dyDescent="0.3">
      <c r="A197"/>
      <c r="B197"/>
      <c r="C197"/>
      <c r="D197"/>
      <c r="E197"/>
    </row>
    <row r="198" spans="1:5" ht="14.4" x14ac:dyDescent="0.3">
      <c r="A198"/>
      <c r="B198"/>
      <c r="C198"/>
      <c r="D198"/>
      <c r="E198"/>
    </row>
    <row r="199" spans="1:5" ht="14.4" x14ac:dyDescent="0.3">
      <c r="A199"/>
      <c r="B199"/>
      <c r="C199"/>
      <c r="D199"/>
      <c r="E199"/>
    </row>
    <row r="200" spans="1:5" ht="14.4" x14ac:dyDescent="0.3">
      <c r="A200"/>
      <c r="B200"/>
      <c r="C200"/>
      <c r="D200"/>
      <c r="E200"/>
    </row>
    <row r="201" spans="1:5" ht="14.4" x14ac:dyDescent="0.3">
      <c r="A201"/>
      <c r="B201"/>
      <c r="C201"/>
      <c r="D201"/>
      <c r="E201"/>
    </row>
    <row r="202" spans="1:5" ht="14.4" x14ac:dyDescent="0.3">
      <c r="A202"/>
      <c r="B202"/>
      <c r="C202"/>
      <c r="D202"/>
      <c r="E202"/>
    </row>
    <row r="203" spans="1:5" ht="14.4" x14ac:dyDescent="0.3">
      <c r="A203"/>
      <c r="B203"/>
      <c r="C203"/>
      <c r="D203"/>
      <c r="E203"/>
    </row>
    <row r="204" spans="1:5" ht="14.4" x14ac:dyDescent="0.3">
      <c r="A204"/>
      <c r="B204"/>
      <c r="C204"/>
      <c r="D204"/>
      <c r="E204"/>
    </row>
    <row r="205" spans="1:5" ht="14.4" x14ac:dyDescent="0.3">
      <c r="A205"/>
      <c r="B205"/>
      <c r="C205"/>
      <c r="D205"/>
      <c r="E205"/>
    </row>
    <row r="206" spans="1:5" ht="14.4" x14ac:dyDescent="0.3">
      <c r="A206"/>
      <c r="B206"/>
      <c r="C206"/>
      <c r="D206"/>
      <c r="E206"/>
    </row>
    <row r="207" spans="1:5" ht="14.4" x14ac:dyDescent="0.3">
      <c r="A207"/>
      <c r="B207"/>
      <c r="C207"/>
      <c r="D207"/>
      <c r="E207"/>
    </row>
    <row r="208" spans="1:5" ht="14.4" x14ac:dyDescent="0.3">
      <c r="A208"/>
      <c r="B208"/>
      <c r="C208"/>
      <c r="D208"/>
      <c r="E208"/>
    </row>
    <row r="209" spans="1:5" ht="14.4" x14ac:dyDescent="0.3">
      <c r="A209"/>
      <c r="B209"/>
      <c r="C209"/>
      <c r="D209"/>
      <c r="E209"/>
    </row>
    <row r="210" spans="1:5" ht="14.4" x14ac:dyDescent="0.3">
      <c r="A210"/>
      <c r="B210"/>
      <c r="C210"/>
      <c r="D210"/>
      <c r="E210"/>
    </row>
    <row r="211" spans="1:5" ht="14.4" x14ac:dyDescent="0.3">
      <c r="A211"/>
      <c r="B211"/>
      <c r="C211"/>
      <c r="D211"/>
      <c r="E211"/>
    </row>
    <row r="212" spans="1:5" ht="14.4" x14ac:dyDescent="0.3">
      <c r="A212"/>
      <c r="B212"/>
      <c r="C212"/>
      <c r="D212"/>
      <c r="E212"/>
    </row>
    <row r="213" spans="1:5" ht="14.4" x14ac:dyDescent="0.3">
      <c r="A213"/>
      <c r="B213"/>
      <c r="C213"/>
      <c r="D213"/>
      <c r="E213"/>
    </row>
    <row r="214" spans="1:5" ht="14.4" x14ac:dyDescent="0.3">
      <c r="A214"/>
      <c r="B214"/>
      <c r="C214"/>
      <c r="D214"/>
      <c r="E214"/>
    </row>
    <row r="215" spans="1:5" ht="14.4" x14ac:dyDescent="0.3">
      <c r="A215"/>
      <c r="B215"/>
      <c r="C215"/>
      <c r="D215"/>
      <c r="E215"/>
    </row>
    <row r="216" spans="1:5" ht="14.4" x14ac:dyDescent="0.3">
      <c r="A216"/>
      <c r="B216"/>
      <c r="C216"/>
      <c r="D216"/>
      <c r="E216"/>
    </row>
    <row r="217" spans="1:5" ht="14.4" x14ac:dyDescent="0.3">
      <c r="A217"/>
      <c r="B217"/>
      <c r="C217"/>
      <c r="D217"/>
      <c r="E217"/>
    </row>
    <row r="218" spans="1:5" ht="14.4" x14ac:dyDescent="0.3">
      <c r="A218"/>
      <c r="B218"/>
      <c r="C218"/>
      <c r="D218"/>
      <c r="E218"/>
    </row>
    <row r="219" spans="1:5" ht="14.4" x14ac:dyDescent="0.3">
      <c r="A219"/>
      <c r="B219"/>
      <c r="C219"/>
      <c r="D219"/>
      <c r="E219"/>
    </row>
    <row r="220" spans="1:5" ht="14.4" x14ac:dyDescent="0.3">
      <c r="A220"/>
      <c r="B220"/>
      <c r="C220"/>
      <c r="D220"/>
      <c r="E220"/>
    </row>
    <row r="221" spans="1:5" ht="14.4" x14ac:dyDescent="0.3">
      <c r="A221"/>
      <c r="B221"/>
      <c r="C221"/>
      <c r="D221"/>
      <c r="E221"/>
    </row>
    <row r="222" spans="1:5" ht="14.4" x14ac:dyDescent="0.3">
      <c r="A222"/>
      <c r="B222"/>
      <c r="C222"/>
      <c r="D222"/>
      <c r="E222"/>
    </row>
    <row r="223" spans="1:5" ht="14.4" x14ac:dyDescent="0.3">
      <c r="A223"/>
      <c r="B223"/>
      <c r="C223"/>
      <c r="D223"/>
      <c r="E223"/>
    </row>
    <row r="224" spans="1:5" ht="14.4" x14ac:dyDescent="0.3">
      <c r="A224"/>
      <c r="B224"/>
      <c r="C224"/>
      <c r="D224"/>
      <c r="E224"/>
    </row>
    <row r="225" spans="1:5" ht="14.4" x14ac:dyDescent="0.3">
      <c r="A225"/>
      <c r="B225"/>
      <c r="C225"/>
      <c r="D225"/>
      <c r="E225"/>
    </row>
    <row r="226" spans="1:5" ht="14.4" x14ac:dyDescent="0.3">
      <c r="A226"/>
      <c r="B226"/>
      <c r="C226"/>
      <c r="D226"/>
      <c r="E226"/>
    </row>
    <row r="227" spans="1:5" ht="14.4" x14ac:dyDescent="0.3">
      <c r="A227"/>
      <c r="B227"/>
      <c r="C227"/>
      <c r="D227"/>
      <c r="E227"/>
    </row>
    <row r="228" spans="1:5" ht="14.4" x14ac:dyDescent="0.3">
      <c r="A228"/>
      <c r="B228"/>
      <c r="C228"/>
      <c r="D228"/>
      <c r="E228"/>
    </row>
    <row r="229" spans="1:5" ht="14.4" x14ac:dyDescent="0.3">
      <c r="A229"/>
      <c r="B229"/>
      <c r="C229"/>
      <c r="D229"/>
      <c r="E229"/>
    </row>
    <row r="230" spans="1:5" ht="14.4" x14ac:dyDescent="0.3">
      <c r="A230"/>
      <c r="B230"/>
      <c r="C230"/>
      <c r="D230"/>
      <c r="E230"/>
    </row>
    <row r="231" spans="1:5" ht="14.4" x14ac:dyDescent="0.3">
      <c r="A231"/>
      <c r="B231"/>
      <c r="C231"/>
      <c r="D231"/>
      <c r="E231"/>
    </row>
    <row r="232" spans="1:5" ht="14.4" x14ac:dyDescent="0.3">
      <c r="A232"/>
      <c r="B232"/>
      <c r="C232"/>
      <c r="D232"/>
      <c r="E232"/>
    </row>
    <row r="233" spans="1:5" ht="14.4" x14ac:dyDescent="0.3">
      <c r="A233"/>
      <c r="B233"/>
      <c r="C233"/>
      <c r="D233"/>
      <c r="E233"/>
    </row>
    <row r="234" spans="1:5" ht="14.4" x14ac:dyDescent="0.3">
      <c r="A234"/>
      <c r="B234"/>
      <c r="C234"/>
      <c r="D234"/>
      <c r="E234"/>
    </row>
    <row r="235" spans="1:5" ht="14.4" x14ac:dyDescent="0.3">
      <c r="A235"/>
      <c r="B235"/>
      <c r="C235"/>
      <c r="D235"/>
      <c r="E235"/>
    </row>
    <row r="236" spans="1:5" ht="14.4" x14ac:dyDescent="0.3">
      <c r="A236"/>
      <c r="B236"/>
      <c r="C236"/>
      <c r="D236"/>
      <c r="E236"/>
    </row>
    <row r="237" spans="1:5" ht="14.4" x14ac:dyDescent="0.3">
      <c r="A237"/>
      <c r="B237"/>
      <c r="C237"/>
      <c r="D237"/>
      <c r="E237"/>
    </row>
    <row r="238" spans="1:5" ht="14.4" x14ac:dyDescent="0.3">
      <c r="A238"/>
      <c r="B238"/>
      <c r="C238"/>
      <c r="D238"/>
      <c r="E238"/>
    </row>
    <row r="239" spans="1:5" ht="14.4" x14ac:dyDescent="0.3">
      <c r="A239"/>
      <c r="B239"/>
      <c r="C239"/>
      <c r="D239"/>
      <c r="E239"/>
    </row>
    <row r="240" spans="1:5" ht="14.4" x14ac:dyDescent="0.3">
      <c r="A240"/>
      <c r="B240"/>
      <c r="C240"/>
      <c r="D240"/>
      <c r="E240"/>
    </row>
    <row r="241" spans="1:5" ht="14.4" x14ac:dyDescent="0.3">
      <c r="A241"/>
      <c r="B241"/>
      <c r="C241"/>
      <c r="D241"/>
      <c r="E241"/>
    </row>
    <row r="242" spans="1:5" ht="14.4" x14ac:dyDescent="0.3">
      <c r="A242"/>
      <c r="B242"/>
      <c r="C242"/>
      <c r="D242"/>
      <c r="E242"/>
    </row>
    <row r="243" spans="1:5" ht="14.4" x14ac:dyDescent="0.3">
      <c r="A243"/>
      <c r="B243"/>
      <c r="C243"/>
      <c r="D243"/>
      <c r="E243"/>
    </row>
    <row r="244" spans="1:5" ht="14.4" x14ac:dyDescent="0.3">
      <c r="A244"/>
      <c r="B244"/>
      <c r="C244"/>
      <c r="D244"/>
      <c r="E244"/>
    </row>
    <row r="245" spans="1:5" ht="14.4" x14ac:dyDescent="0.3">
      <c r="A245"/>
      <c r="B245"/>
      <c r="C245"/>
      <c r="D245"/>
      <c r="E245"/>
    </row>
    <row r="246" spans="1:5" ht="14.4" x14ac:dyDescent="0.3">
      <c r="A246"/>
      <c r="B246"/>
      <c r="C246"/>
      <c r="D246"/>
      <c r="E246"/>
    </row>
    <row r="247" spans="1:5" ht="14.4" x14ac:dyDescent="0.3">
      <c r="A247"/>
      <c r="B247"/>
      <c r="C247"/>
      <c r="D247"/>
      <c r="E247"/>
    </row>
    <row r="248" spans="1:5" ht="14.4" x14ac:dyDescent="0.3">
      <c r="A248"/>
      <c r="B248"/>
      <c r="C248"/>
      <c r="D248"/>
      <c r="E248"/>
    </row>
    <row r="249" spans="1:5" ht="14.4" x14ac:dyDescent="0.3">
      <c r="A249"/>
      <c r="B249"/>
      <c r="C249"/>
      <c r="D249"/>
      <c r="E249"/>
    </row>
    <row r="250" spans="1:5" ht="14.4" x14ac:dyDescent="0.3">
      <c r="A250"/>
      <c r="B250"/>
      <c r="C250"/>
      <c r="D250"/>
      <c r="E250"/>
    </row>
    <row r="251" spans="1:5" ht="14.4" x14ac:dyDescent="0.3">
      <c r="A251"/>
      <c r="B251"/>
      <c r="C251"/>
      <c r="D251"/>
      <c r="E251"/>
    </row>
    <row r="252" spans="1:5" ht="14.4" x14ac:dyDescent="0.3">
      <c r="A252"/>
      <c r="B252"/>
      <c r="C252"/>
      <c r="D252"/>
      <c r="E252"/>
    </row>
    <row r="253" spans="1:5" ht="14.4" x14ac:dyDescent="0.3">
      <c r="A253"/>
      <c r="B253"/>
      <c r="C253"/>
      <c r="D253"/>
      <c r="E253"/>
    </row>
    <row r="254" spans="1:5" ht="14.4" x14ac:dyDescent="0.3">
      <c r="A254"/>
      <c r="B254"/>
      <c r="C254"/>
      <c r="D254"/>
      <c r="E254"/>
    </row>
    <row r="255" spans="1:5" ht="14.4" x14ac:dyDescent="0.3">
      <c r="A255"/>
      <c r="B255"/>
      <c r="C255"/>
      <c r="D255"/>
      <c r="E255"/>
    </row>
    <row r="256" spans="1:5" ht="14.4" x14ac:dyDescent="0.3">
      <c r="A256"/>
      <c r="B256"/>
      <c r="C256"/>
      <c r="D256"/>
      <c r="E256"/>
    </row>
    <row r="257" spans="1:5" ht="14.4" x14ac:dyDescent="0.3">
      <c r="A257"/>
      <c r="B257"/>
      <c r="C257"/>
      <c r="D257"/>
      <c r="E257"/>
    </row>
    <row r="258" spans="1:5" ht="14.4" x14ac:dyDescent="0.3">
      <c r="A258"/>
      <c r="B258"/>
      <c r="C258"/>
      <c r="D258"/>
      <c r="E258"/>
    </row>
    <row r="259" spans="1:5" ht="14.4" x14ac:dyDescent="0.3">
      <c r="A259"/>
      <c r="B259"/>
      <c r="C259"/>
      <c r="D259"/>
      <c r="E259"/>
    </row>
    <row r="260" spans="1:5" ht="14.4" x14ac:dyDescent="0.3">
      <c r="A260"/>
      <c r="B260"/>
      <c r="C260"/>
      <c r="D260"/>
      <c r="E260"/>
    </row>
    <row r="261" spans="1:5" ht="14.4" x14ac:dyDescent="0.3">
      <c r="A261"/>
      <c r="B261"/>
      <c r="C261"/>
      <c r="D261"/>
      <c r="E261"/>
    </row>
    <row r="262" spans="1:5" ht="14.4" x14ac:dyDescent="0.3">
      <c r="A262"/>
      <c r="B262"/>
      <c r="C262"/>
      <c r="D262"/>
      <c r="E262"/>
    </row>
    <row r="263" spans="1:5" ht="14.4" x14ac:dyDescent="0.3">
      <c r="A263"/>
      <c r="B263"/>
      <c r="C263"/>
      <c r="D263"/>
      <c r="E263"/>
    </row>
    <row r="264" spans="1:5" ht="14.4" x14ac:dyDescent="0.3">
      <c r="A264"/>
      <c r="B264"/>
      <c r="C264"/>
      <c r="D264"/>
      <c r="E264"/>
    </row>
    <row r="265" spans="1:5" ht="14.4" x14ac:dyDescent="0.3">
      <c r="A265"/>
      <c r="B265"/>
      <c r="C265"/>
      <c r="D265"/>
      <c r="E265"/>
    </row>
    <row r="266" spans="1:5" ht="14.4" x14ac:dyDescent="0.3">
      <c r="A266"/>
      <c r="B266"/>
      <c r="C266"/>
      <c r="D266"/>
      <c r="E266"/>
    </row>
    <row r="267" spans="1:5" ht="14.4" x14ac:dyDescent="0.3">
      <c r="A267"/>
      <c r="B267"/>
      <c r="C267"/>
      <c r="D267"/>
      <c r="E267"/>
    </row>
    <row r="268" spans="1:5" ht="14.4" x14ac:dyDescent="0.3">
      <c r="A268"/>
      <c r="B268"/>
      <c r="C268"/>
      <c r="D268"/>
      <c r="E268"/>
    </row>
    <row r="269" spans="1:5" ht="14.4" x14ac:dyDescent="0.3">
      <c r="A269"/>
      <c r="B269"/>
      <c r="C269"/>
      <c r="D269"/>
      <c r="E269"/>
    </row>
    <row r="270" spans="1:5" ht="14.4" x14ac:dyDescent="0.3">
      <c r="A270"/>
      <c r="B270"/>
      <c r="C270"/>
      <c r="D270"/>
      <c r="E270"/>
    </row>
    <row r="271" spans="1:5" ht="14.4" x14ac:dyDescent="0.3">
      <c r="A271"/>
      <c r="B271"/>
      <c r="C271"/>
      <c r="D271"/>
      <c r="E271"/>
    </row>
    <row r="272" spans="1:5" ht="14.4" x14ac:dyDescent="0.3">
      <c r="A272"/>
      <c r="B272"/>
      <c r="C272"/>
      <c r="D272"/>
      <c r="E272"/>
    </row>
    <row r="273" spans="1:5" ht="14.4" x14ac:dyDescent="0.3">
      <c r="A273"/>
      <c r="B273"/>
      <c r="C273"/>
      <c r="D273"/>
      <c r="E273"/>
    </row>
    <row r="274" spans="1:5" ht="14.4" x14ac:dyDescent="0.3">
      <c r="A274"/>
      <c r="B274"/>
      <c r="C274"/>
      <c r="D274"/>
      <c r="E274"/>
    </row>
    <row r="275" spans="1:5" ht="14.4" x14ac:dyDescent="0.3">
      <c r="A275"/>
      <c r="B275"/>
      <c r="C275"/>
      <c r="D275"/>
      <c r="E275"/>
    </row>
    <row r="276" spans="1:5" ht="14.4" x14ac:dyDescent="0.3">
      <c r="A276"/>
      <c r="B276"/>
      <c r="C276"/>
      <c r="D276"/>
      <c r="E276"/>
    </row>
    <row r="277" spans="1:5" ht="14.4" x14ac:dyDescent="0.3">
      <c r="A277"/>
      <c r="B277"/>
      <c r="C277"/>
      <c r="D277"/>
      <c r="E277"/>
    </row>
    <row r="278" spans="1:5" ht="14.4" x14ac:dyDescent="0.3">
      <c r="A278"/>
      <c r="B278"/>
      <c r="C278"/>
      <c r="D278"/>
      <c r="E278"/>
    </row>
    <row r="279" spans="1:5" ht="14.4" x14ac:dyDescent="0.3">
      <c r="A279"/>
      <c r="B279"/>
      <c r="C279"/>
      <c r="D279"/>
      <c r="E279"/>
    </row>
    <row r="280" spans="1:5" ht="14.4" x14ac:dyDescent="0.3">
      <c r="A280"/>
      <c r="B280"/>
      <c r="C280"/>
      <c r="D280"/>
      <c r="E280"/>
    </row>
    <row r="281" spans="1:5" ht="14.4" x14ac:dyDescent="0.3">
      <c r="A281"/>
      <c r="B281"/>
      <c r="C281"/>
      <c r="D281"/>
      <c r="E281"/>
    </row>
    <row r="282" spans="1:5" ht="14.4" x14ac:dyDescent="0.3">
      <c r="A282"/>
      <c r="B282"/>
      <c r="C282"/>
      <c r="D282"/>
      <c r="E282"/>
    </row>
    <row r="283" spans="1:5" ht="14.4" x14ac:dyDescent="0.3">
      <c r="A283"/>
      <c r="B283"/>
      <c r="C283"/>
      <c r="D283"/>
      <c r="E283"/>
    </row>
    <row r="284" spans="1:5" ht="14.4" x14ac:dyDescent="0.3">
      <c r="A284"/>
      <c r="B284"/>
      <c r="C284"/>
      <c r="D284"/>
      <c r="E284"/>
    </row>
    <row r="285" spans="1:5" ht="14.4" x14ac:dyDescent="0.3">
      <c r="A285"/>
      <c r="B285"/>
      <c r="C285"/>
      <c r="D285"/>
      <c r="E285"/>
    </row>
    <row r="286" spans="1:5" ht="14.4" x14ac:dyDescent="0.3">
      <c r="A286"/>
      <c r="B286"/>
      <c r="C286"/>
      <c r="D286"/>
      <c r="E286"/>
    </row>
    <row r="287" spans="1:5" ht="14.4" x14ac:dyDescent="0.3">
      <c r="A287"/>
      <c r="B287"/>
      <c r="C287"/>
      <c r="D287"/>
      <c r="E287"/>
    </row>
    <row r="288" spans="1:5" ht="14.4" x14ac:dyDescent="0.3">
      <c r="A288"/>
      <c r="B288"/>
      <c r="C288"/>
      <c r="D288"/>
      <c r="E288"/>
    </row>
    <row r="289" spans="1:5" ht="14.4" x14ac:dyDescent="0.3">
      <c r="A289"/>
      <c r="B289"/>
      <c r="C289"/>
      <c r="D289"/>
      <c r="E289"/>
    </row>
    <row r="290" spans="1:5" ht="14.4" x14ac:dyDescent="0.3">
      <c r="A290"/>
      <c r="B290"/>
      <c r="C290"/>
      <c r="D290"/>
      <c r="E290"/>
    </row>
    <row r="291" spans="1:5" ht="14.4" x14ac:dyDescent="0.3">
      <c r="A291"/>
      <c r="B291"/>
      <c r="C291"/>
      <c r="D291"/>
      <c r="E291"/>
    </row>
    <row r="292" spans="1:5" ht="14.4" x14ac:dyDescent="0.3">
      <c r="A292"/>
      <c r="B292"/>
      <c r="C292"/>
      <c r="D292"/>
      <c r="E292"/>
    </row>
    <row r="293" spans="1:5" ht="14.4" x14ac:dyDescent="0.3">
      <c r="A293"/>
      <c r="B293"/>
      <c r="C293"/>
      <c r="D293"/>
      <c r="E293"/>
    </row>
    <row r="294" spans="1:5" ht="14.4" x14ac:dyDescent="0.3">
      <c r="A294"/>
      <c r="B294"/>
      <c r="C294"/>
      <c r="D294"/>
      <c r="E294"/>
    </row>
    <row r="295" spans="1:5" ht="14.4" x14ac:dyDescent="0.3">
      <c r="A295"/>
      <c r="B295"/>
      <c r="C295"/>
      <c r="D295"/>
      <c r="E295"/>
    </row>
    <row r="296" spans="1:5" ht="14.4" x14ac:dyDescent="0.3">
      <c r="A296"/>
      <c r="B296"/>
      <c r="C296"/>
      <c r="D296"/>
      <c r="E296"/>
    </row>
    <row r="297" spans="1:5" ht="14.4" x14ac:dyDescent="0.3">
      <c r="A297"/>
      <c r="B297"/>
      <c r="C297"/>
      <c r="D297"/>
      <c r="E297"/>
    </row>
    <row r="298" spans="1:5" ht="14.4" x14ac:dyDescent="0.3">
      <c r="A298"/>
      <c r="B298"/>
      <c r="C298"/>
      <c r="D298"/>
      <c r="E298"/>
    </row>
    <row r="299" spans="1:5" ht="14.4" x14ac:dyDescent="0.3">
      <c r="A299"/>
      <c r="B299"/>
      <c r="C299"/>
      <c r="D299"/>
      <c r="E299"/>
    </row>
    <row r="300" spans="1:5" ht="14.4" x14ac:dyDescent="0.3">
      <c r="A300"/>
      <c r="B300"/>
      <c r="C300"/>
      <c r="D300"/>
      <c r="E300"/>
    </row>
    <row r="301" spans="1:5" ht="14.4" x14ac:dyDescent="0.3">
      <c r="A301"/>
      <c r="B301"/>
      <c r="C301"/>
      <c r="D301"/>
      <c r="E301"/>
    </row>
    <row r="302" spans="1:5" ht="14.4" x14ac:dyDescent="0.3">
      <c r="A302"/>
      <c r="B302"/>
      <c r="C302"/>
      <c r="D302"/>
      <c r="E302"/>
    </row>
    <row r="303" spans="1:5" ht="14.4" x14ac:dyDescent="0.3">
      <c r="A303"/>
      <c r="B303"/>
      <c r="C303"/>
      <c r="D303"/>
      <c r="E303"/>
    </row>
    <row r="304" spans="1:5" ht="14.4" x14ac:dyDescent="0.3">
      <c r="A304"/>
      <c r="B304"/>
      <c r="C304"/>
      <c r="D304"/>
      <c r="E304"/>
    </row>
    <row r="305" spans="1:5" ht="14.4" x14ac:dyDescent="0.3">
      <c r="A305"/>
      <c r="B305"/>
      <c r="C305"/>
      <c r="D305"/>
      <c r="E305"/>
    </row>
    <row r="306" spans="1:5" ht="14.4" x14ac:dyDescent="0.3">
      <c r="A306"/>
      <c r="B306"/>
      <c r="C306"/>
      <c r="D306"/>
      <c r="E306"/>
    </row>
    <row r="307" spans="1:5" ht="14.4" x14ac:dyDescent="0.3">
      <c r="A307"/>
      <c r="B307"/>
      <c r="C307"/>
      <c r="D307"/>
      <c r="E307"/>
    </row>
    <row r="308" spans="1:5" ht="14.4" x14ac:dyDescent="0.3">
      <c r="A308"/>
      <c r="B308"/>
      <c r="C308"/>
      <c r="D308"/>
      <c r="E308"/>
    </row>
    <row r="309" spans="1:5" ht="14.4" x14ac:dyDescent="0.3">
      <c r="A309"/>
      <c r="B309"/>
      <c r="C309"/>
      <c r="D309"/>
      <c r="E309"/>
    </row>
    <row r="310" spans="1:5" ht="14.4" x14ac:dyDescent="0.3">
      <c r="A310"/>
      <c r="B310"/>
      <c r="C310"/>
      <c r="D310"/>
      <c r="E310"/>
    </row>
    <row r="311" spans="1:5" ht="14.4" x14ac:dyDescent="0.3">
      <c r="A311"/>
      <c r="B311"/>
      <c r="C311"/>
      <c r="D311"/>
      <c r="E311"/>
    </row>
    <row r="312" spans="1:5" ht="14.4" x14ac:dyDescent="0.3">
      <c r="A312"/>
      <c r="B312"/>
      <c r="C312"/>
      <c r="D312"/>
      <c r="E312"/>
    </row>
    <row r="313" spans="1:5" ht="14.4" x14ac:dyDescent="0.3">
      <c r="A313"/>
      <c r="B313"/>
      <c r="C313"/>
      <c r="D313"/>
      <c r="E313"/>
    </row>
    <row r="314" spans="1:5" ht="14.4" x14ac:dyDescent="0.3">
      <c r="A314"/>
      <c r="B314"/>
      <c r="C314"/>
      <c r="D314"/>
      <c r="E314"/>
    </row>
    <row r="315" spans="1:5" ht="14.4" x14ac:dyDescent="0.3">
      <c r="A315"/>
      <c r="B315"/>
      <c r="C315"/>
      <c r="D315"/>
      <c r="E315"/>
    </row>
    <row r="316" spans="1:5" ht="14.4" x14ac:dyDescent="0.3">
      <c r="A316"/>
      <c r="B316"/>
      <c r="C316"/>
      <c r="D316"/>
      <c r="E316"/>
    </row>
    <row r="317" spans="1:5" ht="14.4" x14ac:dyDescent="0.3">
      <c r="A317"/>
      <c r="B317"/>
      <c r="C317"/>
      <c r="D317"/>
      <c r="E317"/>
    </row>
    <row r="318" spans="1:5" ht="14.4" x14ac:dyDescent="0.3">
      <c r="A318"/>
      <c r="B318"/>
      <c r="C318"/>
      <c r="D318"/>
      <c r="E318"/>
    </row>
    <row r="319" spans="1:5" ht="14.4" x14ac:dyDescent="0.3">
      <c r="A319"/>
      <c r="B319"/>
      <c r="C319"/>
      <c r="D319"/>
      <c r="E319"/>
    </row>
    <row r="320" spans="1:5" ht="14.4" x14ac:dyDescent="0.3">
      <c r="A320"/>
      <c r="B320"/>
      <c r="C320"/>
      <c r="D320"/>
      <c r="E320"/>
    </row>
    <row r="321" spans="1:5" ht="14.4" x14ac:dyDescent="0.3">
      <c r="A321"/>
      <c r="B321"/>
      <c r="C321"/>
      <c r="D321"/>
      <c r="E321"/>
    </row>
    <row r="322" spans="1:5" ht="14.4" x14ac:dyDescent="0.3">
      <c r="A322"/>
      <c r="B322"/>
      <c r="C322"/>
      <c r="D322"/>
      <c r="E322"/>
    </row>
    <row r="323" spans="1:5" ht="14.4" x14ac:dyDescent="0.3">
      <c r="A323"/>
      <c r="B323"/>
      <c r="C323"/>
      <c r="D323"/>
      <c r="E323"/>
    </row>
    <row r="324" spans="1:5" ht="14.4" x14ac:dyDescent="0.3">
      <c r="A324"/>
      <c r="B324"/>
      <c r="C324"/>
      <c r="D324"/>
      <c r="E324"/>
    </row>
    <row r="325" spans="1:5" ht="14.4" x14ac:dyDescent="0.3">
      <c r="A325"/>
      <c r="B325"/>
      <c r="C325"/>
      <c r="D325"/>
      <c r="E325"/>
    </row>
    <row r="326" spans="1:5" ht="14.4" x14ac:dyDescent="0.3">
      <c r="A326"/>
      <c r="B326"/>
      <c r="C326"/>
      <c r="D326"/>
      <c r="E326"/>
    </row>
    <row r="327" spans="1:5" ht="14.4" x14ac:dyDescent="0.3">
      <c r="A327"/>
      <c r="B327"/>
      <c r="C327"/>
      <c r="D327"/>
      <c r="E327"/>
    </row>
    <row r="328" spans="1:5" ht="14.4" x14ac:dyDescent="0.3">
      <c r="A328"/>
      <c r="B328"/>
      <c r="C328"/>
      <c r="D328"/>
      <c r="E328"/>
    </row>
    <row r="329" spans="1:5" ht="14.4" x14ac:dyDescent="0.3">
      <c r="A329"/>
      <c r="B329"/>
      <c r="C329"/>
      <c r="D329"/>
      <c r="E329"/>
    </row>
    <row r="330" spans="1:5" ht="14.4" x14ac:dyDescent="0.3">
      <c r="A330"/>
      <c r="B330"/>
      <c r="C330"/>
      <c r="D330"/>
      <c r="E330"/>
    </row>
    <row r="331" spans="1:5" ht="14.4" x14ac:dyDescent="0.3">
      <c r="A331"/>
      <c r="B331"/>
      <c r="C331"/>
      <c r="D331"/>
      <c r="E331"/>
    </row>
    <row r="332" spans="1:5" ht="14.4" x14ac:dyDescent="0.3">
      <c r="A332"/>
      <c r="B332"/>
      <c r="C332"/>
      <c r="D332"/>
      <c r="E332"/>
    </row>
    <row r="333" spans="1:5" ht="14.4" x14ac:dyDescent="0.3">
      <c r="A333"/>
      <c r="B333"/>
      <c r="C333"/>
      <c r="D333"/>
      <c r="E333"/>
    </row>
    <row r="334" spans="1:5" ht="14.4" x14ac:dyDescent="0.3">
      <c r="A334"/>
      <c r="B334"/>
      <c r="C334"/>
      <c r="D334"/>
      <c r="E334"/>
    </row>
    <row r="335" spans="1:5" ht="14.4" x14ac:dyDescent="0.3">
      <c r="A335"/>
      <c r="B335"/>
      <c r="C335"/>
      <c r="D335"/>
      <c r="E335"/>
    </row>
    <row r="336" spans="1:5" ht="14.4" x14ac:dyDescent="0.3">
      <c r="A336"/>
      <c r="B336"/>
      <c r="C336"/>
      <c r="D336"/>
      <c r="E336"/>
    </row>
    <row r="337" spans="1:5" ht="14.4" x14ac:dyDescent="0.3">
      <c r="A337"/>
      <c r="B337"/>
      <c r="C337"/>
      <c r="D337"/>
      <c r="E337"/>
    </row>
    <row r="338" spans="1:5" ht="14.4" x14ac:dyDescent="0.3">
      <c r="A338"/>
      <c r="B338"/>
      <c r="C338"/>
      <c r="D338"/>
      <c r="E338"/>
    </row>
    <row r="339" spans="1:5" ht="14.4" x14ac:dyDescent="0.3">
      <c r="A339"/>
      <c r="B339"/>
      <c r="C339"/>
      <c r="D339"/>
      <c r="E339"/>
    </row>
    <row r="340" spans="1:5" ht="14.4" x14ac:dyDescent="0.3">
      <c r="A340"/>
      <c r="B340"/>
      <c r="C340"/>
      <c r="D340"/>
      <c r="E340"/>
    </row>
    <row r="341" spans="1:5" ht="14.4" x14ac:dyDescent="0.3">
      <c r="A341"/>
      <c r="B341"/>
      <c r="C341"/>
      <c r="D341"/>
      <c r="E341"/>
    </row>
    <row r="342" spans="1:5" ht="14.4" x14ac:dyDescent="0.3">
      <c r="A342"/>
      <c r="B342"/>
      <c r="C342"/>
      <c r="D342"/>
      <c r="E342"/>
    </row>
    <row r="343" spans="1:5" ht="14.4" x14ac:dyDescent="0.3">
      <c r="A343"/>
      <c r="B343"/>
      <c r="C343"/>
      <c r="D343"/>
      <c r="E343"/>
    </row>
    <row r="344" spans="1:5" ht="14.4" x14ac:dyDescent="0.3">
      <c r="A344"/>
      <c r="B344"/>
      <c r="C344"/>
      <c r="D344"/>
      <c r="E344"/>
    </row>
    <row r="345" spans="1:5" ht="14.4" x14ac:dyDescent="0.3">
      <c r="A345"/>
      <c r="B345"/>
      <c r="C345"/>
      <c r="D345"/>
      <c r="E345"/>
    </row>
    <row r="346" spans="1:5" ht="14.4" x14ac:dyDescent="0.3">
      <c r="A346"/>
      <c r="B346"/>
      <c r="C346"/>
      <c r="D346"/>
      <c r="E346"/>
    </row>
    <row r="347" spans="1:5" ht="14.4" x14ac:dyDescent="0.3">
      <c r="A347"/>
      <c r="B347"/>
      <c r="C347"/>
      <c r="D347"/>
      <c r="E347"/>
    </row>
    <row r="348" spans="1:5" ht="14.4" x14ac:dyDescent="0.3">
      <c r="A348"/>
      <c r="B348"/>
      <c r="C348"/>
      <c r="D348"/>
      <c r="E348"/>
    </row>
    <row r="349" spans="1:5" ht="14.4" x14ac:dyDescent="0.3">
      <c r="A349"/>
      <c r="B349"/>
      <c r="C349"/>
      <c r="D349"/>
      <c r="E349"/>
    </row>
    <row r="350" spans="1:5" ht="14.4" x14ac:dyDescent="0.3">
      <c r="A350"/>
      <c r="B350"/>
      <c r="C350"/>
      <c r="D350"/>
      <c r="E350"/>
    </row>
    <row r="351" spans="1:5" ht="14.4" x14ac:dyDescent="0.3">
      <c r="A351"/>
      <c r="B351"/>
      <c r="C351"/>
      <c r="D351"/>
      <c r="E351"/>
    </row>
    <row r="352" spans="1:5" ht="14.4" x14ac:dyDescent="0.3">
      <c r="A352"/>
      <c r="B352"/>
      <c r="C352"/>
      <c r="D352"/>
      <c r="E352"/>
    </row>
    <row r="353" spans="1:5" ht="14.4" x14ac:dyDescent="0.3">
      <c r="A353"/>
      <c r="B353"/>
      <c r="C353"/>
      <c r="D353"/>
      <c r="E353"/>
    </row>
    <row r="354" spans="1:5" ht="14.4" x14ac:dyDescent="0.3">
      <c r="A354"/>
      <c r="B354"/>
      <c r="C354"/>
      <c r="D354"/>
      <c r="E354"/>
    </row>
    <row r="355" spans="1:5" ht="14.4" x14ac:dyDescent="0.3">
      <c r="A355"/>
      <c r="B355"/>
      <c r="C355"/>
      <c r="D355"/>
      <c r="E355"/>
    </row>
    <row r="356" spans="1:5" ht="14.4" x14ac:dyDescent="0.3">
      <c r="A356"/>
      <c r="B356"/>
      <c r="C356"/>
      <c r="D356"/>
      <c r="E356"/>
    </row>
    <row r="357" spans="1:5" ht="14.4" x14ac:dyDescent="0.3">
      <c r="A357"/>
      <c r="B357"/>
      <c r="C357"/>
      <c r="D357"/>
      <c r="E357"/>
    </row>
    <row r="358" spans="1:5" ht="14.4" x14ac:dyDescent="0.3">
      <c r="A358"/>
      <c r="B358"/>
      <c r="C358"/>
      <c r="D358"/>
      <c r="E358"/>
    </row>
    <row r="359" spans="1:5" ht="14.4" x14ac:dyDescent="0.3">
      <c r="A359"/>
      <c r="B359"/>
      <c r="C359"/>
      <c r="D359"/>
      <c r="E359"/>
    </row>
    <row r="360" spans="1:5" ht="14.4" x14ac:dyDescent="0.3">
      <c r="A360"/>
      <c r="B360"/>
      <c r="C360"/>
      <c r="D360"/>
      <c r="E360"/>
    </row>
    <row r="361" spans="1:5" ht="14.4" x14ac:dyDescent="0.3">
      <c r="A361"/>
      <c r="B361"/>
      <c r="C361"/>
      <c r="D361"/>
      <c r="E361"/>
    </row>
    <row r="362" spans="1:5" ht="14.4" x14ac:dyDescent="0.3">
      <c r="A362"/>
      <c r="B362"/>
      <c r="C362"/>
      <c r="D362"/>
      <c r="E362"/>
    </row>
    <row r="363" spans="1:5" ht="14.4" x14ac:dyDescent="0.3">
      <c r="A363"/>
      <c r="B363"/>
      <c r="C363"/>
      <c r="D363"/>
      <c r="E363"/>
    </row>
    <row r="364" spans="1:5" ht="14.4" x14ac:dyDescent="0.3">
      <c r="A364"/>
      <c r="B364"/>
      <c r="C364"/>
      <c r="D364"/>
      <c r="E364"/>
    </row>
    <row r="365" spans="1:5" ht="14.4" x14ac:dyDescent="0.3">
      <c r="A365"/>
      <c r="B365"/>
      <c r="C365"/>
      <c r="D365"/>
      <c r="E365"/>
    </row>
    <row r="366" spans="1:5" ht="14.4" x14ac:dyDescent="0.3">
      <c r="A366"/>
      <c r="B366"/>
      <c r="C366"/>
      <c r="D366"/>
      <c r="E366"/>
    </row>
    <row r="367" spans="1:5" ht="14.4" x14ac:dyDescent="0.3">
      <c r="A367"/>
      <c r="B367"/>
      <c r="C367"/>
      <c r="D367"/>
      <c r="E367"/>
    </row>
    <row r="368" spans="1:5" ht="14.4" x14ac:dyDescent="0.3">
      <c r="A368"/>
      <c r="B368"/>
      <c r="C368"/>
      <c r="D368"/>
      <c r="E368"/>
    </row>
    <row r="369" spans="1:5" ht="14.4" x14ac:dyDescent="0.3">
      <c r="A369"/>
      <c r="B369"/>
      <c r="C369"/>
      <c r="D369"/>
      <c r="E369"/>
    </row>
    <row r="370" spans="1:5" ht="14.4" x14ac:dyDescent="0.3">
      <c r="A370"/>
      <c r="B370"/>
      <c r="C370"/>
      <c r="D370"/>
      <c r="E370"/>
    </row>
    <row r="371" spans="1:5" ht="14.4" x14ac:dyDescent="0.3">
      <c r="A371"/>
      <c r="B371"/>
      <c r="C371"/>
      <c r="D371"/>
      <c r="E371"/>
    </row>
    <row r="372" spans="1:5" ht="14.4" x14ac:dyDescent="0.3">
      <c r="A372"/>
      <c r="B372"/>
      <c r="C372"/>
      <c r="D372"/>
      <c r="E372"/>
    </row>
    <row r="373" spans="1:5" ht="14.4" x14ac:dyDescent="0.3">
      <c r="A373"/>
      <c r="B373"/>
      <c r="C373"/>
      <c r="D373"/>
      <c r="E373"/>
    </row>
    <row r="374" spans="1:5" ht="14.4" x14ac:dyDescent="0.3">
      <c r="A374"/>
      <c r="B374"/>
      <c r="C374"/>
      <c r="D374"/>
      <c r="E374"/>
    </row>
    <row r="375" spans="1:5" ht="14.4" x14ac:dyDescent="0.3">
      <c r="A375"/>
      <c r="B375"/>
      <c r="C375"/>
      <c r="D375"/>
      <c r="E375"/>
    </row>
    <row r="376" spans="1:5" ht="14.4" x14ac:dyDescent="0.3">
      <c r="A376"/>
      <c r="B376"/>
      <c r="C376"/>
      <c r="D376"/>
      <c r="E376"/>
    </row>
    <row r="377" spans="1:5" ht="14.4" x14ac:dyDescent="0.3">
      <c r="A377"/>
      <c r="B377"/>
      <c r="C377"/>
      <c r="D377"/>
      <c r="E377"/>
    </row>
    <row r="378" spans="1:5" ht="14.4" x14ac:dyDescent="0.3">
      <c r="A378"/>
      <c r="B378"/>
      <c r="C378"/>
      <c r="D378"/>
      <c r="E378"/>
    </row>
    <row r="379" spans="1:5" ht="14.4" x14ac:dyDescent="0.3">
      <c r="A379"/>
      <c r="B379"/>
      <c r="C379"/>
      <c r="D379"/>
      <c r="E379"/>
    </row>
    <row r="380" spans="1:5" ht="14.4" x14ac:dyDescent="0.3">
      <c r="A380"/>
      <c r="B380"/>
      <c r="C380"/>
      <c r="D380"/>
      <c r="E380"/>
    </row>
    <row r="381" spans="1:5" ht="14.4" x14ac:dyDescent="0.3">
      <c r="A381"/>
      <c r="B381"/>
      <c r="C381"/>
      <c r="D381"/>
      <c r="E381"/>
    </row>
    <row r="382" spans="1:5" ht="14.4" x14ac:dyDescent="0.3">
      <c r="A382"/>
      <c r="B382"/>
      <c r="C382"/>
      <c r="D382"/>
      <c r="E382"/>
    </row>
    <row r="383" spans="1:5" ht="14.4" x14ac:dyDescent="0.3">
      <c r="A383"/>
      <c r="B383"/>
      <c r="C383"/>
      <c r="D383"/>
      <c r="E383"/>
    </row>
    <row r="384" spans="1:5" ht="14.4" x14ac:dyDescent="0.3">
      <c r="A384"/>
      <c r="B384"/>
      <c r="C384"/>
      <c r="D384"/>
      <c r="E384"/>
    </row>
    <row r="385" spans="1:5" ht="14.4" x14ac:dyDescent="0.3">
      <c r="A385"/>
      <c r="B385"/>
      <c r="C385"/>
      <c r="D385"/>
      <c r="E385"/>
    </row>
    <row r="386" spans="1:5" ht="14.4" x14ac:dyDescent="0.3">
      <c r="A386"/>
      <c r="B386"/>
      <c r="C386"/>
      <c r="D386"/>
      <c r="E386"/>
    </row>
    <row r="387" spans="1:5" ht="14.4" x14ac:dyDescent="0.3">
      <c r="A387"/>
      <c r="B387"/>
      <c r="C387"/>
      <c r="D387"/>
      <c r="E387"/>
    </row>
    <row r="388" spans="1:5" ht="14.4" x14ac:dyDescent="0.3">
      <c r="A388"/>
      <c r="B388"/>
      <c r="C388"/>
      <c r="D388"/>
      <c r="E388"/>
    </row>
    <row r="389" spans="1:5" ht="14.4" x14ac:dyDescent="0.3">
      <c r="A389"/>
      <c r="B389"/>
      <c r="C389"/>
      <c r="D389"/>
      <c r="E389"/>
    </row>
    <row r="390" spans="1:5" ht="14.4" x14ac:dyDescent="0.3">
      <c r="A390"/>
      <c r="B390"/>
      <c r="C390"/>
      <c r="D390"/>
      <c r="E390"/>
    </row>
    <row r="391" spans="1:5" ht="14.4" x14ac:dyDescent="0.3">
      <c r="A391"/>
      <c r="B391"/>
      <c r="C391"/>
      <c r="D391"/>
      <c r="E391"/>
    </row>
    <row r="392" spans="1:5" ht="14.4" x14ac:dyDescent="0.3">
      <c r="A392"/>
      <c r="B392"/>
      <c r="C392"/>
      <c r="D392"/>
      <c r="E392"/>
    </row>
    <row r="393" spans="1:5" ht="14.4" x14ac:dyDescent="0.3">
      <c r="A393"/>
      <c r="B393"/>
      <c r="C393"/>
      <c r="D393"/>
      <c r="E393"/>
    </row>
    <row r="394" spans="1:5" ht="14.4" x14ac:dyDescent="0.3">
      <c r="A394"/>
      <c r="B394"/>
      <c r="C394"/>
      <c r="D394"/>
      <c r="E394"/>
    </row>
    <row r="395" spans="1:5" ht="14.4" x14ac:dyDescent="0.3">
      <c r="A395"/>
      <c r="B395"/>
      <c r="C395"/>
      <c r="D395"/>
      <c r="E395"/>
    </row>
    <row r="396" spans="1:5" ht="14.4" x14ac:dyDescent="0.3">
      <c r="A396"/>
      <c r="B396"/>
      <c r="C396"/>
      <c r="D396"/>
      <c r="E396"/>
    </row>
    <row r="397" spans="1:5" ht="14.4" x14ac:dyDescent="0.3">
      <c r="A397"/>
      <c r="B397"/>
      <c r="C397"/>
      <c r="D397"/>
      <c r="E397"/>
    </row>
    <row r="398" spans="1:5" ht="14.4" x14ac:dyDescent="0.3">
      <c r="A398"/>
      <c r="B398"/>
      <c r="C398"/>
      <c r="D398"/>
      <c r="E398"/>
    </row>
    <row r="399" spans="1:5" ht="14.4" x14ac:dyDescent="0.3">
      <c r="A399"/>
      <c r="B399"/>
      <c r="C399"/>
      <c r="D399"/>
      <c r="E399"/>
    </row>
    <row r="400" spans="1:5" ht="14.4" x14ac:dyDescent="0.3">
      <c r="A400"/>
      <c r="B400"/>
      <c r="C400"/>
      <c r="D400"/>
      <c r="E400"/>
    </row>
    <row r="401" spans="1:5" ht="14.4" x14ac:dyDescent="0.3">
      <c r="A401"/>
      <c r="B401"/>
      <c r="C401"/>
      <c r="D401"/>
      <c r="E401"/>
    </row>
    <row r="402" spans="1:5" ht="14.4" x14ac:dyDescent="0.3">
      <c r="A402"/>
      <c r="B402"/>
      <c r="C402"/>
      <c r="D402"/>
      <c r="E402"/>
    </row>
    <row r="403" spans="1:5" ht="14.4" x14ac:dyDescent="0.3">
      <c r="A403"/>
      <c r="B403"/>
      <c r="C403"/>
      <c r="D403"/>
      <c r="E403"/>
    </row>
    <row r="404" spans="1:5" ht="14.4" x14ac:dyDescent="0.3">
      <c r="A404"/>
      <c r="B404"/>
      <c r="C404"/>
      <c r="D404"/>
      <c r="E404"/>
    </row>
    <row r="405" spans="1:5" ht="14.4" x14ac:dyDescent="0.3">
      <c r="A405"/>
      <c r="B405"/>
      <c r="C405"/>
      <c r="D405"/>
      <c r="E405"/>
    </row>
    <row r="406" spans="1:5" ht="14.4" x14ac:dyDescent="0.3">
      <c r="A406"/>
      <c r="B406"/>
      <c r="C406"/>
      <c r="D406"/>
      <c r="E406"/>
    </row>
    <row r="407" spans="1:5" ht="14.4" x14ac:dyDescent="0.3">
      <c r="A407"/>
      <c r="B407"/>
      <c r="C407"/>
      <c r="D407"/>
      <c r="E407"/>
    </row>
    <row r="408" spans="1:5" ht="14.4" x14ac:dyDescent="0.3">
      <c r="A408"/>
      <c r="B408"/>
      <c r="C408"/>
      <c r="D408"/>
      <c r="E408"/>
    </row>
    <row r="409" spans="1:5" ht="14.4" x14ac:dyDescent="0.3">
      <c r="A409"/>
      <c r="B409"/>
      <c r="C409"/>
      <c r="D409"/>
      <c r="E409"/>
    </row>
    <row r="410" spans="1:5" ht="14.4" x14ac:dyDescent="0.3">
      <c r="A410"/>
      <c r="B410"/>
      <c r="C410"/>
      <c r="D410"/>
      <c r="E410"/>
    </row>
    <row r="411" spans="1:5" ht="14.4" x14ac:dyDescent="0.3">
      <c r="A411"/>
      <c r="B411"/>
      <c r="C411"/>
      <c r="D411"/>
      <c r="E411"/>
    </row>
    <row r="412" spans="1:5" ht="14.4" x14ac:dyDescent="0.3">
      <c r="A412"/>
      <c r="B412"/>
      <c r="C412"/>
      <c r="D412"/>
      <c r="E412"/>
    </row>
    <row r="413" spans="1:5" ht="14.4" x14ac:dyDescent="0.3">
      <c r="A413"/>
      <c r="B413"/>
      <c r="C413"/>
      <c r="D413"/>
      <c r="E413"/>
    </row>
    <row r="414" spans="1:5" ht="14.4" x14ac:dyDescent="0.3">
      <c r="A414"/>
      <c r="B414"/>
      <c r="C414"/>
      <c r="D414"/>
      <c r="E414"/>
    </row>
    <row r="415" spans="1:5" ht="14.4" x14ac:dyDescent="0.3">
      <c r="A415"/>
      <c r="B415"/>
      <c r="C415"/>
      <c r="D415"/>
      <c r="E415"/>
    </row>
    <row r="416" spans="1:5" ht="14.4" x14ac:dyDescent="0.3">
      <c r="A416"/>
      <c r="B416"/>
      <c r="C416"/>
      <c r="D416"/>
      <c r="E416"/>
    </row>
    <row r="417" spans="1:5" ht="14.4" x14ac:dyDescent="0.3">
      <c r="A417"/>
      <c r="B417"/>
      <c r="C417"/>
      <c r="D417"/>
      <c r="E417"/>
    </row>
    <row r="418" spans="1:5" ht="14.4" x14ac:dyDescent="0.3">
      <c r="A418"/>
      <c r="B418"/>
      <c r="C418"/>
      <c r="D418"/>
      <c r="E418"/>
    </row>
    <row r="419" spans="1:5" ht="14.4" x14ac:dyDescent="0.3">
      <c r="A419"/>
      <c r="B419"/>
      <c r="C419"/>
      <c r="D419"/>
      <c r="E419"/>
    </row>
    <row r="420" spans="1:5" ht="14.4" x14ac:dyDescent="0.3">
      <c r="A420"/>
      <c r="B420"/>
      <c r="C420"/>
      <c r="D420"/>
      <c r="E420"/>
    </row>
    <row r="421" spans="1:5" ht="14.4" x14ac:dyDescent="0.3">
      <c r="A421"/>
      <c r="B421"/>
      <c r="C421"/>
      <c r="D421"/>
      <c r="E421"/>
    </row>
    <row r="422" spans="1:5" ht="14.4" x14ac:dyDescent="0.3">
      <c r="A422"/>
      <c r="B422"/>
      <c r="C422"/>
      <c r="D422"/>
      <c r="E422"/>
    </row>
    <row r="423" spans="1:5" ht="14.4" x14ac:dyDescent="0.3">
      <c r="A423"/>
      <c r="B423"/>
      <c r="C423"/>
      <c r="D423"/>
      <c r="E423"/>
    </row>
    <row r="424" spans="1:5" ht="14.4" x14ac:dyDescent="0.3">
      <c r="A424"/>
      <c r="B424"/>
      <c r="C424"/>
      <c r="D424"/>
      <c r="E424"/>
    </row>
    <row r="425" spans="1:5" ht="14.4" x14ac:dyDescent="0.3">
      <c r="A425"/>
      <c r="B425"/>
      <c r="C425"/>
      <c r="D425"/>
      <c r="E425"/>
    </row>
    <row r="426" spans="1:5" ht="14.4" x14ac:dyDescent="0.3">
      <c r="A426"/>
      <c r="B426"/>
      <c r="C426"/>
      <c r="D426"/>
      <c r="E426"/>
    </row>
    <row r="427" spans="1:5" ht="14.4" x14ac:dyDescent="0.3">
      <c r="A427"/>
      <c r="B427"/>
      <c r="C427"/>
      <c r="D427"/>
      <c r="E427"/>
    </row>
    <row r="428" spans="1:5" ht="14.4" x14ac:dyDescent="0.3">
      <c r="A428"/>
      <c r="B428"/>
      <c r="C428"/>
      <c r="D428"/>
      <c r="E428"/>
    </row>
    <row r="429" spans="1:5" ht="14.4" x14ac:dyDescent="0.3">
      <c r="A429"/>
      <c r="B429"/>
      <c r="C429"/>
      <c r="D429"/>
      <c r="E429"/>
    </row>
    <row r="430" spans="1:5" ht="14.4" x14ac:dyDescent="0.3">
      <c r="A430"/>
      <c r="B430"/>
      <c r="C430"/>
      <c r="D430"/>
      <c r="E430"/>
    </row>
    <row r="431" spans="1:5" ht="14.4" x14ac:dyDescent="0.3">
      <c r="A431"/>
      <c r="B431"/>
      <c r="C431"/>
      <c r="D431"/>
      <c r="E431"/>
    </row>
    <row r="432" spans="1:5" ht="14.4" x14ac:dyDescent="0.3">
      <c r="A432"/>
      <c r="B432"/>
      <c r="C432"/>
      <c r="D432"/>
      <c r="E432"/>
    </row>
    <row r="433" spans="1:5" ht="14.4" x14ac:dyDescent="0.3">
      <c r="A433"/>
      <c r="B433"/>
      <c r="C433"/>
      <c r="D433"/>
      <c r="E433"/>
    </row>
    <row r="434" spans="1:5" ht="14.4" x14ac:dyDescent="0.3">
      <c r="A434"/>
      <c r="B434"/>
      <c r="C434"/>
      <c r="D434"/>
      <c r="E434"/>
    </row>
    <row r="435" spans="1:5" ht="14.4" x14ac:dyDescent="0.3">
      <c r="A435"/>
      <c r="B435"/>
      <c r="C435"/>
      <c r="D435"/>
      <c r="E435"/>
    </row>
    <row r="436" spans="1:5" ht="14.4" x14ac:dyDescent="0.3">
      <c r="A436"/>
      <c r="B436"/>
      <c r="C436"/>
      <c r="D436"/>
      <c r="E436"/>
    </row>
    <row r="437" spans="1:5" ht="14.4" x14ac:dyDescent="0.3">
      <c r="A437"/>
      <c r="B437"/>
      <c r="C437"/>
      <c r="D437"/>
      <c r="E437"/>
    </row>
    <row r="438" spans="1:5" ht="14.4" x14ac:dyDescent="0.3">
      <c r="A438"/>
      <c r="B438"/>
      <c r="C438"/>
      <c r="D438"/>
      <c r="E438"/>
    </row>
    <row r="439" spans="1:5" ht="14.4" x14ac:dyDescent="0.3">
      <c r="A439"/>
      <c r="B439"/>
      <c r="C439"/>
      <c r="D439"/>
      <c r="E439"/>
    </row>
    <row r="440" spans="1:5" ht="14.4" x14ac:dyDescent="0.3">
      <c r="A440"/>
      <c r="B440"/>
      <c r="C440"/>
      <c r="D440"/>
      <c r="E440"/>
    </row>
    <row r="441" spans="1:5" ht="14.4" x14ac:dyDescent="0.3">
      <c r="A441"/>
      <c r="B441"/>
      <c r="C441"/>
      <c r="D441"/>
      <c r="E441"/>
    </row>
    <row r="442" spans="1:5" ht="14.4" x14ac:dyDescent="0.3">
      <c r="A442"/>
      <c r="B442"/>
      <c r="C442"/>
      <c r="D442"/>
      <c r="E442"/>
    </row>
    <row r="443" spans="1:5" ht="14.4" x14ac:dyDescent="0.3">
      <c r="A443"/>
      <c r="B443"/>
      <c r="C443"/>
      <c r="D443"/>
      <c r="E443"/>
    </row>
    <row r="444" spans="1:5" ht="14.4" x14ac:dyDescent="0.3">
      <c r="A444"/>
      <c r="B444"/>
      <c r="C444"/>
      <c r="D444"/>
      <c r="E444"/>
    </row>
    <row r="445" spans="1:5" ht="14.4" x14ac:dyDescent="0.3">
      <c r="A445"/>
      <c r="B445"/>
      <c r="C445"/>
      <c r="D445"/>
      <c r="E445"/>
    </row>
    <row r="446" spans="1:5" ht="14.4" x14ac:dyDescent="0.3">
      <c r="A446"/>
      <c r="B446"/>
      <c r="C446"/>
      <c r="D446"/>
      <c r="E446"/>
    </row>
    <row r="447" spans="1:5" ht="14.4" x14ac:dyDescent="0.3">
      <c r="A447"/>
      <c r="B447"/>
      <c r="C447"/>
      <c r="D447"/>
      <c r="E447"/>
    </row>
    <row r="448" spans="1:5" ht="14.4" x14ac:dyDescent="0.3">
      <c r="A448"/>
      <c r="B448"/>
      <c r="C448"/>
      <c r="D448"/>
      <c r="E448"/>
    </row>
    <row r="449" spans="1:5" ht="14.4" x14ac:dyDescent="0.3">
      <c r="A449"/>
      <c r="B449"/>
      <c r="C449"/>
      <c r="D449"/>
      <c r="E449"/>
    </row>
    <row r="450" spans="1:5" ht="14.4" x14ac:dyDescent="0.3">
      <c r="A450"/>
      <c r="B450"/>
      <c r="C450"/>
      <c r="D450"/>
      <c r="E450"/>
    </row>
    <row r="451" spans="1:5" ht="14.4" x14ac:dyDescent="0.3">
      <c r="A451"/>
      <c r="B451"/>
      <c r="C451"/>
      <c r="D451"/>
      <c r="E451"/>
    </row>
    <row r="452" spans="1:5" ht="14.4" x14ac:dyDescent="0.3">
      <c r="A452"/>
      <c r="B452"/>
      <c r="C452"/>
      <c r="D452"/>
      <c r="E452"/>
    </row>
    <row r="453" spans="1:5" ht="14.4" x14ac:dyDescent="0.3">
      <c r="A453"/>
      <c r="B453"/>
      <c r="C453"/>
      <c r="D453"/>
      <c r="E453"/>
    </row>
    <row r="454" spans="1:5" ht="14.4" x14ac:dyDescent="0.3">
      <c r="A454"/>
      <c r="B454"/>
      <c r="C454"/>
      <c r="D454"/>
      <c r="E454"/>
    </row>
    <row r="455" spans="1:5" ht="14.4" x14ac:dyDescent="0.3">
      <c r="A455"/>
      <c r="B455"/>
      <c r="C455"/>
      <c r="D455"/>
      <c r="E455"/>
    </row>
    <row r="456" spans="1:5" ht="14.4" x14ac:dyDescent="0.3">
      <c r="A456"/>
      <c r="B456"/>
      <c r="C456"/>
      <c r="D456"/>
      <c r="E456"/>
    </row>
    <row r="457" spans="1:5" ht="14.4" x14ac:dyDescent="0.3">
      <c r="A457"/>
      <c r="B457"/>
      <c r="C457"/>
      <c r="D457"/>
      <c r="E457"/>
    </row>
    <row r="458" spans="1:5" ht="14.4" x14ac:dyDescent="0.3">
      <c r="A458"/>
      <c r="B458"/>
      <c r="C458"/>
      <c r="D458"/>
      <c r="E458"/>
    </row>
    <row r="459" spans="1:5" ht="14.4" x14ac:dyDescent="0.3">
      <c r="A459"/>
      <c r="B459"/>
      <c r="C459"/>
      <c r="D459"/>
      <c r="E459"/>
    </row>
    <row r="460" spans="1:5" ht="14.4" x14ac:dyDescent="0.3">
      <c r="A460"/>
      <c r="B460"/>
      <c r="C460"/>
      <c r="D460"/>
      <c r="E460"/>
    </row>
    <row r="461" spans="1:5" ht="14.4" x14ac:dyDescent="0.3">
      <c r="A461"/>
      <c r="B461"/>
      <c r="C461"/>
      <c r="D461"/>
      <c r="E461"/>
    </row>
    <row r="462" spans="1:5" ht="14.4" x14ac:dyDescent="0.3">
      <c r="A462"/>
      <c r="B462"/>
      <c r="C462"/>
      <c r="D462"/>
      <c r="E462"/>
    </row>
    <row r="463" spans="1:5" ht="14.4" x14ac:dyDescent="0.3">
      <c r="A463"/>
      <c r="B463"/>
      <c r="C463"/>
      <c r="D463"/>
      <c r="E463"/>
    </row>
    <row r="464" spans="1:5" ht="14.4" x14ac:dyDescent="0.3">
      <c r="A464"/>
      <c r="B464"/>
      <c r="C464"/>
      <c r="D464"/>
      <c r="E464"/>
    </row>
    <row r="465" spans="1:5" ht="14.4" x14ac:dyDescent="0.3">
      <c r="A465"/>
      <c r="B465"/>
      <c r="C465"/>
      <c r="D465"/>
      <c r="E465"/>
    </row>
    <row r="466" spans="1:5" ht="14.4" x14ac:dyDescent="0.3">
      <c r="A466"/>
      <c r="B466"/>
      <c r="C466"/>
      <c r="D466"/>
      <c r="E466"/>
    </row>
    <row r="467" spans="1:5" ht="14.4" x14ac:dyDescent="0.3">
      <c r="A467"/>
      <c r="B467"/>
      <c r="C467"/>
      <c r="D467"/>
      <c r="E467"/>
    </row>
    <row r="468" spans="1:5" ht="14.4" x14ac:dyDescent="0.3">
      <c r="A468"/>
      <c r="B468"/>
      <c r="C468"/>
      <c r="D468"/>
      <c r="E468"/>
    </row>
    <row r="469" spans="1:5" ht="14.4" x14ac:dyDescent="0.3">
      <c r="A469"/>
      <c r="B469"/>
      <c r="C469"/>
      <c r="D469"/>
      <c r="E469"/>
    </row>
    <row r="470" spans="1:5" ht="14.4" x14ac:dyDescent="0.3">
      <c r="A470"/>
      <c r="B470"/>
      <c r="C470"/>
      <c r="D470"/>
      <c r="E470"/>
    </row>
    <row r="471" spans="1:5" ht="14.4" x14ac:dyDescent="0.3">
      <c r="A471"/>
      <c r="B471"/>
      <c r="C471"/>
      <c r="D471"/>
      <c r="E471"/>
    </row>
    <row r="472" spans="1:5" ht="14.4" x14ac:dyDescent="0.3">
      <c r="A472"/>
      <c r="B472"/>
      <c r="C472"/>
      <c r="D472"/>
      <c r="E472"/>
    </row>
    <row r="473" spans="1:5" ht="14.4" x14ac:dyDescent="0.3">
      <c r="A473"/>
      <c r="B473"/>
      <c r="C473"/>
      <c r="D473"/>
      <c r="E473"/>
    </row>
    <row r="474" spans="1:5" ht="14.4" x14ac:dyDescent="0.3">
      <c r="A474"/>
      <c r="B474"/>
      <c r="C474"/>
      <c r="D474"/>
      <c r="E474"/>
    </row>
    <row r="475" spans="1:5" ht="14.4" x14ac:dyDescent="0.3">
      <c r="A475"/>
      <c r="B475"/>
      <c r="C475"/>
      <c r="D475"/>
      <c r="E475"/>
    </row>
    <row r="476" spans="1:5" ht="14.4" x14ac:dyDescent="0.3">
      <c r="A476"/>
      <c r="B476"/>
      <c r="C476"/>
      <c r="D476"/>
      <c r="E476"/>
    </row>
    <row r="477" spans="1:5" ht="14.4" x14ac:dyDescent="0.3">
      <c r="A477"/>
      <c r="B477"/>
      <c r="C477"/>
      <c r="D477"/>
      <c r="E477"/>
    </row>
    <row r="478" spans="1:5" ht="14.4" x14ac:dyDescent="0.3">
      <c r="A478"/>
      <c r="B478"/>
      <c r="C478"/>
      <c r="D478"/>
      <c r="E478"/>
    </row>
    <row r="479" spans="1:5" ht="14.4" x14ac:dyDescent="0.3">
      <c r="A479"/>
      <c r="B479"/>
      <c r="C479"/>
      <c r="D479"/>
      <c r="E479"/>
    </row>
    <row r="480" spans="1:5" ht="14.4" x14ac:dyDescent="0.3">
      <c r="A480"/>
      <c r="B480"/>
      <c r="C480"/>
      <c r="D480"/>
      <c r="E480"/>
    </row>
    <row r="481" spans="1:5" ht="14.4" x14ac:dyDescent="0.3">
      <c r="A481"/>
      <c r="B481"/>
      <c r="C481"/>
      <c r="D481"/>
      <c r="E481"/>
    </row>
    <row r="482" spans="1:5" ht="14.4" x14ac:dyDescent="0.3">
      <c r="A482"/>
      <c r="B482"/>
      <c r="C482"/>
      <c r="D482"/>
      <c r="E482"/>
    </row>
    <row r="483" spans="1:5" ht="14.4" x14ac:dyDescent="0.3">
      <c r="A483"/>
      <c r="B483"/>
      <c r="C483"/>
      <c r="D483"/>
      <c r="E483"/>
    </row>
    <row r="484" spans="1:5" ht="14.4" x14ac:dyDescent="0.3">
      <c r="A484"/>
      <c r="B484"/>
      <c r="C484"/>
      <c r="D484"/>
      <c r="E484"/>
    </row>
    <row r="485" spans="1:5" ht="14.4" x14ac:dyDescent="0.3">
      <c r="A485"/>
      <c r="B485"/>
      <c r="C485"/>
      <c r="D485"/>
      <c r="E485"/>
    </row>
    <row r="486" spans="1:5" ht="14.4" x14ac:dyDescent="0.3">
      <c r="A486"/>
      <c r="B486"/>
      <c r="C486"/>
      <c r="D486"/>
      <c r="E486"/>
    </row>
    <row r="487" spans="1:5" ht="14.4" x14ac:dyDescent="0.3">
      <c r="A487"/>
      <c r="B487"/>
      <c r="C487"/>
      <c r="D487"/>
      <c r="E487"/>
    </row>
    <row r="488" spans="1:5" ht="14.4" x14ac:dyDescent="0.3">
      <c r="A488"/>
      <c r="B488"/>
      <c r="C488"/>
      <c r="D488"/>
      <c r="E488"/>
    </row>
    <row r="489" spans="1:5" ht="14.4" x14ac:dyDescent="0.3">
      <c r="A489"/>
      <c r="B489"/>
      <c r="C489"/>
      <c r="D489"/>
      <c r="E489"/>
    </row>
    <row r="490" spans="1:5" ht="14.4" x14ac:dyDescent="0.3">
      <c r="A490"/>
      <c r="B490"/>
      <c r="C490"/>
      <c r="D490"/>
      <c r="E490"/>
    </row>
    <row r="491" spans="1:5" ht="14.4" x14ac:dyDescent="0.3">
      <c r="A491"/>
      <c r="B491"/>
      <c r="C491"/>
      <c r="D491"/>
      <c r="E491"/>
    </row>
    <row r="492" spans="1:5" ht="14.4" x14ac:dyDescent="0.3">
      <c r="A492"/>
      <c r="B492"/>
      <c r="C492"/>
      <c r="D492"/>
      <c r="E492"/>
    </row>
    <row r="493" spans="1:5" ht="14.4" x14ac:dyDescent="0.3">
      <c r="A493"/>
      <c r="B493"/>
      <c r="C493"/>
      <c r="D493"/>
      <c r="E493"/>
    </row>
    <row r="494" spans="1:5" ht="14.4" x14ac:dyDescent="0.3">
      <c r="A494"/>
      <c r="B494"/>
      <c r="C494"/>
      <c r="D494"/>
      <c r="E494"/>
    </row>
    <row r="495" spans="1:5" ht="14.4" x14ac:dyDescent="0.3">
      <c r="A495"/>
      <c r="B495"/>
      <c r="C495"/>
      <c r="D495"/>
      <c r="E495"/>
    </row>
    <row r="496" spans="1:5" ht="14.4" x14ac:dyDescent="0.3">
      <c r="A496"/>
      <c r="B496"/>
      <c r="C496"/>
      <c r="D496"/>
      <c r="E496"/>
    </row>
    <row r="497" spans="1:5" ht="14.4" x14ac:dyDescent="0.3">
      <c r="A497"/>
      <c r="B497"/>
      <c r="C497"/>
      <c r="D497"/>
      <c r="E497"/>
    </row>
    <row r="498" spans="1:5" ht="14.4" x14ac:dyDescent="0.3">
      <c r="A498"/>
      <c r="B498"/>
      <c r="C498"/>
      <c r="D498"/>
      <c r="E498"/>
    </row>
    <row r="499" spans="1:5" ht="14.4" x14ac:dyDescent="0.3">
      <c r="A499"/>
      <c r="B499"/>
      <c r="C499"/>
      <c r="D499"/>
      <c r="E499"/>
    </row>
    <row r="500" spans="1:5" ht="14.4" x14ac:dyDescent="0.3">
      <c r="A500"/>
      <c r="B500"/>
      <c r="C500"/>
      <c r="D500"/>
      <c r="E500"/>
    </row>
    <row r="501" spans="1:5" ht="14.4" x14ac:dyDescent="0.3">
      <c r="A501"/>
      <c r="B501"/>
      <c r="C501"/>
      <c r="D501"/>
      <c r="E501"/>
    </row>
    <row r="502" spans="1:5" ht="14.4" x14ac:dyDescent="0.3">
      <c r="A502"/>
      <c r="B502"/>
      <c r="C502"/>
      <c r="D502"/>
      <c r="E502"/>
    </row>
    <row r="503" spans="1:5" ht="14.4" x14ac:dyDescent="0.3">
      <c r="A503"/>
      <c r="B503"/>
      <c r="C503"/>
      <c r="D503"/>
      <c r="E503"/>
    </row>
    <row r="504" spans="1:5" ht="14.4" x14ac:dyDescent="0.3">
      <c r="A504"/>
      <c r="B504"/>
      <c r="C504"/>
      <c r="D504"/>
      <c r="E504"/>
    </row>
    <row r="505" spans="1:5" ht="14.4" x14ac:dyDescent="0.3">
      <c r="A505"/>
      <c r="B505"/>
      <c r="C505"/>
      <c r="D505"/>
      <c r="E505"/>
    </row>
    <row r="506" spans="1:5" ht="14.4" x14ac:dyDescent="0.3">
      <c r="A506"/>
      <c r="B506"/>
      <c r="C506"/>
      <c r="D506"/>
      <c r="E506"/>
    </row>
    <row r="507" spans="1:5" ht="14.4" x14ac:dyDescent="0.3">
      <c r="A507"/>
      <c r="B507"/>
      <c r="C507"/>
      <c r="D507"/>
      <c r="E507"/>
    </row>
    <row r="508" spans="1:5" ht="14.4" x14ac:dyDescent="0.3">
      <c r="A508"/>
      <c r="B508"/>
      <c r="C508"/>
      <c r="D508"/>
      <c r="E508"/>
    </row>
    <row r="509" spans="1:5" ht="14.4" x14ac:dyDescent="0.3">
      <c r="A509"/>
      <c r="B509"/>
      <c r="C509"/>
      <c r="D509"/>
      <c r="E509"/>
    </row>
    <row r="510" spans="1:5" ht="14.4" x14ac:dyDescent="0.3">
      <c r="A510"/>
      <c r="B510"/>
      <c r="C510"/>
      <c r="D510"/>
      <c r="E510"/>
    </row>
    <row r="511" spans="1:5" ht="14.4" x14ac:dyDescent="0.3">
      <c r="A511"/>
      <c r="B511"/>
      <c r="C511"/>
      <c r="D511"/>
      <c r="E511"/>
    </row>
    <row r="512" spans="1:5" ht="14.4" x14ac:dyDescent="0.3">
      <c r="A512"/>
      <c r="B512"/>
      <c r="C512"/>
      <c r="D512"/>
      <c r="E512"/>
    </row>
    <row r="513" spans="1:5" ht="14.4" x14ac:dyDescent="0.3">
      <c r="A513"/>
      <c r="B513"/>
      <c r="C513"/>
      <c r="D513"/>
      <c r="E513"/>
    </row>
    <row r="514" spans="1:5" ht="14.4" x14ac:dyDescent="0.3">
      <c r="A514"/>
      <c r="B514"/>
      <c r="C514"/>
      <c r="D514"/>
      <c r="E514"/>
    </row>
    <row r="515" spans="1:5" ht="14.4" x14ac:dyDescent="0.3">
      <c r="A515"/>
      <c r="B515"/>
      <c r="C515"/>
      <c r="D515"/>
      <c r="E515"/>
    </row>
    <row r="516" spans="1:5" ht="14.4" x14ac:dyDescent="0.3">
      <c r="A516"/>
      <c r="B516"/>
      <c r="C516"/>
      <c r="D516"/>
      <c r="E516"/>
    </row>
    <row r="517" spans="1:5" ht="14.4" x14ac:dyDescent="0.3">
      <c r="A517"/>
      <c r="B517"/>
      <c r="C517"/>
      <c r="D517"/>
      <c r="E517"/>
    </row>
    <row r="518" spans="1:5" ht="14.4" x14ac:dyDescent="0.3">
      <c r="A518"/>
      <c r="B518"/>
      <c r="C518"/>
      <c r="D518"/>
      <c r="E518"/>
    </row>
    <row r="519" spans="1:5" ht="14.4" x14ac:dyDescent="0.3">
      <c r="A519"/>
      <c r="B519"/>
      <c r="C519"/>
      <c r="D519"/>
      <c r="E519"/>
    </row>
    <row r="520" spans="1:5" ht="14.4" x14ac:dyDescent="0.3">
      <c r="A520"/>
      <c r="B520"/>
      <c r="C520"/>
      <c r="D520"/>
      <c r="E520"/>
    </row>
    <row r="521" spans="1:5" ht="14.4" x14ac:dyDescent="0.3">
      <c r="A521"/>
      <c r="B521"/>
      <c r="C521"/>
      <c r="D521"/>
      <c r="E521"/>
    </row>
    <row r="522" spans="1:5" ht="14.4" x14ac:dyDescent="0.3">
      <c r="A522"/>
      <c r="B522"/>
      <c r="C522"/>
      <c r="D522"/>
      <c r="E522"/>
    </row>
    <row r="523" spans="1:5" ht="14.4" x14ac:dyDescent="0.3">
      <c r="A523"/>
      <c r="B523"/>
      <c r="C523"/>
      <c r="D523"/>
      <c r="E523"/>
    </row>
    <row r="524" spans="1:5" ht="14.4" x14ac:dyDescent="0.3">
      <c r="A524"/>
      <c r="B524"/>
      <c r="C524"/>
      <c r="D524"/>
      <c r="E524"/>
    </row>
    <row r="525" spans="1:5" ht="14.4" x14ac:dyDescent="0.3">
      <c r="A525"/>
      <c r="B525"/>
      <c r="C525"/>
      <c r="D525"/>
      <c r="E525"/>
    </row>
    <row r="526" spans="1:5" ht="15" thickBot="1" x14ac:dyDescent="0.35">
      <c r="A526"/>
      <c r="B526"/>
      <c r="C526"/>
      <c r="D526"/>
      <c r="E526"/>
    </row>
    <row r="527" spans="1:5" ht="13.8" thickTop="1" x14ac:dyDescent="0.25"/>
  </sheetData>
  <sheetProtection pivotTables="0"/>
  <conditionalFormatting sqref="B5">
    <cfRule type="cellIs" dxfId="5" priority="1" stopIfTrue="1" operator="lessThan">
      <formula>0</formula>
    </cfRule>
    <cfRule type="cellIs" dxfId="4" priority="2" stopIfTrue="1" operator="between">
      <formula>0.01</formula>
      <formula>19.99999</formula>
    </cfRule>
    <cfRule type="cellIs" dxfId="3" priority="3" stopIfTrue="1" operator="greaterThanOrEqual">
      <formula>20</formula>
    </cfRule>
  </conditionalFormatting>
  <pageMargins left="0.75" right="0.75" top="1" bottom="1" header="0.5" footer="0.5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21</vt:i4>
      </vt:variant>
    </vt:vector>
  </HeadingPairs>
  <TitlesOfParts>
    <vt:vector size="33" baseType="lpstr">
      <vt:lpstr>Database</vt:lpstr>
      <vt:lpstr>QMLot</vt:lpstr>
      <vt:lpstr>Descriptions</vt:lpstr>
      <vt:lpstr>PvtTableDef</vt:lpstr>
      <vt:lpstr>LocalLists</vt:lpstr>
      <vt:lpstr>ReportOptions</vt:lpstr>
      <vt:lpstr>Version</vt:lpstr>
      <vt:lpstr>Rapport info</vt:lpstr>
      <vt:lpstr>Sikkerhetsdager ved levering</vt:lpstr>
      <vt:lpstr>Lagerdekning dager</vt:lpstr>
      <vt:lpstr>Manglende IO’s</vt:lpstr>
      <vt:lpstr>Detaljer</vt:lpstr>
      <vt:lpstr>Currency</vt:lpstr>
      <vt:lpstr>CustomerHierarchy</vt:lpstr>
      <vt:lpstr>Datafor</vt:lpstr>
      <vt:lpstr>FirstSheet</vt:lpstr>
      <vt:lpstr>FirstTable</vt:lpstr>
      <vt:lpstr>GreenLimit</vt:lpstr>
      <vt:lpstr>MaterialPrice</vt:lpstr>
      <vt:lpstr>Detaljer!Print_Titles</vt:lpstr>
      <vt:lpstr>'Lagerdekning dager'!Print_Titles</vt:lpstr>
      <vt:lpstr>'Manglende IO’s'!Print_Titles</vt:lpstr>
      <vt:lpstr>'Sikkerhetsdager ved levering'!Print_Titles</vt:lpstr>
      <vt:lpstr>ProductHierarchy</vt:lpstr>
      <vt:lpstr>QuantityUnit</vt:lpstr>
      <vt:lpstr>RecNum</vt:lpstr>
      <vt:lpstr>ReportCaption</vt:lpstr>
      <vt:lpstr>ReportCaption1</vt:lpstr>
      <vt:lpstr>ReportID</vt:lpstr>
      <vt:lpstr>SapExlReportName</vt:lpstr>
      <vt:lpstr>ShowMD04Data</vt:lpstr>
      <vt:lpstr>Time_Used</vt:lpstr>
      <vt:lpstr>Updated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2017-01-23T09:22:35Z</dcterms:modified>
</cp:coreProperties>
</file>