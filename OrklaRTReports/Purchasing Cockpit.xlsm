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hidePivotFieldList="1" defaultThemeVersion="124226"/>
  <workbookProtection workbookPassword="CB87" lockStructure="1"/>
  <bookViews>
    <workbookView xWindow="1530" yWindow="3000" windowWidth="17385" windowHeight="7260" tabRatio="934" firstSheet="8" activeTab="8"/>
  </bookViews>
  <sheets>
    <sheet name="ExchangeRates" sheetId="11" state="hidden" r:id="rId1"/>
    <sheet name="ProductHierarchyLevels" sheetId="22" state="hidden" r:id="rId2"/>
    <sheet name="CustomerHierarchyLevels" sheetId="23" state="hidden" r:id="rId3"/>
    <sheet name="Descriptions" sheetId="8" state="hidden" r:id="rId4"/>
    <sheet name="PvtTableDef" sheetId="33" state="hidden" r:id="rId5"/>
    <sheet name="LocalLists" sheetId="24" state="hidden" r:id="rId6"/>
    <sheet name="ReportOptions" sheetId="10" state="hidden" r:id="rId7"/>
    <sheet name="Version" sheetId="5" state="hidden" r:id="rId8"/>
    <sheet name="Report info" sheetId="1" r:id="rId9"/>
    <sheet name="Cockpit" sheetId="34" r:id="rId10"/>
    <sheet name="Requirements" sheetId="35" r:id="rId11"/>
    <sheet name="ChartHelp" sheetId="36" state="hidden" r:id="rId12"/>
    <sheet name="Pvt_Budget" sheetId="37" state="hidden" r:id="rId13"/>
    <sheet name="Pvt_Req" sheetId="38" state="hidden" r:id="rId14"/>
    <sheet name="Pvt_Orders" sheetId="39" state="hidden" r:id="rId15"/>
    <sheet name="Pvt_OpenQty" sheetId="40" state="hidden" r:id="rId16"/>
    <sheet name="Pvt_Requsitions" sheetId="41" state="hidden" r:id="rId17"/>
    <sheet name="Stock" sheetId="42" state="hidden" r:id="rId18"/>
    <sheet name="Orders" sheetId="43" state="hidden" r:id="rId19"/>
    <sheet name="Database" sheetId="50" state="hidden" r:id="rId20"/>
    <sheet name="Material" sheetId="45" state="hidden" r:id="rId21"/>
    <sheet name="Consumption" sheetId="46" state="hidden" r:id="rId22"/>
    <sheet name="Budget" sheetId="47" state="hidden" r:id="rId23"/>
  </sheets>
  <definedNames>
    <definedName name="_xlnm._FilterDatabase" localSheetId="18" hidden="1">Orders!$A$3:$V$25</definedName>
    <definedName name="AllOrders">Orders!$A$3:$Z$25</definedName>
    <definedName name="Blocked">Cockpit!$D$15:$O$15</definedName>
    <definedName name="Bud_Range">Cockpit!$D$26:$O$26</definedName>
    <definedName name="Budget">Budget!$A$1:$E$25</definedName>
    <definedName name="cbContracts">LocalLists!$I$5</definedName>
    <definedName name="cbGRTime">LocalLists!$I$3</definedName>
    <definedName name="cbRequsitions">LocalLists!$I$4</definedName>
    <definedName name="cbSafetyTime">LocalLists!$I$2</definedName>
    <definedName name="cbSafStock">LocalLists!$I$1</definedName>
    <definedName name="Consump_Range">Cockpit!$D$25:$O$25</definedName>
    <definedName name="Consumption">Consumption!$A$6:$AC$8</definedName>
    <definedName name="ContractFields">Cockpit!$A$35:$O$35</definedName>
    <definedName name="Contracts">Cockpit!$D$32</definedName>
    <definedName name="Currency">ReportOptions!$B$10</definedName>
    <definedName name="CustomerHierarchy">ReportOptions!$B$7</definedName>
    <definedName name="CZBYGRTime">8</definedName>
    <definedName name="CZBYSafTime">33</definedName>
    <definedName name="CZVAGRTime">8</definedName>
    <definedName name="CZVASafTime">33</definedName>
    <definedName name="DelivTime">Cockpit!$D$22:$O$22</definedName>
    <definedName name="FirstSheet">Version!$B$6</definedName>
    <definedName name="FirstTable">Version!$B$7</definedName>
    <definedName name="InTransfer">Cockpit!$D$13:$O$13</definedName>
    <definedName name="Last_Update">Cockpit!$E$1</definedName>
    <definedName name="LeadBuyer">Cockpit!$D$6</definedName>
    <definedName name="LeadDeveloper">Cockpit!$D$7</definedName>
    <definedName name="ListContracts">Cockpit!$A$36:$O$232</definedName>
    <definedName name="MaterialPrice">ReportOptions!$B$5</definedName>
    <definedName name="MatGrp">Cockpit!$D$5</definedName>
    <definedName name="Matname">Cockpit!$D$4</definedName>
    <definedName name="MatSafTime">Material!$B$1:$AN$2</definedName>
    <definedName name="NOARGRTime">4</definedName>
    <definedName name="NOARSafTime">15</definedName>
    <definedName name="NOELGRTime">7</definedName>
    <definedName name="NOELSafTime">15</definedName>
    <definedName name="Orders" localSheetId="18">Orders!$A$3:$W$25</definedName>
    <definedName name="Other">Cockpit!$D$16:$O$16</definedName>
    <definedName name="Periods">Cockpit!$D$24:$O$24</definedName>
    <definedName name="Plant">Cockpit!$D$8</definedName>
    <definedName name="Plant_List">Cockpit!$D$10</definedName>
    <definedName name="Plant_List_All">LocalLists!$K$2</definedName>
    <definedName name="Plant_List_Valid">LocalLists!$K$2:$K$3</definedName>
    <definedName name="PO_Range">Cockpit!$D$30:$O$30</definedName>
    <definedName name="ProcTime">Cockpit!$D$21:$O$21</definedName>
    <definedName name="ProductHierarchy">ReportOptions!$B$6</definedName>
    <definedName name="Quality">Cockpit!$D$12:$O$12</definedName>
    <definedName name="QuantityUnit">ReportOptions!$B$9</definedName>
    <definedName name="RecNum">'Report info'!$K$10</definedName>
    <definedName name="ReportCaption">Version!$B$8</definedName>
    <definedName name="ReportID">Version!$B$4</definedName>
    <definedName name="Require_Range">Cockpit!$D$29:$O$29</definedName>
    <definedName name="Requirements" localSheetId="19">Database!$A$1:$Z$3</definedName>
    <definedName name="RequsitionRange">Cockpit!$D$31:$O$31</definedName>
    <definedName name="Saf_Stock">Cockpit!$D$19:$O$19</definedName>
    <definedName name="Saf_Time">Cockpit!$D$20:$O$20</definedName>
    <definedName name="SafStockValue">Cockpit!$C$19</definedName>
    <definedName name="SalesValue">ReportOptions!$B$8</definedName>
    <definedName name="SapExlReportName">Version!$B$5</definedName>
    <definedName name="ShapeQuery">Cockpit!$F$37</definedName>
    <definedName name="Start_Plant">Cockpit!$D$10</definedName>
    <definedName name="Stock_In">Cockpit!$D$28</definedName>
    <definedName name="Stock_List">Cockpit!$D$10:$O$16</definedName>
    <definedName name="Stocks">Cockpit!$D$11:$O$13,Cockpit!$D$15:$O$16</definedName>
    <definedName name="Time_Used">'Report info'!$K$12</definedName>
    <definedName name="Tot_Stock">Cockpit!$D$17:$O$17</definedName>
    <definedName name="Unres_Stock">Cockpit!$D$14:$O$14</definedName>
    <definedName name="UnresStockValue">Cockpit!$C$14</definedName>
    <definedName name="Unrestricted">Cockpit!$D$11:$O$11</definedName>
    <definedName name="Updated">'Report info'!$K$11</definedName>
    <definedName name="ZPC_STOCK" localSheetId="22">Budget!$A$1:$D$25</definedName>
    <definedName name="ZPC_STOCK" localSheetId="21">Consumption!$A$6:$AB$8</definedName>
    <definedName name="ZPC_STOCK" localSheetId="19">Database!$A$1:$W$3</definedName>
    <definedName name="ZPC_STOCK" localSheetId="20">Material!$A$1:$AN$2</definedName>
    <definedName name="ZPC_STOCK" localSheetId="17">Stock!$A$1:$O$2</definedName>
  </definedNames>
  <calcPr calcId="145621"/>
  <pivotCaches>
    <pivotCache cacheId="0" r:id="rId24"/>
    <pivotCache cacheId="1" r:id="rId25"/>
    <pivotCache cacheId="2" r:id="rId26"/>
    <pivotCache cacheId="3" r:id="rId27"/>
  </pivotCaches>
</workbook>
</file>

<file path=xl/calcChain.xml><?xml version="1.0" encoding="utf-8"?>
<calcChain xmlns="http://schemas.openxmlformats.org/spreadsheetml/2006/main">
  <c r="Y3" i="50" l="1"/>
  <c r="X3" i="50"/>
  <c r="Z3" i="50" s="1"/>
  <c r="Y2" i="50"/>
  <c r="X2" i="50"/>
  <c r="Z2" i="50" s="1"/>
  <c r="E3" i="47" l="1"/>
  <c r="X5" i="43"/>
  <c r="Z5" i="43" s="1"/>
  <c r="Y5" i="43"/>
  <c r="E2" i="47" l="1"/>
  <c r="AC7" i="46"/>
  <c r="Y4" i="43"/>
  <c r="X4" i="43"/>
  <c r="Z4" i="43" s="1"/>
  <c r="D1" i="43"/>
  <c r="E1" i="43" s="1"/>
  <c r="F1" i="43" s="1"/>
  <c r="G1" i="43" s="1"/>
  <c r="H1" i="43" s="1"/>
  <c r="I1" i="43" s="1"/>
  <c r="J1" i="43" s="1"/>
  <c r="K1" i="43" s="1"/>
  <c r="L1" i="43" s="1"/>
  <c r="M1" i="43" s="1"/>
  <c r="N1" i="43" s="1"/>
  <c r="O1" i="43" s="1"/>
  <c r="P1" i="43" s="1"/>
  <c r="Q1" i="43" s="1"/>
  <c r="R1" i="43" s="1"/>
  <c r="S1" i="43" s="1"/>
  <c r="T1" i="43" s="1"/>
  <c r="U1" i="43" s="1"/>
  <c r="V1" i="43" s="1"/>
  <c r="W1" i="43" s="1"/>
  <c r="X1" i="43" s="1"/>
  <c r="Y1" i="43" s="1"/>
  <c r="Z1" i="43" s="1"/>
  <c r="S1" i="41"/>
  <c r="R1" i="41"/>
  <c r="Q1" i="41"/>
  <c r="P1" i="41"/>
  <c r="O1" i="41"/>
  <c r="N1" i="41"/>
  <c r="M1" i="41"/>
  <c r="L1" i="41"/>
  <c r="K1" i="41"/>
  <c r="J1" i="41"/>
  <c r="I1" i="41"/>
  <c r="H1" i="41"/>
  <c r="G1" i="41"/>
  <c r="F1" i="41"/>
  <c r="E1" i="41"/>
  <c r="D1" i="41"/>
  <c r="C1" i="41"/>
  <c r="B1" i="41"/>
  <c r="B1" i="40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B1" i="39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B1" i="38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B1" i="37"/>
  <c r="M2" i="36"/>
  <c r="L2" i="36"/>
  <c r="K2" i="36"/>
  <c r="J2" i="36"/>
  <c r="I2" i="36"/>
  <c r="H2" i="36"/>
  <c r="G2" i="36"/>
  <c r="F2" i="36"/>
  <c r="E2" i="36"/>
  <c r="D2" i="36"/>
  <c r="C2" i="36"/>
  <c r="B2" i="36"/>
  <c r="D33" i="34"/>
  <c r="E28" i="34" s="1"/>
  <c r="E33" i="34" s="1"/>
  <c r="F28" i="34" s="1"/>
  <c r="F33" i="34" s="1"/>
  <c r="G28" i="34" s="1"/>
  <c r="G33" i="34" s="1"/>
  <c r="H28" i="34" s="1"/>
  <c r="H33" i="34" s="1"/>
  <c r="I28" i="34" s="1"/>
  <c r="I33" i="34" s="1"/>
  <c r="J28" i="34" s="1"/>
  <c r="J33" i="34" s="1"/>
  <c r="K28" i="34" s="1"/>
  <c r="K33" i="34" s="1"/>
  <c r="L28" i="34" s="1"/>
  <c r="L33" i="34" s="1"/>
  <c r="M28" i="34" s="1"/>
  <c r="M33" i="34" s="1"/>
  <c r="N28" i="34" s="1"/>
  <c r="N33" i="34" s="1"/>
  <c r="O28" i="34" s="1"/>
  <c r="O33" i="34" s="1"/>
  <c r="C32" i="34"/>
  <c r="C31" i="34"/>
  <c r="C30" i="34"/>
  <c r="C29" i="34"/>
  <c r="C26" i="34"/>
  <c r="C25" i="34"/>
  <c r="D24" i="34"/>
  <c r="B1" i="36" s="1"/>
  <c r="B24" i="34"/>
  <c r="C19" i="34"/>
  <c r="K17" i="34"/>
  <c r="C16" i="34"/>
  <c r="C15" i="34"/>
  <c r="O14" i="34"/>
  <c r="O17" i="34" s="1"/>
  <c r="N14" i="34"/>
  <c r="N17" i="34" s="1"/>
  <c r="M14" i="34"/>
  <c r="M17" i="34" s="1"/>
  <c r="L14" i="34"/>
  <c r="L17" i="34" s="1"/>
  <c r="J14" i="34"/>
  <c r="J17" i="34" s="1"/>
  <c r="I14" i="34"/>
  <c r="I17" i="34" s="1"/>
  <c r="H14" i="34"/>
  <c r="H17" i="34" s="1"/>
  <c r="G14" i="34"/>
  <c r="G17" i="34" s="1"/>
  <c r="F14" i="34"/>
  <c r="F17" i="34" s="1"/>
  <c r="E14" i="34"/>
  <c r="E17" i="34" s="1"/>
  <c r="D14" i="34"/>
  <c r="D17" i="34" s="1"/>
  <c r="C13" i="34"/>
  <c r="C12" i="34"/>
  <c r="C11" i="34"/>
  <c r="C14" i="34" l="1"/>
  <c r="AC8" i="46"/>
  <c r="D3" i="46"/>
  <c r="E24" i="34"/>
  <c r="C17" i="34"/>
  <c r="C2" i="46"/>
  <c r="K2" i="46"/>
  <c r="S2" i="46"/>
  <c r="AA2" i="46"/>
  <c r="I3" i="46"/>
  <c r="Q3" i="46"/>
  <c r="Y3" i="46"/>
  <c r="I2" i="46"/>
  <c r="Q2" i="46"/>
  <c r="Y2" i="46"/>
  <c r="G3" i="46"/>
  <c r="O3" i="46"/>
  <c r="V3" i="46" l="1"/>
  <c r="F3" i="46"/>
  <c r="P2" i="46"/>
  <c r="N3" i="46"/>
  <c r="X2" i="46"/>
  <c r="H2" i="46"/>
  <c r="AB2" i="46"/>
  <c r="W3" i="46"/>
  <c r="Z2" i="46"/>
  <c r="K3" i="46"/>
  <c r="U2" i="46"/>
  <c r="E2" i="46"/>
  <c r="M3" i="46"/>
  <c r="W2" i="46"/>
  <c r="G2" i="46"/>
  <c r="AB3" i="46"/>
  <c r="V2" i="46"/>
  <c r="AA3" i="46"/>
  <c r="T2" i="46"/>
  <c r="X3" i="46"/>
  <c r="R2" i="46"/>
  <c r="T3" i="46"/>
  <c r="N2" i="46"/>
  <c r="R3" i="46"/>
  <c r="L2" i="46"/>
  <c r="P3" i="46"/>
  <c r="J2" i="46"/>
  <c r="S3" i="46"/>
  <c r="C3" i="46"/>
  <c r="M2" i="46"/>
  <c r="U3" i="46"/>
  <c r="E3" i="46"/>
  <c r="O2" i="46"/>
  <c r="L3" i="46"/>
  <c r="F2" i="46"/>
  <c r="J3" i="46"/>
  <c r="D2" i="46"/>
  <c r="H3" i="46"/>
  <c r="Z3" i="46"/>
  <c r="F24" i="34"/>
  <c r="C1" i="36"/>
  <c r="D1" i="36" l="1"/>
  <c r="G24" i="34"/>
  <c r="Q4" i="23"/>
  <c r="Q5" i="23"/>
  <c r="Q6" i="23"/>
  <c r="R6" i="23" s="1"/>
  <c r="Q7" i="23"/>
  <c r="R7" i="23" s="1"/>
  <c r="Q8" i="23"/>
  <c r="R8" i="23" s="1"/>
  <c r="Q9" i="23"/>
  <c r="R9" i="23" s="1"/>
  <c r="S9" i="23" s="1"/>
  <c r="Q10" i="23"/>
  <c r="Q11" i="23"/>
  <c r="Q12" i="23"/>
  <c r="Q13" i="23"/>
  <c r="Q14" i="23"/>
  <c r="R14" i="23" s="1"/>
  <c r="Q15" i="23"/>
  <c r="R15" i="23" s="1"/>
  <c r="Q16" i="23"/>
  <c r="R16" i="23" s="1"/>
  <c r="Q17" i="23"/>
  <c r="R17" i="23" s="1"/>
  <c r="S17" i="23" s="1"/>
  <c r="Q18" i="23"/>
  <c r="Q19" i="23"/>
  <c r="Q20" i="23"/>
  <c r="Q21" i="23"/>
  <c r="Q22" i="23"/>
  <c r="R22" i="23" s="1"/>
  <c r="Q23" i="23"/>
  <c r="R23" i="23" s="1"/>
  <c r="S23" i="23" s="1"/>
  <c r="Q24" i="23"/>
  <c r="R24" i="23" s="1"/>
  <c r="S24" i="23" s="1"/>
  <c r="Q25" i="23"/>
  <c r="R25" i="23" s="1"/>
  <c r="S25" i="23" s="1"/>
  <c r="Q26" i="23"/>
  <c r="Q27" i="23"/>
  <c r="Q28" i="23"/>
  <c r="Q29" i="23"/>
  <c r="Q30" i="23"/>
  <c r="R30" i="23" s="1"/>
  <c r="Q31" i="23"/>
  <c r="R31" i="23" s="1"/>
  <c r="S31" i="23" s="1"/>
  <c r="Q32" i="23"/>
  <c r="Q33" i="23"/>
  <c r="R33" i="23" s="1"/>
  <c r="S33" i="23" s="1"/>
  <c r="Q34" i="23"/>
  <c r="Q35" i="23"/>
  <c r="Q36" i="23"/>
  <c r="Q37" i="23"/>
  <c r="Q38" i="23"/>
  <c r="R38" i="23" s="1"/>
  <c r="Q39" i="23"/>
  <c r="Q40" i="23"/>
  <c r="R40" i="23" s="1"/>
  <c r="S40" i="23" s="1"/>
  <c r="Q41" i="23"/>
  <c r="R41" i="23" s="1"/>
  <c r="S41" i="23" s="1"/>
  <c r="Q42" i="23"/>
  <c r="Q43" i="23"/>
  <c r="Q44" i="23"/>
  <c r="Q45" i="23"/>
  <c r="Q46" i="23"/>
  <c r="R46" i="23" s="1"/>
  <c r="Q47" i="23"/>
  <c r="Q48" i="23"/>
  <c r="Q49" i="23"/>
  <c r="R49" i="23" s="1"/>
  <c r="S49" i="23" s="1"/>
  <c r="Q50" i="23"/>
  <c r="Q51" i="23"/>
  <c r="Q52" i="23"/>
  <c r="Q53" i="23"/>
  <c r="Q54" i="23"/>
  <c r="R54" i="23" s="1"/>
  <c r="Q55" i="23"/>
  <c r="Q56" i="23"/>
  <c r="Q57" i="23"/>
  <c r="R57" i="23" s="1"/>
  <c r="S57" i="23" s="1"/>
  <c r="Q58" i="23"/>
  <c r="Q59" i="23"/>
  <c r="Q60" i="23"/>
  <c r="Q61" i="23"/>
  <c r="Q62" i="23"/>
  <c r="R62" i="23" s="1"/>
  <c r="Q63" i="23"/>
  <c r="R63" i="23" s="1"/>
  <c r="Q64" i="23"/>
  <c r="R64" i="23" s="1"/>
  <c r="S64" i="23" s="1"/>
  <c r="Q65" i="23"/>
  <c r="R65" i="23" s="1"/>
  <c r="S65" i="23" s="1"/>
  <c r="Q66" i="23"/>
  <c r="Q67" i="23"/>
  <c r="Q68" i="23"/>
  <c r="Q69" i="23"/>
  <c r="Q70" i="23"/>
  <c r="R70" i="23" s="1"/>
  <c r="Q71" i="23"/>
  <c r="R71" i="23" s="1"/>
  <c r="S71" i="23" s="1"/>
  <c r="Q72" i="23"/>
  <c r="R72" i="23" s="1"/>
  <c r="S72" i="23" s="1"/>
  <c r="Q73" i="23"/>
  <c r="R73" i="23" s="1"/>
  <c r="S73" i="23" s="1"/>
  <c r="Q74" i="23"/>
  <c r="Q75" i="23"/>
  <c r="Q76" i="23"/>
  <c r="Q77" i="23"/>
  <c r="Q78" i="23"/>
  <c r="R78" i="23" s="1"/>
  <c r="Q79" i="23"/>
  <c r="R79" i="23" s="1"/>
  <c r="S79" i="23" s="1"/>
  <c r="Q80" i="23"/>
  <c r="R80" i="23" s="1"/>
  <c r="S80" i="23" s="1"/>
  <c r="Q81" i="23"/>
  <c r="R81" i="23" s="1"/>
  <c r="S81" i="23" s="1"/>
  <c r="Q82" i="23"/>
  <c r="Q83" i="23"/>
  <c r="Q84" i="23"/>
  <c r="Q85" i="23"/>
  <c r="Q86" i="23"/>
  <c r="R86" i="23" s="1"/>
  <c r="Q87" i="23"/>
  <c r="Q88" i="23"/>
  <c r="R88" i="23" s="1"/>
  <c r="S88" i="23" s="1"/>
  <c r="Q89" i="23"/>
  <c r="R89" i="23" s="1"/>
  <c r="S89" i="23" s="1"/>
  <c r="Q90" i="23"/>
  <c r="Q91" i="23"/>
  <c r="Q92" i="23"/>
  <c r="Q93" i="23"/>
  <c r="Q94" i="23"/>
  <c r="R94" i="23" s="1"/>
  <c r="Q95" i="23"/>
  <c r="R95" i="23" s="1"/>
  <c r="S95" i="23" s="1"/>
  <c r="Q96" i="23"/>
  <c r="Q97" i="23"/>
  <c r="R97" i="23" s="1"/>
  <c r="S97" i="23" s="1"/>
  <c r="Q98" i="23"/>
  <c r="Q99" i="23"/>
  <c r="Q100" i="23"/>
  <c r="Q101" i="23"/>
  <c r="Q102" i="23"/>
  <c r="R102" i="23" s="1"/>
  <c r="Q103" i="23"/>
  <c r="Q104" i="23"/>
  <c r="R104" i="23" s="1"/>
  <c r="S104" i="23" s="1"/>
  <c r="Q105" i="23"/>
  <c r="R105" i="23" s="1"/>
  <c r="S105" i="23" s="1"/>
  <c r="Q106" i="23"/>
  <c r="Q107" i="23"/>
  <c r="Q108" i="23"/>
  <c r="Q109" i="23"/>
  <c r="Q110" i="23"/>
  <c r="R110" i="23" s="1"/>
  <c r="Q111" i="23"/>
  <c r="Q112" i="23"/>
  <c r="Q113" i="23"/>
  <c r="R113" i="23" s="1"/>
  <c r="S113" i="23" s="1"/>
  <c r="Q114" i="23"/>
  <c r="Q115" i="23"/>
  <c r="Q116" i="23"/>
  <c r="Q117" i="23"/>
  <c r="Q118" i="23"/>
  <c r="R118" i="23" s="1"/>
  <c r="Q119" i="23"/>
  <c r="Q120" i="23"/>
  <c r="Q121" i="23"/>
  <c r="R121" i="23" s="1"/>
  <c r="S121" i="23" s="1"/>
  <c r="Q122" i="23"/>
  <c r="Q123" i="23"/>
  <c r="Q124" i="23"/>
  <c r="Q125" i="23"/>
  <c r="Q126" i="23"/>
  <c r="R126" i="23" s="1"/>
  <c r="Q127" i="23"/>
  <c r="R127" i="23" s="1"/>
  <c r="S127" i="23" s="1"/>
  <c r="Q128" i="23"/>
  <c r="R128" i="23" s="1"/>
  <c r="S128" i="23" s="1"/>
  <c r="Q129" i="23"/>
  <c r="R129" i="23" s="1"/>
  <c r="S129" i="23" s="1"/>
  <c r="Q130" i="23"/>
  <c r="Q131" i="23"/>
  <c r="Q132" i="23"/>
  <c r="Q133" i="23"/>
  <c r="Q134" i="23"/>
  <c r="R134" i="23" s="1"/>
  <c r="Q135" i="23"/>
  <c r="R135" i="23" s="1"/>
  <c r="S135" i="23" s="1"/>
  <c r="Q136" i="23"/>
  <c r="R136" i="23" s="1"/>
  <c r="Q137" i="23"/>
  <c r="R137" i="23" s="1"/>
  <c r="S137" i="23" s="1"/>
  <c r="Q138" i="23"/>
  <c r="Q139" i="23"/>
  <c r="Q140" i="23"/>
  <c r="Q141" i="23"/>
  <c r="Q142" i="23"/>
  <c r="R142" i="23" s="1"/>
  <c r="Q143" i="23"/>
  <c r="R143" i="23" s="1"/>
  <c r="S143" i="23" s="1"/>
  <c r="Q144" i="23"/>
  <c r="R144" i="23" s="1"/>
  <c r="Q145" i="23"/>
  <c r="R145" i="23" s="1"/>
  <c r="S145" i="23" s="1"/>
  <c r="Q146" i="23"/>
  <c r="Q147" i="23"/>
  <c r="Q148" i="23"/>
  <c r="Q149" i="23"/>
  <c r="Q150" i="23"/>
  <c r="R150" i="23" s="1"/>
  <c r="Q151" i="23"/>
  <c r="Q152" i="23"/>
  <c r="R152" i="23" s="1"/>
  <c r="S152" i="23" s="1"/>
  <c r="Q153" i="23"/>
  <c r="R153" i="23" s="1"/>
  <c r="S153" i="23" s="1"/>
  <c r="Q154" i="23"/>
  <c r="Q155" i="23"/>
  <c r="Q156" i="23"/>
  <c r="Q157" i="23"/>
  <c r="Q158" i="23"/>
  <c r="R158" i="23" s="1"/>
  <c r="Q159" i="23"/>
  <c r="R159" i="23" s="1"/>
  <c r="S159" i="23" s="1"/>
  <c r="Q160" i="23"/>
  <c r="Q161" i="23"/>
  <c r="R161" i="23" s="1"/>
  <c r="S161" i="23" s="1"/>
  <c r="Q162" i="23"/>
  <c r="Q163" i="23"/>
  <c r="Q164" i="23"/>
  <c r="Q165" i="23"/>
  <c r="Q166" i="23"/>
  <c r="R166" i="23" s="1"/>
  <c r="Q167" i="23"/>
  <c r="Q168" i="23"/>
  <c r="R168" i="23" s="1"/>
  <c r="S168" i="23" s="1"/>
  <c r="Q169" i="23"/>
  <c r="R169" i="23" s="1"/>
  <c r="S169" i="23" s="1"/>
  <c r="Q170" i="23"/>
  <c r="Q171" i="23"/>
  <c r="Q172" i="23"/>
  <c r="Q173" i="23"/>
  <c r="Q174" i="23"/>
  <c r="R174" i="23" s="1"/>
  <c r="Q175" i="23"/>
  <c r="Q176" i="23"/>
  <c r="Q177" i="23"/>
  <c r="R177" i="23" s="1"/>
  <c r="Q178" i="23"/>
  <c r="Q179" i="23"/>
  <c r="Q180" i="23"/>
  <c r="Q181" i="23"/>
  <c r="Q182" i="23"/>
  <c r="R182" i="23" s="1"/>
  <c r="Q183" i="23"/>
  <c r="Q184" i="23"/>
  <c r="Q185" i="23"/>
  <c r="R185" i="23" s="1"/>
  <c r="S185" i="23" s="1"/>
  <c r="Q186" i="23"/>
  <c r="Q187" i="23"/>
  <c r="Q188" i="23"/>
  <c r="Q189" i="23"/>
  <c r="Q190" i="23"/>
  <c r="R190" i="23" s="1"/>
  <c r="Q191" i="23"/>
  <c r="R191" i="23" s="1"/>
  <c r="S191" i="23" s="1"/>
  <c r="Q192" i="23"/>
  <c r="R192" i="23" s="1"/>
  <c r="S192" i="23" s="1"/>
  <c r="Q193" i="23"/>
  <c r="R193" i="23" s="1"/>
  <c r="S193" i="23" s="1"/>
  <c r="Q194" i="23"/>
  <c r="Q195" i="23"/>
  <c r="Q196" i="23"/>
  <c r="Q197" i="23"/>
  <c r="Q198" i="23"/>
  <c r="R198" i="23" s="1"/>
  <c r="Q199" i="23"/>
  <c r="R199" i="23" s="1"/>
  <c r="S199" i="23" s="1"/>
  <c r="Q200" i="23"/>
  <c r="R200" i="23" s="1"/>
  <c r="S200" i="23" s="1"/>
  <c r="Q201" i="23"/>
  <c r="R201" i="23" s="1"/>
  <c r="Q202" i="23"/>
  <c r="Q203" i="23"/>
  <c r="Q204" i="23"/>
  <c r="Q205" i="23"/>
  <c r="Q206" i="23"/>
  <c r="R206" i="23" s="1"/>
  <c r="Q207" i="23"/>
  <c r="R207" i="23" s="1"/>
  <c r="S207" i="23" s="1"/>
  <c r="Q208" i="23"/>
  <c r="R208" i="23" s="1"/>
  <c r="S208" i="23" s="1"/>
  <c r="Q209" i="23"/>
  <c r="R209" i="23" s="1"/>
  <c r="S209" i="23" s="1"/>
  <c r="Q210" i="23"/>
  <c r="Q211" i="23"/>
  <c r="Q212" i="23"/>
  <c r="Q213" i="23"/>
  <c r="Q214" i="23"/>
  <c r="R214" i="23" s="1"/>
  <c r="Q215" i="23"/>
  <c r="Q216" i="23"/>
  <c r="R216" i="23" s="1"/>
  <c r="S216" i="23" s="1"/>
  <c r="Q217" i="23"/>
  <c r="R217" i="23" s="1"/>
  <c r="S217" i="23" s="1"/>
  <c r="Q218" i="23"/>
  <c r="Q219" i="23"/>
  <c r="Q220" i="23"/>
  <c r="Q221" i="23"/>
  <c r="Q222" i="23"/>
  <c r="R222" i="23" s="1"/>
  <c r="Q223" i="23"/>
  <c r="R223" i="23" s="1"/>
  <c r="S223" i="23" s="1"/>
  <c r="Q224" i="23"/>
  <c r="Q225" i="23"/>
  <c r="R225" i="23" s="1"/>
  <c r="S225" i="23" s="1"/>
  <c r="Q226" i="23"/>
  <c r="Q227" i="23"/>
  <c r="Q228" i="23"/>
  <c r="Q229" i="23"/>
  <c r="Q230" i="23"/>
  <c r="R230" i="23" s="1"/>
  <c r="Q231" i="23"/>
  <c r="Q232" i="23"/>
  <c r="R232" i="23" s="1"/>
  <c r="S232" i="23" s="1"/>
  <c r="Q233" i="23"/>
  <c r="Q234" i="23"/>
  <c r="Q235" i="23"/>
  <c r="Q236" i="23"/>
  <c r="Q237" i="23"/>
  <c r="Q238" i="23"/>
  <c r="R238" i="23" s="1"/>
  <c r="Q239" i="23"/>
  <c r="Q240" i="23"/>
  <c r="Q241" i="23"/>
  <c r="R241" i="23" s="1"/>
  <c r="S241" i="23" s="1"/>
  <c r="Q242" i="23"/>
  <c r="Q243" i="23"/>
  <c r="Q244" i="23"/>
  <c r="Q245" i="23"/>
  <c r="Q246" i="23"/>
  <c r="R246" i="23" s="1"/>
  <c r="Q247" i="23"/>
  <c r="Q248" i="23"/>
  <c r="Q249" i="23"/>
  <c r="R249" i="23" s="1"/>
  <c r="S249" i="23" s="1"/>
  <c r="Q250" i="23"/>
  <c r="Q251" i="23"/>
  <c r="Q252" i="23"/>
  <c r="Q253" i="23"/>
  <c r="Q254" i="23"/>
  <c r="R254" i="23" s="1"/>
  <c r="Q255" i="23"/>
  <c r="R255" i="23" s="1"/>
  <c r="S255" i="23" s="1"/>
  <c r="Q256" i="23"/>
  <c r="R256" i="23" s="1"/>
  <c r="S256" i="23" s="1"/>
  <c r="Q257" i="23"/>
  <c r="R257" i="23" s="1"/>
  <c r="Q258" i="23"/>
  <c r="Q259" i="23"/>
  <c r="Q260" i="23"/>
  <c r="Q261" i="23"/>
  <c r="Q262" i="23"/>
  <c r="R262" i="23" s="1"/>
  <c r="Q263" i="23"/>
  <c r="R263" i="23" s="1"/>
  <c r="S263" i="23" s="1"/>
  <c r="Q264" i="23"/>
  <c r="R264" i="23" s="1"/>
  <c r="S264" i="23" s="1"/>
  <c r="Q265" i="23"/>
  <c r="R265" i="23" s="1"/>
  <c r="S265" i="23" s="1"/>
  <c r="Q266" i="23"/>
  <c r="Q267" i="23"/>
  <c r="Q268" i="23"/>
  <c r="Q269" i="23"/>
  <c r="Q270" i="23"/>
  <c r="R270" i="23" s="1"/>
  <c r="Q271" i="23"/>
  <c r="R271" i="23" s="1"/>
  <c r="S271" i="23" s="1"/>
  <c r="Q272" i="23"/>
  <c r="R272" i="23" s="1"/>
  <c r="S272" i="23" s="1"/>
  <c r="Q273" i="23"/>
  <c r="R273" i="23" s="1"/>
  <c r="S273" i="23" s="1"/>
  <c r="Q274" i="23"/>
  <c r="Q275" i="23"/>
  <c r="Q276" i="23"/>
  <c r="Q277" i="23"/>
  <c r="Q278" i="23"/>
  <c r="R278" i="23" s="1"/>
  <c r="Q279" i="23"/>
  <c r="Q280" i="23"/>
  <c r="R280" i="23" s="1"/>
  <c r="S280" i="23" s="1"/>
  <c r="Q281" i="23"/>
  <c r="R281" i="23" s="1"/>
  <c r="S281" i="23" s="1"/>
  <c r="Q282" i="23"/>
  <c r="Q283" i="23"/>
  <c r="Q284" i="23"/>
  <c r="Q285" i="23"/>
  <c r="Q286" i="23"/>
  <c r="R286" i="23" s="1"/>
  <c r="Q287" i="23"/>
  <c r="R287" i="23" s="1"/>
  <c r="S287" i="23" s="1"/>
  <c r="Q288" i="23"/>
  <c r="Q289" i="23"/>
  <c r="R289" i="23" s="1"/>
  <c r="S289" i="23" s="1"/>
  <c r="Q290" i="23"/>
  <c r="Q291" i="23"/>
  <c r="Q292" i="23"/>
  <c r="Q293" i="23"/>
  <c r="Q294" i="23"/>
  <c r="R294" i="23" s="1"/>
  <c r="Q295" i="23"/>
  <c r="Q296" i="23"/>
  <c r="R296" i="23" s="1"/>
  <c r="S296" i="23" s="1"/>
  <c r="Q297" i="23"/>
  <c r="R297" i="23" s="1"/>
  <c r="S297" i="23" s="1"/>
  <c r="Q298" i="23"/>
  <c r="Q299" i="23"/>
  <c r="Q300" i="23"/>
  <c r="Q301" i="23"/>
  <c r="Q302" i="23"/>
  <c r="R302" i="23" s="1"/>
  <c r="Q303" i="23"/>
  <c r="Q304" i="23"/>
  <c r="Q305" i="23"/>
  <c r="R305" i="23" s="1"/>
  <c r="S305" i="23" s="1"/>
  <c r="Q306" i="23"/>
  <c r="Q307" i="23"/>
  <c r="Q308" i="23"/>
  <c r="Q309" i="23"/>
  <c r="Q310" i="23"/>
  <c r="R310" i="23" s="1"/>
  <c r="Q311" i="23"/>
  <c r="Q312" i="23"/>
  <c r="Q313" i="23"/>
  <c r="R313" i="23" s="1"/>
  <c r="S313" i="23" s="1"/>
  <c r="Q314" i="23"/>
  <c r="Q315" i="23"/>
  <c r="Q316" i="23"/>
  <c r="Q317" i="23"/>
  <c r="Q318" i="23"/>
  <c r="R318" i="23" s="1"/>
  <c r="Q319" i="23"/>
  <c r="R319" i="23" s="1"/>
  <c r="S319" i="23" s="1"/>
  <c r="Q320" i="23"/>
  <c r="R320" i="23" s="1"/>
  <c r="S320" i="23" s="1"/>
  <c r="Q321" i="23"/>
  <c r="R321" i="23" s="1"/>
  <c r="S321" i="23" s="1"/>
  <c r="Q322" i="23"/>
  <c r="Q323" i="23"/>
  <c r="Q324" i="23"/>
  <c r="Q325" i="23"/>
  <c r="Q326" i="23"/>
  <c r="R326" i="23" s="1"/>
  <c r="Q327" i="23"/>
  <c r="R327" i="23" s="1"/>
  <c r="S327" i="23" s="1"/>
  <c r="Q328" i="23"/>
  <c r="R328" i="23" s="1"/>
  <c r="S328" i="23" s="1"/>
  <c r="Q329" i="23"/>
  <c r="R329" i="23" s="1"/>
  <c r="S329" i="23" s="1"/>
  <c r="Q330" i="23"/>
  <c r="Q331" i="23"/>
  <c r="Q332" i="23"/>
  <c r="Q333" i="23"/>
  <c r="Q334" i="23"/>
  <c r="R334" i="23" s="1"/>
  <c r="Q335" i="23"/>
  <c r="R335" i="23" s="1"/>
  <c r="S335" i="23" s="1"/>
  <c r="Q336" i="23"/>
  <c r="R336" i="23" s="1"/>
  <c r="S336" i="23" s="1"/>
  <c r="Q337" i="23"/>
  <c r="R337" i="23" s="1"/>
  <c r="Q338" i="23"/>
  <c r="Q339" i="23"/>
  <c r="Q340" i="23"/>
  <c r="Q341" i="23"/>
  <c r="Q342" i="23"/>
  <c r="R342" i="23" s="1"/>
  <c r="Q343" i="23"/>
  <c r="Q344" i="23"/>
  <c r="R344" i="23" s="1"/>
  <c r="S344" i="23" s="1"/>
  <c r="Q345" i="23"/>
  <c r="R345" i="23" s="1"/>
  <c r="S345" i="23" s="1"/>
  <c r="Q346" i="23"/>
  <c r="Q347" i="23"/>
  <c r="Q348" i="23"/>
  <c r="Q349" i="23"/>
  <c r="Q350" i="23"/>
  <c r="R350" i="23" s="1"/>
  <c r="Q351" i="23"/>
  <c r="R351" i="23" s="1"/>
  <c r="S351" i="23" s="1"/>
  <c r="Q352" i="23"/>
  <c r="Q353" i="23"/>
  <c r="R353" i="23" s="1"/>
  <c r="S353" i="23" s="1"/>
  <c r="Q354" i="23"/>
  <c r="Q355" i="23"/>
  <c r="Q356" i="23"/>
  <c r="Q357" i="23"/>
  <c r="Q358" i="23"/>
  <c r="R358" i="23" s="1"/>
  <c r="Q359" i="23"/>
  <c r="Q360" i="23"/>
  <c r="R360" i="23" s="1"/>
  <c r="S360" i="23" s="1"/>
  <c r="Q361" i="23"/>
  <c r="R361" i="23" s="1"/>
  <c r="S361" i="23" s="1"/>
  <c r="Q362" i="23"/>
  <c r="Q363" i="23"/>
  <c r="Q364" i="23"/>
  <c r="Q365" i="23"/>
  <c r="Q366" i="23"/>
  <c r="R366" i="23" s="1"/>
  <c r="Q367" i="23"/>
  <c r="Q368" i="23"/>
  <c r="Q369" i="23"/>
  <c r="R369" i="23" s="1"/>
  <c r="S369" i="23" s="1"/>
  <c r="Q370" i="23"/>
  <c r="Q371" i="23"/>
  <c r="Q372" i="23"/>
  <c r="Q373" i="23"/>
  <c r="Q374" i="23"/>
  <c r="R374" i="23" s="1"/>
  <c r="Q375" i="23"/>
  <c r="Q376" i="23"/>
  <c r="Q377" i="23"/>
  <c r="R377" i="23" s="1"/>
  <c r="S377" i="23" s="1"/>
  <c r="Q378" i="23"/>
  <c r="Q379" i="23"/>
  <c r="Q380" i="23"/>
  <c r="Q381" i="23"/>
  <c r="Q382" i="23"/>
  <c r="R382" i="23" s="1"/>
  <c r="Q383" i="23"/>
  <c r="R383" i="23" s="1"/>
  <c r="S383" i="23" s="1"/>
  <c r="Q384" i="23"/>
  <c r="R384" i="23" s="1"/>
  <c r="S384" i="23" s="1"/>
  <c r="Q385" i="23"/>
  <c r="R385" i="23" s="1"/>
  <c r="S385" i="23" s="1"/>
  <c r="Q386" i="23"/>
  <c r="Q387" i="23"/>
  <c r="Q388" i="23"/>
  <c r="Q389" i="23"/>
  <c r="Q390" i="23"/>
  <c r="R390" i="23" s="1"/>
  <c r="Q391" i="23"/>
  <c r="R391" i="23" s="1"/>
  <c r="S391" i="23" s="1"/>
  <c r="Q392" i="23"/>
  <c r="R392" i="23" s="1"/>
  <c r="S392" i="23" s="1"/>
  <c r="Q393" i="23"/>
  <c r="R393" i="23" s="1"/>
  <c r="S393" i="23" s="1"/>
  <c r="Q394" i="23"/>
  <c r="Q395" i="23"/>
  <c r="Q396" i="23"/>
  <c r="Q397" i="23"/>
  <c r="Q398" i="23"/>
  <c r="R398" i="23" s="1"/>
  <c r="Q399" i="23"/>
  <c r="R399" i="23" s="1"/>
  <c r="S399" i="23" s="1"/>
  <c r="Q400" i="23"/>
  <c r="R400" i="23" s="1"/>
  <c r="S400" i="23" s="1"/>
  <c r="Q401" i="23"/>
  <c r="R401" i="23" s="1"/>
  <c r="S401" i="23" s="1"/>
  <c r="Q402" i="23"/>
  <c r="Q403" i="23"/>
  <c r="Q404" i="23"/>
  <c r="Q405" i="23"/>
  <c r="Q406" i="23"/>
  <c r="R406" i="23" s="1"/>
  <c r="Q407" i="23"/>
  <c r="Q408" i="23"/>
  <c r="R408" i="23" s="1"/>
  <c r="S408" i="23" s="1"/>
  <c r="Q409" i="23"/>
  <c r="R409" i="23" s="1"/>
  <c r="S409" i="23" s="1"/>
  <c r="Q410" i="23"/>
  <c r="Q411" i="23"/>
  <c r="Q412" i="23"/>
  <c r="Q413" i="23"/>
  <c r="Q414" i="23"/>
  <c r="R414" i="23" s="1"/>
  <c r="Q415" i="23"/>
  <c r="R415" i="23" s="1"/>
  <c r="S415" i="23" s="1"/>
  <c r="Q416" i="23"/>
  <c r="Q417" i="23"/>
  <c r="R417" i="23" s="1"/>
  <c r="S417" i="23" s="1"/>
  <c r="Q418" i="23"/>
  <c r="Q419" i="23"/>
  <c r="Q420" i="23"/>
  <c r="Q421" i="23"/>
  <c r="Q422" i="23"/>
  <c r="R422" i="23" s="1"/>
  <c r="Q423" i="23"/>
  <c r="Q424" i="23"/>
  <c r="R424" i="23" s="1"/>
  <c r="S424" i="23" s="1"/>
  <c r="Q425" i="23"/>
  <c r="R425" i="23" s="1"/>
  <c r="S425" i="23" s="1"/>
  <c r="Q426" i="23"/>
  <c r="Q427" i="23"/>
  <c r="Q428" i="23"/>
  <c r="Q429" i="23"/>
  <c r="Q430" i="23"/>
  <c r="R430" i="23" s="1"/>
  <c r="Q431" i="23"/>
  <c r="Q432" i="23"/>
  <c r="Q433" i="23"/>
  <c r="R433" i="23" s="1"/>
  <c r="Q434" i="23"/>
  <c r="Q435" i="23"/>
  <c r="Q436" i="23"/>
  <c r="Q437" i="23"/>
  <c r="Q438" i="23"/>
  <c r="R438" i="23" s="1"/>
  <c r="Q439" i="23"/>
  <c r="Q440" i="23"/>
  <c r="Q441" i="23"/>
  <c r="Q442" i="23"/>
  <c r="Q443" i="23"/>
  <c r="Q444" i="23"/>
  <c r="Q445" i="23"/>
  <c r="Q446" i="23"/>
  <c r="R446" i="23" s="1"/>
  <c r="Q447" i="23"/>
  <c r="R447" i="23" s="1"/>
  <c r="S447" i="23" s="1"/>
  <c r="Q448" i="23"/>
  <c r="R448" i="23" s="1"/>
  <c r="S448" i="23" s="1"/>
  <c r="Q449" i="23"/>
  <c r="R449" i="23" s="1"/>
  <c r="S449" i="23" s="1"/>
  <c r="Q450" i="23"/>
  <c r="Q451" i="23"/>
  <c r="Q452" i="23"/>
  <c r="Q453" i="23"/>
  <c r="Q454" i="23"/>
  <c r="R454" i="23" s="1"/>
  <c r="Q455" i="23"/>
  <c r="R455" i="23" s="1"/>
  <c r="S455" i="23" s="1"/>
  <c r="Q456" i="23"/>
  <c r="R456" i="23" s="1"/>
  <c r="S456" i="23" s="1"/>
  <c r="Q457" i="23"/>
  <c r="R457" i="23" s="1"/>
  <c r="Q458" i="23"/>
  <c r="Q459" i="23"/>
  <c r="Q460" i="23"/>
  <c r="Q461" i="23"/>
  <c r="Q462" i="23"/>
  <c r="R462" i="23" s="1"/>
  <c r="Q463" i="23"/>
  <c r="R463" i="23" s="1"/>
  <c r="S463" i="23" s="1"/>
  <c r="Q464" i="23"/>
  <c r="R464" i="23" s="1"/>
  <c r="S464" i="23" s="1"/>
  <c r="Q465" i="23"/>
  <c r="R465" i="23" s="1"/>
  <c r="S465" i="23" s="1"/>
  <c r="Q466" i="23"/>
  <c r="Q467" i="23"/>
  <c r="Q468" i="23"/>
  <c r="Q469" i="23"/>
  <c r="Q470" i="23"/>
  <c r="R470" i="23" s="1"/>
  <c r="Q471" i="23"/>
  <c r="Q472" i="23"/>
  <c r="R472" i="23" s="1"/>
  <c r="S472" i="23" s="1"/>
  <c r="Q473" i="23"/>
  <c r="R473" i="23" s="1"/>
  <c r="S473" i="23" s="1"/>
  <c r="Q474" i="23"/>
  <c r="Q475" i="23"/>
  <c r="Q476" i="23"/>
  <c r="Q477" i="23"/>
  <c r="Q478" i="23"/>
  <c r="R478" i="23" s="1"/>
  <c r="Q479" i="23"/>
  <c r="R479" i="23" s="1"/>
  <c r="S479" i="23" s="1"/>
  <c r="Q480" i="23"/>
  <c r="Q481" i="23"/>
  <c r="R481" i="23" s="1"/>
  <c r="S481" i="23" s="1"/>
  <c r="Q482" i="23"/>
  <c r="Q483" i="23"/>
  <c r="Q484" i="23"/>
  <c r="Q485" i="23"/>
  <c r="Q486" i="23"/>
  <c r="R486" i="23" s="1"/>
  <c r="Q487" i="23"/>
  <c r="Q488" i="23"/>
  <c r="R488" i="23" s="1"/>
  <c r="S488" i="23" s="1"/>
  <c r="Q489" i="23"/>
  <c r="R489" i="23" s="1"/>
  <c r="S489" i="23" s="1"/>
  <c r="Q490" i="23"/>
  <c r="Q491" i="23"/>
  <c r="Q492" i="23"/>
  <c r="Q493" i="23"/>
  <c r="Q494" i="23"/>
  <c r="R494" i="23" s="1"/>
  <c r="Q495" i="23"/>
  <c r="Q496" i="23"/>
  <c r="Q497" i="23"/>
  <c r="R497" i="23" s="1"/>
  <c r="S497" i="23" s="1"/>
  <c r="Q498" i="23"/>
  <c r="Q499" i="23"/>
  <c r="Q500" i="23"/>
  <c r="Q501" i="23"/>
  <c r="Q502" i="23"/>
  <c r="R502" i="23" s="1"/>
  <c r="Q503" i="23"/>
  <c r="Q504" i="23"/>
  <c r="Q505" i="23"/>
  <c r="R505" i="23" s="1"/>
  <c r="S505" i="23" s="1"/>
  <c r="Q506" i="23"/>
  <c r="Q507" i="23"/>
  <c r="Q508" i="23"/>
  <c r="Q509" i="23"/>
  <c r="Q510" i="23"/>
  <c r="R510" i="23" s="1"/>
  <c r="Q511" i="23"/>
  <c r="R511" i="23" s="1"/>
  <c r="S511" i="23" s="1"/>
  <c r="Q512" i="23"/>
  <c r="R512" i="23" s="1"/>
  <c r="S512" i="23" s="1"/>
  <c r="Q513" i="23"/>
  <c r="R513" i="23" s="1"/>
  <c r="Q514" i="23"/>
  <c r="Q515" i="23"/>
  <c r="Q516" i="23"/>
  <c r="Q517" i="23"/>
  <c r="Q518" i="23"/>
  <c r="R518" i="23" s="1"/>
  <c r="Q519" i="23"/>
  <c r="R519" i="23" s="1"/>
  <c r="S519" i="23" s="1"/>
  <c r="Q520" i="23"/>
  <c r="R520" i="23" s="1"/>
  <c r="S520" i="23" s="1"/>
  <c r="Q521" i="23"/>
  <c r="R521" i="23" s="1"/>
  <c r="S521" i="23" s="1"/>
  <c r="Q522" i="23"/>
  <c r="Q523" i="23"/>
  <c r="Q524" i="23"/>
  <c r="Q525" i="23"/>
  <c r="Q526" i="23"/>
  <c r="R526" i="23" s="1"/>
  <c r="Q527" i="23"/>
  <c r="R527" i="23" s="1"/>
  <c r="S527" i="23" s="1"/>
  <c r="Q528" i="23"/>
  <c r="R528" i="23" s="1"/>
  <c r="S528" i="23" s="1"/>
  <c r="Q529" i="23"/>
  <c r="R529" i="23" s="1"/>
  <c r="S529" i="23" s="1"/>
  <c r="Q530" i="23"/>
  <c r="Q531" i="23"/>
  <c r="Q532" i="23"/>
  <c r="Q533" i="23"/>
  <c r="Q534" i="23"/>
  <c r="R534" i="23" s="1"/>
  <c r="Q535" i="23"/>
  <c r="Q536" i="23"/>
  <c r="R536" i="23" s="1"/>
  <c r="S536" i="23" s="1"/>
  <c r="R4" i="23"/>
  <c r="S4" i="23" s="1"/>
  <c r="R5" i="23"/>
  <c r="R10" i="23"/>
  <c r="R11" i="23"/>
  <c r="R12" i="23"/>
  <c r="S12" i="23" s="1"/>
  <c r="R13" i="23"/>
  <c r="S13" i="23" s="1"/>
  <c r="R18" i="23"/>
  <c r="S18" i="23" s="1"/>
  <c r="R19" i="23"/>
  <c r="R20" i="23"/>
  <c r="R21" i="23"/>
  <c r="R26" i="23"/>
  <c r="R27" i="23"/>
  <c r="R28" i="23"/>
  <c r="S28" i="23" s="1"/>
  <c r="R29" i="23"/>
  <c r="S29" i="23" s="1"/>
  <c r="R32" i="23"/>
  <c r="S32" i="23" s="1"/>
  <c r="R34" i="23"/>
  <c r="R35" i="23"/>
  <c r="R36" i="23"/>
  <c r="R37" i="23"/>
  <c r="S37" i="23" s="1"/>
  <c r="R39" i="23"/>
  <c r="S39" i="23" s="1"/>
  <c r="R42" i="23"/>
  <c r="R43" i="23"/>
  <c r="R44" i="23"/>
  <c r="R45" i="23"/>
  <c r="R47" i="23"/>
  <c r="R48" i="23"/>
  <c r="S48" i="23" s="1"/>
  <c r="R50" i="23"/>
  <c r="S50" i="23" s="1"/>
  <c r="R51" i="23"/>
  <c r="R52" i="23"/>
  <c r="R53" i="23"/>
  <c r="R55" i="23"/>
  <c r="S55" i="23" s="1"/>
  <c r="R56" i="23"/>
  <c r="R58" i="23"/>
  <c r="R59" i="23"/>
  <c r="S59" i="23" s="1"/>
  <c r="R60" i="23"/>
  <c r="R61" i="23"/>
  <c r="R66" i="23"/>
  <c r="S66" i="23" s="1"/>
  <c r="R67" i="23"/>
  <c r="R68" i="23"/>
  <c r="S68" i="23" s="1"/>
  <c r="R69" i="23"/>
  <c r="R74" i="23"/>
  <c r="S74" i="23" s="1"/>
  <c r="R75" i="23"/>
  <c r="R76" i="23"/>
  <c r="R77" i="23"/>
  <c r="S77" i="23" s="1"/>
  <c r="R82" i="23"/>
  <c r="R83" i="23"/>
  <c r="S83" i="23" s="1"/>
  <c r="R84" i="23"/>
  <c r="R85" i="23"/>
  <c r="R87" i="23"/>
  <c r="S87" i="23" s="1"/>
  <c r="R90" i="23"/>
  <c r="R91" i="23"/>
  <c r="R92" i="23"/>
  <c r="S92" i="23" s="1"/>
  <c r="R93" i="23"/>
  <c r="R96" i="23"/>
  <c r="S96" i="23" s="1"/>
  <c r="R98" i="23"/>
  <c r="R99" i="23"/>
  <c r="R100" i="23"/>
  <c r="R101" i="23"/>
  <c r="S101" i="23" s="1"/>
  <c r="R103" i="23"/>
  <c r="S103" i="23" s="1"/>
  <c r="R106" i="23"/>
  <c r="R107" i="23"/>
  <c r="R108" i="23"/>
  <c r="R109" i="23"/>
  <c r="R111" i="23"/>
  <c r="R112" i="23"/>
  <c r="S112" i="23" s="1"/>
  <c r="R114" i="23"/>
  <c r="S114" i="23" s="1"/>
  <c r="R115" i="23"/>
  <c r="R116" i="23"/>
  <c r="R117" i="23"/>
  <c r="R119" i="23"/>
  <c r="S119" i="23" s="1"/>
  <c r="R120" i="23"/>
  <c r="R122" i="23"/>
  <c r="R123" i="23"/>
  <c r="S123" i="23" s="1"/>
  <c r="R124" i="23"/>
  <c r="R125" i="23"/>
  <c r="R130" i="23"/>
  <c r="S130" i="23" s="1"/>
  <c r="R131" i="23"/>
  <c r="R132" i="23"/>
  <c r="S132" i="23" s="1"/>
  <c r="R133" i="23"/>
  <c r="R138" i="23"/>
  <c r="S138" i="23" s="1"/>
  <c r="R139" i="23"/>
  <c r="R140" i="23"/>
  <c r="R141" i="23"/>
  <c r="S141" i="23" s="1"/>
  <c r="R146" i="23"/>
  <c r="R147" i="23"/>
  <c r="S147" i="23" s="1"/>
  <c r="R148" i="23"/>
  <c r="R149" i="23"/>
  <c r="R151" i="23"/>
  <c r="S151" i="23" s="1"/>
  <c r="R154" i="23"/>
  <c r="R155" i="23"/>
  <c r="S155" i="23" s="1"/>
  <c r="R156" i="23"/>
  <c r="R157" i="23"/>
  <c r="S157" i="23" s="1"/>
  <c r="R160" i="23"/>
  <c r="S160" i="23" s="1"/>
  <c r="R162" i="23"/>
  <c r="R163" i="23"/>
  <c r="S163" i="23" s="1"/>
  <c r="R164" i="23"/>
  <c r="R165" i="23"/>
  <c r="S165" i="23" s="1"/>
  <c r="R167" i="23"/>
  <c r="S167" i="23" s="1"/>
  <c r="R170" i="23"/>
  <c r="R171" i="23"/>
  <c r="R172" i="23"/>
  <c r="R173" i="23"/>
  <c r="S173" i="23" s="1"/>
  <c r="R175" i="23"/>
  <c r="S175" i="23" s="1"/>
  <c r="R176" i="23"/>
  <c r="S176" i="23" s="1"/>
  <c r="R178" i="23"/>
  <c r="S178" i="23" s="1"/>
  <c r="R179" i="23"/>
  <c r="R180" i="23"/>
  <c r="R181" i="23"/>
  <c r="S181" i="23" s="1"/>
  <c r="R183" i="23"/>
  <c r="S183" i="23" s="1"/>
  <c r="R184" i="23"/>
  <c r="S184" i="23" s="1"/>
  <c r="R186" i="23"/>
  <c r="R187" i="23"/>
  <c r="S187" i="23" s="1"/>
  <c r="R188" i="23"/>
  <c r="R189" i="23"/>
  <c r="R194" i="23"/>
  <c r="R195" i="23"/>
  <c r="R196" i="23"/>
  <c r="R197" i="23"/>
  <c r="R202" i="23"/>
  <c r="R203" i="23"/>
  <c r="S203" i="23" s="1"/>
  <c r="R204" i="23"/>
  <c r="R205" i="23"/>
  <c r="S205" i="23" s="1"/>
  <c r="R210" i="23"/>
  <c r="R211" i="23"/>
  <c r="S211" i="23" s="1"/>
  <c r="R212" i="23"/>
  <c r="R213" i="23"/>
  <c r="R215" i="23"/>
  <c r="S215" i="23" s="1"/>
  <c r="R218" i="23"/>
  <c r="R219" i="23"/>
  <c r="S219" i="23" s="1"/>
  <c r="R220" i="23"/>
  <c r="R221" i="23"/>
  <c r="S221" i="23" s="1"/>
  <c r="R224" i="23"/>
  <c r="S224" i="23" s="1"/>
  <c r="R226" i="23"/>
  <c r="R227" i="23"/>
  <c r="S227" i="23" s="1"/>
  <c r="R228" i="23"/>
  <c r="R229" i="23"/>
  <c r="S229" i="23" s="1"/>
  <c r="R231" i="23"/>
  <c r="S231" i="23" s="1"/>
  <c r="R233" i="23"/>
  <c r="S233" i="23" s="1"/>
  <c r="R234" i="23"/>
  <c r="R235" i="23"/>
  <c r="R236" i="23"/>
  <c r="R237" i="23"/>
  <c r="S237" i="23" s="1"/>
  <c r="R239" i="23"/>
  <c r="S239" i="23" s="1"/>
  <c r="R240" i="23"/>
  <c r="S240" i="23" s="1"/>
  <c r="R242" i="23"/>
  <c r="R243" i="23"/>
  <c r="R244" i="23"/>
  <c r="R245" i="23"/>
  <c r="S245" i="23" s="1"/>
  <c r="R247" i="23"/>
  <c r="S247" i="23" s="1"/>
  <c r="R248" i="23"/>
  <c r="S248" i="23" s="1"/>
  <c r="R250" i="23"/>
  <c r="R251" i="23"/>
  <c r="S251" i="23" s="1"/>
  <c r="R252" i="23"/>
  <c r="R253" i="23"/>
  <c r="R258" i="23"/>
  <c r="S258" i="23" s="1"/>
  <c r="R259" i="23"/>
  <c r="R260" i="23"/>
  <c r="R261" i="23"/>
  <c r="R266" i="23"/>
  <c r="R267" i="23"/>
  <c r="S267" i="23" s="1"/>
  <c r="R268" i="23"/>
  <c r="R269" i="23"/>
  <c r="S269" i="23" s="1"/>
  <c r="R274" i="23"/>
  <c r="R275" i="23"/>
  <c r="S275" i="23" s="1"/>
  <c r="R276" i="23"/>
  <c r="R277" i="23"/>
  <c r="R279" i="23"/>
  <c r="S279" i="23" s="1"/>
  <c r="R282" i="23"/>
  <c r="R283" i="23"/>
  <c r="S283" i="23" s="1"/>
  <c r="R284" i="23"/>
  <c r="R285" i="23"/>
  <c r="S285" i="23" s="1"/>
  <c r="R288" i="23"/>
  <c r="S288" i="23" s="1"/>
  <c r="R290" i="23"/>
  <c r="R291" i="23"/>
  <c r="S291" i="23" s="1"/>
  <c r="R292" i="23"/>
  <c r="R293" i="23"/>
  <c r="S293" i="23" s="1"/>
  <c r="R295" i="23"/>
  <c r="S295" i="23" s="1"/>
  <c r="R298" i="23"/>
  <c r="R299" i="23"/>
  <c r="R300" i="23"/>
  <c r="R301" i="23"/>
  <c r="S301" i="23" s="1"/>
  <c r="R303" i="23"/>
  <c r="S303" i="23" s="1"/>
  <c r="R304" i="23"/>
  <c r="S304" i="23" s="1"/>
  <c r="R306" i="23"/>
  <c r="S306" i="23" s="1"/>
  <c r="R307" i="23"/>
  <c r="R308" i="23"/>
  <c r="R309" i="23"/>
  <c r="S309" i="23" s="1"/>
  <c r="R311" i="23"/>
  <c r="S311" i="23" s="1"/>
  <c r="R312" i="23"/>
  <c r="S312" i="23" s="1"/>
  <c r="R314" i="23"/>
  <c r="R315" i="23"/>
  <c r="S315" i="23" s="1"/>
  <c r="R316" i="23"/>
  <c r="R317" i="23"/>
  <c r="R322" i="23"/>
  <c r="R323" i="23"/>
  <c r="R324" i="23"/>
  <c r="R325" i="23"/>
  <c r="R330" i="23"/>
  <c r="R331" i="23"/>
  <c r="S331" i="23" s="1"/>
  <c r="R332" i="23"/>
  <c r="R333" i="23"/>
  <c r="S333" i="23" s="1"/>
  <c r="R338" i="23"/>
  <c r="R339" i="23"/>
  <c r="S339" i="23" s="1"/>
  <c r="R340" i="23"/>
  <c r="R341" i="23"/>
  <c r="R343" i="23"/>
  <c r="S343" i="23" s="1"/>
  <c r="R346" i="23"/>
  <c r="R347" i="23"/>
  <c r="S347" i="23" s="1"/>
  <c r="R348" i="23"/>
  <c r="R349" i="23"/>
  <c r="S349" i="23" s="1"/>
  <c r="R352" i="23"/>
  <c r="S352" i="23" s="1"/>
  <c r="R354" i="23"/>
  <c r="R355" i="23"/>
  <c r="S355" i="23" s="1"/>
  <c r="R356" i="23"/>
  <c r="R357" i="23"/>
  <c r="S357" i="23" s="1"/>
  <c r="R359" i="23"/>
  <c r="S359" i="23" s="1"/>
  <c r="R362" i="23"/>
  <c r="R363" i="23"/>
  <c r="R364" i="23"/>
  <c r="R365" i="23"/>
  <c r="S365" i="23" s="1"/>
  <c r="R367" i="23"/>
  <c r="S367" i="23" s="1"/>
  <c r="R368" i="23"/>
  <c r="S368" i="23" s="1"/>
  <c r="R370" i="23"/>
  <c r="R371" i="23"/>
  <c r="R372" i="23"/>
  <c r="R373" i="23"/>
  <c r="S373" i="23" s="1"/>
  <c r="R375" i="23"/>
  <c r="S375" i="23" s="1"/>
  <c r="R376" i="23"/>
  <c r="S376" i="23" s="1"/>
  <c r="R378" i="23"/>
  <c r="R379" i="23"/>
  <c r="S379" i="23" s="1"/>
  <c r="R380" i="23"/>
  <c r="R381" i="23"/>
  <c r="R386" i="23"/>
  <c r="R387" i="23"/>
  <c r="R388" i="23"/>
  <c r="S388" i="23" s="1"/>
  <c r="R389" i="23"/>
  <c r="R394" i="23"/>
  <c r="R395" i="23"/>
  <c r="S395" i="23" s="1"/>
  <c r="R396" i="23"/>
  <c r="R397" i="23"/>
  <c r="S397" i="23" s="1"/>
  <c r="R402" i="23"/>
  <c r="R403" i="23"/>
  <c r="S403" i="23" s="1"/>
  <c r="R404" i="23"/>
  <c r="R405" i="23"/>
  <c r="R407" i="23"/>
  <c r="S407" i="23" s="1"/>
  <c r="R410" i="23"/>
  <c r="R411" i="23"/>
  <c r="S411" i="23" s="1"/>
  <c r="R412" i="23"/>
  <c r="R413" i="23"/>
  <c r="S413" i="23" s="1"/>
  <c r="R416" i="23"/>
  <c r="S416" i="23" s="1"/>
  <c r="R418" i="23"/>
  <c r="R419" i="23"/>
  <c r="S419" i="23" s="1"/>
  <c r="R420" i="23"/>
  <c r="R421" i="23"/>
  <c r="S421" i="23" s="1"/>
  <c r="R423" i="23"/>
  <c r="S423" i="23" s="1"/>
  <c r="R426" i="23"/>
  <c r="R427" i="23"/>
  <c r="R428" i="23"/>
  <c r="R429" i="23"/>
  <c r="S429" i="23" s="1"/>
  <c r="R431" i="23"/>
  <c r="S431" i="23" s="1"/>
  <c r="R432" i="23"/>
  <c r="S432" i="23" s="1"/>
  <c r="R434" i="23"/>
  <c r="S434" i="23" s="1"/>
  <c r="R435" i="23"/>
  <c r="R436" i="23"/>
  <c r="R437" i="23"/>
  <c r="S437" i="23" s="1"/>
  <c r="R439" i="23"/>
  <c r="S439" i="23" s="1"/>
  <c r="R440" i="23"/>
  <c r="S440" i="23" s="1"/>
  <c r="R441" i="23"/>
  <c r="S441" i="23" s="1"/>
  <c r="R442" i="23"/>
  <c r="R443" i="23"/>
  <c r="S443" i="23" s="1"/>
  <c r="R444" i="23"/>
  <c r="R445" i="23"/>
  <c r="R450" i="23"/>
  <c r="R451" i="23"/>
  <c r="R452" i="23"/>
  <c r="S452" i="23" s="1"/>
  <c r="R453" i="23"/>
  <c r="R458" i="23"/>
  <c r="R459" i="23"/>
  <c r="S459" i="23" s="1"/>
  <c r="R460" i="23"/>
  <c r="R461" i="23"/>
  <c r="S461" i="23" s="1"/>
  <c r="R466" i="23"/>
  <c r="R467" i="23"/>
  <c r="S467" i="23" s="1"/>
  <c r="R468" i="23"/>
  <c r="R469" i="23"/>
  <c r="R471" i="23"/>
  <c r="S471" i="23" s="1"/>
  <c r="R474" i="23"/>
  <c r="R475" i="23"/>
  <c r="S475" i="23" s="1"/>
  <c r="R476" i="23"/>
  <c r="R477" i="23"/>
  <c r="S477" i="23" s="1"/>
  <c r="R480" i="23"/>
  <c r="S480" i="23" s="1"/>
  <c r="R482" i="23"/>
  <c r="R483" i="23"/>
  <c r="S483" i="23" s="1"/>
  <c r="R484" i="23"/>
  <c r="R485" i="23"/>
  <c r="S485" i="23" s="1"/>
  <c r="R487" i="23"/>
  <c r="S487" i="23" s="1"/>
  <c r="R490" i="23"/>
  <c r="R491" i="23"/>
  <c r="R492" i="23"/>
  <c r="R493" i="23"/>
  <c r="S493" i="23" s="1"/>
  <c r="R495" i="23"/>
  <c r="S495" i="23" s="1"/>
  <c r="R496" i="23"/>
  <c r="S496" i="23" s="1"/>
  <c r="R498" i="23"/>
  <c r="R499" i="23"/>
  <c r="R500" i="23"/>
  <c r="R501" i="23"/>
  <c r="S501" i="23" s="1"/>
  <c r="R503" i="23"/>
  <c r="S503" i="23" s="1"/>
  <c r="R504" i="23"/>
  <c r="S504" i="23" s="1"/>
  <c r="R506" i="23"/>
  <c r="R507" i="23"/>
  <c r="S507" i="23" s="1"/>
  <c r="R508" i="23"/>
  <c r="R509" i="23"/>
  <c r="R514" i="23"/>
  <c r="S514" i="23" s="1"/>
  <c r="R515" i="23"/>
  <c r="R516" i="23"/>
  <c r="S516" i="23" s="1"/>
  <c r="R517" i="23"/>
  <c r="R522" i="23"/>
  <c r="R523" i="23"/>
  <c r="S523" i="23" s="1"/>
  <c r="R524" i="23"/>
  <c r="R525" i="23"/>
  <c r="S525" i="23" s="1"/>
  <c r="R530" i="23"/>
  <c r="R531" i="23"/>
  <c r="S531" i="23" s="1"/>
  <c r="R532" i="23"/>
  <c r="S532" i="23" s="1"/>
  <c r="R533" i="23"/>
  <c r="R535" i="23"/>
  <c r="S535" i="23" s="1"/>
  <c r="S5" i="23"/>
  <c r="S6" i="23"/>
  <c r="S7" i="23"/>
  <c r="S8" i="23"/>
  <c r="S10" i="23"/>
  <c r="S11" i="23"/>
  <c r="S14" i="23"/>
  <c r="S15" i="23"/>
  <c r="S16" i="23"/>
  <c r="S19" i="23"/>
  <c r="S20" i="23"/>
  <c r="S21" i="23"/>
  <c r="S22" i="23"/>
  <c r="S26" i="23"/>
  <c r="S27" i="23"/>
  <c r="S30" i="23"/>
  <c r="S34" i="23"/>
  <c r="S35" i="23"/>
  <c r="S36" i="23"/>
  <c r="S38" i="23"/>
  <c r="S42" i="23"/>
  <c r="S43" i="23"/>
  <c r="S44" i="23"/>
  <c r="S45" i="23"/>
  <c r="S46" i="23"/>
  <c r="S47" i="23"/>
  <c r="S51" i="23"/>
  <c r="S52" i="23"/>
  <c r="S53" i="23"/>
  <c r="S54" i="23"/>
  <c r="S56" i="23"/>
  <c r="S58" i="23"/>
  <c r="S60" i="23"/>
  <c r="S61" i="23"/>
  <c r="S62" i="23"/>
  <c r="S63" i="23"/>
  <c r="S67" i="23"/>
  <c r="S69" i="23"/>
  <c r="S70" i="23"/>
  <c r="S75" i="23"/>
  <c r="S76" i="23"/>
  <c r="S78" i="23"/>
  <c r="S82" i="23"/>
  <c r="S84" i="23"/>
  <c r="S85" i="23"/>
  <c r="S86" i="23"/>
  <c r="S90" i="23"/>
  <c r="S91" i="23"/>
  <c r="S93" i="23"/>
  <c r="S94" i="23"/>
  <c r="S98" i="23"/>
  <c r="S99" i="23"/>
  <c r="S100" i="23"/>
  <c r="S102" i="23"/>
  <c r="S106" i="23"/>
  <c r="S107" i="23"/>
  <c r="S108" i="23"/>
  <c r="S109" i="23"/>
  <c r="S110" i="23"/>
  <c r="S111" i="23"/>
  <c r="S115" i="23"/>
  <c r="S116" i="23"/>
  <c r="S117" i="23"/>
  <c r="S118" i="23"/>
  <c r="S120" i="23"/>
  <c r="S122" i="23"/>
  <c r="S124" i="23"/>
  <c r="S125" i="23"/>
  <c r="S126" i="23"/>
  <c r="S131" i="23"/>
  <c r="S133" i="23"/>
  <c r="S134" i="23"/>
  <c r="S136" i="23"/>
  <c r="S139" i="23"/>
  <c r="S140" i="23"/>
  <c r="S142" i="23"/>
  <c r="S144" i="23"/>
  <c r="S146" i="23"/>
  <c r="S148" i="23"/>
  <c r="S149" i="23"/>
  <c r="S150" i="23"/>
  <c r="S154" i="23"/>
  <c r="S156" i="23"/>
  <c r="S158" i="23"/>
  <c r="S162" i="23"/>
  <c r="S164" i="23"/>
  <c r="S166" i="23"/>
  <c r="S170" i="23"/>
  <c r="S171" i="23"/>
  <c r="S172" i="23"/>
  <c r="S174" i="23"/>
  <c r="S177" i="23"/>
  <c r="S179" i="23"/>
  <c r="S180" i="23"/>
  <c r="S182" i="23"/>
  <c r="S186" i="23"/>
  <c r="S188" i="23"/>
  <c r="S189" i="23"/>
  <c r="S190" i="23"/>
  <c r="S194" i="23"/>
  <c r="S195" i="23"/>
  <c r="S196" i="23"/>
  <c r="S197" i="23"/>
  <c r="S198" i="23"/>
  <c r="S201" i="23"/>
  <c r="S202" i="23"/>
  <c r="S204" i="23"/>
  <c r="S206" i="23"/>
  <c r="S210" i="23"/>
  <c r="S212" i="23"/>
  <c r="S213" i="23"/>
  <c r="S214" i="23"/>
  <c r="S218" i="23"/>
  <c r="S220" i="23"/>
  <c r="S222" i="23"/>
  <c r="S226" i="23"/>
  <c r="S228" i="23"/>
  <c r="S230" i="23"/>
  <c r="S234" i="23"/>
  <c r="S235" i="23"/>
  <c r="S236" i="23"/>
  <c r="S238" i="23"/>
  <c r="S242" i="23"/>
  <c r="S243" i="23"/>
  <c r="S244" i="23"/>
  <c r="S246" i="23"/>
  <c r="S250" i="23"/>
  <c r="S252" i="23"/>
  <c r="S253" i="23"/>
  <c r="S254" i="23"/>
  <c r="S257" i="23"/>
  <c r="S259" i="23"/>
  <c r="S260" i="23"/>
  <c r="S261" i="23"/>
  <c r="S262" i="23"/>
  <c r="S266" i="23"/>
  <c r="S268" i="23"/>
  <c r="S270" i="23"/>
  <c r="S274" i="23"/>
  <c r="S276" i="23"/>
  <c r="S277" i="23"/>
  <c r="S278" i="23"/>
  <c r="S282" i="23"/>
  <c r="S284" i="23"/>
  <c r="S286" i="23"/>
  <c r="S290" i="23"/>
  <c r="S292" i="23"/>
  <c r="S294" i="23"/>
  <c r="S298" i="23"/>
  <c r="S299" i="23"/>
  <c r="S300" i="23"/>
  <c r="S302" i="23"/>
  <c r="S307" i="23"/>
  <c r="S308" i="23"/>
  <c r="S310" i="23"/>
  <c r="S314" i="23"/>
  <c r="S316" i="23"/>
  <c r="S317" i="23"/>
  <c r="S318" i="23"/>
  <c r="S322" i="23"/>
  <c r="S323" i="23"/>
  <c r="S324" i="23"/>
  <c r="S325" i="23"/>
  <c r="S326" i="23"/>
  <c r="S330" i="23"/>
  <c r="S332" i="23"/>
  <c r="S334" i="23"/>
  <c r="S337" i="23"/>
  <c r="S338" i="23"/>
  <c r="S340" i="23"/>
  <c r="S341" i="23"/>
  <c r="S342" i="23"/>
  <c r="S346" i="23"/>
  <c r="S348" i="23"/>
  <c r="S350" i="23"/>
  <c r="S354" i="23"/>
  <c r="S356" i="23"/>
  <c r="S358" i="23"/>
  <c r="S362" i="23"/>
  <c r="S363" i="23"/>
  <c r="S364" i="23"/>
  <c r="S366" i="23"/>
  <c r="S370" i="23"/>
  <c r="S371" i="23"/>
  <c r="S372" i="23"/>
  <c r="S374" i="23"/>
  <c r="S378" i="23"/>
  <c r="S380" i="23"/>
  <c r="S381" i="23"/>
  <c r="S382" i="23"/>
  <c r="S386" i="23"/>
  <c r="S387" i="23"/>
  <c r="S389" i="23"/>
  <c r="S390" i="23"/>
  <c r="S394" i="23"/>
  <c r="S396" i="23"/>
  <c r="S398" i="23"/>
  <c r="S402" i="23"/>
  <c r="S404" i="23"/>
  <c r="S405" i="23"/>
  <c r="S406" i="23"/>
  <c r="S410" i="23"/>
  <c r="S412" i="23"/>
  <c r="S414" i="23"/>
  <c r="S418" i="23"/>
  <c r="S420" i="23"/>
  <c r="S422" i="23"/>
  <c r="S426" i="23"/>
  <c r="S427" i="23"/>
  <c r="S428" i="23"/>
  <c r="S430" i="23"/>
  <c r="S433" i="23"/>
  <c r="S435" i="23"/>
  <c r="S436" i="23"/>
  <c r="S438" i="23"/>
  <c r="S442" i="23"/>
  <c r="S444" i="23"/>
  <c r="S445" i="23"/>
  <c r="S446" i="23"/>
  <c r="S450" i="23"/>
  <c r="S451" i="23"/>
  <c r="S453" i="23"/>
  <c r="S454" i="23"/>
  <c r="S457" i="23"/>
  <c r="S458" i="23"/>
  <c r="S460" i="23"/>
  <c r="S462" i="23"/>
  <c r="S466" i="23"/>
  <c r="S468" i="23"/>
  <c r="S469" i="23"/>
  <c r="S470" i="23"/>
  <c r="S474" i="23"/>
  <c r="S476" i="23"/>
  <c r="S478" i="23"/>
  <c r="S482" i="23"/>
  <c r="S484" i="23"/>
  <c r="S486" i="23"/>
  <c r="S490" i="23"/>
  <c r="S491" i="23"/>
  <c r="S492" i="23"/>
  <c r="S494" i="23"/>
  <c r="S498" i="23"/>
  <c r="S499" i="23"/>
  <c r="S500" i="23"/>
  <c r="S502" i="23"/>
  <c r="S506" i="23"/>
  <c r="S508" i="23"/>
  <c r="S509" i="23"/>
  <c r="S510" i="23"/>
  <c r="S513" i="23"/>
  <c r="S515" i="23"/>
  <c r="S517" i="23"/>
  <c r="S518" i="23"/>
  <c r="S522" i="23"/>
  <c r="S524" i="23"/>
  <c r="S526" i="23"/>
  <c r="S530" i="23"/>
  <c r="S533" i="23"/>
  <c r="S534" i="23"/>
  <c r="H24" i="34" l="1"/>
  <c r="E1" i="36"/>
  <c r="J8" i="10"/>
  <c r="J7" i="10"/>
  <c r="J6" i="10"/>
  <c r="C7" i="10" s="1"/>
  <c r="J5" i="10"/>
  <c r="C6" i="10"/>
  <c r="C5" i="10"/>
  <c r="C8" i="10"/>
  <c r="C9" i="10"/>
  <c r="F1" i="36" l="1"/>
  <c r="I24" i="34"/>
  <c r="Q2" i="23"/>
  <c r="R2" i="23" s="1"/>
  <c r="S2" i="23" s="1"/>
  <c r="Q3" i="23"/>
  <c r="R3" i="23" s="1"/>
  <c r="S3" i="23" s="1"/>
  <c r="J24" i="34" l="1"/>
  <c r="G1" i="36"/>
  <c r="H1" i="36" l="1"/>
  <c r="K24" i="34"/>
  <c r="C10" i="10"/>
  <c r="I1" i="36" l="1"/>
  <c r="L24" i="34"/>
  <c r="J1" i="36" l="1"/>
  <c r="M24" i="34"/>
  <c r="N24" i="34" l="1"/>
  <c r="K1" i="36"/>
  <c r="O24" i="34" l="1"/>
  <c r="M1" i="36" s="1"/>
  <c r="L1" i="36"/>
</calcChain>
</file>

<file path=xl/connections.xml><?xml version="1.0" encoding="utf-8"?>
<connections xmlns="http://schemas.openxmlformats.org/spreadsheetml/2006/main">
  <connection id="1" name="product" type="4" refreshedVersion="0" background="1">
    <webPr xml="1" sourceData="1" url="C:\Users\abottu\Desktop\product.xml" htmlTables="1" htmlFormat="all"/>
  </connection>
  <connection id="2" name="ZPC_BUDGET" type="6" refreshedVersion="4" background="1" saveData="1">
    <textPr prompt="0" codePage="65001" sourceFile="C:\Users\abottu\AppData\Local\Temp\RSP\ZPC_BUDGET.TXT" decimal="," thousands=".">
      <textFields count="4">
        <textField/>
        <textField/>
        <textField type="text"/>
        <textField/>
      </textFields>
    </textPr>
  </connection>
  <connection id="3" name="ZPC_CONSUMPTION" type="6" refreshedVersion="4" background="1" saveData="1">
    <textPr prompt="0" codePage="65001" sourceFile="C:\Users\abottu\AppData\Local\Temp\RSP\ZPC_CONSUMPTION.TXT" decimal="," thousands=".">
      <textFields count="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ZPC_MATDATA" type="6" refreshedVersion="4" background="1" saveData="1">
    <textPr prompt="0" codePage="65001" sourceFile="C:\Users\abottu\AppData\Local\Temp\RSP\ZPC_MATDATA.TXT" decimal="," thousands=".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ZPC_ORDERS" type="6" refreshedVersion="4" background="1" saveData="1">
    <textPr prompt="0" codePage="65001" sourceFile="C:\Users\abottu\AppData\Local\Temp\RSP\ZPC_ORDERS.TXT" decimal="," thousands=".">
      <textFields count="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DMY"/>
        <textField type="DMY"/>
        <textField/>
      </textFields>
    </textPr>
  </connection>
  <connection id="6" name="ZPC_REQUIREMENTS" type="6" refreshedVersion="4" background="1" saveData="1">
    <textPr prompt="0" codePage="65001" sourceFile="C:\tmp\SapExl\ZPC_REQUIREMENTS.TXT" decimal="," thousands=".">
      <textFields count="23"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ZPC_STOCK" type="6" refreshedVersion="4" background="1" saveData="1">
    <textPr prompt="0" codePage="65001" sourceFile="C:\Users\abottu\AppData\Local\Temp\RSP\ZPC_STOCK.TXT" decimal="," thousands=".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<sst xmlns="http://schemas.openxmlformats.org/spreadsheetml/2006/main" count="4994" uniqueCount="1907">
  <si>
    <t>Report Features</t>
  </si>
  <si>
    <t xml:space="preserve">    Press F10 to launch Selection Screen</t>
  </si>
  <si>
    <t>ReportName</t>
  </si>
  <si>
    <t>ReportID</t>
  </si>
  <si>
    <t>Material</t>
  </si>
  <si>
    <t>Total Stock</t>
  </si>
  <si>
    <t>Prc</t>
  </si>
  <si>
    <t>NOK</t>
  </si>
  <si>
    <t>NOA104</t>
  </si>
  <si>
    <t>NOA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</si>
  <si>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</si>
  <si>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</si>
  <si>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</si>
  <si>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</si>
  <si>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</si>
  <si>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</si>
  <si>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</si>
  <si>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</si>
  <si>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</si>
  <si>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</si>
  <si>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</si>
  <si>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</si>
  <si>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</si>
  <si>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</si>
  <si>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AUD</t>
  </si>
  <si>
    <t>CAD</t>
  </si>
  <si>
    <t>CHF</t>
  </si>
  <si>
    <t>CZK</t>
  </si>
  <si>
    <t>DKK</t>
  </si>
  <si>
    <t>EUR</t>
  </si>
  <si>
    <t>GBP</t>
  </si>
  <si>
    <t>HUF</t>
  </si>
  <si>
    <t>JPY</t>
  </si>
  <si>
    <t>PLN</t>
  </si>
  <si>
    <t>SEK</t>
  </si>
  <si>
    <t>USD</t>
  </si>
  <si>
    <t>From</t>
  </si>
  <si>
    <t>To</t>
  </si>
  <si>
    <t>Valid from</t>
  </si>
  <si>
    <t>Profit Center</t>
  </si>
  <si>
    <t>Product hierarchy</t>
  </si>
  <si>
    <t>FieldName</t>
  </si>
  <si>
    <t>Plant</t>
  </si>
  <si>
    <t>Report Statistics</t>
  </si>
  <si>
    <t>QuantityUnit</t>
  </si>
  <si>
    <t>SalesValue</t>
  </si>
  <si>
    <t>CustomerHierarchy</t>
  </si>
  <si>
    <t>ProductHierarchy</t>
  </si>
  <si>
    <t>MaterialPrice</t>
  </si>
  <si>
    <t>Item</t>
  </si>
  <si>
    <t>Name 1</t>
  </si>
  <si>
    <t>SOrg.</t>
  </si>
  <si>
    <t>DChl</t>
  </si>
  <si>
    <t>Dv</t>
  </si>
  <si>
    <t>NOA108</t>
  </si>
  <si>
    <t>EX</t>
  </si>
  <si>
    <t>010010050003</t>
  </si>
  <si>
    <t>C</t>
  </si>
  <si>
    <t>A</t>
  </si>
  <si>
    <t>Andre</t>
  </si>
  <si>
    <t>010010050001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</si>
  <si>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</si>
  <si>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</si>
  <si>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</si>
  <si>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</si>
  <si>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</si>
  <si>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</si>
  <si>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</si>
  <si>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</si>
  <si>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</si>
  <si>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</si>
  <si>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Number of the level in the pro</t>
  </si>
  <si>
    <t>Level3</t>
  </si>
  <si>
    <t>Level2</t>
  </si>
  <si>
    <t>Level1</t>
  </si>
  <si>
    <t>01</t>
  </si>
  <si>
    <t>Ingredienser</t>
  </si>
  <si>
    <t>01001</t>
  </si>
  <si>
    <t>01001001</t>
  </si>
  <si>
    <t>Ekstrakter</t>
  </si>
  <si>
    <t>Customer</t>
  </si>
  <si>
    <t>Valid to</t>
  </si>
  <si>
    <t>HgLvCust.</t>
  </si>
  <si>
    <t>HLSOr</t>
  </si>
  <si>
    <t>HLDCh</t>
  </si>
  <si>
    <t>HLDiv</t>
  </si>
  <si>
    <t>RNo</t>
  </si>
  <si>
    <t>Reb.</t>
  </si>
  <si>
    <t>HA</t>
  </si>
  <si>
    <t>Cty</t>
  </si>
  <si>
    <t>DO</t>
  </si>
  <si>
    <t>NO</t>
  </si>
  <si>
    <t>COOP Norden</t>
  </si>
  <si>
    <t>COOP OBS!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</si>
  <si>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</si>
  <si>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</si>
  <si>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</si>
  <si>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</si>
  <si>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</si>
  <si>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</si>
  <si>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</si>
  <si>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</si>
  <si>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</si>
  <si>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</si>
  <si>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</si>
  <si>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</si>
  <si>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</si>
  <si>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</si>
  <si>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</si>
  <si>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</si>
  <si>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</si>
  <si>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</si>
  <si>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</si>
  <si>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</si>
  <si>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</si>
  <si>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</si>
  <si>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</si>
  <si>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</si>
  <si>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</si>
  <si>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020050030001</t>
  </si>
  <si>
    <t>Unil AS</t>
  </si>
  <si>
    <t>030010010003</t>
  </si>
  <si>
    <t>030010010002</t>
  </si>
  <si>
    <t>040030070001</t>
  </si>
  <si>
    <t>010010060003</t>
  </si>
  <si>
    <t>010010060005</t>
  </si>
  <si>
    <t>010010060004</t>
  </si>
  <si>
    <t>010010050002</t>
  </si>
  <si>
    <t>010010050004</t>
  </si>
  <si>
    <t>Nær Engros Levanger AS</t>
  </si>
  <si>
    <t>060030060002</t>
  </si>
  <si>
    <t>040050020099</t>
  </si>
  <si>
    <t>050020040001</t>
  </si>
  <si>
    <t>040040060003</t>
  </si>
  <si>
    <t>060030020004</t>
  </si>
  <si>
    <t>060030070001</t>
  </si>
  <si>
    <t>060030990002</t>
  </si>
  <si>
    <t>040040060001</t>
  </si>
  <si>
    <t>020030010001</t>
  </si>
  <si>
    <t>020030010002</t>
  </si>
  <si>
    <t>030030010003</t>
  </si>
  <si>
    <t>020030020005</t>
  </si>
  <si>
    <t>020010010007</t>
  </si>
  <si>
    <t>020030990006</t>
  </si>
  <si>
    <t>020030030001</t>
  </si>
  <si>
    <t>990990020001</t>
  </si>
  <si>
    <t>080010010005</t>
  </si>
  <si>
    <t>030040010003</t>
  </si>
  <si>
    <t>020040010001</t>
  </si>
  <si>
    <t>020040010002</t>
  </si>
  <si>
    <t>020040020004</t>
  </si>
  <si>
    <t>020050010001</t>
  </si>
  <si>
    <t>030040010002</t>
  </si>
  <si>
    <t>040040030001</t>
  </si>
  <si>
    <t>ServiceNord Engros AS</t>
  </si>
  <si>
    <t>030030010001</t>
  </si>
  <si>
    <t>060030060001</t>
  </si>
  <si>
    <t>040030040002</t>
  </si>
  <si>
    <t>020010010002</t>
  </si>
  <si>
    <t>020010010005</t>
  </si>
  <si>
    <t>020010010003</t>
  </si>
  <si>
    <t>990020030001</t>
  </si>
  <si>
    <t>040040010001</t>
  </si>
  <si>
    <t>040030010005</t>
  </si>
  <si>
    <t>040030010003</t>
  </si>
  <si>
    <t>050010010001</t>
  </si>
  <si>
    <t>Asko Norge AS</t>
  </si>
  <si>
    <t>Willys Agentur Engros AS</t>
  </si>
  <si>
    <t>Personalbutik Toro Arna.v/</t>
  </si>
  <si>
    <t>040050030001</t>
  </si>
  <si>
    <t>Nær Engros AS,  Namsos</t>
  </si>
  <si>
    <t>040030040001</t>
  </si>
  <si>
    <t>030040020099</t>
  </si>
  <si>
    <t>030040990099</t>
  </si>
  <si>
    <t>040050010001</t>
  </si>
  <si>
    <t>040040060002</t>
  </si>
  <si>
    <t>Måkestad Engros Øst A/S</t>
  </si>
  <si>
    <t>030040080003</t>
  </si>
  <si>
    <t>080010010002</t>
  </si>
  <si>
    <t>Asko Øst As</t>
  </si>
  <si>
    <t>040030990001</t>
  </si>
  <si>
    <t>060020010001</t>
  </si>
  <si>
    <t>060020020002</t>
  </si>
  <si>
    <t>040040020001</t>
  </si>
  <si>
    <t>090030010001</t>
  </si>
  <si>
    <t>Asko Rogaland As Avd. Skurve</t>
  </si>
  <si>
    <t>040050040001</t>
  </si>
  <si>
    <t>040050080001</t>
  </si>
  <si>
    <t>Asko Midt-Norge AS.Trondheim</t>
  </si>
  <si>
    <t>Nordnorsk Engros A/S</t>
  </si>
  <si>
    <t>Asko Drammen AS</t>
  </si>
  <si>
    <t>030020010001</t>
  </si>
  <si>
    <t>Vossafår</t>
  </si>
  <si>
    <t>Asko Hedmark AS  Avd. Brumunddal</t>
  </si>
  <si>
    <t>Arne Sjule A/S</t>
  </si>
  <si>
    <t>Rema Distribusjon Norge As, Langhus</t>
  </si>
  <si>
    <t>020040030002</t>
  </si>
  <si>
    <t>Asko Nord AS</t>
  </si>
  <si>
    <t>020990990001</t>
  </si>
  <si>
    <t>Rema Distr. Norge AS,  Vinterbro</t>
  </si>
  <si>
    <t>Asko Molde AS</t>
  </si>
  <si>
    <t>Rema Distr. Norge AS, Trondheim</t>
  </si>
  <si>
    <t>060020030002</t>
  </si>
  <si>
    <t>020040010003</t>
  </si>
  <si>
    <t>040020020005</t>
  </si>
  <si>
    <t>040020020004</t>
  </si>
  <si>
    <t>090010030001</t>
  </si>
  <si>
    <t>040040020005</t>
  </si>
  <si>
    <t>040040010002</t>
  </si>
  <si>
    <t>060020030001</t>
  </si>
  <si>
    <t>020040030001</t>
  </si>
  <si>
    <t>060020020001</t>
  </si>
  <si>
    <t>090010010001</t>
  </si>
  <si>
    <t>080010030002</t>
  </si>
  <si>
    <t>080010020099</t>
  </si>
  <si>
    <t>090020010001</t>
  </si>
  <si>
    <t>K. Ekrheim AS</t>
  </si>
  <si>
    <t>020010010009</t>
  </si>
  <si>
    <t>040020020003</t>
  </si>
  <si>
    <t>040020020002</t>
  </si>
  <si>
    <t>040030030001</t>
  </si>
  <si>
    <t>040030020002</t>
  </si>
  <si>
    <t>040020020001</t>
  </si>
  <si>
    <t>060010010002</t>
  </si>
  <si>
    <t>040040080001</t>
  </si>
  <si>
    <t>Måkestad Engros AS</t>
  </si>
  <si>
    <t>Asko Vestfold Telemark AS</t>
  </si>
  <si>
    <t>Asko Agder AS</t>
  </si>
  <si>
    <t>Asko Vest  AS</t>
  </si>
  <si>
    <t>020040030003</t>
  </si>
  <si>
    <t>060030020002</t>
  </si>
  <si>
    <t>060020010006</t>
  </si>
  <si>
    <t>040030020003</t>
  </si>
  <si>
    <t>Coop Norge Tromsø</t>
  </si>
  <si>
    <t>040050030002</t>
  </si>
  <si>
    <t>Ica Distribusjon A/s, Narvik</t>
  </si>
  <si>
    <t>060030050002</t>
  </si>
  <si>
    <t>Ica Distribusjon A/s, Tr.heim</t>
  </si>
  <si>
    <t>060020010005</t>
  </si>
  <si>
    <t>040040030002</t>
  </si>
  <si>
    <t>050020010001</t>
  </si>
  <si>
    <t>040030020001</t>
  </si>
  <si>
    <t>020010010004</t>
  </si>
  <si>
    <t>060020010003</t>
  </si>
  <si>
    <t>080010060002</t>
  </si>
  <si>
    <t>020040030004</t>
  </si>
  <si>
    <t>090010020001</t>
  </si>
  <si>
    <t>Bjørnulfs Engros AS</t>
  </si>
  <si>
    <t>Safari Engros AS</t>
  </si>
  <si>
    <t>040050010099</t>
  </si>
  <si>
    <t>040030040003</t>
  </si>
  <si>
    <t>080010060003</t>
  </si>
  <si>
    <t>050020020001</t>
  </si>
  <si>
    <t>040030030002</t>
  </si>
  <si>
    <t>040020020006</t>
  </si>
  <si>
    <t>040020020009</t>
  </si>
  <si>
    <t>990990010001</t>
  </si>
  <si>
    <t>Nær Engros Trondheim AS</t>
  </si>
  <si>
    <t>040030040005</t>
  </si>
  <si>
    <t>020030010003</t>
  </si>
  <si>
    <t>Ica Distribusjon A/s, Skårer</t>
  </si>
  <si>
    <t>Rema Distribusjon Norge As, Bergen</t>
  </si>
  <si>
    <t>Giørtz H.I. Sønner  AS</t>
  </si>
  <si>
    <t>Ica Distribusjon A/s, Bergen</t>
  </si>
  <si>
    <t>Coop Norge Bergen</t>
  </si>
  <si>
    <t>Asko Oppland As</t>
  </si>
  <si>
    <t>D. Danielsen A/S</t>
  </si>
  <si>
    <t>T.P. Engros A/S</t>
  </si>
  <si>
    <t>040030010001</t>
  </si>
  <si>
    <t>030010010004</t>
  </si>
  <si>
    <t>Rema Distr.  Norge As, Narvik</t>
  </si>
  <si>
    <t>020040010004</t>
  </si>
  <si>
    <t>Rema Distr. Norge AS, Stavanger</t>
  </si>
  <si>
    <t>Ica Distribusjon As Langhus</t>
  </si>
  <si>
    <t>040040020006</t>
  </si>
  <si>
    <t>Paul Nygaard A/S</t>
  </si>
  <si>
    <t>Coop Trondheim</t>
  </si>
  <si>
    <t>Coop Norge Stavanger</t>
  </si>
  <si>
    <t>Agder Grossisten AS</t>
  </si>
  <si>
    <t>Euro Supply Bergen AS Eksport</t>
  </si>
  <si>
    <t>Euro Supply Bergen AS</t>
  </si>
  <si>
    <t>Haugaland Storhusholdning AS</t>
  </si>
  <si>
    <t>Encon AS</t>
  </si>
  <si>
    <t>990020040001</t>
  </si>
  <si>
    <t>040030010004</t>
  </si>
  <si>
    <t>Coop Norge Oslo</t>
  </si>
  <si>
    <t>Bjørn Kristiansen AS</t>
  </si>
  <si>
    <t>Engrospartner AS</t>
  </si>
  <si>
    <t>Østfoldfrukt Mysen AS</t>
  </si>
  <si>
    <t>010010010001</t>
  </si>
  <si>
    <t>Kjøtt ekstrakt pulver</t>
  </si>
  <si>
    <t>010010010099</t>
  </si>
  <si>
    <t>Andre kjøtt ekstrakt pulver</t>
  </si>
  <si>
    <t>01001002</t>
  </si>
  <si>
    <t>HVP</t>
  </si>
  <si>
    <t>010010020001</t>
  </si>
  <si>
    <t>HVP flytende</t>
  </si>
  <si>
    <t>010010020002</t>
  </si>
  <si>
    <t>HVP pasta</t>
  </si>
  <si>
    <t>010010020003</t>
  </si>
  <si>
    <t>HVP pulver</t>
  </si>
  <si>
    <t>010010020099</t>
  </si>
  <si>
    <t>HVP Andre</t>
  </si>
  <si>
    <t>01001003</t>
  </si>
  <si>
    <t>Marine Ingredienser</t>
  </si>
  <si>
    <t>010010030001</t>
  </si>
  <si>
    <t>Marine pulvere</t>
  </si>
  <si>
    <t>010010030002</t>
  </si>
  <si>
    <t>Marine ekstrakter</t>
  </si>
  <si>
    <t>010010030099</t>
  </si>
  <si>
    <t>Marine Ingredienser andre</t>
  </si>
  <si>
    <t>01001004</t>
  </si>
  <si>
    <t>Granulater / Veg. Pulvere</t>
  </si>
  <si>
    <t>010010040001</t>
  </si>
  <si>
    <t>Gule erter hele</t>
  </si>
  <si>
    <t>010010040002</t>
  </si>
  <si>
    <t>Grønne erter hele</t>
  </si>
  <si>
    <t>010010040003</t>
  </si>
  <si>
    <t>Gult ertemel</t>
  </si>
  <si>
    <t>010010040004</t>
  </si>
  <si>
    <t>Grønt ertemel</t>
  </si>
  <si>
    <t>010010040099</t>
  </si>
  <si>
    <t>Granulater/ Veg.pulvere andre</t>
  </si>
  <si>
    <t>01001005</t>
  </si>
  <si>
    <t>Reaksjon Flavours</t>
  </si>
  <si>
    <t>Reaksjons flavour okse</t>
  </si>
  <si>
    <t>Reaksjons flavour kylling</t>
  </si>
  <si>
    <t>Reaksjons flavour kjøtt</t>
  </si>
  <si>
    <t>Reaksjons flavour svin</t>
  </si>
  <si>
    <t>010010050099</t>
  </si>
  <si>
    <t>Reaksjons flavour andre</t>
  </si>
  <si>
    <t>01001006</t>
  </si>
  <si>
    <t>Buljong &amp; Stocks</t>
  </si>
  <si>
    <t>010010060001</t>
  </si>
  <si>
    <t>Ind. Oksebuljong</t>
  </si>
  <si>
    <t>010010060002</t>
  </si>
  <si>
    <t>Ind. Kylling buljong</t>
  </si>
  <si>
    <t>Ind. Buljong annet kjøtt</t>
  </si>
  <si>
    <t>Ind. Buljong fisk &amp; skalldyr</t>
  </si>
  <si>
    <t>Ind. Grønnsakbuljong</t>
  </si>
  <si>
    <t>010010060099</t>
  </si>
  <si>
    <t>Ind. Buljon&amp; Stock andre</t>
  </si>
  <si>
    <t>01001007</t>
  </si>
  <si>
    <t>Kjøtt Ingredienser</t>
  </si>
  <si>
    <t>010010070001</t>
  </si>
  <si>
    <t>Oksepulver</t>
  </si>
  <si>
    <t>010010070002</t>
  </si>
  <si>
    <t>Kylling pulver</t>
  </si>
  <si>
    <t>010010070099</t>
  </si>
  <si>
    <t>Andre kjøtt ingredienser</t>
  </si>
  <si>
    <t>01001008</t>
  </si>
  <si>
    <t>Industrielle krydre</t>
  </si>
  <si>
    <t>010010080001</t>
  </si>
  <si>
    <t>Krydderblandinger</t>
  </si>
  <si>
    <t>010010080002</t>
  </si>
  <si>
    <t>Marinader flytende</t>
  </si>
  <si>
    <t>010010080003</t>
  </si>
  <si>
    <t>Marinader pulver</t>
  </si>
  <si>
    <t>010010080004</t>
  </si>
  <si>
    <t>Snack krydder</t>
  </si>
  <si>
    <t>010010080005</t>
  </si>
  <si>
    <t>Krydderaroma</t>
  </si>
  <si>
    <t>010010080006</t>
  </si>
  <si>
    <t>Hele krydre</t>
  </si>
  <si>
    <t>010010080007</t>
  </si>
  <si>
    <t>Prosess hjelpere</t>
  </si>
  <si>
    <t>010010080008</t>
  </si>
  <si>
    <t>Ind. pasta &amp; ris produkter</t>
  </si>
  <si>
    <t>010010080009</t>
  </si>
  <si>
    <t>Løk produkter</t>
  </si>
  <si>
    <t>010010080010</t>
  </si>
  <si>
    <t>Råvarer / skaffevarer</t>
  </si>
  <si>
    <t>010010080099</t>
  </si>
  <si>
    <t>Andre ind. Krydre</t>
  </si>
  <si>
    <t>01001099</t>
  </si>
  <si>
    <t>Andre Ingredienser</t>
  </si>
  <si>
    <t>010010990001</t>
  </si>
  <si>
    <t>Ind. Sauser</t>
  </si>
  <si>
    <t>010010990002</t>
  </si>
  <si>
    <t>Ind. Supper</t>
  </si>
  <si>
    <t>010010990003</t>
  </si>
  <si>
    <t>Spesial produkter ind</t>
  </si>
  <si>
    <t>010010990004</t>
  </si>
  <si>
    <t>Råvarer</t>
  </si>
  <si>
    <t>010010990005</t>
  </si>
  <si>
    <t>Ind. Stekt løk</t>
  </si>
  <si>
    <t>010010990099</t>
  </si>
  <si>
    <t>Andre Ind. Ingredienser</t>
  </si>
  <si>
    <t>02</t>
  </si>
  <si>
    <t>Smaksforsterkere</t>
  </si>
  <si>
    <t>02001</t>
  </si>
  <si>
    <t>Buljong</t>
  </si>
  <si>
    <t>02001001</t>
  </si>
  <si>
    <t>020010010001</t>
  </si>
  <si>
    <t>Buljong sterk</t>
  </si>
  <si>
    <t>Buljong kjøtt</t>
  </si>
  <si>
    <t>Buljong kylling</t>
  </si>
  <si>
    <t>Buljong vegetabils</t>
  </si>
  <si>
    <t>Buljong fisk</t>
  </si>
  <si>
    <t>020010010006</t>
  </si>
  <si>
    <t>Buljong saus</t>
  </si>
  <si>
    <t>Buljong andre</t>
  </si>
  <si>
    <t>020010010008</t>
  </si>
  <si>
    <t>Buljong vilt</t>
  </si>
  <si>
    <t>Buljong svin</t>
  </si>
  <si>
    <t>02001099</t>
  </si>
  <si>
    <t>Andre Buljong</t>
  </si>
  <si>
    <t>02002</t>
  </si>
  <si>
    <t>Stekt Løk</t>
  </si>
  <si>
    <t>02002001</t>
  </si>
  <si>
    <t>Tradisjonell Stekt Løk</t>
  </si>
  <si>
    <t>020020010001</t>
  </si>
  <si>
    <t>Klassisk stekt løk</t>
  </si>
  <si>
    <t>02002002</t>
  </si>
  <si>
    <t>Stekt Løk m/Aroma</t>
  </si>
  <si>
    <t>02002099</t>
  </si>
  <si>
    <t>Andre Stekt Løk</t>
  </si>
  <si>
    <t>02003</t>
  </si>
  <si>
    <t>Krydder</t>
  </si>
  <si>
    <t>02003001</t>
  </si>
  <si>
    <t>Tørt Krydder</t>
  </si>
  <si>
    <t>Enkelt krydder</t>
  </si>
  <si>
    <t>Krydderblanding</t>
  </si>
  <si>
    <t>Krydder kvern</t>
  </si>
  <si>
    <t>020030010004</t>
  </si>
  <si>
    <t>Vegeta - klassisk</t>
  </si>
  <si>
    <t>020030010005</t>
  </si>
  <si>
    <t>Vegeta - blandinger</t>
  </si>
  <si>
    <t>020030010006</t>
  </si>
  <si>
    <t>Garnello</t>
  </si>
  <si>
    <t>020030010007</t>
  </si>
  <si>
    <t>Spice Mixes Tex-Mex</t>
  </si>
  <si>
    <t>020030010008</t>
  </si>
  <si>
    <t>Horeca spice mixes</t>
  </si>
  <si>
    <t>02003002</t>
  </si>
  <si>
    <t>Flytende Krydder</t>
  </si>
  <si>
    <t>020030020001</t>
  </si>
  <si>
    <t>Suppekrydder</t>
  </si>
  <si>
    <t>020030020002</t>
  </si>
  <si>
    <t>Grill oljer</t>
  </si>
  <si>
    <t>020030020003</t>
  </si>
  <si>
    <t>Soyasaus</t>
  </si>
  <si>
    <t>020030020004</t>
  </si>
  <si>
    <t>Worchester</t>
  </si>
  <si>
    <t>Marinade</t>
  </si>
  <si>
    <t>020030020006</t>
  </si>
  <si>
    <t>Chilli saus</t>
  </si>
  <si>
    <t>020030020007</t>
  </si>
  <si>
    <t>Salatdressinger</t>
  </si>
  <si>
    <t>020030020099</t>
  </si>
  <si>
    <t>Andre flytende krydder</t>
  </si>
  <si>
    <t>02003003</t>
  </si>
  <si>
    <t>Konservert krydder</t>
  </si>
  <si>
    <t>Urter i Olje</t>
  </si>
  <si>
    <t>020030030002</t>
  </si>
  <si>
    <t>Hakket krydder</t>
  </si>
  <si>
    <t>02003099</t>
  </si>
  <si>
    <t>Andre Krydder</t>
  </si>
  <si>
    <t>020030990001</t>
  </si>
  <si>
    <t>Sitronsyre</t>
  </si>
  <si>
    <t>020030990002</t>
  </si>
  <si>
    <t>Glukose</t>
  </si>
  <si>
    <t>020030990003</t>
  </si>
  <si>
    <t>Hvitt Sukker</t>
  </si>
  <si>
    <t>020030990004</t>
  </si>
  <si>
    <t>Gelatin</t>
  </si>
  <si>
    <t>020030990005</t>
  </si>
  <si>
    <t>Fortykningsmiddel sylting</t>
  </si>
  <si>
    <t>Sukkerkulør</t>
  </si>
  <si>
    <t>020030990007</t>
  </si>
  <si>
    <t>Jevning</t>
  </si>
  <si>
    <t>020030990008</t>
  </si>
  <si>
    <t>Horeca roux</t>
  </si>
  <si>
    <t>02004</t>
  </si>
  <si>
    <t>Sauser</t>
  </si>
  <si>
    <t>02004001</t>
  </si>
  <si>
    <t>Middagssaus</t>
  </si>
  <si>
    <t>Kjøtt saus</t>
  </si>
  <si>
    <t>Fiske saus</t>
  </si>
  <si>
    <t>Kylling saus</t>
  </si>
  <si>
    <t>Andre middagssauser</t>
  </si>
  <si>
    <t>020040010005</t>
  </si>
  <si>
    <t>Horeca dinner sauces</t>
  </si>
  <si>
    <t>02004002</t>
  </si>
  <si>
    <t>Sauser Ferdige</t>
  </si>
  <si>
    <t>020040020001</t>
  </si>
  <si>
    <t>Kjøtt saus instant</t>
  </si>
  <si>
    <t>020040020002</t>
  </si>
  <si>
    <t>Fiske saus instant</t>
  </si>
  <si>
    <t>020040020003</t>
  </si>
  <si>
    <t>Kylling saus instant</t>
  </si>
  <si>
    <t>Andre sauser instant</t>
  </si>
  <si>
    <t>02004003</t>
  </si>
  <si>
    <t>Integrerte sauser</t>
  </si>
  <si>
    <t>Pizza sauser</t>
  </si>
  <si>
    <t>Pasta sauser</t>
  </si>
  <si>
    <t>Tradisjonell integrerte sauser</t>
  </si>
  <si>
    <t>Etniske integrerte sauser</t>
  </si>
  <si>
    <t>020040030005</t>
  </si>
  <si>
    <t>Andre integrerte sauser</t>
  </si>
  <si>
    <t>02004099</t>
  </si>
  <si>
    <t>Andre Sauser</t>
  </si>
  <si>
    <t>020040990001</t>
  </si>
  <si>
    <t>Andre sauser</t>
  </si>
  <si>
    <t>02005</t>
  </si>
  <si>
    <t>Dressing &amp; Dip</t>
  </si>
  <si>
    <t>02005001</t>
  </si>
  <si>
    <t>Dressing</t>
  </si>
  <si>
    <t>02005002</t>
  </si>
  <si>
    <t>Ketchup</t>
  </si>
  <si>
    <t>020050020001</t>
  </si>
  <si>
    <t>Ketchup klassisk</t>
  </si>
  <si>
    <t>020050020002</t>
  </si>
  <si>
    <t>Tomat pasta</t>
  </si>
  <si>
    <t>02005003</t>
  </si>
  <si>
    <t>Majones</t>
  </si>
  <si>
    <t>Majones klassisk</t>
  </si>
  <si>
    <t>02005004</t>
  </si>
  <si>
    <t>Sennep</t>
  </si>
  <si>
    <t>020050040001</t>
  </si>
  <si>
    <t>Sennep klassisk</t>
  </si>
  <si>
    <t>02005005</t>
  </si>
  <si>
    <t>Grill saus</t>
  </si>
  <si>
    <t>020050050001</t>
  </si>
  <si>
    <t>02005006</t>
  </si>
  <si>
    <t>Dip</t>
  </si>
  <si>
    <t>020050060001</t>
  </si>
  <si>
    <t>02005007</t>
  </si>
  <si>
    <t>balsamico</t>
  </si>
  <si>
    <t>020050070001</t>
  </si>
  <si>
    <t>Balsamico bianco</t>
  </si>
  <si>
    <t>020050070002</t>
  </si>
  <si>
    <t>Aceto balsamico</t>
  </si>
  <si>
    <t>02005099</t>
  </si>
  <si>
    <t>Andre Dressing &amp; Dip</t>
  </si>
  <si>
    <t>020050990001</t>
  </si>
  <si>
    <t>Grønnsakspasta</t>
  </si>
  <si>
    <t>02006</t>
  </si>
  <si>
    <t>oil</t>
  </si>
  <si>
    <t>02006001</t>
  </si>
  <si>
    <t>olive oil</t>
  </si>
  <si>
    <t>020060010001</t>
  </si>
  <si>
    <t>Extra virgin olive oil</t>
  </si>
  <si>
    <t>020060010002</t>
  </si>
  <si>
    <t>Sansa olive oil</t>
  </si>
  <si>
    <t>02099</t>
  </si>
  <si>
    <t>Andre Smaksforsterkere</t>
  </si>
  <si>
    <t>02099099</t>
  </si>
  <si>
    <t>Krutonger</t>
  </si>
  <si>
    <t>020990990002</t>
  </si>
  <si>
    <t>Andre smaksforsterkere</t>
  </si>
  <si>
    <t>03</t>
  </si>
  <si>
    <t>Salater</t>
  </si>
  <si>
    <t>03001</t>
  </si>
  <si>
    <t>03001001</t>
  </si>
  <si>
    <t>Potetsalat</t>
  </si>
  <si>
    <t>030010010001</t>
  </si>
  <si>
    <t>Marine Salater</t>
  </si>
  <si>
    <t>Kjøtt / Veg. Salater</t>
  </si>
  <si>
    <t>Fruktsalater</t>
  </si>
  <si>
    <t>030010010099</t>
  </si>
  <si>
    <t>Andre mb salater</t>
  </si>
  <si>
    <t>03001002</t>
  </si>
  <si>
    <t>03002</t>
  </si>
  <si>
    <t>Kjøttpålegg</t>
  </si>
  <si>
    <t>03002001</t>
  </si>
  <si>
    <t>03003</t>
  </si>
  <si>
    <t>Søte pålegg</t>
  </si>
  <si>
    <t>03003001</t>
  </si>
  <si>
    <t>Syltetøy / honning</t>
  </si>
  <si>
    <t>Syltetøy lavkalori</t>
  </si>
  <si>
    <t>030030010002</t>
  </si>
  <si>
    <t>Syltetøy</t>
  </si>
  <si>
    <t>Honning</t>
  </si>
  <si>
    <t>03003099</t>
  </si>
  <si>
    <t>Andre søte pålegg</t>
  </si>
  <si>
    <t>030030990099</t>
  </si>
  <si>
    <t>03004</t>
  </si>
  <si>
    <t>Marine pålegg</t>
  </si>
  <si>
    <t>03004001</t>
  </si>
  <si>
    <t>Sild</t>
  </si>
  <si>
    <t>030040010001</t>
  </si>
  <si>
    <t>Sild Hele</t>
  </si>
  <si>
    <t>Sild Filet</t>
  </si>
  <si>
    <t>Sild i Biter</t>
  </si>
  <si>
    <t>030040010004</t>
  </si>
  <si>
    <t>Kippers</t>
  </si>
  <si>
    <t>030040010005</t>
  </si>
  <si>
    <t>Sild Coctail</t>
  </si>
  <si>
    <t>03004002</t>
  </si>
  <si>
    <t>Makrell</t>
  </si>
  <si>
    <t>030040020001</t>
  </si>
  <si>
    <t>Makrell Filet</t>
  </si>
  <si>
    <t>Makrell Andre</t>
  </si>
  <si>
    <t>03004003</t>
  </si>
  <si>
    <t>Sardiner</t>
  </si>
  <si>
    <t>030040030001</t>
  </si>
  <si>
    <t>Baltiske sardiner</t>
  </si>
  <si>
    <t>030040030002</t>
  </si>
  <si>
    <t>Brisling sardiner</t>
  </si>
  <si>
    <t>030040030003</t>
  </si>
  <si>
    <t>Sild sardiner</t>
  </si>
  <si>
    <t>030040030004</t>
  </si>
  <si>
    <t>Skinn-/benløse sardiner</t>
  </si>
  <si>
    <t>03004004</t>
  </si>
  <si>
    <t>Tunfisk</t>
  </si>
  <si>
    <t>030040040001</t>
  </si>
  <si>
    <t>Tunfisk hel</t>
  </si>
  <si>
    <t>030040040002</t>
  </si>
  <si>
    <t>Tunfisk stykker</t>
  </si>
  <si>
    <t>030040040003</t>
  </si>
  <si>
    <t>Tunfisk filet</t>
  </si>
  <si>
    <t>030040040004</t>
  </si>
  <si>
    <t>Tunfisk m/aroma</t>
  </si>
  <si>
    <t>03004005</t>
  </si>
  <si>
    <t>Fiske salat</t>
  </si>
  <si>
    <t>030040050001</t>
  </si>
  <si>
    <t>030040050002</t>
  </si>
  <si>
    <t>Paprykarz</t>
  </si>
  <si>
    <t>030040050003</t>
  </si>
  <si>
    <t>Pasta</t>
  </si>
  <si>
    <t>03004006</t>
  </si>
  <si>
    <t>Torskeprodukter</t>
  </si>
  <si>
    <t>030040060001</t>
  </si>
  <si>
    <t>Torskelever</t>
  </si>
  <si>
    <t>030040060002</t>
  </si>
  <si>
    <t>Torskeleverpate</t>
  </si>
  <si>
    <t>030040060003</t>
  </si>
  <si>
    <t>Torskerogn</t>
  </si>
  <si>
    <t>030040060099</t>
  </si>
  <si>
    <t>Torsk andre</t>
  </si>
  <si>
    <t>03004007</t>
  </si>
  <si>
    <t>Laks</t>
  </si>
  <si>
    <t>030040070001</t>
  </si>
  <si>
    <t>Laksefilet</t>
  </si>
  <si>
    <t>030040070099</t>
  </si>
  <si>
    <t>Laks andre</t>
  </si>
  <si>
    <t>03004008</t>
  </si>
  <si>
    <t>Ansjos</t>
  </si>
  <si>
    <t>030040080001</t>
  </si>
  <si>
    <t>Ansjos flat</t>
  </si>
  <si>
    <t>030040080002</t>
  </si>
  <si>
    <t>Ansjos rullet</t>
  </si>
  <si>
    <t>03004009</t>
  </si>
  <si>
    <t>Kaviar</t>
  </si>
  <si>
    <t>030040090001</t>
  </si>
  <si>
    <t>03004010</t>
  </si>
  <si>
    <t>Crab-Sticks</t>
  </si>
  <si>
    <t>030040100001</t>
  </si>
  <si>
    <t>03004011</t>
  </si>
  <si>
    <t>Pate</t>
  </si>
  <si>
    <t>030040110001</t>
  </si>
  <si>
    <t>03004099</t>
  </si>
  <si>
    <t>Andre Sjømat</t>
  </si>
  <si>
    <t>030040990001</t>
  </si>
  <si>
    <t>Karpe</t>
  </si>
  <si>
    <t>030040990002</t>
  </si>
  <si>
    <t>Flyndre</t>
  </si>
  <si>
    <t>Andre sjømat</t>
  </si>
  <si>
    <t>03099</t>
  </si>
  <si>
    <t>Andre salater</t>
  </si>
  <si>
    <t>03099099</t>
  </si>
  <si>
    <t>Andre Salater</t>
  </si>
  <si>
    <t>030990990001</t>
  </si>
  <si>
    <t>Andre pålegg</t>
  </si>
  <si>
    <t>04</t>
  </si>
  <si>
    <t>Måltider</t>
  </si>
  <si>
    <t>04001</t>
  </si>
  <si>
    <t>* Kits</t>
  </si>
  <si>
    <t>04001001</t>
  </si>
  <si>
    <t>040010010001</t>
  </si>
  <si>
    <t>* Lasagne</t>
  </si>
  <si>
    <t>04002</t>
  </si>
  <si>
    <t>Suppe</t>
  </si>
  <si>
    <t>04002001</t>
  </si>
  <si>
    <t>* Middagssuppe</t>
  </si>
  <si>
    <t>040020010001</t>
  </si>
  <si>
    <t>* Tradisjonelle Supper</t>
  </si>
  <si>
    <t>04002002</t>
  </si>
  <si>
    <t>Middagssupper</t>
  </si>
  <si>
    <t>Kjøtt suppe</t>
  </si>
  <si>
    <t>Fiske suppe</t>
  </si>
  <si>
    <t>Kylling suppe</t>
  </si>
  <si>
    <t>Tomatsuppe</t>
  </si>
  <si>
    <t>Grønnsak suppe</t>
  </si>
  <si>
    <t>Belgfrukt suppe</t>
  </si>
  <si>
    <t>040020020007</t>
  </si>
  <si>
    <t>Gulasj</t>
  </si>
  <si>
    <t>040020020008</t>
  </si>
  <si>
    <t>Dumpling</t>
  </si>
  <si>
    <t>Kremet andre</t>
  </si>
  <si>
    <t>040020020010</t>
  </si>
  <si>
    <t>Andre Middags Supper</t>
  </si>
  <si>
    <t>04002003</t>
  </si>
  <si>
    <t>* Ferdig Supper</t>
  </si>
  <si>
    <t>040020030001</t>
  </si>
  <si>
    <t>* Konserverte Supper</t>
  </si>
  <si>
    <t>04002004</t>
  </si>
  <si>
    <t>Suppe basis</t>
  </si>
  <si>
    <t>040020040001</t>
  </si>
  <si>
    <t>Pastøse supper</t>
  </si>
  <si>
    <t>04002099</t>
  </si>
  <si>
    <t>Andre Supper</t>
  </si>
  <si>
    <t>040020990001</t>
  </si>
  <si>
    <t>Andre supper</t>
  </si>
  <si>
    <t>04003</t>
  </si>
  <si>
    <t>Tilbehør</t>
  </si>
  <si>
    <t>04003001</t>
  </si>
  <si>
    <t>Spagetti</t>
  </si>
  <si>
    <t>040030010002</t>
  </si>
  <si>
    <t>Makaroni</t>
  </si>
  <si>
    <t>Formet makaroni korte</t>
  </si>
  <si>
    <t>Formet makaroni lange</t>
  </si>
  <si>
    <t>Formet makaroni plater</t>
  </si>
  <si>
    <t>04003002</t>
  </si>
  <si>
    <t>Potetprodukter</t>
  </si>
  <si>
    <t>Potetstappe</t>
  </si>
  <si>
    <t>Gratinerte poteter</t>
  </si>
  <si>
    <t>Raspeballer / dumplings</t>
  </si>
  <si>
    <t>040030020004</t>
  </si>
  <si>
    <t>Dumpling andre</t>
  </si>
  <si>
    <t>040030020005</t>
  </si>
  <si>
    <t>Potet andre</t>
  </si>
  <si>
    <t>04003003</t>
  </si>
  <si>
    <t>Stuinger</t>
  </si>
  <si>
    <t>Stuinger andre</t>
  </si>
  <si>
    <t>04003004</t>
  </si>
  <si>
    <t>Ris</t>
  </si>
  <si>
    <t>Ris normal</t>
  </si>
  <si>
    <t>Ris hurtig</t>
  </si>
  <si>
    <t>Grøt ris (rundkornet)</t>
  </si>
  <si>
    <t>040030040004</t>
  </si>
  <si>
    <t>Ris m/aroma</t>
  </si>
  <si>
    <t>Ris etnisk</t>
  </si>
  <si>
    <t>040030040006</t>
  </si>
  <si>
    <t>Ris other</t>
  </si>
  <si>
    <t>04003005</t>
  </si>
  <si>
    <t>Belgfrukter</t>
  </si>
  <si>
    <t>040030050001</t>
  </si>
  <si>
    <t>Linser</t>
  </si>
  <si>
    <t>040030050002</t>
  </si>
  <si>
    <t>Bønner</t>
  </si>
  <si>
    <t>040030050003</t>
  </si>
  <si>
    <t>Erter</t>
  </si>
  <si>
    <t>040030050004</t>
  </si>
  <si>
    <t>Belgfrukter andre</t>
  </si>
  <si>
    <t>04003006</t>
  </si>
  <si>
    <t>Grønnsaker</t>
  </si>
  <si>
    <t>040030060001</t>
  </si>
  <si>
    <t>04003007</t>
  </si>
  <si>
    <t>Salat</t>
  </si>
  <si>
    <t>04003099</t>
  </si>
  <si>
    <t>Andre Tilbehør</t>
  </si>
  <si>
    <t>04004</t>
  </si>
  <si>
    <t>Middagsretter</t>
  </si>
  <si>
    <t>04004001</t>
  </si>
  <si>
    <t>Gryter</t>
  </si>
  <si>
    <t>Hermetiske Grønnsak- &amp; Kjøttretter</t>
  </si>
  <si>
    <t>040040010003</t>
  </si>
  <si>
    <t>Fix</t>
  </si>
  <si>
    <t>040040010004</t>
  </si>
  <si>
    <t>Saus</t>
  </si>
  <si>
    <t>040040010005</t>
  </si>
  <si>
    <t>Kits</t>
  </si>
  <si>
    <t>04004002</t>
  </si>
  <si>
    <t>Lasagne</t>
  </si>
  <si>
    <t>040040020002</t>
  </si>
  <si>
    <t>Mousaka</t>
  </si>
  <si>
    <t>040040020003</t>
  </si>
  <si>
    <t>Pizza kits</t>
  </si>
  <si>
    <t>040040020004</t>
  </si>
  <si>
    <t>Wrap kits</t>
  </si>
  <si>
    <t>Etniske andre kits</t>
  </si>
  <si>
    <t>Andre kits</t>
  </si>
  <si>
    <t>04004003</t>
  </si>
  <si>
    <t>Grøt</t>
  </si>
  <si>
    <t>Ris grøt</t>
  </si>
  <si>
    <t>Rømmegrøt</t>
  </si>
  <si>
    <t>040040030003</t>
  </si>
  <si>
    <t>Korn grøt</t>
  </si>
  <si>
    <t>040040030004</t>
  </si>
  <si>
    <t>Annen grøt</t>
  </si>
  <si>
    <t>04004004</t>
  </si>
  <si>
    <t>* Middagshermetikk</t>
  </si>
  <si>
    <t>04004005</t>
  </si>
  <si>
    <t>* Wraps</t>
  </si>
  <si>
    <t>04004006</t>
  </si>
  <si>
    <t>Hoved måltidsingrediens</t>
  </si>
  <si>
    <t>Fylt Pasta</t>
  </si>
  <si>
    <t>Fylte Ruller</t>
  </si>
  <si>
    <t>Fisk</t>
  </si>
  <si>
    <t>040040060004</t>
  </si>
  <si>
    <t>Kjøtt</t>
  </si>
  <si>
    <t>040040060005</t>
  </si>
  <si>
    <t>Kylling / Kalkun</t>
  </si>
  <si>
    <t>04004007</t>
  </si>
  <si>
    <t>Ris retter</t>
  </si>
  <si>
    <t>040040070001</t>
  </si>
  <si>
    <t>Risotto</t>
  </si>
  <si>
    <t>04004008</t>
  </si>
  <si>
    <t>Pasta retter</t>
  </si>
  <si>
    <t>Pastaretter</t>
  </si>
  <si>
    <t>04004099</t>
  </si>
  <si>
    <t>Andre Middagsretter</t>
  </si>
  <si>
    <t>040040990001</t>
  </si>
  <si>
    <t>* Ferdige Sauser m/kjøtt</t>
  </si>
  <si>
    <t>04005</t>
  </si>
  <si>
    <t>Komplette Middagsretter</t>
  </si>
  <si>
    <t>04005001</t>
  </si>
  <si>
    <t>Ovns basert komplette retter</t>
  </si>
  <si>
    <t>Andre ovnsbakte komplette retter</t>
  </si>
  <si>
    <t>04005002</t>
  </si>
  <si>
    <t>Panne baserte komplette retter</t>
  </si>
  <si>
    <t>040050020001</t>
  </si>
  <si>
    <t>040050020002</t>
  </si>
  <si>
    <t>Andre panne baserte måltider</t>
  </si>
  <si>
    <t>04005003</t>
  </si>
  <si>
    <t>Risgrøt</t>
  </si>
  <si>
    <t>04005004</t>
  </si>
  <si>
    <t>Gryteretter</t>
  </si>
  <si>
    <t>04005005</t>
  </si>
  <si>
    <t>Supper</t>
  </si>
  <si>
    <t>040050050001</t>
  </si>
  <si>
    <t>Kjøttsuppe</t>
  </si>
  <si>
    <t>040050050002</t>
  </si>
  <si>
    <t>040050050003</t>
  </si>
  <si>
    <t>040050050004</t>
  </si>
  <si>
    <t>04005008</t>
  </si>
  <si>
    <t>04006</t>
  </si>
  <si>
    <t>Frokostretter Basis</t>
  </si>
  <si>
    <t>04006001</t>
  </si>
  <si>
    <t>04099</t>
  </si>
  <si>
    <t>Andre Måltider</t>
  </si>
  <si>
    <t>04099001</t>
  </si>
  <si>
    <t>Spreads</t>
  </si>
  <si>
    <t>040990010001</t>
  </si>
  <si>
    <t>040990010002</t>
  </si>
  <si>
    <t>Lard</t>
  </si>
  <si>
    <t>05</t>
  </si>
  <si>
    <t>Desserer</t>
  </si>
  <si>
    <t>05001</t>
  </si>
  <si>
    <t>Dessert Tilbehør</t>
  </si>
  <si>
    <t>05001001</t>
  </si>
  <si>
    <t>Flytende Dessert Saus</t>
  </si>
  <si>
    <t>Dessert sauser</t>
  </si>
  <si>
    <t>05001099</t>
  </si>
  <si>
    <t>Andre Dessert Tilbehør</t>
  </si>
  <si>
    <t>050010990001</t>
  </si>
  <si>
    <t>Topping krem erstatning</t>
  </si>
  <si>
    <t>05002</t>
  </si>
  <si>
    <t>Dessert</t>
  </si>
  <si>
    <t>05002001</t>
  </si>
  <si>
    <t>Dessert Suppe</t>
  </si>
  <si>
    <t>Dessert suppe, kokt</t>
  </si>
  <si>
    <t>05002002</t>
  </si>
  <si>
    <t>Gele</t>
  </si>
  <si>
    <t>Tradisjonell Gele</t>
  </si>
  <si>
    <t>050020020002</t>
  </si>
  <si>
    <t>Instant Gele</t>
  </si>
  <si>
    <t>05002003</t>
  </si>
  <si>
    <t>Puddinger</t>
  </si>
  <si>
    <t>050020030001</t>
  </si>
  <si>
    <t>Tradisjonelle Puddinger</t>
  </si>
  <si>
    <t>050020030002</t>
  </si>
  <si>
    <t>Instant Puddinger</t>
  </si>
  <si>
    <t>05002004</t>
  </si>
  <si>
    <t>Mousse / fromasj</t>
  </si>
  <si>
    <t>Mousse, pisket</t>
  </si>
  <si>
    <t>05002005</t>
  </si>
  <si>
    <t>Kisiel</t>
  </si>
  <si>
    <t>050020050001</t>
  </si>
  <si>
    <t>Tradisjonell Kisiel</t>
  </si>
  <si>
    <t>050020050002</t>
  </si>
  <si>
    <t>Instant Kisiel</t>
  </si>
  <si>
    <t>05002099</t>
  </si>
  <si>
    <t>Andre Dessert Pulvere</t>
  </si>
  <si>
    <t>050020990001</t>
  </si>
  <si>
    <t>Piskede Toppings</t>
  </si>
  <si>
    <t>05003</t>
  </si>
  <si>
    <t>Andre Desserter</t>
  </si>
  <si>
    <t>05003099</t>
  </si>
  <si>
    <t>050030990001</t>
  </si>
  <si>
    <t>Bokshermetisk frukt</t>
  </si>
  <si>
    <t>050030990002</t>
  </si>
  <si>
    <t>Frukt kompott</t>
  </si>
  <si>
    <t>06</t>
  </si>
  <si>
    <t>Bake Produkter</t>
  </si>
  <si>
    <t>06001</t>
  </si>
  <si>
    <t>Bake Tilbehør</t>
  </si>
  <si>
    <t>06001001</t>
  </si>
  <si>
    <t>Kake Fyll / Toppinger</t>
  </si>
  <si>
    <t>060010010001</t>
  </si>
  <si>
    <t>Kake Fyll</t>
  </si>
  <si>
    <t>Kake Glasur</t>
  </si>
  <si>
    <t>060010010003</t>
  </si>
  <si>
    <t>Kake Dekor</t>
  </si>
  <si>
    <t>06001002</t>
  </si>
  <si>
    <t>Kake ingredienser</t>
  </si>
  <si>
    <t>060010020001</t>
  </si>
  <si>
    <t>Kake Aroma</t>
  </si>
  <si>
    <t>060010020002</t>
  </si>
  <si>
    <t>Vanilje Sukker</t>
  </si>
  <si>
    <t>060010020003</t>
  </si>
  <si>
    <t>Bake Pulver</t>
  </si>
  <si>
    <t>060010020004</t>
  </si>
  <si>
    <t>Natron</t>
  </si>
  <si>
    <t>060010020005</t>
  </si>
  <si>
    <t>Sukker med flavour</t>
  </si>
  <si>
    <t>06001003</t>
  </si>
  <si>
    <t>060010030001</t>
  </si>
  <si>
    <t>Gelatin Pulver</t>
  </si>
  <si>
    <t>06001099</t>
  </si>
  <si>
    <t>Andre Bake Tilbehør</t>
  </si>
  <si>
    <t>060010990001</t>
  </si>
  <si>
    <t>06002</t>
  </si>
  <si>
    <t>Bake Blandinger</t>
  </si>
  <si>
    <t>06002001</t>
  </si>
  <si>
    <t>Kake Blandinger</t>
  </si>
  <si>
    <t>Tradisjonelle Kakeblandinger</t>
  </si>
  <si>
    <t>060020010002</t>
  </si>
  <si>
    <t>Kake Kits</t>
  </si>
  <si>
    <t>Oste Kaker</t>
  </si>
  <si>
    <t>060020010004</t>
  </si>
  <si>
    <t>Karpatka</t>
  </si>
  <si>
    <t>Muffins</t>
  </si>
  <si>
    <t>Andre kake blandinger</t>
  </si>
  <si>
    <t>06002002</t>
  </si>
  <si>
    <t>Brødblandinger</t>
  </si>
  <si>
    <t>Brødblandinger traditonal</t>
  </si>
  <si>
    <t>Pizza bunn</t>
  </si>
  <si>
    <t>06002003</t>
  </si>
  <si>
    <t>Rører</t>
  </si>
  <si>
    <t>Vaffel rører</t>
  </si>
  <si>
    <t>Pannekake rører</t>
  </si>
  <si>
    <t>060020030003</t>
  </si>
  <si>
    <t>Andre rører</t>
  </si>
  <si>
    <t>06002099</t>
  </si>
  <si>
    <t>Andre Bakeblandinger</t>
  </si>
  <si>
    <t>060020990001</t>
  </si>
  <si>
    <t>Mel</t>
  </si>
  <si>
    <t>06003</t>
  </si>
  <si>
    <t>Ferdigbakst</t>
  </si>
  <si>
    <t>06003001</t>
  </si>
  <si>
    <t>Kjeks</t>
  </si>
  <si>
    <t>060030010001</t>
  </si>
  <si>
    <t>06003002</t>
  </si>
  <si>
    <t>Kaker</t>
  </si>
  <si>
    <t>060030020001</t>
  </si>
  <si>
    <t>Sandkaker</t>
  </si>
  <si>
    <t>Formkaker</t>
  </si>
  <si>
    <t>060030020003</t>
  </si>
  <si>
    <t>Småkaker</t>
  </si>
  <si>
    <t>Andre Kaker</t>
  </si>
  <si>
    <t>06003003</t>
  </si>
  <si>
    <t>Pannekake</t>
  </si>
  <si>
    <t>060030030001</t>
  </si>
  <si>
    <t>06003004</t>
  </si>
  <si>
    <t>Sukkerbrødkake</t>
  </si>
  <si>
    <t>060030040001</t>
  </si>
  <si>
    <t>Vanlig Sukkerbrødkake</t>
  </si>
  <si>
    <t>060030040002</t>
  </si>
  <si>
    <t>Kits Sukkerbrødkake</t>
  </si>
  <si>
    <t>06003005</t>
  </si>
  <si>
    <t>Lefse</t>
  </si>
  <si>
    <t>060030050001</t>
  </si>
  <si>
    <t>Tacos</t>
  </si>
  <si>
    <t>Tortillas / Wraps</t>
  </si>
  <si>
    <t>06003006</t>
  </si>
  <si>
    <t>Smurt lefse</t>
  </si>
  <si>
    <t>06003007</t>
  </si>
  <si>
    <t>Krem / Konfektkake</t>
  </si>
  <si>
    <t>060030070002</t>
  </si>
  <si>
    <t>Dessert pie cakes</t>
  </si>
  <si>
    <t>06003008</t>
  </si>
  <si>
    <t>Rullekake</t>
  </si>
  <si>
    <t>060030080001</t>
  </si>
  <si>
    <t>06003009</t>
  </si>
  <si>
    <t>060030090001</t>
  </si>
  <si>
    <t>06003099</t>
  </si>
  <si>
    <t>Andre Ferdigkaker</t>
  </si>
  <si>
    <t>060030990001</t>
  </si>
  <si>
    <t>Snack Cakes</t>
  </si>
  <si>
    <t>06099</t>
  </si>
  <si>
    <t>Andre Bake Produkter</t>
  </si>
  <si>
    <t>06099099</t>
  </si>
  <si>
    <t>060990990001</t>
  </si>
  <si>
    <t>Drops</t>
  </si>
  <si>
    <t>07</t>
  </si>
  <si>
    <t>Snacks</t>
  </si>
  <si>
    <t>07001</t>
  </si>
  <si>
    <t>Nøtter</t>
  </si>
  <si>
    <t>07001001</t>
  </si>
  <si>
    <t>Vanlige Peanøtter</t>
  </si>
  <si>
    <t>070010010001</t>
  </si>
  <si>
    <t>Urensede peanutter</t>
  </si>
  <si>
    <t>070010010002</t>
  </si>
  <si>
    <t>Saltet peanøtter</t>
  </si>
  <si>
    <t>070010010003</t>
  </si>
  <si>
    <t>Smakstilsatte peanøtter</t>
  </si>
  <si>
    <t>07001002</t>
  </si>
  <si>
    <t>Pistasje Nøtter</t>
  </si>
  <si>
    <t>070010020001</t>
  </si>
  <si>
    <t>Pistasje nøtter</t>
  </si>
  <si>
    <t>07001003</t>
  </si>
  <si>
    <t>Cashewi Nøtter</t>
  </si>
  <si>
    <t>070010030001</t>
  </si>
  <si>
    <t>Cahew nøtter</t>
  </si>
  <si>
    <t>07001099</t>
  </si>
  <si>
    <t>Andre Peanøtter</t>
  </si>
  <si>
    <t>070010990001</t>
  </si>
  <si>
    <t>Andre peanøtter</t>
  </si>
  <si>
    <t>07002</t>
  </si>
  <si>
    <t>Saltstenger</t>
  </si>
  <si>
    <t>07002001</t>
  </si>
  <si>
    <t>070020010001</t>
  </si>
  <si>
    <t>07002002</t>
  </si>
  <si>
    <t>Saltstenger m/Aroma</t>
  </si>
  <si>
    <t>070020020001</t>
  </si>
  <si>
    <t>Saltstenger m/Krydder</t>
  </si>
  <si>
    <t>070020020002</t>
  </si>
  <si>
    <t>Saltstenger m/Valmuefrø</t>
  </si>
  <si>
    <t>07002099</t>
  </si>
  <si>
    <t>Andre Saltstenger</t>
  </si>
  <si>
    <t>07099</t>
  </si>
  <si>
    <t>Andre Snacks</t>
  </si>
  <si>
    <t>07099099</t>
  </si>
  <si>
    <t>Potet chips</t>
  </si>
  <si>
    <t>070990990001</t>
  </si>
  <si>
    <t>Nachos</t>
  </si>
  <si>
    <t>08</t>
  </si>
  <si>
    <t>Sjømat KO</t>
  </si>
  <si>
    <t>08001</t>
  </si>
  <si>
    <t>Hermetisk Sjømat</t>
  </si>
  <si>
    <t>08001001</t>
  </si>
  <si>
    <t>080010010001</t>
  </si>
  <si>
    <t>080010010003</t>
  </si>
  <si>
    <t>Sild Stykker</t>
  </si>
  <si>
    <t>080010010004</t>
  </si>
  <si>
    <t>Sild Coctails</t>
  </si>
  <si>
    <t>08001002</t>
  </si>
  <si>
    <t>080010020001</t>
  </si>
  <si>
    <t>08001003</t>
  </si>
  <si>
    <t>080010030001</t>
  </si>
  <si>
    <t>Baltiske Sardiner</t>
  </si>
  <si>
    <t>Brisling Sardiner</t>
  </si>
  <si>
    <t>080010030003</t>
  </si>
  <si>
    <t>Silde Sardiner</t>
  </si>
  <si>
    <t>080010030004</t>
  </si>
  <si>
    <t>Skinn/Benløse Sardiner</t>
  </si>
  <si>
    <t>08001004</t>
  </si>
  <si>
    <t>080010040001</t>
  </si>
  <si>
    <t>Ren Tunfisk</t>
  </si>
  <si>
    <t>080010040002</t>
  </si>
  <si>
    <t>Blandet Tunfisk</t>
  </si>
  <si>
    <t>080010040003</t>
  </si>
  <si>
    <t>Lagvis Tunfisk</t>
  </si>
  <si>
    <t>080010040004</t>
  </si>
  <si>
    <t>Krydret Tunfisk</t>
  </si>
  <si>
    <t>08001005</t>
  </si>
  <si>
    <t>Fiskesalater</t>
  </si>
  <si>
    <t>080010050001</t>
  </si>
  <si>
    <t>Fiskesalat</t>
  </si>
  <si>
    <t>080010050002</t>
  </si>
  <si>
    <t>080010050003</t>
  </si>
  <si>
    <t>08001006</t>
  </si>
  <si>
    <t>080010060001</t>
  </si>
  <si>
    <t>Torskelever Pate</t>
  </si>
  <si>
    <t>080010060099</t>
  </si>
  <si>
    <t>Torsk Andre</t>
  </si>
  <si>
    <t>08001007</t>
  </si>
  <si>
    <t>080010070001</t>
  </si>
  <si>
    <t>080010070099</t>
  </si>
  <si>
    <t>Laks Andre</t>
  </si>
  <si>
    <t>08001008</t>
  </si>
  <si>
    <t>080010080001</t>
  </si>
  <si>
    <t>Flat Ansjos</t>
  </si>
  <si>
    <t>080010080002</t>
  </si>
  <si>
    <t>Rull Ansjos</t>
  </si>
  <si>
    <t>08001099</t>
  </si>
  <si>
    <t>080010990001</t>
  </si>
  <si>
    <t>080010990002</t>
  </si>
  <si>
    <t>080010990003</t>
  </si>
  <si>
    <t>Panga</t>
  </si>
  <si>
    <t>080010990099</t>
  </si>
  <si>
    <t>08002</t>
  </si>
  <si>
    <t>Kjølt Sjømat</t>
  </si>
  <si>
    <t>08002001</t>
  </si>
  <si>
    <t>080020010001</t>
  </si>
  <si>
    <t>080020010002</t>
  </si>
  <si>
    <t>Fiske pålegg</t>
  </si>
  <si>
    <t>080020010003</t>
  </si>
  <si>
    <t>Kaviar pålegg</t>
  </si>
  <si>
    <t>080020010004</t>
  </si>
  <si>
    <t>Annet fiske pålegg</t>
  </si>
  <si>
    <t>08099</t>
  </si>
  <si>
    <t>08099099</t>
  </si>
  <si>
    <t>09</t>
  </si>
  <si>
    <t>Snacking</t>
  </si>
  <si>
    <t>09001</t>
  </si>
  <si>
    <t>Snacking Måltid</t>
  </si>
  <si>
    <t>09001001</t>
  </si>
  <si>
    <t>Snacking Pasta</t>
  </si>
  <si>
    <t>09001002</t>
  </si>
  <si>
    <t>Snacking Ris</t>
  </si>
  <si>
    <t>09001003</t>
  </si>
  <si>
    <t>Snacking Potet</t>
  </si>
  <si>
    <t>09001004</t>
  </si>
  <si>
    <t>Snacking Andre</t>
  </si>
  <si>
    <t>09002</t>
  </si>
  <si>
    <t>Snacking Supper</t>
  </si>
  <si>
    <t>09002001</t>
  </si>
  <si>
    <t>09003</t>
  </si>
  <si>
    <t>Snacking Nudler</t>
  </si>
  <si>
    <t>09003001</t>
  </si>
  <si>
    <t>09004</t>
  </si>
  <si>
    <t>Snacking Søtt</t>
  </si>
  <si>
    <t>09004001</t>
  </si>
  <si>
    <t>090040010001</t>
  </si>
  <si>
    <t>99</t>
  </si>
  <si>
    <t>99002</t>
  </si>
  <si>
    <t>Drikker</t>
  </si>
  <si>
    <t>99002001</t>
  </si>
  <si>
    <t>Kaffe</t>
  </si>
  <si>
    <t>99002002</t>
  </si>
  <si>
    <t>Te</t>
  </si>
  <si>
    <t>990020020001</t>
  </si>
  <si>
    <t>Te i pose</t>
  </si>
  <si>
    <t>99002003</t>
  </si>
  <si>
    <t>Sjokoladedrikk</t>
  </si>
  <si>
    <t>99002004</t>
  </si>
  <si>
    <t>Fruktdrikk</t>
  </si>
  <si>
    <t>Solbærtoddy</t>
  </si>
  <si>
    <t>99002005</t>
  </si>
  <si>
    <t>Kalde Drikker</t>
  </si>
  <si>
    <t>990020050001</t>
  </si>
  <si>
    <t>Kalde Drikkeblandinger</t>
  </si>
  <si>
    <t>99002006</t>
  </si>
  <si>
    <t>Cereal Kaffe</t>
  </si>
  <si>
    <t>990020060001</t>
  </si>
  <si>
    <t>Cereal Kaffe Tradisjonell</t>
  </si>
  <si>
    <t>990020060002</t>
  </si>
  <si>
    <t>Anatol</t>
  </si>
  <si>
    <t>990020060003</t>
  </si>
  <si>
    <t>Andre Frokosdrikker</t>
  </si>
  <si>
    <t>990020060004</t>
  </si>
  <si>
    <t>Chicory</t>
  </si>
  <si>
    <t>99002007</t>
  </si>
  <si>
    <t>Tilsetning til drikke</t>
  </si>
  <si>
    <t>990020070001</t>
  </si>
  <si>
    <t>Tilsetning til kaffe</t>
  </si>
  <si>
    <t>99002099</t>
  </si>
  <si>
    <t>Andre Drikker</t>
  </si>
  <si>
    <t>99003</t>
  </si>
  <si>
    <t>Frokost Retter</t>
  </si>
  <si>
    <t>99003001</t>
  </si>
  <si>
    <t>Frokostblandinger</t>
  </si>
  <si>
    <t>990030010001</t>
  </si>
  <si>
    <t>Ferdige Frokostblandinger</t>
  </si>
  <si>
    <t>99003099</t>
  </si>
  <si>
    <t>Andre Frokostblandinger</t>
  </si>
  <si>
    <t>990030990001</t>
  </si>
  <si>
    <t>99090</t>
  </si>
  <si>
    <t>Non-core Biprodukter</t>
  </si>
  <si>
    <t>99090001</t>
  </si>
  <si>
    <t>Sjømat Biprodukter</t>
  </si>
  <si>
    <t>99091</t>
  </si>
  <si>
    <t>Non-core Ingredienser</t>
  </si>
  <si>
    <t>99091001</t>
  </si>
  <si>
    <t>Råmaterialer</t>
  </si>
  <si>
    <t>990910010001</t>
  </si>
  <si>
    <t>99091002</t>
  </si>
  <si>
    <t>Halvfabrikata</t>
  </si>
  <si>
    <t>990910020001</t>
  </si>
  <si>
    <t>99095</t>
  </si>
  <si>
    <t>Tilleggsprodukter</t>
  </si>
  <si>
    <t>99095001</t>
  </si>
  <si>
    <t>Paller</t>
  </si>
  <si>
    <t>990950010001</t>
  </si>
  <si>
    <t>99095002</t>
  </si>
  <si>
    <t>Reklamemateriale</t>
  </si>
  <si>
    <t>99095003</t>
  </si>
  <si>
    <t>Emballasje</t>
  </si>
  <si>
    <t>990950030001</t>
  </si>
  <si>
    <t>99099</t>
  </si>
  <si>
    <t>Andre Andre</t>
  </si>
  <si>
    <t>99099001</t>
  </si>
  <si>
    <t>Mat</t>
  </si>
  <si>
    <t>99099002</t>
  </si>
  <si>
    <t>Non-Food</t>
  </si>
  <si>
    <t>99099099</t>
  </si>
  <si>
    <t>COOP MEGA</t>
  </si>
  <si>
    <t>COOP PRIX</t>
  </si>
  <si>
    <t>COOP MARKED</t>
  </si>
  <si>
    <t>COOP ANNEN DAGLIGVARE</t>
  </si>
  <si>
    <t>COOP ØVRIGE/FELLES</t>
  </si>
  <si>
    <t>X</t>
  </si>
  <si>
    <t>ICA / Ahold international</t>
  </si>
  <si>
    <t>RIMI-BUTIKKENE</t>
  </si>
  <si>
    <t>ICA NORGE AS</t>
  </si>
  <si>
    <t>ICA ØVRIGE BUTIKKER</t>
  </si>
  <si>
    <t>LIVI NÆRKJØP</t>
  </si>
  <si>
    <t>SERVICE MAT NORD</t>
  </si>
  <si>
    <t>LIVI ASSOSIERTE</t>
  </si>
  <si>
    <t>ICA NÆR BUTIKKENE</t>
  </si>
  <si>
    <t>ICA RETT HJEM</t>
  </si>
  <si>
    <t>ICA BUTIKKENE</t>
  </si>
  <si>
    <t>MEKKA HAKON DETALJ REG. BERGEN</t>
  </si>
  <si>
    <t>HERKULES GRUPPEN</t>
  </si>
  <si>
    <t>MAXI</t>
  </si>
  <si>
    <t>FOKUS VEST HAKON GRUPPEN</t>
  </si>
  <si>
    <t>NETTO HAKON DET.REG NORD</t>
  </si>
  <si>
    <t>Norgesgruppen Internasional</t>
  </si>
  <si>
    <t>H.K. (HEDMARK KJØPM)</t>
  </si>
  <si>
    <t>ULTRA CENTRA</t>
  </si>
  <si>
    <t>BUNNPRIS</t>
  </si>
  <si>
    <t>CC MARTN AS</t>
  </si>
  <si>
    <t>PRICE CLUB NORGE AS</t>
  </si>
  <si>
    <t>DRAGESET SUPER SPAR AS</t>
  </si>
  <si>
    <t>SAFARI AS</t>
  </si>
  <si>
    <t>NORGESGRUPPEN ENKELTSTÅENDE</t>
  </si>
  <si>
    <t>BIKUBEN DRIFT AS</t>
  </si>
  <si>
    <t>MENY AS</t>
  </si>
  <si>
    <t>NÆRMAT</t>
  </si>
  <si>
    <t>EVENSEN &amp; LORENTZEN</t>
  </si>
  <si>
    <t>KJØPMANNSKJED. VEST</t>
  </si>
  <si>
    <t>KIWI NORGE AS</t>
  </si>
  <si>
    <t>SPAR ASSOSIERTE/ØVR.</t>
  </si>
  <si>
    <t>NÆRKJØPMENN UPROFILERTE</t>
  </si>
  <si>
    <t>SPAR BUTIKKENE</t>
  </si>
  <si>
    <t>BUTIKKRINGEN ØSTLANDET AS</t>
  </si>
  <si>
    <t>JOKER</t>
  </si>
  <si>
    <t>LØNNE</t>
  </si>
  <si>
    <t>AKA BUTIKKENE</t>
  </si>
  <si>
    <t>EUROSPAR BUTIKKENE</t>
  </si>
  <si>
    <t>NÆRBUTIKKEN</t>
  </si>
  <si>
    <t>FAKTA-KJEDEN</t>
  </si>
  <si>
    <t>SAFARI-BUTIKKENE</t>
  </si>
  <si>
    <t>FOKUS VEST A/L HORDALAND</t>
  </si>
  <si>
    <t>PRIMA</t>
  </si>
  <si>
    <t>HK KJEDEN HEDMARK KJØPMENN</t>
  </si>
  <si>
    <t>SERVICE BUTIKK H.K.</t>
  </si>
  <si>
    <t>REMA International</t>
  </si>
  <si>
    <t>REMA 1000 BUTIKKENE</t>
  </si>
  <si>
    <t>REMA STORMARKED</t>
  </si>
  <si>
    <t>REMA B-SORTIMENT FIKTIV</t>
  </si>
  <si>
    <t>OFFENTLIG SEKTOR</t>
  </si>
  <si>
    <t>OS - Fylkeskommuner</t>
  </si>
  <si>
    <t>ØSTFOLD FYLKESKOMMUNE</t>
  </si>
  <si>
    <t>AKERSHUS FYLKESKOMMUNE</t>
  </si>
  <si>
    <t>HEDMARK / OPPLAND FYLKESKOMMUNE</t>
  </si>
  <si>
    <t>BUSKERUD FYLKESKOMMUNE</t>
  </si>
  <si>
    <t>VESTFOLD FYLKESKOMMUNE</t>
  </si>
  <si>
    <t>TELEMARK FYLKESKOMMUNE</t>
  </si>
  <si>
    <t>AUST-AGDER FYLKESKOMMUNE</t>
  </si>
  <si>
    <t>VEST-AGDER FYLKESKOMMUNE</t>
  </si>
  <si>
    <t>ROGALAND FYLKESKOMMUNE</t>
  </si>
  <si>
    <t>HORDALAND FYLKESKOMMUNE</t>
  </si>
  <si>
    <t>SOGN OG FJORDANE FYLKESKOMMUNE</t>
  </si>
  <si>
    <t>MØRE OG ROMSDAL FYLKESKOMMUNE</t>
  </si>
  <si>
    <t>SØR-TRØNDELAG / NORD-TRØNDELAG FYLK</t>
  </si>
  <si>
    <t>NORDLAND FYLKESKOMMUNE</t>
  </si>
  <si>
    <t>TROMS FYLKESKOMMUNE</t>
  </si>
  <si>
    <t>FINNMARK FYLKESKOMMUNE</t>
  </si>
  <si>
    <t>HELSE NORD</t>
  </si>
  <si>
    <t>HELSE ØST</t>
  </si>
  <si>
    <t>HELSE SØR</t>
  </si>
  <si>
    <t>HELSE MIDT NORGE</t>
  </si>
  <si>
    <t>OS - Bykommuner</t>
  </si>
  <si>
    <t>FREDRIKSTAD KOMMUNE</t>
  </si>
  <si>
    <t>BERGEN KOMMUNE</t>
  </si>
  <si>
    <t>OSLO KOMMUNE</t>
  </si>
  <si>
    <t>KONGSVINGER KOMMUNE</t>
  </si>
  <si>
    <t>KONGSBERG KOMMUNE</t>
  </si>
  <si>
    <t>KRISTIANSAND KOMMUNE</t>
  </si>
  <si>
    <t>BODØ KOMMUNE</t>
  </si>
  <si>
    <t>OS - Div.institusjoner</t>
  </si>
  <si>
    <t>FENGSELSVESENET</t>
  </si>
  <si>
    <t>OS - Forsvaret</t>
  </si>
  <si>
    <t>FORSVARET ØST</t>
  </si>
  <si>
    <t>FORSVARET VEST</t>
  </si>
  <si>
    <t>FORSVARET TRØNDELAG</t>
  </si>
  <si>
    <t>FORSVARET NORD-NORGE</t>
  </si>
  <si>
    <t>Helse Vest</t>
  </si>
  <si>
    <t>KANTINEOPERATØRER OG CATERINGBEDRIF</t>
  </si>
  <si>
    <t>KC - Regionale kantiner</t>
  </si>
  <si>
    <t>CHALK GRUPPEN</t>
  </si>
  <si>
    <t>ISS CATERING, OSLO</t>
  </si>
  <si>
    <t>SODEXHO CATER</t>
  </si>
  <si>
    <t>ROARS KANTINETJENESTE A/S, OSLO</t>
  </si>
  <si>
    <t>GRESS-GRUPPEN</t>
  </si>
  <si>
    <t>GRØDEGÅRD</t>
  </si>
  <si>
    <t>SERVERINGSPARTNER</t>
  </si>
  <si>
    <t>AMICA AS</t>
  </si>
  <si>
    <t>GRESSGRUPPEN  GRESS NETT</t>
  </si>
  <si>
    <t>ELITE SERVICEPARTNER</t>
  </si>
  <si>
    <t>KANTINER, STUDENTSAMSKIPNADER OG SK</t>
  </si>
  <si>
    <t>KSS - Regionale kantiner</t>
  </si>
  <si>
    <t>KANTINEGRUPPEN NORGE</t>
  </si>
  <si>
    <t>MANPOWER</t>
  </si>
  <si>
    <t>NORSK HYDRO</t>
  </si>
  <si>
    <t>KANTINERINGEN</t>
  </si>
  <si>
    <t>PROCURO SERVICEPARTNER</t>
  </si>
  <si>
    <t>KSS - Lokale kantiner</t>
  </si>
  <si>
    <t>SAGA PETROLEUM 1 OG 2</t>
  </si>
  <si>
    <t>WILSERVICE</t>
  </si>
  <si>
    <t>KSS - Studentsamskipnaden</t>
  </si>
  <si>
    <t>STUDENTSAMSKIPNADENE I NORGE</t>
  </si>
  <si>
    <t>TRAFIKKSELSKAPER OG REDERIER</t>
  </si>
  <si>
    <t>TR - Rederier</t>
  </si>
  <si>
    <t>HURTIGRUTENE</t>
  </si>
  <si>
    <t>FYLKESBÅTANE I SOGN OG FJORDANE</t>
  </si>
  <si>
    <t>COLOR LINE</t>
  </si>
  <si>
    <t>HOTELL OG RESTAURANTER / KAFÈER</t>
  </si>
  <si>
    <t>HR - Regionale kjeder</t>
  </si>
  <si>
    <t>BEST WESTERN HOTELS NORWAY</t>
  </si>
  <si>
    <t>UMO CATERING</t>
  </si>
  <si>
    <t>KYSTEN RUNDT / NIRINGEN</t>
  </si>
  <si>
    <t>HAKON MENY INNKJØP A/S</t>
  </si>
  <si>
    <t>Servicegrossistene</t>
  </si>
  <si>
    <t>SAMKJØPSGRUPPEN A/S, TRONDHEIM</t>
  </si>
  <si>
    <t>BY THE WAY</t>
  </si>
  <si>
    <t>NORES A/L</t>
  </si>
  <si>
    <t>KINSARVIK FJORDHOTELL</t>
  </si>
  <si>
    <t>SERVERINGSRINGEN</t>
  </si>
  <si>
    <t>COOP AVTALEKUNDER MINDRE KJEDER</t>
  </si>
  <si>
    <t>GILBERG KJØTTOMSETNING</t>
  </si>
  <si>
    <t>REISELIVSCOMPAGNIET</t>
  </si>
  <si>
    <t>KRISTEN-NORGES INNKJØPSFELLESSKAP</t>
  </si>
  <si>
    <t>SCANDIC HOTEL</t>
  </si>
  <si>
    <t>FIRST HOTEL</t>
  </si>
  <si>
    <t>SYSTEMKJØP BA</t>
  </si>
  <si>
    <t>RBL INNKJØPSRING / FOS / NHRF</t>
  </si>
  <si>
    <t>KONSUMGRUPPEN</t>
  </si>
  <si>
    <t>CHOISE HOTELS</t>
  </si>
  <si>
    <t>NORGESGRUPPEN STORHUSHOLDNING INNKJ</t>
  </si>
  <si>
    <t>I.M.S. KJEDEN</t>
  </si>
  <si>
    <t>CE-KJEDEN</t>
  </si>
  <si>
    <t>KONSMO`S AGENTUR</t>
  </si>
  <si>
    <t>DE 3 STUER</t>
  </si>
  <si>
    <t>NORGESGRUPPEN  BUTIKKER</t>
  </si>
  <si>
    <t>BROBEKK / KJØRBEKK STORCASH</t>
  </si>
  <si>
    <t>ASKO KJELDSBERG STORCASH</t>
  </si>
  <si>
    <t>FORUS STORCASH</t>
  </si>
  <si>
    <t>ASKO HANNEVIK STORCASH</t>
  </si>
  <si>
    <t>STORCASH, ROGALAND</t>
  </si>
  <si>
    <t>HR - Lokale bedrifter</t>
  </si>
  <si>
    <t>BOLKESJØ TURSITHOTELL</t>
  </si>
  <si>
    <t>MYKLEGÅRD VEISERVICE</t>
  </si>
  <si>
    <t>KRISTIANSAND DYREPARK</t>
  </si>
  <si>
    <t>MULTI FOOD AS</t>
  </si>
  <si>
    <t>FAST FOOD / GATEKJØKKEN</t>
  </si>
  <si>
    <t>FG - Lokale bedrifter</t>
  </si>
  <si>
    <t>SNADDERKIOSKEN, KRISTIANSAND</t>
  </si>
  <si>
    <t>SKIPSHANDLERE, DIV KUNDER, GEBYRER</t>
  </si>
  <si>
    <t>Skipshandlere</t>
  </si>
  <si>
    <t>STEFFENSEN SKIPS A/S, ÅLESUND</t>
  </si>
  <si>
    <t>NORSK OFFSHORE, KRÆMER &amp; GIERTSEN</t>
  </si>
  <si>
    <t>NORSK OFFSHORE, FRED.HANSEN &amp; KAADA</t>
  </si>
  <si>
    <t>NORSK OFFSHORE, D.DANIELSEN</t>
  </si>
  <si>
    <t>NORSK OFFSHORE, TP ENGROS</t>
  </si>
  <si>
    <t>NORSK OFFSHORE, SAFARI ENGROS DA</t>
  </si>
  <si>
    <t>EURO SUPPLY</t>
  </si>
  <si>
    <t>SJUR LOTHE SKIPSHANDEL</t>
  </si>
  <si>
    <t>NORSK OFFSHORE, TORGERSEN</t>
  </si>
  <si>
    <t>NORSK OFFSHORE, P. NYGAARD</t>
  </si>
  <si>
    <t>NORSK OFFSHORE, ASKO HANNEVIK</t>
  </si>
  <si>
    <t>NORSK OFFSHORE, ASKO ROGALAND</t>
  </si>
  <si>
    <t>NORSK OFFSHORE, DANCERT KROHN A.S.</t>
  </si>
  <si>
    <t>NORSK OFFSHORE, ASKO KJELDSBERG</t>
  </si>
  <si>
    <t>GIERTSEN (Asko Nord)</t>
  </si>
  <si>
    <t>Diverse kunder, gebyrer og varestat</t>
  </si>
  <si>
    <t>DIVERSE KUNDER</t>
  </si>
  <si>
    <t>ICA Supermarked</t>
  </si>
  <si>
    <t>ICA Nær</t>
  </si>
  <si>
    <t>Bergen Kokkenes Mesterlaug</t>
  </si>
  <si>
    <t>Multi Food As</t>
  </si>
  <si>
    <t>Andre Norge</t>
  </si>
  <si>
    <t>Andre Norden</t>
  </si>
  <si>
    <t>Smart Club Norge</t>
  </si>
  <si>
    <t>Smart Club Norden</t>
  </si>
  <si>
    <t>Color line Norge</t>
  </si>
  <si>
    <t>Color Line international</t>
  </si>
  <si>
    <t>Grossistringen Norge</t>
  </si>
  <si>
    <t>Grossistringen international</t>
  </si>
  <si>
    <t>Europris Norge</t>
  </si>
  <si>
    <t>Europris International</t>
  </si>
  <si>
    <t>COOP Norge</t>
  </si>
  <si>
    <t>ICA Norge</t>
  </si>
  <si>
    <t>Menigo FS Norge</t>
  </si>
  <si>
    <t>Norgesgruppen Norge</t>
  </si>
  <si>
    <t>REMA Norge</t>
  </si>
  <si>
    <t>Lidl Norge</t>
  </si>
  <si>
    <t>LIDL International</t>
  </si>
  <si>
    <t>Andre Øst</t>
  </si>
  <si>
    <t>Andre Nord</t>
  </si>
  <si>
    <t>Smart Club East</t>
  </si>
  <si>
    <t>Smart Club West</t>
  </si>
  <si>
    <t>Color Line Øst</t>
  </si>
  <si>
    <t>Color Line Vest</t>
  </si>
  <si>
    <t>Grossistringen Øst</t>
  </si>
  <si>
    <t>Grossistringen Vest</t>
  </si>
  <si>
    <t>Europris Øst</t>
  </si>
  <si>
    <t>Europris Vest</t>
  </si>
  <si>
    <t>COOP ØST</t>
  </si>
  <si>
    <t>COOP Vest</t>
  </si>
  <si>
    <t>COOP Nord</t>
  </si>
  <si>
    <t>ICA Distr ØST</t>
  </si>
  <si>
    <t>ICA Distr Vest</t>
  </si>
  <si>
    <t>ICA Distr Nord</t>
  </si>
  <si>
    <t>Menigo FS Øst</t>
  </si>
  <si>
    <t>Menigo FS Vest</t>
  </si>
  <si>
    <t>Menigo FS Nord</t>
  </si>
  <si>
    <t>NG ØST</t>
  </si>
  <si>
    <t>NG Vest</t>
  </si>
  <si>
    <t>NG Nord</t>
  </si>
  <si>
    <t>REMA ØST</t>
  </si>
  <si>
    <t>REMA Vest</t>
  </si>
  <si>
    <t>REMA Nord</t>
  </si>
  <si>
    <t>LIDL Øst</t>
  </si>
  <si>
    <t>LIDL Vest</t>
  </si>
  <si>
    <t>LIDL Nord</t>
  </si>
  <si>
    <t>Coop Norge Handel AS</t>
  </si>
  <si>
    <t>Sjur Lothe Skipsh. AS KONKURS MARS</t>
  </si>
  <si>
    <t>Selboe &amp; Aasebø AS</t>
  </si>
  <si>
    <t>Østlandets Engros AS</t>
  </si>
  <si>
    <t>ICA Norge AS Logistikk</t>
  </si>
  <si>
    <t>Menigo Foodservice avd. Trondheim.</t>
  </si>
  <si>
    <t>Menigo Foodservice, avd. Oslo</t>
  </si>
  <si>
    <t>Menigo Foodservice, avd. Bergen</t>
  </si>
  <si>
    <t>Ica Meny Sør A/s Kristians.</t>
  </si>
  <si>
    <t>Menigo Foodservice Norge AS</t>
  </si>
  <si>
    <t>Asko Vest AS, avd. Storhusholdning</t>
  </si>
  <si>
    <t>Lidl Norge NUF</t>
  </si>
  <si>
    <t>Rema Distr. Norge AS, Molde</t>
  </si>
  <si>
    <t>Smart Club Alnabru (Coop)</t>
  </si>
  <si>
    <t>Smart Club  Trondheim (Coop)</t>
  </si>
  <si>
    <t>Smart Club Råde (Coop)</t>
  </si>
  <si>
    <t>Smart Club Slependen (Coop)</t>
  </si>
  <si>
    <t>Helios Distribusjon AS Konk. mai 08</t>
  </si>
  <si>
    <t>Pals  A/S</t>
  </si>
  <si>
    <t>Konsmos Agentur v/Finn Konsmo</t>
  </si>
  <si>
    <t>Jonassen &amp; Compani A/s</t>
  </si>
  <si>
    <t>Matglede As</t>
  </si>
  <si>
    <t>Handelshuset Nærbakst As</t>
  </si>
  <si>
    <t>Kristiania Brød Gourmet AS</t>
  </si>
  <si>
    <t>Kraemer Maritime Vest AS</t>
  </si>
  <si>
    <t>Henskjold H.I., Eftf. As</t>
  </si>
  <si>
    <t>Solberg &amp; Hansen As</t>
  </si>
  <si>
    <t>Alna Margarinfabrik  As</t>
  </si>
  <si>
    <t>Matpartner As</t>
  </si>
  <si>
    <t>Personalbutikk Denja</t>
  </si>
  <si>
    <t>Personalbutikk Rieber Elverum</t>
  </si>
  <si>
    <t>Bakers National</t>
  </si>
  <si>
    <t>Bakers International</t>
  </si>
  <si>
    <t>Nortura Nasjonal</t>
  </si>
  <si>
    <t>Nortura Internasjonal</t>
  </si>
  <si>
    <t>Findus National</t>
  </si>
  <si>
    <t>Findus International</t>
  </si>
  <si>
    <t>Krone/Finsbråten National</t>
  </si>
  <si>
    <t>Krone/Finsbråten Int. Dummy</t>
  </si>
  <si>
    <t>Mills National</t>
  </si>
  <si>
    <t>Mills International</t>
  </si>
  <si>
    <t>NOPO National</t>
  </si>
  <si>
    <t>NOPO International</t>
  </si>
  <si>
    <t>Orkla National</t>
  </si>
  <si>
    <t>ORKLA International</t>
  </si>
  <si>
    <t>GRILSTAD National</t>
  </si>
  <si>
    <t>GRILSTAD Internationl</t>
  </si>
  <si>
    <t>Tine National</t>
  </si>
  <si>
    <t>TINE International</t>
  </si>
  <si>
    <t>Trønder/Jær National</t>
  </si>
  <si>
    <t>Trønder/Jær International</t>
  </si>
  <si>
    <t>Bakers Regional</t>
  </si>
  <si>
    <t>Findus Regional</t>
  </si>
  <si>
    <t>Krone/Finsbråten Regional</t>
  </si>
  <si>
    <t>Mills Regional</t>
  </si>
  <si>
    <t>NOPO Regional</t>
  </si>
  <si>
    <t>GRILSTAD Regional</t>
  </si>
  <si>
    <t>Tine Reginonal</t>
  </si>
  <si>
    <t>Trønder/Jær regional</t>
  </si>
  <si>
    <t>Singsås Bakeri AS</t>
  </si>
  <si>
    <t>Bakers avd. Berthas Bakeri</t>
  </si>
  <si>
    <t>Nortura SA Sogndal</t>
  </si>
  <si>
    <t>Nortura SA Lillehammer</t>
  </si>
  <si>
    <t>Nortura BA avd. Tønsberg</t>
  </si>
  <si>
    <t>Nortura BA avd. Forus</t>
  </si>
  <si>
    <t>Nortura BA avd. Trondheim</t>
  </si>
  <si>
    <t>Nortura BA Avd. Bardufoss</t>
  </si>
  <si>
    <t>Nortura BA avd. Rudshøgda</t>
  </si>
  <si>
    <t>Nortura SA Tynset</t>
  </si>
  <si>
    <t>Nortura BA avd. Gol</t>
  </si>
  <si>
    <t>Nortura BA   Avd. Eidsvåg</t>
  </si>
  <si>
    <t>Nortura BA avd. Sarpsborg</t>
  </si>
  <si>
    <t>Terina As, avd.  Namsos</t>
  </si>
  <si>
    <t>Nortura BA  avd. Harstad</t>
  </si>
  <si>
    <t>Gro Industrier AS Avd. Brummundal</t>
  </si>
  <si>
    <t>Gro Industrier As</t>
  </si>
  <si>
    <t>Gro Industr. Avd Grimstad</t>
  </si>
  <si>
    <t>Gro Industrier Avd. Lier</t>
  </si>
  <si>
    <t>Krone Kjøttprodukter AS</t>
  </si>
  <si>
    <t>Finsbråten As</t>
  </si>
  <si>
    <t>Mills Da Oslo</t>
  </si>
  <si>
    <t>Mills DA Drammen</t>
  </si>
  <si>
    <t>Mills Da  Avd. Lillehammer</t>
  </si>
  <si>
    <t>Hoff Norske Potetindustri SA Avd. S</t>
  </si>
  <si>
    <t>Hoff SA</t>
  </si>
  <si>
    <t>Hoff Sundnes Brenneri</t>
  </si>
  <si>
    <t>Stabburet A/S, Råbekken</t>
  </si>
  <si>
    <t>Stabburet A/s Stranda Kyrkjegt.</t>
  </si>
  <si>
    <t>Stabburet As Idun</t>
  </si>
  <si>
    <t>Stabburet Brumunddal</t>
  </si>
  <si>
    <t>Stabburet As Avd. Gressvig</t>
  </si>
  <si>
    <t>Stabburet AS Vigrestad</t>
  </si>
  <si>
    <t>Spis AS, Avd. Gjøvik</t>
  </si>
  <si>
    <t>Spis Oppdal AS</t>
  </si>
  <si>
    <t>Spis As Brumunddal</t>
  </si>
  <si>
    <t>Tine Meieriet Øst Ba</t>
  </si>
  <si>
    <t>Tine Midt-Norge Elnesvågen</t>
  </si>
  <si>
    <t>Tine Meieriet Vest BA</t>
  </si>
  <si>
    <t>Tine Meieriet Nord BA</t>
  </si>
  <si>
    <t>Trønderkylling As</t>
  </si>
  <si>
    <t>Nestle National</t>
  </si>
  <si>
    <t>Nestle International</t>
  </si>
  <si>
    <t>IFF National</t>
  </si>
  <si>
    <t>Campbell National</t>
  </si>
  <si>
    <t>Campbell International</t>
  </si>
  <si>
    <t>Dera National</t>
  </si>
  <si>
    <t>DERA International</t>
  </si>
  <si>
    <t>Heinz National</t>
  </si>
  <si>
    <t>Heinz International</t>
  </si>
  <si>
    <t>Givaudan National</t>
  </si>
  <si>
    <t>Givaudan International</t>
  </si>
  <si>
    <t>Symrise National</t>
  </si>
  <si>
    <t>Symrise International</t>
  </si>
  <si>
    <t>Hügli National</t>
  </si>
  <si>
    <t>Hügli International</t>
  </si>
  <si>
    <t>Saarioinen National</t>
  </si>
  <si>
    <t>Saarioinen International</t>
  </si>
  <si>
    <t>EAC National</t>
  </si>
  <si>
    <t>EAC International</t>
  </si>
  <si>
    <t>Blinken Foredling A/s</t>
  </si>
  <si>
    <t>Kerry/Mastertaste International</t>
  </si>
  <si>
    <t>Kraft National</t>
  </si>
  <si>
    <t>Kraft International</t>
  </si>
  <si>
    <t>Gallina Blanca/Pasa National</t>
  </si>
  <si>
    <t>Gallina Blanca/Pasa International</t>
  </si>
  <si>
    <t>Nestle Regional</t>
  </si>
  <si>
    <t>Campbell Regional</t>
  </si>
  <si>
    <t>Dera Regional</t>
  </si>
  <si>
    <t>Heinz Regional</t>
  </si>
  <si>
    <t>Givaudan Regional</t>
  </si>
  <si>
    <t>Symrise Regional</t>
  </si>
  <si>
    <t>Hügli Regional</t>
  </si>
  <si>
    <t>Saarioinen Regional</t>
  </si>
  <si>
    <t>EAC Regional</t>
  </si>
  <si>
    <t>Kerry/Mastertaste Regional</t>
  </si>
  <si>
    <t>Kraft Regional</t>
  </si>
  <si>
    <t>Gallina Blanca/Pasa Regional</t>
  </si>
  <si>
    <t>SK</t>
  </si>
  <si>
    <t>Nestle Slovensko S.r.o.</t>
  </si>
  <si>
    <t>AT</t>
  </si>
  <si>
    <t>Nestle Østerreich Gmbh</t>
  </si>
  <si>
    <t>BR</t>
  </si>
  <si>
    <t>Nestle Brasil Ltda</t>
  </si>
  <si>
    <t>NL</t>
  </si>
  <si>
    <t>IFF Intr. Flavours &amp; Fragrance</t>
  </si>
  <si>
    <t>AU</t>
  </si>
  <si>
    <t>Iff (Australia) Pty Ltd.</t>
  </si>
  <si>
    <t>CN</t>
  </si>
  <si>
    <t>IFF (China) Ltd.</t>
  </si>
  <si>
    <t>PH</t>
  </si>
  <si>
    <t>Iff (Philippines) Inc.</t>
  </si>
  <si>
    <t>SE</t>
  </si>
  <si>
    <t>IFF Norden AB</t>
  </si>
  <si>
    <t>BE</t>
  </si>
  <si>
    <t>Campbell Foods Belgium Nv</t>
  </si>
  <si>
    <t>Dera Food Technology</t>
  </si>
  <si>
    <t>CZ</t>
  </si>
  <si>
    <t>Dera Czech Production s.r.o.</t>
  </si>
  <si>
    <t>Heinz Belgium  H. J.</t>
  </si>
  <si>
    <t>H. J. Heinz BV</t>
  </si>
  <si>
    <t>Givaudan do Brasil Ltda</t>
  </si>
  <si>
    <t>CH</t>
  </si>
  <si>
    <t>Givaudan Schweiz AG</t>
  </si>
  <si>
    <t>Givaudan Roure B.v.</t>
  </si>
  <si>
    <t>SG</t>
  </si>
  <si>
    <t>Symrise Asia Pacific Pte Ltd.</t>
  </si>
  <si>
    <t>Symrise Shanghai Ltd.</t>
  </si>
  <si>
    <t>DE</t>
  </si>
  <si>
    <t>Symrise Gmbh &amp; Co. Kg.</t>
  </si>
  <si>
    <t>Hügli Nahrmittel Ag</t>
  </si>
  <si>
    <t>HÜGLI FOOD s.r.o.</t>
  </si>
  <si>
    <t>FI</t>
  </si>
  <si>
    <t>Ruoka - Saarioinen Oy</t>
  </si>
  <si>
    <t>Saarioisten Sailyke Oy</t>
  </si>
  <si>
    <t>ID</t>
  </si>
  <si>
    <t>PT. EAC Indonesia</t>
  </si>
  <si>
    <t>MY</t>
  </si>
  <si>
    <t>EAC Industrial Ingredients Sdn Bhd</t>
  </si>
  <si>
    <t>VN</t>
  </si>
  <si>
    <t>Nam Giang Comm. and Services Ltd.,C</t>
  </si>
  <si>
    <t>Kerry Ingredients BV</t>
  </si>
  <si>
    <t>US</t>
  </si>
  <si>
    <t>Mastertaste</t>
  </si>
  <si>
    <t>IT</t>
  </si>
  <si>
    <t>Kerry Ingredients&amp;Flavours Italia S</t>
  </si>
  <si>
    <t>LT</t>
  </si>
  <si>
    <t>AB Kraft Foods Lietuva</t>
  </si>
  <si>
    <t>UA</t>
  </si>
  <si>
    <t>CJSJ Kraft Foods Ukraina</t>
  </si>
  <si>
    <t>ES</t>
  </si>
  <si>
    <t>Gallina Blanca S.a.</t>
  </si>
  <si>
    <t>Pasa  Preparados Alimenticios S.a.</t>
  </si>
  <si>
    <t>Hussalg / Kantine Elverum</t>
  </si>
  <si>
    <t>Hussalg / Kantine Norge</t>
  </si>
  <si>
    <t>Hussalg / Kantine Larvik</t>
  </si>
  <si>
    <t>Hussalg / Kantine Arna</t>
  </si>
  <si>
    <t>Kantine Toro Arna</t>
  </si>
  <si>
    <t>Kantine  Rieber Elverum</t>
  </si>
  <si>
    <t>Norsk Storkjøkken Engros As Avd.fle</t>
  </si>
  <si>
    <t>Norsk Storkj. Engr.  Avd Holmefjord</t>
  </si>
  <si>
    <t>Storkjøkken Grossisten Vestfold As</t>
  </si>
  <si>
    <t>Carl Evensen Eftf. AS</t>
  </si>
  <si>
    <t>Gilberg Engros Menypartner As</t>
  </si>
  <si>
    <t>Matkammeret As</t>
  </si>
  <si>
    <t>Kantine  Nøstegt. 58</t>
  </si>
  <si>
    <t>Idun Industri As Skjetten</t>
  </si>
  <si>
    <t>Nortura BA avd. Haugesund</t>
  </si>
  <si>
    <t>Spis Hemsedal AS</t>
  </si>
  <si>
    <t>Symrise Aromas e Fragrâncias Ltda</t>
  </si>
  <si>
    <t>Nestle Philippines Inc.</t>
  </si>
  <si>
    <t>Campbell Soup Sweden AB</t>
  </si>
  <si>
    <t>Spis AS avd. Vest</t>
  </si>
  <si>
    <t>Nestle Venray B.v.</t>
  </si>
  <si>
    <t>Scan National</t>
  </si>
  <si>
    <t>Scan International</t>
  </si>
  <si>
    <t>Scan Regional</t>
  </si>
  <si>
    <t>Scan AB</t>
  </si>
  <si>
    <t>Smart Club. Ekspress Kolbotn(Coop)</t>
  </si>
  <si>
    <t>Kantine Bøe Lefsebakeri</t>
  </si>
  <si>
    <t>Europris A/S</t>
  </si>
  <si>
    <t>ICA  Sør</t>
  </si>
  <si>
    <t>REMA Sør</t>
  </si>
  <si>
    <t>NG Sør</t>
  </si>
  <si>
    <t>COOP Sør</t>
  </si>
  <si>
    <t>Asko Rogaland AS, Avd. Forus</t>
  </si>
  <si>
    <t>Ica Distribusjon A/s, Arendal</t>
  </si>
  <si>
    <t>Smart Club Express Bislett (Coop)</t>
  </si>
  <si>
    <t>Kantine Rieber Denja</t>
  </si>
  <si>
    <t>Smart Club Eks. Skedsmokorset(Coop)</t>
  </si>
  <si>
    <t>Stabburet Rygge</t>
  </si>
  <si>
    <t>Nortura Hærland</t>
  </si>
  <si>
    <t>Stjernekylling AS</t>
  </si>
  <si>
    <t>Tine Meierriet Øst Trysil</t>
  </si>
  <si>
    <t>Nortura avd. Revetal</t>
  </si>
  <si>
    <t>Findus Norge AS</t>
  </si>
  <si>
    <t>Findus Norge AS avd. Larvik</t>
  </si>
  <si>
    <t>Nortura Rakkestad</t>
  </si>
  <si>
    <t>Asko Øst AS GLNR 7080000995189</t>
  </si>
  <si>
    <t>Grilstad AS Avd. Gjøvik</t>
  </si>
  <si>
    <t>Grilstad AS</t>
  </si>
  <si>
    <t>Asko Sentrallager AS</t>
  </si>
  <si>
    <t>Sunnmøre Engros As</t>
  </si>
  <si>
    <t>Orkla Regional</t>
  </si>
  <si>
    <t>Tine SA</t>
  </si>
  <si>
    <t>Furuset Engros AS</t>
  </si>
  <si>
    <t>SG Øst</t>
  </si>
  <si>
    <t>Servicegrossistene Nasjonal</t>
  </si>
  <si>
    <t>Service grosisstene International</t>
  </si>
  <si>
    <t>IFF Regional</t>
  </si>
  <si>
    <t>IFF International</t>
  </si>
  <si>
    <t>Andre Vest</t>
  </si>
  <si>
    <t>Nortura Regional</t>
  </si>
  <si>
    <t>SG Vest</t>
  </si>
  <si>
    <t>Saarioinen Oy</t>
  </si>
  <si>
    <t>Staples Norway</t>
  </si>
  <si>
    <t>Staples International</t>
  </si>
  <si>
    <t>Emo AS</t>
  </si>
  <si>
    <t>Staples Nordic AS</t>
  </si>
  <si>
    <t>Spesialgrossisten(NSG)Internasjonal</t>
  </si>
  <si>
    <t>Spesialgrossisten(NSG)Norge</t>
  </si>
  <si>
    <t>Agenter Smaks salater Norge</t>
  </si>
  <si>
    <t>Agenter Smaks salater Internasjonal</t>
  </si>
  <si>
    <t>Spesialgrossisten Slyngstadli AS</t>
  </si>
  <si>
    <t>Spesialgros. Slyngstadli  Måløy</t>
  </si>
  <si>
    <t>Tor Hodnes Eftf. AS</t>
  </si>
  <si>
    <t>Spesialgrossisten Troye  As</t>
  </si>
  <si>
    <t>Spesialgrossisten Årheim AS</t>
  </si>
  <si>
    <t>UNIL NORGE</t>
  </si>
  <si>
    <t>UNIL Internasjonal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</si>
  <si>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</si>
  <si>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</si>
  <si>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</si>
  <si>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</si>
  <si>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</si>
  <si>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</si>
  <si>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</si>
  <si>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</si>
  <si>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</si>
  <si>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</si>
  <si>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</si>
  <si>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</si>
  <si>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</si>
  <si>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</si>
  <si>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</si>
  <si>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</si>
  <si>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</si>
  <si>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</si>
  <si>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</si>
  <si>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</si>
  <si>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</si>
  <si>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</si>
  <si>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</si>
  <si>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</si>
  <si>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</si>
  <si>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</si>
  <si>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</si>
  <si>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</si>
  <si>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</si>
  <si>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</si>
  <si>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</si>
  <si>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</si>
  <si>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Gross</t>
  </si>
  <si>
    <t>Default</t>
  </si>
  <si>
    <t>KG</t>
  </si>
  <si>
    <t>NOAR</t>
  </si>
  <si>
    <t>Purchasing Cockpit</t>
  </si>
  <si>
    <t>Material Key Figures</t>
  </si>
  <si>
    <t xml:space="preserve">Material Name:  </t>
  </si>
  <si>
    <t xml:space="preserve">Material Group:  </t>
  </si>
  <si>
    <t xml:space="preserve">Lead Buyer:  </t>
  </si>
  <si>
    <t xml:space="preserve">Lead Developer:  </t>
  </si>
  <si>
    <t>Stocks</t>
  </si>
  <si>
    <t xml:space="preserve">Total </t>
  </si>
  <si>
    <t>Unrestricted</t>
  </si>
  <si>
    <t>Quality</t>
  </si>
  <si>
    <t>In Transfer</t>
  </si>
  <si>
    <t>Total unrestricted</t>
  </si>
  <si>
    <t>Blocked</t>
  </si>
  <si>
    <t>Other</t>
  </si>
  <si>
    <t>Safety Stock</t>
  </si>
  <si>
    <t>Safety Time</t>
  </si>
  <si>
    <t>GR Processing Time</t>
  </si>
  <si>
    <t>Consumpt. last 12 m</t>
  </si>
  <si>
    <t>Stock in</t>
  </si>
  <si>
    <t>Requirements</t>
  </si>
  <si>
    <t>Purchase Orders</t>
  </si>
  <si>
    <t>Requsitions</t>
  </si>
  <si>
    <t>Contracts, open qty</t>
  </si>
  <si>
    <t>Stock out</t>
  </si>
  <si>
    <t>Type</t>
  </si>
  <si>
    <t>Contracts / PO</t>
  </si>
  <si>
    <t>Vendor</t>
  </si>
  <si>
    <t>Target Qty</t>
  </si>
  <si>
    <t>Open Qty</t>
  </si>
  <si>
    <t>Open Qty %</t>
  </si>
  <si>
    <t>Price</t>
  </si>
  <si>
    <t>Per Unit</t>
  </si>
  <si>
    <t>Unit</t>
  </si>
  <si>
    <t>Curr</t>
  </si>
  <si>
    <t>Incoterm</t>
  </si>
  <si>
    <t>Incoterm2</t>
  </si>
  <si>
    <t xml:space="preserve">Start </t>
  </si>
  <si>
    <t>End</t>
  </si>
  <si>
    <t>RequirementType</t>
  </si>
  <si>
    <t>Pegged reqmt</t>
  </si>
  <si>
    <t>Sum av Reqmt Qty</t>
  </si>
  <si>
    <t>Periode</t>
  </si>
  <si>
    <t>Date</t>
  </si>
  <si>
    <t>Total</t>
  </si>
  <si>
    <t>Order quantity</t>
  </si>
  <si>
    <t>Planning plant</t>
  </si>
  <si>
    <t>201201</t>
  </si>
  <si>
    <t>201202</t>
  </si>
  <si>
    <t>MRP elmnt ind.</t>
  </si>
  <si>
    <t>Sum av PO Quantity</t>
  </si>
  <si>
    <t>Period</t>
  </si>
  <si>
    <t>Stock in tfr</t>
  </si>
  <si>
    <t>In Qual. Insp.</t>
  </si>
  <si>
    <t>Restricted-Use</t>
  </si>
  <si>
    <t>Returns</t>
  </si>
  <si>
    <t>Unrestr.-use</t>
  </si>
  <si>
    <t>In transfer</t>
  </si>
  <si>
    <t>In qual. insp.</t>
  </si>
  <si>
    <t>Restr.-use PP</t>
  </si>
  <si>
    <t>Stock in Trans.</t>
  </si>
  <si>
    <t>Company Code</t>
  </si>
  <si>
    <t>Agreement</t>
  </si>
  <si>
    <t>Incoterms</t>
  </si>
  <si>
    <t>Incoterms 2</t>
  </si>
  <si>
    <t>Payt Terms</t>
  </si>
  <si>
    <t>Purchasing Doc.</t>
  </si>
  <si>
    <t>Effective value</t>
  </si>
  <si>
    <t>Net Price</t>
  </si>
  <si>
    <t>Order Price Un.</t>
  </si>
  <si>
    <t>Price Unit</t>
  </si>
  <si>
    <t>Target Quantity</t>
  </si>
  <si>
    <t>PO Quantity</t>
  </si>
  <si>
    <t>Order Unit</t>
  </si>
  <si>
    <t>DAT01</t>
  </si>
  <si>
    <t>DAT02</t>
  </si>
  <si>
    <t>Supplying Plant</t>
  </si>
  <si>
    <t>Dato</t>
  </si>
  <si>
    <t>GRDays</t>
  </si>
  <si>
    <t>LA</t>
  </si>
  <si>
    <t>CFR</t>
  </si>
  <si>
    <t>Bergen</t>
  </si>
  <si>
    <t>90NA</t>
  </si>
  <si>
    <t>Transformaciones Agricolas</t>
  </si>
  <si>
    <t>Record type</t>
  </si>
  <si>
    <t>Deleted</t>
  </si>
  <si>
    <t>Final Issue</t>
  </si>
  <si>
    <t>Reserv. status</t>
  </si>
  <si>
    <t>Reqmt Date</t>
  </si>
  <si>
    <t>Reqmt Qty</t>
  </si>
  <si>
    <t>Base Unit</t>
  </si>
  <si>
    <t>Planned order</t>
  </si>
  <si>
    <t>Purchase Req.</t>
  </si>
  <si>
    <t>Requisn Item</t>
  </si>
  <si>
    <t>Order</t>
  </si>
  <si>
    <t>BOM item</t>
  </si>
  <si>
    <t>Numerator</t>
  </si>
  <si>
    <t>Denominator</t>
  </si>
  <si>
    <t>Unit of Entry</t>
  </si>
  <si>
    <t>Quantity in UnE</t>
  </si>
  <si>
    <t>Withdrawal Qty</t>
  </si>
  <si>
    <t>SafTime</t>
  </si>
  <si>
    <t>SB</t>
  </si>
  <si>
    <t>P-S matl status</t>
  </si>
  <si>
    <t>ABC Indicator</t>
  </si>
  <si>
    <t>Critical Part</t>
  </si>
  <si>
    <t>Purch. Group</t>
  </si>
  <si>
    <t>Unit of issue</t>
  </si>
  <si>
    <t>MRP profile</t>
  </si>
  <si>
    <t>MRP Type</t>
  </si>
  <si>
    <t>MRP Controller</t>
  </si>
  <si>
    <t>Controller name</t>
  </si>
  <si>
    <t>Pl. Deliv. Time</t>
  </si>
  <si>
    <t>GR Proc. Time</t>
  </si>
  <si>
    <t>Period Ind.</t>
  </si>
  <si>
    <t>Lot size</t>
  </si>
  <si>
    <t>Procurement</t>
  </si>
  <si>
    <t>SpecProcurement</t>
  </si>
  <si>
    <t>Reorder Point</t>
  </si>
  <si>
    <t>Min. Lot Size</t>
  </si>
  <si>
    <t>Max. Lot Size</t>
  </si>
  <si>
    <t>Fixed lot size</t>
  </si>
  <si>
    <t>Rounding value</t>
  </si>
  <si>
    <t>Safety time ind</t>
  </si>
  <si>
    <t>Safety time</t>
  </si>
  <si>
    <t>Current period</t>
  </si>
  <si>
    <t>Year cur.period</t>
  </si>
  <si>
    <t>Min SafetyStock</t>
  </si>
  <si>
    <t>Material Group</t>
  </si>
  <si>
    <t>Matl Grp Desc.</t>
  </si>
  <si>
    <t>Mat.grp desc. 2</t>
  </si>
  <si>
    <t>Tot. shelf life</t>
  </si>
  <si>
    <t>Rem. Shelf Life</t>
  </si>
  <si>
    <t>LEADBUYER</t>
  </si>
  <si>
    <t>LEADBUYERN</t>
  </si>
  <si>
    <t>LEADDEVEL</t>
  </si>
  <si>
    <t>LEADDEVELN</t>
  </si>
  <si>
    <t>00.00.0000</t>
  </si>
  <si>
    <t>PD</t>
  </si>
  <si>
    <t>Edward Sundt</t>
  </si>
  <si>
    <t>M</t>
  </si>
  <si>
    <t>WB</t>
  </si>
  <si>
    <t>F</t>
  </si>
  <si>
    <t>R111123</t>
  </si>
  <si>
    <t>Veg. Spray-Dried</t>
  </si>
  <si>
    <t>Vegetables Spray-Dried</t>
  </si>
  <si>
    <t>Tomato Powder Coarse CB Spray-Dried</t>
  </si>
  <si>
    <t>ESUNDT</t>
  </si>
  <si>
    <t>Edw. Sundt</t>
  </si>
  <si>
    <t>VPETTERS</t>
  </si>
  <si>
    <t>Vigdis Muri Pettersen</t>
  </si>
  <si>
    <t>Tot.consumption</t>
  </si>
  <si>
    <t>Unplnd consump.</t>
  </si>
  <si>
    <t>ERA</t>
  </si>
  <si>
    <t>MatNo</t>
  </si>
  <si>
    <t>Material number to analyze</t>
  </si>
  <si>
    <t>Plant for requirements analyzis</t>
  </si>
  <si>
    <t>Year</t>
  </si>
  <si>
    <t>Year to analyze</t>
  </si>
  <si>
    <t>ny test</t>
  </si>
  <si>
    <t>cbSafStock</t>
  </si>
  <si>
    <t>cbSafetyTime</t>
  </si>
  <si>
    <t>cbGRTime</t>
  </si>
  <si>
    <t>cbRequsitions</t>
  </si>
  <si>
    <t>cbContracts</t>
  </si>
  <si>
    <t>- Key Purchasing information for a specified material</t>
  </si>
  <si>
    <t>- Stock overview all Plants</t>
  </si>
  <si>
    <t>- Choose between material movements for all Plants or for a single Plant</t>
  </si>
  <si>
    <t>- Requirements from all Plants and calculated furture stock development</t>
  </si>
  <si>
    <t>- Overview all contracts with remaining quantities, and all Purchase Orders</t>
  </si>
  <si>
    <t xml:space="preserve">  and Shipping Notfications.</t>
  </si>
  <si>
    <t>201312</t>
  </si>
  <si>
    <t>201312 Total</t>
  </si>
  <si>
    <t>Grand Total</t>
  </si>
  <si>
    <t>(All)</t>
  </si>
  <si>
    <t>Summer av Order quantity</t>
  </si>
  <si>
    <t>2013/01</t>
  </si>
  <si>
    <t>2013/02</t>
  </si>
  <si>
    <t>Cockpit</t>
  </si>
  <si>
    <t>201401</t>
  </si>
  <si>
    <t>(blank)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</si>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</sst>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"/>
    <numFmt numFmtId="165" formatCode="#,##0\ %;[Red]\-#,##0\ %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b/>
      <sz val="16"/>
      <name val="Arial"/>
      <family val="2"/>
    </font>
    <font>
      <b/>
      <sz val="10"/>
      <name val="Arial"/>
      <family val="2"/>
    </font>
    <font>
      <b/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5"/>
      </left>
      <right/>
      <top style="thin">
        <color indexed="64"/>
      </top>
      <bottom style="thick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3"/>
      </bottom>
      <diagonal/>
    </border>
    <border>
      <left/>
      <right style="thin">
        <color indexed="63"/>
      </right>
      <top style="thin">
        <color indexed="9"/>
      </top>
      <bottom style="thin">
        <color indexed="63"/>
      </bottom>
      <diagonal/>
    </border>
    <border>
      <left/>
      <right/>
      <top style="thin">
        <color indexed="9"/>
      </top>
      <bottom style="thin">
        <color indexed="63"/>
      </bottom>
      <diagonal/>
    </border>
    <border>
      <left style="thin">
        <color indexed="64"/>
      </left>
      <right/>
      <top style="thin">
        <color indexed="9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9"/>
      </left>
      <right/>
      <top/>
      <bottom/>
      <diagonal/>
    </border>
  </borders>
  <cellStyleXfs count="8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7" fillId="0" borderId="0"/>
  </cellStyleXfs>
  <cellXfs count="125">
    <xf numFmtId="0" fontId="0" fillId="0" borderId="0" xfId="0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0" borderId="11" xfId="0" applyFont="1" applyBorder="1"/>
    <xf numFmtId="0" fontId="1" fillId="0" borderId="11" xfId="0" applyFont="1" applyBorder="1" applyAlignment="1"/>
    <xf numFmtId="0" fontId="1" fillId="0" borderId="11" xfId="0" applyFont="1" applyBorder="1" applyAlignment="1">
      <alignment horizontal="right"/>
    </xf>
    <xf numFmtId="0" fontId="4" fillId="0" borderId="0" xfId="0" quotePrefix="1" applyFont="1" applyFill="1"/>
    <xf numFmtId="0" fontId="0" fillId="0" borderId="0" xfId="0" applyNumberFormat="1"/>
    <xf numFmtId="0" fontId="0" fillId="3" borderId="0" xfId="0" applyFill="1" applyAlignment="1">
      <alignment horizontal="left"/>
    </xf>
    <xf numFmtId="0" fontId="9" fillId="0" borderId="0" xfId="0" applyFont="1" applyFill="1"/>
    <xf numFmtId="0" fontId="4" fillId="0" borderId="0" xfId="0" applyFont="1" applyFill="1" applyAlignment="1">
      <alignment horizontal="left"/>
    </xf>
    <xf numFmtId="0" fontId="0" fillId="5" borderId="0" xfId="0" applyFill="1"/>
    <xf numFmtId="0" fontId="7" fillId="0" borderId="0" xfId="1" applyProtection="1">
      <protection hidden="1"/>
    </xf>
    <xf numFmtId="0" fontId="10" fillId="0" borderId="0" xfId="1" applyFont="1" applyProtection="1">
      <protection hidden="1"/>
    </xf>
    <xf numFmtId="0" fontId="11" fillId="6" borderId="13" xfId="1" applyFont="1" applyFill="1" applyBorder="1" applyProtection="1">
      <protection hidden="1"/>
    </xf>
    <xf numFmtId="0" fontId="7" fillId="6" borderId="15" xfId="1" applyFill="1" applyBorder="1" applyProtection="1">
      <protection hidden="1"/>
    </xf>
    <xf numFmtId="0" fontId="7" fillId="6" borderId="14" xfId="1" applyFill="1" applyBorder="1" applyProtection="1">
      <protection hidden="1"/>
    </xf>
    <xf numFmtId="0" fontId="7" fillId="0" borderId="0" xfId="1" applyFill="1" applyBorder="1" applyProtection="1">
      <protection hidden="1"/>
    </xf>
    <xf numFmtId="0" fontId="7" fillId="0" borderId="0" xfId="1" applyFont="1" applyFill="1" applyBorder="1" applyAlignment="1" applyProtection="1">
      <alignment horizontal="right"/>
      <protection hidden="1"/>
    </xf>
    <xf numFmtId="0" fontId="11" fillId="0" borderId="0" xfId="1" applyFont="1" applyProtection="1">
      <protection hidden="1"/>
    </xf>
    <xf numFmtId="38" fontId="7" fillId="0" borderId="0" xfId="1" applyNumberFormat="1" applyProtection="1">
      <protection hidden="1"/>
    </xf>
    <xf numFmtId="11" fontId="11" fillId="6" borderId="15" xfId="1" applyNumberFormat="1" applyFont="1" applyFill="1" applyBorder="1" applyAlignment="1" applyProtection="1">
      <alignment horizontal="right"/>
      <protection hidden="1"/>
    </xf>
    <xf numFmtId="0" fontId="11" fillId="6" borderId="16" xfId="1" applyFont="1" applyFill="1" applyBorder="1" applyAlignment="1" applyProtection="1">
      <alignment horizontal="right"/>
      <protection hidden="1"/>
    </xf>
    <xf numFmtId="0" fontId="11" fillId="6" borderId="15" xfId="1" applyFont="1" applyFill="1" applyBorder="1" applyAlignment="1" applyProtection="1">
      <alignment horizontal="right"/>
      <protection hidden="1"/>
    </xf>
    <xf numFmtId="38" fontId="7" fillId="0" borderId="0" xfId="1" applyNumberFormat="1" applyFont="1" applyProtection="1"/>
    <xf numFmtId="38" fontId="7" fillId="0" borderId="17" xfId="1" applyNumberFormat="1" applyBorder="1" applyProtection="1">
      <protection hidden="1"/>
    </xf>
    <xf numFmtId="0" fontId="7" fillId="0" borderId="11" xfId="1" applyBorder="1" applyProtection="1">
      <protection hidden="1"/>
    </xf>
    <xf numFmtId="38" fontId="7" fillId="0" borderId="11" xfId="1" applyNumberFormat="1" applyFont="1" applyBorder="1" applyProtection="1"/>
    <xf numFmtId="38" fontId="7" fillId="0" borderId="18" xfId="1" applyNumberFormat="1" applyBorder="1" applyProtection="1">
      <protection hidden="1"/>
    </xf>
    <xf numFmtId="38" fontId="7" fillId="0" borderId="11" xfId="1" applyNumberFormat="1" applyBorder="1" applyProtection="1">
      <protection hidden="1"/>
    </xf>
    <xf numFmtId="0" fontId="11" fillId="0" borderId="0" xfId="1" applyFont="1" applyFill="1" applyProtection="1">
      <protection hidden="1"/>
    </xf>
    <xf numFmtId="38" fontId="11" fillId="0" borderId="0" xfId="1" applyNumberFormat="1" applyFont="1" applyProtection="1"/>
    <xf numFmtId="38" fontId="11" fillId="0" borderId="17" xfId="1" applyNumberFormat="1" applyFont="1" applyBorder="1" applyProtection="1">
      <protection hidden="1"/>
    </xf>
    <xf numFmtId="38" fontId="11" fillId="0" borderId="0" xfId="1" applyNumberFormat="1" applyFont="1" applyProtection="1">
      <protection hidden="1"/>
    </xf>
    <xf numFmtId="0" fontId="7" fillId="0" borderId="0" xfId="1" applyFill="1" applyProtection="1">
      <protection hidden="1"/>
    </xf>
    <xf numFmtId="38" fontId="7" fillId="0" borderId="17" xfId="1" applyNumberFormat="1" applyFont="1" applyBorder="1" applyProtection="1">
      <protection hidden="1"/>
    </xf>
    <xf numFmtId="38" fontId="7" fillId="0" borderId="0" xfId="1" applyNumberFormat="1" applyFont="1" applyProtection="1">
      <protection hidden="1"/>
    </xf>
    <xf numFmtId="0" fontId="7" fillId="0" borderId="0" xfId="1" applyFont="1" applyFill="1" applyProtection="1">
      <protection hidden="1"/>
    </xf>
    <xf numFmtId="0" fontId="7" fillId="0" borderId="19" xfId="1" applyFont="1" applyBorder="1" applyProtection="1">
      <protection hidden="1"/>
    </xf>
    <xf numFmtId="38" fontId="7" fillId="0" borderId="19" xfId="1" applyNumberFormat="1" applyFont="1" applyBorder="1" applyProtection="1"/>
    <xf numFmtId="38" fontId="7" fillId="0" borderId="20" xfId="1" applyNumberFormat="1" applyFont="1" applyBorder="1" applyProtection="1">
      <protection hidden="1"/>
    </xf>
    <xf numFmtId="38" fontId="7" fillId="0" borderId="19" xfId="1" applyNumberFormat="1" applyFont="1" applyBorder="1" applyProtection="1">
      <protection hidden="1"/>
    </xf>
    <xf numFmtId="0" fontId="7" fillId="0" borderId="0" xfId="1" applyFont="1" applyProtection="1">
      <protection hidden="1"/>
    </xf>
    <xf numFmtId="0" fontId="7" fillId="0" borderId="0" xfId="1" applyFont="1" applyProtection="1"/>
    <xf numFmtId="0" fontId="7" fillId="0" borderId="0" xfId="1" applyFont="1" applyBorder="1" applyProtection="1">
      <protection hidden="1"/>
    </xf>
    <xf numFmtId="38" fontId="7" fillId="0" borderId="0" xfId="1" applyNumberFormat="1" applyBorder="1" applyProtection="1">
      <protection hidden="1"/>
    </xf>
    <xf numFmtId="164" fontId="11" fillId="6" borderId="16" xfId="1" applyNumberFormat="1" applyFont="1" applyFill="1" applyBorder="1" applyAlignment="1" applyProtection="1">
      <protection hidden="1"/>
    </xf>
    <xf numFmtId="164" fontId="11" fillId="6" borderId="15" xfId="1" applyNumberFormat="1" applyFont="1" applyFill="1" applyBorder="1" applyAlignment="1" applyProtection="1">
      <protection hidden="1"/>
    </xf>
    <xf numFmtId="164" fontId="11" fillId="6" borderId="14" xfId="1" applyNumberFormat="1" applyFont="1" applyFill="1" applyBorder="1" applyAlignment="1" applyProtection="1">
      <protection hidden="1"/>
    </xf>
    <xf numFmtId="38" fontId="7" fillId="0" borderId="0" xfId="1" applyNumberFormat="1" applyProtection="1"/>
    <xf numFmtId="38" fontId="7" fillId="0" borderId="11" xfId="1" applyNumberFormat="1" applyBorder="1" applyProtection="1"/>
    <xf numFmtId="0" fontId="7" fillId="0" borderId="0" xfId="1" applyBorder="1" applyProtection="1">
      <protection hidden="1"/>
    </xf>
    <xf numFmtId="38" fontId="7" fillId="0" borderId="17" xfId="1" applyNumberFormat="1" applyFont="1" applyBorder="1" applyProtection="1"/>
    <xf numFmtId="38" fontId="11" fillId="0" borderId="17" xfId="1" applyNumberFormat="1" applyFont="1" applyBorder="1" applyProtection="1"/>
    <xf numFmtId="0" fontId="11" fillId="6" borderId="15" xfId="1" applyFont="1" applyFill="1" applyBorder="1" applyProtection="1">
      <protection hidden="1"/>
    </xf>
    <xf numFmtId="0" fontId="11" fillId="6" borderId="15" xfId="1" applyFont="1" applyFill="1" applyBorder="1" applyAlignment="1" applyProtection="1">
      <alignment horizontal="center"/>
      <protection hidden="1"/>
    </xf>
    <xf numFmtId="0" fontId="11" fillId="6" borderId="14" xfId="1" applyFont="1" applyFill="1" applyBorder="1" applyAlignment="1" applyProtection="1">
      <alignment horizontal="center"/>
      <protection hidden="1"/>
    </xf>
    <xf numFmtId="0" fontId="7" fillId="0" borderId="0" xfId="1" applyAlignment="1" applyProtection="1">
      <alignment horizontal="left"/>
      <protection hidden="1"/>
    </xf>
    <xf numFmtId="165" fontId="7" fillId="0" borderId="0" xfId="1" applyNumberFormat="1" applyProtection="1">
      <protection hidden="1"/>
    </xf>
    <xf numFmtId="2" fontId="7" fillId="0" borderId="0" xfId="1" applyNumberFormat="1" applyProtection="1">
      <protection hidden="1"/>
    </xf>
    <xf numFmtId="38" fontId="7" fillId="0" borderId="0" xfId="1" applyNumberFormat="1" applyAlignment="1" applyProtection="1">
      <alignment horizontal="center"/>
      <protection hidden="1"/>
    </xf>
    <xf numFmtId="0" fontId="7" fillId="0" borderId="0" xfId="1" applyAlignment="1" applyProtection="1">
      <alignment horizontal="center"/>
      <protection hidden="1"/>
    </xf>
    <xf numFmtId="14" fontId="7" fillId="0" borderId="0" xfId="1" applyNumberFormat="1" applyProtection="1">
      <protection hidden="1"/>
    </xf>
    <xf numFmtId="0" fontId="10" fillId="0" borderId="0" xfId="1" applyFont="1"/>
    <xf numFmtId="0" fontId="7" fillId="0" borderId="0" xfId="1"/>
    <xf numFmtId="38" fontId="7" fillId="0" borderId="0" xfId="1" applyNumberFormat="1"/>
    <xf numFmtId="0" fontId="7" fillId="7" borderId="0" xfId="1" applyFill="1"/>
    <xf numFmtId="14" fontId="7" fillId="0" borderId="0" xfId="1" applyNumberFormat="1"/>
    <xf numFmtId="4" fontId="7" fillId="0" borderId="0" xfId="1" applyNumberFormat="1"/>
    <xf numFmtId="3" fontId="7" fillId="0" borderId="0" xfId="1" applyNumberFormat="1"/>
    <xf numFmtId="49" fontId="7" fillId="0" borderId="0" xfId="1" applyNumberFormat="1"/>
    <xf numFmtId="0" fontId="0" fillId="0" borderId="23" xfId="0" applyBorder="1"/>
    <xf numFmtId="0" fontId="0" fillId="0" borderId="1" xfId="0" pivotButton="1" applyBorder="1"/>
    <xf numFmtId="0" fontId="0" fillId="0" borderId="1" xfId="0" applyBorder="1"/>
    <xf numFmtId="0" fontId="1" fillId="0" borderId="0" xfId="0" applyFont="1" applyBorder="1"/>
    <xf numFmtId="14" fontId="0" fillId="0" borderId="4" xfId="0" applyNumberFormat="1" applyBorder="1"/>
    <xf numFmtId="14" fontId="0" fillId="0" borderId="0" xfId="0" applyNumberFormat="1" applyBorder="1"/>
    <xf numFmtId="0" fontId="1" fillId="0" borderId="2" xfId="0" applyFont="1" applyBorder="1"/>
    <xf numFmtId="0" fontId="1" fillId="2" borderId="10" xfId="0" applyFont="1" applyFill="1" applyBorder="1"/>
    <xf numFmtId="0" fontId="12" fillId="2" borderId="5" xfId="0" applyFont="1" applyFill="1" applyBorder="1"/>
    <xf numFmtId="0" fontId="12" fillId="2" borderId="12" xfId="0" applyFont="1" applyFill="1" applyBorder="1"/>
    <xf numFmtId="0" fontId="1" fillId="0" borderId="21" xfId="0" applyFont="1" applyBorder="1" applyAlignment="1">
      <alignment horizontal="right"/>
    </xf>
    <xf numFmtId="40" fontId="0" fillId="0" borderId="21" xfId="0" applyNumberFormat="1" applyBorder="1" applyAlignment="1">
      <alignment horizontal="right"/>
    </xf>
    <xf numFmtId="40" fontId="0" fillId="0" borderId="24" xfId="0" applyNumberFormat="1" applyBorder="1" applyAlignment="1">
      <alignment horizontal="right"/>
    </xf>
    <xf numFmtId="40" fontId="12" fillId="2" borderId="22" xfId="0" applyNumberFormat="1" applyFont="1" applyFill="1" applyBorder="1" applyAlignment="1">
      <alignment horizontal="right"/>
    </xf>
    <xf numFmtId="0" fontId="1" fillId="2" borderId="5" xfId="0" applyFont="1" applyFill="1" applyBorder="1"/>
    <xf numFmtId="0" fontId="1" fillId="2" borderId="6" xfId="0" applyFont="1" applyFill="1" applyBorder="1"/>
    <xf numFmtId="40" fontId="1" fillId="2" borderId="7" xfId="0" applyNumberFormat="1" applyFont="1" applyFill="1" applyBorder="1" applyAlignment="1">
      <alignment horizontal="right"/>
    </xf>
    <xf numFmtId="0" fontId="0" fillId="4" borderId="3" xfId="0" applyFill="1" applyBorder="1"/>
    <xf numFmtId="0" fontId="0" fillId="4" borderId="8" xfId="0" applyFill="1" applyBorder="1"/>
    <xf numFmtId="40" fontId="0" fillId="4" borderId="21" xfId="0" applyNumberFormat="1" applyFill="1" applyBorder="1" applyAlignment="1">
      <alignment horizontal="right"/>
    </xf>
    <xf numFmtId="0" fontId="0" fillId="0" borderId="1" xfId="0" applyNumberFormat="1" applyBorder="1"/>
    <xf numFmtId="0" fontId="0" fillId="0" borderId="4" xfId="0" applyBorder="1"/>
    <xf numFmtId="0" fontId="1" fillId="0" borderId="3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0" fontId="0" fillId="0" borderId="3" xfId="0" applyNumberFormat="1" applyBorder="1" applyAlignment="1">
      <alignment horizontal="right"/>
    </xf>
    <xf numFmtId="0" fontId="0" fillId="0" borderId="9" xfId="0" applyNumberFormat="1" applyBorder="1" applyAlignment="1">
      <alignment horizontal="right"/>
    </xf>
    <xf numFmtId="0" fontId="1" fillId="2" borderId="6" xfId="0" applyNumberFormat="1" applyFont="1" applyFill="1" applyBorder="1" applyAlignment="1">
      <alignment horizontal="right"/>
    </xf>
    <xf numFmtId="0" fontId="1" fillId="2" borderId="7" xfId="0" applyNumberFormat="1" applyFont="1" applyFill="1" applyBorder="1" applyAlignment="1">
      <alignment horizontal="right"/>
    </xf>
    <xf numFmtId="38" fontId="0" fillId="0" borderId="21" xfId="0" applyNumberFormat="1" applyBorder="1" applyAlignment="1">
      <alignment horizontal="right"/>
    </xf>
    <xf numFmtId="38" fontId="1" fillId="2" borderId="7" xfId="0" applyNumberFormat="1" applyFont="1" applyFill="1" applyBorder="1" applyAlignment="1">
      <alignment horizontal="right"/>
    </xf>
    <xf numFmtId="38" fontId="0" fillId="0" borderId="3" xfId="0" applyNumberForma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38" fontId="1" fillId="2" borderId="6" xfId="0" applyNumberFormat="1" applyFont="1" applyFill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7" fillId="0" borderId="0" xfId="1" applyNumberFormat="1"/>
    <xf numFmtId="0" fontId="0" fillId="0" borderId="0" xfId="0" applyBorder="1"/>
    <xf numFmtId="0" fontId="1" fillId="0" borderId="4" xfId="0" applyFont="1" applyBorder="1" applyAlignment="1">
      <alignment horizontal="right"/>
    </xf>
    <xf numFmtId="38" fontId="0" fillId="0" borderId="4" xfId="0" applyNumberFormat="1" applyBorder="1" applyAlignment="1">
      <alignment horizontal="right"/>
    </xf>
    <xf numFmtId="38" fontId="0" fillId="0" borderId="25" xfId="0" applyNumberFormat="1" applyBorder="1" applyAlignment="1">
      <alignment horizontal="right"/>
    </xf>
    <xf numFmtId="38" fontId="0" fillId="0" borderId="0" xfId="0" applyNumberFormat="1" applyAlignment="1">
      <alignment horizontal="right"/>
    </xf>
    <xf numFmtId="38" fontId="0" fillId="0" borderId="26" xfId="0" applyNumberFormat="1" applyBorder="1" applyAlignment="1">
      <alignment horizontal="right"/>
    </xf>
    <xf numFmtId="38" fontId="0" fillId="0" borderId="24" xfId="0" applyNumberFormat="1" applyBorder="1" applyAlignment="1">
      <alignment horizontal="right"/>
    </xf>
    <xf numFmtId="0" fontId="7" fillId="3" borderId="0" xfId="7" applyFill="1" applyAlignment="1">
      <alignment horizontal="center"/>
    </xf>
    <xf numFmtId="0" fontId="7" fillId="6" borderId="27" xfId="0" applyFont="1" applyFill="1" applyBorder="1" applyAlignment="1" applyProtection="1">
      <alignment horizontal="right" indent="1"/>
      <protection hidden="1"/>
    </xf>
    <xf numFmtId="0" fontId="0" fillId="0" borderId="0" xfId="0" applyAlignment="1">
      <alignment horizontal="right" indent="1"/>
    </xf>
  </cellXfs>
  <cellStyles count="8">
    <cellStyle name="Min stil" xfId="2"/>
    <cellStyle name="Normal" xfId="0" builtinId="0"/>
    <cellStyle name="Normal 2" xfId="1"/>
    <cellStyle name="Normal 2 2" xfId="3"/>
    <cellStyle name="Normal 2_MultiSelect" xfId="4"/>
    <cellStyle name="Normal 3" xfId="5"/>
    <cellStyle name="Normal 4" xfId="6"/>
    <cellStyle name="Normal_Material_History_M" xfId="7"/>
  </cellStyles>
  <dxfs count="19">
    <dxf>
      <numFmt numFmtId="6" formatCode="#,##0;[Red]\-#,##0"/>
    </dxf>
    <dxf>
      <numFmt numFmtId="8" formatCode="#,##0.00;[Red]\-#,##0.00"/>
    </dxf>
    <dxf>
      <numFmt numFmtId="0" formatCode="General"/>
    </dxf>
    <dxf>
      <numFmt numFmtId="6" formatCode="#,##0;[Red]\-#,##0"/>
    </dxf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FF8080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4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Cockpit!$D$8</c:f>
          <c:strCache>
            <c:ptCount val="1"/>
            <c:pt idx="0">
              <c:v>ALL</c:v>
            </c:pt>
          </c:strCache>
        </c:strRef>
      </c:tx>
      <c:layout>
        <c:manualLayout>
          <c:xMode val="edge"/>
          <c:yMode val="edge"/>
          <c:x val="0.24285714285714327"/>
          <c:y val="1.36239782016349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142857142857157"/>
          <c:y val="0.11171676988883961"/>
          <c:w val="0.87714285714285822"/>
          <c:h val="0.7029982105200154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Cockpit!$B$25</c:f>
              <c:strCache>
                <c:ptCount val="1"/>
                <c:pt idx="0">
                  <c:v>Consumpt. last 12 m</c:v>
                </c:pt>
              </c:strCache>
            </c:strRef>
          </c:tx>
          <c:spPr>
            <a:solidFill>
              <a:srgbClr val="CCCCFF"/>
            </a:solidFill>
            <a:ln w="3175">
              <a:solidFill>
                <a:srgbClr val="CCCCFF"/>
              </a:solidFill>
              <a:prstDash val="solid"/>
            </a:ln>
          </c:spPr>
          <c:invertIfNegative val="0"/>
          <c:cat>
            <c:numRef>
              <c:f>Cockpit!$D$24:$O$24</c:f>
              <c:numCache>
                <c:formatCode>00</c:formatCode>
                <c:ptCount val="12"/>
                <c:pt idx="0">
                  <c:v>201401</c:v>
                </c:pt>
                <c:pt idx="1">
                  <c:v>201402</c:v>
                </c:pt>
                <c:pt idx="2">
                  <c:v>201403</c:v>
                </c:pt>
                <c:pt idx="3">
                  <c:v>201404</c:v>
                </c:pt>
                <c:pt idx="4">
                  <c:v>201405</c:v>
                </c:pt>
                <c:pt idx="5">
                  <c:v>201406</c:v>
                </c:pt>
                <c:pt idx="6">
                  <c:v>201407</c:v>
                </c:pt>
                <c:pt idx="7">
                  <c:v>201408</c:v>
                </c:pt>
                <c:pt idx="8">
                  <c:v>201409</c:v>
                </c:pt>
                <c:pt idx="9">
                  <c:v>201410</c:v>
                </c:pt>
                <c:pt idx="10">
                  <c:v>201411</c:v>
                </c:pt>
                <c:pt idx="11">
                  <c:v>201412</c:v>
                </c:pt>
              </c:numCache>
            </c:numRef>
          </c:cat>
          <c:val>
            <c:numRef>
              <c:f>Cockpit!$D$25:$O$25</c:f>
              <c:numCache>
                <c:formatCode>#,##0_);[Red]\(#,##0\)</c:formatCode>
                <c:ptCount val="1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170496"/>
        <c:axId val="260172032"/>
      </c:barChart>
      <c:lineChart>
        <c:grouping val="standard"/>
        <c:varyColors val="0"/>
        <c:ser>
          <c:idx val="1"/>
          <c:order val="1"/>
          <c:tx>
            <c:strRef>
              <c:f>ChartHelp!$A$2</c:f>
              <c:strCache>
                <c:ptCount val="1"/>
                <c:pt idx="0">
                  <c:v>Requirements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ChartHelp!$B$2:$M$2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170496"/>
        <c:axId val="260172032"/>
      </c:lineChart>
      <c:catAx>
        <c:axId val="260170496"/>
        <c:scaling>
          <c:orientation val="minMax"/>
        </c:scaling>
        <c:delete val="0"/>
        <c:axPos val="b"/>
        <c:numFmt formatCode="00" sourceLinked="1"/>
        <c:majorTickMark val="out"/>
        <c:minorTickMark val="none"/>
        <c:tickLblPos val="nextTo"/>
        <c:spPr>
          <a:ln w="3175">
            <a:solidFill>
              <a:srgbClr val="ABABAB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0172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0172032"/>
        <c:scaling>
          <c:orientation val="minMax"/>
        </c:scaling>
        <c:delete val="0"/>
        <c:axPos val="l"/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ABABAB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017049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9891106812767155"/>
          <c:y val="1.4019516883432188E-2"/>
          <c:w val="0.49035830695976873"/>
          <c:h val="0.10654832831408458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34524</xdr:colOff>
      <xdr:row>1</xdr:row>
      <xdr:rowOff>103508</xdr:rowOff>
    </xdr:from>
    <xdr:to>
      <xdr:col>8</xdr:col>
      <xdr:colOff>672879</xdr:colOff>
      <xdr:row>4</xdr:row>
      <xdr:rowOff>25866</xdr:rowOff>
    </xdr:to>
    <xdr:sp macro="" textlink="SapExlReportName">
      <xdr:nvSpPr>
        <xdr:cNvPr id="6" name="Avrundet rektangel 5"/>
        <xdr:cNvSpPr/>
      </xdr:nvSpPr>
      <xdr:spPr>
        <a:xfrm>
          <a:off x="2613822" y="310542"/>
          <a:ext cx="3674853" cy="569339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Purchasing Cockpit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absolute">
    <xdr:from>
      <xdr:col>0</xdr:col>
      <xdr:colOff>280147</xdr:colOff>
      <xdr:row>1</xdr:row>
      <xdr:rowOff>33613</xdr:rowOff>
    </xdr:from>
    <xdr:to>
      <xdr:col>3</xdr:col>
      <xdr:colOff>590703</xdr:colOff>
      <xdr:row>5</xdr:row>
      <xdr:rowOff>82499</xdr:rowOff>
    </xdr:to>
    <xdr:sp macro="" textlink="">
      <xdr:nvSpPr>
        <xdr:cNvPr id="12" name="Avrundet rektangel 2"/>
        <xdr:cNvSpPr/>
      </xdr:nvSpPr>
      <xdr:spPr>
        <a:xfrm>
          <a:off x="280147" y="235319"/>
          <a:ext cx="2058674" cy="878121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sx="102000" sy="102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lang="nb-NO" sz="2800" b="1">
              <a:solidFill>
                <a:schemeClr val="accent2"/>
              </a:solidFill>
            </a:rPr>
            <a:t>SapExl</a:t>
          </a:r>
          <a:endParaRPr lang="nb-NO" sz="2400" b="1">
            <a:solidFill>
              <a:schemeClr val="accent2"/>
            </a:solidFill>
          </a:endParaRPr>
        </a:p>
        <a:p>
          <a:pPr algn="l"/>
          <a:r>
            <a:rPr lang="nb-NO" sz="1600" b="1">
              <a:solidFill>
                <a:schemeClr val="accent2"/>
              </a:solidFill>
            </a:rPr>
            <a:t>Reporting &amp; Analysis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9525</xdr:colOff>
      <xdr:row>1</xdr:row>
      <xdr:rowOff>57150</xdr:rowOff>
    </xdr:from>
    <xdr:to>
      <xdr:col>15</xdr:col>
      <xdr:colOff>47625</xdr:colOff>
      <xdr:row>22</xdr:row>
      <xdr:rowOff>152400</xdr:rowOff>
    </xdr:to>
    <xdr:graphicFrame macro="">
      <xdr:nvGraphicFramePr>
        <xdr:cNvPr id="2" name="Chart 2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30</xdr:row>
          <xdr:rowOff>19050</xdr:rowOff>
        </xdr:from>
        <xdr:to>
          <xdr:col>1</xdr:col>
          <xdr:colOff>0</xdr:colOff>
          <xdr:row>31</xdr:row>
          <xdr:rowOff>9525</xdr:rowOff>
        </xdr:to>
        <xdr:sp macro="" textlink="">
          <xdr:nvSpPr>
            <xdr:cNvPr id="9217" name="cbRequsition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31</xdr:row>
          <xdr:rowOff>19050</xdr:rowOff>
        </xdr:from>
        <xdr:to>
          <xdr:col>1</xdr:col>
          <xdr:colOff>0</xdr:colOff>
          <xdr:row>32</xdr:row>
          <xdr:rowOff>9525</xdr:rowOff>
        </xdr:to>
        <xdr:sp macro="" textlink="">
          <xdr:nvSpPr>
            <xdr:cNvPr id="9218" name="cbContracts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18</xdr:row>
          <xdr:rowOff>19050</xdr:rowOff>
        </xdr:from>
        <xdr:to>
          <xdr:col>1</xdr:col>
          <xdr:colOff>0</xdr:colOff>
          <xdr:row>19</xdr:row>
          <xdr:rowOff>9525</xdr:rowOff>
        </xdr:to>
        <xdr:sp macro="" textlink="">
          <xdr:nvSpPr>
            <xdr:cNvPr id="9219" name="cbSafStock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19</xdr:row>
          <xdr:rowOff>19050</xdr:rowOff>
        </xdr:from>
        <xdr:to>
          <xdr:col>1</xdr:col>
          <xdr:colOff>0</xdr:colOff>
          <xdr:row>20</xdr:row>
          <xdr:rowOff>9525</xdr:rowOff>
        </xdr:to>
        <xdr:sp macro="" textlink="">
          <xdr:nvSpPr>
            <xdr:cNvPr id="9220" name="cbSafetyTime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20</xdr:row>
          <xdr:rowOff>19050</xdr:rowOff>
        </xdr:from>
        <xdr:to>
          <xdr:col>1</xdr:col>
          <xdr:colOff>0</xdr:colOff>
          <xdr:row>21</xdr:row>
          <xdr:rowOff>9525</xdr:rowOff>
        </xdr:to>
        <xdr:sp macro="" textlink="">
          <xdr:nvSpPr>
            <xdr:cNvPr id="9221" name="cbGRTime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1</xdr:col>
      <xdr:colOff>0</xdr:colOff>
      <xdr:row>0</xdr:row>
      <xdr:rowOff>44824</xdr:rowOff>
    </xdr:from>
    <xdr:ext cx="1812403" cy="277097"/>
    <xdr:sp macro="" textlink="ReportCaption">
      <xdr:nvSpPr>
        <xdr:cNvPr id="8" name="Avrundet rektangel 1"/>
        <xdr:cNvSpPr/>
      </xdr:nvSpPr>
      <xdr:spPr>
        <a:xfrm>
          <a:off x="381000" y="44824"/>
          <a:ext cx="181240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Purchasing Cockpit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812403" cy="277097"/>
    <xdr:sp macro="" textlink="ReportCaption">
      <xdr:nvSpPr>
        <xdr:cNvPr id="2" name="Avrundet rektangel 1"/>
        <xdr:cNvSpPr/>
      </xdr:nvSpPr>
      <xdr:spPr>
        <a:xfrm>
          <a:off x="22412" y="33618"/>
          <a:ext cx="181240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Purchasing Cockpit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Purchasing%20Cockpit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1611.56186400463" createdVersion="4" refreshedVersion="4" minRefreshableVersion="3" recordCount="2">
  <cacheSource type="worksheet">
    <worksheetSource ref="A1:Z3" sheet="Database" r:id="rId2"/>
  </cacheSource>
  <cacheFields count="26">
    <cacheField name="Material" numFmtId="0">
      <sharedItems containsSemiMixedTypes="0" containsString="0" containsNumber="1" containsInteger="1" minValue="502323" maxValue="502323"/>
    </cacheField>
    <cacheField name="Plant" numFmtId="0">
      <sharedItems count="1">
        <s v="NOAR"/>
      </sharedItems>
    </cacheField>
    <cacheField name="Record type" numFmtId="0">
      <sharedItems containsNonDate="0" containsString="0" containsBlank="1"/>
    </cacheField>
    <cacheField name="Deleted" numFmtId="0">
      <sharedItems containsNonDate="0" containsString="0" containsBlank="1"/>
    </cacheField>
    <cacheField name="RequirementType" numFmtId="0">
      <sharedItems count="1">
        <s v="SB"/>
      </sharedItems>
    </cacheField>
    <cacheField name="Final Issue" numFmtId="0">
      <sharedItems containsNonDate="0" containsString="0" containsBlank="1"/>
    </cacheField>
    <cacheField name="Reserv. status" numFmtId="0">
      <sharedItems containsNonDate="0" containsString="0" containsBlank="1"/>
    </cacheField>
    <cacheField name="Reqmt Date" numFmtId="14">
      <sharedItems containsSemiMixedTypes="0" containsNonDate="0" containsDate="1" containsString="0" minDate="2012-11-08T00:00:00" maxDate="2012-12-08T00:00:00"/>
    </cacheField>
    <cacheField name="Reqmt Qty" numFmtId="4">
      <sharedItems containsSemiMixedTypes="0" containsString="0" containsNumber="1" minValue="125.16200000000001" maxValue="125.16200000000001"/>
    </cacheField>
    <cacheField name="Base Unit" numFmtId="0">
      <sharedItems/>
    </cacheField>
    <cacheField name="Planned order" numFmtId="0">
      <sharedItems containsSemiMixedTypes="0" containsString="0" containsNumber="1" containsInteger="1" minValue="80286014" maxValue="80286015"/>
    </cacheField>
    <cacheField name="Purchase Req." numFmtId="0">
      <sharedItems containsNonDate="0" containsString="0" containsBlank="1"/>
    </cacheField>
    <cacheField name="Requisn Item" numFmtId="0">
      <sharedItems containsSemiMixedTypes="0" containsString="0" containsNumber="1" containsInteger="1" minValue="0" maxValue="0"/>
    </cacheField>
    <cacheField name="Purchasing Doc." numFmtId="0">
      <sharedItems containsNonDate="0" containsString="0" containsBlank="1"/>
    </cacheField>
    <cacheField name="Item" numFmtId="0">
      <sharedItems containsSemiMixedTypes="0" containsString="0" containsNumber="1" containsInteger="1" minValue="0" maxValue="0"/>
    </cacheField>
    <cacheField name="Order" numFmtId="0">
      <sharedItems containsNonDate="0" containsString="0" containsBlank="1"/>
    </cacheField>
    <cacheField name="BOM item" numFmtId="0">
      <sharedItems containsSemiMixedTypes="0" containsString="0" containsNumber="1" containsInteger="1" minValue="100" maxValue="100"/>
    </cacheField>
    <cacheField name="Numerator" numFmtId="14">
      <sharedItems containsSemiMixedTypes="0" containsNonDate="0" containsDate="1" containsString="0" minDate="2012-10-11T00:00:00" maxDate="2012-11-10T00:00:00"/>
    </cacheField>
    <cacheField name="Denominator" numFmtId="0">
      <sharedItems containsSemiMixedTypes="0" containsString="0" containsNumber="1" containsInteger="1" minValue="1" maxValue="1"/>
    </cacheField>
    <cacheField name="Unit of Entry" numFmtId="4">
      <sharedItems/>
    </cacheField>
    <cacheField name="Quantity in UnE" numFmtId="4">
      <sharedItems containsSemiMixedTypes="0" containsString="0" containsNumber="1" minValue="125.16200000000001" maxValue="125.16200000000001"/>
    </cacheField>
    <cacheField name="Withdrawal Qty" numFmtId="4">
      <sharedItems containsSemiMixedTypes="0" containsString="0" containsNumber="1" containsInteger="1" minValue="0" maxValue="0"/>
    </cacheField>
    <cacheField name="Pegged reqmt" numFmtId="0">
      <sharedItems containsSemiMixedTypes="0" containsString="0" containsNumber="1" containsInteger="1" minValue="610800" maxValue="610800" count="1">
        <n v="610800"/>
      </sharedItems>
    </cacheField>
    <cacheField name="Date" numFmtId="14">
      <sharedItems containsSemiMixedTypes="0" containsNonDate="0" containsDate="1" containsString="0" minDate="2012-11-08T00:00:00" maxDate="2012-12-08T00:00:00" count="2">
        <d v="2012-11-08T00:00:00"/>
        <d v="2012-12-07T00:00:00"/>
      </sharedItems>
    </cacheField>
    <cacheField name="SafTime" numFmtId="38">
      <sharedItems containsSemiMixedTypes="0" containsString="0" containsNumber="1" containsInteger="1" minValue="20" maxValue="20"/>
    </cacheField>
    <cacheField name="Periode" numFmtId="14">
      <sharedItems count="1">
        <s v="20131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il Kumar Bottu" refreshedDate="41611.562449074074" createdVersion="4" refreshedVersion="4" minRefreshableVersion="3" recordCount="2">
  <cacheSource type="worksheet">
    <worksheetSource name="Budget"/>
  </cacheSource>
  <cacheFields count="5">
    <cacheField name="Planning plant" numFmtId="0">
      <sharedItems count="1">
        <s v="NOAR"/>
      </sharedItems>
    </cacheField>
    <cacheField name="Material" numFmtId="0">
      <sharedItems containsSemiMixedTypes="0" containsString="0" containsNumber="1" containsInteger="1" minValue="502323" maxValue="502323" count="1">
        <n v="502323"/>
      </sharedItems>
    </cacheField>
    <cacheField name="ERA" numFmtId="49">
      <sharedItems/>
    </cacheField>
    <cacheField name="Order quantity" numFmtId="38">
      <sharedItems containsSemiMixedTypes="0" containsString="0" containsNumber="1" containsInteger="1" minValue="28800" maxValue="157600"/>
    </cacheField>
    <cacheField name="Periode" numFmtId="38">
      <sharedItems count="2">
        <s v="201201"/>
        <s v="20120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nil Kumar Bottu" refreshedDate="41612.722858680558" createdVersion="4" refreshedVersion="4" minRefreshableVersion="3" recordCount="2">
  <cacheSource type="worksheet">
    <worksheetSource name="Requirements" sheet="Database"/>
  </cacheSource>
  <cacheFields count="26">
    <cacheField name="Material" numFmtId="0">
      <sharedItems containsSemiMixedTypes="0" containsString="0" containsNumber="1" containsInteger="1" minValue="502323" maxValue="502323"/>
    </cacheField>
    <cacheField name="Plant" numFmtId="0">
      <sharedItems count="1">
        <s v="NOAR"/>
      </sharedItems>
    </cacheField>
    <cacheField name="Record type" numFmtId="0">
      <sharedItems containsNonDate="0" containsString="0" containsBlank="1"/>
    </cacheField>
    <cacheField name="Deleted" numFmtId="0">
      <sharedItems containsNonDate="0" containsString="0" containsBlank="1"/>
    </cacheField>
    <cacheField name="RequirementType" numFmtId="0">
      <sharedItems count="1">
        <s v="SB"/>
      </sharedItems>
    </cacheField>
    <cacheField name="Final Issue" numFmtId="0">
      <sharedItems containsNonDate="0" containsString="0" containsBlank="1"/>
    </cacheField>
    <cacheField name="Reserv. status" numFmtId="0">
      <sharedItems containsNonDate="0" containsString="0" containsBlank="1"/>
    </cacheField>
    <cacheField name="Reqmt Date" numFmtId="14">
      <sharedItems containsSemiMixedTypes="0" containsNonDate="0" containsDate="1" containsString="0" minDate="2013-12-02T00:00:00" maxDate="2014-05-01T00:00:00"/>
    </cacheField>
    <cacheField name="Reqmt Qty" numFmtId="4">
      <sharedItems containsSemiMixedTypes="0" containsString="0" containsNumber="1" minValue="93.870999999999995" maxValue="93.870999999999995"/>
    </cacheField>
    <cacheField name="Base Unit" numFmtId="0">
      <sharedItems/>
    </cacheField>
    <cacheField name="Planned order" numFmtId="0">
      <sharedItems containsSemiMixedTypes="0" containsString="0" containsNumber="1" containsInteger="1" minValue="107698917" maxValue="107698918"/>
    </cacheField>
    <cacheField name="Purchase Req." numFmtId="0">
      <sharedItems containsNonDate="0" containsString="0" containsBlank="1"/>
    </cacheField>
    <cacheField name="Requisn Item" numFmtId="0">
      <sharedItems containsSemiMixedTypes="0" containsString="0" containsNumber="1" containsInteger="1" minValue="0" maxValue="0"/>
    </cacheField>
    <cacheField name="Purchasing Doc." numFmtId="0">
      <sharedItems containsNonDate="0" containsString="0" containsBlank="1"/>
    </cacheField>
    <cacheField name="Item" numFmtId="0">
      <sharedItems containsSemiMixedTypes="0" containsString="0" containsNumber="1" containsInteger="1" minValue="0" maxValue="0"/>
    </cacheField>
    <cacheField name="Order" numFmtId="0">
      <sharedItems containsNonDate="0" containsString="0" containsBlank="1"/>
    </cacheField>
    <cacheField name="BOM item" numFmtId="0">
      <sharedItems containsSemiMixedTypes="0" containsString="0" containsNumber="1" containsInteger="1" minValue="100" maxValue="100"/>
    </cacheField>
    <cacheField name="Numerator" numFmtId="14">
      <sharedItems containsSemiMixedTypes="0" containsNonDate="0" containsDate="1" containsString="0" minDate="1899-12-31T00:00:00" maxDate="1900-01-01T00:00:00"/>
    </cacheField>
    <cacheField name="Denominator" numFmtId="0">
      <sharedItems containsSemiMixedTypes="0" containsString="0" containsNumber="1" containsInteger="1" minValue="1" maxValue="1"/>
    </cacheField>
    <cacheField name="Unit of Entry" numFmtId="4">
      <sharedItems/>
    </cacheField>
    <cacheField name="Quantity in UnE" numFmtId="4">
      <sharedItems containsSemiMixedTypes="0" containsString="0" containsNumber="1" minValue="93.870999999999995" maxValue="93.870999999999995"/>
    </cacheField>
    <cacheField name="Withdrawal Qty" numFmtId="4">
      <sharedItems containsSemiMixedTypes="0" containsString="0" containsNumber="1" containsInteger="1" minValue="0" maxValue="0"/>
    </cacheField>
    <cacheField name="Pegged reqmt" numFmtId="0">
      <sharedItems containsSemiMixedTypes="0" containsString="0" containsNumber="1" containsInteger="1" minValue="610800" maxValue="610800" count="1">
        <n v="610800"/>
      </sharedItems>
    </cacheField>
    <cacheField name="Date" numFmtId="14">
      <sharedItems containsSemiMixedTypes="0" containsNonDate="0" containsDate="1" containsString="0" minDate="1899-12-30T00:00:00" maxDate="2013-12-03T00:00:00" count="2">
        <d v="2013-12-02T00:00:00"/>
        <d v="1899-12-30T00:00:00"/>
      </sharedItems>
    </cacheField>
    <cacheField name="SafTime" numFmtId="38">
      <sharedItems containsSemiMixedTypes="0" containsString="0" containsNumber="1" containsInteger="1" minValue="0" maxValue="20"/>
    </cacheField>
    <cacheField name="Periode" numFmtId="14">
      <sharedItems count="1">
        <s v="20131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nil Kumar Bottu" refreshedDate="41641.776033564813" createdVersion="4" refreshedVersion="4" minRefreshableVersion="3" recordCount="22">
  <cacheSource type="worksheet">
    <worksheetSource name="AllOrders"/>
  </cacheSource>
  <cacheFields count="26">
    <cacheField name="MRP elmnt ind." numFmtId="0">
      <sharedItems containsBlank="1" count="2">
        <s v="LA"/>
        <m/>
      </sharedItems>
    </cacheField>
    <cacheField name="Company Code" numFmtId="14">
      <sharedItems containsBlank="1"/>
    </cacheField>
    <cacheField name="Agreement" numFmtId="38">
      <sharedItems containsString="0" containsBlank="1" containsNumber="1" containsInteger="1" minValue="4600005103" maxValue="4600005103"/>
    </cacheField>
    <cacheField name="Incoterms" numFmtId="38">
      <sharedItems containsBlank="1"/>
    </cacheField>
    <cacheField name="Incoterms 2" numFmtId="38">
      <sharedItems containsBlank="1"/>
    </cacheField>
    <cacheField name="Payt Terms" numFmtId="38">
      <sharedItems containsBlank="1"/>
    </cacheField>
    <cacheField name="Currency" numFmtId="38">
      <sharedItems containsBlank="1"/>
    </cacheField>
    <cacheField name="Purchasing Doc." numFmtId="38">
      <sharedItems containsString="0" containsBlank="1" containsNumber="1" containsInteger="1" minValue="4500162238" maxValue="4500164506"/>
    </cacheField>
    <cacheField name="Item" numFmtId="38">
      <sharedItems containsString="0" containsBlank="1" containsNumber="1" containsInteger="1" minValue="10" maxValue="10"/>
    </cacheField>
    <cacheField name="Plant" numFmtId="38">
      <sharedItems containsBlank="1" count="2">
        <s v="NOAR"/>
        <m/>
      </sharedItems>
    </cacheField>
    <cacheField name="Vendor" numFmtId="38">
      <sharedItems containsString="0" containsBlank="1" containsNumber="1" containsInteger="1" minValue="3946" maxValue="3946"/>
    </cacheField>
    <cacheField name="Name" numFmtId="38">
      <sharedItems containsBlank="1"/>
    </cacheField>
    <cacheField name="Effective value" numFmtId="38">
      <sharedItems containsString="0" containsBlank="1" containsNumber="1" minValue="75431.09" maxValue="79621.7"/>
    </cacheField>
    <cacheField name="Net Price" numFmtId="38">
      <sharedItems containsString="0" containsBlank="1" containsNumber="1" minValue="3.45" maxValue="3.45"/>
    </cacheField>
    <cacheField name="Currency2" numFmtId="38">
      <sharedItems containsBlank="1"/>
    </cacheField>
    <cacheField name="Order Price Un." numFmtId="38">
      <sharedItems containsBlank="1"/>
    </cacheField>
    <cacheField name="Price Unit" numFmtId="38">
      <sharedItems containsString="0" containsBlank="1" containsNumber="1" containsInteger="1" minValue="1" maxValue="1"/>
    </cacheField>
    <cacheField name="Target Quantity" numFmtId="38">
      <sharedItems containsString="0" containsBlank="1" containsNumber="1" containsInteger="1" minValue="0" maxValue="0"/>
    </cacheField>
    <cacheField name="PO Quantity" numFmtId="38">
      <sharedItems containsString="0" containsBlank="1" containsNumber="1" containsInteger="1" minValue="21600" maxValue="22800"/>
    </cacheField>
    <cacheField name="Order Unit" numFmtId="38">
      <sharedItems containsBlank="1"/>
    </cacheField>
    <cacheField name="DAT01" numFmtId="14">
      <sharedItems containsNonDate="0" containsDate="1" containsString="0" containsBlank="1" minDate="2013-12-20T00:00:00" maxDate="2014-01-23T00:00:00"/>
    </cacheField>
    <cacheField name="DAT02" numFmtId="14">
      <sharedItems containsBlank="1"/>
    </cacheField>
    <cacheField name="Supplying Plant" numFmtId="14">
      <sharedItems containsNonDate="0" containsString="0" containsBlank="1"/>
    </cacheField>
    <cacheField name="Dato" numFmtId="14">
      <sharedItems containsNonDate="0" containsDate="1" containsString="0" containsBlank="1" minDate="2013-12-20T00:00:00" maxDate="2014-01-23T00:00:00"/>
    </cacheField>
    <cacheField name="GRDays" numFmtId="38">
      <sharedItems containsString="0" containsBlank="1" containsNumber="1" containsInteger="1" minValue="0" maxValue="0"/>
    </cacheField>
    <cacheField name="Period" numFmtId="14">
      <sharedItems containsBlank="1" count="5">
        <s v="201312"/>
        <s v="201401"/>
        <m/>
        <s v="201201" u="1"/>
        <s v="20120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n v="502323"/>
    <x v="0"/>
    <m/>
    <m/>
    <x v="0"/>
    <m/>
    <m/>
    <d v="2012-11-08T00:00:00"/>
    <n v="125.16200000000001"/>
    <s v="KG"/>
    <n v="80286014"/>
    <m/>
    <n v="0"/>
    <m/>
    <n v="0"/>
    <m/>
    <n v="100"/>
    <d v="2012-10-11T00:00:00"/>
    <n v="1"/>
    <s v="KG"/>
    <n v="125.16200000000001"/>
    <n v="0"/>
    <x v="0"/>
    <x v="0"/>
    <n v="20"/>
    <x v="0"/>
  </r>
  <r>
    <n v="502323"/>
    <x v="0"/>
    <m/>
    <m/>
    <x v="0"/>
    <m/>
    <m/>
    <d v="2012-12-07T00:00:00"/>
    <n v="125.16200000000001"/>
    <s v="KG"/>
    <n v="80286015"/>
    <m/>
    <n v="0"/>
    <m/>
    <n v="0"/>
    <m/>
    <n v="100"/>
    <d v="2012-11-09T00:00:00"/>
    <n v="1"/>
    <s v="KG"/>
    <n v="125.16200000000001"/>
    <n v="0"/>
    <x v="0"/>
    <x v="1"/>
    <n v="2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">
  <r>
    <x v="0"/>
    <x v="0"/>
    <s v="2012/01"/>
    <n v="157600"/>
    <x v="0"/>
  </r>
  <r>
    <x v="0"/>
    <x v="0"/>
    <s v="2012/02"/>
    <n v="28800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">
  <r>
    <n v="502323"/>
    <x v="0"/>
    <m/>
    <m/>
    <x v="0"/>
    <m/>
    <m/>
    <d v="2013-12-02T00:00:00"/>
    <n v="93.870999999999995"/>
    <s v="KG"/>
    <n v="107698917"/>
    <m/>
    <n v="0"/>
    <m/>
    <n v="0"/>
    <m/>
    <n v="100"/>
    <d v="1899-12-31T00:00:00"/>
    <n v="1"/>
    <s v="KG"/>
    <n v="93.870999999999995"/>
    <n v="0"/>
    <x v="0"/>
    <x v="0"/>
    <n v="20"/>
    <x v="0"/>
  </r>
  <r>
    <n v="502323"/>
    <x v="0"/>
    <m/>
    <m/>
    <x v="0"/>
    <m/>
    <m/>
    <d v="2014-04-30T00:00:00"/>
    <n v="93.870999999999995"/>
    <s v="KG"/>
    <n v="107698918"/>
    <m/>
    <n v="0"/>
    <m/>
    <n v="0"/>
    <m/>
    <n v="100"/>
    <d v="1899-12-31T00:00:00"/>
    <n v="1"/>
    <s v="KG"/>
    <n v="93.870999999999995"/>
    <n v="0"/>
    <x v="0"/>
    <x v="1"/>
    <n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2">
  <r>
    <x v="0"/>
    <s v="NOA"/>
    <n v="4600005103"/>
    <s v="CFR"/>
    <s v="Bergen"/>
    <s v="90NA"/>
    <s v="EUR"/>
    <n v="4500162238"/>
    <n v="10"/>
    <x v="0"/>
    <n v="3946"/>
    <s v="Transformaciones Agricolas"/>
    <n v="79621.7"/>
    <n v="3.45"/>
    <s v="EUR"/>
    <s v="KG"/>
    <n v="1"/>
    <n v="0"/>
    <n v="22800"/>
    <s v="KG"/>
    <d v="2013-12-20T00:00:00"/>
    <s v="00.00.0000"/>
    <m/>
    <d v="2013-12-20T00:00:00"/>
    <n v="0"/>
    <x v="0"/>
  </r>
  <r>
    <x v="0"/>
    <s v="NOA"/>
    <n v="4600005103"/>
    <s v="CFR"/>
    <s v="Bergen"/>
    <s v="90NA"/>
    <s v="EUR"/>
    <n v="4500164506"/>
    <n v="10"/>
    <x v="0"/>
    <n v="3946"/>
    <s v="Transformaciones Agricolas"/>
    <n v="75431.09"/>
    <n v="3.45"/>
    <s v="EUR"/>
    <s v="KG"/>
    <n v="1"/>
    <n v="0"/>
    <n v="21600"/>
    <s v="KG"/>
    <d v="2014-01-22T00:00:00"/>
    <s v="00.00.0000"/>
    <m/>
    <d v="2014-01-22T00:00:00"/>
    <n v="0"/>
    <x v="1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  <r>
    <x v="1"/>
    <m/>
    <m/>
    <m/>
    <m/>
    <m/>
    <m/>
    <m/>
    <m/>
    <x v="1"/>
    <m/>
    <m/>
    <m/>
    <m/>
    <m/>
    <m/>
    <m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ell1" cacheId="2" autoFormatId="4109" applyNumberFormats="1" applyBorderFormats="1" applyFontFormats="1" applyPatternFormats="1" applyAlignmentFormats="1" applyWidthHeightFormats="1" dataCaption="Data" updatedVersion="4" minRefreshableVersion="3" showMemberPropertyTips="0" useAutoFormatting="1" colGrandTotals="0" itemPrintTitles="1" createdVersion="3" indent="0" compact="0" compactData="0" gridDropZones="1">
  <location ref="A9:C15" firstHeaderRow="1" firstDataRow="2" firstDataCol="2" rowPageCount="2" colPageCount="1"/>
  <pivotFields count="26">
    <pivotField compact="0" outline="0" subtotalTop="0" showAll="0" includeNewItemsInFilter="1"/>
    <pivotField axis="axisCol" compact="0" outline="0" subtotalTop="0" showAll="0" insertBlankRow="1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sertBlankRow="1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dataField="1" compact="0" numFmtId="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4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axis="axisRow" compact="0" numFmtId="14" outline="0" subtotalTop="0" showAll="0" includeNewItemsInFilter="1" sortType="ascending" rankBy="0" defaultSubtotal="0">
      <items count="2">
        <item x="1"/>
        <item x="0"/>
      </items>
    </pivotField>
    <pivotField compact="0" outline="0" subtotalTop="0" showAll="0" includeNewItemsInFilter="1"/>
    <pivotField axis="axisRow" compact="0" outline="0" subtotalTop="0" showAll="0" insertBlankRow="1" includeNewItemsInFilter="1" sortType="ascending">
      <items count="2">
        <item x="0"/>
        <item t="default"/>
      </items>
    </pivotField>
  </pivotFields>
  <rowFields count="2">
    <field x="25"/>
    <field x="23"/>
  </rowFields>
  <rowItems count="5">
    <i>
      <x/>
      <x/>
    </i>
    <i r="1">
      <x v="1"/>
    </i>
    <i t="default">
      <x/>
    </i>
    <i t="blank">
      <x/>
    </i>
    <i t="grand">
      <x/>
    </i>
  </rowItems>
  <colFields count="1">
    <field x="1"/>
  </colFields>
  <colItems count="1">
    <i>
      <x/>
    </i>
  </colItems>
  <pageFields count="2">
    <pageField fld="4" hier="0"/>
    <pageField fld="22" hier="0"/>
  </pageFields>
  <dataFields count="1">
    <dataField name="Sum av Reqmt Qty" fld="8" baseField="0" baseItem="0" numFmtId="40"/>
  </dataFields>
  <formats count="3">
    <format dxfId="3">
      <pivotArea outline="0" fieldPosition="0"/>
    </format>
    <format dxfId="2">
      <pivotArea dataOnly="0" labelOnly="1" outline="0" fieldPosition="0">
        <references count="1">
          <reference field="22" count="0"/>
        </references>
      </pivotArea>
    </format>
    <format dxfId="1">
      <pivotArea outline="0" fieldPosition="0">
        <references count="1">
          <reference field="4294967294" count="1">
            <x v="0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ell1" cacheId="1" autoFormatId="4109" applyNumberFormats="1" applyBorderFormats="1" applyFontFormats="1" applyPatternFormats="1" applyAlignmentFormats="1" applyWidthHeightFormats="1" dataCaption="Data" updatedVersion="4" minRefreshableVersion="3" asteriskTotals="1" showMemberPropertyTips="0" useAutoFormatting="1" colGrandTotals="0" itemPrintTitles="1" createdVersion="3" indent="0" compact="0" compactData="0" gridDropZones="1">
  <location ref="A5:C8" firstHeaderRow="1" firstDataRow="2" firstDataCol="1" rowPageCount="1" colPageCount="1"/>
  <pivotFields count="5">
    <pivotField axis="axisRow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dataField="1" compact="0" numFmtId="38" outline="0" showAll="0" defaultSubtotal="0"/>
    <pivotField axis="axisCol" compact="0" outline="0" showAll="0" defaultSubtotal="0">
      <items count="2">
        <item x="0"/>
        <item x="1"/>
      </items>
    </pivotField>
  </pivotFields>
  <rowFields count="1">
    <field x="0"/>
  </rowFields>
  <rowItems count="2">
    <i>
      <x/>
    </i>
    <i t="grand">
      <x/>
    </i>
  </rowItems>
  <colFields count="1">
    <field x="4"/>
  </colFields>
  <colItems count="2">
    <i>
      <x/>
    </i>
    <i>
      <x v="1"/>
    </i>
  </colItems>
  <pageFields count="1">
    <pageField fld="1" hier="-1"/>
  </pageFields>
  <dataFields count="1">
    <dataField name="Summer av Order quantity" fld="3" baseField="0" baseItem="0"/>
  </dataField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ell2" cacheId="0" autoFormatId="4109" applyNumberFormats="1" applyBorderFormats="1" applyFontFormats="1" applyPatternFormats="1" applyAlignmentFormats="1" applyWidthHeightFormats="1" dataCaption="Data" updatedVersion="4" minRefreshableVersion="3" asteriskTotals="1" showMemberPropertyTips="0" useAutoFormatting="1" colGrandTotals="0" itemPrintTitles="1" createdVersion="3" indent="0" compact="0" compactData="0" gridDropZones="1">
  <location ref="A5:B8" firstHeaderRow="1" firstDataRow="2" firstDataCol="1" rowPageCount="1" colPageCount="1"/>
  <pivotFields count="26">
    <pivotField compact="0" outline="0" subtotalTop="0" showAll="0" includeNewItemsInFilter="1"/>
    <pivotField axis="axisRow" compact="0" outline="0" subtotalTop="0" showAll="0" insertBlankRow="1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dataField="1" compact="0" numFmtId="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4" outline="0" subtotalTop="0" showAll="0" includeNewItemsInFilter="1"/>
    <pivotField compact="0" numFmtId="4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 sortType="ascending">
      <items count="2">
        <item x="0"/>
        <item t="default"/>
      </items>
    </pivotField>
  </pivotFields>
  <rowFields count="1">
    <field x="1"/>
  </rowFields>
  <rowItems count="2">
    <i>
      <x/>
    </i>
    <i t="grand">
      <x/>
    </i>
  </rowItems>
  <colFields count="1">
    <field x="25"/>
  </colFields>
  <colItems count="1">
    <i>
      <x/>
    </i>
  </colItems>
  <pageFields count="1">
    <pageField fld="4" hier="0"/>
  </pageFields>
  <dataFields count="1">
    <dataField name="Sum av Reqmt Qty" fld="8" baseField="0" baseItem="0" numFmtId="38"/>
  </dataFields>
  <formats count="1">
    <format dxfId="0">
      <pivotArea outline="0" fieldPosition="0"/>
    </format>
  </format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ell1" cacheId="3" autoFormatId="4109" applyNumberFormats="1" applyBorderFormats="1" applyFontFormats="1" applyPatternFormats="1" applyAlignmentFormats="1" applyWidthHeightFormats="1" dataCaption="Data" updatedVersion="4" minRefreshableVersion="3" asteriskTotals="1" showMemberPropertyTips="0" useAutoFormatting="1" colGrandTotals="0" itemPrintTitles="1" createdVersion="3" indent="0" compact="0" compactData="0" gridDropZones="1">
  <location ref="A5:D9" firstHeaderRow="1" firstDataRow="2" firstDataCol="1" rowPageCount="1" colPageCount="1"/>
  <pivotFields count="26">
    <pivotField axis="axisPage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axis="axisRow" compact="0" outline="0" subtotalTop="0" showAll="0" includeNewItemsInFilter="1">
      <items count="3">
        <item x="0"/>
        <item x="1"/>
        <item t="default"/>
      </items>
    </pivotField>
    <pivotField compact="0" numFmtId="38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dataField="1" compact="0" numFmtId="38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38" outline="0" subtotalTop="0" showAll="0" includeNewItemsInFilter="1"/>
    <pivotField axis="axisCol" compact="0" outline="0" subtotalTop="0" showAll="0" includeNewItemsInFilter="1" sortType="ascending" rankBy="0">
      <items count="6">
        <item m="1" x="3"/>
        <item m="1" x="4"/>
        <item x="0"/>
        <item x="1"/>
        <item x="2"/>
        <item t="default"/>
      </items>
    </pivotField>
  </pivotFields>
  <rowFields count="1">
    <field x="9"/>
  </rowFields>
  <rowItems count="3">
    <i>
      <x/>
    </i>
    <i>
      <x v="1"/>
    </i>
    <i t="grand">
      <x/>
    </i>
  </rowItems>
  <colFields count="1">
    <field x="25"/>
  </colFields>
  <colItems count="3">
    <i>
      <x v="2"/>
    </i>
    <i>
      <x v="3"/>
    </i>
    <i>
      <x v="4"/>
    </i>
  </colItems>
  <pageFields count="1">
    <pageField fld="0" hier="0"/>
  </pageFields>
  <dataFields count="1">
    <dataField name="Sum av PO Quantity" fld="18" baseField="0" baseItem="0" numFmtId="38"/>
  </dataFields>
  <pivotTableStyleInfo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ell1" cacheId="3" autoFormatId="4109" applyNumberFormats="1" applyBorderFormats="1" applyFontFormats="1" applyPatternFormats="1" applyAlignmentFormats="1" applyWidthHeightFormats="1" dataCaption="Data" updatedVersion="4" minRefreshableVersion="3" asteriskTotals="1" showMemberPropertyTips="0" useAutoFormatting="1" colGrandTotals="0" itemPrintTitles="1" createdVersion="3" indent="0" compact="0" compactData="0" gridDropZones="1">
  <location ref="A5:B8" firstHeaderRow="1" firstDataRow="1" firstDataCol="1" rowPageCount="1" colPageCount="1"/>
  <pivotFields count="26">
    <pivotField axis="axisPage" compact="0" outline="0" subtotalTop="0" multipleItemSelectionAllowed="1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axis="axisRow" compact="0" outline="0" subtotalTop="0" showAll="0" includeNewItemsInFilter="1">
      <items count="3">
        <item x="0"/>
        <item x="1"/>
        <item t="default"/>
      </items>
    </pivotField>
    <pivotField compact="0" numFmtId="38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dataField="1" compact="0" numFmtId="38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</pivotFields>
  <rowFields count="1">
    <field x="9"/>
  </rowFields>
  <rowItems count="3">
    <i>
      <x/>
    </i>
    <i>
      <x v="1"/>
    </i>
    <i t="grand">
      <x/>
    </i>
  </rowItems>
  <colItems count="1">
    <i/>
  </colItems>
  <pageFields count="1">
    <pageField fld="0" hier="0"/>
  </pageFields>
  <dataFields count="1">
    <dataField name="Sum av PO Quantity" fld="18" baseField="0" baseItem="0" numFmtId="38"/>
  </dataFields>
  <pivotTableStyleInfo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ell1" cacheId="3" autoFormatId="4109" applyNumberFormats="1" applyBorderFormats="1" applyFontFormats="1" applyPatternFormats="1" applyAlignmentFormats="1" applyWidthHeightFormats="1" dataCaption="Data" updatedVersion="4" minRefreshableVersion="3" asteriskTotals="1" showMemberPropertyTips="0" useAutoFormatting="1" colGrandTotals="0" itemPrintTitles="1" createdVersion="3" indent="0" compact="0" compactData="0" gridDropZones="1">
  <location ref="A5:D9" firstHeaderRow="1" firstDataRow="2" firstDataCol="1" rowPageCount="1" colPageCount="1"/>
  <pivotFields count="26">
    <pivotField axis="axisPage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axis="axisRow" compact="0" outline="0" subtotalTop="0" showAll="0" includeNewItemsInFilter="1">
      <items count="3">
        <item x="0"/>
        <item x="1"/>
        <item t="default"/>
      </items>
    </pivotField>
    <pivotField compact="0" numFmtId="38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dataField="1" compact="0" numFmtId="38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38" outline="0" subtotalTop="0" showAll="0" includeNewItemsInFilter="1"/>
    <pivotField axis="axisCol" compact="0" outline="0" subtotalTop="0" showAll="0" includeNewItemsInFilter="1" sortType="ascending" rankBy="0">
      <items count="6">
        <item m="1" x="3"/>
        <item m="1" x="4"/>
        <item x="0"/>
        <item x="1"/>
        <item x="2"/>
        <item t="default"/>
      </items>
    </pivotField>
  </pivotFields>
  <rowFields count="1">
    <field x="9"/>
  </rowFields>
  <rowItems count="3">
    <i>
      <x/>
    </i>
    <i>
      <x v="1"/>
    </i>
    <i t="grand">
      <x/>
    </i>
  </rowItems>
  <colFields count="1">
    <field x="25"/>
  </colFields>
  <colItems count="3">
    <i>
      <x v="2"/>
    </i>
    <i>
      <x v="3"/>
    </i>
    <i>
      <x v="4"/>
    </i>
  </colItems>
  <pageFields count="1">
    <pageField fld="0" hier="0"/>
  </pageFields>
  <dataFields count="1">
    <dataField name="Sum av PO Quantity" fld="18" baseField="0" baseItem="0" numFmtId="38"/>
  </dataFields>
  <pivotTableStyleInfo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ZPC_STOCK" fillFormulas="1" connectionId="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rders" fillFormulas="1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ZPC_STOCK" fillFormulas="1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ZPC_STOCK" fillFormulas="1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ZPC_STOCK" fillFormulas="1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ZPC_STOCK" fillFormulas="1" connectionId="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2" name="ExchangeRates" displayName="ExchangeRates" ref="A1:D14" totalsRowShown="0" headerRowDxfId="18">
  <autoFilter ref="A1:D14"/>
  <tableColumns count="4">
    <tableColumn id="1" name="From"/>
    <tableColumn id="2" name="To"/>
    <tableColumn id="3" name="Valid from" dataDxfId="17"/>
    <tableColumn id="4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ProductHierarchyLevels" displayName="ProductHierarchyLevels" ref="A1:C561" totalsRowShown="0">
  <autoFilter ref="A1:C561"/>
  <tableColumns count="3">
    <tableColumn id="1" name="Product hierarchy"/>
    <tableColumn id="2" name="Number of the level in the pro"/>
    <tableColumn id="3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CustomerHierarchyLevels" displayName="CustomerHierarchyLevels" ref="A1:S536" totalsRowShown="0">
  <autoFilter ref="A1:S536"/>
  <tableColumns count="19">
    <tableColumn id="1" name="Customer"/>
    <tableColumn id="2" name="SOrg."/>
    <tableColumn id="3" name="DChl"/>
    <tableColumn id="4" name="Dv"/>
    <tableColumn id="5" name="Valid from"/>
    <tableColumn id="6" name="Valid to"/>
    <tableColumn id="7" name="HgLvCust."/>
    <tableColumn id="8" name="HLSOr"/>
    <tableColumn id="9" name="HLDCh"/>
    <tableColumn id="10" name="HLDiv"/>
    <tableColumn id="11" name="RNo"/>
    <tableColumn id="12" name="Reb."/>
    <tableColumn id="13" name="Prc"/>
    <tableColumn id="14" name="HA"/>
    <tableColumn id="15" name="Cty"/>
    <tableColumn id="16" name="Name 1"/>
    <tableColumn id="17" name="Level1" dataDxfId="16">
      <calculatedColumnFormula>IF(CustomerHierarchyLevels[[#This Row],[HgLvCust.]]=0,CustomerHierarchyLevels[[#This Row],[Customer]],CustomerHierarchyLevels[[#This Row],[HgLvCust.]])</calculatedColumnFormula>
    </tableColumn>
    <tableColumn id="18" name="Level2" dataDxfId="15">
      <calculatedColumnFormula>IF(VLOOKUP(CustomerHierarchyLevels[[#This Row],[Level1]],CustomerHierarchyLevels[],7,FALSE)=0,CustomerHierarchyLevels[[#This Row],[Level1]],VLOOKUP(CustomerHierarchyLevels[[#This Row],[Level1]],CustomerHierarchyLevels[],7,FALSE))</calculatedColumnFormula>
    </tableColumn>
    <tableColumn id="19" name="Level3" dataDxfId="14">
      <calculatedColumnFormula>IF(VLOOKUP(CustomerHierarchyLevels[[#This Row],[Level2]],CustomerHierarchyLevels[],7,FALSE)=0,CustomerHierarchyLevels[[#This Row],[Level2]],VLOOKUP(CustomerHierarchyLevels[[#This Row],[Level2]],CustomerHierarchyLevels[],7,FALSE))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Descriptions" displayName="Descriptions" ref="A1:B82" totalsRowShown="0" headerRowDxfId="13">
  <autoFilter ref="A1:B82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12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11">
      <xmlColumnPr mapId="1" xpath="/XtraSerializer/@VariantID" xmlDataType="integer"/>
    </tableColumn>
    <tableColumn id="4" uniqueName="SheetName" name="SheetName" dataDxfId="10">
      <xmlColumnPr mapId="1" xpath="/XtraSerializer/property/@SheetName" xmlDataType="string"/>
    </tableColumn>
    <tableColumn id="5" uniqueName="TableName" name="TableName" dataDxfId="9">
      <xmlColumnPr mapId="1" xpath="/XtraSerializer/property/@TableName" xmlDataType="string"/>
    </tableColumn>
    <tableColumn id="6" uniqueName="Seq" name="Seq" dataDxfId="8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7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6">
      <xmlColumnPr mapId="1" xpath="/XtraSerializer/property/property/@FieldList" xmlDataType="integer"/>
    </tableColumn>
    <tableColumn id="14" uniqueName="MissingItems" name="MissingItems" dataDxfId="5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tSectors" displayName="tSectors" ref="E1:F6" totalsRowShown="0">
  <autoFilter ref="E1:F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4"/>
    <tableColumn id="2" name="Value"/>
    <tableColumn id="3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tCustomerLevel" displayName="tCustomerLevel" ref="I4:K8" totalsRowShown="0">
  <autoFilter ref="I4:K8"/>
  <tableColumns count="3">
    <tableColumn id="1" name="Level"/>
    <tableColumn id="3" name="Column"/>
    <tableColumn id="2" name="Descrip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tProductHierarchyLevel" displayName="tProductHierarchyLevel" ref="M4:O8" totalsRowShown="0">
  <autoFilter ref="M4:O8"/>
  <tableColumns count="3">
    <tableColumn id="1" name="Level"/>
    <tableColumn id="2" name="Characters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1">
    <tabColor rgb="FFFF8080"/>
  </sheetPr>
  <dimension ref="A1:D14"/>
  <sheetViews>
    <sheetView showGridLines="0" zoomScale="85" zoomScaleNormal="85" workbookViewId="0"/>
  </sheetViews>
  <sheetFormatPr defaultColWidth="11.42578125" defaultRowHeight="15" x14ac:dyDescent="0.25"/>
  <cols>
    <col min="1" max="1" width="8.140625" bestFit="1" customWidth="1"/>
    <col min="2" max="2" width="5.85546875" bestFit="1" customWidth="1"/>
    <col min="3" max="3" width="12.42578125" bestFit="1" customWidth="1"/>
    <col min="4" max="4" width="8.42578125" bestFit="1" customWidth="1"/>
  </cols>
  <sheetData>
    <row r="1" spans="1:4" x14ac:dyDescent="0.25">
      <c r="A1" s="6" t="s">
        <v>36</v>
      </c>
      <c r="B1" s="6" t="s">
        <v>37</v>
      </c>
      <c r="C1" s="6" t="s">
        <v>38</v>
      </c>
      <c r="D1" s="6" t="s">
        <v>16</v>
      </c>
    </row>
    <row r="2" spans="1:4" x14ac:dyDescent="0.25">
      <c r="A2" t="s">
        <v>24</v>
      </c>
      <c r="B2" t="s">
        <v>7</v>
      </c>
      <c r="C2" s="10">
        <v>40909</v>
      </c>
      <c r="D2">
        <v>5.68</v>
      </c>
    </row>
    <row r="3" spans="1:4" x14ac:dyDescent="0.25">
      <c r="A3" t="s">
        <v>25</v>
      </c>
      <c r="B3" t="s">
        <v>7</v>
      </c>
      <c r="C3" s="10">
        <v>40909</v>
      </c>
      <c r="D3">
        <v>5.69</v>
      </c>
    </row>
    <row r="4" spans="1:4" x14ac:dyDescent="0.25">
      <c r="A4" t="s">
        <v>26</v>
      </c>
      <c r="B4" t="s">
        <v>7</v>
      </c>
      <c r="C4" s="10">
        <v>40909</v>
      </c>
      <c r="D4">
        <v>6.61</v>
      </c>
    </row>
    <row r="5" spans="1:4" x14ac:dyDescent="0.25">
      <c r="A5" t="s">
        <v>27</v>
      </c>
      <c r="B5" t="s">
        <v>7</v>
      </c>
      <c r="C5" s="10">
        <v>40909</v>
      </c>
      <c r="D5">
        <v>0.32900000000000001</v>
      </c>
    </row>
    <row r="6" spans="1:4" x14ac:dyDescent="0.25">
      <c r="A6" t="s">
        <v>28</v>
      </c>
      <c r="B6" t="s">
        <v>7</v>
      </c>
      <c r="C6" s="10">
        <v>40909</v>
      </c>
      <c r="D6">
        <v>1.0660000000000001</v>
      </c>
    </row>
    <row r="7" spans="1:4" x14ac:dyDescent="0.25">
      <c r="A7" t="s">
        <v>29</v>
      </c>
      <c r="B7" t="s">
        <v>7</v>
      </c>
      <c r="C7" s="10">
        <v>40909</v>
      </c>
      <c r="D7">
        <v>7.94</v>
      </c>
    </row>
    <row r="8" spans="1:4" x14ac:dyDescent="0.25">
      <c r="A8" t="s">
        <v>30</v>
      </c>
      <c r="B8" t="s">
        <v>7</v>
      </c>
      <c r="C8" s="10">
        <v>40909</v>
      </c>
      <c r="D8">
        <v>8.84</v>
      </c>
    </row>
    <row r="9" spans="1:4" x14ac:dyDescent="0.25">
      <c r="A9" t="s">
        <v>31</v>
      </c>
      <c r="B9" t="s">
        <v>7</v>
      </c>
      <c r="C9" s="10">
        <v>40909</v>
      </c>
      <c r="D9">
        <v>2.91</v>
      </c>
    </row>
    <row r="10" spans="1:4" x14ac:dyDescent="0.25">
      <c r="A10" t="s">
        <v>32</v>
      </c>
      <c r="B10" t="s">
        <v>7</v>
      </c>
      <c r="C10" s="10">
        <v>40909</v>
      </c>
      <c r="D10">
        <v>6.9</v>
      </c>
    </row>
    <row r="11" spans="1:4" x14ac:dyDescent="0.25">
      <c r="A11" t="s">
        <v>33</v>
      </c>
      <c r="B11" t="s">
        <v>7</v>
      </c>
      <c r="C11" s="10">
        <v>40909</v>
      </c>
      <c r="D11">
        <v>1.9550000000000001</v>
      </c>
    </row>
    <row r="12" spans="1:4" x14ac:dyDescent="0.25">
      <c r="A12" t="s">
        <v>34</v>
      </c>
      <c r="B12" t="s">
        <v>7</v>
      </c>
      <c r="C12" s="10">
        <v>40909</v>
      </c>
      <c r="D12">
        <v>0.85699999999999998</v>
      </c>
    </row>
    <row r="13" spans="1:4" x14ac:dyDescent="0.25">
      <c r="A13" t="s">
        <v>7</v>
      </c>
      <c r="B13" t="s">
        <v>7</v>
      </c>
      <c r="C13" s="10">
        <v>40909</v>
      </c>
      <c r="D13">
        <v>1</v>
      </c>
    </row>
    <row r="14" spans="1:4" x14ac:dyDescent="0.25">
      <c r="A14" t="s">
        <v>35</v>
      </c>
      <c r="B14" t="s">
        <v>7</v>
      </c>
      <c r="C14" s="10">
        <v>40909</v>
      </c>
      <c r="D14">
        <v>5.53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1">
    <tabColor rgb="FFFF8080"/>
  </sheetPr>
  <dimension ref="A1:C561"/>
  <sheetViews>
    <sheetView showGridLines="0" zoomScale="85" zoomScaleNormal="85" workbookViewId="0"/>
  </sheetViews>
  <sheetFormatPr defaultColWidth="11.42578125" defaultRowHeight="15" x14ac:dyDescent="0.25"/>
  <cols>
    <col min="1" max="1" width="19.42578125" bestFit="1" customWidth="1"/>
    <col min="2" max="2" width="30.140625" bestFit="1" customWidth="1"/>
    <col min="3" max="3" width="31.140625" bestFit="1" customWidth="1"/>
    <col min="4" max="4" width="9.28515625" bestFit="1" customWidth="1"/>
    <col min="5" max="6" width="9.140625" bestFit="1" customWidth="1"/>
  </cols>
  <sheetData>
    <row r="1" spans="1:3" x14ac:dyDescent="0.25">
      <c r="A1" t="s">
        <v>40</v>
      </c>
      <c r="B1" t="s">
        <v>71</v>
      </c>
      <c r="C1" t="s">
        <v>14</v>
      </c>
    </row>
    <row r="2" spans="1:3" x14ac:dyDescent="0.25">
      <c r="A2" t="s">
        <v>75</v>
      </c>
      <c r="B2">
        <v>1</v>
      </c>
      <c r="C2" t="s">
        <v>76</v>
      </c>
    </row>
    <row r="3" spans="1:3" x14ac:dyDescent="0.25">
      <c r="A3" t="s">
        <v>77</v>
      </c>
      <c r="B3">
        <v>2</v>
      </c>
      <c r="C3" t="s">
        <v>76</v>
      </c>
    </row>
    <row r="4" spans="1:3" x14ac:dyDescent="0.25">
      <c r="A4" t="s">
        <v>78</v>
      </c>
      <c r="B4">
        <v>3</v>
      </c>
      <c r="C4" t="s">
        <v>79</v>
      </c>
    </row>
    <row r="5" spans="1:3" x14ac:dyDescent="0.25">
      <c r="A5" t="s">
        <v>289</v>
      </c>
      <c r="B5">
        <v>4</v>
      </c>
      <c r="C5" t="s">
        <v>290</v>
      </c>
    </row>
    <row r="6" spans="1:3" x14ac:dyDescent="0.25">
      <c r="A6" t="s">
        <v>291</v>
      </c>
      <c r="B6">
        <v>4</v>
      </c>
      <c r="C6" t="s">
        <v>292</v>
      </c>
    </row>
    <row r="7" spans="1:3" x14ac:dyDescent="0.25">
      <c r="A7" t="s">
        <v>293</v>
      </c>
      <c r="B7">
        <v>3</v>
      </c>
      <c r="C7" t="s">
        <v>294</v>
      </c>
    </row>
    <row r="8" spans="1:3" x14ac:dyDescent="0.25">
      <c r="A8" t="s">
        <v>295</v>
      </c>
      <c r="B8">
        <v>4</v>
      </c>
      <c r="C8" t="s">
        <v>296</v>
      </c>
    </row>
    <row r="9" spans="1:3" x14ac:dyDescent="0.25">
      <c r="A9" t="s">
        <v>297</v>
      </c>
      <c r="B9">
        <v>4</v>
      </c>
      <c r="C9" t="s">
        <v>298</v>
      </c>
    </row>
    <row r="10" spans="1:3" x14ac:dyDescent="0.25">
      <c r="A10" t="s">
        <v>299</v>
      </c>
      <c r="B10">
        <v>4</v>
      </c>
      <c r="C10" t="s">
        <v>300</v>
      </c>
    </row>
    <row r="11" spans="1:3" x14ac:dyDescent="0.25">
      <c r="A11" t="s">
        <v>301</v>
      </c>
      <c r="B11">
        <v>4</v>
      </c>
      <c r="C11" t="s">
        <v>302</v>
      </c>
    </row>
    <row r="12" spans="1:3" x14ac:dyDescent="0.25">
      <c r="A12" t="s">
        <v>303</v>
      </c>
      <c r="B12">
        <v>3</v>
      </c>
      <c r="C12" t="s">
        <v>304</v>
      </c>
    </row>
    <row r="13" spans="1:3" x14ac:dyDescent="0.25">
      <c r="A13" t="s">
        <v>305</v>
      </c>
      <c r="B13">
        <v>4</v>
      </c>
      <c r="C13" t="s">
        <v>306</v>
      </c>
    </row>
    <row r="14" spans="1:3" x14ac:dyDescent="0.25">
      <c r="A14" t="s">
        <v>307</v>
      </c>
      <c r="B14">
        <v>4</v>
      </c>
      <c r="C14" t="s">
        <v>308</v>
      </c>
    </row>
    <row r="15" spans="1:3" x14ac:dyDescent="0.25">
      <c r="A15" t="s">
        <v>309</v>
      </c>
      <c r="B15">
        <v>4</v>
      </c>
      <c r="C15" t="s">
        <v>310</v>
      </c>
    </row>
    <row r="16" spans="1:3" x14ac:dyDescent="0.25">
      <c r="A16" t="s">
        <v>311</v>
      </c>
      <c r="B16">
        <v>3</v>
      </c>
      <c r="C16" t="s">
        <v>312</v>
      </c>
    </row>
    <row r="17" spans="1:3" x14ac:dyDescent="0.25">
      <c r="A17" t="s">
        <v>313</v>
      </c>
      <c r="B17">
        <v>4</v>
      </c>
      <c r="C17" t="s">
        <v>314</v>
      </c>
    </row>
    <row r="18" spans="1:3" x14ac:dyDescent="0.25">
      <c r="A18" t="s">
        <v>315</v>
      </c>
      <c r="B18">
        <v>4</v>
      </c>
      <c r="C18" t="s">
        <v>316</v>
      </c>
    </row>
    <row r="19" spans="1:3" x14ac:dyDescent="0.25">
      <c r="A19" t="s">
        <v>317</v>
      </c>
      <c r="B19">
        <v>4</v>
      </c>
      <c r="C19" t="s">
        <v>318</v>
      </c>
    </row>
    <row r="20" spans="1:3" x14ac:dyDescent="0.25">
      <c r="A20" t="s">
        <v>319</v>
      </c>
      <c r="B20">
        <v>4</v>
      </c>
      <c r="C20" t="s">
        <v>320</v>
      </c>
    </row>
    <row r="21" spans="1:3" x14ac:dyDescent="0.25">
      <c r="A21" t="s">
        <v>321</v>
      </c>
      <c r="B21">
        <v>4</v>
      </c>
      <c r="C21" t="s">
        <v>322</v>
      </c>
    </row>
    <row r="22" spans="1:3" x14ac:dyDescent="0.25">
      <c r="A22" t="s">
        <v>323</v>
      </c>
      <c r="B22">
        <v>3</v>
      </c>
      <c r="C22" t="s">
        <v>324</v>
      </c>
    </row>
    <row r="23" spans="1:3" x14ac:dyDescent="0.25">
      <c r="A23" t="s">
        <v>60</v>
      </c>
      <c r="B23">
        <v>4</v>
      </c>
      <c r="C23" t="s">
        <v>325</v>
      </c>
    </row>
    <row r="24" spans="1:3" x14ac:dyDescent="0.25">
      <c r="A24" t="s">
        <v>127</v>
      </c>
      <c r="B24">
        <v>4</v>
      </c>
      <c r="C24" t="s">
        <v>326</v>
      </c>
    </row>
    <row r="25" spans="1:3" x14ac:dyDescent="0.25">
      <c r="A25" t="s">
        <v>56</v>
      </c>
      <c r="B25">
        <v>4</v>
      </c>
      <c r="C25" t="s">
        <v>327</v>
      </c>
    </row>
    <row r="26" spans="1:3" x14ac:dyDescent="0.25">
      <c r="A26" t="s">
        <v>128</v>
      </c>
      <c r="B26">
        <v>4</v>
      </c>
      <c r="C26" t="s">
        <v>328</v>
      </c>
    </row>
    <row r="27" spans="1:3" x14ac:dyDescent="0.25">
      <c r="A27" t="s">
        <v>329</v>
      </c>
      <c r="B27">
        <v>4</v>
      </c>
      <c r="C27" t="s">
        <v>330</v>
      </c>
    </row>
    <row r="28" spans="1:3" x14ac:dyDescent="0.25">
      <c r="A28" t="s">
        <v>331</v>
      </c>
      <c r="B28">
        <v>3</v>
      </c>
      <c r="C28" t="s">
        <v>332</v>
      </c>
    </row>
    <row r="29" spans="1:3" x14ac:dyDescent="0.25">
      <c r="A29" t="s">
        <v>333</v>
      </c>
      <c r="B29">
        <v>4</v>
      </c>
      <c r="C29" t="s">
        <v>334</v>
      </c>
    </row>
    <row r="30" spans="1:3" x14ac:dyDescent="0.25">
      <c r="A30" t="s">
        <v>335</v>
      </c>
      <c r="B30">
        <v>4</v>
      </c>
      <c r="C30" t="s">
        <v>336</v>
      </c>
    </row>
    <row r="31" spans="1:3" x14ac:dyDescent="0.25">
      <c r="A31" t="s">
        <v>124</v>
      </c>
      <c r="B31">
        <v>4</v>
      </c>
      <c r="C31" t="s">
        <v>337</v>
      </c>
    </row>
    <row r="32" spans="1:3" x14ac:dyDescent="0.25">
      <c r="A32" t="s">
        <v>126</v>
      </c>
      <c r="B32">
        <v>4</v>
      </c>
      <c r="C32" t="s">
        <v>338</v>
      </c>
    </row>
    <row r="33" spans="1:3" x14ac:dyDescent="0.25">
      <c r="A33" t="s">
        <v>125</v>
      </c>
      <c r="B33">
        <v>4</v>
      </c>
      <c r="C33" t="s">
        <v>339</v>
      </c>
    </row>
    <row r="34" spans="1:3" x14ac:dyDescent="0.25">
      <c r="A34" t="s">
        <v>340</v>
      </c>
      <c r="B34">
        <v>4</v>
      </c>
      <c r="C34" t="s">
        <v>341</v>
      </c>
    </row>
    <row r="35" spans="1:3" x14ac:dyDescent="0.25">
      <c r="A35" t="s">
        <v>342</v>
      </c>
      <c r="B35">
        <v>3</v>
      </c>
      <c r="C35" t="s">
        <v>343</v>
      </c>
    </row>
    <row r="36" spans="1:3" x14ac:dyDescent="0.25">
      <c r="A36" t="s">
        <v>344</v>
      </c>
      <c r="B36">
        <v>4</v>
      </c>
      <c r="C36" t="s">
        <v>345</v>
      </c>
    </row>
    <row r="37" spans="1:3" x14ac:dyDescent="0.25">
      <c r="A37" t="s">
        <v>346</v>
      </c>
      <c r="B37">
        <v>4</v>
      </c>
      <c r="C37" t="s">
        <v>347</v>
      </c>
    </row>
    <row r="38" spans="1:3" x14ac:dyDescent="0.25">
      <c r="A38" t="s">
        <v>348</v>
      </c>
      <c r="B38">
        <v>4</v>
      </c>
      <c r="C38" t="s">
        <v>349</v>
      </c>
    </row>
    <row r="39" spans="1:3" x14ac:dyDescent="0.25">
      <c r="A39" t="s">
        <v>350</v>
      </c>
      <c r="B39">
        <v>3</v>
      </c>
      <c r="C39" t="s">
        <v>351</v>
      </c>
    </row>
    <row r="40" spans="1:3" x14ac:dyDescent="0.25">
      <c r="A40" t="s">
        <v>352</v>
      </c>
      <c r="B40">
        <v>4</v>
      </c>
      <c r="C40" t="s">
        <v>353</v>
      </c>
    </row>
    <row r="41" spans="1:3" x14ac:dyDescent="0.25">
      <c r="A41" t="s">
        <v>354</v>
      </c>
      <c r="B41">
        <v>4</v>
      </c>
      <c r="C41" t="s">
        <v>355</v>
      </c>
    </row>
    <row r="42" spans="1:3" x14ac:dyDescent="0.25">
      <c r="A42" t="s">
        <v>356</v>
      </c>
      <c r="B42">
        <v>4</v>
      </c>
      <c r="C42" t="s">
        <v>357</v>
      </c>
    </row>
    <row r="43" spans="1:3" x14ac:dyDescent="0.25">
      <c r="A43" t="s">
        <v>358</v>
      </c>
      <c r="B43">
        <v>4</v>
      </c>
      <c r="C43" t="s">
        <v>359</v>
      </c>
    </row>
    <row r="44" spans="1:3" x14ac:dyDescent="0.25">
      <c r="A44" t="s">
        <v>360</v>
      </c>
      <c r="B44">
        <v>4</v>
      </c>
      <c r="C44" t="s">
        <v>361</v>
      </c>
    </row>
    <row r="45" spans="1:3" x14ac:dyDescent="0.25">
      <c r="A45" t="s">
        <v>362</v>
      </c>
      <c r="B45">
        <v>4</v>
      </c>
      <c r="C45" t="s">
        <v>363</v>
      </c>
    </row>
    <row r="46" spans="1:3" x14ac:dyDescent="0.25">
      <c r="A46" t="s">
        <v>364</v>
      </c>
      <c r="B46">
        <v>4</v>
      </c>
      <c r="C46" t="s">
        <v>365</v>
      </c>
    </row>
    <row r="47" spans="1:3" x14ac:dyDescent="0.25">
      <c r="A47" t="s">
        <v>366</v>
      </c>
      <c r="B47">
        <v>4</v>
      </c>
      <c r="C47" t="s">
        <v>367</v>
      </c>
    </row>
    <row r="48" spans="1:3" x14ac:dyDescent="0.25">
      <c r="A48" t="s">
        <v>368</v>
      </c>
      <c r="B48">
        <v>4</v>
      </c>
      <c r="C48" t="s">
        <v>369</v>
      </c>
    </row>
    <row r="49" spans="1:3" x14ac:dyDescent="0.25">
      <c r="A49" t="s">
        <v>370</v>
      </c>
      <c r="B49">
        <v>4</v>
      </c>
      <c r="C49" t="s">
        <v>371</v>
      </c>
    </row>
    <row r="50" spans="1:3" x14ac:dyDescent="0.25">
      <c r="A50" t="s">
        <v>372</v>
      </c>
      <c r="B50">
        <v>4</v>
      </c>
      <c r="C50" t="s">
        <v>373</v>
      </c>
    </row>
    <row r="51" spans="1:3" x14ac:dyDescent="0.25">
      <c r="A51" t="s">
        <v>374</v>
      </c>
      <c r="B51">
        <v>3</v>
      </c>
      <c r="C51" t="s">
        <v>375</v>
      </c>
    </row>
    <row r="52" spans="1:3" x14ac:dyDescent="0.25">
      <c r="A52" t="s">
        <v>376</v>
      </c>
      <c r="B52">
        <v>4</v>
      </c>
      <c r="C52" t="s">
        <v>377</v>
      </c>
    </row>
    <row r="53" spans="1:3" x14ac:dyDescent="0.25">
      <c r="A53" t="s">
        <v>378</v>
      </c>
      <c r="B53">
        <v>4</v>
      </c>
      <c r="C53" t="s">
        <v>379</v>
      </c>
    </row>
    <row r="54" spans="1:3" x14ac:dyDescent="0.25">
      <c r="A54" t="s">
        <v>380</v>
      </c>
      <c r="B54">
        <v>4</v>
      </c>
      <c r="C54" t="s">
        <v>381</v>
      </c>
    </row>
    <row r="55" spans="1:3" x14ac:dyDescent="0.25">
      <c r="A55" t="s">
        <v>382</v>
      </c>
      <c r="B55">
        <v>4</v>
      </c>
      <c r="C55" t="s">
        <v>383</v>
      </c>
    </row>
    <row r="56" spans="1:3" x14ac:dyDescent="0.25">
      <c r="A56" t="s">
        <v>384</v>
      </c>
      <c r="B56">
        <v>4</v>
      </c>
      <c r="C56" t="s">
        <v>385</v>
      </c>
    </row>
    <row r="57" spans="1:3" x14ac:dyDescent="0.25">
      <c r="A57" t="s">
        <v>386</v>
      </c>
      <c r="B57">
        <v>4</v>
      </c>
      <c r="C57" t="s">
        <v>387</v>
      </c>
    </row>
    <row r="58" spans="1:3" x14ac:dyDescent="0.25">
      <c r="A58" t="s">
        <v>388</v>
      </c>
      <c r="B58">
        <v>1</v>
      </c>
      <c r="C58" t="s">
        <v>389</v>
      </c>
    </row>
    <row r="59" spans="1:3" x14ac:dyDescent="0.25">
      <c r="A59" t="s">
        <v>390</v>
      </c>
      <c r="B59">
        <v>2</v>
      </c>
      <c r="C59" t="s">
        <v>391</v>
      </c>
    </row>
    <row r="60" spans="1:3" x14ac:dyDescent="0.25">
      <c r="A60" t="s">
        <v>392</v>
      </c>
      <c r="B60">
        <v>3</v>
      </c>
      <c r="C60" t="s">
        <v>391</v>
      </c>
    </row>
    <row r="61" spans="1:3" x14ac:dyDescent="0.25">
      <c r="A61" t="s">
        <v>393</v>
      </c>
      <c r="B61">
        <v>4</v>
      </c>
      <c r="C61" t="s">
        <v>394</v>
      </c>
    </row>
    <row r="62" spans="1:3" x14ac:dyDescent="0.25">
      <c r="A62" t="s">
        <v>158</v>
      </c>
      <c r="B62">
        <v>4</v>
      </c>
      <c r="C62" t="s">
        <v>395</v>
      </c>
    </row>
    <row r="63" spans="1:3" x14ac:dyDescent="0.25">
      <c r="A63" t="s">
        <v>160</v>
      </c>
      <c r="B63">
        <v>4</v>
      </c>
      <c r="C63" t="s">
        <v>396</v>
      </c>
    </row>
    <row r="64" spans="1:3" x14ac:dyDescent="0.25">
      <c r="A64" t="s">
        <v>242</v>
      </c>
      <c r="B64">
        <v>4</v>
      </c>
      <c r="C64" t="s">
        <v>397</v>
      </c>
    </row>
    <row r="65" spans="1:3" x14ac:dyDescent="0.25">
      <c r="A65" t="s">
        <v>159</v>
      </c>
      <c r="B65">
        <v>4</v>
      </c>
      <c r="C65" t="s">
        <v>398</v>
      </c>
    </row>
    <row r="66" spans="1:3" x14ac:dyDescent="0.25">
      <c r="A66" t="s">
        <v>399</v>
      </c>
      <c r="B66">
        <v>4</v>
      </c>
      <c r="C66" t="s">
        <v>400</v>
      </c>
    </row>
    <row r="67" spans="1:3" x14ac:dyDescent="0.25">
      <c r="A67" t="s">
        <v>142</v>
      </c>
      <c r="B67">
        <v>4</v>
      </c>
      <c r="C67" t="s">
        <v>401</v>
      </c>
    </row>
    <row r="68" spans="1:3" x14ac:dyDescent="0.25">
      <c r="A68" t="s">
        <v>402</v>
      </c>
      <c r="B68">
        <v>4</v>
      </c>
      <c r="C68" t="s">
        <v>403</v>
      </c>
    </row>
    <row r="69" spans="1:3" x14ac:dyDescent="0.25">
      <c r="A69" t="s">
        <v>217</v>
      </c>
      <c r="B69">
        <v>4</v>
      </c>
      <c r="C69" t="s">
        <v>404</v>
      </c>
    </row>
    <row r="70" spans="1:3" x14ac:dyDescent="0.25">
      <c r="A70" t="s">
        <v>405</v>
      </c>
      <c r="B70">
        <v>3</v>
      </c>
      <c r="C70" t="s">
        <v>406</v>
      </c>
    </row>
    <row r="71" spans="1:3" x14ac:dyDescent="0.25">
      <c r="A71" t="s">
        <v>407</v>
      </c>
      <c r="B71">
        <v>2</v>
      </c>
      <c r="C71" t="s">
        <v>408</v>
      </c>
    </row>
    <row r="72" spans="1:3" x14ac:dyDescent="0.25">
      <c r="A72" t="s">
        <v>409</v>
      </c>
      <c r="B72">
        <v>3</v>
      </c>
      <c r="C72" t="s">
        <v>410</v>
      </c>
    </row>
    <row r="73" spans="1:3" x14ac:dyDescent="0.25">
      <c r="A73" t="s">
        <v>411</v>
      </c>
      <c r="B73">
        <v>4</v>
      </c>
      <c r="C73" t="s">
        <v>412</v>
      </c>
    </row>
    <row r="74" spans="1:3" x14ac:dyDescent="0.25">
      <c r="A74" t="s">
        <v>413</v>
      </c>
      <c r="B74">
        <v>3</v>
      </c>
      <c r="C74" t="s">
        <v>414</v>
      </c>
    </row>
    <row r="75" spans="1:3" x14ac:dyDescent="0.25">
      <c r="A75" t="s">
        <v>415</v>
      </c>
      <c r="B75">
        <v>3</v>
      </c>
      <c r="C75" t="s">
        <v>416</v>
      </c>
    </row>
    <row r="76" spans="1:3" x14ac:dyDescent="0.25">
      <c r="A76" t="s">
        <v>417</v>
      </c>
      <c r="B76">
        <v>2</v>
      </c>
      <c r="C76" t="s">
        <v>418</v>
      </c>
    </row>
    <row r="77" spans="1:3" x14ac:dyDescent="0.25">
      <c r="A77" t="s">
        <v>419</v>
      </c>
      <c r="B77">
        <v>3</v>
      </c>
      <c r="C77" t="s">
        <v>420</v>
      </c>
    </row>
    <row r="78" spans="1:3" x14ac:dyDescent="0.25">
      <c r="A78" t="s">
        <v>138</v>
      </c>
      <c r="B78">
        <v>4</v>
      </c>
      <c r="C78" t="s">
        <v>421</v>
      </c>
    </row>
    <row r="79" spans="1:3" x14ac:dyDescent="0.25">
      <c r="A79" t="s">
        <v>139</v>
      </c>
      <c r="B79">
        <v>4</v>
      </c>
      <c r="C79" t="s">
        <v>422</v>
      </c>
    </row>
    <row r="80" spans="1:3" x14ac:dyDescent="0.25">
      <c r="A80" t="s">
        <v>259</v>
      </c>
      <c r="B80">
        <v>4</v>
      </c>
      <c r="C80" t="s">
        <v>423</v>
      </c>
    </row>
    <row r="81" spans="1:3" x14ac:dyDescent="0.25">
      <c r="A81" t="s">
        <v>424</v>
      </c>
      <c r="B81">
        <v>4</v>
      </c>
      <c r="C81" t="s">
        <v>425</v>
      </c>
    </row>
    <row r="82" spans="1:3" x14ac:dyDescent="0.25">
      <c r="A82" t="s">
        <v>426</v>
      </c>
      <c r="B82">
        <v>4</v>
      </c>
      <c r="C82" t="s">
        <v>427</v>
      </c>
    </row>
    <row r="83" spans="1:3" x14ac:dyDescent="0.25">
      <c r="A83" t="s">
        <v>428</v>
      </c>
      <c r="B83">
        <v>4</v>
      </c>
      <c r="C83" t="s">
        <v>429</v>
      </c>
    </row>
    <row r="84" spans="1:3" x14ac:dyDescent="0.25">
      <c r="A84" t="s">
        <v>430</v>
      </c>
      <c r="B84">
        <v>4</v>
      </c>
      <c r="C84" t="s">
        <v>431</v>
      </c>
    </row>
    <row r="85" spans="1:3" x14ac:dyDescent="0.25">
      <c r="A85" t="s">
        <v>432</v>
      </c>
      <c r="B85">
        <v>4</v>
      </c>
      <c r="C85" t="s">
        <v>433</v>
      </c>
    </row>
    <row r="86" spans="1:3" x14ac:dyDescent="0.25">
      <c r="A86" t="s">
        <v>434</v>
      </c>
      <c r="B86">
        <v>3</v>
      </c>
      <c r="C86" t="s">
        <v>435</v>
      </c>
    </row>
    <row r="87" spans="1:3" x14ac:dyDescent="0.25">
      <c r="A87" t="s">
        <v>436</v>
      </c>
      <c r="B87">
        <v>4</v>
      </c>
      <c r="C87" t="s">
        <v>437</v>
      </c>
    </row>
    <row r="88" spans="1:3" x14ac:dyDescent="0.25">
      <c r="A88" t="s">
        <v>438</v>
      </c>
      <c r="B88">
        <v>4</v>
      </c>
      <c r="C88" t="s">
        <v>439</v>
      </c>
    </row>
    <row r="89" spans="1:3" x14ac:dyDescent="0.25">
      <c r="A89" t="s">
        <v>440</v>
      </c>
      <c r="B89">
        <v>4</v>
      </c>
      <c r="C89" t="s">
        <v>441</v>
      </c>
    </row>
    <row r="90" spans="1:3" x14ac:dyDescent="0.25">
      <c r="A90" t="s">
        <v>442</v>
      </c>
      <c r="B90">
        <v>4</v>
      </c>
      <c r="C90" t="s">
        <v>443</v>
      </c>
    </row>
    <row r="91" spans="1:3" x14ac:dyDescent="0.25">
      <c r="A91" t="s">
        <v>141</v>
      </c>
      <c r="B91">
        <v>4</v>
      </c>
      <c r="C91" t="s">
        <v>444</v>
      </c>
    </row>
    <row r="92" spans="1:3" x14ac:dyDescent="0.25">
      <c r="A92" t="s">
        <v>445</v>
      </c>
      <c r="B92">
        <v>4</v>
      </c>
      <c r="C92" t="s">
        <v>446</v>
      </c>
    </row>
    <row r="93" spans="1:3" x14ac:dyDescent="0.25">
      <c r="A93" t="s">
        <v>447</v>
      </c>
      <c r="B93">
        <v>4</v>
      </c>
      <c r="C93" t="s">
        <v>448</v>
      </c>
    </row>
    <row r="94" spans="1:3" x14ac:dyDescent="0.25">
      <c r="A94" t="s">
        <v>449</v>
      </c>
      <c r="B94">
        <v>4</v>
      </c>
      <c r="C94" t="s">
        <v>450</v>
      </c>
    </row>
    <row r="95" spans="1:3" x14ac:dyDescent="0.25">
      <c r="A95" t="s">
        <v>451</v>
      </c>
      <c r="B95">
        <v>3</v>
      </c>
      <c r="C95" t="s">
        <v>452</v>
      </c>
    </row>
    <row r="96" spans="1:3" x14ac:dyDescent="0.25">
      <c r="A96" t="s">
        <v>144</v>
      </c>
      <c r="B96">
        <v>4</v>
      </c>
      <c r="C96" t="s">
        <v>453</v>
      </c>
    </row>
    <row r="97" spans="1:3" x14ac:dyDescent="0.25">
      <c r="A97" t="s">
        <v>454</v>
      </c>
      <c r="B97">
        <v>4</v>
      </c>
      <c r="C97" t="s">
        <v>455</v>
      </c>
    </row>
    <row r="98" spans="1:3" x14ac:dyDescent="0.25">
      <c r="A98" t="s">
        <v>456</v>
      </c>
      <c r="B98">
        <v>3</v>
      </c>
      <c r="C98" t="s">
        <v>457</v>
      </c>
    </row>
    <row r="99" spans="1:3" x14ac:dyDescent="0.25">
      <c r="A99" t="s">
        <v>458</v>
      </c>
      <c r="B99">
        <v>4</v>
      </c>
      <c r="C99" t="s">
        <v>459</v>
      </c>
    </row>
    <row r="100" spans="1:3" x14ac:dyDescent="0.25">
      <c r="A100" t="s">
        <v>460</v>
      </c>
      <c r="B100">
        <v>4</v>
      </c>
      <c r="C100" t="s">
        <v>461</v>
      </c>
    </row>
    <row r="101" spans="1:3" x14ac:dyDescent="0.25">
      <c r="A101" t="s">
        <v>462</v>
      </c>
      <c r="B101">
        <v>4</v>
      </c>
      <c r="C101" t="s">
        <v>463</v>
      </c>
    </row>
    <row r="102" spans="1:3" x14ac:dyDescent="0.25">
      <c r="A102" t="s">
        <v>464</v>
      </c>
      <c r="B102">
        <v>4</v>
      </c>
      <c r="C102" t="s">
        <v>465</v>
      </c>
    </row>
    <row r="103" spans="1:3" x14ac:dyDescent="0.25">
      <c r="A103" t="s">
        <v>466</v>
      </c>
      <c r="B103">
        <v>4</v>
      </c>
      <c r="C103" t="s">
        <v>467</v>
      </c>
    </row>
    <row r="104" spans="1:3" x14ac:dyDescent="0.25">
      <c r="A104" t="s">
        <v>143</v>
      </c>
      <c r="B104">
        <v>4</v>
      </c>
      <c r="C104" t="s">
        <v>468</v>
      </c>
    </row>
    <row r="105" spans="1:3" x14ac:dyDescent="0.25">
      <c r="A105" t="s">
        <v>469</v>
      </c>
      <c r="B105">
        <v>4</v>
      </c>
      <c r="C105" t="s">
        <v>470</v>
      </c>
    </row>
    <row r="106" spans="1:3" x14ac:dyDescent="0.25">
      <c r="A106" t="s">
        <v>471</v>
      </c>
      <c r="B106">
        <v>4</v>
      </c>
      <c r="C106" t="s">
        <v>472</v>
      </c>
    </row>
    <row r="107" spans="1:3" x14ac:dyDescent="0.25">
      <c r="A107" t="s">
        <v>473</v>
      </c>
      <c r="B107">
        <v>2</v>
      </c>
      <c r="C107" t="s">
        <v>474</v>
      </c>
    </row>
    <row r="108" spans="1:3" x14ac:dyDescent="0.25">
      <c r="A108" t="s">
        <v>475</v>
      </c>
      <c r="B108">
        <v>3</v>
      </c>
      <c r="C108" t="s">
        <v>476</v>
      </c>
    </row>
    <row r="109" spans="1:3" x14ac:dyDescent="0.25">
      <c r="A109" t="s">
        <v>148</v>
      </c>
      <c r="B109">
        <v>4</v>
      </c>
      <c r="C109" t="s">
        <v>477</v>
      </c>
    </row>
    <row r="110" spans="1:3" x14ac:dyDescent="0.25">
      <c r="A110" t="s">
        <v>149</v>
      </c>
      <c r="B110">
        <v>4</v>
      </c>
      <c r="C110" t="s">
        <v>478</v>
      </c>
    </row>
    <row r="111" spans="1:3" x14ac:dyDescent="0.25">
      <c r="A111" t="s">
        <v>203</v>
      </c>
      <c r="B111">
        <v>4</v>
      </c>
      <c r="C111" t="s">
        <v>479</v>
      </c>
    </row>
    <row r="112" spans="1:3" x14ac:dyDescent="0.25">
      <c r="A112" t="s">
        <v>271</v>
      </c>
      <c r="B112">
        <v>4</v>
      </c>
      <c r="C112" t="s">
        <v>480</v>
      </c>
    </row>
    <row r="113" spans="1:3" x14ac:dyDescent="0.25">
      <c r="A113" t="s">
        <v>481</v>
      </c>
      <c r="B113">
        <v>4</v>
      </c>
      <c r="C113" t="s">
        <v>482</v>
      </c>
    </row>
    <row r="114" spans="1:3" x14ac:dyDescent="0.25">
      <c r="A114" t="s">
        <v>483</v>
      </c>
      <c r="B114">
        <v>3</v>
      </c>
      <c r="C114" t="s">
        <v>484</v>
      </c>
    </row>
    <row r="115" spans="1:3" x14ac:dyDescent="0.25">
      <c r="A115" t="s">
        <v>485</v>
      </c>
      <c r="B115">
        <v>4</v>
      </c>
      <c r="C115" t="s">
        <v>486</v>
      </c>
    </row>
    <row r="116" spans="1:3" x14ac:dyDescent="0.25">
      <c r="A116" t="s">
        <v>487</v>
      </c>
      <c r="B116">
        <v>4</v>
      </c>
      <c r="C116" t="s">
        <v>488</v>
      </c>
    </row>
    <row r="117" spans="1:3" x14ac:dyDescent="0.25">
      <c r="A117" t="s">
        <v>489</v>
      </c>
      <c r="B117">
        <v>4</v>
      </c>
      <c r="C117" t="s">
        <v>490</v>
      </c>
    </row>
    <row r="118" spans="1:3" x14ac:dyDescent="0.25">
      <c r="A118" t="s">
        <v>150</v>
      </c>
      <c r="B118">
        <v>4</v>
      </c>
      <c r="C118" t="s">
        <v>491</v>
      </c>
    </row>
    <row r="119" spans="1:3" x14ac:dyDescent="0.25">
      <c r="A119" t="s">
        <v>492</v>
      </c>
      <c r="B119">
        <v>3</v>
      </c>
      <c r="C119" t="s">
        <v>493</v>
      </c>
    </row>
    <row r="120" spans="1:3" x14ac:dyDescent="0.25">
      <c r="A120" t="s">
        <v>210</v>
      </c>
      <c r="B120">
        <v>4</v>
      </c>
      <c r="C120" t="s">
        <v>494</v>
      </c>
    </row>
    <row r="121" spans="1:3" x14ac:dyDescent="0.25">
      <c r="A121" t="s">
        <v>196</v>
      </c>
      <c r="B121">
        <v>4</v>
      </c>
      <c r="C121" t="s">
        <v>495</v>
      </c>
    </row>
    <row r="122" spans="1:3" x14ac:dyDescent="0.25">
      <c r="A122" t="s">
        <v>229</v>
      </c>
      <c r="B122">
        <v>4</v>
      </c>
      <c r="C122" t="s">
        <v>496</v>
      </c>
    </row>
    <row r="123" spans="1:3" x14ac:dyDescent="0.25">
      <c r="A123" t="s">
        <v>245</v>
      </c>
      <c r="B123">
        <v>4</v>
      </c>
      <c r="C123" t="s">
        <v>497</v>
      </c>
    </row>
    <row r="124" spans="1:3" x14ac:dyDescent="0.25">
      <c r="A124" t="s">
        <v>498</v>
      </c>
      <c r="B124">
        <v>4</v>
      </c>
      <c r="C124" t="s">
        <v>499</v>
      </c>
    </row>
    <row r="125" spans="1:3" x14ac:dyDescent="0.25">
      <c r="A125" t="s">
        <v>500</v>
      </c>
      <c r="B125">
        <v>3</v>
      </c>
      <c r="C125" t="s">
        <v>501</v>
      </c>
    </row>
    <row r="126" spans="1:3" x14ac:dyDescent="0.25">
      <c r="A126" t="s">
        <v>502</v>
      </c>
      <c r="B126">
        <v>4</v>
      </c>
      <c r="C126" t="s">
        <v>503</v>
      </c>
    </row>
    <row r="127" spans="1:3" x14ac:dyDescent="0.25">
      <c r="A127" t="s">
        <v>504</v>
      </c>
      <c r="B127">
        <v>2</v>
      </c>
      <c r="C127" t="s">
        <v>505</v>
      </c>
    </row>
    <row r="128" spans="1:3" x14ac:dyDescent="0.25">
      <c r="A128" t="s">
        <v>506</v>
      </c>
      <c r="B128">
        <v>3</v>
      </c>
      <c r="C128" t="s">
        <v>507</v>
      </c>
    </row>
    <row r="129" spans="1:3" x14ac:dyDescent="0.25">
      <c r="A129" t="s">
        <v>151</v>
      </c>
      <c r="B129">
        <v>4</v>
      </c>
      <c r="C129" t="s">
        <v>507</v>
      </c>
    </row>
    <row r="130" spans="1:3" x14ac:dyDescent="0.25">
      <c r="A130" t="s">
        <v>508</v>
      </c>
      <c r="B130">
        <v>3</v>
      </c>
      <c r="C130" t="s">
        <v>509</v>
      </c>
    </row>
    <row r="131" spans="1:3" x14ac:dyDescent="0.25">
      <c r="A131" t="s">
        <v>510</v>
      </c>
      <c r="B131">
        <v>4</v>
      </c>
      <c r="C131" t="s">
        <v>511</v>
      </c>
    </row>
    <row r="132" spans="1:3" x14ac:dyDescent="0.25">
      <c r="A132" t="s">
        <v>512</v>
      </c>
      <c r="B132">
        <v>4</v>
      </c>
      <c r="C132" t="s">
        <v>513</v>
      </c>
    </row>
    <row r="133" spans="1:3" x14ac:dyDescent="0.25">
      <c r="A133" t="s">
        <v>514</v>
      </c>
      <c r="B133">
        <v>3</v>
      </c>
      <c r="C133" t="s">
        <v>515</v>
      </c>
    </row>
    <row r="134" spans="1:3" x14ac:dyDescent="0.25">
      <c r="A134" t="s">
        <v>119</v>
      </c>
      <c r="B134">
        <v>4</v>
      </c>
      <c r="C134" t="s">
        <v>516</v>
      </c>
    </row>
    <row r="135" spans="1:3" x14ac:dyDescent="0.25">
      <c r="A135" t="s">
        <v>517</v>
      </c>
      <c r="B135">
        <v>3</v>
      </c>
      <c r="C135" t="s">
        <v>518</v>
      </c>
    </row>
    <row r="136" spans="1:3" x14ac:dyDescent="0.25">
      <c r="A136" t="s">
        <v>519</v>
      </c>
      <c r="B136">
        <v>4</v>
      </c>
      <c r="C136" t="s">
        <v>520</v>
      </c>
    </row>
    <row r="137" spans="1:3" x14ac:dyDescent="0.25">
      <c r="A137" t="s">
        <v>521</v>
      </c>
      <c r="B137">
        <v>3</v>
      </c>
      <c r="C137" t="s">
        <v>522</v>
      </c>
    </row>
    <row r="138" spans="1:3" x14ac:dyDescent="0.25">
      <c r="A138" t="s">
        <v>523</v>
      </c>
      <c r="B138">
        <v>4</v>
      </c>
      <c r="C138" t="s">
        <v>522</v>
      </c>
    </row>
    <row r="139" spans="1:3" x14ac:dyDescent="0.25">
      <c r="A139" t="s">
        <v>524</v>
      </c>
      <c r="B139">
        <v>3</v>
      </c>
      <c r="C139" t="s">
        <v>525</v>
      </c>
    </row>
    <row r="140" spans="1:3" x14ac:dyDescent="0.25">
      <c r="A140" t="s">
        <v>526</v>
      </c>
      <c r="B140">
        <v>4</v>
      </c>
      <c r="C140" t="s">
        <v>525</v>
      </c>
    </row>
    <row r="141" spans="1:3" x14ac:dyDescent="0.25">
      <c r="A141" t="s">
        <v>527</v>
      </c>
      <c r="B141">
        <v>3</v>
      </c>
      <c r="C141" t="s">
        <v>528</v>
      </c>
    </row>
    <row r="142" spans="1:3" x14ac:dyDescent="0.25">
      <c r="A142" t="s">
        <v>529</v>
      </c>
      <c r="B142">
        <v>4</v>
      </c>
      <c r="C142" t="s">
        <v>530</v>
      </c>
    </row>
    <row r="143" spans="1:3" x14ac:dyDescent="0.25">
      <c r="A143" t="s">
        <v>531</v>
      </c>
      <c r="B143">
        <v>4</v>
      </c>
      <c r="C143" t="s">
        <v>532</v>
      </c>
    </row>
    <row r="144" spans="1:3" x14ac:dyDescent="0.25">
      <c r="A144" t="s">
        <v>533</v>
      </c>
      <c r="B144">
        <v>3</v>
      </c>
      <c r="C144" t="s">
        <v>534</v>
      </c>
    </row>
    <row r="145" spans="1:3" x14ac:dyDescent="0.25">
      <c r="A145" t="s">
        <v>535</v>
      </c>
      <c r="B145">
        <v>4</v>
      </c>
      <c r="C145" t="s">
        <v>536</v>
      </c>
    </row>
    <row r="146" spans="1:3" x14ac:dyDescent="0.25">
      <c r="A146" t="s">
        <v>537</v>
      </c>
      <c r="B146">
        <v>2</v>
      </c>
      <c r="C146" t="s">
        <v>538</v>
      </c>
    </row>
    <row r="147" spans="1:3" x14ac:dyDescent="0.25">
      <c r="A147" t="s">
        <v>539</v>
      </c>
      <c r="B147">
        <v>3</v>
      </c>
      <c r="C147" t="s">
        <v>540</v>
      </c>
    </row>
    <row r="148" spans="1:3" x14ac:dyDescent="0.25">
      <c r="A148" t="s">
        <v>541</v>
      </c>
      <c r="B148">
        <v>4</v>
      </c>
      <c r="C148" t="s">
        <v>542</v>
      </c>
    </row>
    <row r="149" spans="1:3" x14ac:dyDescent="0.25">
      <c r="A149" t="s">
        <v>543</v>
      </c>
      <c r="B149">
        <v>4</v>
      </c>
      <c r="C149" t="s">
        <v>544</v>
      </c>
    </row>
    <row r="150" spans="1:3" x14ac:dyDescent="0.25">
      <c r="A150" t="s">
        <v>545</v>
      </c>
      <c r="B150">
        <v>2</v>
      </c>
      <c r="C150" t="s">
        <v>546</v>
      </c>
    </row>
    <row r="151" spans="1:3" x14ac:dyDescent="0.25">
      <c r="A151" t="s">
        <v>547</v>
      </c>
      <c r="B151">
        <v>3</v>
      </c>
      <c r="C151" t="s">
        <v>546</v>
      </c>
    </row>
    <row r="152" spans="1:3" x14ac:dyDescent="0.25">
      <c r="A152" t="s">
        <v>198</v>
      </c>
      <c r="B152">
        <v>4</v>
      </c>
      <c r="C152" t="s">
        <v>548</v>
      </c>
    </row>
    <row r="153" spans="1:3" x14ac:dyDescent="0.25">
      <c r="A153" t="s">
        <v>549</v>
      </c>
      <c r="B153">
        <v>4</v>
      </c>
      <c r="C153" t="s">
        <v>550</v>
      </c>
    </row>
    <row r="154" spans="1:3" x14ac:dyDescent="0.25">
      <c r="A154" t="s">
        <v>551</v>
      </c>
      <c r="B154">
        <v>1</v>
      </c>
      <c r="C154" t="s">
        <v>552</v>
      </c>
    </row>
    <row r="155" spans="1:3" x14ac:dyDescent="0.25">
      <c r="A155" t="s">
        <v>553</v>
      </c>
      <c r="B155">
        <v>2</v>
      </c>
      <c r="C155" t="s">
        <v>552</v>
      </c>
    </row>
    <row r="156" spans="1:3" x14ac:dyDescent="0.25">
      <c r="A156" t="s">
        <v>554</v>
      </c>
      <c r="B156">
        <v>3</v>
      </c>
      <c r="C156" t="s">
        <v>555</v>
      </c>
    </row>
    <row r="157" spans="1:3" x14ac:dyDescent="0.25">
      <c r="A157" t="s">
        <v>556</v>
      </c>
      <c r="B157">
        <v>4</v>
      </c>
      <c r="C157" t="s">
        <v>555</v>
      </c>
    </row>
    <row r="158" spans="1:3" x14ac:dyDescent="0.25">
      <c r="A158" t="s">
        <v>122</v>
      </c>
      <c r="B158">
        <v>4</v>
      </c>
      <c r="C158" t="s">
        <v>557</v>
      </c>
    </row>
    <row r="159" spans="1:3" x14ac:dyDescent="0.25">
      <c r="A159" t="s">
        <v>121</v>
      </c>
      <c r="B159">
        <v>4</v>
      </c>
      <c r="C159" t="s">
        <v>558</v>
      </c>
    </row>
    <row r="160" spans="1:3" x14ac:dyDescent="0.25">
      <c r="A160" t="s">
        <v>269</v>
      </c>
      <c r="B160">
        <v>4</v>
      </c>
      <c r="C160" t="s">
        <v>559</v>
      </c>
    </row>
    <row r="161" spans="1:3" x14ac:dyDescent="0.25">
      <c r="A161" t="s">
        <v>560</v>
      </c>
      <c r="B161">
        <v>4</v>
      </c>
      <c r="C161" t="s">
        <v>561</v>
      </c>
    </row>
    <row r="162" spans="1:3" x14ac:dyDescent="0.25">
      <c r="A162" t="s">
        <v>562</v>
      </c>
      <c r="B162">
        <v>3</v>
      </c>
      <c r="C162" t="s">
        <v>557</v>
      </c>
    </row>
    <row r="163" spans="1:3" x14ac:dyDescent="0.25">
      <c r="A163" t="s">
        <v>563</v>
      </c>
      <c r="B163">
        <v>2</v>
      </c>
      <c r="C163" t="s">
        <v>564</v>
      </c>
    </row>
    <row r="164" spans="1:3" x14ac:dyDescent="0.25">
      <c r="A164" t="s">
        <v>565</v>
      </c>
      <c r="B164">
        <v>3</v>
      </c>
      <c r="C164" t="s">
        <v>564</v>
      </c>
    </row>
    <row r="165" spans="1:3" x14ac:dyDescent="0.25">
      <c r="A165" t="s">
        <v>191</v>
      </c>
      <c r="B165">
        <v>4</v>
      </c>
      <c r="C165" t="s">
        <v>192</v>
      </c>
    </row>
    <row r="166" spans="1:3" x14ac:dyDescent="0.25">
      <c r="A166" t="s">
        <v>566</v>
      </c>
      <c r="B166">
        <v>2</v>
      </c>
      <c r="C166" t="s">
        <v>567</v>
      </c>
    </row>
    <row r="167" spans="1:3" x14ac:dyDescent="0.25">
      <c r="A167" t="s">
        <v>568</v>
      </c>
      <c r="B167">
        <v>3</v>
      </c>
      <c r="C167" t="s">
        <v>569</v>
      </c>
    </row>
    <row r="168" spans="1:3" x14ac:dyDescent="0.25">
      <c r="A168" t="s">
        <v>155</v>
      </c>
      <c r="B168">
        <v>4</v>
      </c>
      <c r="C168" t="s">
        <v>570</v>
      </c>
    </row>
    <row r="169" spans="1:3" x14ac:dyDescent="0.25">
      <c r="A169" t="s">
        <v>571</v>
      </c>
      <c r="B169">
        <v>4</v>
      </c>
      <c r="C169" t="s">
        <v>572</v>
      </c>
    </row>
    <row r="170" spans="1:3" x14ac:dyDescent="0.25">
      <c r="A170" t="s">
        <v>140</v>
      </c>
      <c r="B170">
        <v>4</v>
      </c>
      <c r="C170" t="s">
        <v>573</v>
      </c>
    </row>
    <row r="171" spans="1:3" x14ac:dyDescent="0.25">
      <c r="A171" t="s">
        <v>574</v>
      </c>
      <c r="B171">
        <v>3</v>
      </c>
      <c r="C171" t="s">
        <v>575</v>
      </c>
    </row>
    <row r="172" spans="1:3" x14ac:dyDescent="0.25">
      <c r="A172" t="s">
        <v>576</v>
      </c>
      <c r="B172">
        <v>4</v>
      </c>
      <c r="C172" t="s">
        <v>575</v>
      </c>
    </row>
    <row r="173" spans="1:3" x14ac:dyDescent="0.25">
      <c r="A173" t="s">
        <v>577</v>
      </c>
      <c r="B173">
        <v>2</v>
      </c>
      <c r="C173" t="s">
        <v>578</v>
      </c>
    </row>
    <row r="174" spans="1:3" x14ac:dyDescent="0.25">
      <c r="A174" t="s">
        <v>579</v>
      </c>
      <c r="B174">
        <v>3</v>
      </c>
      <c r="C174" t="s">
        <v>580</v>
      </c>
    </row>
    <row r="175" spans="1:3" x14ac:dyDescent="0.25">
      <c r="A175" t="s">
        <v>581</v>
      </c>
      <c r="B175">
        <v>4</v>
      </c>
      <c r="C175" t="s">
        <v>582</v>
      </c>
    </row>
    <row r="176" spans="1:3" x14ac:dyDescent="0.25">
      <c r="A176" t="s">
        <v>152</v>
      </c>
      <c r="B176">
        <v>4</v>
      </c>
      <c r="C176" t="s">
        <v>583</v>
      </c>
    </row>
    <row r="177" spans="1:3" x14ac:dyDescent="0.25">
      <c r="A177" t="s">
        <v>147</v>
      </c>
      <c r="B177">
        <v>4</v>
      </c>
      <c r="C177" t="s">
        <v>584</v>
      </c>
    </row>
    <row r="178" spans="1:3" x14ac:dyDescent="0.25">
      <c r="A178" t="s">
        <v>585</v>
      </c>
      <c r="B178">
        <v>4</v>
      </c>
      <c r="C178" t="s">
        <v>586</v>
      </c>
    </row>
    <row r="179" spans="1:3" x14ac:dyDescent="0.25">
      <c r="A179" t="s">
        <v>587</v>
      </c>
      <c r="B179">
        <v>4</v>
      </c>
      <c r="C179" t="s">
        <v>588</v>
      </c>
    </row>
    <row r="180" spans="1:3" x14ac:dyDescent="0.25">
      <c r="A180" t="s">
        <v>589</v>
      </c>
      <c r="B180">
        <v>3</v>
      </c>
      <c r="C180" t="s">
        <v>590</v>
      </c>
    </row>
    <row r="181" spans="1:3" x14ac:dyDescent="0.25">
      <c r="A181" t="s">
        <v>591</v>
      </c>
      <c r="B181">
        <v>4</v>
      </c>
      <c r="C181" t="s">
        <v>592</v>
      </c>
    </row>
    <row r="182" spans="1:3" x14ac:dyDescent="0.25">
      <c r="A182" t="s">
        <v>172</v>
      </c>
      <c r="B182">
        <v>4</v>
      </c>
      <c r="C182" t="s">
        <v>593</v>
      </c>
    </row>
    <row r="183" spans="1:3" x14ac:dyDescent="0.25">
      <c r="A183" t="s">
        <v>594</v>
      </c>
      <c r="B183">
        <v>3</v>
      </c>
      <c r="C183" t="s">
        <v>595</v>
      </c>
    </row>
    <row r="184" spans="1:3" x14ac:dyDescent="0.25">
      <c r="A184" t="s">
        <v>596</v>
      </c>
      <c r="B184">
        <v>4</v>
      </c>
      <c r="C184" t="s">
        <v>597</v>
      </c>
    </row>
    <row r="185" spans="1:3" x14ac:dyDescent="0.25">
      <c r="A185" t="s">
        <v>598</v>
      </c>
      <c r="B185">
        <v>4</v>
      </c>
      <c r="C185" t="s">
        <v>599</v>
      </c>
    </row>
    <row r="186" spans="1:3" x14ac:dyDescent="0.25">
      <c r="A186" t="s">
        <v>600</v>
      </c>
      <c r="B186">
        <v>4</v>
      </c>
      <c r="C186" t="s">
        <v>601</v>
      </c>
    </row>
    <row r="187" spans="1:3" x14ac:dyDescent="0.25">
      <c r="A187" t="s">
        <v>602</v>
      </c>
      <c r="B187">
        <v>4</v>
      </c>
      <c r="C187" t="s">
        <v>603</v>
      </c>
    </row>
    <row r="188" spans="1:3" x14ac:dyDescent="0.25">
      <c r="A188" t="s">
        <v>604</v>
      </c>
      <c r="B188">
        <v>3</v>
      </c>
      <c r="C188" t="s">
        <v>605</v>
      </c>
    </row>
    <row r="189" spans="1:3" x14ac:dyDescent="0.25">
      <c r="A189" t="s">
        <v>606</v>
      </c>
      <c r="B189">
        <v>4</v>
      </c>
      <c r="C189" t="s">
        <v>607</v>
      </c>
    </row>
    <row r="190" spans="1:3" x14ac:dyDescent="0.25">
      <c r="A190" t="s">
        <v>608</v>
      </c>
      <c r="B190">
        <v>4</v>
      </c>
      <c r="C190" t="s">
        <v>609</v>
      </c>
    </row>
    <row r="191" spans="1:3" x14ac:dyDescent="0.25">
      <c r="A191" t="s">
        <v>610</v>
      </c>
      <c r="B191">
        <v>4</v>
      </c>
      <c r="C191" t="s">
        <v>611</v>
      </c>
    </row>
    <row r="192" spans="1:3" x14ac:dyDescent="0.25">
      <c r="A192" t="s">
        <v>612</v>
      </c>
      <c r="B192">
        <v>4</v>
      </c>
      <c r="C192" t="s">
        <v>613</v>
      </c>
    </row>
    <row r="193" spans="1:3" x14ac:dyDescent="0.25">
      <c r="A193" t="s">
        <v>614</v>
      </c>
      <c r="B193">
        <v>3</v>
      </c>
      <c r="C193" t="s">
        <v>615</v>
      </c>
    </row>
    <row r="194" spans="1:3" x14ac:dyDescent="0.25">
      <c r="A194" t="s">
        <v>616</v>
      </c>
      <c r="B194">
        <v>4</v>
      </c>
      <c r="C194" t="s">
        <v>615</v>
      </c>
    </row>
    <row r="195" spans="1:3" x14ac:dyDescent="0.25">
      <c r="A195" t="s">
        <v>617</v>
      </c>
      <c r="B195">
        <v>4</v>
      </c>
      <c r="C195" t="s">
        <v>618</v>
      </c>
    </row>
    <row r="196" spans="1:3" x14ac:dyDescent="0.25">
      <c r="A196" t="s">
        <v>619</v>
      </c>
      <c r="B196">
        <v>4</v>
      </c>
      <c r="C196" t="s">
        <v>620</v>
      </c>
    </row>
    <row r="197" spans="1:3" x14ac:dyDescent="0.25">
      <c r="A197" t="s">
        <v>621</v>
      </c>
      <c r="B197">
        <v>3</v>
      </c>
      <c r="C197" t="s">
        <v>622</v>
      </c>
    </row>
    <row r="198" spans="1:3" x14ac:dyDescent="0.25">
      <c r="A198" t="s">
        <v>623</v>
      </c>
      <c r="B198">
        <v>4</v>
      </c>
      <c r="C198" t="s">
        <v>624</v>
      </c>
    </row>
    <row r="199" spans="1:3" x14ac:dyDescent="0.25">
      <c r="A199" t="s">
        <v>625</v>
      </c>
      <c r="B199">
        <v>4</v>
      </c>
      <c r="C199" t="s">
        <v>626</v>
      </c>
    </row>
    <row r="200" spans="1:3" x14ac:dyDescent="0.25">
      <c r="A200" t="s">
        <v>627</v>
      </c>
      <c r="B200">
        <v>4</v>
      </c>
      <c r="C200" t="s">
        <v>628</v>
      </c>
    </row>
    <row r="201" spans="1:3" x14ac:dyDescent="0.25">
      <c r="A201" t="s">
        <v>629</v>
      </c>
      <c r="B201">
        <v>4</v>
      </c>
      <c r="C201" t="s">
        <v>630</v>
      </c>
    </row>
    <row r="202" spans="1:3" x14ac:dyDescent="0.25">
      <c r="A202" t="s">
        <v>631</v>
      </c>
      <c r="B202">
        <v>3</v>
      </c>
      <c r="C202" t="s">
        <v>632</v>
      </c>
    </row>
    <row r="203" spans="1:3" x14ac:dyDescent="0.25">
      <c r="A203" t="s">
        <v>633</v>
      </c>
      <c r="B203">
        <v>4</v>
      </c>
      <c r="C203" t="s">
        <v>634</v>
      </c>
    </row>
    <row r="204" spans="1:3" x14ac:dyDescent="0.25">
      <c r="A204" t="s">
        <v>635</v>
      </c>
      <c r="B204">
        <v>4</v>
      </c>
      <c r="C204" t="s">
        <v>636</v>
      </c>
    </row>
    <row r="205" spans="1:3" x14ac:dyDescent="0.25">
      <c r="A205" t="s">
        <v>637</v>
      </c>
      <c r="B205">
        <v>3</v>
      </c>
      <c r="C205" t="s">
        <v>638</v>
      </c>
    </row>
    <row r="206" spans="1:3" x14ac:dyDescent="0.25">
      <c r="A206" t="s">
        <v>639</v>
      </c>
      <c r="B206">
        <v>4</v>
      </c>
      <c r="C206" t="s">
        <v>640</v>
      </c>
    </row>
    <row r="207" spans="1:3" x14ac:dyDescent="0.25">
      <c r="A207" t="s">
        <v>641</v>
      </c>
      <c r="B207">
        <v>4</v>
      </c>
      <c r="C207" t="s">
        <v>642</v>
      </c>
    </row>
    <row r="208" spans="1:3" x14ac:dyDescent="0.25">
      <c r="A208" t="s">
        <v>177</v>
      </c>
      <c r="B208">
        <v>4</v>
      </c>
      <c r="C208" t="s">
        <v>638</v>
      </c>
    </row>
    <row r="209" spans="1:3" x14ac:dyDescent="0.25">
      <c r="A209" t="s">
        <v>643</v>
      </c>
      <c r="B209">
        <v>3</v>
      </c>
      <c r="C209" t="s">
        <v>644</v>
      </c>
    </row>
    <row r="210" spans="1:3" x14ac:dyDescent="0.25">
      <c r="A210" t="s">
        <v>645</v>
      </c>
      <c r="B210">
        <v>4</v>
      </c>
      <c r="C210" t="s">
        <v>644</v>
      </c>
    </row>
    <row r="211" spans="1:3" x14ac:dyDescent="0.25">
      <c r="A211" t="s">
        <v>646</v>
      </c>
      <c r="B211">
        <v>3</v>
      </c>
      <c r="C211" t="s">
        <v>647</v>
      </c>
    </row>
    <row r="212" spans="1:3" x14ac:dyDescent="0.25">
      <c r="A212" t="s">
        <v>648</v>
      </c>
      <c r="B212">
        <v>4</v>
      </c>
      <c r="C212" t="s">
        <v>647</v>
      </c>
    </row>
    <row r="213" spans="1:3" x14ac:dyDescent="0.25">
      <c r="A213" t="s">
        <v>649</v>
      </c>
      <c r="B213">
        <v>3</v>
      </c>
      <c r="C213" t="s">
        <v>650</v>
      </c>
    </row>
    <row r="214" spans="1:3" x14ac:dyDescent="0.25">
      <c r="A214" t="s">
        <v>651</v>
      </c>
      <c r="B214">
        <v>4</v>
      </c>
      <c r="C214" t="s">
        <v>650</v>
      </c>
    </row>
    <row r="215" spans="1:3" x14ac:dyDescent="0.25">
      <c r="A215" t="s">
        <v>652</v>
      </c>
      <c r="B215">
        <v>3</v>
      </c>
      <c r="C215" t="s">
        <v>653</v>
      </c>
    </row>
    <row r="216" spans="1:3" x14ac:dyDescent="0.25">
      <c r="A216" t="s">
        <v>654</v>
      </c>
      <c r="B216">
        <v>4</v>
      </c>
      <c r="C216" t="s">
        <v>655</v>
      </c>
    </row>
    <row r="217" spans="1:3" x14ac:dyDescent="0.25">
      <c r="A217" t="s">
        <v>656</v>
      </c>
      <c r="B217">
        <v>4</v>
      </c>
      <c r="C217" t="s">
        <v>657</v>
      </c>
    </row>
    <row r="218" spans="1:3" x14ac:dyDescent="0.25">
      <c r="A218" t="s">
        <v>173</v>
      </c>
      <c r="B218">
        <v>4</v>
      </c>
      <c r="C218" t="s">
        <v>658</v>
      </c>
    </row>
    <row r="219" spans="1:3" x14ac:dyDescent="0.25">
      <c r="A219" t="s">
        <v>659</v>
      </c>
      <c r="B219">
        <v>2</v>
      </c>
      <c r="C219" t="s">
        <v>660</v>
      </c>
    </row>
    <row r="220" spans="1:3" x14ac:dyDescent="0.25">
      <c r="A220" t="s">
        <v>661</v>
      </c>
      <c r="B220">
        <v>3</v>
      </c>
      <c r="C220" t="s">
        <v>662</v>
      </c>
    </row>
    <row r="221" spans="1:3" x14ac:dyDescent="0.25">
      <c r="A221" t="s">
        <v>663</v>
      </c>
      <c r="B221">
        <v>4</v>
      </c>
      <c r="C221" t="s">
        <v>664</v>
      </c>
    </row>
    <row r="222" spans="1:3" x14ac:dyDescent="0.25">
      <c r="A222" t="s">
        <v>665</v>
      </c>
      <c r="B222">
        <v>1</v>
      </c>
      <c r="C222" t="s">
        <v>666</v>
      </c>
    </row>
    <row r="223" spans="1:3" x14ac:dyDescent="0.25">
      <c r="A223" t="s">
        <v>667</v>
      </c>
      <c r="B223">
        <v>2</v>
      </c>
      <c r="C223" t="s">
        <v>668</v>
      </c>
    </row>
    <row r="224" spans="1:3" x14ac:dyDescent="0.25">
      <c r="A224" t="s">
        <v>669</v>
      </c>
      <c r="B224">
        <v>3</v>
      </c>
      <c r="C224" t="s">
        <v>668</v>
      </c>
    </row>
    <row r="225" spans="1:3" x14ac:dyDescent="0.25">
      <c r="A225" t="s">
        <v>670</v>
      </c>
      <c r="B225">
        <v>4</v>
      </c>
      <c r="C225" t="s">
        <v>671</v>
      </c>
    </row>
    <row r="226" spans="1:3" x14ac:dyDescent="0.25">
      <c r="A226" t="s">
        <v>672</v>
      </c>
      <c r="B226">
        <v>2</v>
      </c>
      <c r="C226" t="s">
        <v>673</v>
      </c>
    </row>
    <row r="227" spans="1:3" x14ac:dyDescent="0.25">
      <c r="A227" t="s">
        <v>674</v>
      </c>
      <c r="B227">
        <v>3</v>
      </c>
      <c r="C227" t="s">
        <v>675</v>
      </c>
    </row>
    <row r="228" spans="1:3" x14ac:dyDescent="0.25">
      <c r="A228" t="s">
        <v>676</v>
      </c>
      <c r="B228">
        <v>4</v>
      </c>
      <c r="C228" t="s">
        <v>677</v>
      </c>
    </row>
    <row r="229" spans="1:3" x14ac:dyDescent="0.25">
      <c r="A229" t="s">
        <v>678</v>
      </c>
      <c r="B229">
        <v>3</v>
      </c>
      <c r="C229" t="s">
        <v>679</v>
      </c>
    </row>
    <row r="230" spans="1:3" x14ac:dyDescent="0.25">
      <c r="A230" t="s">
        <v>222</v>
      </c>
      <c r="B230">
        <v>4</v>
      </c>
      <c r="C230" t="s">
        <v>680</v>
      </c>
    </row>
    <row r="231" spans="1:3" x14ac:dyDescent="0.25">
      <c r="A231" t="s">
        <v>219</v>
      </c>
      <c r="B231">
        <v>4</v>
      </c>
      <c r="C231" t="s">
        <v>681</v>
      </c>
    </row>
    <row r="232" spans="1:3" x14ac:dyDescent="0.25">
      <c r="A232" t="s">
        <v>218</v>
      </c>
      <c r="B232">
        <v>4</v>
      </c>
      <c r="C232" t="s">
        <v>682</v>
      </c>
    </row>
    <row r="233" spans="1:3" x14ac:dyDescent="0.25">
      <c r="A233" t="s">
        <v>205</v>
      </c>
      <c r="B233">
        <v>4</v>
      </c>
      <c r="C233" t="s">
        <v>683</v>
      </c>
    </row>
    <row r="234" spans="1:3" x14ac:dyDescent="0.25">
      <c r="A234" t="s">
        <v>204</v>
      </c>
      <c r="B234">
        <v>4</v>
      </c>
      <c r="C234" t="s">
        <v>684</v>
      </c>
    </row>
    <row r="235" spans="1:3" x14ac:dyDescent="0.25">
      <c r="A235" t="s">
        <v>254</v>
      </c>
      <c r="B235">
        <v>4</v>
      </c>
      <c r="C235" t="s">
        <v>685</v>
      </c>
    </row>
    <row r="236" spans="1:3" x14ac:dyDescent="0.25">
      <c r="A236" t="s">
        <v>686</v>
      </c>
      <c r="B236">
        <v>4</v>
      </c>
      <c r="C236" t="s">
        <v>687</v>
      </c>
    </row>
    <row r="237" spans="1:3" x14ac:dyDescent="0.25">
      <c r="A237" t="s">
        <v>688</v>
      </c>
      <c r="B237">
        <v>4</v>
      </c>
      <c r="C237" t="s">
        <v>689</v>
      </c>
    </row>
    <row r="238" spans="1:3" x14ac:dyDescent="0.25">
      <c r="A238" t="s">
        <v>255</v>
      </c>
      <c r="B238">
        <v>4</v>
      </c>
      <c r="C238" t="s">
        <v>690</v>
      </c>
    </row>
    <row r="239" spans="1:3" x14ac:dyDescent="0.25">
      <c r="A239" t="s">
        <v>691</v>
      </c>
      <c r="B239">
        <v>4</v>
      </c>
      <c r="C239" t="s">
        <v>692</v>
      </c>
    </row>
    <row r="240" spans="1:3" x14ac:dyDescent="0.25">
      <c r="A240" t="s">
        <v>693</v>
      </c>
      <c r="B240">
        <v>3</v>
      </c>
      <c r="C240" t="s">
        <v>694</v>
      </c>
    </row>
    <row r="241" spans="1:3" x14ac:dyDescent="0.25">
      <c r="A241" t="s">
        <v>695</v>
      </c>
      <c r="B241">
        <v>4</v>
      </c>
      <c r="C241" t="s">
        <v>696</v>
      </c>
    </row>
    <row r="242" spans="1:3" x14ac:dyDescent="0.25">
      <c r="A242" t="s">
        <v>697</v>
      </c>
      <c r="B242">
        <v>3</v>
      </c>
      <c r="C242" t="s">
        <v>698</v>
      </c>
    </row>
    <row r="243" spans="1:3" x14ac:dyDescent="0.25">
      <c r="A243" t="s">
        <v>699</v>
      </c>
      <c r="B243">
        <v>4</v>
      </c>
      <c r="C243" t="s">
        <v>700</v>
      </c>
    </row>
    <row r="244" spans="1:3" x14ac:dyDescent="0.25">
      <c r="A244" t="s">
        <v>701</v>
      </c>
      <c r="B244">
        <v>3</v>
      </c>
      <c r="C244" t="s">
        <v>702</v>
      </c>
    </row>
    <row r="245" spans="1:3" x14ac:dyDescent="0.25">
      <c r="A245" t="s">
        <v>703</v>
      </c>
      <c r="B245">
        <v>4</v>
      </c>
      <c r="C245" t="s">
        <v>704</v>
      </c>
    </row>
    <row r="246" spans="1:3" x14ac:dyDescent="0.25">
      <c r="A246" t="s">
        <v>705</v>
      </c>
      <c r="B246">
        <v>2</v>
      </c>
      <c r="C246" t="s">
        <v>706</v>
      </c>
    </row>
    <row r="247" spans="1:3" x14ac:dyDescent="0.25">
      <c r="A247" t="s">
        <v>707</v>
      </c>
      <c r="B247">
        <v>3</v>
      </c>
      <c r="C247" t="s">
        <v>620</v>
      </c>
    </row>
    <row r="248" spans="1:3" x14ac:dyDescent="0.25">
      <c r="A248" t="s">
        <v>268</v>
      </c>
      <c r="B248">
        <v>4</v>
      </c>
      <c r="C248" t="s">
        <v>708</v>
      </c>
    </row>
    <row r="249" spans="1:3" x14ac:dyDescent="0.25">
      <c r="A249" t="s">
        <v>709</v>
      </c>
      <c r="B249">
        <v>4</v>
      </c>
      <c r="C249" t="s">
        <v>710</v>
      </c>
    </row>
    <row r="250" spans="1:3" x14ac:dyDescent="0.25">
      <c r="A250" t="s">
        <v>164</v>
      </c>
      <c r="B250">
        <v>4</v>
      </c>
      <c r="C250" t="s">
        <v>711</v>
      </c>
    </row>
    <row r="251" spans="1:3" x14ac:dyDescent="0.25">
      <c r="A251" t="s">
        <v>284</v>
      </c>
      <c r="B251">
        <v>4</v>
      </c>
      <c r="C251" t="s">
        <v>712</v>
      </c>
    </row>
    <row r="252" spans="1:3" x14ac:dyDescent="0.25">
      <c r="A252" t="s">
        <v>163</v>
      </c>
      <c r="B252">
        <v>4</v>
      </c>
      <c r="C252" t="s">
        <v>713</v>
      </c>
    </row>
    <row r="253" spans="1:3" x14ac:dyDescent="0.25">
      <c r="A253" t="s">
        <v>714</v>
      </c>
      <c r="B253">
        <v>3</v>
      </c>
      <c r="C253" t="s">
        <v>715</v>
      </c>
    </row>
    <row r="254" spans="1:3" x14ac:dyDescent="0.25">
      <c r="A254" t="s">
        <v>241</v>
      </c>
      <c r="B254">
        <v>4</v>
      </c>
      <c r="C254" t="s">
        <v>716</v>
      </c>
    </row>
    <row r="255" spans="1:3" x14ac:dyDescent="0.25">
      <c r="A255" t="s">
        <v>221</v>
      </c>
      <c r="B255">
        <v>4</v>
      </c>
      <c r="C255" t="s">
        <v>717</v>
      </c>
    </row>
    <row r="256" spans="1:3" x14ac:dyDescent="0.25">
      <c r="A256" t="s">
        <v>232</v>
      </c>
      <c r="B256">
        <v>4</v>
      </c>
      <c r="C256" t="s">
        <v>718</v>
      </c>
    </row>
    <row r="257" spans="1:3" x14ac:dyDescent="0.25">
      <c r="A257" t="s">
        <v>719</v>
      </c>
      <c r="B257">
        <v>4</v>
      </c>
      <c r="C257" t="s">
        <v>720</v>
      </c>
    </row>
    <row r="258" spans="1:3" x14ac:dyDescent="0.25">
      <c r="A258" t="s">
        <v>721</v>
      </c>
      <c r="B258">
        <v>4</v>
      </c>
      <c r="C258" t="s">
        <v>722</v>
      </c>
    </row>
    <row r="259" spans="1:3" x14ac:dyDescent="0.25">
      <c r="A259" t="s">
        <v>723</v>
      </c>
      <c r="B259">
        <v>3</v>
      </c>
      <c r="C259" t="s">
        <v>724</v>
      </c>
    </row>
    <row r="260" spans="1:3" x14ac:dyDescent="0.25">
      <c r="A260" t="s">
        <v>220</v>
      </c>
      <c r="B260">
        <v>4</v>
      </c>
      <c r="C260" t="s">
        <v>724</v>
      </c>
    </row>
    <row r="261" spans="1:3" x14ac:dyDescent="0.25">
      <c r="A261" t="s">
        <v>253</v>
      </c>
      <c r="B261">
        <v>4</v>
      </c>
      <c r="C261" t="s">
        <v>725</v>
      </c>
    </row>
    <row r="262" spans="1:3" x14ac:dyDescent="0.25">
      <c r="A262" t="s">
        <v>726</v>
      </c>
      <c r="B262">
        <v>3</v>
      </c>
      <c r="C262" t="s">
        <v>727</v>
      </c>
    </row>
    <row r="263" spans="1:3" x14ac:dyDescent="0.25">
      <c r="A263" t="s">
        <v>171</v>
      </c>
      <c r="B263">
        <v>4</v>
      </c>
      <c r="C263" t="s">
        <v>728</v>
      </c>
    </row>
    <row r="264" spans="1:3" x14ac:dyDescent="0.25">
      <c r="A264" t="s">
        <v>157</v>
      </c>
      <c r="B264">
        <v>4</v>
      </c>
      <c r="C264" t="s">
        <v>729</v>
      </c>
    </row>
    <row r="265" spans="1:3" x14ac:dyDescent="0.25">
      <c r="A265" t="s">
        <v>250</v>
      </c>
      <c r="B265">
        <v>4</v>
      </c>
      <c r="C265" t="s">
        <v>730</v>
      </c>
    </row>
    <row r="266" spans="1:3" x14ac:dyDescent="0.25">
      <c r="A266" t="s">
        <v>731</v>
      </c>
      <c r="B266">
        <v>4</v>
      </c>
      <c r="C266" t="s">
        <v>732</v>
      </c>
    </row>
    <row r="267" spans="1:3" x14ac:dyDescent="0.25">
      <c r="A267" t="s">
        <v>258</v>
      </c>
      <c r="B267">
        <v>4</v>
      </c>
      <c r="C267" t="s">
        <v>733</v>
      </c>
    </row>
    <row r="268" spans="1:3" x14ac:dyDescent="0.25">
      <c r="A268" t="s">
        <v>734</v>
      </c>
      <c r="B268">
        <v>4</v>
      </c>
      <c r="C268" t="s">
        <v>735</v>
      </c>
    </row>
    <row r="269" spans="1:3" x14ac:dyDescent="0.25">
      <c r="A269" t="s">
        <v>736</v>
      </c>
      <c r="B269">
        <v>3</v>
      </c>
      <c r="C269" t="s">
        <v>737</v>
      </c>
    </row>
    <row r="270" spans="1:3" x14ac:dyDescent="0.25">
      <c r="A270" t="s">
        <v>738</v>
      </c>
      <c r="B270">
        <v>4</v>
      </c>
      <c r="C270" t="s">
        <v>739</v>
      </c>
    </row>
    <row r="271" spans="1:3" x14ac:dyDescent="0.25">
      <c r="A271" t="s">
        <v>740</v>
      </c>
      <c r="B271">
        <v>4</v>
      </c>
      <c r="C271" t="s">
        <v>741</v>
      </c>
    </row>
    <row r="272" spans="1:3" x14ac:dyDescent="0.25">
      <c r="A272" t="s">
        <v>742</v>
      </c>
      <c r="B272">
        <v>4</v>
      </c>
      <c r="C272" t="s">
        <v>743</v>
      </c>
    </row>
    <row r="273" spans="1:3" x14ac:dyDescent="0.25">
      <c r="A273" t="s">
        <v>744</v>
      </c>
      <c r="B273">
        <v>4</v>
      </c>
      <c r="C273" t="s">
        <v>745</v>
      </c>
    </row>
    <row r="274" spans="1:3" x14ac:dyDescent="0.25">
      <c r="A274" t="s">
        <v>746</v>
      </c>
      <c r="B274">
        <v>3</v>
      </c>
      <c r="C274" t="s">
        <v>747</v>
      </c>
    </row>
    <row r="275" spans="1:3" x14ac:dyDescent="0.25">
      <c r="A275" t="s">
        <v>748</v>
      </c>
      <c r="B275">
        <v>4</v>
      </c>
      <c r="C275" t="s">
        <v>747</v>
      </c>
    </row>
    <row r="276" spans="1:3" x14ac:dyDescent="0.25">
      <c r="A276" t="s">
        <v>749</v>
      </c>
      <c r="B276">
        <v>3</v>
      </c>
      <c r="C276" t="s">
        <v>750</v>
      </c>
    </row>
    <row r="277" spans="1:3" x14ac:dyDescent="0.25">
      <c r="A277" t="s">
        <v>123</v>
      </c>
      <c r="B277">
        <v>4</v>
      </c>
      <c r="C277" t="s">
        <v>555</v>
      </c>
    </row>
    <row r="278" spans="1:3" x14ac:dyDescent="0.25">
      <c r="A278" t="s">
        <v>751</v>
      </c>
      <c r="B278">
        <v>3</v>
      </c>
      <c r="C278" t="s">
        <v>752</v>
      </c>
    </row>
    <row r="279" spans="1:3" x14ac:dyDescent="0.25">
      <c r="A279" t="s">
        <v>180</v>
      </c>
      <c r="B279">
        <v>4</v>
      </c>
      <c r="C279" t="s">
        <v>752</v>
      </c>
    </row>
    <row r="280" spans="1:3" x14ac:dyDescent="0.25">
      <c r="A280" t="s">
        <v>753</v>
      </c>
      <c r="B280">
        <v>2</v>
      </c>
      <c r="C280" t="s">
        <v>754</v>
      </c>
    </row>
    <row r="281" spans="1:3" x14ac:dyDescent="0.25">
      <c r="A281" t="s">
        <v>755</v>
      </c>
      <c r="B281">
        <v>3</v>
      </c>
      <c r="C281" t="s">
        <v>756</v>
      </c>
    </row>
    <row r="282" spans="1:3" x14ac:dyDescent="0.25">
      <c r="A282" t="s">
        <v>162</v>
      </c>
      <c r="B282">
        <v>4</v>
      </c>
      <c r="C282" t="s">
        <v>757</v>
      </c>
    </row>
    <row r="283" spans="1:3" x14ac:dyDescent="0.25">
      <c r="A283" t="s">
        <v>208</v>
      </c>
      <c r="B283">
        <v>4</v>
      </c>
      <c r="C283" t="s">
        <v>756</v>
      </c>
    </row>
    <row r="284" spans="1:3" x14ac:dyDescent="0.25">
      <c r="A284" t="s">
        <v>758</v>
      </c>
      <c r="B284">
        <v>4</v>
      </c>
      <c r="C284" t="s">
        <v>759</v>
      </c>
    </row>
    <row r="285" spans="1:3" x14ac:dyDescent="0.25">
      <c r="A285" t="s">
        <v>760</v>
      </c>
      <c r="B285">
        <v>4</v>
      </c>
      <c r="C285" t="s">
        <v>761</v>
      </c>
    </row>
    <row r="286" spans="1:3" x14ac:dyDescent="0.25">
      <c r="A286" t="s">
        <v>762</v>
      </c>
      <c r="B286">
        <v>4</v>
      </c>
      <c r="C286" t="s">
        <v>763</v>
      </c>
    </row>
    <row r="287" spans="1:3" x14ac:dyDescent="0.25">
      <c r="A287" t="s">
        <v>764</v>
      </c>
      <c r="B287">
        <v>3</v>
      </c>
      <c r="C287" t="s">
        <v>763</v>
      </c>
    </row>
    <row r="288" spans="1:3" x14ac:dyDescent="0.25">
      <c r="A288" t="s">
        <v>183</v>
      </c>
      <c r="B288">
        <v>4</v>
      </c>
      <c r="C288" t="s">
        <v>765</v>
      </c>
    </row>
    <row r="289" spans="1:3" x14ac:dyDescent="0.25">
      <c r="A289" t="s">
        <v>766</v>
      </c>
      <c r="B289">
        <v>4</v>
      </c>
      <c r="C289" t="s">
        <v>767</v>
      </c>
    </row>
    <row r="290" spans="1:3" x14ac:dyDescent="0.25">
      <c r="A290" t="s">
        <v>768</v>
      </c>
      <c r="B290">
        <v>4</v>
      </c>
      <c r="C290" t="s">
        <v>769</v>
      </c>
    </row>
    <row r="291" spans="1:3" x14ac:dyDescent="0.25">
      <c r="A291" t="s">
        <v>770</v>
      </c>
      <c r="B291">
        <v>4</v>
      </c>
      <c r="C291" t="s">
        <v>771</v>
      </c>
    </row>
    <row r="292" spans="1:3" x14ac:dyDescent="0.25">
      <c r="A292" t="s">
        <v>207</v>
      </c>
      <c r="B292">
        <v>4</v>
      </c>
      <c r="C292" t="s">
        <v>772</v>
      </c>
    </row>
    <row r="293" spans="1:3" x14ac:dyDescent="0.25">
      <c r="A293" t="s">
        <v>274</v>
      </c>
      <c r="B293">
        <v>4</v>
      </c>
      <c r="C293" t="s">
        <v>773</v>
      </c>
    </row>
    <row r="294" spans="1:3" x14ac:dyDescent="0.25">
      <c r="A294" t="s">
        <v>774</v>
      </c>
      <c r="B294">
        <v>3</v>
      </c>
      <c r="C294" t="s">
        <v>775</v>
      </c>
    </row>
    <row r="295" spans="1:3" x14ac:dyDescent="0.25">
      <c r="A295" t="s">
        <v>153</v>
      </c>
      <c r="B295">
        <v>4</v>
      </c>
      <c r="C295" t="s">
        <v>776</v>
      </c>
    </row>
    <row r="296" spans="1:3" x14ac:dyDescent="0.25">
      <c r="A296" t="s">
        <v>239</v>
      </c>
      <c r="B296">
        <v>4</v>
      </c>
      <c r="C296" t="s">
        <v>777</v>
      </c>
    </row>
    <row r="297" spans="1:3" x14ac:dyDescent="0.25">
      <c r="A297" t="s">
        <v>778</v>
      </c>
      <c r="B297">
        <v>4</v>
      </c>
      <c r="C297" t="s">
        <v>779</v>
      </c>
    </row>
    <row r="298" spans="1:3" x14ac:dyDescent="0.25">
      <c r="A298" t="s">
        <v>780</v>
      </c>
      <c r="B298">
        <v>4</v>
      </c>
      <c r="C298" t="s">
        <v>781</v>
      </c>
    </row>
    <row r="299" spans="1:3" x14ac:dyDescent="0.25">
      <c r="A299" t="s">
        <v>782</v>
      </c>
      <c r="B299">
        <v>3</v>
      </c>
      <c r="C299" t="s">
        <v>783</v>
      </c>
    </row>
    <row r="300" spans="1:3" x14ac:dyDescent="0.25">
      <c r="A300" t="s">
        <v>784</v>
      </c>
      <c r="B300">
        <v>3</v>
      </c>
      <c r="C300" t="s">
        <v>785</v>
      </c>
    </row>
    <row r="301" spans="1:3" x14ac:dyDescent="0.25">
      <c r="A301" t="s">
        <v>786</v>
      </c>
      <c r="B301">
        <v>3</v>
      </c>
      <c r="C301" t="s">
        <v>787</v>
      </c>
    </row>
    <row r="302" spans="1:3" x14ac:dyDescent="0.25">
      <c r="A302" t="s">
        <v>137</v>
      </c>
      <c r="B302">
        <v>4</v>
      </c>
      <c r="C302" t="s">
        <v>788</v>
      </c>
    </row>
    <row r="303" spans="1:3" x14ac:dyDescent="0.25">
      <c r="A303" t="s">
        <v>175</v>
      </c>
      <c r="B303">
        <v>4</v>
      </c>
      <c r="C303" t="s">
        <v>789</v>
      </c>
    </row>
    <row r="304" spans="1:3" x14ac:dyDescent="0.25">
      <c r="A304" t="s">
        <v>133</v>
      </c>
      <c r="B304">
        <v>4</v>
      </c>
      <c r="C304" t="s">
        <v>790</v>
      </c>
    </row>
    <row r="305" spans="1:3" x14ac:dyDescent="0.25">
      <c r="A305" t="s">
        <v>791</v>
      </c>
      <c r="B305">
        <v>4</v>
      </c>
      <c r="C305" t="s">
        <v>792</v>
      </c>
    </row>
    <row r="306" spans="1:3" x14ac:dyDescent="0.25">
      <c r="A306" t="s">
        <v>793</v>
      </c>
      <c r="B306">
        <v>4</v>
      </c>
      <c r="C306" t="s">
        <v>794</v>
      </c>
    </row>
    <row r="307" spans="1:3" x14ac:dyDescent="0.25">
      <c r="A307" t="s">
        <v>795</v>
      </c>
      <c r="B307">
        <v>3</v>
      </c>
      <c r="C307" t="s">
        <v>796</v>
      </c>
    </row>
    <row r="308" spans="1:3" x14ac:dyDescent="0.25">
      <c r="A308" t="s">
        <v>797</v>
      </c>
      <c r="B308">
        <v>4</v>
      </c>
      <c r="C308" t="s">
        <v>798</v>
      </c>
    </row>
    <row r="309" spans="1:3" x14ac:dyDescent="0.25">
      <c r="A309" t="s">
        <v>799</v>
      </c>
      <c r="B309">
        <v>3</v>
      </c>
      <c r="C309" t="s">
        <v>800</v>
      </c>
    </row>
    <row r="310" spans="1:3" x14ac:dyDescent="0.25">
      <c r="A310" t="s">
        <v>224</v>
      </c>
      <c r="B310">
        <v>4</v>
      </c>
      <c r="C310" t="s">
        <v>801</v>
      </c>
    </row>
    <row r="311" spans="1:3" x14ac:dyDescent="0.25">
      <c r="A311" t="s">
        <v>802</v>
      </c>
      <c r="B311">
        <v>3</v>
      </c>
      <c r="C311" t="s">
        <v>803</v>
      </c>
    </row>
    <row r="312" spans="1:3" x14ac:dyDescent="0.25">
      <c r="A312" t="s">
        <v>804</v>
      </c>
      <c r="B312">
        <v>4</v>
      </c>
      <c r="C312" t="s">
        <v>805</v>
      </c>
    </row>
    <row r="313" spans="1:3" x14ac:dyDescent="0.25">
      <c r="A313" t="s">
        <v>806</v>
      </c>
      <c r="B313">
        <v>2</v>
      </c>
      <c r="C313" t="s">
        <v>807</v>
      </c>
    </row>
    <row r="314" spans="1:3" x14ac:dyDescent="0.25">
      <c r="A314" t="s">
        <v>808</v>
      </c>
      <c r="B314">
        <v>3</v>
      </c>
      <c r="C314" t="s">
        <v>809</v>
      </c>
    </row>
    <row r="315" spans="1:3" x14ac:dyDescent="0.25">
      <c r="A315" t="s">
        <v>174</v>
      </c>
      <c r="B315">
        <v>4</v>
      </c>
      <c r="C315" t="s">
        <v>765</v>
      </c>
    </row>
    <row r="316" spans="1:3" x14ac:dyDescent="0.25">
      <c r="A316" t="s">
        <v>249</v>
      </c>
      <c r="B316">
        <v>4</v>
      </c>
      <c r="C316" t="s">
        <v>810</v>
      </c>
    </row>
    <row r="317" spans="1:3" x14ac:dyDescent="0.25">
      <c r="A317" t="s">
        <v>811</v>
      </c>
      <c r="B317">
        <v>3</v>
      </c>
      <c r="C317" t="s">
        <v>812</v>
      </c>
    </row>
    <row r="318" spans="1:3" x14ac:dyDescent="0.25">
      <c r="A318" t="s">
        <v>813</v>
      </c>
      <c r="B318">
        <v>4</v>
      </c>
      <c r="C318" t="s">
        <v>790</v>
      </c>
    </row>
    <row r="319" spans="1:3" x14ac:dyDescent="0.25">
      <c r="A319" t="s">
        <v>814</v>
      </c>
      <c r="B319">
        <v>4</v>
      </c>
      <c r="C319" t="s">
        <v>792</v>
      </c>
    </row>
    <row r="320" spans="1:3" x14ac:dyDescent="0.25">
      <c r="A320" t="s">
        <v>131</v>
      </c>
      <c r="B320">
        <v>4</v>
      </c>
      <c r="C320" t="s">
        <v>815</v>
      </c>
    </row>
    <row r="321" spans="1:3" x14ac:dyDescent="0.25">
      <c r="A321" t="s">
        <v>816</v>
      </c>
      <c r="B321">
        <v>3</v>
      </c>
      <c r="C321" t="s">
        <v>775</v>
      </c>
    </row>
    <row r="322" spans="1:3" x14ac:dyDescent="0.25">
      <c r="A322" t="s">
        <v>169</v>
      </c>
      <c r="B322">
        <v>4</v>
      </c>
      <c r="C322" t="s">
        <v>817</v>
      </c>
    </row>
    <row r="323" spans="1:3" x14ac:dyDescent="0.25">
      <c r="A323" t="s">
        <v>234</v>
      </c>
      <c r="B323">
        <v>4</v>
      </c>
      <c r="C323" t="s">
        <v>777</v>
      </c>
    </row>
    <row r="324" spans="1:3" x14ac:dyDescent="0.25">
      <c r="A324" t="s">
        <v>818</v>
      </c>
      <c r="B324">
        <v>3</v>
      </c>
      <c r="C324" t="s">
        <v>819</v>
      </c>
    </row>
    <row r="325" spans="1:3" x14ac:dyDescent="0.25">
      <c r="A325" t="s">
        <v>186</v>
      </c>
      <c r="B325">
        <v>4</v>
      </c>
      <c r="C325" t="s">
        <v>819</v>
      </c>
    </row>
    <row r="326" spans="1:3" x14ac:dyDescent="0.25">
      <c r="A326" t="s">
        <v>820</v>
      </c>
      <c r="B326">
        <v>3</v>
      </c>
      <c r="C326" t="s">
        <v>821</v>
      </c>
    </row>
    <row r="327" spans="1:3" x14ac:dyDescent="0.25">
      <c r="A327" t="s">
        <v>822</v>
      </c>
      <c r="B327">
        <v>4</v>
      </c>
      <c r="C327" t="s">
        <v>823</v>
      </c>
    </row>
    <row r="328" spans="1:3" x14ac:dyDescent="0.25">
      <c r="A328" t="s">
        <v>824</v>
      </c>
      <c r="B328">
        <v>4</v>
      </c>
      <c r="C328" t="s">
        <v>790</v>
      </c>
    </row>
    <row r="329" spans="1:3" x14ac:dyDescent="0.25">
      <c r="A329" t="s">
        <v>825</v>
      </c>
      <c r="B329">
        <v>4</v>
      </c>
      <c r="C329" t="s">
        <v>682</v>
      </c>
    </row>
    <row r="330" spans="1:3" x14ac:dyDescent="0.25">
      <c r="A330" t="s">
        <v>826</v>
      </c>
      <c r="B330">
        <v>4</v>
      </c>
      <c r="C330" t="s">
        <v>684</v>
      </c>
    </row>
    <row r="331" spans="1:3" x14ac:dyDescent="0.25">
      <c r="A331" t="s">
        <v>827</v>
      </c>
      <c r="B331">
        <v>3</v>
      </c>
      <c r="C331" t="s">
        <v>800</v>
      </c>
    </row>
    <row r="332" spans="1:3" x14ac:dyDescent="0.25">
      <c r="A332" t="s">
        <v>187</v>
      </c>
      <c r="B332">
        <v>4</v>
      </c>
      <c r="C332" t="s">
        <v>800</v>
      </c>
    </row>
    <row r="333" spans="1:3" x14ac:dyDescent="0.25">
      <c r="A333" t="s">
        <v>828</v>
      </c>
      <c r="B333">
        <v>2</v>
      </c>
      <c r="C333" t="s">
        <v>829</v>
      </c>
    </row>
    <row r="334" spans="1:3" x14ac:dyDescent="0.25">
      <c r="A334" t="s">
        <v>830</v>
      </c>
      <c r="B334">
        <v>3</v>
      </c>
      <c r="C334" t="s">
        <v>775</v>
      </c>
    </row>
    <row r="335" spans="1:3" x14ac:dyDescent="0.25">
      <c r="A335" t="s">
        <v>831</v>
      </c>
      <c r="B335">
        <v>2</v>
      </c>
      <c r="C335" t="s">
        <v>832</v>
      </c>
    </row>
    <row r="336" spans="1:3" x14ac:dyDescent="0.25">
      <c r="A336" t="s">
        <v>833</v>
      </c>
      <c r="B336">
        <v>3</v>
      </c>
      <c r="C336" t="s">
        <v>834</v>
      </c>
    </row>
    <row r="337" spans="1:3" x14ac:dyDescent="0.25">
      <c r="A337" t="s">
        <v>835</v>
      </c>
      <c r="B337">
        <v>4</v>
      </c>
      <c r="C337" t="s">
        <v>650</v>
      </c>
    </row>
    <row r="338" spans="1:3" x14ac:dyDescent="0.25">
      <c r="A338" t="s">
        <v>836</v>
      </c>
      <c r="B338">
        <v>4</v>
      </c>
      <c r="C338" t="s">
        <v>837</v>
      </c>
    </row>
    <row r="339" spans="1:3" x14ac:dyDescent="0.25">
      <c r="A339" t="s">
        <v>838</v>
      </c>
      <c r="B339">
        <v>1</v>
      </c>
      <c r="C339" t="s">
        <v>839</v>
      </c>
    </row>
    <row r="340" spans="1:3" x14ac:dyDescent="0.25">
      <c r="A340" t="s">
        <v>840</v>
      </c>
      <c r="B340">
        <v>2</v>
      </c>
      <c r="C340" t="s">
        <v>841</v>
      </c>
    </row>
    <row r="341" spans="1:3" x14ac:dyDescent="0.25">
      <c r="A341" t="s">
        <v>842</v>
      </c>
      <c r="B341">
        <v>3</v>
      </c>
      <c r="C341" t="s">
        <v>843</v>
      </c>
    </row>
    <row r="342" spans="1:3" x14ac:dyDescent="0.25">
      <c r="A342" t="s">
        <v>165</v>
      </c>
      <c r="B342">
        <v>4</v>
      </c>
      <c r="C342" t="s">
        <v>844</v>
      </c>
    </row>
    <row r="343" spans="1:3" x14ac:dyDescent="0.25">
      <c r="A343" t="s">
        <v>845</v>
      </c>
      <c r="B343">
        <v>3</v>
      </c>
      <c r="C343" t="s">
        <v>846</v>
      </c>
    </row>
    <row r="344" spans="1:3" x14ac:dyDescent="0.25">
      <c r="A344" t="s">
        <v>847</v>
      </c>
      <c r="B344">
        <v>4</v>
      </c>
      <c r="C344" t="s">
        <v>848</v>
      </c>
    </row>
    <row r="345" spans="1:3" x14ac:dyDescent="0.25">
      <c r="A345" t="s">
        <v>849</v>
      </c>
      <c r="B345">
        <v>2</v>
      </c>
      <c r="C345" t="s">
        <v>850</v>
      </c>
    </row>
    <row r="346" spans="1:3" x14ac:dyDescent="0.25">
      <c r="A346" t="s">
        <v>851</v>
      </c>
      <c r="B346">
        <v>3</v>
      </c>
      <c r="C346" t="s">
        <v>852</v>
      </c>
    </row>
    <row r="347" spans="1:3" x14ac:dyDescent="0.25">
      <c r="A347" t="s">
        <v>240</v>
      </c>
      <c r="B347">
        <v>4</v>
      </c>
      <c r="C347" t="s">
        <v>853</v>
      </c>
    </row>
    <row r="348" spans="1:3" x14ac:dyDescent="0.25">
      <c r="A348" t="s">
        <v>854</v>
      </c>
      <c r="B348">
        <v>3</v>
      </c>
      <c r="C348" t="s">
        <v>855</v>
      </c>
    </row>
    <row r="349" spans="1:3" x14ac:dyDescent="0.25">
      <c r="A349" t="s">
        <v>252</v>
      </c>
      <c r="B349">
        <v>4</v>
      </c>
      <c r="C349" t="s">
        <v>856</v>
      </c>
    </row>
    <row r="350" spans="1:3" x14ac:dyDescent="0.25">
      <c r="A350" t="s">
        <v>857</v>
      </c>
      <c r="B350">
        <v>4</v>
      </c>
      <c r="C350" t="s">
        <v>858</v>
      </c>
    </row>
    <row r="351" spans="1:3" x14ac:dyDescent="0.25">
      <c r="A351" t="s">
        <v>859</v>
      </c>
      <c r="B351">
        <v>3</v>
      </c>
      <c r="C351" t="s">
        <v>860</v>
      </c>
    </row>
    <row r="352" spans="1:3" x14ac:dyDescent="0.25">
      <c r="A352" t="s">
        <v>861</v>
      </c>
      <c r="B352">
        <v>4</v>
      </c>
      <c r="C352" t="s">
        <v>862</v>
      </c>
    </row>
    <row r="353" spans="1:3" x14ac:dyDescent="0.25">
      <c r="A353" t="s">
        <v>863</v>
      </c>
      <c r="B353">
        <v>4</v>
      </c>
      <c r="C353" t="s">
        <v>864</v>
      </c>
    </row>
    <row r="354" spans="1:3" x14ac:dyDescent="0.25">
      <c r="A354" t="s">
        <v>865</v>
      </c>
      <c r="B354">
        <v>3</v>
      </c>
      <c r="C354" t="s">
        <v>866</v>
      </c>
    </row>
    <row r="355" spans="1:3" x14ac:dyDescent="0.25">
      <c r="A355" t="s">
        <v>132</v>
      </c>
      <c r="B355">
        <v>4</v>
      </c>
      <c r="C355" t="s">
        <v>867</v>
      </c>
    </row>
    <row r="356" spans="1:3" x14ac:dyDescent="0.25">
      <c r="A356" t="s">
        <v>868</v>
      </c>
      <c r="B356">
        <v>3</v>
      </c>
      <c r="C356" t="s">
        <v>869</v>
      </c>
    </row>
    <row r="357" spans="1:3" x14ac:dyDescent="0.25">
      <c r="A357" t="s">
        <v>870</v>
      </c>
      <c r="B357">
        <v>4</v>
      </c>
      <c r="C357" t="s">
        <v>871</v>
      </c>
    </row>
    <row r="358" spans="1:3" x14ac:dyDescent="0.25">
      <c r="A358" t="s">
        <v>872</v>
      </c>
      <c r="B358">
        <v>4</v>
      </c>
      <c r="C358" t="s">
        <v>873</v>
      </c>
    </row>
    <row r="359" spans="1:3" x14ac:dyDescent="0.25">
      <c r="A359" t="s">
        <v>874</v>
      </c>
      <c r="B359">
        <v>3</v>
      </c>
      <c r="C359" t="s">
        <v>875</v>
      </c>
    </row>
    <row r="360" spans="1:3" x14ac:dyDescent="0.25">
      <c r="A360" t="s">
        <v>876</v>
      </c>
      <c r="B360">
        <v>4</v>
      </c>
      <c r="C360" t="s">
        <v>877</v>
      </c>
    </row>
    <row r="361" spans="1:3" x14ac:dyDescent="0.25">
      <c r="A361" t="s">
        <v>878</v>
      </c>
      <c r="B361">
        <v>2</v>
      </c>
      <c r="C361" t="s">
        <v>879</v>
      </c>
    </row>
    <row r="362" spans="1:3" x14ac:dyDescent="0.25">
      <c r="A362" t="s">
        <v>880</v>
      </c>
      <c r="B362">
        <v>3</v>
      </c>
      <c r="C362" t="s">
        <v>879</v>
      </c>
    </row>
    <row r="363" spans="1:3" x14ac:dyDescent="0.25">
      <c r="A363" t="s">
        <v>881</v>
      </c>
      <c r="B363">
        <v>4</v>
      </c>
      <c r="C363" t="s">
        <v>882</v>
      </c>
    </row>
    <row r="364" spans="1:3" x14ac:dyDescent="0.25">
      <c r="A364" t="s">
        <v>883</v>
      </c>
      <c r="B364">
        <v>4</v>
      </c>
      <c r="C364" t="s">
        <v>884</v>
      </c>
    </row>
    <row r="365" spans="1:3" x14ac:dyDescent="0.25">
      <c r="A365" t="s">
        <v>885</v>
      </c>
      <c r="B365">
        <v>1</v>
      </c>
      <c r="C365" t="s">
        <v>886</v>
      </c>
    </row>
    <row r="366" spans="1:3" x14ac:dyDescent="0.25">
      <c r="A366" t="s">
        <v>887</v>
      </c>
      <c r="B366">
        <v>2</v>
      </c>
      <c r="C366" t="s">
        <v>888</v>
      </c>
    </row>
    <row r="367" spans="1:3" x14ac:dyDescent="0.25">
      <c r="A367" t="s">
        <v>889</v>
      </c>
      <c r="B367">
        <v>3</v>
      </c>
      <c r="C367" t="s">
        <v>890</v>
      </c>
    </row>
    <row r="368" spans="1:3" x14ac:dyDescent="0.25">
      <c r="A368" t="s">
        <v>891</v>
      </c>
      <c r="B368">
        <v>4</v>
      </c>
      <c r="C368" t="s">
        <v>892</v>
      </c>
    </row>
    <row r="369" spans="1:3" x14ac:dyDescent="0.25">
      <c r="A369" t="s">
        <v>223</v>
      </c>
      <c r="B369">
        <v>4</v>
      </c>
      <c r="C369" t="s">
        <v>893</v>
      </c>
    </row>
    <row r="370" spans="1:3" x14ac:dyDescent="0.25">
      <c r="A370" t="s">
        <v>894</v>
      </c>
      <c r="B370">
        <v>4</v>
      </c>
      <c r="C370" t="s">
        <v>895</v>
      </c>
    </row>
    <row r="371" spans="1:3" x14ac:dyDescent="0.25">
      <c r="A371" t="s">
        <v>896</v>
      </c>
      <c r="B371">
        <v>3</v>
      </c>
      <c r="C371" t="s">
        <v>897</v>
      </c>
    </row>
    <row r="372" spans="1:3" x14ac:dyDescent="0.25">
      <c r="A372" t="s">
        <v>898</v>
      </c>
      <c r="B372">
        <v>4</v>
      </c>
      <c r="C372" t="s">
        <v>899</v>
      </c>
    </row>
    <row r="373" spans="1:3" x14ac:dyDescent="0.25">
      <c r="A373" t="s">
        <v>900</v>
      </c>
      <c r="B373">
        <v>4</v>
      </c>
      <c r="C373" t="s">
        <v>901</v>
      </c>
    </row>
    <row r="374" spans="1:3" x14ac:dyDescent="0.25">
      <c r="A374" t="s">
        <v>902</v>
      </c>
      <c r="B374">
        <v>4</v>
      </c>
      <c r="C374" t="s">
        <v>903</v>
      </c>
    </row>
    <row r="375" spans="1:3" x14ac:dyDescent="0.25">
      <c r="A375" t="s">
        <v>904</v>
      </c>
      <c r="B375">
        <v>4</v>
      </c>
      <c r="C375" t="s">
        <v>905</v>
      </c>
    </row>
    <row r="376" spans="1:3" x14ac:dyDescent="0.25">
      <c r="A376" t="s">
        <v>906</v>
      </c>
      <c r="B376">
        <v>4</v>
      </c>
      <c r="C376" t="s">
        <v>907</v>
      </c>
    </row>
    <row r="377" spans="1:3" x14ac:dyDescent="0.25">
      <c r="A377" t="s">
        <v>908</v>
      </c>
      <c r="B377">
        <v>3</v>
      </c>
      <c r="C377" t="s">
        <v>465</v>
      </c>
    </row>
    <row r="378" spans="1:3" x14ac:dyDescent="0.25">
      <c r="A378" t="s">
        <v>909</v>
      </c>
      <c r="B378">
        <v>4</v>
      </c>
      <c r="C378" t="s">
        <v>910</v>
      </c>
    </row>
    <row r="379" spans="1:3" x14ac:dyDescent="0.25">
      <c r="A379" t="s">
        <v>911</v>
      </c>
      <c r="B379">
        <v>3</v>
      </c>
      <c r="C379" t="s">
        <v>912</v>
      </c>
    </row>
    <row r="380" spans="1:3" x14ac:dyDescent="0.25">
      <c r="A380" t="s">
        <v>913</v>
      </c>
      <c r="B380">
        <v>4</v>
      </c>
      <c r="C380" t="s">
        <v>912</v>
      </c>
    </row>
    <row r="381" spans="1:3" x14ac:dyDescent="0.25">
      <c r="A381" t="s">
        <v>914</v>
      </c>
      <c r="B381">
        <v>2</v>
      </c>
      <c r="C381" t="s">
        <v>915</v>
      </c>
    </row>
    <row r="382" spans="1:3" x14ac:dyDescent="0.25">
      <c r="A382" t="s">
        <v>916</v>
      </c>
      <c r="B382">
        <v>3</v>
      </c>
      <c r="C382" t="s">
        <v>917</v>
      </c>
    </row>
    <row r="383" spans="1:3" x14ac:dyDescent="0.25">
      <c r="A383" t="s">
        <v>181</v>
      </c>
      <c r="B383">
        <v>4</v>
      </c>
      <c r="C383" t="s">
        <v>918</v>
      </c>
    </row>
    <row r="384" spans="1:3" x14ac:dyDescent="0.25">
      <c r="A384" t="s">
        <v>919</v>
      </c>
      <c r="B384">
        <v>4</v>
      </c>
      <c r="C384" t="s">
        <v>920</v>
      </c>
    </row>
    <row r="385" spans="1:3" x14ac:dyDescent="0.25">
      <c r="A385" t="s">
        <v>243</v>
      </c>
      <c r="B385">
        <v>4</v>
      </c>
      <c r="C385" t="s">
        <v>921</v>
      </c>
    </row>
    <row r="386" spans="1:3" x14ac:dyDescent="0.25">
      <c r="A386" t="s">
        <v>922</v>
      </c>
      <c r="B386">
        <v>4</v>
      </c>
      <c r="C386" t="s">
        <v>923</v>
      </c>
    </row>
    <row r="387" spans="1:3" x14ac:dyDescent="0.25">
      <c r="A387" t="s">
        <v>238</v>
      </c>
      <c r="B387">
        <v>4</v>
      </c>
      <c r="C387" t="s">
        <v>924</v>
      </c>
    </row>
    <row r="388" spans="1:3" x14ac:dyDescent="0.25">
      <c r="A388" t="s">
        <v>231</v>
      </c>
      <c r="B388">
        <v>4</v>
      </c>
      <c r="C388" t="s">
        <v>925</v>
      </c>
    </row>
    <row r="389" spans="1:3" x14ac:dyDescent="0.25">
      <c r="A389" t="s">
        <v>926</v>
      </c>
      <c r="B389">
        <v>3</v>
      </c>
      <c r="C389" t="s">
        <v>927</v>
      </c>
    </row>
    <row r="390" spans="1:3" x14ac:dyDescent="0.25">
      <c r="A390" t="s">
        <v>211</v>
      </c>
      <c r="B390">
        <v>4</v>
      </c>
      <c r="C390" t="s">
        <v>928</v>
      </c>
    </row>
    <row r="391" spans="1:3" x14ac:dyDescent="0.25">
      <c r="A391" t="s">
        <v>182</v>
      </c>
      <c r="B391">
        <v>4</v>
      </c>
      <c r="C391" t="s">
        <v>929</v>
      </c>
    </row>
    <row r="392" spans="1:3" x14ac:dyDescent="0.25">
      <c r="A392" t="s">
        <v>930</v>
      </c>
      <c r="B392">
        <v>3</v>
      </c>
      <c r="C392" t="s">
        <v>931</v>
      </c>
    </row>
    <row r="393" spans="1:3" x14ac:dyDescent="0.25">
      <c r="A393" t="s">
        <v>209</v>
      </c>
      <c r="B393">
        <v>4</v>
      </c>
      <c r="C393" t="s">
        <v>932</v>
      </c>
    </row>
    <row r="394" spans="1:3" x14ac:dyDescent="0.25">
      <c r="A394" t="s">
        <v>202</v>
      </c>
      <c r="B394">
        <v>4</v>
      </c>
      <c r="C394" t="s">
        <v>933</v>
      </c>
    </row>
    <row r="395" spans="1:3" x14ac:dyDescent="0.25">
      <c r="A395" t="s">
        <v>934</v>
      </c>
      <c r="B395">
        <v>4</v>
      </c>
      <c r="C395" t="s">
        <v>935</v>
      </c>
    </row>
    <row r="396" spans="1:3" x14ac:dyDescent="0.25">
      <c r="A396" t="s">
        <v>936</v>
      </c>
      <c r="B396">
        <v>3</v>
      </c>
      <c r="C396" t="s">
        <v>937</v>
      </c>
    </row>
    <row r="397" spans="1:3" x14ac:dyDescent="0.25">
      <c r="A397" t="s">
        <v>938</v>
      </c>
      <c r="B397">
        <v>4</v>
      </c>
      <c r="C397" t="s">
        <v>939</v>
      </c>
    </row>
    <row r="398" spans="1:3" x14ac:dyDescent="0.25">
      <c r="A398" t="s">
        <v>940</v>
      </c>
      <c r="B398">
        <v>2</v>
      </c>
      <c r="C398" t="s">
        <v>941</v>
      </c>
    </row>
    <row r="399" spans="1:3" x14ac:dyDescent="0.25">
      <c r="A399" t="s">
        <v>942</v>
      </c>
      <c r="B399">
        <v>3</v>
      </c>
      <c r="C399" t="s">
        <v>943</v>
      </c>
    </row>
    <row r="400" spans="1:3" x14ac:dyDescent="0.25">
      <c r="A400" t="s">
        <v>944</v>
      </c>
      <c r="B400">
        <v>4</v>
      </c>
      <c r="C400" t="s">
        <v>943</v>
      </c>
    </row>
    <row r="401" spans="1:3" x14ac:dyDescent="0.25">
      <c r="A401" t="s">
        <v>945</v>
      </c>
      <c r="B401">
        <v>3</v>
      </c>
      <c r="C401" t="s">
        <v>946</v>
      </c>
    </row>
    <row r="402" spans="1:3" x14ac:dyDescent="0.25">
      <c r="A402" t="s">
        <v>947</v>
      </c>
      <c r="B402">
        <v>4</v>
      </c>
      <c r="C402" t="s">
        <v>948</v>
      </c>
    </row>
    <row r="403" spans="1:3" x14ac:dyDescent="0.25">
      <c r="A403" t="s">
        <v>230</v>
      </c>
      <c r="B403">
        <v>4</v>
      </c>
      <c r="C403" t="s">
        <v>949</v>
      </c>
    </row>
    <row r="404" spans="1:3" x14ac:dyDescent="0.25">
      <c r="A404" t="s">
        <v>950</v>
      </c>
      <c r="B404">
        <v>4</v>
      </c>
      <c r="C404" t="s">
        <v>951</v>
      </c>
    </row>
    <row r="405" spans="1:3" x14ac:dyDescent="0.25">
      <c r="A405" t="s">
        <v>134</v>
      </c>
      <c r="B405">
        <v>4</v>
      </c>
      <c r="C405" t="s">
        <v>952</v>
      </c>
    </row>
    <row r="406" spans="1:3" x14ac:dyDescent="0.25">
      <c r="A406" t="s">
        <v>953</v>
      </c>
      <c r="B406">
        <v>3</v>
      </c>
      <c r="C406" t="s">
        <v>954</v>
      </c>
    </row>
    <row r="407" spans="1:3" x14ac:dyDescent="0.25">
      <c r="A407" t="s">
        <v>955</v>
      </c>
      <c r="B407">
        <v>4</v>
      </c>
      <c r="C407" t="s">
        <v>954</v>
      </c>
    </row>
    <row r="408" spans="1:3" x14ac:dyDescent="0.25">
      <c r="A408" t="s">
        <v>956</v>
      </c>
      <c r="B408">
        <v>3</v>
      </c>
      <c r="C408" t="s">
        <v>957</v>
      </c>
    </row>
    <row r="409" spans="1:3" x14ac:dyDescent="0.25">
      <c r="A409" t="s">
        <v>958</v>
      </c>
      <c r="B409">
        <v>4</v>
      </c>
      <c r="C409" t="s">
        <v>959</v>
      </c>
    </row>
    <row r="410" spans="1:3" x14ac:dyDescent="0.25">
      <c r="A410" t="s">
        <v>960</v>
      </c>
      <c r="B410">
        <v>4</v>
      </c>
      <c r="C410" t="s">
        <v>961</v>
      </c>
    </row>
    <row r="411" spans="1:3" x14ac:dyDescent="0.25">
      <c r="A411" t="s">
        <v>962</v>
      </c>
      <c r="B411">
        <v>3</v>
      </c>
      <c r="C411" t="s">
        <v>963</v>
      </c>
    </row>
    <row r="412" spans="1:3" x14ac:dyDescent="0.25">
      <c r="A412" t="s">
        <v>964</v>
      </c>
      <c r="B412">
        <v>4</v>
      </c>
      <c r="C412" t="s">
        <v>965</v>
      </c>
    </row>
    <row r="413" spans="1:3" x14ac:dyDescent="0.25">
      <c r="A413" t="s">
        <v>236</v>
      </c>
      <c r="B413">
        <v>4</v>
      </c>
      <c r="C413" t="s">
        <v>966</v>
      </c>
    </row>
    <row r="414" spans="1:3" x14ac:dyDescent="0.25">
      <c r="A414" t="s">
        <v>967</v>
      </c>
      <c r="B414">
        <v>3</v>
      </c>
      <c r="C414" t="s">
        <v>963</v>
      </c>
    </row>
    <row r="415" spans="1:3" x14ac:dyDescent="0.25">
      <c r="A415" t="s">
        <v>156</v>
      </c>
      <c r="B415">
        <v>4</v>
      </c>
      <c r="C415" t="s">
        <v>963</v>
      </c>
    </row>
    <row r="416" spans="1:3" x14ac:dyDescent="0.25">
      <c r="A416" t="s">
        <v>130</v>
      </c>
      <c r="B416">
        <v>4</v>
      </c>
      <c r="C416" t="s">
        <v>968</v>
      </c>
    </row>
    <row r="417" spans="1:3" x14ac:dyDescent="0.25">
      <c r="A417" t="s">
        <v>969</v>
      </c>
      <c r="B417">
        <v>3</v>
      </c>
      <c r="C417" t="s">
        <v>970</v>
      </c>
    </row>
    <row r="418" spans="1:3" x14ac:dyDescent="0.25">
      <c r="A418" t="s">
        <v>135</v>
      </c>
      <c r="B418">
        <v>4</v>
      </c>
      <c r="C418" t="s">
        <v>970</v>
      </c>
    </row>
    <row r="419" spans="1:3" x14ac:dyDescent="0.25">
      <c r="A419" t="s">
        <v>971</v>
      </c>
      <c r="B419">
        <v>4</v>
      </c>
      <c r="C419" t="s">
        <v>972</v>
      </c>
    </row>
    <row r="420" spans="1:3" x14ac:dyDescent="0.25">
      <c r="A420" t="s">
        <v>973</v>
      </c>
      <c r="B420">
        <v>3</v>
      </c>
      <c r="C420" t="s">
        <v>974</v>
      </c>
    </row>
    <row r="421" spans="1:3" x14ac:dyDescent="0.25">
      <c r="A421" t="s">
        <v>975</v>
      </c>
      <c r="B421">
        <v>4</v>
      </c>
      <c r="C421" t="s">
        <v>974</v>
      </c>
    </row>
    <row r="422" spans="1:3" x14ac:dyDescent="0.25">
      <c r="A422" t="s">
        <v>976</v>
      </c>
      <c r="B422">
        <v>3</v>
      </c>
      <c r="C422" t="s">
        <v>924</v>
      </c>
    </row>
    <row r="423" spans="1:3" x14ac:dyDescent="0.25">
      <c r="A423" t="s">
        <v>977</v>
      </c>
      <c r="B423">
        <v>4</v>
      </c>
      <c r="C423" t="s">
        <v>924</v>
      </c>
    </row>
    <row r="424" spans="1:3" x14ac:dyDescent="0.25">
      <c r="A424" t="s">
        <v>978</v>
      </c>
      <c r="B424">
        <v>3</v>
      </c>
      <c r="C424" t="s">
        <v>979</v>
      </c>
    </row>
    <row r="425" spans="1:3" x14ac:dyDescent="0.25">
      <c r="A425" t="s">
        <v>980</v>
      </c>
      <c r="B425">
        <v>4</v>
      </c>
      <c r="C425" t="s">
        <v>981</v>
      </c>
    </row>
    <row r="426" spans="1:3" x14ac:dyDescent="0.25">
      <c r="A426" t="s">
        <v>136</v>
      </c>
      <c r="B426">
        <v>4</v>
      </c>
      <c r="C426" t="s">
        <v>979</v>
      </c>
    </row>
    <row r="427" spans="1:3" x14ac:dyDescent="0.25">
      <c r="A427" t="s">
        <v>982</v>
      </c>
      <c r="B427">
        <v>2</v>
      </c>
      <c r="C427" t="s">
        <v>983</v>
      </c>
    </row>
    <row r="428" spans="1:3" x14ac:dyDescent="0.25">
      <c r="A428" t="s">
        <v>984</v>
      </c>
      <c r="B428">
        <v>3</v>
      </c>
      <c r="C428" t="s">
        <v>983</v>
      </c>
    </row>
    <row r="429" spans="1:3" x14ac:dyDescent="0.25">
      <c r="A429" t="s">
        <v>985</v>
      </c>
      <c r="B429">
        <v>4</v>
      </c>
      <c r="C429" t="s">
        <v>986</v>
      </c>
    </row>
    <row r="430" spans="1:3" x14ac:dyDescent="0.25">
      <c r="A430" t="s">
        <v>987</v>
      </c>
      <c r="B430">
        <v>1</v>
      </c>
      <c r="C430" t="s">
        <v>988</v>
      </c>
    </row>
    <row r="431" spans="1:3" x14ac:dyDescent="0.25">
      <c r="A431" t="s">
        <v>989</v>
      </c>
      <c r="B431">
        <v>2</v>
      </c>
      <c r="C431" t="s">
        <v>990</v>
      </c>
    </row>
    <row r="432" spans="1:3" x14ac:dyDescent="0.25">
      <c r="A432" t="s">
        <v>991</v>
      </c>
      <c r="B432">
        <v>3</v>
      </c>
      <c r="C432" t="s">
        <v>992</v>
      </c>
    </row>
    <row r="433" spans="1:3" x14ac:dyDescent="0.25">
      <c r="A433" t="s">
        <v>993</v>
      </c>
      <c r="B433">
        <v>4</v>
      </c>
      <c r="C433" t="s">
        <v>994</v>
      </c>
    </row>
    <row r="434" spans="1:3" x14ac:dyDescent="0.25">
      <c r="A434" t="s">
        <v>995</v>
      </c>
      <c r="B434">
        <v>4</v>
      </c>
      <c r="C434" t="s">
        <v>996</v>
      </c>
    </row>
    <row r="435" spans="1:3" x14ac:dyDescent="0.25">
      <c r="A435" t="s">
        <v>997</v>
      </c>
      <c r="B435">
        <v>4</v>
      </c>
      <c r="C435" t="s">
        <v>998</v>
      </c>
    </row>
    <row r="436" spans="1:3" x14ac:dyDescent="0.25">
      <c r="A436" t="s">
        <v>999</v>
      </c>
      <c r="B436">
        <v>3</v>
      </c>
      <c r="C436" t="s">
        <v>1000</v>
      </c>
    </row>
    <row r="437" spans="1:3" x14ac:dyDescent="0.25">
      <c r="A437" t="s">
        <v>1001</v>
      </c>
      <c r="B437">
        <v>4</v>
      </c>
      <c r="C437" t="s">
        <v>1002</v>
      </c>
    </row>
    <row r="438" spans="1:3" x14ac:dyDescent="0.25">
      <c r="A438" t="s">
        <v>1003</v>
      </c>
      <c r="B438">
        <v>3</v>
      </c>
      <c r="C438" t="s">
        <v>1004</v>
      </c>
    </row>
    <row r="439" spans="1:3" x14ac:dyDescent="0.25">
      <c r="A439" t="s">
        <v>1005</v>
      </c>
      <c r="B439">
        <v>4</v>
      </c>
      <c r="C439" t="s">
        <v>1006</v>
      </c>
    </row>
    <row r="440" spans="1:3" x14ac:dyDescent="0.25">
      <c r="A440" t="s">
        <v>1007</v>
      </c>
      <c r="B440">
        <v>3</v>
      </c>
      <c r="C440" t="s">
        <v>1008</v>
      </c>
    </row>
    <row r="441" spans="1:3" x14ac:dyDescent="0.25">
      <c r="A441" t="s">
        <v>1009</v>
      </c>
      <c r="B441">
        <v>4</v>
      </c>
      <c r="C441" t="s">
        <v>1010</v>
      </c>
    </row>
    <row r="442" spans="1:3" x14ac:dyDescent="0.25">
      <c r="A442" t="s">
        <v>1011</v>
      </c>
      <c r="B442">
        <v>2</v>
      </c>
      <c r="C442" t="s">
        <v>1012</v>
      </c>
    </row>
    <row r="443" spans="1:3" x14ac:dyDescent="0.25">
      <c r="A443" t="s">
        <v>1013</v>
      </c>
      <c r="B443">
        <v>3</v>
      </c>
      <c r="C443" t="s">
        <v>1012</v>
      </c>
    </row>
    <row r="444" spans="1:3" x14ac:dyDescent="0.25">
      <c r="A444" t="s">
        <v>1014</v>
      </c>
      <c r="B444">
        <v>4</v>
      </c>
      <c r="C444" t="s">
        <v>1012</v>
      </c>
    </row>
    <row r="445" spans="1:3" x14ac:dyDescent="0.25">
      <c r="A445" t="s">
        <v>1015</v>
      </c>
      <c r="B445">
        <v>3</v>
      </c>
      <c r="C445" t="s">
        <v>1016</v>
      </c>
    </row>
    <row r="446" spans="1:3" x14ac:dyDescent="0.25">
      <c r="A446" t="s">
        <v>1017</v>
      </c>
      <c r="B446">
        <v>4</v>
      </c>
      <c r="C446" t="s">
        <v>1018</v>
      </c>
    </row>
    <row r="447" spans="1:3" x14ac:dyDescent="0.25">
      <c r="A447" t="s">
        <v>1019</v>
      </c>
      <c r="B447">
        <v>4</v>
      </c>
      <c r="C447" t="s">
        <v>1020</v>
      </c>
    </row>
    <row r="448" spans="1:3" x14ac:dyDescent="0.25">
      <c r="A448" t="s">
        <v>1021</v>
      </c>
      <c r="B448">
        <v>3</v>
      </c>
      <c r="C448" t="s">
        <v>1022</v>
      </c>
    </row>
    <row r="449" spans="1:3" x14ac:dyDescent="0.25">
      <c r="A449" t="s">
        <v>1023</v>
      </c>
      <c r="B449">
        <v>2</v>
      </c>
      <c r="C449" t="s">
        <v>1024</v>
      </c>
    </row>
    <row r="450" spans="1:3" x14ac:dyDescent="0.25">
      <c r="A450" t="s">
        <v>1025</v>
      </c>
      <c r="B450">
        <v>3</v>
      </c>
      <c r="C450" t="s">
        <v>1026</v>
      </c>
    </row>
    <row r="451" spans="1:3" x14ac:dyDescent="0.25">
      <c r="A451" t="s">
        <v>1027</v>
      </c>
      <c r="B451">
        <v>4</v>
      </c>
      <c r="C451" t="s">
        <v>1028</v>
      </c>
    </row>
    <row r="452" spans="1:3" x14ac:dyDescent="0.25">
      <c r="A452" t="s">
        <v>1029</v>
      </c>
      <c r="B452">
        <v>1</v>
      </c>
      <c r="C452" t="s">
        <v>1030</v>
      </c>
    </row>
    <row r="453" spans="1:3" x14ac:dyDescent="0.25">
      <c r="A453" t="s">
        <v>1031</v>
      </c>
      <c r="B453">
        <v>2</v>
      </c>
      <c r="C453" t="s">
        <v>1032</v>
      </c>
    </row>
    <row r="454" spans="1:3" x14ac:dyDescent="0.25">
      <c r="A454" t="s">
        <v>1033</v>
      </c>
      <c r="B454">
        <v>3</v>
      </c>
      <c r="C454" t="s">
        <v>580</v>
      </c>
    </row>
    <row r="455" spans="1:3" x14ac:dyDescent="0.25">
      <c r="A455" t="s">
        <v>1034</v>
      </c>
      <c r="B455">
        <v>4</v>
      </c>
      <c r="C455" t="s">
        <v>582</v>
      </c>
    </row>
    <row r="456" spans="1:3" x14ac:dyDescent="0.25">
      <c r="A456" t="s">
        <v>178</v>
      </c>
      <c r="B456">
        <v>4</v>
      </c>
      <c r="C456" t="s">
        <v>583</v>
      </c>
    </row>
    <row r="457" spans="1:3" x14ac:dyDescent="0.25">
      <c r="A457" t="s">
        <v>1035</v>
      </c>
      <c r="B457">
        <v>4</v>
      </c>
      <c r="C457" t="s">
        <v>1036</v>
      </c>
    </row>
    <row r="458" spans="1:3" x14ac:dyDescent="0.25">
      <c r="A458" t="s">
        <v>1037</v>
      </c>
      <c r="B458">
        <v>4</v>
      </c>
      <c r="C458" t="s">
        <v>586</v>
      </c>
    </row>
    <row r="459" spans="1:3" x14ac:dyDescent="0.25">
      <c r="A459" t="s">
        <v>146</v>
      </c>
      <c r="B459">
        <v>4</v>
      </c>
      <c r="C459" t="s">
        <v>1038</v>
      </c>
    </row>
    <row r="460" spans="1:3" x14ac:dyDescent="0.25">
      <c r="A460" t="s">
        <v>1039</v>
      </c>
      <c r="B460">
        <v>3</v>
      </c>
      <c r="C460" t="s">
        <v>590</v>
      </c>
    </row>
    <row r="461" spans="1:3" x14ac:dyDescent="0.25">
      <c r="A461" t="s">
        <v>1040</v>
      </c>
      <c r="B461">
        <v>4</v>
      </c>
      <c r="C461" t="s">
        <v>592</v>
      </c>
    </row>
    <row r="462" spans="1:3" x14ac:dyDescent="0.25">
      <c r="A462" t="s">
        <v>214</v>
      </c>
      <c r="B462">
        <v>4</v>
      </c>
      <c r="C462" t="s">
        <v>593</v>
      </c>
    </row>
    <row r="463" spans="1:3" x14ac:dyDescent="0.25">
      <c r="A463" t="s">
        <v>1041</v>
      </c>
      <c r="B463">
        <v>3</v>
      </c>
      <c r="C463" t="s">
        <v>595</v>
      </c>
    </row>
    <row r="464" spans="1:3" x14ac:dyDescent="0.25">
      <c r="A464" t="s">
        <v>1042</v>
      </c>
      <c r="B464">
        <v>4</v>
      </c>
      <c r="C464" t="s">
        <v>1043</v>
      </c>
    </row>
    <row r="465" spans="1:3" x14ac:dyDescent="0.25">
      <c r="A465" t="s">
        <v>213</v>
      </c>
      <c r="B465">
        <v>4</v>
      </c>
      <c r="C465" t="s">
        <v>1044</v>
      </c>
    </row>
    <row r="466" spans="1:3" x14ac:dyDescent="0.25">
      <c r="A466" t="s">
        <v>1045</v>
      </c>
      <c r="B466">
        <v>4</v>
      </c>
      <c r="C466" t="s">
        <v>1046</v>
      </c>
    </row>
    <row r="467" spans="1:3" x14ac:dyDescent="0.25">
      <c r="A467" t="s">
        <v>1047</v>
      </c>
      <c r="B467">
        <v>4</v>
      </c>
      <c r="C467" t="s">
        <v>1048</v>
      </c>
    </row>
    <row r="468" spans="1:3" x14ac:dyDescent="0.25">
      <c r="A468" t="s">
        <v>1049</v>
      </c>
      <c r="B468">
        <v>3</v>
      </c>
      <c r="C468" t="s">
        <v>605</v>
      </c>
    </row>
    <row r="469" spans="1:3" x14ac:dyDescent="0.25">
      <c r="A469" t="s">
        <v>1050</v>
      </c>
      <c r="B469">
        <v>4</v>
      </c>
      <c r="C469" t="s">
        <v>1051</v>
      </c>
    </row>
    <row r="470" spans="1:3" x14ac:dyDescent="0.25">
      <c r="A470" t="s">
        <v>1052</v>
      </c>
      <c r="B470">
        <v>4</v>
      </c>
      <c r="C470" t="s">
        <v>1053</v>
      </c>
    </row>
    <row r="471" spans="1:3" x14ac:dyDescent="0.25">
      <c r="A471" t="s">
        <v>1054</v>
      </c>
      <c r="B471">
        <v>4</v>
      </c>
      <c r="C471" t="s">
        <v>1055</v>
      </c>
    </row>
    <row r="472" spans="1:3" x14ac:dyDescent="0.25">
      <c r="A472" t="s">
        <v>1056</v>
      </c>
      <c r="B472">
        <v>4</v>
      </c>
      <c r="C472" t="s">
        <v>1057</v>
      </c>
    </row>
    <row r="473" spans="1:3" x14ac:dyDescent="0.25">
      <c r="A473" t="s">
        <v>1058</v>
      </c>
      <c r="B473">
        <v>3</v>
      </c>
      <c r="C473" t="s">
        <v>1059</v>
      </c>
    </row>
    <row r="474" spans="1:3" x14ac:dyDescent="0.25">
      <c r="A474" t="s">
        <v>1060</v>
      </c>
      <c r="B474">
        <v>4</v>
      </c>
      <c r="C474" t="s">
        <v>1061</v>
      </c>
    </row>
    <row r="475" spans="1:3" x14ac:dyDescent="0.25">
      <c r="A475" t="s">
        <v>1062</v>
      </c>
      <c r="B475">
        <v>4</v>
      </c>
      <c r="C475" t="s">
        <v>618</v>
      </c>
    </row>
    <row r="476" spans="1:3" x14ac:dyDescent="0.25">
      <c r="A476" t="s">
        <v>1063</v>
      </c>
      <c r="B476">
        <v>4</v>
      </c>
      <c r="C476" t="s">
        <v>620</v>
      </c>
    </row>
    <row r="477" spans="1:3" x14ac:dyDescent="0.25">
      <c r="A477" t="s">
        <v>1064</v>
      </c>
      <c r="B477">
        <v>3</v>
      </c>
      <c r="C477" t="s">
        <v>622</v>
      </c>
    </row>
    <row r="478" spans="1:3" x14ac:dyDescent="0.25">
      <c r="A478" t="s">
        <v>1065</v>
      </c>
      <c r="B478">
        <v>4</v>
      </c>
      <c r="C478" t="s">
        <v>624</v>
      </c>
    </row>
    <row r="479" spans="1:3" x14ac:dyDescent="0.25">
      <c r="A479" t="s">
        <v>244</v>
      </c>
      <c r="B479">
        <v>4</v>
      </c>
      <c r="C479" t="s">
        <v>1066</v>
      </c>
    </row>
    <row r="480" spans="1:3" x14ac:dyDescent="0.25">
      <c r="A480" t="s">
        <v>251</v>
      </c>
      <c r="B480">
        <v>4</v>
      </c>
      <c r="C480" t="s">
        <v>628</v>
      </c>
    </row>
    <row r="481" spans="1:3" x14ac:dyDescent="0.25">
      <c r="A481" t="s">
        <v>1067</v>
      </c>
      <c r="B481">
        <v>4</v>
      </c>
      <c r="C481" t="s">
        <v>1068</v>
      </c>
    </row>
    <row r="482" spans="1:3" x14ac:dyDescent="0.25">
      <c r="A482" t="s">
        <v>1069</v>
      </c>
      <c r="B482">
        <v>3</v>
      </c>
      <c r="C482" t="s">
        <v>632</v>
      </c>
    </row>
    <row r="483" spans="1:3" x14ac:dyDescent="0.25">
      <c r="A483" t="s">
        <v>1070</v>
      </c>
      <c r="B483">
        <v>4</v>
      </c>
      <c r="C483" t="s">
        <v>634</v>
      </c>
    </row>
    <row r="484" spans="1:3" x14ac:dyDescent="0.25">
      <c r="A484" t="s">
        <v>1071</v>
      </c>
      <c r="B484">
        <v>4</v>
      </c>
      <c r="C484" t="s">
        <v>1072</v>
      </c>
    </row>
    <row r="485" spans="1:3" x14ac:dyDescent="0.25">
      <c r="A485" t="s">
        <v>1073</v>
      </c>
      <c r="B485">
        <v>3</v>
      </c>
      <c r="C485" t="s">
        <v>638</v>
      </c>
    </row>
    <row r="486" spans="1:3" x14ac:dyDescent="0.25">
      <c r="A486" t="s">
        <v>1074</v>
      </c>
      <c r="B486">
        <v>4</v>
      </c>
      <c r="C486" t="s">
        <v>1075</v>
      </c>
    </row>
    <row r="487" spans="1:3" x14ac:dyDescent="0.25">
      <c r="A487" t="s">
        <v>1076</v>
      </c>
      <c r="B487">
        <v>4</v>
      </c>
      <c r="C487" t="s">
        <v>1077</v>
      </c>
    </row>
    <row r="488" spans="1:3" x14ac:dyDescent="0.25">
      <c r="A488" t="s">
        <v>1078</v>
      </c>
      <c r="B488">
        <v>3</v>
      </c>
      <c r="C488" t="s">
        <v>653</v>
      </c>
    </row>
    <row r="489" spans="1:3" x14ac:dyDescent="0.25">
      <c r="A489" t="s">
        <v>1079</v>
      </c>
      <c r="B489">
        <v>4</v>
      </c>
      <c r="C489" t="s">
        <v>655</v>
      </c>
    </row>
    <row r="490" spans="1:3" x14ac:dyDescent="0.25">
      <c r="A490" t="s">
        <v>1080</v>
      </c>
      <c r="B490">
        <v>4</v>
      </c>
      <c r="C490" t="s">
        <v>657</v>
      </c>
    </row>
    <row r="491" spans="1:3" x14ac:dyDescent="0.25">
      <c r="A491" t="s">
        <v>1081</v>
      </c>
      <c r="B491">
        <v>4</v>
      </c>
      <c r="C491" t="s">
        <v>1082</v>
      </c>
    </row>
    <row r="492" spans="1:3" x14ac:dyDescent="0.25">
      <c r="A492" t="s">
        <v>1083</v>
      </c>
      <c r="B492">
        <v>4</v>
      </c>
      <c r="C492" t="s">
        <v>653</v>
      </c>
    </row>
    <row r="493" spans="1:3" x14ac:dyDescent="0.25">
      <c r="A493" t="s">
        <v>1084</v>
      </c>
      <c r="B493">
        <v>2</v>
      </c>
      <c r="C493" t="s">
        <v>1085</v>
      </c>
    </row>
    <row r="494" spans="1:3" x14ac:dyDescent="0.25">
      <c r="A494" t="s">
        <v>1086</v>
      </c>
      <c r="B494">
        <v>3</v>
      </c>
      <c r="C494" t="s">
        <v>644</v>
      </c>
    </row>
    <row r="495" spans="1:3" x14ac:dyDescent="0.25">
      <c r="A495" t="s">
        <v>1087</v>
      </c>
      <c r="B495">
        <v>4</v>
      </c>
      <c r="C495" t="s">
        <v>644</v>
      </c>
    </row>
    <row r="496" spans="1:3" x14ac:dyDescent="0.25">
      <c r="A496" t="s">
        <v>1088</v>
      </c>
      <c r="B496">
        <v>4</v>
      </c>
      <c r="C496" t="s">
        <v>1089</v>
      </c>
    </row>
    <row r="497" spans="1:3" x14ac:dyDescent="0.25">
      <c r="A497" t="s">
        <v>1090</v>
      </c>
      <c r="B497">
        <v>4</v>
      </c>
      <c r="C497" t="s">
        <v>1091</v>
      </c>
    </row>
    <row r="498" spans="1:3" x14ac:dyDescent="0.25">
      <c r="A498" t="s">
        <v>1092</v>
      </c>
      <c r="B498">
        <v>4</v>
      </c>
      <c r="C498" t="s">
        <v>1093</v>
      </c>
    </row>
    <row r="499" spans="1:3" x14ac:dyDescent="0.25">
      <c r="A499" t="s">
        <v>1094</v>
      </c>
      <c r="B499">
        <v>2</v>
      </c>
      <c r="C499" t="s">
        <v>653</v>
      </c>
    </row>
    <row r="500" spans="1:3" x14ac:dyDescent="0.25">
      <c r="A500" t="s">
        <v>1095</v>
      </c>
      <c r="B500">
        <v>3</v>
      </c>
      <c r="C500" t="s">
        <v>653</v>
      </c>
    </row>
    <row r="501" spans="1:3" x14ac:dyDescent="0.25">
      <c r="A501" t="s">
        <v>1096</v>
      </c>
      <c r="B501">
        <v>1</v>
      </c>
      <c r="C501" t="s">
        <v>1097</v>
      </c>
    </row>
    <row r="502" spans="1:3" x14ac:dyDescent="0.25">
      <c r="A502" t="s">
        <v>1098</v>
      </c>
      <c r="B502">
        <v>2</v>
      </c>
      <c r="C502" t="s">
        <v>1099</v>
      </c>
    </row>
    <row r="503" spans="1:3" x14ac:dyDescent="0.25">
      <c r="A503" t="s">
        <v>1100</v>
      </c>
      <c r="B503">
        <v>3</v>
      </c>
      <c r="C503" t="s">
        <v>1101</v>
      </c>
    </row>
    <row r="504" spans="1:3" x14ac:dyDescent="0.25">
      <c r="A504" t="s">
        <v>212</v>
      </c>
      <c r="B504">
        <v>4</v>
      </c>
      <c r="C504" t="s">
        <v>1101</v>
      </c>
    </row>
    <row r="505" spans="1:3" x14ac:dyDescent="0.25">
      <c r="A505" t="s">
        <v>1102</v>
      </c>
      <c r="B505">
        <v>3</v>
      </c>
      <c r="C505" t="s">
        <v>1103</v>
      </c>
    </row>
    <row r="506" spans="1:3" x14ac:dyDescent="0.25">
      <c r="A506" t="s">
        <v>246</v>
      </c>
      <c r="B506">
        <v>4</v>
      </c>
      <c r="C506" t="s">
        <v>1103</v>
      </c>
    </row>
    <row r="507" spans="1:3" x14ac:dyDescent="0.25">
      <c r="A507" t="s">
        <v>1104</v>
      </c>
      <c r="B507">
        <v>3</v>
      </c>
      <c r="C507" t="s">
        <v>1105</v>
      </c>
    </row>
    <row r="508" spans="1:3" x14ac:dyDescent="0.25">
      <c r="A508" t="s">
        <v>206</v>
      </c>
      <c r="B508">
        <v>4</v>
      </c>
      <c r="C508" t="s">
        <v>1105</v>
      </c>
    </row>
    <row r="509" spans="1:3" x14ac:dyDescent="0.25">
      <c r="A509" t="s">
        <v>1106</v>
      </c>
      <c r="B509">
        <v>3</v>
      </c>
      <c r="C509" t="s">
        <v>1107</v>
      </c>
    </row>
    <row r="510" spans="1:3" x14ac:dyDescent="0.25">
      <c r="A510" t="s">
        <v>1108</v>
      </c>
      <c r="B510">
        <v>2</v>
      </c>
      <c r="C510" t="s">
        <v>1109</v>
      </c>
    </row>
    <row r="511" spans="1:3" x14ac:dyDescent="0.25">
      <c r="A511" t="s">
        <v>1110</v>
      </c>
      <c r="B511">
        <v>3</v>
      </c>
      <c r="C511" t="s">
        <v>1109</v>
      </c>
    </row>
    <row r="512" spans="1:3" x14ac:dyDescent="0.25">
      <c r="A512" t="s">
        <v>215</v>
      </c>
      <c r="B512">
        <v>4</v>
      </c>
      <c r="C512" t="s">
        <v>1109</v>
      </c>
    </row>
    <row r="513" spans="1:3" x14ac:dyDescent="0.25">
      <c r="A513" t="s">
        <v>1111</v>
      </c>
      <c r="B513">
        <v>2</v>
      </c>
      <c r="C513" t="s">
        <v>1112</v>
      </c>
    </row>
    <row r="514" spans="1:3" x14ac:dyDescent="0.25">
      <c r="A514" t="s">
        <v>1113</v>
      </c>
      <c r="B514">
        <v>3</v>
      </c>
      <c r="C514" t="s">
        <v>1112</v>
      </c>
    </row>
    <row r="515" spans="1:3" x14ac:dyDescent="0.25">
      <c r="A515" t="s">
        <v>184</v>
      </c>
      <c r="B515">
        <v>4</v>
      </c>
      <c r="C515" t="s">
        <v>1112</v>
      </c>
    </row>
    <row r="516" spans="1:3" x14ac:dyDescent="0.25">
      <c r="A516" t="s">
        <v>1114</v>
      </c>
      <c r="B516">
        <v>2</v>
      </c>
      <c r="C516" t="s">
        <v>1115</v>
      </c>
    </row>
    <row r="517" spans="1:3" x14ac:dyDescent="0.25">
      <c r="A517" t="s">
        <v>1116</v>
      </c>
      <c r="B517">
        <v>3</v>
      </c>
      <c r="C517" t="s">
        <v>1115</v>
      </c>
    </row>
    <row r="518" spans="1:3" x14ac:dyDescent="0.25">
      <c r="A518" t="s">
        <v>1117</v>
      </c>
      <c r="B518">
        <v>4</v>
      </c>
      <c r="C518" t="s">
        <v>1115</v>
      </c>
    </row>
    <row r="519" spans="1:3" x14ac:dyDescent="0.25">
      <c r="A519" t="s">
        <v>1118</v>
      </c>
      <c r="B519">
        <v>1</v>
      </c>
      <c r="C519" t="s">
        <v>59</v>
      </c>
    </row>
    <row r="520" spans="1:3" x14ac:dyDescent="0.25">
      <c r="A520" t="s">
        <v>1119</v>
      </c>
      <c r="B520">
        <v>2</v>
      </c>
      <c r="C520" t="s">
        <v>1120</v>
      </c>
    </row>
    <row r="521" spans="1:3" x14ac:dyDescent="0.25">
      <c r="A521" t="s">
        <v>1121</v>
      </c>
      <c r="B521">
        <v>3</v>
      </c>
      <c r="C521" t="s">
        <v>1122</v>
      </c>
    </row>
    <row r="522" spans="1:3" x14ac:dyDescent="0.25">
      <c r="A522" t="s">
        <v>1123</v>
      </c>
      <c r="B522">
        <v>3</v>
      </c>
      <c r="C522" t="s">
        <v>1124</v>
      </c>
    </row>
    <row r="523" spans="1:3" x14ac:dyDescent="0.25">
      <c r="A523" t="s">
        <v>1125</v>
      </c>
      <c r="B523">
        <v>4</v>
      </c>
      <c r="C523" t="s">
        <v>1126</v>
      </c>
    </row>
    <row r="524" spans="1:3" x14ac:dyDescent="0.25">
      <c r="A524" t="s">
        <v>1127</v>
      </c>
      <c r="B524">
        <v>3</v>
      </c>
      <c r="C524" t="s">
        <v>1128</v>
      </c>
    </row>
    <row r="525" spans="1:3" x14ac:dyDescent="0.25">
      <c r="A525" t="s">
        <v>161</v>
      </c>
      <c r="B525">
        <v>4</v>
      </c>
      <c r="C525" t="s">
        <v>1128</v>
      </c>
    </row>
    <row r="526" spans="1:3" x14ac:dyDescent="0.25">
      <c r="A526" t="s">
        <v>1129</v>
      </c>
      <c r="B526">
        <v>3</v>
      </c>
      <c r="C526" t="s">
        <v>1130</v>
      </c>
    </row>
    <row r="527" spans="1:3" x14ac:dyDescent="0.25">
      <c r="A527" t="s">
        <v>283</v>
      </c>
      <c r="B527">
        <v>4</v>
      </c>
      <c r="C527" t="s">
        <v>1131</v>
      </c>
    </row>
    <row r="528" spans="1:3" x14ac:dyDescent="0.25">
      <c r="A528" t="s">
        <v>1132</v>
      </c>
      <c r="B528">
        <v>3</v>
      </c>
      <c r="C528" t="s">
        <v>1133</v>
      </c>
    </row>
    <row r="529" spans="1:3" x14ac:dyDescent="0.25">
      <c r="A529" t="s">
        <v>1134</v>
      </c>
      <c r="B529">
        <v>4</v>
      </c>
      <c r="C529" t="s">
        <v>1135</v>
      </c>
    </row>
    <row r="530" spans="1:3" x14ac:dyDescent="0.25">
      <c r="A530" t="s">
        <v>1136</v>
      </c>
      <c r="B530">
        <v>3</v>
      </c>
      <c r="C530" t="s">
        <v>1137</v>
      </c>
    </row>
    <row r="531" spans="1:3" x14ac:dyDescent="0.25">
      <c r="A531" t="s">
        <v>1138</v>
      </c>
      <c r="B531">
        <v>4</v>
      </c>
      <c r="C531" t="s">
        <v>1139</v>
      </c>
    </row>
    <row r="532" spans="1:3" x14ac:dyDescent="0.25">
      <c r="A532" t="s">
        <v>1140</v>
      </c>
      <c r="B532">
        <v>4</v>
      </c>
      <c r="C532" t="s">
        <v>1141</v>
      </c>
    </row>
    <row r="533" spans="1:3" x14ac:dyDescent="0.25">
      <c r="A533" t="s">
        <v>1142</v>
      </c>
      <c r="B533">
        <v>4</v>
      </c>
      <c r="C533" t="s">
        <v>1143</v>
      </c>
    </row>
    <row r="534" spans="1:3" x14ac:dyDescent="0.25">
      <c r="A534" t="s">
        <v>1144</v>
      </c>
      <c r="B534">
        <v>4</v>
      </c>
      <c r="C534" t="s">
        <v>1145</v>
      </c>
    </row>
    <row r="535" spans="1:3" x14ac:dyDescent="0.25">
      <c r="A535" t="s">
        <v>1146</v>
      </c>
      <c r="B535">
        <v>3</v>
      </c>
      <c r="C535" t="s">
        <v>1147</v>
      </c>
    </row>
    <row r="536" spans="1:3" x14ac:dyDescent="0.25">
      <c r="A536" t="s">
        <v>1148</v>
      </c>
      <c r="B536">
        <v>4</v>
      </c>
      <c r="C536" t="s">
        <v>1149</v>
      </c>
    </row>
    <row r="537" spans="1:3" x14ac:dyDescent="0.25">
      <c r="A537" t="s">
        <v>1150</v>
      </c>
      <c r="B537">
        <v>3</v>
      </c>
      <c r="C537" t="s">
        <v>1151</v>
      </c>
    </row>
    <row r="538" spans="1:3" x14ac:dyDescent="0.25">
      <c r="A538" t="s">
        <v>1152</v>
      </c>
      <c r="B538">
        <v>2</v>
      </c>
      <c r="C538" t="s">
        <v>1153</v>
      </c>
    </row>
    <row r="539" spans="1:3" x14ac:dyDescent="0.25">
      <c r="A539" t="s">
        <v>1154</v>
      </c>
      <c r="B539">
        <v>3</v>
      </c>
      <c r="C539" t="s">
        <v>1155</v>
      </c>
    </row>
    <row r="540" spans="1:3" x14ac:dyDescent="0.25">
      <c r="A540" t="s">
        <v>1156</v>
      </c>
      <c r="B540">
        <v>4</v>
      </c>
      <c r="C540" t="s">
        <v>1157</v>
      </c>
    </row>
    <row r="541" spans="1:3" x14ac:dyDescent="0.25">
      <c r="A541" t="s">
        <v>1158</v>
      </c>
      <c r="B541">
        <v>3</v>
      </c>
      <c r="C541" t="s">
        <v>1159</v>
      </c>
    </row>
    <row r="542" spans="1:3" x14ac:dyDescent="0.25">
      <c r="A542" t="s">
        <v>1160</v>
      </c>
      <c r="B542">
        <v>4</v>
      </c>
      <c r="C542" t="s">
        <v>1159</v>
      </c>
    </row>
    <row r="543" spans="1:3" x14ac:dyDescent="0.25">
      <c r="A543" t="s">
        <v>1161</v>
      </c>
      <c r="B543">
        <v>2</v>
      </c>
      <c r="C543" t="s">
        <v>1162</v>
      </c>
    </row>
    <row r="544" spans="1:3" x14ac:dyDescent="0.25">
      <c r="A544" t="s">
        <v>1163</v>
      </c>
      <c r="B544">
        <v>3</v>
      </c>
      <c r="C544" t="s">
        <v>1164</v>
      </c>
    </row>
    <row r="545" spans="1:3" x14ac:dyDescent="0.25">
      <c r="A545" t="s">
        <v>1165</v>
      </c>
      <c r="B545">
        <v>2</v>
      </c>
      <c r="C545" t="s">
        <v>1166</v>
      </c>
    </row>
    <row r="546" spans="1:3" x14ac:dyDescent="0.25">
      <c r="A546" t="s">
        <v>1167</v>
      </c>
      <c r="B546">
        <v>3</v>
      </c>
      <c r="C546" t="s">
        <v>1168</v>
      </c>
    </row>
    <row r="547" spans="1:3" x14ac:dyDescent="0.25">
      <c r="A547" t="s">
        <v>1169</v>
      </c>
      <c r="B547">
        <v>4</v>
      </c>
      <c r="C547" t="s">
        <v>1168</v>
      </c>
    </row>
    <row r="548" spans="1:3" x14ac:dyDescent="0.25">
      <c r="A548" t="s">
        <v>1170</v>
      </c>
      <c r="B548">
        <v>3</v>
      </c>
      <c r="C548" t="s">
        <v>1171</v>
      </c>
    </row>
    <row r="549" spans="1:3" x14ac:dyDescent="0.25">
      <c r="A549" t="s">
        <v>1172</v>
      </c>
      <c r="B549">
        <v>4</v>
      </c>
      <c r="C549" t="s">
        <v>1171</v>
      </c>
    </row>
    <row r="550" spans="1:3" x14ac:dyDescent="0.25">
      <c r="A550" t="s">
        <v>1173</v>
      </c>
      <c r="B550">
        <v>2</v>
      </c>
      <c r="C550" t="s">
        <v>1174</v>
      </c>
    </row>
    <row r="551" spans="1:3" x14ac:dyDescent="0.25">
      <c r="A551" t="s">
        <v>1175</v>
      </c>
      <c r="B551">
        <v>3</v>
      </c>
      <c r="C551" t="s">
        <v>1176</v>
      </c>
    </row>
    <row r="552" spans="1:3" x14ac:dyDescent="0.25">
      <c r="A552" t="s">
        <v>1177</v>
      </c>
      <c r="B552">
        <v>4</v>
      </c>
      <c r="C552" t="s">
        <v>1176</v>
      </c>
    </row>
    <row r="553" spans="1:3" x14ac:dyDescent="0.25">
      <c r="A553" t="s">
        <v>1178</v>
      </c>
      <c r="B553">
        <v>3</v>
      </c>
      <c r="C553" t="s">
        <v>1179</v>
      </c>
    </row>
    <row r="554" spans="1:3" x14ac:dyDescent="0.25">
      <c r="A554" t="s">
        <v>1180</v>
      </c>
      <c r="B554">
        <v>3</v>
      </c>
      <c r="C554" t="s">
        <v>1181</v>
      </c>
    </row>
    <row r="555" spans="1:3" x14ac:dyDescent="0.25">
      <c r="A555" t="s">
        <v>1182</v>
      </c>
      <c r="B555">
        <v>4</v>
      </c>
      <c r="C555" t="s">
        <v>1181</v>
      </c>
    </row>
    <row r="556" spans="1:3" x14ac:dyDescent="0.25">
      <c r="A556" t="s">
        <v>1183</v>
      </c>
      <c r="B556">
        <v>2</v>
      </c>
      <c r="C556" t="s">
        <v>1184</v>
      </c>
    </row>
    <row r="557" spans="1:3" x14ac:dyDescent="0.25">
      <c r="A557" t="s">
        <v>1185</v>
      </c>
      <c r="B557">
        <v>3</v>
      </c>
      <c r="C557" t="s">
        <v>1186</v>
      </c>
    </row>
    <row r="558" spans="1:3" x14ac:dyDescent="0.25">
      <c r="A558" t="s">
        <v>256</v>
      </c>
      <c r="B558">
        <v>4</v>
      </c>
      <c r="C558" t="s">
        <v>1186</v>
      </c>
    </row>
    <row r="559" spans="1:3" x14ac:dyDescent="0.25">
      <c r="A559" t="s">
        <v>1187</v>
      </c>
      <c r="B559">
        <v>3</v>
      </c>
      <c r="C559" t="s">
        <v>1188</v>
      </c>
    </row>
    <row r="560" spans="1:3" x14ac:dyDescent="0.25">
      <c r="A560" t="s">
        <v>145</v>
      </c>
      <c r="B560">
        <v>4</v>
      </c>
      <c r="C560" t="s">
        <v>1188</v>
      </c>
    </row>
    <row r="561" spans="1:3" x14ac:dyDescent="0.25">
      <c r="A561" t="s">
        <v>1189</v>
      </c>
      <c r="B561">
        <v>3</v>
      </c>
      <c r="C561" t="s">
        <v>1184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4">
    <tabColor rgb="FFFF8080"/>
  </sheetPr>
  <dimension ref="A1:S536"/>
  <sheetViews>
    <sheetView showGridLines="0" zoomScale="85" zoomScaleNormal="85" workbookViewId="0"/>
  </sheetViews>
  <sheetFormatPr defaultColWidth="11.42578125" defaultRowHeight="15" x14ac:dyDescent="0.25"/>
  <cols>
    <col min="1" max="1" width="12" bestFit="1" customWidth="1"/>
    <col min="2" max="2" width="8.42578125" bestFit="1" customWidth="1"/>
    <col min="3" max="3" width="7.5703125" bestFit="1" customWidth="1"/>
    <col min="4" max="4" width="6" bestFit="1" customWidth="1"/>
    <col min="5" max="5" width="12.42578125" bestFit="1" customWidth="1"/>
    <col min="6" max="6" width="10.28515625" bestFit="1" customWidth="1"/>
    <col min="7" max="7" width="12.42578125" bestFit="1" customWidth="1"/>
    <col min="8" max="8" width="9" bestFit="1" customWidth="1"/>
    <col min="9" max="9" width="9.42578125" bestFit="1" customWidth="1"/>
    <col min="10" max="10" width="8.5703125" bestFit="1" customWidth="1"/>
    <col min="11" max="11" width="7.42578125" bestFit="1" customWidth="1"/>
    <col min="12" max="12" width="7.5703125" bestFit="1" customWidth="1"/>
    <col min="13" max="13" width="6.28515625" bestFit="1" customWidth="1"/>
    <col min="14" max="14" width="6.140625" bestFit="1" customWidth="1"/>
    <col min="15" max="15" width="6.42578125" bestFit="1" customWidth="1"/>
    <col min="16" max="16" width="40.140625" bestFit="1" customWidth="1"/>
    <col min="17" max="19" width="9.140625" bestFit="1" customWidth="1"/>
  </cols>
  <sheetData>
    <row r="1" spans="1:19" x14ac:dyDescent="0.25">
      <c r="A1" t="s">
        <v>80</v>
      </c>
      <c r="B1" t="s">
        <v>51</v>
      </c>
      <c r="C1" t="s">
        <v>52</v>
      </c>
      <c r="D1" t="s">
        <v>53</v>
      </c>
      <c r="E1" t="s">
        <v>38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6</v>
      </c>
      <c r="N1" t="s">
        <v>88</v>
      </c>
      <c r="O1" t="s">
        <v>89</v>
      </c>
      <c r="P1" t="s">
        <v>50</v>
      </c>
      <c r="Q1" s="20" t="s">
        <v>74</v>
      </c>
      <c r="R1" s="20" t="s">
        <v>73</v>
      </c>
      <c r="S1" s="20" t="s">
        <v>72</v>
      </c>
    </row>
    <row r="2" spans="1:19" x14ac:dyDescent="0.25">
      <c r="A2">
        <v>2101</v>
      </c>
      <c r="B2" t="s">
        <v>9</v>
      </c>
      <c r="C2" t="s">
        <v>90</v>
      </c>
      <c r="D2">
        <v>0</v>
      </c>
      <c r="E2">
        <v>38170</v>
      </c>
      <c r="F2">
        <v>2958465</v>
      </c>
      <c r="K2">
        <v>0</v>
      </c>
      <c r="N2">
        <v>1</v>
      </c>
      <c r="O2" t="s">
        <v>91</v>
      </c>
      <c r="P2" t="s">
        <v>92</v>
      </c>
      <c r="Q2">
        <f>IF(CustomerHierarchyLevels[[#This Row],[HgLvCust.]]=0,CustomerHierarchyLevels[[#This Row],[Customer]],CustomerHierarchyLevels[[#This Row],[HgLvCust.]])</f>
        <v>2101</v>
      </c>
      <c r="R2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2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3" spans="1:19" x14ac:dyDescent="0.25">
      <c r="A3">
        <v>2103</v>
      </c>
      <c r="B3" t="s">
        <v>9</v>
      </c>
      <c r="C3" t="s">
        <v>90</v>
      </c>
      <c r="D3">
        <v>0</v>
      </c>
      <c r="E3">
        <v>38170</v>
      </c>
      <c r="F3">
        <v>2958465</v>
      </c>
      <c r="G3">
        <v>2102</v>
      </c>
      <c r="H3" t="s">
        <v>9</v>
      </c>
      <c r="I3" t="s">
        <v>90</v>
      </c>
      <c r="J3">
        <v>0</v>
      </c>
      <c r="K3">
        <v>0</v>
      </c>
      <c r="N3">
        <v>3</v>
      </c>
      <c r="O3" t="s">
        <v>91</v>
      </c>
      <c r="P3" t="s">
        <v>93</v>
      </c>
      <c r="Q3">
        <f>IF(CustomerHierarchyLevels[[#This Row],[HgLvCust.]]=0,CustomerHierarchyLevels[[#This Row],[Customer]],CustomerHierarchyLevels[[#This Row],[HgLvCust.]])</f>
        <v>2102</v>
      </c>
      <c r="R3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3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4" spans="1:19" x14ac:dyDescent="0.25">
      <c r="A4">
        <v>2104</v>
      </c>
      <c r="B4" t="s">
        <v>9</v>
      </c>
      <c r="C4" t="s">
        <v>90</v>
      </c>
      <c r="D4">
        <v>0</v>
      </c>
      <c r="E4">
        <v>38170</v>
      </c>
      <c r="F4">
        <v>2958465</v>
      </c>
      <c r="G4">
        <v>2102</v>
      </c>
      <c r="H4" t="s">
        <v>9</v>
      </c>
      <c r="I4" t="s">
        <v>90</v>
      </c>
      <c r="J4">
        <v>0</v>
      </c>
      <c r="K4">
        <v>0</v>
      </c>
      <c r="N4">
        <v>3</v>
      </c>
      <c r="O4" t="s">
        <v>91</v>
      </c>
      <c r="P4" t="s">
        <v>1190</v>
      </c>
      <c r="Q4" s="16">
        <f>IF(CustomerHierarchyLevels[[#This Row],[HgLvCust.]]=0,CustomerHierarchyLevels[[#This Row],[Customer]],CustomerHierarchyLevels[[#This Row],[HgLvCust.]])</f>
        <v>2102</v>
      </c>
      <c r="R4" s="16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4" s="16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5" spans="1:19" x14ac:dyDescent="0.25">
      <c r="A5">
        <v>2105</v>
      </c>
      <c r="B5" t="s">
        <v>9</v>
      </c>
      <c r="C5" t="s">
        <v>90</v>
      </c>
      <c r="D5">
        <v>0</v>
      </c>
      <c r="E5">
        <v>38170</v>
      </c>
      <c r="F5">
        <v>2958465</v>
      </c>
      <c r="G5">
        <v>2102</v>
      </c>
      <c r="H5" t="s">
        <v>9</v>
      </c>
      <c r="I5" t="s">
        <v>90</v>
      </c>
      <c r="J5">
        <v>0</v>
      </c>
      <c r="K5">
        <v>0</v>
      </c>
      <c r="N5">
        <v>3</v>
      </c>
      <c r="O5" t="s">
        <v>91</v>
      </c>
      <c r="P5" t="s">
        <v>1191</v>
      </c>
      <c r="Q5" s="16">
        <f>IF(CustomerHierarchyLevels[[#This Row],[HgLvCust.]]=0,CustomerHierarchyLevels[[#This Row],[Customer]],CustomerHierarchyLevels[[#This Row],[HgLvCust.]])</f>
        <v>2102</v>
      </c>
      <c r="R5" s="16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5" s="16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6" spans="1:19" x14ac:dyDescent="0.25">
      <c r="A6">
        <v>2106</v>
      </c>
      <c r="B6" t="s">
        <v>9</v>
      </c>
      <c r="C6" t="s">
        <v>90</v>
      </c>
      <c r="D6">
        <v>0</v>
      </c>
      <c r="E6">
        <v>38170</v>
      </c>
      <c r="F6">
        <v>2958465</v>
      </c>
      <c r="G6">
        <v>2102</v>
      </c>
      <c r="H6" t="s">
        <v>9</v>
      </c>
      <c r="I6" t="s">
        <v>90</v>
      </c>
      <c r="J6">
        <v>0</v>
      </c>
      <c r="K6">
        <v>0</v>
      </c>
      <c r="N6">
        <v>3</v>
      </c>
      <c r="O6" t="s">
        <v>91</v>
      </c>
      <c r="P6" t="s">
        <v>1192</v>
      </c>
      <c r="Q6" s="16">
        <f>IF(CustomerHierarchyLevels[[#This Row],[HgLvCust.]]=0,CustomerHierarchyLevels[[#This Row],[Customer]],CustomerHierarchyLevels[[#This Row],[HgLvCust.]])</f>
        <v>2102</v>
      </c>
      <c r="R6" s="16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6" s="16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7" spans="1:19" x14ac:dyDescent="0.25">
      <c r="A7">
        <v>2107</v>
      </c>
      <c r="B7" t="s">
        <v>9</v>
      </c>
      <c r="C7" t="s">
        <v>90</v>
      </c>
      <c r="D7">
        <v>0</v>
      </c>
      <c r="E7">
        <v>38170</v>
      </c>
      <c r="F7">
        <v>2958465</v>
      </c>
      <c r="G7">
        <v>2102</v>
      </c>
      <c r="H7" t="s">
        <v>9</v>
      </c>
      <c r="I7" t="s">
        <v>90</v>
      </c>
      <c r="J7">
        <v>0</v>
      </c>
      <c r="K7">
        <v>0</v>
      </c>
      <c r="N7">
        <v>3</v>
      </c>
      <c r="O7" t="s">
        <v>91</v>
      </c>
      <c r="P7" t="s">
        <v>1193</v>
      </c>
      <c r="Q7" s="16">
        <f>IF(CustomerHierarchyLevels[[#This Row],[HgLvCust.]]=0,CustomerHierarchyLevels[[#This Row],[Customer]],CustomerHierarchyLevels[[#This Row],[HgLvCust.]])</f>
        <v>2102</v>
      </c>
      <c r="R7" s="16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7" s="16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8" spans="1:19" x14ac:dyDescent="0.25">
      <c r="A8">
        <v>2108</v>
      </c>
      <c r="B8" t="s">
        <v>9</v>
      </c>
      <c r="C8" t="s">
        <v>90</v>
      </c>
      <c r="D8">
        <v>0</v>
      </c>
      <c r="E8">
        <v>38170</v>
      </c>
      <c r="F8">
        <v>2958465</v>
      </c>
      <c r="G8">
        <v>2102</v>
      </c>
      <c r="H8" t="s">
        <v>9</v>
      </c>
      <c r="I8" t="s">
        <v>90</v>
      </c>
      <c r="J8">
        <v>0</v>
      </c>
      <c r="K8">
        <v>0</v>
      </c>
      <c r="N8">
        <v>3</v>
      </c>
      <c r="O8" t="s">
        <v>91</v>
      </c>
      <c r="P8" t="s">
        <v>1194</v>
      </c>
      <c r="Q8" s="16">
        <f>IF(CustomerHierarchyLevels[[#This Row],[HgLvCust.]]=0,CustomerHierarchyLevels[[#This Row],[Customer]],CustomerHierarchyLevels[[#This Row],[HgLvCust.]])</f>
        <v>2102</v>
      </c>
      <c r="R8" s="16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8" s="16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9" spans="1:19" x14ac:dyDescent="0.25">
      <c r="A9">
        <v>2109</v>
      </c>
      <c r="B9" t="s">
        <v>9</v>
      </c>
      <c r="C9" t="s">
        <v>90</v>
      </c>
      <c r="D9">
        <v>0</v>
      </c>
      <c r="E9">
        <v>38170</v>
      </c>
      <c r="F9">
        <v>2958465</v>
      </c>
      <c r="K9">
        <v>0</v>
      </c>
      <c r="L9" t="s">
        <v>1195</v>
      </c>
      <c r="M9" t="s">
        <v>1195</v>
      </c>
      <c r="N9">
        <v>1</v>
      </c>
      <c r="O9" t="s">
        <v>91</v>
      </c>
      <c r="P9" t="s">
        <v>1196</v>
      </c>
      <c r="Q9" s="16">
        <f>IF(CustomerHierarchyLevels[[#This Row],[HgLvCust.]]=0,CustomerHierarchyLevels[[#This Row],[Customer]],CustomerHierarchyLevels[[#This Row],[HgLvCust.]])</f>
        <v>2109</v>
      </c>
      <c r="R9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9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0" spans="1:19" x14ac:dyDescent="0.25">
      <c r="A10">
        <v>2111</v>
      </c>
      <c r="B10" t="s">
        <v>9</v>
      </c>
      <c r="C10" t="s">
        <v>90</v>
      </c>
      <c r="D10">
        <v>0</v>
      </c>
      <c r="E10">
        <v>38170</v>
      </c>
      <c r="F10">
        <v>2958465</v>
      </c>
      <c r="G10">
        <v>2110</v>
      </c>
      <c r="H10" t="s">
        <v>9</v>
      </c>
      <c r="I10" t="s">
        <v>90</v>
      </c>
      <c r="J10">
        <v>0</v>
      </c>
      <c r="K10">
        <v>0</v>
      </c>
      <c r="N10">
        <v>3</v>
      </c>
      <c r="O10" t="s">
        <v>91</v>
      </c>
      <c r="P10" t="s">
        <v>1197</v>
      </c>
      <c r="Q10" s="16">
        <f>IF(CustomerHierarchyLevels[[#This Row],[HgLvCust.]]=0,CustomerHierarchyLevels[[#This Row],[Customer]],CustomerHierarchyLevels[[#This Row],[HgLvCust.]])</f>
        <v>2110</v>
      </c>
      <c r="R10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0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1" spans="1:19" x14ac:dyDescent="0.25">
      <c r="A11">
        <v>2112</v>
      </c>
      <c r="B11" t="s">
        <v>9</v>
      </c>
      <c r="C11" t="s">
        <v>90</v>
      </c>
      <c r="D11">
        <v>0</v>
      </c>
      <c r="E11">
        <v>38170</v>
      </c>
      <c r="F11">
        <v>2958465</v>
      </c>
      <c r="G11">
        <v>2110</v>
      </c>
      <c r="H11" t="s">
        <v>9</v>
      </c>
      <c r="I11" t="s">
        <v>90</v>
      </c>
      <c r="J11">
        <v>0</v>
      </c>
      <c r="K11">
        <v>0</v>
      </c>
      <c r="N11">
        <v>3</v>
      </c>
      <c r="O11" t="s">
        <v>91</v>
      </c>
      <c r="P11" t="s">
        <v>1198</v>
      </c>
      <c r="Q11" s="16">
        <f>IF(CustomerHierarchyLevels[[#This Row],[HgLvCust.]]=0,CustomerHierarchyLevels[[#This Row],[Customer]],CustomerHierarchyLevels[[#This Row],[HgLvCust.]])</f>
        <v>2110</v>
      </c>
      <c r="R11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1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2" spans="1:19" x14ac:dyDescent="0.25">
      <c r="A12">
        <v>2113</v>
      </c>
      <c r="B12" t="s">
        <v>9</v>
      </c>
      <c r="C12" t="s">
        <v>90</v>
      </c>
      <c r="D12">
        <v>0</v>
      </c>
      <c r="E12">
        <v>38170</v>
      </c>
      <c r="F12">
        <v>2958465</v>
      </c>
      <c r="G12">
        <v>2110</v>
      </c>
      <c r="H12" t="s">
        <v>9</v>
      </c>
      <c r="I12" t="s">
        <v>90</v>
      </c>
      <c r="J12">
        <v>0</v>
      </c>
      <c r="K12">
        <v>0</v>
      </c>
      <c r="N12">
        <v>3</v>
      </c>
      <c r="O12" t="s">
        <v>91</v>
      </c>
      <c r="P12" t="s">
        <v>1199</v>
      </c>
      <c r="Q12" s="16">
        <f>IF(CustomerHierarchyLevels[[#This Row],[HgLvCust.]]=0,CustomerHierarchyLevels[[#This Row],[Customer]],CustomerHierarchyLevels[[#This Row],[HgLvCust.]])</f>
        <v>2110</v>
      </c>
      <c r="R12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2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3" spans="1:19" x14ac:dyDescent="0.25">
      <c r="A13">
        <v>2114</v>
      </c>
      <c r="B13" t="s">
        <v>9</v>
      </c>
      <c r="C13" t="s">
        <v>90</v>
      </c>
      <c r="D13">
        <v>0</v>
      </c>
      <c r="E13">
        <v>38170</v>
      </c>
      <c r="F13">
        <v>2958465</v>
      </c>
      <c r="G13">
        <v>2110</v>
      </c>
      <c r="H13" t="s">
        <v>9</v>
      </c>
      <c r="I13" t="s">
        <v>90</v>
      </c>
      <c r="J13">
        <v>0</v>
      </c>
      <c r="K13">
        <v>0</v>
      </c>
      <c r="N13">
        <v>3</v>
      </c>
      <c r="O13" t="s">
        <v>91</v>
      </c>
      <c r="P13" t="s">
        <v>1200</v>
      </c>
      <c r="Q13" s="16">
        <f>IF(CustomerHierarchyLevels[[#This Row],[HgLvCust.]]=0,CustomerHierarchyLevels[[#This Row],[Customer]],CustomerHierarchyLevels[[#This Row],[HgLvCust.]])</f>
        <v>2110</v>
      </c>
      <c r="R13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3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4" spans="1:19" x14ac:dyDescent="0.25">
      <c r="A14">
        <v>2115</v>
      </c>
      <c r="B14" t="s">
        <v>9</v>
      </c>
      <c r="C14" t="s">
        <v>90</v>
      </c>
      <c r="D14">
        <v>0</v>
      </c>
      <c r="E14">
        <v>38170</v>
      </c>
      <c r="F14">
        <v>2958465</v>
      </c>
      <c r="G14">
        <v>2110</v>
      </c>
      <c r="H14" t="s">
        <v>9</v>
      </c>
      <c r="I14" t="s">
        <v>90</v>
      </c>
      <c r="J14">
        <v>0</v>
      </c>
      <c r="K14">
        <v>0</v>
      </c>
      <c r="N14">
        <v>3</v>
      </c>
      <c r="O14" t="s">
        <v>91</v>
      </c>
      <c r="P14" t="s">
        <v>1201</v>
      </c>
      <c r="Q14" s="16">
        <f>IF(CustomerHierarchyLevels[[#This Row],[HgLvCust.]]=0,CustomerHierarchyLevels[[#This Row],[Customer]],CustomerHierarchyLevels[[#This Row],[HgLvCust.]])</f>
        <v>2110</v>
      </c>
      <c r="R14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4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5" spans="1:19" x14ac:dyDescent="0.25">
      <c r="A15">
        <v>2116</v>
      </c>
      <c r="B15" t="s">
        <v>9</v>
      </c>
      <c r="C15" t="s">
        <v>90</v>
      </c>
      <c r="D15">
        <v>0</v>
      </c>
      <c r="E15">
        <v>38170</v>
      </c>
      <c r="F15">
        <v>2958465</v>
      </c>
      <c r="G15">
        <v>2110</v>
      </c>
      <c r="H15" t="s">
        <v>9</v>
      </c>
      <c r="I15" t="s">
        <v>90</v>
      </c>
      <c r="J15">
        <v>0</v>
      </c>
      <c r="K15">
        <v>0</v>
      </c>
      <c r="N15">
        <v>3</v>
      </c>
      <c r="O15" t="s">
        <v>91</v>
      </c>
      <c r="P15" t="s">
        <v>1202</v>
      </c>
      <c r="Q15" s="16">
        <f>IF(CustomerHierarchyLevels[[#This Row],[HgLvCust.]]=0,CustomerHierarchyLevels[[#This Row],[Customer]],CustomerHierarchyLevels[[#This Row],[HgLvCust.]])</f>
        <v>2110</v>
      </c>
      <c r="R15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5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6" spans="1:19" x14ac:dyDescent="0.25">
      <c r="A16">
        <v>2117</v>
      </c>
      <c r="B16" t="s">
        <v>9</v>
      </c>
      <c r="C16" t="s">
        <v>90</v>
      </c>
      <c r="D16">
        <v>0</v>
      </c>
      <c r="E16">
        <v>38170</v>
      </c>
      <c r="F16">
        <v>2958465</v>
      </c>
      <c r="G16">
        <v>2110</v>
      </c>
      <c r="H16" t="s">
        <v>9</v>
      </c>
      <c r="I16" t="s">
        <v>90</v>
      </c>
      <c r="J16">
        <v>0</v>
      </c>
      <c r="K16">
        <v>0</v>
      </c>
      <c r="N16">
        <v>3</v>
      </c>
      <c r="O16" t="s">
        <v>91</v>
      </c>
      <c r="P16" t="s">
        <v>1203</v>
      </c>
      <c r="Q16" s="16">
        <f>IF(CustomerHierarchyLevels[[#This Row],[HgLvCust.]]=0,CustomerHierarchyLevels[[#This Row],[Customer]],CustomerHierarchyLevels[[#This Row],[HgLvCust.]])</f>
        <v>2110</v>
      </c>
      <c r="R16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6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7" spans="1:19" x14ac:dyDescent="0.25">
      <c r="A17">
        <v>2118</v>
      </c>
      <c r="B17" t="s">
        <v>9</v>
      </c>
      <c r="C17" t="s">
        <v>90</v>
      </c>
      <c r="D17">
        <v>0</v>
      </c>
      <c r="E17">
        <v>38170</v>
      </c>
      <c r="F17">
        <v>2958465</v>
      </c>
      <c r="G17">
        <v>2110</v>
      </c>
      <c r="H17" t="s">
        <v>9</v>
      </c>
      <c r="I17" t="s">
        <v>90</v>
      </c>
      <c r="J17">
        <v>0</v>
      </c>
      <c r="K17">
        <v>0</v>
      </c>
      <c r="N17">
        <v>3</v>
      </c>
      <c r="O17" t="s">
        <v>91</v>
      </c>
      <c r="P17" t="s">
        <v>1204</v>
      </c>
      <c r="Q17" s="16">
        <f>IF(CustomerHierarchyLevels[[#This Row],[HgLvCust.]]=0,CustomerHierarchyLevels[[#This Row],[Customer]],CustomerHierarchyLevels[[#This Row],[HgLvCust.]])</f>
        <v>2110</v>
      </c>
      <c r="R17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7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8" spans="1:19" x14ac:dyDescent="0.25">
      <c r="A18">
        <v>2119</v>
      </c>
      <c r="B18" t="s">
        <v>9</v>
      </c>
      <c r="C18" t="s">
        <v>90</v>
      </c>
      <c r="D18">
        <v>0</v>
      </c>
      <c r="E18">
        <v>38170</v>
      </c>
      <c r="F18">
        <v>2958465</v>
      </c>
      <c r="G18">
        <v>2110</v>
      </c>
      <c r="H18" t="s">
        <v>9</v>
      </c>
      <c r="I18" t="s">
        <v>90</v>
      </c>
      <c r="J18">
        <v>0</v>
      </c>
      <c r="K18">
        <v>0</v>
      </c>
      <c r="N18">
        <v>3</v>
      </c>
      <c r="O18" t="s">
        <v>91</v>
      </c>
      <c r="P18" t="s">
        <v>1205</v>
      </c>
      <c r="Q18" s="16">
        <f>IF(CustomerHierarchyLevels[[#This Row],[HgLvCust.]]=0,CustomerHierarchyLevels[[#This Row],[Customer]],CustomerHierarchyLevels[[#This Row],[HgLvCust.]])</f>
        <v>2110</v>
      </c>
      <c r="R18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8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9" spans="1:19" x14ac:dyDescent="0.25">
      <c r="A19">
        <v>2120</v>
      </c>
      <c r="B19" t="s">
        <v>9</v>
      </c>
      <c r="C19" t="s">
        <v>90</v>
      </c>
      <c r="D19">
        <v>0</v>
      </c>
      <c r="E19">
        <v>38170</v>
      </c>
      <c r="F19">
        <v>2958465</v>
      </c>
      <c r="G19">
        <v>2110</v>
      </c>
      <c r="H19" t="s">
        <v>9</v>
      </c>
      <c r="I19" t="s">
        <v>90</v>
      </c>
      <c r="J19">
        <v>0</v>
      </c>
      <c r="K19">
        <v>0</v>
      </c>
      <c r="N19">
        <v>3</v>
      </c>
      <c r="O19" t="s">
        <v>91</v>
      </c>
      <c r="P19" t="s">
        <v>1206</v>
      </c>
      <c r="Q19" s="16">
        <f>IF(CustomerHierarchyLevels[[#This Row],[HgLvCust.]]=0,CustomerHierarchyLevels[[#This Row],[Customer]],CustomerHierarchyLevels[[#This Row],[HgLvCust.]])</f>
        <v>2110</v>
      </c>
      <c r="R19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9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0" spans="1:19" x14ac:dyDescent="0.25">
      <c r="A20">
        <v>2121</v>
      </c>
      <c r="B20" t="s">
        <v>9</v>
      </c>
      <c r="C20" t="s">
        <v>90</v>
      </c>
      <c r="D20">
        <v>0</v>
      </c>
      <c r="E20">
        <v>38170</v>
      </c>
      <c r="F20">
        <v>2958465</v>
      </c>
      <c r="G20">
        <v>2110</v>
      </c>
      <c r="H20" t="s">
        <v>9</v>
      </c>
      <c r="I20" t="s">
        <v>90</v>
      </c>
      <c r="J20">
        <v>0</v>
      </c>
      <c r="K20">
        <v>0</v>
      </c>
      <c r="N20">
        <v>3</v>
      </c>
      <c r="O20" t="s">
        <v>91</v>
      </c>
      <c r="P20" t="s">
        <v>1207</v>
      </c>
      <c r="Q20" s="16">
        <f>IF(CustomerHierarchyLevels[[#This Row],[HgLvCust.]]=0,CustomerHierarchyLevels[[#This Row],[Customer]],CustomerHierarchyLevels[[#This Row],[HgLvCust.]])</f>
        <v>2110</v>
      </c>
      <c r="R20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0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1" spans="1:19" x14ac:dyDescent="0.25">
      <c r="A21">
        <v>2122</v>
      </c>
      <c r="B21" t="s">
        <v>9</v>
      </c>
      <c r="C21" t="s">
        <v>90</v>
      </c>
      <c r="D21">
        <v>0</v>
      </c>
      <c r="E21">
        <v>38170</v>
      </c>
      <c r="F21">
        <v>2958465</v>
      </c>
      <c r="G21">
        <v>2110</v>
      </c>
      <c r="H21" t="s">
        <v>9</v>
      </c>
      <c r="I21" t="s">
        <v>90</v>
      </c>
      <c r="J21">
        <v>0</v>
      </c>
      <c r="K21">
        <v>0</v>
      </c>
      <c r="N21">
        <v>3</v>
      </c>
      <c r="O21" t="s">
        <v>91</v>
      </c>
      <c r="P21" t="s">
        <v>1208</v>
      </c>
      <c r="Q21" s="16">
        <f>IF(CustomerHierarchyLevels[[#This Row],[HgLvCust.]]=0,CustomerHierarchyLevels[[#This Row],[Customer]],CustomerHierarchyLevels[[#This Row],[HgLvCust.]])</f>
        <v>2110</v>
      </c>
      <c r="R21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1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2" spans="1:19" x14ac:dyDescent="0.25">
      <c r="A22">
        <v>2123</v>
      </c>
      <c r="B22" t="s">
        <v>9</v>
      </c>
      <c r="C22" t="s">
        <v>90</v>
      </c>
      <c r="D22">
        <v>0</v>
      </c>
      <c r="E22">
        <v>38170</v>
      </c>
      <c r="F22">
        <v>2958465</v>
      </c>
      <c r="G22">
        <v>2110</v>
      </c>
      <c r="H22" t="s">
        <v>9</v>
      </c>
      <c r="I22" t="s">
        <v>90</v>
      </c>
      <c r="J22">
        <v>0</v>
      </c>
      <c r="K22">
        <v>0</v>
      </c>
      <c r="N22">
        <v>3</v>
      </c>
      <c r="O22" t="s">
        <v>91</v>
      </c>
      <c r="P22" t="s">
        <v>1209</v>
      </c>
      <c r="Q22" s="16">
        <f>IF(CustomerHierarchyLevels[[#This Row],[HgLvCust.]]=0,CustomerHierarchyLevels[[#This Row],[Customer]],CustomerHierarchyLevels[[#This Row],[HgLvCust.]])</f>
        <v>2110</v>
      </c>
      <c r="R22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2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3" spans="1:19" x14ac:dyDescent="0.25">
      <c r="A23">
        <v>2124</v>
      </c>
      <c r="B23" t="s">
        <v>9</v>
      </c>
      <c r="C23" t="s">
        <v>90</v>
      </c>
      <c r="D23">
        <v>0</v>
      </c>
      <c r="E23">
        <v>38170</v>
      </c>
      <c r="F23">
        <v>2958465</v>
      </c>
      <c r="G23">
        <v>2110</v>
      </c>
      <c r="H23" t="s">
        <v>9</v>
      </c>
      <c r="I23" t="s">
        <v>90</v>
      </c>
      <c r="J23">
        <v>0</v>
      </c>
      <c r="K23">
        <v>0</v>
      </c>
      <c r="N23">
        <v>3</v>
      </c>
      <c r="O23" t="s">
        <v>91</v>
      </c>
      <c r="P23" t="s">
        <v>1210</v>
      </c>
      <c r="Q23" s="16">
        <f>IF(CustomerHierarchyLevels[[#This Row],[HgLvCust.]]=0,CustomerHierarchyLevels[[#This Row],[Customer]],CustomerHierarchyLevels[[#This Row],[HgLvCust.]])</f>
        <v>2110</v>
      </c>
      <c r="R23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3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4" spans="1:19" x14ac:dyDescent="0.25">
      <c r="A24">
        <v>2125</v>
      </c>
      <c r="B24" t="s">
        <v>9</v>
      </c>
      <c r="C24" t="s">
        <v>90</v>
      </c>
      <c r="D24">
        <v>0</v>
      </c>
      <c r="E24">
        <v>38170</v>
      </c>
      <c r="F24">
        <v>2958465</v>
      </c>
      <c r="K24">
        <v>0</v>
      </c>
      <c r="N24">
        <v>1</v>
      </c>
      <c r="O24" t="s">
        <v>91</v>
      </c>
      <c r="P24" t="s">
        <v>1211</v>
      </c>
      <c r="Q24" s="16">
        <f>IF(CustomerHierarchyLevels[[#This Row],[HgLvCust.]]=0,CustomerHierarchyLevels[[#This Row],[Customer]],CustomerHierarchyLevels[[#This Row],[HgLvCust.]])</f>
        <v>2125</v>
      </c>
      <c r="R24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4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5" spans="1:19" x14ac:dyDescent="0.25">
      <c r="A25">
        <v>2127</v>
      </c>
      <c r="B25" t="s">
        <v>9</v>
      </c>
      <c r="C25" t="s">
        <v>90</v>
      </c>
      <c r="D25">
        <v>0</v>
      </c>
      <c r="E25">
        <v>38170</v>
      </c>
      <c r="F25">
        <v>2958465</v>
      </c>
      <c r="G25">
        <v>2126</v>
      </c>
      <c r="H25" t="s">
        <v>9</v>
      </c>
      <c r="I25" t="s">
        <v>90</v>
      </c>
      <c r="J25">
        <v>0</v>
      </c>
      <c r="K25">
        <v>0</v>
      </c>
      <c r="N25">
        <v>3</v>
      </c>
      <c r="O25" t="s">
        <v>91</v>
      </c>
      <c r="P25" t="s">
        <v>1212</v>
      </c>
      <c r="Q25" s="16">
        <f>IF(CustomerHierarchyLevels[[#This Row],[HgLvCust.]]=0,CustomerHierarchyLevels[[#This Row],[Customer]],CustomerHierarchyLevels[[#This Row],[HgLvCust.]])</f>
        <v>2126</v>
      </c>
      <c r="R25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5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6" spans="1:19" x14ac:dyDescent="0.25">
      <c r="A26">
        <v>2128</v>
      </c>
      <c r="B26" t="s">
        <v>9</v>
      </c>
      <c r="C26" t="s">
        <v>90</v>
      </c>
      <c r="D26">
        <v>0</v>
      </c>
      <c r="E26">
        <v>38170</v>
      </c>
      <c r="F26">
        <v>2958465</v>
      </c>
      <c r="G26">
        <v>2126</v>
      </c>
      <c r="H26" t="s">
        <v>9</v>
      </c>
      <c r="I26" t="s">
        <v>90</v>
      </c>
      <c r="J26">
        <v>0</v>
      </c>
      <c r="K26">
        <v>0</v>
      </c>
      <c r="N26">
        <v>3</v>
      </c>
      <c r="O26" t="s">
        <v>91</v>
      </c>
      <c r="P26" t="s">
        <v>1213</v>
      </c>
      <c r="Q26" s="16">
        <f>IF(CustomerHierarchyLevels[[#This Row],[HgLvCust.]]=0,CustomerHierarchyLevels[[#This Row],[Customer]],CustomerHierarchyLevels[[#This Row],[HgLvCust.]])</f>
        <v>2126</v>
      </c>
      <c r="R26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6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7" spans="1:19" x14ac:dyDescent="0.25">
      <c r="A27">
        <v>2129</v>
      </c>
      <c r="B27" t="s">
        <v>9</v>
      </c>
      <c r="C27" t="s">
        <v>90</v>
      </c>
      <c r="D27">
        <v>0</v>
      </c>
      <c r="E27">
        <v>38170</v>
      </c>
      <c r="F27">
        <v>2958465</v>
      </c>
      <c r="G27">
        <v>2126</v>
      </c>
      <c r="H27" t="s">
        <v>9</v>
      </c>
      <c r="I27" t="s">
        <v>90</v>
      </c>
      <c r="J27">
        <v>0</v>
      </c>
      <c r="K27">
        <v>0</v>
      </c>
      <c r="N27">
        <v>3</v>
      </c>
      <c r="O27" t="s">
        <v>91</v>
      </c>
      <c r="P27" t="s">
        <v>1214</v>
      </c>
      <c r="Q27" s="16">
        <f>IF(CustomerHierarchyLevels[[#This Row],[HgLvCust.]]=0,CustomerHierarchyLevels[[#This Row],[Customer]],CustomerHierarchyLevels[[#This Row],[HgLvCust.]])</f>
        <v>2126</v>
      </c>
      <c r="R27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7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8" spans="1:19" x14ac:dyDescent="0.25">
      <c r="A28">
        <v>2130</v>
      </c>
      <c r="B28" t="s">
        <v>9</v>
      </c>
      <c r="C28" t="s">
        <v>90</v>
      </c>
      <c r="D28">
        <v>0</v>
      </c>
      <c r="E28">
        <v>38170</v>
      </c>
      <c r="F28">
        <v>2958465</v>
      </c>
      <c r="G28">
        <v>2126</v>
      </c>
      <c r="H28" t="s">
        <v>9</v>
      </c>
      <c r="I28" t="s">
        <v>90</v>
      </c>
      <c r="J28">
        <v>0</v>
      </c>
      <c r="K28">
        <v>0</v>
      </c>
      <c r="N28">
        <v>3</v>
      </c>
      <c r="O28" t="s">
        <v>91</v>
      </c>
      <c r="P28" t="s">
        <v>1215</v>
      </c>
      <c r="Q28" s="16">
        <f>IF(CustomerHierarchyLevels[[#This Row],[HgLvCust.]]=0,CustomerHierarchyLevels[[#This Row],[Customer]],CustomerHierarchyLevels[[#This Row],[HgLvCust.]])</f>
        <v>2126</v>
      </c>
      <c r="R28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8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9" spans="1:19" x14ac:dyDescent="0.25">
      <c r="A29">
        <v>2131</v>
      </c>
      <c r="B29" t="s">
        <v>9</v>
      </c>
      <c r="C29" t="s">
        <v>90</v>
      </c>
      <c r="D29">
        <v>0</v>
      </c>
      <c r="E29">
        <v>38170</v>
      </c>
      <c r="F29">
        <v>2958465</v>
      </c>
      <c r="G29">
        <v>2126</v>
      </c>
      <c r="H29" t="s">
        <v>9</v>
      </c>
      <c r="I29" t="s">
        <v>90</v>
      </c>
      <c r="J29">
        <v>0</v>
      </c>
      <c r="K29">
        <v>0</v>
      </c>
      <c r="N29">
        <v>3</v>
      </c>
      <c r="O29" t="s">
        <v>91</v>
      </c>
      <c r="P29" t="s">
        <v>1216</v>
      </c>
      <c r="Q29" s="16">
        <f>IF(CustomerHierarchyLevels[[#This Row],[HgLvCust.]]=0,CustomerHierarchyLevels[[#This Row],[Customer]],CustomerHierarchyLevels[[#This Row],[HgLvCust.]])</f>
        <v>2126</v>
      </c>
      <c r="R29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9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0" spans="1:19" x14ac:dyDescent="0.25">
      <c r="A30">
        <v>2132</v>
      </c>
      <c r="B30" t="s">
        <v>9</v>
      </c>
      <c r="C30" t="s">
        <v>90</v>
      </c>
      <c r="D30">
        <v>0</v>
      </c>
      <c r="E30">
        <v>38170</v>
      </c>
      <c r="F30">
        <v>2958465</v>
      </c>
      <c r="G30">
        <v>2126</v>
      </c>
      <c r="H30" t="s">
        <v>9</v>
      </c>
      <c r="I30" t="s">
        <v>90</v>
      </c>
      <c r="J30">
        <v>0</v>
      </c>
      <c r="K30">
        <v>0</v>
      </c>
      <c r="N30">
        <v>3</v>
      </c>
      <c r="O30" t="s">
        <v>91</v>
      </c>
      <c r="P30" t="s">
        <v>1217</v>
      </c>
      <c r="Q30" s="16">
        <f>IF(CustomerHierarchyLevels[[#This Row],[HgLvCust.]]=0,CustomerHierarchyLevels[[#This Row],[Customer]],CustomerHierarchyLevels[[#This Row],[HgLvCust.]])</f>
        <v>2126</v>
      </c>
      <c r="R30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0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1" spans="1:19" x14ac:dyDescent="0.25">
      <c r="A31">
        <v>2133</v>
      </c>
      <c r="B31" t="s">
        <v>9</v>
      </c>
      <c r="C31" t="s">
        <v>90</v>
      </c>
      <c r="D31">
        <v>0</v>
      </c>
      <c r="E31">
        <v>38170</v>
      </c>
      <c r="F31">
        <v>2958465</v>
      </c>
      <c r="G31">
        <v>2126</v>
      </c>
      <c r="H31" t="s">
        <v>9</v>
      </c>
      <c r="I31" t="s">
        <v>90</v>
      </c>
      <c r="J31">
        <v>0</v>
      </c>
      <c r="K31">
        <v>0</v>
      </c>
      <c r="N31">
        <v>3</v>
      </c>
      <c r="O31" t="s">
        <v>91</v>
      </c>
      <c r="P31" t="s">
        <v>1218</v>
      </c>
      <c r="Q31" s="16">
        <f>IF(CustomerHierarchyLevels[[#This Row],[HgLvCust.]]=0,CustomerHierarchyLevels[[#This Row],[Customer]],CustomerHierarchyLevels[[#This Row],[HgLvCust.]])</f>
        <v>2126</v>
      </c>
      <c r="R31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1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2" spans="1:19" x14ac:dyDescent="0.25">
      <c r="A32">
        <v>2134</v>
      </c>
      <c r="B32" t="s">
        <v>9</v>
      </c>
      <c r="C32" t="s">
        <v>90</v>
      </c>
      <c r="D32">
        <v>0</v>
      </c>
      <c r="E32">
        <v>38170</v>
      </c>
      <c r="F32">
        <v>2958465</v>
      </c>
      <c r="G32">
        <v>2126</v>
      </c>
      <c r="H32" t="s">
        <v>9</v>
      </c>
      <c r="I32" t="s">
        <v>90</v>
      </c>
      <c r="J32">
        <v>0</v>
      </c>
      <c r="K32">
        <v>0</v>
      </c>
      <c r="N32">
        <v>3</v>
      </c>
      <c r="O32" t="s">
        <v>91</v>
      </c>
      <c r="P32" t="s">
        <v>1219</v>
      </c>
      <c r="Q32" s="16">
        <f>IF(CustomerHierarchyLevels[[#This Row],[HgLvCust.]]=0,CustomerHierarchyLevels[[#This Row],[Customer]],CustomerHierarchyLevels[[#This Row],[HgLvCust.]])</f>
        <v>2126</v>
      </c>
      <c r="R32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2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3" spans="1:19" x14ac:dyDescent="0.25">
      <c r="A33">
        <v>2135</v>
      </c>
      <c r="B33" t="s">
        <v>9</v>
      </c>
      <c r="C33" t="s">
        <v>90</v>
      </c>
      <c r="D33">
        <v>0</v>
      </c>
      <c r="E33">
        <v>38170</v>
      </c>
      <c r="F33">
        <v>2958465</v>
      </c>
      <c r="G33">
        <v>2126</v>
      </c>
      <c r="H33" t="s">
        <v>9</v>
      </c>
      <c r="I33" t="s">
        <v>90</v>
      </c>
      <c r="J33">
        <v>0</v>
      </c>
      <c r="K33">
        <v>0</v>
      </c>
      <c r="N33">
        <v>3</v>
      </c>
      <c r="O33" t="s">
        <v>91</v>
      </c>
      <c r="P33" t="s">
        <v>1220</v>
      </c>
      <c r="Q33" s="16">
        <f>IF(CustomerHierarchyLevels[[#This Row],[HgLvCust.]]=0,CustomerHierarchyLevels[[#This Row],[Customer]],CustomerHierarchyLevels[[#This Row],[HgLvCust.]])</f>
        <v>2126</v>
      </c>
      <c r="R33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3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4" spans="1:19" x14ac:dyDescent="0.25">
      <c r="A34">
        <v>2136</v>
      </c>
      <c r="B34" t="s">
        <v>9</v>
      </c>
      <c r="C34" t="s">
        <v>90</v>
      </c>
      <c r="D34">
        <v>0</v>
      </c>
      <c r="E34">
        <v>38170</v>
      </c>
      <c r="F34">
        <v>2958465</v>
      </c>
      <c r="G34">
        <v>2126</v>
      </c>
      <c r="H34" t="s">
        <v>9</v>
      </c>
      <c r="I34" t="s">
        <v>90</v>
      </c>
      <c r="J34">
        <v>0</v>
      </c>
      <c r="K34">
        <v>0</v>
      </c>
      <c r="N34">
        <v>3</v>
      </c>
      <c r="O34" t="s">
        <v>91</v>
      </c>
      <c r="P34" t="s">
        <v>1221</v>
      </c>
      <c r="Q34" s="16">
        <f>IF(CustomerHierarchyLevels[[#This Row],[HgLvCust.]]=0,CustomerHierarchyLevels[[#This Row],[Customer]],CustomerHierarchyLevels[[#This Row],[HgLvCust.]])</f>
        <v>2126</v>
      </c>
      <c r="R34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4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5" spans="1:19" x14ac:dyDescent="0.25">
      <c r="A35">
        <v>2137</v>
      </c>
      <c r="B35" t="s">
        <v>9</v>
      </c>
      <c r="C35" t="s">
        <v>90</v>
      </c>
      <c r="D35">
        <v>0</v>
      </c>
      <c r="E35">
        <v>38170</v>
      </c>
      <c r="F35">
        <v>2958465</v>
      </c>
      <c r="G35">
        <v>2126</v>
      </c>
      <c r="H35" t="s">
        <v>9</v>
      </c>
      <c r="I35" t="s">
        <v>90</v>
      </c>
      <c r="J35">
        <v>0</v>
      </c>
      <c r="K35">
        <v>0</v>
      </c>
      <c r="N35">
        <v>3</v>
      </c>
      <c r="O35" t="s">
        <v>91</v>
      </c>
      <c r="P35" t="s">
        <v>1222</v>
      </c>
      <c r="Q35" s="16">
        <f>IF(CustomerHierarchyLevels[[#This Row],[HgLvCust.]]=0,CustomerHierarchyLevels[[#This Row],[Customer]],CustomerHierarchyLevels[[#This Row],[HgLvCust.]])</f>
        <v>2126</v>
      </c>
      <c r="R35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5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6" spans="1:19" x14ac:dyDescent="0.25">
      <c r="A36">
        <v>2138</v>
      </c>
      <c r="B36" t="s">
        <v>9</v>
      </c>
      <c r="C36" t="s">
        <v>90</v>
      </c>
      <c r="D36">
        <v>0</v>
      </c>
      <c r="E36">
        <v>38170</v>
      </c>
      <c r="F36">
        <v>2958465</v>
      </c>
      <c r="G36">
        <v>2126</v>
      </c>
      <c r="H36" t="s">
        <v>9</v>
      </c>
      <c r="I36" t="s">
        <v>90</v>
      </c>
      <c r="J36">
        <v>0</v>
      </c>
      <c r="K36">
        <v>0</v>
      </c>
      <c r="N36">
        <v>3</v>
      </c>
      <c r="O36" t="s">
        <v>91</v>
      </c>
      <c r="P36" t="s">
        <v>1223</v>
      </c>
      <c r="Q36" s="16">
        <f>IF(CustomerHierarchyLevels[[#This Row],[HgLvCust.]]=0,CustomerHierarchyLevels[[#This Row],[Customer]],CustomerHierarchyLevels[[#This Row],[HgLvCust.]])</f>
        <v>2126</v>
      </c>
      <c r="R36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6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7" spans="1:19" x14ac:dyDescent="0.25">
      <c r="A37">
        <v>2139</v>
      </c>
      <c r="B37" t="s">
        <v>9</v>
      </c>
      <c r="C37" t="s">
        <v>90</v>
      </c>
      <c r="D37">
        <v>0</v>
      </c>
      <c r="E37">
        <v>38170</v>
      </c>
      <c r="F37">
        <v>2958465</v>
      </c>
      <c r="G37">
        <v>2126</v>
      </c>
      <c r="H37" t="s">
        <v>9</v>
      </c>
      <c r="I37" t="s">
        <v>90</v>
      </c>
      <c r="J37">
        <v>0</v>
      </c>
      <c r="K37">
        <v>0</v>
      </c>
      <c r="N37">
        <v>3</v>
      </c>
      <c r="O37" t="s">
        <v>91</v>
      </c>
      <c r="P37" t="s">
        <v>1224</v>
      </c>
      <c r="Q37" s="16">
        <f>IF(CustomerHierarchyLevels[[#This Row],[HgLvCust.]]=0,CustomerHierarchyLevels[[#This Row],[Customer]],CustomerHierarchyLevels[[#This Row],[HgLvCust.]])</f>
        <v>2126</v>
      </c>
      <c r="R37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7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8" spans="1:19" x14ac:dyDescent="0.25">
      <c r="A38">
        <v>2140</v>
      </c>
      <c r="B38" t="s">
        <v>9</v>
      </c>
      <c r="C38" t="s">
        <v>90</v>
      </c>
      <c r="D38">
        <v>0</v>
      </c>
      <c r="E38">
        <v>38170</v>
      </c>
      <c r="F38">
        <v>2958465</v>
      </c>
      <c r="G38">
        <v>2126</v>
      </c>
      <c r="H38" t="s">
        <v>9</v>
      </c>
      <c r="I38" t="s">
        <v>90</v>
      </c>
      <c r="J38">
        <v>0</v>
      </c>
      <c r="K38">
        <v>0</v>
      </c>
      <c r="N38">
        <v>3</v>
      </c>
      <c r="O38" t="s">
        <v>91</v>
      </c>
      <c r="P38" t="s">
        <v>1225</v>
      </c>
      <c r="Q38" s="16">
        <f>IF(CustomerHierarchyLevels[[#This Row],[HgLvCust.]]=0,CustomerHierarchyLevels[[#This Row],[Customer]],CustomerHierarchyLevels[[#This Row],[HgLvCust.]])</f>
        <v>2126</v>
      </c>
      <c r="R38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8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9" spans="1:19" x14ac:dyDescent="0.25">
      <c r="A39">
        <v>2141</v>
      </c>
      <c r="B39" t="s">
        <v>9</v>
      </c>
      <c r="C39" t="s">
        <v>90</v>
      </c>
      <c r="D39">
        <v>0</v>
      </c>
      <c r="E39">
        <v>38170</v>
      </c>
      <c r="F39">
        <v>2958465</v>
      </c>
      <c r="G39">
        <v>2126</v>
      </c>
      <c r="H39" t="s">
        <v>9</v>
      </c>
      <c r="I39" t="s">
        <v>90</v>
      </c>
      <c r="J39">
        <v>0</v>
      </c>
      <c r="K39">
        <v>0</v>
      </c>
      <c r="N39">
        <v>3</v>
      </c>
      <c r="O39" t="s">
        <v>91</v>
      </c>
      <c r="P39" t="s">
        <v>1226</v>
      </c>
      <c r="Q39" s="16">
        <f>IF(CustomerHierarchyLevels[[#This Row],[HgLvCust.]]=0,CustomerHierarchyLevels[[#This Row],[Customer]],CustomerHierarchyLevels[[#This Row],[HgLvCust.]])</f>
        <v>2126</v>
      </c>
      <c r="R39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9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0" spans="1:19" x14ac:dyDescent="0.25">
      <c r="A40">
        <v>2142</v>
      </c>
      <c r="B40" t="s">
        <v>9</v>
      </c>
      <c r="C40" t="s">
        <v>90</v>
      </c>
      <c r="D40">
        <v>0</v>
      </c>
      <c r="E40">
        <v>38170</v>
      </c>
      <c r="F40">
        <v>2958465</v>
      </c>
      <c r="G40">
        <v>2126</v>
      </c>
      <c r="H40" t="s">
        <v>9</v>
      </c>
      <c r="I40" t="s">
        <v>90</v>
      </c>
      <c r="J40">
        <v>0</v>
      </c>
      <c r="K40">
        <v>0</v>
      </c>
      <c r="N40">
        <v>3</v>
      </c>
      <c r="O40" t="s">
        <v>91</v>
      </c>
      <c r="P40" t="s">
        <v>1227</v>
      </c>
      <c r="Q40" s="16">
        <f>IF(CustomerHierarchyLevels[[#This Row],[HgLvCust.]]=0,CustomerHierarchyLevels[[#This Row],[Customer]],CustomerHierarchyLevels[[#This Row],[HgLvCust.]])</f>
        <v>2126</v>
      </c>
      <c r="R40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0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1" spans="1:19" x14ac:dyDescent="0.25">
      <c r="A41">
        <v>2143</v>
      </c>
      <c r="B41" t="s">
        <v>9</v>
      </c>
      <c r="C41" t="s">
        <v>90</v>
      </c>
      <c r="D41">
        <v>0</v>
      </c>
      <c r="E41">
        <v>38170</v>
      </c>
      <c r="F41">
        <v>2958465</v>
      </c>
      <c r="G41">
        <v>2126</v>
      </c>
      <c r="H41" t="s">
        <v>9</v>
      </c>
      <c r="I41" t="s">
        <v>90</v>
      </c>
      <c r="J41">
        <v>0</v>
      </c>
      <c r="K41">
        <v>0</v>
      </c>
      <c r="N41">
        <v>3</v>
      </c>
      <c r="O41" t="s">
        <v>91</v>
      </c>
      <c r="P41" t="s">
        <v>1228</v>
      </c>
      <c r="Q41" s="16">
        <f>IF(CustomerHierarchyLevels[[#This Row],[HgLvCust.]]=0,CustomerHierarchyLevels[[#This Row],[Customer]],CustomerHierarchyLevels[[#This Row],[HgLvCust.]])</f>
        <v>2126</v>
      </c>
      <c r="R41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1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2" spans="1:19" x14ac:dyDescent="0.25">
      <c r="A42">
        <v>2144</v>
      </c>
      <c r="B42" t="s">
        <v>9</v>
      </c>
      <c r="C42" t="s">
        <v>90</v>
      </c>
      <c r="D42">
        <v>0</v>
      </c>
      <c r="E42">
        <v>38170</v>
      </c>
      <c r="F42">
        <v>2958465</v>
      </c>
      <c r="G42">
        <v>2126</v>
      </c>
      <c r="H42" t="s">
        <v>9</v>
      </c>
      <c r="I42" t="s">
        <v>90</v>
      </c>
      <c r="J42">
        <v>0</v>
      </c>
      <c r="K42">
        <v>0</v>
      </c>
      <c r="N42">
        <v>3</v>
      </c>
      <c r="O42" t="s">
        <v>91</v>
      </c>
      <c r="P42" t="s">
        <v>1229</v>
      </c>
      <c r="Q42" s="16">
        <f>IF(CustomerHierarchyLevels[[#This Row],[HgLvCust.]]=0,CustomerHierarchyLevels[[#This Row],[Customer]],CustomerHierarchyLevels[[#This Row],[HgLvCust.]])</f>
        <v>2126</v>
      </c>
      <c r="R42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2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3" spans="1:19" x14ac:dyDescent="0.25">
      <c r="A43">
        <v>2145</v>
      </c>
      <c r="B43" t="s">
        <v>9</v>
      </c>
      <c r="C43" t="s">
        <v>90</v>
      </c>
      <c r="D43">
        <v>0</v>
      </c>
      <c r="E43">
        <v>38170</v>
      </c>
      <c r="F43">
        <v>2958465</v>
      </c>
      <c r="G43">
        <v>2126</v>
      </c>
      <c r="H43" t="s">
        <v>9</v>
      </c>
      <c r="I43" t="s">
        <v>90</v>
      </c>
      <c r="J43">
        <v>0</v>
      </c>
      <c r="K43">
        <v>0</v>
      </c>
      <c r="N43">
        <v>3</v>
      </c>
      <c r="O43" t="s">
        <v>91</v>
      </c>
      <c r="P43" t="s">
        <v>1230</v>
      </c>
      <c r="Q43" s="16">
        <f>IF(CustomerHierarchyLevels[[#This Row],[HgLvCust.]]=0,CustomerHierarchyLevels[[#This Row],[Customer]],CustomerHierarchyLevels[[#This Row],[HgLvCust.]])</f>
        <v>2126</v>
      </c>
      <c r="R43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3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4" spans="1:19" x14ac:dyDescent="0.25">
      <c r="A44">
        <v>2146</v>
      </c>
      <c r="B44" t="s">
        <v>9</v>
      </c>
      <c r="C44" t="s">
        <v>90</v>
      </c>
      <c r="D44">
        <v>0</v>
      </c>
      <c r="E44">
        <v>38170</v>
      </c>
      <c r="F44">
        <v>2958465</v>
      </c>
      <c r="G44">
        <v>2126</v>
      </c>
      <c r="H44" t="s">
        <v>9</v>
      </c>
      <c r="I44" t="s">
        <v>90</v>
      </c>
      <c r="J44">
        <v>0</v>
      </c>
      <c r="K44">
        <v>0</v>
      </c>
      <c r="N44">
        <v>3</v>
      </c>
      <c r="O44" t="s">
        <v>91</v>
      </c>
      <c r="P44" t="s">
        <v>1231</v>
      </c>
      <c r="Q44" s="16">
        <f>IF(CustomerHierarchyLevels[[#This Row],[HgLvCust.]]=0,CustomerHierarchyLevels[[#This Row],[Customer]],CustomerHierarchyLevels[[#This Row],[HgLvCust.]])</f>
        <v>2126</v>
      </c>
      <c r="R44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4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5" spans="1:19" x14ac:dyDescent="0.25">
      <c r="A45">
        <v>2147</v>
      </c>
      <c r="B45" t="s">
        <v>9</v>
      </c>
      <c r="C45" t="s">
        <v>90</v>
      </c>
      <c r="D45">
        <v>0</v>
      </c>
      <c r="E45">
        <v>38170</v>
      </c>
      <c r="F45">
        <v>2958465</v>
      </c>
      <c r="G45">
        <v>2126</v>
      </c>
      <c r="H45" t="s">
        <v>9</v>
      </c>
      <c r="I45" t="s">
        <v>90</v>
      </c>
      <c r="J45">
        <v>0</v>
      </c>
      <c r="K45">
        <v>0</v>
      </c>
      <c r="N45">
        <v>3</v>
      </c>
      <c r="O45" t="s">
        <v>91</v>
      </c>
      <c r="P45" t="s">
        <v>1232</v>
      </c>
      <c r="Q45" s="16">
        <f>IF(CustomerHierarchyLevels[[#This Row],[HgLvCust.]]=0,CustomerHierarchyLevels[[#This Row],[Customer]],CustomerHierarchyLevels[[#This Row],[HgLvCust.]])</f>
        <v>2126</v>
      </c>
      <c r="R45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5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6" spans="1:19" x14ac:dyDescent="0.25">
      <c r="A46">
        <v>2148</v>
      </c>
      <c r="B46" t="s">
        <v>9</v>
      </c>
      <c r="C46" t="s">
        <v>90</v>
      </c>
      <c r="D46">
        <v>0</v>
      </c>
      <c r="E46">
        <v>38170</v>
      </c>
      <c r="F46">
        <v>2958465</v>
      </c>
      <c r="G46">
        <v>2126</v>
      </c>
      <c r="H46" t="s">
        <v>9</v>
      </c>
      <c r="I46" t="s">
        <v>90</v>
      </c>
      <c r="J46">
        <v>0</v>
      </c>
      <c r="K46">
        <v>0</v>
      </c>
      <c r="N46">
        <v>3</v>
      </c>
      <c r="O46" t="s">
        <v>91</v>
      </c>
      <c r="P46" t="s">
        <v>1233</v>
      </c>
      <c r="Q46" s="16">
        <f>IF(CustomerHierarchyLevels[[#This Row],[HgLvCust.]]=0,CustomerHierarchyLevels[[#This Row],[Customer]],CustomerHierarchyLevels[[#This Row],[HgLvCust.]])</f>
        <v>2126</v>
      </c>
      <c r="R46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6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7" spans="1:19" x14ac:dyDescent="0.25">
      <c r="A47">
        <v>2149</v>
      </c>
      <c r="B47" t="s">
        <v>9</v>
      </c>
      <c r="C47" t="s">
        <v>90</v>
      </c>
      <c r="D47">
        <v>0</v>
      </c>
      <c r="E47">
        <v>38170</v>
      </c>
      <c r="F47">
        <v>2958465</v>
      </c>
      <c r="G47">
        <v>2126</v>
      </c>
      <c r="H47" t="s">
        <v>9</v>
      </c>
      <c r="I47" t="s">
        <v>90</v>
      </c>
      <c r="J47">
        <v>0</v>
      </c>
      <c r="K47">
        <v>0</v>
      </c>
      <c r="N47">
        <v>3</v>
      </c>
      <c r="O47" t="s">
        <v>91</v>
      </c>
      <c r="P47" t="s">
        <v>1234</v>
      </c>
      <c r="Q47" s="16">
        <f>IF(CustomerHierarchyLevels[[#This Row],[HgLvCust.]]=0,CustomerHierarchyLevels[[#This Row],[Customer]],CustomerHierarchyLevels[[#This Row],[HgLvCust.]])</f>
        <v>2126</v>
      </c>
      <c r="R47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7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8" spans="1:19" x14ac:dyDescent="0.25">
      <c r="A48">
        <v>2150</v>
      </c>
      <c r="B48" t="s">
        <v>9</v>
      </c>
      <c r="C48" t="s">
        <v>90</v>
      </c>
      <c r="D48">
        <v>0</v>
      </c>
      <c r="E48">
        <v>38170</v>
      </c>
      <c r="F48">
        <v>2958465</v>
      </c>
      <c r="G48">
        <v>2126</v>
      </c>
      <c r="H48" t="s">
        <v>9</v>
      </c>
      <c r="I48" t="s">
        <v>90</v>
      </c>
      <c r="J48">
        <v>0</v>
      </c>
      <c r="K48">
        <v>0</v>
      </c>
      <c r="N48">
        <v>3</v>
      </c>
      <c r="O48" t="s">
        <v>91</v>
      </c>
      <c r="P48" t="s">
        <v>1235</v>
      </c>
      <c r="Q48" s="16">
        <f>IF(CustomerHierarchyLevels[[#This Row],[HgLvCust.]]=0,CustomerHierarchyLevels[[#This Row],[Customer]],CustomerHierarchyLevels[[#This Row],[HgLvCust.]])</f>
        <v>2126</v>
      </c>
      <c r="R48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8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9" spans="1:19" x14ac:dyDescent="0.25">
      <c r="A49">
        <v>2151</v>
      </c>
      <c r="B49" t="s">
        <v>9</v>
      </c>
      <c r="C49" t="s">
        <v>90</v>
      </c>
      <c r="D49">
        <v>0</v>
      </c>
      <c r="E49">
        <v>38170</v>
      </c>
      <c r="F49">
        <v>2958465</v>
      </c>
      <c r="G49">
        <v>2126</v>
      </c>
      <c r="H49" t="s">
        <v>9</v>
      </c>
      <c r="I49" t="s">
        <v>90</v>
      </c>
      <c r="J49">
        <v>0</v>
      </c>
      <c r="K49">
        <v>0</v>
      </c>
      <c r="N49">
        <v>3</v>
      </c>
      <c r="O49" t="s">
        <v>91</v>
      </c>
      <c r="P49" t="s">
        <v>1236</v>
      </c>
      <c r="Q49" s="16">
        <f>IF(CustomerHierarchyLevels[[#This Row],[HgLvCust.]]=0,CustomerHierarchyLevels[[#This Row],[Customer]],CustomerHierarchyLevels[[#This Row],[HgLvCust.]])</f>
        <v>2126</v>
      </c>
      <c r="R49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9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50" spans="1:19" x14ac:dyDescent="0.25">
      <c r="A50">
        <v>2152</v>
      </c>
      <c r="B50" t="s">
        <v>9</v>
      </c>
      <c r="C50" t="s">
        <v>90</v>
      </c>
      <c r="D50">
        <v>0</v>
      </c>
      <c r="E50">
        <v>38170</v>
      </c>
      <c r="F50">
        <v>2958465</v>
      </c>
      <c r="G50">
        <v>2126</v>
      </c>
      <c r="H50" t="s">
        <v>9</v>
      </c>
      <c r="I50" t="s">
        <v>90</v>
      </c>
      <c r="J50">
        <v>0</v>
      </c>
      <c r="K50">
        <v>0</v>
      </c>
      <c r="N50">
        <v>3</v>
      </c>
      <c r="O50" t="s">
        <v>91</v>
      </c>
      <c r="P50" t="s">
        <v>1219</v>
      </c>
      <c r="Q50" s="16">
        <f>IF(CustomerHierarchyLevels[[#This Row],[HgLvCust.]]=0,CustomerHierarchyLevels[[#This Row],[Customer]],CustomerHierarchyLevels[[#This Row],[HgLvCust.]])</f>
        <v>2126</v>
      </c>
      <c r="R50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50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51" spans="1:19" x14ac:dyDescent="0.25">
      <c r="A51">
        <v>2153</v>
      </c>
      <c r="B51" t="s">
        <v>9</v>
      </c>
      <c r="C51" t="s">
        <v>90</v>
      </c>
      <c r="D51">
        <v>0</v>
      </c>
      <c r="E51">
        <v>38170</v>
      </c>
      <c r="F51">
        <v>2958465</v>
      </c>
      <c r="G51">
        <v>2126</v>
      </c>
      <c r="H51" t="s">
        <v>9</v>
      </c>
      <c r="I51" t="s">
        <v>90</v>
      </c>
      <c r="J51">
        <v>0</v>
      </c>
      <c r="K51">
        <v>0</v>
      </c>
      <c r="N51">
        <v>3</v>
      </c>
      <c r="O51" t="s">
        <v>91</v>
      </c>
      <c r="P51" t="s">
        <v>1237</v>
      </c>
      <c r="Q51" s="16">
        <f>IF(CustomerHierarchyLevels[[#This Row],[HgLvCust.]]=0,CustomerHierarchyLevels[[#This Row],[Customer]],CustomerHierarchyLevels[[#This Row],[HgLvCust.]])</f>
        <v>2126</v>
      </c>
      <c r="R51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51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52" spans="1:19" x14ac:dyDescent="0.25">
      <c r="A52">
        <v>2154</v>
      </c>
      <c r="B52" t="s">
        <v>9</v>
      </c>
      <c r="C52" t="s">
        <v>90</v>
      </c>
      <c r="D52">
        <v>0</v>
      </c>
      <c r="E52">
        <v>38170</v>
      </c>
      <c r="F52">
        <v>2958465</v>
      </c>
      <c r="G52">
        <v>2126</v>
      </c>
      <c r="H52" t="s">
        <v>9</v>
      </c>
      <c r="I52" t="s">
        <v>90</v>
      </c>
      <c r="J52">
        <v>0</v>
      </c>
      <c r="K52">
        <v>0</v>
      </c>
      <c r="N52">
        <v>3</v>
      </c>
      <c r="O52" t="s">
        <v>91</v>
      </c>
      <c r="P52" t="s">
        <v>1238</v>
      </c>
      <c r="Q52" s="16">
        <f>IF(CustomerHierarchyLevels[[#This Row],[HgLvCust.]]=0,CustomerHierarchyLevels[[#This Row],[Customer]],CustomerHierarchyLevels[[#This Row],[HgLvCust.]])</f>
        <v>2126</v>
      </c>
      <c r="R52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52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53" spans="1:19" x14ac:dyDescent="0.25">
      <c r="A53">
        <v>2155</v>
      </c>
      <c r="B53" t="s">
        <v>9</v>
      </c>
      <c r="C53" t="s">
        <v>90</v>
      </c>
      <c r="D53">
        <v>0</v>
      </c>
      <c r="E53">
        <v>38170</v>
      </c>
      <c r="F53">
        <v>2958465</v>
      </c>
      <c r="G53">
        <v>2126</v>
      </c>
      <c r="H53" t="s">
        <v>9</v>
      </c>
      <c r="I53" t="s">
        <v>90</v>
      </c>
      <c r="J53">
        <v>0</v>
      </c>
      <c r="K53">
        <v>0</v>
      </c>
      <c r="N53">
        <v>3</v>
      </c>
      <c r="O53" t="s">
        <v>91</v>
      </c>
      <c r="P53" t="s">
        <v>1239</v>
      </c>
      <c r="Q53" s="16">
        <f>IF(CustomerHierarchyLevels[[#This Row],[HgLvCust.]]=0,CustomerHierarchyLevels[[#This Row],[Customer]],CustomerHierarchyLevels[[#This Row],[HgLvCust.]])</f>
        <v>2126</v>
      </c>
      <c r="R53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53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54" spans="1:19" x14ac:dyDescent="0.25">
      <c r="A54">
        <v>2156</v>
      </c>
      <c r="B54" t="s">
        <v>9</v>
      </c>
      <c r="C54" t="s">
        <v>90</v>
      </c>
      <c r="D54">
        <v>0</v>
      </c>
      <c r="E54">
        <v>38170</v>
      </c>
      <c r="F54">
        <v>2958465</v>
      </c>
      <c r="G54">
        <v>2126</v>
      </c>
      <c r="H54" t="s">
        <v>9</v>
      </c>
      <c r="I54" t="s">
        <v>90</v>
      </c>
      <c r="J54">
        <v>0</v>
      </c>
      <c r="K54">
        <v>0</v>
      </c>
      <c r="N54">
        <v>3</v>
      </c>
      <c r="O54" t="s">
        <v>91</v>
      </c>
      <c r="P54" t="s">
        <v>1240</v>
      </c>
      <c r="Q54" s="16">
        <f>IF(CustomerHierarchyLevels[[#This Row],[HgLvCust.]]=0,CustomerHierarchyLevels[[#This Row],[Customer]],CustomerHierarchyLevels[[#This Row],[HgLvCust.]])</f>
        <v>2126</v>
      </c>
      <c r="R54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54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55" spans="1:19" x14ac:dyDescent="0.25">
      <c r="A55">
        <v>2157</v>
      </c>
      <c r="B55" t="s">
        <v>9</v>
      </c>
      <c r="C55" t="s">
        <v>90</v>
      </c>
      <c r="D55">
        <v>0</v>
      </c>
      <c r="E55">
        <v>38170</v>
      </c>
      <c r="F55">
        <v>2958465</v>
      </c>
      <c r="K55">
        <v>0</v>
      </c>
      <c r="N55">
        <v>1</v>
      </c>
      <c r="O55" t="s">
        <v>91</v>
      </c>
      <c r="P55" t="s">
        <v>1241</v>
      </c>
      <c r="Q55" s="16">
        <f>IF(CustomerHierarchyLevels[[#This Row],[HgLvCust.]]=0,CustomerHierarchyLevels[[#This Row],[Customer]],CustomerHierarchyLevels[[#This Row],[HgLvCust.]])</f>
        <v>2157</v>
      </c>
      <c r="R55" s="16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55" s="16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56" spans="1:19" x14ac:dyDescent="0.25">
      <c r="A56">
        <v>2159</v>
      </c>
      <c r="B56" t="s">
        <v>9</v>
      </c>
      <c r="C56" t="s">
        <v>90</v>
      </c>
      <c r="D56">
        <v>0</v>
      </c>
      <c r="E56">
        <v>38170</v>
      </c>
      <c r="F56">
        <v>2958465</v>
      </c>
      <c r="G56">
        <v>2158</v>
      </c>
      <c r="H56" t="s">
        <v>9</v>
      </c>
      <c r="I56" t="s">
        <v>90</v>
      </c>
      <c r="J56">
        <v>0</v>
      </c>
      <c r="K56">
        <v>0</v>
      </c>
      <c r="N56">
        <v>3</v>
      </c>
      <c r="O56" t="s">
        <v>91</v>
      </c>
      <c r="P56" t="s">
        <v>1242</v>
      </c>
      <c r="Q56" s="16">
        <f>IF(CustomerHierarchyLevels[[#This Row],[HgLvCust.]]=0,CustomerHierarchyLevels[[#This Row],[Customer]],CustomerHierarchyLevels[[#This Row],[HgLvCust.]])</f>
        <v>2158</v>
      </c>
      <c r="R56" s="16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56" s="16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57" spans="1:19" x14ac:dyDescent="0.25">
      <c r="A57">
        <v>2160</v>
      </c>
      <c r="B57" t="s">
        <v>9</v>
      </c>
      <c r="C57" t="s">
        <v>90</v>
      </c>
      <c r="D57">
        <v>0</v>
      </c>
      <c r="E57">
        <v>38170</v>
      </c>
      <c r="F57">
        <v>2958465</v>
      </c>
      <c r="G57">
        <v>2158</v>
      </c>
      <c r="H57" t="s">
        <v>9</v>
      </c>
      <c r="I57" t="s">
        <v>90</v>
      </c>
      <c r="J57">
        <v>0</v>
      </c>
      <c r="K57">
        <v>0</v>
      </c>
      <c r="N57">
        <v>3</v>
      </c>
      <c r="O57" t="s">
        <v>91</v>
      </c>
      <c r="P57" t="s">
        <v>1243</v>
      </c>
      <c r="Q57" s="16">
        <f>IF(CustomerHierarchyLevels[[#This Row],[HgLvCust.]]=0,CustomerHierarchyLevels[[#This Row],[Customer]],CustomerHierarchyLevels[[#This Row],[HgLvCust.]])</f>
        <v>2158</v>
      </c>
      <c r="R57" s="16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57" s="16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58" spans="1:19" x14ac:dyDescent="0.25">
      <c r="A58">
        <v>2161</v>
      </c>
      <c r="B58" t="s">
        <v>9</v>
      </c>
      <c r="C58" t="s">
        <v>90</v>
      </c>
      <c r="D58">
        <v>0</v>
      </c>
      <c r="E58">
        <v>38170</v>
      </c>
      <c r="F58">
        <v>2958465</v>
      </c>
      <c r="G58">
        <v>2158</v>
      </c>
      <c r="H58" t="s">
        <v>9</v>
      </c>
      <c r="I58" t="s">
        <v>90</v>
      </c>
      <c r="J58">
        <v>0</v>
      </c>
      <c r="K58">
        <v>0</v>
      </c>
      <c r="N58">
        <v>3</v>
      </c>
      <c r="O58" t="s">
        <v>91</v>
      </c>
      <c r="P58" t="s">
        <v>1244</v>
      </c>
      <c r="Q58" s="16">
        <f>IF(CustomerHierarchyLevels[[#This Row],[HgLvCust.]]=0,CustomerHierarchyLevels[[#This Row],[Customer]],CustomerHierarchyLevels[[#This Row],[HgLvCust.]])</f>
        <v>2158</v>
      </c>
      <c r="R58" s="16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58" s="16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59" spans="1:19" x14ac:dyDescent="0.25">
      <c r="A59">
        <v>2162</v>
      </c>
      <c r="B59" t="s">
        <v>9</v>
      </c>
      <c r="C59" t="s">
        <v>90</v>
      </c>
      <c r="D59">
        <v>0</v>
      </c>
      <c r="E59">
        <v>38170</v>
      </c>
      <c r="F59">
        <v>2958465</v>
      </c>
      <c r="K59">
        <v>0</v>
      </c>
      <c r="N59">
        <v>1</v>
      </c>
      <c r="O59" t="s">
        <v>91</v>
      </c>
      <c r="P59" t="s">
        <v>1245</v>
      </c>
      <c r="Q59" s="16">
        <f>IF(CustomerHierarchyLevels[[#This Row],[HgLvCust.]]=0,CustomerHierarchyLevels[[#This Row],[Customer]],CustomerHierarchyLevels[[#This Row],[HgLvCust.]])</f>
        <v>2162</v>
      </c>
      <c r="R59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59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0" spans="1:19" x14ac:dyDescent="0.25">
      <c r="A60">
        <v>2163</v>
      </c>
      <c r="B60" t="s">
        <v>9</v>
      </c>
      <c r="C60" t="s">
        <v>90</v>
      </c>
      <c r="D60">
        <v>0</v>
      </c>
      <c r="E60">
        <v>38170</v>
      </c>
      <c r="F60">
        <v>2958465</v>
      </c>
      <c r="G60">
        <v>2162</v>
      </c>
      <c r="H60" t="s">
        <v>9</v>
      </c>
      <c r="I60" t="s">
        <v>90</v>
      </c>
      <c r="J60">
        <v>0</v>
      </c>
      <c r="K60">
        <v>0</v>
      </c>
      <c r="N60">
        <v>2</v>
      </c>
      <c r="O60" t="s">
        <v>91</v>
      </c>
      <c r="P60" t="s">
        <v>1246</v>
      </c>
      <c r="Q60" s="16">
        <f>IF(CustomerHierarchyLevels[[#This Row],[HgLvCust.]]=0,CustomerHierarchyLevels[[#This Row],[Customer]],CustomerHierarchyLevels[[#This Row],[HgLvCust.]])</f>
        <v>2162</v>
      </c>
      <c r="R60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0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1" spans="1:19" x14ac:dyDescent="0.25">
      <c r="A61">
        <v>2164</v>
      </c>
      <c r="B61" t="s">
        <v>9</v>
      </c>
      <c r="C61" t="s">
        <v>90</v>
      </c>
      <c r="D61">
        <v>0</v>
      </c>
      <c r="E61">
        <v>38170</v>
      </c>
      <c r="F61">
        <v>2958465</v>
      </c>
      <c r="G61">
        <v>2163</v>
      </c>
      <c r="H61" t="s">
        <v>9</v>
      </c>
      <c r="I61" t="s">
        <v>90</v>
      </c>
      <c r="J61">
        <v>0</v>
      </c>
      <c r="K61">
        <v>0</v>
      </c>
      <c r="N61">
        <v>3</v>
      </c>
      <c r="O61" t="s">
        <v>91</v>
      </c>
      <c r="P61" t="s">
        <v>1247</v>
      </c>
      <c r="Q61" s="16">
        <f>IF(CustomerHierarchyLevels[[#This Row],[HgLvCust.]]=0,CustomerHierarchyLevels[[#This Row],[Customer]],CustomerHierarchyLevels[[#This Row],[HgLvCust.]])</f>
        <v>2163</v>
      </c>
      <c r="R61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1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2" spans="1:19" x14ac:dyDescent="0.25">
      <c r="A62">
        <v>2165</v>
      </c>
      <c r="B62" t="s">
        <v>9</v>
      </c>
      <c r="C62" t="s">
        <v>90</v>
      </c>
      <c r="D62">
        <v>0</v>
      </c>
      <c r="E62">
        <v>38170</v>
      </c>
      <c r="F62">
        <v>2958465</v>
      </c>
      <c r="G62">
        <v>2163</v>
      </c>
      <c r="H62" t="s">
        <v>9</v>
      </c>
      <c r="I62" t="s">
        <v>90</v>
      </c>
      <c r="J62">
        <v>0</v>
      </c>
      <c r="K62">
        <v>0</v>
      </c>
      <c r="N62">
        <v>3</v>
      </c>
      <c r="O62" t="s">
        <v>91</v>
      </c>
      <c r="P62" t="s">
        <v>1248</v>
      </c>
      <c r="Q62" s="16">
        <f>IF(CustomerHierarchyLevels[[#This Row],[HgLvCust.]]=0,CustomerHierarchyLevels[[#This Row],[Customer]],CustomerHierarchyLevels[[#This Row],[HgLvCust.]])</f>
        <v>2163</v>
      </c>
      <c r="R62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2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3" spans="1:19" x14ac:dyDescent="0.25">
      <c r="A63">
        <v>2166</v>
      </c>
      <c r="B63" t="s">
        <v>9</v>
      </c>
      <c r="C63" t="s">
        <v>90</v>
      </c>
      <c r="D63">
        <v>0</v>
      </c>
      <c r="E63">
        <v>38170</v>
      </c>
      <c r="F63">
        <v>2958465</v>
      </c>
      <c r="G63">
        <v>2163</v>
      </c>
      <c r="H63" t="s">
        <v>9</v>
      </c>
      <c r="I63" t="s">
        <v>90</v>
      </c>
      <c r="J63">
        <v>0</v>
      </c>
      <c r="K63">
        <v>0</v>
      </c>
      <c r="N63">
        <v>3</v>
      </c>
      <c r="O63" t="s">
        <v>91</v>
      </c>
      <c r="P63" t="s">
        <v>1249</v>
      </c>
      <c r="Q63" s="16">
        <f>IF(CustomerHierarchyLevels[[#This Row],[HgLvCust.]]=0,CustomerHierarchyLevels[[#This Row],[Customer]],CustomerHierarchyLevels[[#This Row],[HgLvCust.]])</f>
        <v>2163</v>
      </c>
      <c r="R63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3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4" spans="1:19" x14ac:dyDescent="0.25">
      <c r="A64">
        <v>2167</v>
      </c>
      <c r="B64" t="s">
        <v>9</v>
      </c>
      <c r="C64" t="s">
        <v>90</v>
      </c>
      <c r="D64">
        <v>0</v>
      </c>
      <c r="E64">
        <v>38170</v>
      </c>
      <c r="F64">
        <v>2958465</v>
      </c>
      <c r="G64">
        <v>2163</v>
      </c>
      <c r="H64" t="s">
        <v>9</v>
      </c>
      <c r="I64" t="s">
        <v>90</v>
      </c>
      <c r="J64">
        <v>0</v>
      </c>
      <c r="K64">
        <v>0</v>
      </c>
      <c r="N64">
        <v>3</v>
      </c>
      <c r="O64" t="s">
        <v>91</v>
      </c>
      <c r="P64" t="s">
        <v>1250</v>
      </c>
      <c r="Q64" s="16">
        <f>IF(CustomerHierarchyLevels[[#This Row],[HgLvCust.]]=0,CustomerHierarchyLevels[[#This Row],[Customer]],CustomerHierarchyLevels[[#This Row],[HgLvCust.]])</f>
        <v>2163</v>
      </c>
      <c r="R64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4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5" spans="1:19" x14ac:dyDescent="0.25">
      <c r="A65">
        <v>2168</v>
      </c>
      <c r="B65" t="s">
        <v>9</v>
      </c>
      <c r="C65" t="s">
        <v>90</v>
      </c>
      <c r="D65">
        <v>0</v>
      </c>
      <c r="E65">
        <v>38170</v>
      </c>
      <c r="F65">
        <v>2958465</v>
      </c>
      <c r="G65">
        <v>2163</v>
      </c>
      <c r="H65" t="s">
        <v>9</v>
      </c>
      <c r="I65" t="s">
        <v>90</v>
      </c>
      <c r="J65">
        <v>0</v>
      </c>
      <c r="K65">
        <v>0</v>
      </c>
      <c r="N65">
        <v>3</v>
      </c>
      <c r="O65" t="s">
        <v>91</v>
      </c>
      <c r="P65" t="s">
        <v>1251</v>
      </c>
      <c r="Q65" s="16">
        <f>IF(CustomerHierarchyLevels[[#This Row],[HgLvCust.]]=0,CustomerHierarchyLevels[[#This Row],[Customer]],CustomerHierarchyLevels[[#This Row],[HgLvCust.]])</f>
        <v>2163</v>
      </c>
      <c r="R65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5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6" spans="1:19" x14ac:dyDescent="0.25">
      <c r="A66">
        <v>2169</v>
      </c>
      <c r="B66" t="s">
        <v>9</v>
      </c>
      <c r="C66" t="s">
        <v>90</v>
      </c>
      <c r="D66">
        <v>0</v>
      </c>
      <c r="E66">
        <v>38170</v>
      </c>
      <c r="F66">
        <v>2958465</v>
      </c>
      <c r="G66">
        <v>2163</v>
      </c>
      <c r="H66" t="s">
        <v>9</v>
      </c>
      <c r="I66" t="s">
        <v>90</v>
      </c>
      <c r="J66">
        <v>0</v>
      </c>
      <c r="K66">
        <v>0</v>
      </c>
      <c r="N66">
        <v>3</v>
      </c>
      <c r="O66" t="s">
        <v>91</v>
      </c>
      <c r="P66" t="s">
        <v>1252</v>
      </c>
      <c r="Q66" s="16">
        <f>IF(CustomerHierarchyLevels[[#This Row],[HgLvCust.]]=0,CustomerHierarchyLevels[[#This Row],[Customer]],CustomerHierarchyLevels[[#This Row],[HgLvCust.]])</f>
        <v>2163</v>
      </c>
      <c r="R66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6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7" spans="1:19" x14ac:dyDescent="0.25">
      <c r="A67">
        <v>2170</v>
      </c>
      <c r="B67" t="s">
        <v>9</v>
      </c>
      <c r="C67" t="s">
        <v>90</v>
      </c>
      <c r="D67">
        <v>0</v>
      </c>
      <c r="E67">
        <v>38170</v>
      </c>
      <c r="F67">
        <v>2958465</v>
      </c>
      <c r="G67">
        <v>2163</v>
      </c>
      <c r="H67" t="s">
        <v>9</v>
      </c>
      <c r="I67" t="s">
        <v>90</v>
      </c>
      <c r="J67">
        <v>0</v>
      </c>
      <c r="K67">
        <v>0</v>
      </c>
      <c r="N67">
        <v>3</v>
      </c>
      <c r="O67" t="s">
        <v>91</v>
      </c>
      <c r="P67" t="s">
        <v>1253</v>
      </c>
      <c r="Q67" s="16">
        <f>IF(CustomerHierarchyLevels[[#This Row],[HgLvCust.]]=0,CustomerHierarchyLevels[[#This Row],[Customer]],CustomerHierarchyLevels[[#This Row],[HgLvCust.]])</f>
        <v>2163</v>
      </c>
      <c r="R67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7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8" spans="1:19" x14ac:dyDescent="0.25">
      <c r="A68">
        <v>2171</v>
      </c>
      <c r="B68" t="s">
        <v>9</v>
      </c>
      <c r="C68" t="s">
        <v>90</v>
      </c>
      <c r="D68">
        <v>0</v>
      </c>
      <c r="E68">
        <v>38170</v>
      </c>
      <c r="F68">
        <v>2958465</v>
      </c>
      <c r="G68">
        <v>2163</v>
      </c>
      <c r="H68" t="s">
        <v>9</v>
      </c>
      <c r="I68" t="s">
        <v>90</v>
      </c>
      <c r="J68">
        <v>0</v>
      </c>
      <c r="K68">
        <v>0</v>
      </c>
      <c r="N68">
        <v>3</v>
      </c>
      <c r="O68" t="s">
        <v>91</v>
      </c>
      <c r="P68" t="s">
        <v>1254</v>
      </c>
      <c r="Q68" s="16">
        <f>IF(CustomerHierarchyLevels[[#This Row],[HgLvCust.]]=0,CustomerHierarchyLevels[[#This Row],[Customer]],CustomerHierarchyLevels[[#This Row],[HgLvCust.]])</f>
        <v>2163</v>
      </c>
      <c r="R68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8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9" spans="1:19" x14ac:dyDescent="0.25">
      <c r="A69">
        <v>2172</v>
      </c>
      <c r="B69" t="s">
        <v>9</v>
      </c>
      <c r="C69" t="s">
        <v>90</v>
      </c>
      <c r="D69">
        <v>0</v>
      </c>
      <c r="E69">
        <v>38170</v>
      </c>
      <c r="F69">
        <v>2958465</v>
      </c>
      <c r="G69">
        <v>2163</v>
      </c>
      <c r="H69" t="s">
        <v>9</v>
      </c>
      <c r="I69" t="s">
        <v>90</v>
      </c>
      <c r="J69">
        <v>0</v>
      </c>
      <c r="K69">
        <v>0</v>
      </c>
      <c r="N69">
        <v>3</v>
      </c>
      <c r="O69" t="s">
        <v>91</v>
      </c>
      <c r="P69" t="s">
        <v>1255</v>
      </c>
      <c r="Q69" s="16">
        <f>IF(CustomerHierarchyLevels[[#This Row],[HgLvCust.]]=0,CustomerHierarchyLevels[[#This Row],[Customer]],CustomerHierarchyLevels[[#This Row],[HgLvCust.]])</f>
        <v>2163</v>
      </c>
      <c r="R69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9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0" spans="1:19" x14ac:dyDescent="0.25">
      <c r="A70">
        <v>2173</v>
      </c>
      <c r="B70" t="s">
        <v>9</v>
      </c>
      <c r="C70" t="s">
        <v>90</v>
      </c>
      <c r="D70">
        <v>0</v>
      </c>
      <c r="E70">
        <v>38170</v>
      </c>
      <c r="F70">
        <v>2958465</v>
      </c>
      <c r="G70">
        <v>2163</v>
      </c>
      <c r="H70" t="s">
        <v>9</v>
      </c>
      <c r="I70" t="s">
        <v>90</v>
      </c>
      <c r="J70">
        <v>0</v>
      </c>
      <c r="K70">
        <v>0</v>
      </c>
      <c r="N70">
        <v>3</v>
      </c>
      <c r="O70" t="s">
        <v>91</v>
      </c>
      <c r="P70" t="s">
        <v>1256</v>
      </c>
      <c r="Q70" s="16">
        <f>IF(CustomerHierarchyLevels[[#This Row],[HgLvCust.]]=0,CustomerHierarchyLevels[[#This Row],[Customer]],CustomerHierarchyLevels[[#This Row],[HgLvCust.]])</f>
        <v>2163</v>
      </c>
      <c r="R70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0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1" spans="1:19" x14ac:dyDescent="0.25">
      <c r="A71">
        <v>2174</v>
      </c>
      <c r="B71" t="s">
        <v>9</v>
      </c>
      <c r="C71" t="s">
        <v>90</v>
      </c>
      <c r="D71">
        <v>0</v>
      </c>
      <c r="E71">
        <v>38170</v>
      </c>
      <c r="F71">
        <v>2958465</v>
      </c>
      <c r="G71">
        <v>2163</v>
      </c>
      <c r="H71" t="s">
        <v>9</v>
      </c>
      <c r="I71" t="s">
        <v>90</v>
      </c>
      <c r="J71">
        <v>0</v>
      </c>
      <c r="K71">
        <v>0</v>
      </c>
      <c r="N71">
        <v>3</v>
      </c>
      <c r="O71" t="s">
        <v>91</v>
      </c>
      <c r="P71" t="s">
        <v>1257</v>
      </c>
      <c r="Q71" s="16">
        <f>IF(CustomerHierarchyLevels[[#This Row],[HgLvCust.]]=0,CustomerHierarchyLevels[[#This Row],[Customer]],CustomerHierarchyLevels[[#This Row],[HgLvCust.]])</f>
        <v>2163</v>
      </c>
      <c r="R71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1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2" spans="1:19" x14ac:dyDescent="0.25">
      <c r="A72">
        <v>2175</v>
      </c>
      <c r="B72" t="s">
        <v>9</v>
      </c>
      <c r="C72" t="s">
        <v>90</v>
      </c>
      <c r="D72">
        <v>0</v>
      </c>
      <c r="E72">
        <v>38170</v>
      </c>
      <c r="F72">
        <v>2958465</v>
      </c>
      <c r="G72">
        <v>2163</v>
      </c>
      <c r="H72" t="s">
        <v>9</v>
      </c>
      <c r="I72" t="s">
        <v>90</v>
      </c>
      <c r="J72">
        <v>0</v>
      </c>
      <c r="K72">
        <v>0</v>
      </c>
      <c r="N72">
        <v>3</v>
      </c>
      <c r="O72" t="s">
        <v>91</v>
      </c>
      <c r="P72" t="s">
        <v>1258</v>
      </c>
      <c r="Q72" s="16">
        <f>IF(CustomerHierarchyLevels[[#This Row],[HgLvCust.]]=0,CustomerHierarchyLevels[[#This Row],[Customer]],CustomerHierarchyLevels[[#This Row],[HgLvCust.]])</f>
        <v>2163</v>
      </c>
      <c r="R72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2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3" spans="1:19" x14ac:dyDescent="0.25">
      <c r="A73">
        <v>2176</v>
      </c>
      <c r="B73" t="s">
        <v>9</v>
      </c>
      <c r="C73" t="s">
        <v>90</v>
      </c>
      <c r="D73">
        <v>0</v>
      </c>
      <c r="E73">
        <v>38170</v>
      </c>
      <c r="F73">
        <v>2958465</v>
      </c>
      <c r="G73">
        <v>2163</v>
      </c>
      <c r="H73" t="s">
        <v>9</v>
      </c>
      <c r="I73" t="s">
        <v>90</v>
      </c>
      <c r="J73">
        <v>0</v>
      </c>
      <c r="K73">
        <v>0</v>
      </c>
      <c r="N73">
        <v>3</v>
      </c>
      <c r="O73" t="s">
        <v>91</v>
      </c>
      <c r="P73" t="s">
        <v>1259</v>
      </c>
      <c r="Q73" s="16">
        <f>IF(CustomerHierarchyLevels[[#This Row],[HgLvCust.]]=0,CustomerHierarchyLevels[[#This Row],[Customer]],CustomerHierarchyLevels[[#This Row],[HgLvCust.]])</f>
        <v>2163</v>
      </c>
      <c r="R73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3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4" spans="1:19" x14ac:dyDescent="0.25">
      <c r="A74">
        <v>2177</v>
      </c>
      <c r="B74" t="s">
        <v>9</v>
      </c>
      <c r="C74" t="s">
        <v>90</v>
      </c>
      <c r="D74">
        <v>0</v>
      </c>
      <c r="E74">
        <v>38170</v>
      </c>
      <c r="F74">
        <v>2958465</v>
      </c>
      <c r="G74">
        <v>2163</v>
      </c>
      <c r="H74" t="s">
        <v>9</v>
      </c>
      <c r="I74" t="s">
        <v>90</v>
      </c>
      <c r="J74">
        <v>0</v>
      </c>
      <c r="K74">
        <v>0</v>
      </c>
      <c r="N74">
        <v>3</v>
      </c>
      <c r="O74" t="s">
        <v>91</v>
      </c>
      <c r="P74" t="s">
        <v>1260</v>
      </c>
      <c r="Q74" s="16">
        <f>IF(CustomerHierarchyLevels[[#This Row],[HgLvCust.]]=0,CustomerHierarchyLevels[[#This Row],[Customer]],CustomerHierarchyLevels[[#This Row],[HgLvCust.]])</f>
        <v>2163</v>
      </c>
      <c r="R74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4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5" spans="1:19" x14ac:dyDescent="0.25">
      <c r="A75">
        <v>2178</v>
      </c>
      <c r="B75" t="s">
        <v>9</v>
      </c>
      <c r="C75" t="s">
        <v>90</v>
      </c>
      <c r="D75">
        <v>0</v>
      </c>
      <c r="E75">
        <v>38170</v>
      </c>
      <c r="F75">
        <v>2958465</v>
      </c>
      <c r="G75">
        <v>2163</v>
      </c>
      <c r="H75" t="s">
        <v>9</v>
      </c>
      <c r="I75" t="s">
        <v>90</v>
      </c>
      <c r="J75">
        <v>0</v>
      </c>
      <c r="K75">
        <v>0</v>
      </c>
      <c r="N75">
        <v>3</v>
      </c>
      <c r="O75" t="s">
        <v>91</v>
      </c>
      <c r="P75" t="s">
        <v>1261</v>
      </c>
      <c r="Q75" s="16">
        <f>IF(CustomerHierarchyLevels[[#This Row],[HgLvCust.]]=0,CustomerHierarchyLevels[[#This Row],[Customer]],CustomerHierarchyLevels[[#This Row],[HgLvCust.]])</f>
        <v>2163</v>
      </c>
      <c r="R75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5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6" spans="1:19" x14ac:dyDescent="0.25">
      <c r="A76">
        <v>2179</v>
      </c>
      <c r="B76" t="s">
        <v>9</v>
      </c>
      <c r="C76" t="s">
        <v>90</v>
      </c>
      <c r="D76">
        <v>0</v>
      </c>
      <c r="E76">
        <v>38170</v>
      </c>
      <c r="F76">
        <v>2958465</v>
      </c>
      <c r="G76">
        <v>2163</v>
      </c>
      <c r="H76" t="s">
        <v>9</v>
      </c>
      <c r="I76" t="s">
        <v>90</v>
      </c>
      <c r="J76">
        <v>0</v>
      </c>
      <c r="K76">
        <v>0</v>
      </c>
      <c r="N76">
        <v>3</v>
      </c>
      <c r="O76" t="s">
        <v>91</v>
      </c>
      <c r="P76" t="s">
        <v>1262</v>
      </c>
      <c r="Q76" s="16">
        <f>IF(CustomerHierarchyLevels[[#This Row],[HgLvCust.]]=0,CustomerHierarchyLevels[[#This Row],[Customer]],CustomerHierarchyLevels[[#This Row],[HgLvCust.]])</f>
        <v>2163</v>
      </c>
      <c r="R76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6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7" spans="1:19" x14ac:dyDescent="0.25">
      <c r="A77">
        <v>2180</v>
      </c>
      <c r="B77" t="s">
        <v>9</v>
      </c>
      <c r="C77" t="s">
        <v>90</v>
      </c>
      <c r="D77">
        <v>0</v>
      </c>
      <c r="E77">
        <v>38170</v>
      </c>
      <c r="F77">
        <v>2958465</v>
      </c>
      <c r="G77">
        <v>2163</v>
      </c>
      <c r="H77" t="s">
        <v>9</v>
      </c>
      <c r="I77" t="s">
        <v>90</v>
      </c>
      <c r="J77">
        <v>0</v>
      </c>
      <c r="K77">
        <v>0</v>
      </c>
      <c r="N77">
        <v>3</v>
      </c>
      <c r="O77" t="s">
        <v>91</v>
      </c>
      <c r="P77" t="s">
        <v>1263</v>
      </c>
      <c r="Q77" s="16">
        <f>IF(CustomerHierarchyLevels[[#This Row],[HgLvCust.]]=0,CustomerHierarchyLevels[[#This Row],[Customer]],CustomerHierarchyLevels[[#This Row],[HgLvCust.]])</f>
        <v>2163</v>
      </c>
      <c r="R77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7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8" spans="1:19" x14ac:dyDescent="0.25">
      <c r="A78">
        <v>2181</v>
      </c>
      <c r="B78" t="s">
        <v>9</v>
      </c>
      <c r="C78" t="s">
        <v>90</v>
      </c>
      <c r="D78">
        <v>0</v>
      </c>
      <c r="E78">
        <v>38170</v>
      </c>
      <c r="F78">
        <v>2958465</v>
      </c>
      <c r="G78">
        <v>2163</v>
      </c>
      <c r="H78" t="s">
        <v>9</v>
      </c>
      <c r="I78" t="s">
        <v>90</v>
      </c>
      <c r="J78">
        <v>0</v>
      </c>
      <c r="K78">
        <v>0</v>
      </c>
      <c r="N78">
        <v>3</v>
      </c>
      <c r="O78" t="s">
        <v>91</v>
      </c>
      <c r="P78" t="s">
        <v>1264</v>
      </c>
      <c r="Q78" s="16">
        <f>IF(CustomerHierarchyLevels[[#This Row],[HgLvCust.]]=0,CustomerHierarchyLevels[[#This Row],[Customer]],CustomerHierarchyLevels[[#This Row],[HgLvCust.]])</f>
        <v>2163</v>
      </c>
      <c r="R78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8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9" spans="1:19" x14ac:dyDescent="0.25">
      <c r="A79">
        <v>2182</v>
      </c>
      <c r="B79" t="s">
        <v>9</v>
      </c>
      <c r="C79" t="s">
        <v>90</v>
      </c>
      <c r="D79">
        <v>0</v>
      </c>
      <c r="E79">
        <v>38170</v>
      </c>
      <c r="F79">
        <v>2958465</v>
      </c>
      <c r="G79">
        <v>2163</v>
      </c>
      <c r="H79" t="s">
        <v>9</v>
      </c>
      <c r="I79" t="s">
        <v>90</v>
      </c>
      <c r="J79">
        <v>0</v>
      </c>
      <c r="K79">
        <v>0</v>
      </c>
      <c r="N79">
        <v>3</v>
      </c>
      <c r="O79" t="s">
        <v>91</v>
      </c>
      <c r="P79" t="s">
        <v>1265</v>
      </c>
      <c r="Q79" s="16">
        <f>IF(CustomerHierarchyLevels[[#This Row],[HgLvCust.]]=0,CustomerHierarchyLevels[[#This Row],[Customer]],CustomerHierarchyLevels[[#This Row],[HgLvCust.]])</f>
        <v>2163</v>
      </c>
      <c r="R79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9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0" spans="1:19" x14ac:dyDescent="0.25">
      <c r="A80">
        <v>2183</v>
      </c>
      <c r="B80" t="s">
        <v>9</v>
      </c>
      <c r="C80" t="s">
        <v>90</v>
      </c>
      <c r="D80">
        <v>0</v>
      </c>
      <c r="E80">
        <v>38170</v>
      </c>
      <c r="F80">
        <v>2958465</v>
      </c>
      <c r="G80">
        <v>2163</v>
      </c>
      <c r="H80" t="s">
        <v>9</v>
      </c>
      <c r="I80" t="s">
        <v>90</v>
      </c>
      <c r="J80">
        <v>0</v>
      </c>
      <c r="K80">
        <v>0</v>
      </c>
      <c r="N80">
        <v>3</v>
      </c>
      <c r="O80" t="s">
        <v>91</v>
      </c>
      <c r="P80" t="s">
        <v>1266</v>
      </c>
      <c r="Q80" s="16">
        <f>IF(CustomerHierarchyLevels[[#This Row],[HgLvCust.]]=0,CustomerHierarchyLevels[[#This Row],[Customer]],CustomerHierarchyLevels[[#This Row],[HgLvCust.]])</f>
        <v>2163</v>
      </c>
      <c r="R80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0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1" spans="1:19" x14ac:dyDescent="0.25">
      <c r="A81">
        <v>2184</v>
      </c>
      <c r="B81" t="s">
        <v>9</v>
      </c>
      <c r="C81" t="s">
        <v>90</v>
      </c>
      <c r="D81">
        <v>0</v>
      </c>
      <c r="E81">
        <v>38170</v>
      </c>
      <c r="F81">
        <v>2958465</v>
      </c>
      <c r="G81">
        <v>2162</v>
      </c>
      <c r="H81" t="s">
        <v>9</v>
      </c>
      <c r="I81" t="s">
        <v>90</v>
      </c>
      <c r="J81">
        <v>0</v>
      </c>
      <c r="K81">
        <v>0</v>
      </c>
      <c r="N81">
        <v>2</v>
      </c>
      <c r="O81" t="s">
        <v>91</v>
      </c>
      <c r="P81" t="s">
        <v>1267</v>
      </c>
      <c r="Q81" s="16">
        <f>IF(CustomerHierarchyLevels[[#This Row],[HgLvCust.]]=0,CustomerHierarchyLevels[[#This Row],[Customer]],CustomerHierarchyLevels[[#This Row],[HgLvCust.]])</f>
        <v>2162</v>
      </c>
      <c r="R81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1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2" spans="1:19" x14ac:dyDescent="0.25">
      <c r="A82">
        <v>2185</v>
      </c>
      <c r="B82" t="s">
        <v>9</v>
      </c>
      <c r="C82" t="s">
        <v>90</v>
      </c>
      <c r="D82">
        <v>0</v>
      </c>
      <c r="E82">
        <v>38170</v>
      </c>
      <c r="F82">
        <v>2958465</v>
      </c>
      <c r="G82">
        <v>2184</v>
      </c>
      <c r="H82" t="s">
        <v>9</v>
      </c>
      <c r="I82" t="s">
        <v>90</v>
      </c>
      <c r="J82">
        <v>0</v>
      </c>
      <c r="K82">
        <v>0</v>
      </c>
      <c r="N82">
        <v>3</v>
      </c>
      <c r="O82" t="s">
        <v>91</v>
      </c>
      <c r="P82" t="s">
        <v>1268</v>
      </c>
      <c r="Q82" s="16">
        <f>IF(CustomerHierarchyLevels[[#This Row],[HgLvCust.]]=0,CustomerHierarchyLevels[[#This Row],[Customer]],CustomerHierarchyLevels[[#This Row],[HgLvCust.]])</f>
        <v>2184</v>
      </c>
      <c r="R82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2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3" spans="1:19" x14ac:dyDescent="0.25">
      <c r="A83">
        <v>2186</v>
      </c>
      <c r="B83" t="s">
        <v>9</v>
      </c>
      <c r="C83" t="s">
        <v>90</v>
      </c>
      <c r="D83">
        <v>0</v>
      </c>
      <c r="E83">
        <v>38170</v>
      </c>
      <c r="F83">
        <v>2958465</v>
      </c>
      <c r="G83">
        <v>2184</v>
      </c>
      <c r="H83" t="s">
        <v>9</v>
      </c>
      <c r="I83" t="s">
        <v>90</v>
      </c>
      <c r="J83">
        <v>0</v>
      </c>
      <c r="K83">
        <v>0</v>
      </c>
      <c r="N83">
        <v>3</v>
      </c>
      <c r="O83" t="s">
        <v>91</v>
      </c>
      <c r="P83" t="s">
        <v>1269</v>
      </c>
      <c r="Q83" s="16">
        <f>IF(CustomerHierarchyLevels[[#This Row],[HgLvCust.]]=0,CustomerHierarchyLevels[[#This Row],[Customer]],CustomerHierarchyLevels[[#This Row],[HgLvCust.]])</f>
        <v>2184</v>
      </c>
      <c r="R83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3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4" spans="1:19" x14ac:dyDescent="0.25">
      <c r="A84">
        <v>2187</v>
      </c>
      <c r="B84" t="s">
        <v>9</v>
      </c>
      <c r="C84" t="s">
        <v>90</v>
      </c>
      <c r="D84">
        <v>0</v>
      </c>
      <c r="E84">
        <v>38170</v>
      </c>
      <c r="F84">
        <v>2958465</v>
      </c>
      <c r="G84">
        <v>2184</v>
      </c>
      <c r="H84" t="s">
        <v>9</v>
      </c>
      <c r="I84" t="s">
        <v>90</v>
      </c>
      <c r="J84">
        <v>0</v>
      </c>
      <c r="K84">
        <v>0</v>
      </c>
      <c r="N84">
        <v>3</v>
      </c>
      <c r="O84" t="s">
        <v>91</v>
      </c>
      <c r="P84" t="s">
        <v>1270</v>
      </c>
      <c r="Q84" s="16">
        <f>IF(CustomerHierarchyLevels[[#This Row],[HgLvCust.]]=0,CustomerHierarchyLevels[[#This Row],[Customer]],CustomerHierarchyLevels[[#This Row],[HgLvCust.]])</f>
        <v>2184</v>
      </c>
      <c r="R84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4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5" spans="1:19" x14ac:dyDescent="0.25">
      <c r="A85">
        <v>2188</v>
      </c>
      <c r="B85" t="s">
        <v>9</v>
      </c>
      <c r="C85" t="s">
        <v>90</v>
      </c>
      <c r="D85">
        <v>0</v>
      </c>
      <c r="E85">
        <v>38170</v>
      </c>
      <c r="F85">
        <v>2958465</v>
      </c>
      <c r="G85">
        <v>2184</v>
      </c>
      <c r="H85" t="s">
        <v>9</v>
      </c>
      <c r="I85" t="s">
        <v>90</v>
      </c>
      <c r="J85">
        <v>0</v>
      </c>
      <c r="K85">
        <v>0</v>
      </c>
      <c r="N85">
        <v>3</v>
      </c>
      <c r="O85" t="s">
        <v>91</v>
      </c>
      <c r="P85" t="s">
        <v>1271</v>
      </c>
      <c r="Q85" s="16">
        <f>IF(CustomerHierarchyLevels[[#This Row],[HgLvCust.]]=0,CustomerHierarchyLevels[[#This Row],[Customer]],CustomerHierarchyLevels[[#This Row],[HgLvCust.]])</f>
        <v>2184</v>
      </c>
      <c r="R85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5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6" spans="1:19" x14ac:dyDescent="0.25">
      <c r="A86">
        <v>2189</v>
      </c>
      <c r="B86" t="s">
        <v>9</v>
      </c>
      <c r="C86" t="s">
        <v>90</v>
      </c>
      <c r="D86">
        <v>0</v>
      </c>
      <c r="E86">
        <v>38170</v>
      </c>
      <c r="F86">
        <v>2958465</v>
      </c>
      <c r="G86">
        <v>2184</v>
      </c>
      <c r="H86" t="s">
        <v>9</v>
      </c>
      <c r="I86" t="s">
        <v>90</v>
      </c>
      <c r="J86">
        <v>0</v>
      </c>
      <c r="K86">
        <v>0</v>
      </c>
      <c r="N86">
        <v>3</v>
      </c>
      <c r="O86" t="s">
        <v>91</v>
      </c>
      <c r="P86" t="s">
        <v>1272</v>
      </c>
      <c r="Q86" s="16">
        <f>IF(CustomerHierarchyLevels[[#This Row],[HgLvCust.]]=0,CustomerHierarchyLevels[[#This Row],[Customer]],CustomerHierarchyLevels[[#This Row],[HgLvCust.]])</f>
        <v>2184</v>
      </c>
      <c r="R86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6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7" spans="1:19" x14ac:dyDescent="0.25">
      <c r="A87">
        <v>2190</v>
      </c>
      <c r="B87" t="s">
        <v>9</v>
      </c>
      <c r="C87" t="s">
        <v>90</v>
      </c>
      <c r="D87">
        <v>0</v>
      </c>
      <c r="E87">
        <v>38170</v>
      </c>
      <c r="F87">
        <v>2958465</v>
      </c>
      <c r="G87">
        <v>2184</v>
      </c>
      <c r="H87" t="s">
        <v>9</v>
      </c>
      <c r="I87" t="s">
        <v>90</v>
      </c>
      <c r="J87">
        <v>0</v>
      </c>
      <c r="K87">
        <v>0</v>
      </c>
      <c r="N87">
        <v>3</v>
      </c>
      <c r="O87" t="s">
        <v>91</v>
      </c>
      <c r="P87" t="s">
        <v>1273</v>
      </c>
      <c r="Q87" s="16">
        <f>IF(CustomerHierarchyLevels[[#This Row],[HgLvCust.]]=0,CustomerHierarchyLevels[[#This Row],[Customer]],CustomerHierarchyLevels[[#This Row],[HgLvCust.]])</f>
        <v>2184</v>
      </c>
      <c r="R87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7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8" spans="1:19" x14ac:dyDescent="0.25">
      <c r="A88">
        <v>2191</v>
      </c>
      <c r="B88" t="s">
        <v>9</v>
      </c>
      <c r="C88" t="s">
        <v>90</v>
      </c>
      <c r="D88">
        <v>0</v>
      </c>
      <c r="E88">
        <v>38170</v>
      </c>
      <c r="F88">
        <v>2958465</v>
      </c>
      <c r="G88">
        <v>2184</v>
      </c>
      <c r="H88" t="s">
        <v>9</v>
      </c>
      <c r="I88" t="s">
        <v>90</v>
      </c>
      <c r="J88">
        <v>0</v>
      </c>
      <c r="K88">
        <v>0</v>
      </c>
      <c r="N88">
        <v>3</v>
      </c>
      <c r="O88" t="s">
        <v>91</v>
      </c>
      <c r="P88" t="s">
        <v>1274</v>
      </c>
      <c r="Q88" s="16">
        <f>IF(CustomerHierarchyLevels[[#This Row],[HgLvCust.]]=0,CustomerHierarchyLevels[[#This Row],[Customer]],CustomerHierarchyLevels[[#This Row],[HgLvCust.]])</f>
        <v>2184</v>
      </c>
      <c r="R88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8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9" spans="1:19" x14ac:dyDescent="0.25">
      <c r="A89">
        <v>2192</v>
      </c>
      <c r="B89" t="s">
        <v>9</v>
      </c>
      <c r="C89" t="s">
        <v>90</v>
      </c>
      <c r="D89">
        <v>0</v>
      </c>
      <c r="E89">
        <v>38170</v>
      </c>
      <c r="F89">
        <v>2958465</v>
      </c>
      <c r="G89">
        <v>2162</v>
      </c>
      <c r="H89" t="s">
        <v>9</v>
      </c>
      <c r="I89" t="s">
        <v>90</v>
      </c>
      <c r="J89">
        <v>0</v>
      </c>
      <c r="K89">
        <v>0</v>
      </c>
      <c r="N89">
        <v>2</v>
      </c>
      <c r="O89" t="s">
        <v>91</v>
      </c>
      <c r="P89" t="s">
        <v>1275</v>
      </c>
      <c r="Q89" s="16">
        <f>IF(CustomerHierarchyLevels[[#This Row],[HgLvCust.]]=0,CustomerHierarchyLevels[[#This Row],[Customer]],CustomerHierarchyLevels[[#This Row],[HgLvCust.]])</f>
        <v>2162</v>
      </c>
      <c r="R89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9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90" spans="1:19" x14ac:dyDescent="0.25">
      <c r="A90">
        <v>2193</v>
      </c>
      <c r="B90" t="s">
        <v>9</v>
      </c>
      <c r="C90" t="s">
        <v>90</v>
      </c>
      <c r="D90">
        <v>0</v>
      </c>
      <c r="E90">
        <v>38170</v>
      </c>
      <c r="F90">
        <v>2958465</v>
      </c>
      <c r="G90">
        <v>2192</v>
      </c>
      <c r="H90" t="s">
        <v>9</v>
      </c>
      <c r="I90" t="s">
        <v>90</v>
      </c>
      <c r="J90">
        <v>0</v>
      </c>
      <c r="K90">
        <v>0</v>
      </c>
      <c r="N90">
        <v>3</v>
      </c>
      <c r="O90" t="s">
        <v>91</v>
      </c>
      <c r="P90" t="s">
        <v>1276</v>
      </c>
      <c r="Q90" s="16">
        <f>IF(CustomerHierarchyLevels[[#This Row],[HgLvCust.]]=0,CustomerHierarchyLevels[[#This Row],[Customer]],CustomerHierarchyLevels[[#This Row],[HgLvCust.]])</f>
        <v>2192</v>
      </c>
      <c r="R90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90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91" spans="1:19" x14ac:dyDescent="0.25">
      <c r="A91">
        <v>2194</v>
      </c>
      <c r="B91" t="s">
        <v>9</v>
      </c>
      <c r="C91" t="s">
        <v>90</v>
      </c>
      <c r="D91">
        <v>0</v>
      </c>
      <c r="E91">
        <v>38170</v>
      </c>
      <c r="F91">
        <v>2958465</v>
      </c>
      <c r="G91">
        <v>2162</v>
      </c>
      <c r="H91" t="s">
        <v>9</v>
      </c>
      <c r="I91" t="s">
        <v>90</v>
      </c>
      <c r="J91">
        <v>0</v>
      </c>
      <c r="K91">
        <v>0</v>
      </c>
      <c r="N91">
        <v>2</v>
      </c>
      <c r="O91" t="s">
        <v>91</v>
      </c>
      <c r="P91" t="s">
        <v>1277</v>
      </c>
      <c r="Q91" s="16">
        <f>IF(CustomerHierarchyLevels[[#This Row],[HgLvCust.]]=0,CustomerHierarchyLevels[[#This Row],[Customer]],CustomerHierarchyLevels[[#This Row],[HgLvCust.]])</f>
        <v>2162</v>
      </c>
      <c r="R91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91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92" spans="1:19" x14ac:dyDescent="0.25">
      <c r="A92">
        <v>2195</v>
      </c>
      <c r="B92" t="s">
        <v>9</v>
      </c>
      <c r="C92" t="s">
        <v>90</v>
      </c>
      <c r="D92">
        <v>0</v>
      </c>
      <c r="E92">
        <v>38170</v>
      </c>
      <c r="F92">
        <v>2958465</v>
      </c>
      <c r="G92">
        <v>2194</v>
      </c>
      <c r="H92" t="s">
        <v>9</v>
      </c>
      <c r="I92" t="s">
        <v>90</v>
      </c>
      <c r="J92">
        <v>0</v>
      </c>
      <c r="K92">
        <v>0</v>
      </c>
      <c r="N92">
        <v>3</v>
      </c>
      <c r="O92" t="s">
        <v>91</v>
      </c>
      <c r="P92" t="s">
        <v>1278</v>
      </c>
      <c r="Q92" s="16">
        <f>IF(CustomerHierarchyLevels[[#This Row],[HgLvCust.]]=0,CustomerHierarchyLevels[[#This Row],[Customer]],CustomerHierarchyLevels[[#This Row],[HgLvCust.]])</f>
        <v>2194</v>
      </c>
      <c r="R92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92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93" spans="1:19" x14ac:dyDescent="0.25">
      <c r="A93">
        <v>2196</v>
      </c>
      <c r="B93" t="s">
        <v>9</v>
      </c>
      <c r="C93" t="s">
        <v>90</v>
      </c>
      <c r="D93">
        <v>0</v>
      </c>
      <c r="E93">
        <v>38170</v>
      </c>
      <c r="F93">
        <v>2958465</v>
      </c>
      <c r="G93">
        <v>2194</v>
      </c>
      <c r="H93" t="s">
        <v>9</v>
      </c>
      <c r="I93" t="s">
        <v>90</v>
      </c>
      <c r="J93">
        <v>0</v>
      </c>
      <c r="K93">
        <v>0</v>
      </c>
      <c r="N93">
        <v>3</v>
      </c>
      <c r="O93" t="s">
        <v>91</v>
      </c>
      <c r="P93" t="s">
        <v>1279</v>
      </c>
      <c r="Q93" s="16">
        <f>IF(CustomerHierarchyLevels[[#This Row],[HgLvCust.]]=0,CustomerHierarchyLevels[[#This Row],[Customer]],CustomerHierarchyLevels[[#This Row],[HgLvCust.]])</f>
        <v>2194</v>
      </c>
      <c r="R93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93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94" spans="1:19" x14ac:dyDescent="0.25">
      <c r="A94">
        <v>2197</v>
      </c>
      <c r="B94" t="s">
        <v>9</v>
      </c>
      <c r="C94" t="s">
        <v>90</v>
      </c>
      <c r="D94">
        <v>0</v>
      </c>
      <c r="E94">
        <v>38170</v>
      </c>
      <c r="F94">
        <v>2958465</v>
      </c>
      <c r="G94">
        <v>2194</v>
      </c>
      <c r="H94" t="s">
        <v>9</v>
      </c>
      <c r="I94" t="s">
        <v>90</v>
      </c>
      <c r="J94">
        <v>0</v>
      </c>
      <c r="K94">
        <v>0</v>
      </c>
      <c r="N94">
        <v>3</v>
      </c>
      <c r="O94" t="s">
        <v>91</v>
      </c>
      <c r="P94" t="s">
        <v>1280</v>
      </c>
      <c r="Q94" s="16">
        <f>IF(CustomerHierarchyLevels[[#This Row],[HgLvCust.]]=0,CustomerHierarchyLevels[[#This Row],[Customer]],CustomerHierarchyLevels[[#This Row],[HgLvCust.]])</f>
        <v>2194</v>
      </c>
      <c r="R94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94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95" spans="1:19" x14ac:dyDescent="0.25">
      <c r="A95">
        <v>2198</v>
      </c>
      <c r="B95" t="s">
        <v>9</v>
      </c>
      <c r="C95" t="s">
        <v>90</v>
      </c>
      <c r="D95">
        <v>0</v>
      </c>
      <c r="E95">
        <v>38170</v>
      </c>
      <c r="F95">
        <v>2958465</v>
      </c>
      <c r="G95">
        <v>2194</v>
      </c>
      <c r="H95" t="s">
        <v>9</v>
      </c>
      <c r="I95" t="s">
        <v>90</v>
      </c>
      <c r="J95">
        <v>0</v>
      </c>
      <c r="K95">
        <v>0</v>
      </c>
      <c r="N95">
        <v>3</v>
      </c>
      <c r="O95" t="s">
        <v>91</v>
      </c>
      <c r="P95" t="s">
        <v>1281</v>
      </c>
      <c r="Q95" s="16">
        <f>IF(CustomerHierarchyLevels[[#This Row],[HgLvCust.]]=0,CustomerHierarchyLevels[[#This Row],[Customer]],CustomerHierarchyLevels[[#This Row],[HgLvCust.]])</f>
        <v>2194</v>
      </c>
      <c r="R95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95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96" spans="1:19" x14ac:dyDescent="0.25">
      <c r="A96">
        <v>2299</v>
      </c>
      <c r="B96" t="s">
        <v>9</v>
      </c>
      <c r="C96" t="s">
        <v>90</v>
      </c>
      <c r="D96">
        <v>0</v>
      </c>
      <c r="E96">
        <v>38170</v>
      </c>
      <c r="F96">
        <v>2958465</v>
      </c>
      <c r="G96">
        <v>2163</v>
      </c>
      <c r="H96" t="s">
        <v>9</v>
      </c>
      <c r="I96" t="s">
        <v>90</v>
      </c>
      <c r="J96">
        <v>0</v>
      </c>
      <c r="K96">
        <v>0</v>
      </c>
      <c r="N96">
        <v>3</v>
      </c>
      <c r="O96" t="s">
        <v>91</v>
      </c>
      <c r="P96" t="s">
        <v>1282</v>
      </c>
      <c r="Q96" s="16">
        <f>IF(CustomerHierarchyLevels[[#This Row],[HgLvCust.]]=0,CustomerHierarchyLevels[[#This Row],[Customer]],CustomerHierarchyLevels[[#This Row],[HgLvCust.]])</f>
        <v>2163</v>
      </c>
      <c r="R96" s="16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96" s="16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97" spans="1:19" x14ac:dyDescent="0.25">
      <c r="A97">
        <v>2199</v>
      </c>
      <c r="B97" t="s">
        <v>9</v>
      </c>
      <c r="C97" t="s">
        <v>90</v>
      </c>
      <c r="D97">
        <v>0</v>
      </c>
      <c r="E97">
        <v>38170</v>
      </c>
      <c r="F97">
        <v>2958465</v>
      </c>
      <c r="K97">
        <v>0</v>
      </c>
      <c r="N97">
        <v>1</v>
      </c>
      <c r="O97" t="s">
        <v>91</v>
      </c>
      <c r="P97" t="s">
        <v>1283</v>
      </c>
      <c r="Q97" s="16">
        <f>IF(CustomerHierarchyLevels[[#This Row],[HgLvCust.]]=0,CustomerHierarchyLevels[[#This Row],[Customer]],CustomerHierarchyLevels[[#This Row],[HgLvCust.]])</f>
        <v>2199</v>
      </c>
      <c r="R97" s="16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97" s="16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98" spans="1:19" x14ac:dyDescent="0.25">
      <c r="A98">
        <v>2200</v>
      </c>
      <c r="B98" t="s">
        <v>9</v>
      </c>
      <c r="C98" t="s">
        <v>90</v>
      </c>
      <c r="D98">
        <v>0</v>
      </c>
      <c r="E98">
        <v>38170</v>
      </c>
      <c r="F98">
        <v>2958465</v>
      </c>
      <c r="G98">
        <v>2199</v>
      </c>
      <c r="H98" t="s">
        <v>9</v>
      </c>
      <c r="I98" t="s">
        <v>90</v>
      </c>
      <c r="J98">
        <v>0</v>
      </c>
      <c r="K98">
        <v>0</v>
      </c>
      <c r="N98">
        <v>2</v>
      </c>
      <c r="O98" t="s">
        <v>91</v>
      </c>
      <c r="P98" t="s">
        <v>1284</v>
      </c>
      <c r="Q98" s="16">
        <f>IF(CustomerHierarchyLevels[[#This Row],[HgLvCust.]]=0,CustomerHierarchyLevels[[#This Row],[Customer]],CustomerHierarchyLevels[[#This Row],[HgLvCust.]])</f>
        <v>2199</v>
      </c>
      <c r="R98" s="16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98" s="16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99" spans="1:19" x14ac:dyDescent="0.25">
      <c r="A99">
        <v>2201</v>
      </c>
      <c r="B99" t="s">
        <v>9</v>
      </c>
      <c r="C99" t="s">
        <v>90</v>
      </c>
      <c r="D99">
        <v>0</v>
      </c>
      <c r="E99">
        <v>38170</v>
      </c>
      <c r="F99">
        <v>2958465</v>
      </c>
      <c r="G99">
        <v>2200</v>
      </c>
      <c r="H99" t="s">
        <v>9</v>
      </c>
      <c r="I99" t="s">
        <v>90</v>
      </c>
      <c r="J99">
        <v>0</v>
      </c>
      <c r="K99">
        <v>0</v>
      </c>
      <c r="N99">
        <v>3</v>
      </c>
      <c r="O99" t="s">
        <v>91</v>
      </c>
      <c r="P99" t="s">
        <v>1285</v>
      </c>
      <c r="Q99" s="16">
        <f>IF(CustomerHierarchyLevels[[#This Row],[HgLvCust.]]=0,CustomerHierarchyLevels[[#This Row],[Customer]],CustomerHierarchyLevels[[#This Row],[HgLvCust.]])</f>
        <v>2200</v>
      </c>
      <c r="R99" s="16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99" s="16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0" spans="1:19" x14ac:dyDescent="0.25">
      <c r="A100">
        <v>2202</v>
      </c>
      <c r="B100" t="s">
        <v>9</v>
      </c>
      <c r="C100" t="s">
        <v>90</v>
      </c>
      <c r="D100">
        <v>0</v>
      </c>
      <c r="E100">
        <v>38170</v>
      </c>
      <c r="F100">
        <v>2958465</v>
      </c>
      <c r="G100">
        <v>2200</v>
      </c>
      <c r="H100" t="s">
        <v>9</v>
      </c>
      <c r="I100" t="s">
        <v>90</v>
      </c>
      <c r="J100">
        <v>0</v>
      </c>
      <c r="K100">
        <v>0</v>
      </c>
      <c r="N100">
        <v>3</v>
      </c>
      <c r="O100" t="s">
        <v>91</v>
      </c>
      <c r="P100" t="s">
        <v>1286</v>
      </c>
      <c r="Q100" s="16">
        <f>IF(CustomerHierarchyLevels[[#This Row],[HgLvCust.]]=0,CustomerHierarchyLevels[[#This Row],[Customer]],CustomerHierarchyLevels[[#This Row],[HgLvCust.]])</f>
        <v>2200</v>
      </c>
      <c r="R100" s="16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0" s="16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1" spans="1:19" x14ac:dyDescent="0.25">
      <c r="A101">
        <v>2203</v>
      </c>
      <c r="B101" t="s">
        <v>9</v>
      </c>
      <c r="C101" t="s">
        <v>90</v>
      </c>
      <c r="D101">
        <v>0</v>
      </c>
      <c r="E101">
        <v>38170</v>
      </c>
      <c r="F101">
        <v>2958465</v>
      </c>
      <c r="G101">
        <v>2200</v>
      </c>
      <c r="H101" t="s">
        <v>9</v>
      </c>
      <c r="I101" t="s">
        <v>90</v>
      </c>
      <c r="J101">
        <v>0</v>
      </c>
      <c r="K101">
        <v>0</v>
      </c>
      <c r="N101">
        <v>3</v>
      </c>
      <c r="O101" t="s">
        <v>91</v>
      </c>
      <c r="P101" t="s">
        <v>1287</v>
      </c>
      <c r="Q101" s="16">
        <f>IF(CustomerHierarchyLevels[[#This Row],[HgLvCust.]]=0,CustomerHierarchyLevels[[#This Row],[Customer]],CustomerHierarchyLevels[[#This Row],[HgLvCust.]])</f>
        <v>2200</v>
      </c>
      <c r="R101" s="16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1" s="16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2" spans="1:19" x14ac:dyDescent="0.25">
      <c r="A102">
        <v>2204</v>
      </c>
      <c r="B102" t="s">
        <v>9</v>
      </c>
      <c r="C102" t="s">
        <v>90</v>
      </c>
      <c r="D102">
        <v>0</v>
      </c>
      <c r="E102">
        <v>38170</v>
      </c>
      <c r="F102">
        <v>2958465</v>
      </c>
      <c r="G102">
        <v>2200</v>
      </c>
      <c r="H102" t="s">
        <v>9</v>
      </c>
      <c r="I102" t="s">
        <v>90</v>
      </c>
      <c r="J102">
        <v>0</v>
      </c>
      <c r="K102">
        <v>0</v>
      </c>
      <c r="N102">
        <v>3</v>
      </c>
      <c r="O102" t="s">
        <v>91</v>
      </c>
      <c r="P102" t="s">
        <v>1288</v>
      </c>
      <c r="Q102" s="16">
        <f>IF(CustomerHierarchyLevels[[#This Row],[HgLvCust.]]=0,CustomerHierarchyLevels[[#This Row],[Customer]],CustomerHierarchyLevels[[#This Row],[HgLvCust.]])</f>
        <v>2200</v>
      </c>
      <c r="R102" s="16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2" s="16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3" spans="1:19" x14ac:dyDescent="0.25">
      <c r="A103">
        <v>2205</v>
      </c>
      <c r="B103" t="s">
        <v>9</v>
      </c>
      <c r="C103" t="s">
        <v>90</v>
      </c>
      <c r="D103">
        <v>0</v>
      </c>
      <c r="E103">
        <v>38170</v>
      </c>
      <c r="F103">
        <v>2958465</v>
      </c>
      <c r="G103">
        <v>2200</v>
      </c>
      <c r="H103" t="s">
        <v>9</v>
      </c>
      <c r="I103" t="s">
        <v>90</v>
      </c>
      <c r="J103">
        <v>0</v>
      </c>
      <c r="K103">
        <v>0</v>
      </c>
      <c r="N103">
        <v>3</v>
      </c>
      <c r="O103" t="s">
        <v>91</v>
      </c>
      <c r="P103" t="s">
        <v>1289</v>
      </c>
      <c r="Q103" s="16">
        <f>IF(CustomerHierarchyLevels[[#This Row],[HgLvCust.]]=0,CustomerHierarchyLevels[[#This Row],[Customer]],CustomerHierarchyLevels[[#This Row],[HgLvCust.]])</f>
        <v>2200</v>
      </c>
      <c r="R103" s="16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3" s="16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4" spans="1:19" x14ac:dyDescent="0.25">
      <c r="A104">
        <v>2206</v>
      </c>
      <c r="B104" t="s">
        <v>9</v>
      </c>
      <c r="C104" t="s">
        <v>90</v>
      </c>
      <c r="D104">
        <v>0</v>
      </c>
      <c r="E104">
        <v>38170</v>
      </c>
      <c r="F104">
        <v>2958465</v>
      </c>
      <c r="G104">
        <v>2200</v>
      </c>
      <c r="H104" t="s">
        <v>9</v>
      </c>
      <c r="I104" t="s">
        <v>90</v>
      </c>
      <c r="J104">
        <v>0</v>
      </c>
      <c r="K104">
        <v>0</v>
      </c>
      <c r="N104">
        <v>3</v>
      </c>
      <c r="O104" t="s">
        <v>91</v>
      </c>
      <c r="P104" t="s">
        <v>1290</v>
      </c>
      <c r="Q104" s="16">
        <f>IF(CustomerHierarchyLevels[[#This Row],[HgLvCust.]]=0,CustomerHierarchyLevels[[#This Row],[Customer]],CustomerHierarchyLevels[[#This Row],[HgLvCust.]])</f>
        <v>2200</v>
      </c>
      <c r="R104" s="16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4" s="16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5" spans="1:19" x14ac:dyDescent="0.25">
      <c r="A105">
        <v>2207</v>
      </c>
      <c r="B105" t="s">
        <v>9</v>
      </c>
      <c r="C105" t="s">
        <v>90</v>
      </c>
      <c r="D105">
        <v>0</v>
      </c>
      <c r="E105">
        <v>38170</v>
      </c>
      <c r="F105">
        <v>2958465</v>
      </c>
      <c r="G105">
        <v>2200</v>
      </c>
      <c r="H105" t="s">
        <v>9</v>
      </c>
      <c r="I105" t="s">
        <v>90</v>
      </c>
      <c r="J105">
        <v>0</v>
      </c>
      <c r="K105">
        <v>0</v>
      </c>
      <c r="N105">
        <v>3</v>
      </c>
      <c r="O105" t="s">
        <v>91</v>
      </c>
      <c r="P105" t="s">
        <v>1291</v>
      </c>
      <c r="Q105" s="16">
        <f>IF(CustomerHierarchyLevels[[#This Row],[HgLvCust.]]=0,CustomerHierarchyLevels[[#This Row],[Customer]],CustomerHierarchyLevels[[#This Row],[HgLvCust.]])</f>
        <v>2200</v>
      </c>
      <c r="R105" s="16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5" s="16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6" spans="1:19" x14ac:dyDescent="0.25">
      <c r="A106">
        <v>2208</v>
      </c>
      <c r="B106" t="s">
        <v>9</v>
      </c>
      <c r="C106" t="s">
        <v>90</v>
      </c>
      <c r="D106">
        <v>0</v>
      </c>
      <c r="E106">
        <v>38170</v>
      </c>
      <c r="F106">
        <v>2958465</v>
      </c>
      <c r="G106">
        <v>2200</v>
      </c>
      <c r="H106" t="s">
        <v>9</v>
      </c>
      <c r="I106" t="s">
        <v>90</v>
      </c>
      <c r="J106">
        <v>0</v>
      </c>
      <c r="K106">
        <v>0</v>
      </c>
      <c r="N106">
        <v>3</v>
      </c>
      <c r="O106" t="s">
        <v>91</v>
      </c>
      <c r="P106" t="s">
        <v>1292</v>
      </c>
      <c r="Q106" s="16">
        <f>IF(CustomerHierarchyLevels[[#This Row],[HgLvCust.]]=0,CustomerHierarchyLevels[[#This Row],[Customer]],CustomerHierarchyLevels[[#This Row],[HgLvCust.]])</f>
        <v>2200</v>
      </c>
      <c r="R106" s="16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6" s="16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7" spans="1:19" x14ac:dyDescent="0.25">
      <c r="A107">
        <v>2209</v>
      </c>
      <c r="B107" t="s">
        <v>9</v>
      </c>
      <c r="C107" t="s">
        <v>90</v>
      </c>
      <c r="D107">
        <v>0</v>
      </c>
      <c r="E107">
        <v>38170</v>
      </c>
      <c r="F107">
        <v>2958465</v>
      </c>
      <c r="G107">
        <v>2200</v>
      </c>
      <c r="H107" t="s">
        <v>9</v>
      </c>
      <c r="I107" t="s">
        <v>90</v>
      </c>
      <c r="J107">
        <v>0</v>
      </c>
      <c r="K107">
        <v>0</v>
      </c>
      <c r="N107">
        <v>3</v>
      </c>
      <c r="O107" t="s">
        <v>91</v>
      </c>
      <c r="P107" t="s">
        <v>1293</v>
      </c>
      <c r="Q107" s="16">
        <f>IF(CustomerHierarchyLevels[[#This Row],[HgLvCust.]]=0,CustomerHierarchyLevels[[#This Row],[Customer]],CustomerHierarchyLevels[[#This Row],[HgLvCust.]])</f>
        <v>2200</v>
      </c>
      <c r="R107" s="16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7" s="16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8" spans="1:19" x14ac:dyDescent="0.25">
      <c r="A108">
        <v>2210</v>
      </c>
      <c r="B108" t="s">
        <v>9</v>
      </c>
      <c r="C108" t="s">
        <v>90</v>
      </c>
      <c r="D108">
        <v>0</v>
      </c>
      <c r="E108">
        <v>38170</v>
      </c>
      <c r="F108">
        <v>2958465</v>
      </c>
      <c r="G108">
        <v>2200</v>
      </c>
      <c r="H108" t="s">
        <v>9</v>
      </c>
      <c r="I108" t="s">
        <v>90</v>
      </c>
      <c r="J108">
        <v>0</v>
      </c>
      <c r="K108">
        <v>0</v>
      </c>
      <c r="N108">
        <v>3</v>
      </c>
      <c r="O108" t="s">
        <v>91</v>
      </c>
      <c r="P108" t="s">
        <v>1294</v>
      </c>
      <c r="Q108" s="16">
        <f>IF(CustomerHierarchyLevels[[#This Row],[HgLvCust.]]=0,CustomerHierarchyLevels[[#This Row],[Customer]],CustomerHierarchyLevels[[#This Row],[HgLvCust.]])</f>
        <v>2200</v>
      </c>
      <c r="R108" s="16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8" s="16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9" spans="1:19" x14ac:dyDescent="0.25">
      <c r="A109">
        <v>2211</v>
      </c>
      <c r="B109" t="s">
        <v>9</v>
      </c>
      <c r="C109" t="s">
        <v>90</v>
      </c>
      <c r="D109">
        <v>0</v>
      </c>
      <c r="E109">
        <v>38170</v>
      </c>
      <c r="F109">
        <v>2958465</v>
      </c>
      <c r="K109">
        <v>0</v>
      </c>
      <c r="N109">
        <v>1</v>
      </c>
      <c r="O109" t="s">
        <v>91</v>
      </c>
      <c r="P109" t="s">
        <v>1295</v>
      </c>
      <c r="Q109" s="16">
        <f>IF(CustomerHierarchyLevels[[#This Row],[HgLvCust.]]=0,CustomerHierarchyLevels[[#This Row],[Customer]],CustomerHierarchyLevels[[#This Row],[HgLvCust.]])</f>
        <v>2211</v>
      </c>
      <c r="R109" s="16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09" s="16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0" spans="1:19" x14ac:dyDescent="0.25">
      <c r="A110">
        <v>2212</v>
      </c>
      <c r="B110" t="s">
        <v>9</v>
      </c>
      <c r="C110" t="s">
        <v>90</v>
      </c>
      <c r="D110">
        <v>0</v>
      </c>
      <c r="E110">
        <v>38170</v>
      </c>
      <c r="F110">
        <v>2958465</v>
      </c>
      <c r="G110">
        <v>2211</v>
      </c>
      <c r="H110" t="s">
        <v>9</v>
      </c>
      <c r="I110" t="s">
        <v>90</v>
      </c>
      <c r="J110">
        <v>0</v>
      </c>
      <c r="K110">
        <v>0</v>
      </c>
      <c r="N110">
        <v>2</v>
      </c>
      <c r="O110" t="s">
        <v>91</v>
      </c>
      <c r="P110" t="s">
        <v>1296</v>
      </c>
      <c r="Q110" s="16">
        <f>IF(CustomerHierarchyLevels[[#This Row],[HgLvCust.]]=0,CustomerHierarchyLevels[[#This Row],[Customer]],CustomerHierarchyLevels[[#This Row],[HgLvCust.]])</f>
        <v>2211</v>
      </c>
      <c r="R110" s="16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0" s="16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1" spans="1:19" x14ac:dyDescent="0.25">
      <c r="A111">
        <v>2213</v>
      </c>
      <c r="B111" t="s">
        <v>9</v>
      </c>
      <c r="C111" t="s">
        <v>90</v>
      </c>
      <c r="D111">
        <v>0</v>
      </c>
      <c r="E111">
        <v>38170</v>
      </c>
      <c r="F111">
        <v>2958465</v>
      </c>
      <c r="G111">
        <v>2212</v>
      </c>
      <c r="H111" t="s">
        <v>9</v>
      </c>
      <c r="I111" t="s">
        <v>90</v>
      </c>
      <c r="J111">
        <v>0</v>
      </c>
      <c r="K111">
        <v>0</v>
      </c>
      <c r="N111">
        <v>3</v>
      </c>
      <c r="O111" t="s">
        <v>91</v>
      </c>
      <c r="P111" t="s">
        <v>1297</v>
      </c>
      <c r="Q111" s="16">
        <f>IF(CustomerHierarchyLevels[[#This Row],[HgLvCust.]]=0,CustomerHierarchyLevels[[#This Row],[Customer]],CustomerHierarchyLevels[[#This Row],[HgLvCust.]])</f>
        <v>2212</v>
      </c>
      <c r="R111" s="16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1" s="16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2" spans="1:19" x14ac:dyDescent="0.25">
      <c r="A112">
        <v>2214</v>
      </c>
      <c r="B112" t="s">
        <v>9</v>
      </c>
      <c r="C112" t="s">
        <v>90</v>
      </c>
      <c r="D112">
        <v>0</v>
      </c>
      <c r="E112">
        <v>38170</v>
      </c>
      <c r="F112">
        <v>2958465</v>
      </c>
      <c r="G112">
        <v>2212</v>
      </c>
      <c r="H112" t="s">
        <v>9</v>
      </c>
      <c r="I112" t="s">
        <v>90</v>
      </c>
      <c r="J112">
        <v>0</v>
      </c>
      <c r="K112">
        <v>0</v>
      </c>
      <c r="N112">
        <v>3</v>
      </c>
      <c r="O112" t="s">
        <v>91</v>
      </c>
      <c r="P112" t="s">
        <v>1298</v>
      </c>
      <c r="Q112" s="16">
        <f>IF(CustomerHierarchyLevels[[#This Row],[HgLvCust.]]=0,CustomerHierarchyLevels[[#This Row],[Customer]],CustomerHierarchyLevels[[#This Row],[HgLvCust.]])</f>
        <v>2212</v>
      </c>
      <c r="R112" s="16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2" s="16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3" spans="1:19" x14ac:dyDescent="0.25">
      <c r="A113">
        <v>2215</v>
      </c>
      <c r="B113" t="s">
        <v>9</v>
      </c>
      <c r="C113" t="s">
        <v>90</v>
      </c>
      <c r="D113">
        <v>0</v>
      </c>
      <c r="E113">
        <v>38170</v>
      </c>
      <c r="F113">
        <v>2958465</v>
      </c>
      <c r="G113">
        <v>2212</v>
      </c>
      <c r="H113" t="s">
        <v>9</v>
      </c>
      <c r="I113" t="s">
        <v>90</v>
      </c>
      <c r="J113">
        <v>0</v>
      </c>
      <c r="K113">
        <v>0</v>
      </c>
      <c r="N113">
        <v>3</v>
      </c>
      <c r="O113" t="s">
        <v>91</v>
      </c>
      <c r="P113" t="s">
        <v>1299</v>
      </c>
      <c r="Q113" s="16">
        <f>IF(CustomerHierarchyLevels[[#This Row],[HgLvCust.]]=0,CustomerHierarchyLevels[[#This Row],[Customer]],CustomerHierarchyLevels[[#This Row],[HgLvCust.]])</f>
        <v>2212</v>
      </c>
      <c r="R113" s="16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3" s="16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4" spans="1:19" x14ac:dyDescent="0.25">
      <c r="A114">
        <v>2216</v>
      </c>
      <c r="B114" t="s">
        <v>9</v>
      </c>
      <c r="C114" t="s">
        <v>90</v>
      </c>
      <c r="D114">
        <v>0</v>
      </c>
      <c r="E114">
        <v>38170</v>
      </c>
      <c r="F114">
        <v>2958465</v>
      </c>
      <c r="G114">
        <v>2212</v>
      </c>
      <c r="H114" t="s">
        <v>9</v>
      </c>
      <c r="I114" t="s">
        <v>90</v>
      </c>
      <c r="J114">
        <v>0</v>
      </c>
      <c r="K114">
        <v>0</v>
      </c>
      <c r="N114">
        <v>3</v>
      </c>
      <c r="O114" t="s">
        <v>91</v>
      </c>
      <c r="P114" t="s">
        <v>1300</v>
      </c>
      <c r="Q114" s="16">
        <f>IF(CustomerHierarchyLevels[[#This Row],[HgLvCust.]]=0,CustomerHierarchyLevels[[#This Row],[Customer]],CustomerHierarchyLevels[[#This Row],[HgLvCust.]])</f>
        <v>2212</v>
      </c>
      <c r="R114" s="16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4" s="16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5" spans="1:19" x14ac:dyDescent="0.25">
      <c r="A115">
        <v>2217</v>
      </c>
      <c r="B115" t="s">
        <v>9</v>
      </c>
      <c r="C115" t="s">
        <v>90</v>
      </c>
      <c r="D115">
        <v>0</v>
      </c>
      <c r="E115">
        <v>38170</v>
      </c>
      <c r="F115">
        <v>2958465</v>
      </c>
      <c r="G115">
        <v>2212</v>
      </c>
      <c r="H115" t="s">
        <v>9</v>
      </c>
      <c r="I115" t="s">
        <v>90</v>
      </c>
      <c r="J115">
        <v>0</v>
      </c>
      <c r="K115">
        <v>0</v>
      </c>
      <c r="N115">
        <v>3</v>
      </c>
      <c r="O115" t="s">
        <v>91</v>
      </c>
      <c r="P115" t="s">
        <v>1301</v>
      </c>
      <c r="Q115" s="16">
        <f>IF(CustomerHierarchyLevels[[#This Row],[HgLvCust.]]=0,CustomerHierarchyLevels[[#This Row],[Customer]],CustomerHierarchyLevels[[#This Row],[HgLvCust.]])</f>
        <v>2212</v>
      </c>
      <c r="R115" s="16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5" s="16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6" spans="1:19" x14ac:dyDescent="0.25">
      <c r="A116">
        <v>2218</v>
      </c>
      <c r="B116" t="s">
        <v>9</v>
      </c>
      <c r="C116" t="s">
        <v>90</v>
      </c>
      <c r="D116">
        <v>0</v>
      </c>
      <c r="E116">
        <v>38170</v>
      </c>
      <c r="F116">
        <v>2958465</v>
      </c>
      <c r="G116">
        <v>2211</v>
      </c>
      <c r="H116" t="s">
        <v>9</v>
      </c>
      <c r="I116" t="s">
        <v>90</v>
      </c>
      <c r="J116">
        <v>0</v>
      </c>
      <c r="K116">
        <v>0</v>
      </c>
      <c r="N116">
        <v>2</v>
      </c>
      <c r="O116" t="s">
        <v>91</v>
      </c>
      <c r="P116" t="s">
        <v>1302</v>
      </c>
      <c r="Q116" s="16">
        <f>IF(CustomerHierarchyLevels[[#This Row],[HgLvCust.]]=0,CustomerHierarchyLevels[[#This Row],[Customer]],CustomerHierarchyLevels[[#This Row],[HgLvCust.]])</f>
        <v>2211</v>
      </c>
      <c r="R116" s="16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6" s="16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7" spans="1:19" x14ac:dyDescent="0.25">
      <c r="A117">
        <v>2219</v>
      </c>
      <c r="B117" t="s">
        <v>9</v>
      </c>
      <c r="C117" t="s">
        <v>90</v>
      </c>
      <c r="D117">
        <v>0</v>
      </c>
      <c r="E117">
        <v>38170</v>
      </c>
      <c r="F117">
        <v>2958465</v>
      </c>
      <c r="G117">
        <v>2218</v>
      </c>
      <c r="H117" t="s">
        <v>9</v>
      </c>
      <c r="I117" t="s">
        <v>90</v>
      </c>
      <c r="J117">
        <v>0</v>
      </c>
      <c r="K117">
        <v>0</v>
      </c>
      <c r="N117">
        <v>3</v>
      </c>
      <c r="O117" t="s">
        <v>91</v>
      </c>
      <c r="P117" t="s">
        <v>1303</v>
      </c>
      <c r="Q117" s="16">
        <f>IF(CustomerHierarchyLevels[[#This Row],[HgLvCust.]]=0,CustomerHierarchyLevels[[#This Row],[Customer]],CustomerHierarchyLevels[[#This Row],[HgLvCust.]])</f>
        <v>2218</v>
      </c>
      <c r="R117" s="16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7" s="16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8" spans="1:19" x14ac:dyDescent="0.25">
      <c r="A118">
        <v>2220</v>
      </c>
      <c r="B118" t="s">
        <v>9</v>
      </c>
      <c r="C118" t="s">
        <v>90</v>
      </c>
      <c r="D118">
        <v>0</v>
      </c>
      <c r="E118">
        <v>38170</v>
      </c>
      <c r="F118">
        <v>2958465</v>
      </c>
      <c r="G118">
        <v>2218</v>
      </c>
      <c r="H118" t="s">
        <v>9</v>
      </c>
      <c r="I118" t="s">
        <v>90</v>
      </c>
      <c r="J118">
        <v>0</v>
      </c>
      <c r="K118">
        <v>0</v>
      </c>
      <c r="N118">
        <v>3</v>
      </c>
      <c r="O118" t="s">
        <v>91</v>
      </c>
      <c r="P118" t="s">
        <v>1304</v>
      </c>
      <c r="Q118" s="16">
        <f>IF(CustomerHierarchyLevels[[#This Row],[HgLvCust.]]=0,CustomerHierarchyLevels[[#This Row],[Customer]],CustomerHierarchyLevels[[#This Row],[HgLvCust.]])</f>
        <v>2218</v>
      </c>
      <c r="R118" s="16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8" s="16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9" spans="1:19" x14ac:dyDescent="0.25">
      <c r="A119">
        <v>2221</v>
      </c>
      <c r="B119" t="s">
        <v>9</v>
      </c>
      <c r="C119" t="s">
        <v>90</v>
      </c>
      <c r="D119">
        <v>0</v>
      </c>
      <c r="E119">
        <v>38170</v>
      </c>
      <c r="F119">
        <v>2958465</v>
      </c>
      <c r="G119">
        <v>2211</v>
      </c>
      <c r="H119" t="s">
        <v>9</v>
      </c>
      <c r="I119" t="s">
        <v>90</v>
      </c>
      <c r="J119">
        <v>0</v>
      </c>
      <c r="K119">
        <v>0</v>
      </c>
      <c r="N119">
        <v>2</v>
      </c>
      <c r="O119" t="s">
        <v>91</v>
      </c>
      <c r="P119" t="s">
        <v>1305</v>
      </c>
      <c r="Q119" s="16">
        <f>IF(CustomerHierarchyLevels[[#This Row],[HgLvCust.]]=0,CustomerHierarchyLevels[[#This Row],[Customer]],CustomerHierarchyLevels[[#This Row],[HgLvCust.]])</f>
        <v>2211</v>
      </c>
      <c r="R119" s="16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9" s="16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20" spans="1:19" x14ac:dyDescent="0.25">
      <c r="A120">
        <v>2222</v>
      </c>
      <c r="B120" t="s">
        <v>9</v>
      </c>
      <c r="C120" t="s">
        <v>90</v>
      </c>
      <c r="D120">
        <v>0</v>
      </c>
      <c r="E120">
        <v>38170</v>
      </c>
      <c r="F120">
        <v>2958465</v>
      </c>
      <c r="G120">
        <v>2221</v>
      </c>
      <c r="H120" t="s">
        <v>9</v>
      </c>
      <c r="I120" t="s">
        <v>90</v>
      </c>
      <c r="J120">
        <v>0</v>
      </c>
      <c r="K120">
        <v>0</v>
      </c>
      <c r="N120">
        <v>3</v>
      </c>
      <c r="O120" t="s">
        <v>91</v>
      </c>
      <c r="P120" t="s">
        <v>1306</v>
      </c>
      <c r="Q120" s="16">
        <f>IF(CustomerHierarchyLevels[[#This Row],[HgLvCust.]]=0,CustomerHierarchyLevels[[#This Row],[Customer]],CustomerHierarchyLevels[[#This Row],[HgLvCust.]])</f>
        <v>2221</v>
      </c>
      <c r="R120" s="16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20" s="16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21" spans="1:19" x14ac:dyDescent="0.25">
      <c r="A121">
        <v>2223</v>
      </c>
      <c r="B121" t="s">
        <v>9</v>
      </c>
      <c r="C121" t="s">
        <v>90</v>
      </c>
      <c r="D121">
        <v>0</v>
      </c>
      <c r="E121">
        <v>38170</v>
      </c>
      <c r="F121">
        <v>2958465</v>
      </c>
      <c r="K121">
        <v>0</v>
      </c>
      <c r="N121">
        <v>1</v>
      </c>
      <c r="O121" t="s">
        <v>91</v>
      </c>
      <c r="P121" t="s">
        <v>1307</v>
      </c>
      <c r="Q121" s="16">
        <f>IF(CustomerHierarchyLevels[[#This Row],[HgLvCust.]]=0,CustomerHierarchyLevels[[#This Row],[Customer]],CustomerHierarchyLevels[[#This Row],[HgLvCust.]])</f>
        <v>2223</v>
      </c>
      <c r="R121" s="16">
        <f>IF(VLOOKUP(CustomerHierarchyLevels[[#This Row],[Level1]],CustomerHierarchyLevels[],7,FALSE)=0,CustomerHierarchyLevels[[#This Row],[Level1]],VLOOKUP(CustomerHierarchyLevels[[#This Row],[Level1]],CustomerHierarchyLevels[],7,FALSE))</f>
        <v>2223</v>
      </c>
      <c r="S121" s="16">
        <f>IF(VLOOKUP(CustomerHierarchyLevels[[#This Row],[Level2]],CustomerHierarchyLevels[],7,FALSE)=0,CustomerHierarchyLevels[[#This Row],[Level2]],VLOOKUP(CustomerHierarchyLevels[[#This Row],[Level2]],CustomerHierarchyLevels[],7,FALSE))</f>
        <v>2223</v>
      </c>
    </row>
    <row r="122" spans="1:19" x14ac:dyDescent="0.25">
      <c r="A122">
        <v>2224</v>
      </c>
      <c r="B122" t="s">
        <v>9</v>
      </c>
      <c r="C122" t="s">
        <v>90</v>
      </c>
      <c r="D122">
        <v>0</v>
      </c>
      <c r="E122">
        <v>38170</v>
      </c>
      <c r="F122">
        <v>2958465</v>
      </c>
      <c r="G122">
        <v>2223</v>
      </c>
      <c r="H122" t="s">
        <v>9</v>
      </c>
      <c r="I122" t="s">
        <v>90</v>
      </c>
      <c r="J122">
        <v>0</v>
      </c>
      <c r="K122">
        <v>0</v>
      </c>
      <c r="N122">
        <v>2</v>
      </c>
      <c r="O122" t="s">
        <v>91</v>
      </c>
      <c r="P122" t="s">
        <v>1308</v>
      </c>
      <c r="Q122" s="16">
        <f>IF(CustomerHierarchyLevels[[#This Row],[HgLvCust.]]=0,CustomerHierarchyLevels[[#This Row],[Customer]],CustomerHierarchyLevels[[#This Row],[HgLvCust.]])</f>
        <v>2223</v>
      </c>
      <c r="R122" s="16">
        <f>IF(VLOOKUP(CustomerHierarchyLevels[[#This Row],[Level1]],CustomerHierarchyLevels[],7,FALSE)=0,CustomerHierarchyLevels[[#This Row],[Level1]],VLOOKUP(CustomerHierarchyLevels[[#This Row],[Level1]],CustomerHierarchyLevels[],7,FALSE))</f>
        <v>2223</v>
      </c>
      <c r="S122" s="16">
        <f>IF(VLOOKUP(CustomerHierarchyLevels[[#This Row],[Level2]],CustomerHierarchyLevels[],7,FALSE)=0,CustomerHierarchyLevels[[#This Row],[Level2]],VLOOKUP(CustomerHierarchyLevels[[#This Row],[Level2]],CustomerHierarchyLevels[],7,FALSE))</f>
        <v>2223</v>
      </c>
    </row>
    <row r="123" spans="1:19" x14ac:dyDescent="0.25">
      <c r="A123">
        <v>2225</v>
      </c>
      <c r="B123" t="s">
        <v>9</v>
      </c>
      <c r="C123" t="s">
        <v>90</v>
      </c>
      <c r="D123">
        <v>0</v>
      </c>
      <c r="E123">
        <v>38170</v>
      </c>
      <c r="F123">
        <v>2958465</v>
      </c>
      <c r="G123">
        <v>2224</v>
      </c>
      <c r="H123" t="s">
        <v>9</v>
      </c>
      <c r="I123" t="s">
        <v>90</v>
      </c>
      <c r="J123">
        <v>0</v>
      </c>
      <c r="K123">
        <v>0</v>
      </c>
      <c r="N123">
        <v>3</v>
      </c>
      <c r="O123" t="s">
        <v>91</v>
      </c>
      <c r="P123" t="s">
        <v>1309</v>
      </c>
      <c r="Q123" s="16">
        <f>IF(CustomerHierarchyLevels[[#This Row],[HgLvCust.]]=0,CustomerHierarchyLevels[[#This Row],[Customer]],CustomerHierarchyLevels[[#This Row],[HgLvCust.]])</f>
        <v>2224</v>
      </c>
      <c r="R123" s="16">
        <f>IF(VLOOKUP(CustomerHierarchyLevels[[#This Row],[Level1]],CustomerHierarchyLevels[],7,FALSE)=0,CustomerHierarchyLevels[[#This Row],[Level1]],VLOOKUP(CustomerHierarchyLevels[[#This Row],[Level1]],CustomerHierarchyLevels[],7,FALSE))</f>
        <v>2223</v>
      </c>
      <c r="S123" s="16">
        <f>IF(VLOOKUP(CustomerHierarchyLevels[[#This Row],[Level2]],CustomerHierarchyLevels[],7,FALSE)=0,CustomerHierarchyLevels[[#This Row],[Level2]],VLOOKUP(CustomerHierarchyLevels[[#This Row],[Level2]],CustomerHierarchyLevels[],7,FALSE))</f>
        <v>2223</v>
      </c>
    </row>
    <row r="124" spans="1:19" x14ac:dyDescent="0.25">
      <c r="A124">
        <v>2226</v>
      </c>
      <c r="B124" t="s">
        <v>9</v>
      </c>
      <c r="C124" t="s">
        <v>90</v>
      </c>
      <c r="D124">
        <v>0</v>
      </c>
      <c r="E124">
        <v>38170</v>
      </c>
      <c r="F124">
        <v>2958465</v>
      </c>
      <c r="G124">
        <v>2224</v>
      </c>
      <c r="H124" t="s">
        <v>9</v>
      </c>
      <c r="I124" t="s">
        <v>90</v>
      </c>
      <c r="J124">
        <v>0</v>
      </c>
      <c r="K124">
        <v>0</v>
      </c>
      <c r="N124">
        <v>3</v>
      </c>
      <c r="O124" t="s">
        <v>91</v>
      </c>
      <c r="P124" t="s">
        <v>1310</v>
      </c>
      <c r="Q124" s="16">
        <f>IF(CustomerHierarchyLevels[[#This Row],[HgLvCust.]]=0,CustomerHierarchyLevels[[#This Row],[Customer]],CustomerHierarchyLevels[[#This Row],[HgLvCust.]])</f>
        <v>2224</v>
      </c>
      <c r="R124" s="16">
        <f>IF(VLOOKUP(CustomerHierarchyLevels[[#This Row],[Level1]],CustomerHierarchyLevels[],7,FALSE)=0,CustomerHierarchyLevels[[#This Row],[Level1]],VLOOKUP(CustomerHierarchyLevels[[#This Row],[Level1]],CustomerHierarchyLevels[],7,FALSE))</f>
        <v>2223</v>
      </c>
      <c r="S124" s="16">
        <f>IF(VLOOKUP(CustomerHierarchyLevels[[#This Row],[Level2]],CustomerHierarchyLevels[],7,FALSE)=0,CustomerHierarchyLevels[[#This Row],[Level2]],VLOOKUP(CustomerHierarchyLevels[[#This Row],[Level2]],CustomerHierarchyLevels[],7,FALSE))</f>
        <v>2223</v>
      </c>
    </row>
    <row r="125" spans="1:19" x14ac:dyDescent="0.25">
      <c r="A125">
        <v>2227</v>
      </c>
      <c r="B125" t="s">
        <v>9</v>
      </c>
      <c r="C125" t="s">
        <v>90</v>
      </c>
      <c r="D125">
        <v>0</v>
      </c>
      <c r="E125">
        <v>38170</v>
      </c>
      <c r="F125">
        <v>2958465</v>
      </c>
      <c r="G125">
        <v>2224</v>
      </c>
      <c r="H125" t="s">
        <v>9</v>
      </c>
      <c r="I125" t="s">
        <v>90</v>
      </c>
      <c r="J125">
        <v>0</v>
      </c>
      <c r="K125">
        <v>0</v>
      </c>
      <c r="N125">
        <v>3</v>
      </c>
      <c r="O125" t="s">
        <v>91</v>
      </c>
      <c r="P125" t="s">
        <v>1311</v>
      </c>
      <c r="Q125" s="16">
        <f>IF(CustomerHierarchyLevels[[#This Row],[HgLvCust.]]=0,CustomerHierarchyLevels[[#This Row],[Customer]],CustomerHierarchyLevels[[#This Row],[HgLvCust.]])</f>
        <v>2224</v>
      </c>
      <c r="R125" s="16">
        <f>IF(VLOOKUP(CustomerHierarchyLevels[[#This Row],[Level1]],CustomerHierarchyLevels[],7,FALSE)=0,CustomerHierarchyLevels[[#This Row],[Level1]],VLOOKUP(CustomerHierarchyLevels[[#This Row],[Level1]],CustomerHierarchyLevels[],7,FALSE))</f>
        <v>2223</v>
      </c>
      <c r="S125" s="16">
        <f>IF(VLOOKUP(CustomerHierarchyLevels[[#This Row],[Level2]],CustomerHierarchyLevels[],7,FALSE)=0,CustomerHierarchyLevels[[#This Row],[Level2]],VLOOKUP(CustomerHierarchyLevels[[#This Row],[Level2]],CustomerHierarchyLevels[],7,FALSE))</f>
        <v>2223</v>
      </c>
    </row>
    <row r="126" spans="1:19" x14ac:dyDescent="0.25">
      <c r="A126">
        <v>2228</v>
      </c>
      <c r="B126" t="s">
        <v>9</v>
      </c>
      <c r="C126" t="s">
        <v>90</v>
      </c>
      <c r="D126">
        <v>0</v>
      </c>
      <c r="E126">
        <v>38170</v>
      </c>
      <c r="F126">
        <v>2958465</v>
      </c>
      <c r="K126">
        <v>0</v>
      </c>
      <c r="N126">
        <v>1</v>
      </c>
      <c r="O126" t="s">
        <v>91</v>
      </c>
      <c r="P126" t="s">
        <v>1312</v>
      </c>
      <c r="Q126" s="16">
        <f>IF(CustomerHierarchyLevels[[#This Row],[HgLvCust.]]=0,CustomerHierarchyLevels[[#This Row],[Customer]],CustomerHierarchyLevels[[#This Row],[HgLvCust.]])</f>
        <v>2228</v>
      </c>
      <c r="R126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26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27" spans="1:19" x14ac:dyDescent="0.25">
      <c r="A127">
        <v>2229</v>
      </c>
      <c r="B127" t="s">
        <v>9</v>
      </c>
      <c r="C127" t="s">
        <v>90</v>
      </c>
      <c r="D127">
        <v>0</v>
      </c>
      <c r="E127">
        <v>38170</v>
      </c>
      <c r="F127">
        <v>2958465</v>
      </c>
      <c r="G127">
        <v>2228</v>
      </c>
      <c r="H127" t="s">
        <v>9</v>
      </c>
      <c r="I127" t="s">
        <v>90</v>
      </c>
      <c r="J127">
        <v>0</v>
      </c>
      <c r="K127">
        <v>0</v>
      </c>
      <c r="N127">
        <v>2</v>
      </c>
      <c r="O127" t="s">
        <v>91</v>
      </c>
      <c r="P127" t="s">
        <v>1313</v>
      </c>
      <c r="Q127" s="16">
        <f>IF(CustomerHierarchyLevels[[#This Row],[HgLvCust.]]=0,CustomerHierarchyLevels[[#This Row],[Customer]],CustomerHierarchyLevels[[#This Row],[HgLvCust.]])</f>
        <v>2228</v>
      </c>
      <c r="R127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27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28" spans="1:19" x14ac:dyDescent="0.25">
      <c r="A128">
        <v>2230</v>
      </c>
      <c r="B128" t="s">
        <v>9</v>
      </c>
      <c r="C128" t="s">
        <v>90</v>
      </c>
      <c r="D128">
        <v>0</v>
      </c>
      <c r="E128">
        <v>38170</v>
      </c>
      <c r="F128">
        <v>2958465</v>
      </c>
      <c r="G128">
        <v>2229</v>
      </c>
      <c r="H128" t="s">
        <v>9</v>
      </c>
      <c r="I128" t="s">
        <v>90</v>
      </c>
      <c r="J128">
        <v>0</v>
      </c>
      <c r="K128">
        <v>0</v>
      </c>
      <c r="N128">
        <v>3</v>
      </c>
      <c r="O128" t="s">
        <v>91</v>
      </c>
      <c r="P128" t="s">
        <v>1314</v>
      </c>
      <c r="Q128" s="16">
        <f>IF(CustomerHierarchyLevels[[#This Row],[HgLvCust.]]=0,CustomerHierarchyLevels[[#This Row],[Customer]],CustomerHierarchyLevels[[#This Row],[HgLvCust.]])</f>
        <v>2229</v>
      </c>
      <c r="R128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28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29" spans="1:19" x14ac:dyDescent="0.25">
      <c r="A129">
        <v>2231</v>
      </c>
      <c r="B129" t="s">
        <v>9</v>
      </c>
      <c r="C129" t="s">
        <v>90</v>
      </c>
      <c r="D129">
        <v>0</v>
      </c>
      <c r="E129">
        <v>38170</v>
      </c>
      <c r="F129">
        <v>2958465</v>
      </c>
      <c r="G129">
        <v>2229</v>
      </c>
      <c r="H129" t="s">
        <v>9</v>
      </c>
      <c r="I129" t="s">
        <v>90</v>
      </c>
      <c r="J129">
        <v>0</v>
      </c>
      <c r="K129">
        <v>0</v>
      </c>
      <c r="N129">
        <v>3</v>
      </c>
      <c r="O129" t="s">
        <v>91</v>
      </c>
      <c r="P129" t="s">
        <v>1315</v>
      </c>
      <c r="Q129" s="16">
        <f>IF(CustomerHierarchyLevels[[#This Row],[HgLvCust.]]=0,CustomerHierarchyLevels[[#This Row],[Customer]],CustomerHierarchyLevels[[#This Row],[HgLvCust.]])</f>
        <v>2229</v>
      </c>
      <c r="R129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29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0" spans="1:19" x14ac:dyDescent="0.25">
      <c r="A130">
        <v>2232</v>
      </c>
      <c r="B130" t="s">
        <v>9</v>
      </c>
      <c r="C130" t="s">
        <v>90</v>
      </c>
      <c r="D130">
        <v>0</v>
      </c>
      <c r="E130">
        <v>38170</v>
      </c>
      <c r="F130">
        <v>2958465</v>
      </c>
      <c r="G130">
        <v>2229</v>
      </c>
      <c r="H130" t="s">
        <v>9</v>
      </c>
      <c r="I130" t="s">
        <v>90</v>
      </c>
      <c r="J130">
        <v>0</v>
      </c>
      <c r="K130">
        <v>0</v>
      </c>
      <c r="N130">
        <v>3</v>
      </c>
      <c r="O130" t="s">
        <v>91</v>
      </c>
      <c r="P130" t="s">
        <v>1316</v>
      </c>
      <c r="Q130" s="16">
        <f>IF(CustomerHierarchyLevels[[#This Row],[HgLvCust.]]=0,CustomerHierarchyLevels[[#This Row],[Customer]],CustomerHierarchyLevels[[#This Row],[HgLvCust.]])</f>
        <v>2229</v>
      </c>
      <c r="R130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0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1" spans="1:19" x14ac:dyDescent="0.25">
      <c r="A131">
        <v>2233</v>
      </c>
      <c r="B131" t="s">
        <v>9</v>
      </c>
      <c r="C131" t="s">
        <v>90</v>
      </c>
      <c r="D131">
        <v>0</v>
      </c>
      <c r="E131">
        <v>38170</v>
      </c>
      <c r="F131">
        <v>2958465</v>
      </c>
      <c r="G131">
        <v>2229</v>
      </c>
      <c r="H131" t="s">
        <v>9</v>
      </c>
      <c r="I131" t="s">
        <v>90</v>
      </c>
      <c r="J131">
        <v>0</v>
      </c>
      <c r="K131">
        <v>0</v>
      </c>
      <c r="N131">
        <v>3</v>
      </c>
      <c r="O131" t="s">
        <v>91</v>
      </c>
      <c r="P131" t="s">
        <v>1317</v>
      </c>
      <c r="Q131" s="16">
        <f>IF(CustomerHierarchyLevels[[#This Row],[HgLvCust.]]=0,CustomerHierarchyLevels[[#This Row],[Customer]],CustomerHierarchyLevels[[#This Row],[HgLvCust.]])</f>
        <v>2229</v>
      </c>
      <c r="R131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1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2" spans="1:19" x14ac:dyDescent="0.25">
      <c r="A132">
        <v>2300</v>
      </c>
      <c r="B132" t="s">
        <v>9</v>
      </c>
      <c r="C132" t="s">
        <v>90</v>
      </c>
      <c r="D132">
        <v>0</v>
      </c>
      <c r="E132">
        <v>38170</v>
      </c>
      <c r="F132">
        <v>2958465</v>
      </c>
      <c r="G132">
        <v>2229</v>
      </c>
      <c r="H132" t="s">
        <v>9</v>
      </c>
      <c r="I132" t="s">
        <v>90</v>
      </c>
      <c r="J132">
        <v>0</v>
      </c>
      <c r="K132">
        <v>0</v>
      </c>
      <c r="N132">
        <v>3</v>
      </c>
      <c r="O132" t="s">
        <v>91</v>
      </c>
      <c r="P132" t="s">
        <v>1318</v>
      </c>
      <c r="Q132" s="16">
        <f>IF(CustomerHierarchyLevels[[#This Row],[HgLvCust.]]=0,CustomerHierarchyLevels[[#This Row],[Customer]],CustomerHierarchyLevels[[#This Row],[HgLvCust.]])</f>
        <v>2229</v>
      </c>
      <c r="R132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2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3" spans="1:19" x14ac:dyDescent="0.25">
      <c r="A133">
        <v>2234</v>
      </c>
      <c r="B133" t="s">
        <v>9</v>
      </c>
      <c r="C133" t="s">
        <v>90</v>
      </c>
      <c r="D133">
        <v>0</v>
      </c>
      <c r="E133">
        <v>38170</v>
      </c>
      <c r="F133">
        <v>2958465</v>
      </c>
      <c r="G133">
        <v>2229</v>
      </c>
      <c r="H133" t="s">
        <v>9</v>
      </c>
      <c r="I133" t="s">
        <v>90</v>
      </c>
      <c r="J133">
        <v>0</v>
      </c>
      <c r="K133">
        <v>0</v>
      </c>
      <c r="N133">
        <v>3</v>
      </c>
      <c r="O133" t="s">
        <v>91</v>
      </c>
      <c r="P133" t="s">
        <v>1319</v>
      </c>
      <c r="Q133" s="16">
        <f>IF(CustomerHierarchyLevels[[#This Row],[HgLvCust.]]=0,CustomerHierarchyLevels[[#This Row],[Customer]],CustomerHierarchyLevels[[#This Row],[HgLvCust.]])</f>
        <v>2229</v>
      </c>
      <c r="R133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3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4" spans="1:19" x14ac:dyDescent="0.25">
      <c r="A134">
        <v>2235</v>
      </c>
      <c r="B134" t="s">
        <v>9</v>
      </c>
      <c r="C134" t="s">
        <v>90</v>
      </c>
      <c r="D134">
        <v>0</v>
      </c>
      <c r="E134">
        <v>38170</v>
      </c>
      <c r="F134">
        <v>2958465</v>
      </c>
      <c r="G134">
        <v>2229</v>
      </c>
      <c r="H134" t="s">
        <v>9</v>
      </c>
      <c r="I134" t="s">
        <v>90</v>
      </c>
      <c r="J134">
        <v>0</v>
      </c>
      <c r="K134">
        <v>0</v>
      </c>
      <c r="N134">
        <v>3</v>
      </c>
      <c r="O134" t="s">
        <v>91</v>
      </c>
      <c r="P134" t="s">
        <v>1320</v>
      </c>
      <c r="Q134" s="16">
        <f>IF(CustomerHierarchyLevels[[#This Row],[HgLvCust.]]=0,CustomerHierarchyLevels[[#This Row],[Customer]],CustomerHierarchyLevels[[#This Row],[HgLvCust.]])</f>
        <v>2229</v>
      </c>
      <c r="R134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4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5" spans="1:19" x14ac:dyDescent="0.25">
      <c r="A135">
        <v>2236</v>
      </c>
      <c r="B135" t="s">
        <v>9</v>
      </c>
      <c r="C135" t="s">
        <v>90</v>
      </c>
      <c r="D135">
        <v>0</v>
      </c>
      <c r="E135">
        <v>38170</v>
      </c>
      <c r="F135">
        <v>2958465</v>
      </c>
      <c r="G135">
        <v>2229</v>
      </c>
      <c r="H135" t="s">
        <v>9</v>
      </c>
      <c r="I135" t="s">
        <v>90</v>
      </c>
      <c r="J135">
        <v>0</v>
      </c>
      <c r="K135">
        <v>0</v>
      </c>
      <c r="N135">
        <v>3</v>
      </c>
      <c r="O135" t="s">
        <v>91</v>
      </c>
      <c r="P135" t="s">
        <v>1321</v>
      </c>
      <c r="Q135" s="16">
        <f>IF(CustomerHierarchyLevels[[#This Row],[HgLvCust.]]=0,CustomerHierarchyLevels[[#This Row],[Customer]],CustomerHierarchyLevels[[#This Row],[HgLvCust.]])</f>
        <v>2229</v>
      </c>
      <c r="R135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5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6" spans="1:19" x14ac:dyDescent="0.25">
      <c r="A136">
        <v>2237</v>
      </c>
      <c r="B136" t="s">
        <v>9</v>
      </c>
      <c r="C136" t="s">
        <v>90</v>
      </c>
      <c r="D136">
        <v>0</v>
      </c>
      <c r="E136">
        <v>38170</v>
      </c>
      <c r="F136">
        <v>2958465</v>
      </c>
      <c r="G136">
        <v>2229</v>
      </c>
      <c r="H136" t="s">
        <v>9</v>
      </c>
      <c r="I136" t="s">
        <v>90</v>
      </c>
      <c r="J136">
        <v>0</v>
      </c>
      <c r="K136">
        <v>0</v>
      </c>
      <c r="N136">
        <v>3</v>
      </c>
      <c r="O136" t="s">
        <v>91</v>
      </c>
      <c r="P136" t="s">
        <v>1322</v>
      </c>
      <c r="Q136" s="16">
        <f>IF(CustomerHierarchyLevels[[#This Row],[HgLvCust.]]=0,CustomerHierarchyLevels[[#This Row],[Customer]],CustomerHierarchyLevels[[#This Row],[HgLvCust.]])</f>
        <v>2229</v>
      </c>
      <c r="R136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6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7" spans="1:19" x14ac:dyDescent="0.25">
      <c r="A137">
        <v>2238</v>
      </c>
      <c r="B137" t="s">
        <v>9</v>
      </c>
      <c r="C137" t="s">
        <v>90</v>
      </c>
      <c r="D137">
        <v>0</v>
      </c>
      <c r="E137">
        <v>38170</v>
      </c>
      <c r="F137">
        <v>2958465</v>
      </c>
      <c r="G137">
        <v>2229</v>
      </c>
      <c r="H137" t="s">
        <v>9</v>
      </c>
      <c r="I137" t="s">
        <v>90</v>
      </c>
      <c r="J137">
        <v>0</v>
      </c>
      <c r="K137">
        <v>0</v>
      </c>
      <c r="N137">
        <v>3</v>
      </c>
      <c r="O137" t="s">
        <v>91</v>
      </c>
      <c r="P137" t="s">
        <v>1323</v>
      </c>
      <c r="Q137" s="16">
        <f>IF(CustomerHierarchyLevels[[#This Row],[HgLvCust.]]=0,CustomerHierarchyLevels[[#This Row],[Customer]],CustomerHierarchyLevels[[#This Row],[HgLvCust.]])</f>
        <v>2229</v>
      </c>
      <c r="R137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7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8" spans="1:19" x14ac:dyDescent="0.25">
      <c r="A138">
        <v>2239</v>
      </c>
      <c r="B138" t="s">
        <v>9</v>
      </c>
      <c r="C138" t="s">
        <v>90</v>
      </c>
      <c r="D138">
        <v>0</v>
      </c>
      <c r="E138">
        <v>38170</v>
      </c>
      <c r="F138">
        <v>2958465</v>
      </c>
      <c r="G138">
        <v>2229</v>
      </c>
      <c r="H138" t="s">
        <v>9</v>
      </c>
      <c r="I138" t="s">
        <v>90</v>
      </c>
      <c r="J138">
        <v>0</v>
      </c>
      <c r="K138">
        <v>0</v>
      </c>
      <c r="N138">
        <v>3</v>
      </c>
      <c r="O138" t="s">
        <v>91</v>
      </c>
      <c r="P138" t="s">
        <v>1324</v>
      </c>
      <c r="Q138" s="16">
        <f>IF(CustomerHierarchyLevels[[#This Row],[HgLvCust.]]=0,CustomerHierarchyLevels[[#This Row],[Customer]],CustomerHierarchyLevels[[#This Row],[HgLvCust.]])</f>
        <v>2229</v>
      </c>
      <c r="R138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8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9" spans="1:19" x14ac:dyDescent="0.25">
      <c r="A139">
        <v>2240</v>
      </c>
      <c r="B139" t="s">
        <v>9</v>
      </c>
      <c r="C139" t="s">
        <v>90</v>
      </c>
      <c r="D139">
        <v>0</v>
      </c>
      <c r="E139">
        <v>38170</v>
      </c>
      <c r="F139">
        <v>2958465</v>
      </c>
      <c r="G139">
        <v>2229</v>
      </c>
      <c r="H139" t="s">
        <v>9</v>
      </c>
      <c r="I139" t="s">
        <v>90</v>
      </c>
      <c r="J139">
        <v>0</v>
      </c>
      <c r="K139">
        <v>0</v>
      </c>
      <c r="N139">
        <v>3</v>
      </c>
      <c r="O139" t="s">
        <v>91</v>
      </c>
      <c r="P139" t="s">
        <v>1325</v>
      </c>
      <c r="Q139" s="16">
        <f>IF(CustomerHierarchyLevels[[#This Row],[HgLvCust.]]=0,CustomerHierarchyLevels[[#This Row],[Customer]],CustomerHierarchyLevels[[#This Row],[HgLvCust.]])</f>
        <v>2229</v>
      </c>
      <c r="R139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9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0" spans="1:19" x14ac:dyDescent="0.25">
      <c r="A140">
        <v>2241</v>
      </c>
      <c r="B140" t="s">
        <v>9</v>
      </c>
      <c r="C140" t="s">
        <v>90</v>
      </c>
      <c r="D140">
        <v>0</v>
      </c>
      <c r="E140">
        <v>38170</v>
      </c>
      <c r="F140">
        <v>2958465</v>
      </c>
      <c r="G140">
        <v>2229</v>
      </c>
      <c r="H140" t="s">
        <v>9</v>
      </c>
      <c r="I140" t="s">
        <v>90</v>
      </c>
      <c r="J140">
        <v>0</v>
      </c>
      <c r="K140">
        <v>0</v>
      </c>
      <c r="N140">
        <v>3</v>
      </c>
      <c r="O140" t="s">
        <v>91</v>
      </c>
      <c r="P140" t="s">
        <v>1326</v>
      </c>
      <c r="Q140" s="16">
        <f>IF(CustomerHierarchyLevels[[#This Row],[HgLvCust.]]=0,CustomerHierarchyLevels[[#This Row],[Customer]],CustomerHierarchyLevels[[#This Row],[HgLvCust.]])</f>
        <v>2229</v>
      </c>
      <c r="R140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0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1" spans="1:19" x14ac:dyDescent="0.25">
      <c r="A141">
        <v>2242</v>
      </c>
      <c r="B141" t="s">
        <v>9</v>
      </c>
      <c r="C141" t="s">
        <v>90</v>
      </c>
      <c r="D141">
        <v>0</v>
      </c>
      <c r="E141">
        <v>38170</v>
      </c>
      <c r="F141">
        <v>2958465</v>
      </c>
      <c r="G141">
        <v>2229</v>
      </c>
      <c r="H141" t="s">
        <v>9</v>
      </c>
      <c r="I141" t="s">
        <v>90</v>
      </c>
      <c r="J141">
        <v>0</v>
      </c>
      <c r="K141">
        <v>0</v>
      </c>
      <c r="N141">
        <v>3</v>
      </c>
      <c r="O141" t="s">
        <v>91</v>
      </c>
      <c r="P141" t="s">
        <v>1327</v>
      </c>
      <c r="Q141" s="16">
        <f>IF(CustomerHierarchyLevels[[#This Row],[HgLvCust.]]=0,CustomerHierarchyLevels[[#This Row],[Customer]],CustomerHierarchyLevels[[#This Row],[HgLvCust.]])</f>
        <v>2229</v>
      </c>
      <c r="R141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1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2" spans="1:19" x14ac:dyDescent="0.25">
      <c r="A142">
        <v>2243</v>
      </c>
      <c r="B142" t="s">
        <v>9</v>
      </c>
      <c r="C142" t="s">
        <v>90</v>
      </c>
      <c r="D142">
        <v>0</v>
      </c>
      <c r="E142">
        <v>38170</v>
      </c>
      <c r="F142">
        <v>2958465</v>
      </c>
      <c r="G142">
        <v>2229</v>
      </c>
      <c r="H142" t="s">
        <v>9</v>
      </c>
      <c r="I142" t="s">
        <v>90</v>
      </c>
      <c r="J142">
        <v>0</v>
      </c>
      <c r="K142">
        <v>0</v>
      </c>
      <c r="N142">
        <v>3</v>
      </c>
      <c r="O142" t="s">
        <v>91</v>
      </c>
      <c r="P142" t="s">
        <v>1328</v>
      </c>
      <c r="Q142" s="16">
        <f>IF(CustomerHierarchyLevels[[#This Row],[HgLvCust.]]=0,CustomerHierarchyLevels[[#This Row],[Customer]],CustomerHierarchyLevels[[#This Row],[HgLvCust.]])</f>
        <v>2229</v>
      </c>
      <c r="R142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2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3" spans="1:19" x14ac:dyDescent="0.25">
      <c r="A143">
        <v>2244</v>
      </c>
      <c r="B143" t="s">
        <v>9</v>
      </c>
      <c r="C143" t="s">
        <v>90</v>
      </c>
      <c r="D143">
        <v>0</v>
      </c>
      <c r="E143">
        <v>38170</v>
      </c>
      <c r="F143">
        <v>2958465</v>
      </c>
      <c r="G143">
        <v>2229</v>
      </c>
      <c r="H143" t="s">
        <v>9</v>
      </c>
      <c r="I143" t="s">
        <v>90</v>
      </c>
      <c r="J143">
        <v>0</v>
      </c>
      <c r="K143">
        <v>0</v>
      </c>
      <c r="N143">
        <v>3</v>
      </c>
      <c r="O143" t="s">
        <v>91</v>
      </c>
      <c r="P143" t="s">
        <v>1329</v>
      </c>
      <c r="Q143" s="16">
        <f>IF(CustomerHierarchyLevels[[#This Row],[HgLvCust.]]=0,CustomerHierarchyLevels[[#This Row],[Customer]],CustomerHierarchyLevels[[#This Row],[HgLvCust.]])</f>
        <v>2229</v>
      </c>
      <c r="R143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3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4" spans="1:19" x14ac:dyDescent="0.25">
      <c r="A144">
        <v>2245</v>
      </c>
      <c r="B144" t="s">
        <v>9</v>
      </c>
      <c r="C144" t="s">
        <v>90</v>
      </c>
      <c r="D144">
        <v>0</v>
      </c>
      <c r="E144">
        <v>38170</v>
      </c>
      <c r="F144">
        <v>2958465</v>
      </c>
      <c r="G144">
        <v>2229</v>
      </c>
      <c r="H144" t="s">
        <v>9</v>
      </c>
      <c r="I144" t="s">
        <v>90</v>
      </c>
      <c r="J144">
        <v>0</v>
      </c>
      <c r="K144">
        <v>0</v>
      </c>
      <c r="N144">
        <v>3</v>
      </c>
      <c r="O144" t="s">
        <v>91</v>
      </c>
      <c r="P144" t="s">
        <v>1330</v>
      </c>
      <c r="Q144" s="16">
        <f>IF(CustomerHierarchyLevels[[#This Row],[HgLvCust.]]=0,CustomerHierarchyLevels[[#This Row],[Customer]],CustomerHierarchyLevels[[#This Row],[HgLvCust.]])</f>
        <v>2229</v>
      </c>
      <c r="R144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4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5" spans="1:19" x14ac:dyDescent="0.25">
      <c r="A145">
        <v>2246</v>
      </c>
      <c r="B145" t="s">
        <v>9</v>
      </c>
      <c r="C145" t="s">
        <v>90</v>
      </c>
      <c r="D145">
        <v>0</v>
      </c>
      <c r="E145">
        <v>38170</v>
      </c>
      <c r="F145">
        <v>2958465</v>
      </c>
      <c r="G145">
        <v>2229</v>
      </c>
      <c r="H145" t="s">
        <v>9</v>
      </c>
      <c r="I145" t="s">
        <v>90</v>
      </c>
      <c r="J145">
        <v>0</v>
      </c>
      <c r="K145">
        <v>0</v>
      </c>
      <c r="N145">
        <v>3</v>
      </c>
      <c r="O145" t="s">
        <v>91</v>
      </c>
      <c r="P145" t="s">
        <v>1331</v>
      </c>
      <c r="Q145" s="16">
        <f>IF(CustomerHierarchyLevels[[#This Row],[HgLvCust.]]=0,CustomerHierarchyLevels[[#This Row],[Customer]],CustomerHierarchyLevels[[#This Row],[HgLvCust.]])</f>
        <v>2229</v>
      </c>
      <c r="R145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5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6" spans="1:19" x14ac:dyDescent="0.25">
      <c r="A146">
        <v>2247</v>
      </c>
      <c r="B146" t="s">
        <v>9</v>
      </c>
      <c r="C146" t="s">
        <v>90</v>
      </c>
      <c r="D146">
        <v>0</v>
      </c>
      <c r="E146">
        <v>38170</v>
      </c>
      <c r="F146">
        <v>2958465</v>
      </c>
      <c r="G146">
        <v>2229</v>
      </c>
      <c r="H146" t="s">
        <v>9</v>
      </c>
      <c r="I146" t="s">
        <v>90</v>
      </c>
      <c r="J146">
        <v>0</v>
      </c>
      <c r="K146">
        <v>0</v>
      </c>
      <c r="N146">
        <v>3</v>
      </c>
      <c r="O146" t="s">
        <v>91</v>
      </c>
      <c r="P146" t="s">
        <v>1332</v>
      </c>
      <c r="Q146" s="16">
        <f>IF(CustomerHierarchyLevels[[#This Row],[HgLvCust.]]=0,CustomerHierarchyLevels[[#This Row],[Customer]],CustomerHierarchyLevels[[#This Row],[HgLvCust.]])</f>
        <v>2229</v>
      </c>
      <c r="R146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6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7" spans="1:19" x14ac:dyDescent="0.25">
      <c r="A147">
        <v>2248</v>
      </c>
      <c r="B147" t="s">
        <v>9</v>
      </c>
      <c r="C147" t="s">
        <v>90</v>
      </c>
      <c r="D147">
        <v>0</v>
      </c>
      <c r="E147">
        <v>38170</v>
      </c>
      <c r="F147">
        <v>2958465</v>
      </c>
      <c r="G147">
        <v>2229</v>
      </c>
      <c r="H147" t="s">
        <v>9</v>
      </c>
      <c r="I147" t="s">
        <v>90</v>
      </c>
      <c r="J147">
        <v>0</v>
      </c>
      <c r="K147">
        <v>0</v>
      </c>
      <c r="N147">
        <v>3</v>
      </c>
      <c r="O147" t="s">
        <v>91</v>
      </c>
      <c r="P147" t="s">
        <v>1333</v>
      </c>
      <c r="Q147" s="16">
        <f>IF(CustomerHierarchyLevels[[#This Row],[HgLvCust.]]=0,CustomerHierarchyLevels[[#This Row],[Customer]],CustomerHierarchyLevels[[#This Row],[HgLvCust.]])</f>
        <v>2229</v>
      </c>
      <c r="R147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7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8" spans="1:19" x14ac:dyDescent="0.25">
      <c r="A148">
        <v>2249</v>
      </c>
      <c r="B148" t="s">
        <v>9</v>
      </c>
      <c r="C148" t="s">
        <v>90</v>
      </c>
      <c r="D148">
        <v>0</v>
      </c>
      <c r="E148">
        <v>38170</v>
      </c>
      <c r="F148">
        <v>2958465</v>
      </c>
      <c r="G148">
        <v>2229</v>
      </c>
      <c r="H148" t="s">
        <v>9</v>
      </c>
      <c r="I148" t="s">
        <v>90</v>
      </c>
      <c r="J148">
        <v>0</v>
      </c>
      <c r="K148">
        <v>0</v>
      </c>
      <c r="N148">
        <v>3</v>
      </c>
      <c r="O148" t="s">
        <v>91</v>
      </c>
      <c r="P148" t="s">
        <v>1334</v>
      </c>
      <c r="Q148" s="16">
        <f>IF(CustomerHierarchyLevels[[#This Row],[HgLvCust.]]=0,CustomerHierarchyLevels[[#This Row],[Customer]],CustomerHierarchyLevels[[#This Row],[HgLvCust.]])</f>
        <v>2229</v>
      </c>
      <c r="R148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8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9" spans="1:19" x14ac:dyDescent="0.25">
      <c r="A149">
        <v>2250</v>
      </c>
      <c r="B149" t="s">
        <v>9</v>
      </c>
      <c r="C149" t="s">
        <v>90</v>
      </c>
      <c r="D149">
        <v>0</v>
      </c>
      <c r="E149">
        <v>38170</v>
      </c>
      <c r="F149">
        <v>2958465</v>
      </c>
      <c r="G149">
        <v>2229</v>
      </c>
      <c r="H149" t="s">
        <v>9</v>
      </c>
      <c r="I149" t="s">
        <v>90</v>
      </c>
      <c r="J149">
        <v>0</v>
      </c>
      <c r="K149">
        <v>0</v>
      </c>
      <c r="N149">
        <v>3</v>
      </c>
      <c r="O149" t="s">
        <v>91</v>
      </c>
      <c r="P149" t="s">
        <v>1335</v>
      </c>
      <c r="Q149" s="16">
        <f>IF(CustomerHierarchyLevels[[#This Row],[HgLvCust.]]=0,CustomerHierarchyLevels[[#This Row],[Customer]],CustomerHierarchyLevels[[#This Row],[HgLvCust.]])</f>
        <v>2229</v>
      </c>
      <c r="R149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9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0" spans="1:19" x14ac:dyDescent="0.25">
      <c r="A150">
        <v>2251</v>
      </c>
      <c r="B150" t="s">
        <v>9</v>
      </c>
      <c r="C150" t="s">
        <v>90</v>
      </c>
      <c r="D150">
        <v>0</v>
      </c>
      <c r="E150">
        <v>38170</v>
      </c>
      <c r="F150">
        <v>2958465</v>
      </c>
      <c r="G150">
        <v>2229</v>
      </c>
      <c r="H150" t="s">
        <v>9</v>
      </c>
      <c r="I150" t="s">
        <v>90</v>
      </c>
      <c r="J150">
        <v>0</v>
      </c>
      <c r="K150">
        <v>0</v>
      </c>
      <c r="N150">
        <v>3</v>
      </c>
      <c r="O150" t="s">
        <v>91</v>
      </c>
      <c r="P150" t="s">
        <v>1336</v>
      </c>
      <c r="Q150" s="16">
        <f>IF(CustomerHierarchyLevels[[#This Row],[HgLvCust.]]=0,CustomerHierarchyLevels[[#This Row],[Customer]],CustomerHierarchyLevels[[#This Row],[HgLvCust.]])</f>
        <v>2229</v>
      </c>
      <c r="R150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0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1" spans="1:19" x14ac:dyDescent="0.25">
      <c r="A151">
        <v>2252</v>
      </c>
      <c r="B151" t="s">
        <v>9</v>
      </c>
      <c r="C151" t="s">
        <v>90</v>
      </c>
      <c r="D151">
        <v>0</v>
      </c>
      <c r="E151">
        <v>38170</v>
      </c>
      <c r="F151">
        <v>2958465</v>
      </c>
      <c r="G151">
        <v>2229</v>
      </c>
      <c r="H151" t="s">
        <v>9</v>
      </c>
      <c r="I151" t="s">
        <v>90</v>
      </c>
      <c r="J151">
        <v>0</v>
      </c>
      <c r="K151">
        <v>0</v>
      </c>
      <c r="N151">
        <v>3</v>
      </c>
      <c r="O151" t="s">
        <v>91</v>
      </c>
      <c r="P151" t="s">
        <v>1337</v>
      </c>
      <c r="Q151" s="16">
        <f>IF(CustomerHierarchyLevels[[#This Row],[HgLvCust.]]=0,CustomerHierarchyLevels[[#This Row],[Customer]],CustomerHierarchyLevels[[#This Row],[HgLvCust.]])</f>
        <v>2229</v>
      </c>
      <c r="R151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1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2" spans="1:19" x14ac:dyDescent="0.25">
      <c r="A152">
        <v>2253</v>
      </c>
      <c r="B152" t="s">
        <v>9</v>
      </c>
      <c r="C152" t="s">
        <v>90</v>
      </c>
      <c r="D152">
        <v>0</v>
      </c>
      <c r="E152">
        <v>38170</v>
      </c>
      <c r="F152">
        <v>2958465</v>
      </c>
      <c r="G152">
        <v>2229</v>
      </c>
      <c r="H152" t="s">
        <v>9</v>
      </c>
      <c r="I152" t="s">
        <v>90</v>
      </c>
      <c r="J152">
        <v>0</v>
      </c>
      <c r="K152">
        <v>0</v>
      </c>
      <c r="N152">
        <v>3</v>
      </c>
      <c r="O152" t="s">
        <v>91</v>
      </c>
      <c r="P152" t="s">
        <v>1338</v>
      </c>
      <c r="Q152" s="16">
        <f>IF(CustomerHierarchyLevels[[#This Row],[HgLvCust.]]=0,CustomerHierarchyLevels[[#This Row],[Customer]],CustomerHierarchyLevels[[#This Row],[HgLvCust.]])</f>
        <v>2229</v>
      </c>
      <c r="R152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2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3" spans="1:19" x14ac:dyDescent="0.25">
      <c r="A153">
        <v>2254</v>
      </c>
      <c r="B153" t="s">
        <v>9</v>
      </c>
      <c r="C153" t="s">
        <v>90</v>
      </c>
      <c r="D153">
        <v>0</v>
      </c>
      <c r="E153">
        <v>38170</v>
      </c>
      <c r="F153">
        <v>2958465</v>
      </c>
      <c r="G153">
        <v>2229</v>
      </c>
      <c r="H153" t="s">
        <v>9</v>
      </c>
      <c r="I153" t="s">
        <v>90</v>
      </c>
      <c r="J153">
        <v>0</v>
      </c>
      <c r="K153">
        <v>0</v>
      </c>
      <c r="N153">
        <v>3</v>
      </c>
      <c r="O153" t="s">
        <v>91</v>
      </c>
      <c r="P153" t="s">
        <v>1339</v>
      </c>
      <c r="Q153" s="16">
        <f>IF(CustomerHierarchyLevels[[#This Row],[HgLvCust.]]=0,CustomerHierarchyLevels[[#This Row],[Customer]],CustomerHierarchyLevels[[#This Row],[HgLvCust.]])</f>
        <v>2229</v>
      </c>
      <c r="R153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3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4" spans="1:19" x14ac:dyDescent="0.25">
      <c r="A154">
        <v>2255</v>
      </c>
      <c r="B154" t="s">
        <v>9</v>
      </c>
      <c r="C154" t="s">
        <v>90</v>
      </c>
      <c r="D154">
        <v>0</v>
      </c>
      <c r="E154">
        <v>38170</v>
      </c>
      <c r="F154">
        <v>2958465</v>
      </c>
      <c r="G154">
        <v>2229</v>
      </c>
      <c r="H154" t="s">
        <v>9</v>
      </c>
      <c r="I154" t="s">
        <v>90</v>
      </c>
      <c r="J154">
        <v>0</v>
      </c>
      <c r="K154">
        <v>0</v>
      </c>
      <c r="N154">
        <v>3</v>
      </c>
      <c r="O154" t="s">
        <v>91</v>
      </c>
      <c r="P154" t="s">
        <v>1340</v>
      </c>
      <c r="Q154" s="16">
        <f>IF(CustomerHierarchyLevels[[#This Row],[HgLvCust.]]=0,CustomerHierarchyLevels[[#This Row],[Customer]],CustomerHierarchyLevels[[#This Row],[HgLvCust.]])</f>
        <v>2229</v>
      </c>
      <c r="R154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4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5" spans="1:19" x14ac:dyDescent="0.25">
      <c r="A155">
        <v>2256</v>
      </c>
      <c r="B155" t="s">
        <v>9</v>
      </c>
      <c r="C155" t="s">
        <v>90</v>
      </c>
      <c r="D155">
        <v>0</v>
      </c>
      <c r="E155">
        <v>38170</v>
      </c>
      <c r="F155">
        <v>2958465</v>
      </c>
      <c r="G155">
        <v>2229</v>
      </c>
      <c r="H155" t="s">
        <v>9</v>
      </c>
      <c r="I155" t="s">
        <v>90</v>
      </c>
      <c r="J155">
        <v>0</v>
      </c>
      <c r="K155">
        <v>0</v>
      </c>
      <c r="N155">
        <v>3</v>
      </c>
      <c r="O155" t="s">
        <v>91</v>
      </c>
      <c r="P155" t="s">
        <v>1341</v>
      </c>
      <c r="Q155" s="16">
        <f>IF(CustomerHierarchyLevels[[#This Row],[HgLvCust.]]=0,CustomerHierarchyLevels[[#This Row],[Customer]],CustomerHierarchyLevels[[#This Row],[HgLvCust.]])</f>
        <v>2229</v>
      </c>
      <c r="R155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5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6" spans="1:19" x14ac:dyDescent="0.25">
      <c r="A156">
        <v>2257</v>
      </c>
      <c r="B156" t="s">
        <v>9</v>
      </c>
      <c r="C156" t="s">
        <v>90</v>
      </c>
      <c r="D156">
        <v>0</v>
      </c>
      <c r="E156">
        <v>38170</v>
      </c>
      <c r="F156">
        <v>2958465</v>
      </c>
      <c r="G156">
        <v>2229</v>
      </c>
      <c r="H156" t="s">
        <v>9</v>
      </c>
      <c r="I156" t="s">
        <v>90</v>
      </c>
      <c r="J156">
        <v>0</v>
      </c>
      <c r="K156">
        <v>0</v>
      </c>
      <c r="N156">
        <v>3</v>
      </c>
      <c r="O156" t="s">
        <v>91</v>
      </c>
      <c r="P156" t="s">
        <v>1342</v>
      </c>
      <c r="Q156" s="16">
        <f>IF(CustomerHierarchyLevels[[#This Row],[HgLvCust.]]=0,CustomerHierarchyLevels[[#This Row],[Customer]],CustomerHierarchyLevels[[#This Row],[HgLvCust.]])</f>
        <v>2229</v>
      </c>
      <c r="R156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6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7" spans="1:19" x14ac:dyDescent="0.25">
      <c r="A157">
        <v>2258</v>
      </c>
      <c r="B157" t="s">
        <v>9</v>
      </c>
      <c r="C157" t="s">
        <v>90</v>
      </c>
      <c r="D157">
        <v>0</v>
      </c>
      <c r="E157">
        <v>38170</v>
      </c>
      <c r="F157">
        <v>2958465</v>
      </c>
      <c r="G157">
        <v>2229</v>
      </c>
      <c r="H157" t="s">
        <v>9</v>
      </c>
      <c r="I157" t="s">
        <v>90</v>
      </c>
      <c r="J157">
        <v>0</v>
      </c>
      <c r="K157">
        <v>0</v>
      </c>
      <c r="N157">
        <v>3</v>
      </c>
      <c r="O157" t="s">
        <v>91</v>
      </c>
      <c r="P157" t="s">
        <v>1343</v>
      </c>
      <c r="Q157" s="16">
        <f>IF(CustomerHierarchyLevels[[#This Row],[HgLvCust.]]=0,CustomerHierarchyLevels[[#This Row],[Customer]],CustomerHierarchyLevels[[#This Row],[HgLvCust.]])</f>
        <v>2229</v>
      </c>
      <c r="R157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7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8" spans="1:19" x14ac:dyDescent="0.25">
      <c r="A158">
        <v>2259</v>
      </c>
      <c r="B158" t="s">
        <v>9</v>
      </c>
      <c r="C158" t="s">
        <v>90</v>
      </c>
      <c r="D158">
        <v>0</v>
      </c>
      <c r="E158">
        <v>38170</v>
      </c>
      <c r="F158">
        <v>2958465</v>
      </c>
      <c r="G158">
        <v>2229</v>
      </c>
      <c r="H158" t="s">
        <v>9</v>
      </c>
      <c r="I158" t="s">
        <v>90</v>
      </c>
      <c r="J158">
        <v>0</v>
      </c>
      <c r="K158">
        <v>0</v>
      </c>
      <c r="N158">
        <v>3</v>
      </c>
      <c r="O158" t="s">
        <v>91</v>
      </c>
      <c r="P158" t="s">
        <v>1344</v>
      </c>
      <c r="Q158" s="16">
        <f>IF(CustomerHierarchyLevels[[#This Row],[HgLvCust.]]=0,CustomerHierarchyLevels[[#This Row],[Customer]],CustomerHierarchyLevels[[#This Row],[HgLvCust.]])</f>
        <v>2229</v>
      </c>
      <c r="R158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8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9" spans="1:19" x14ac:dyDescent="0.25">
      <c r="A159">
        <v>2260</v>
      </c>
      <c r="B159" t="s">
        <v>9</v>
      </c>
      <c r="C159" t="s">
        <v>90</v>
      </c>
      <c r="D159">
        <v>0</v>
      </c>
      <c r="E159">
        <v>38170</v>
      </c>
      <c r="F159">
        <v>2958465</v>
      </c>
      <c r="G159">
        <v>2228</v>
      </c>
      <c r="H159" t="s">
        <v>9</v>
      </c>
      <c r="I159" t="s">
        <v>90</v>
      </c>
      <c r="J159">
        <v>0</v>
      </c>
      <c r="K159">
        <v>0</v>
      </c>
      <c r="N159">
        <v>2</v>
      </c>
      <c r="O159" t="s">
        <v>91</v>
      </c>
      <c r="P159" t="s">
        <v>1345</v>
      </c>
      <c r="Q159" s="16">
        <f>IF(CustomerHierarchyLevels[[#This Row],[HgLvCust.]]=0,CustomerHierarchyLevels[[#This Row],[Customer]],CustomerHierarchyLevels[[#This Row],[HgLvCust.]])</f>
        <v>2228</v>
      </c>
      <c r="R159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9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60" spans="1:19" x14ac:dyDescent="0.25">
      <c r="A160">
        <v>2261</v>
      </c>
      <c r="B160" t="s">
        <v>9</v>
      </c>
      <c r="C160" t="s">
        <v>90</v>
      </c>
      <c r="D160">
        <v>0</v>
      </c>
      <c r="E160">
        <v>38170</v>
      </c>
      <c r="F160">
        <v>2958465</v>
      </c>
      <c r="G160">
        <v>2260</v>
      </c>
      <c r="H160" t="s">
        <v>9</v>
      </c>
      <c r="I160" t="s">
        <v>90</v>
      </c>
      <c r="J160">
        <v>0</v>
      </c>
      <c r="K160">
        <v>0</v>
      </c>
      <c r="N160">
        <v>3</v>
      </c>
      <c r="O160" t="s">
        <v>91</v>
      </c>
      <c r="P160" t="s">
        <v>1346</v>
      </c>
      <c r="Q160" s="16">
        <f>IF(CustomerHierarchyLevels[[#This Row],[HgLvCust.]]=0,CustomerHierarchyLevels[[#This Row],[Customer]],CustomerHierarchyLevels[[#This Row],[HgLvCust.]])</f>
        <v>2260</v>
      </c>
      <c r="R160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60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61" spans="1:19" x14ac:dyDescent="0.25">
      <c r="A161">
        <v>2262</v>
      </c>
      <c r="B161" t="s">
        <v>9</v>
      </c>
      <c r="C161" t="s">
        <v>90</v>
      </c>
      <c r="D161">
        <v>0</v>
      </c>
      <c r="E161">
        <v>38170</v>
      </c>
      <c r="F161">
        <v>2958465</v>
      </c>
      <c r="G161">
        <v>2260</v>
      </c>
      <c r="H161" t="s">
        <v>9</v>
      </c>
      <c r="I161" t="s">
        <v>90</v>
      </c>
      <c r="J161">
        <v>0</v>
      </c>
      <c r="K161">
        <v>0</v>
      </c>
      <c r="N161">
        <v>3</v>
      </c>
      <c r="O161" t="s">
        <v>91</v>
      </c>
      <c r="P161" t="s">
        <v>1347</v>
      </c>
      <c r="Q161" s="16">
        <f>IF(CustomerHierarchyLevels[[#This Row],[HgLvCust.]]=0,CustomerHierarchyLevels[[#This Row],[Customer]],CustomerHierarchyLevels[[#This Row],[HgLvCust.]])</f>
        <v>2260</v>
      </c>
      <c r="R161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61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62" spans="1:19" x14ac:dyDescent="0.25">
      <c r="A162">
        <v>2263</v>
      </c>
      <c r="B162" t="s">
        <v>9</v>
      </c>
      <c r="C162" t="s">
        <v>90</v>
      </c>
      <c r="D162">
        <v>0</v>
      </c>
      <c r="E162">
        <v>38170</v>
      </c>
      <c r="F162">
        <v>2958465</v>
      </c>
      <c r="G162">
        <v>2260</v>
      </c>
      <c r="H162" t="s">
        <v>9</v>
      </c>
      <c r="I162" t="s">
        <v>90</v>
      </c>
      <c r="J162">
        <v>0</v>
      </c>
      <c r="K162">
        <v>0</v>
      </c>
      <c r="N162">
        <v>3</v>
      </c>
      <c r="O162" t="s">
        <v>91</v>
      </c>
      <c r="P162" t="s">
        <v>1348</v>
      </c>
      <c r="Q162" s="16">
        <f>IF(CustomerHierarchyLevels[[#This Row],[HgLvCust.]]=0,CustomerHierarchyLevels[[#This Row],[Customer]],CustomerHierarchyLevels[[#This Row],[HgLvCust.]])</f>
        <v>2260</v>
      </c>
      <c r="R162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62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63" spans="1:19" x14ac:dyDescent="0.25">
      <c r="A163">
        <v>2264</v>
      </c>
      <c r="B163" t="s">
        <v>9</v>
      </c>
      <c r="C163" t="s">
        <v>90</v>
      </c>
      <c r="D163">
        <v>0</v>
      </c>
      <c r="E163">
        <v>38170</v>
      </c>
      <c r="F163">
        <v>2958465</v>
      </c>
      <c r="G163">
        <v>2260</v>
      </c>
      <c r="H163" t="s">
        <v>9</v>
      </c>
      <c r="I163" t="s">
        <v>90</v>
      </c>
      <c r="J163">
        <v>0</v>
      </c>
      <c r="K163">
        <v>0</v>
      </c>
      <c r="N163">
        <v>3</v>
      </c>
      <c r="O163" t="s">
        <v>91</v>
      </c>
      <c r="P163" t="s">
        <v>1349</v>
      </c>
      <c r="Q163" s="16">
        <f>IF(CustomerHierarchyLevels[[#This Row],[HgLvCust.]]=0,CustomerHierarchyLevels[[#This Row],[Customer]],CustomerHierarchyLevels[[#This Row],[HgLvCust.]])</f>
        <v>2260</v>
      </c>
      <c r="R163" s="16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63" s="16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64" spans="1:19" x14ac:dyDescent="0.25">
      <c r="A164">
        <v>2265</v>
      </c>
      <c r="B164" t="s">
        <v>9</v>
      </c>
      <c r="C164" t="s">
        <v>90</v>
      </c>
      <c r="D164">
        <v>0</v>
      </c>
      <c r="E164">
        <v>38170</v>
      </c>
      <c r="F164">
        <v>2958465</v>
      </c>
      <c r="K164">
        <v>0</v>
      </c>
      <c r="N164">
        <v>1</v>
      </c>
      <c r="O164" t="s">
        <v>91</v>
      </c>
      <c r="P164" t="s">
        <v>1350</v>
      </c>
      <c r="Q164" s="16">
        <f>IF(CustomerHierarchyLevels[[#This Row],[HgLvCust.]]=0,CustomerHierarchyLevels[[#This Row],[Customer]],CustomerHierarchyLevels[[#This Row],[HgLvCust.]])</f>
        <v>2265</v>
      </c>
      <c r="R164" s="16">
        <f>IF(VLOOKUP(CustomerHierarchyLevels[[#This Row],[Level1]],CustomerHierarchyLevels[],7,FALSE)=0,CustomerHierarchyLevels[[#This Row],[Level1]],VLOOKUP(CustomerHierarchyLevels[[#This Row],[Level1]],CustomerHierarchyLevels[],7,FALSE))</f>
        <v>2265</v>
      </c>
      <c r="S164" s="16">
        <f>IF(VLOOKUP(CustomerHierarchyLevels[[#This Row],[Level2]],CustomerHierarchyLevels[],7,FALSE)=0,CustomerHierarchyLevels[[#This Row],[Level2]],VLOOKUP(CustomerHierarchyLevels[[#This Row],[Level2]],CustomerHierarchyLevels[],7,FALSE))</f>
        <v>2265</v>
      </c>
    </row>
    <row r="165" spans="1:19" x14ac:dyDescent="0.25">
      <c r="A165">
        <v>2266</v>
      </c>
      <c r="B165" t="s">
        <v>9</v>
      </c>
      <c r="C165" t="s">
        <v>90</v>
      </c>
      <c r="D165">
        <v>0</v>
      </c>
      <c r="E165">
        <v>38170</v>
      </c>
      <c r="F165">
        <v>2958465</v>
      </c>
      <c r="G165">
        <v>2265</v>
      </c>
      <c r="H165" t="s">
        <v>9</v>
      </c>
      <c r="I165" t="s">
        <v>90</v>
      </c>
      <c r="J165">
        <v>0</v>
      </c>
      <c r="K165">
        <v>0</v>
      </c>
      <c r="N165">
        <v>2</v>
      </c>
      <c r="O165" t="s">
        <v>91</v>
      </c>
      <c r="P165" t="s">
        <v>1351</v>
      </c>
      <c r="Q165" s="16">
        <f>IF(CustomerHierarchyLevels[[#This Row],[HgLvCust.]]=0,CustomerHierarchyLevels[[#This Row],[Customer]],CustomerHierarchyLevels[[#This Row],[HgLvCust.]])</f>
        <v>2265</v>
      </c>
      <c r="R165" s="16">
        <f>IF(VLOOKUP(CustomerHierarchyLevels[[#This Row],[Level1]],CustomerHierarchyLevels[],7,FALSE)=0,CustomerHierarchyLevels[[#This Row],[Level1]],VLOOKUP(CustomerHierarchyLevels[[#This Row],[Level1]],CustomerHierarchyLevels[],7,FALSE))</f>
        <v>2265</v>
      </c>
      <c r="S165" s="16">
        <f>IF(VLOOKUP(CustomerHierarchyLevels[[#This Row],[Level2]],CustomerHierarchyLevels[],7,FALSE)=0,CustomerHierarchyLevels[[#This Row],[Level2]],VLOOKUP(CustomerHierarchyLevels[[#This Row],[Level2]],CustomerHierarchyLevels[],7,FALSE))</f>
        <v>2265</v>
      </c>
    </row>
    <row r="166" spans="1:19" x14ac:dyDescent="0.25">
      <c r="A166">
        <v>2267</v>
      </c>
      <c r="B166" t="s">
        <v>9</v>
      </c>
      <c r="C166" t="s">
        <v>90</v>
      </c>
      <c r="D166">
        <v>0</v>
      </c>
      <c r="E166">
        <v>38170</v>
      </c>
      <c r="F166">
        <v>2958465</v>
      </c>
      <c r="G166">
        <v>2266</v>
      </c>
      <c r="H166" t="s">
        <v>9</v>
      </c>
      <c r="I166" t="s">
        <v>90</v>
      </c>
      <c r="J166">
        <v>0</v>
      </c>
      <c r="K166">
        <v>0</v>
      </c>
      <c r="N166">
        <v>3</v>
      </c>
      <c r="O166" t="s">
        <v>91</v>
      </c>
      <c r="P166" t="s">
        <v>1352</v>
      </c>
      <c r="Q166" s="16">
        <f>IF(CustomerHierarchyLevels[[#This Row],[HgLvCust.]]=0,CustomerHierarchyLevels[[#This Row],[Customer]],CustomerHierarchyLevels[[#This Row],[HgLvCust.]])</f>
        <v>2266</v>
      </c>
      <c r="R166" s="16">
        <f>IF(VLOOKUP(CustomerHierarchyLevels[[#This Row],[Level1]],CustomerHierarchyLevels[],7,FALSE)=0,CustomerHierarchyLevels[[#This Row],[Level1]],VLOOKUP(CustomerHierarchyLevels[[#This Row],[Level1]],CustomerHierarchyLevels[],7,FALSE))</f>
        <v>2265</v>
      </c>
      <c r="S166" s="16">
        <f>IF(VLOOKUP(CustomerHierarchyLevels[[#This Row],[Level2]],CustomerHierarchyLevels[],7,FALSE)=0,CustomerHierarchyLevels[[#This Row],[Level2]],VLOOKUP(CustomerHierarchyLevels[[#This Row],[Level2]],CustomerHierarchyLevels[],7,FALSE))</f>
        <v>2265</v>
      </c>
    </row>
    <row r="167" spans="1:19" x14ac:dyDescent="0.25">
      <c r="A167">
        <v>2268</v>
      </c>
      <c r="B167" t="s">
        <v>9</v>
      </c>
      <c r="C167" t="s">
        <v>90</v>
      </c>
      <c r="D167">
        <v>0</v>
      </c>
      <c r="E167">
        <v>38170</v>
      </c>
      <c r="F167">
        <v>2958465</v>
      </c>
      <c r="K167">
        <v>0</v>
      </c>
      <c r="N167">
        <v>1</v>
      </c>
      <c r="O167" t="s">
        <v>91</v>
      </c>
      <c r="P167" t="s">
        <v>1353</v>
      </c>
      <c r="Q167" s="16">
        <f>IF(CustomerHierarchyLevels[[#This Row],[HgLvCust.]]=0,CustomerHierarchyLevels[[#This Row],[Customer]],CustomerHierarchyLevels[[#This Row],[HgLvCust.]])</f>
        <v>2268</v>
      </c>
      <c r="R167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67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68" spans="1:19" x14ac:dyDescent="0.25">
      <c r="A168">
        <v>2269</v>
      </c>
      <c r="B168" t="s">
        <v>9</v>
      </c>
      <c r="C168" t="s">
        <v>90</v>
      </c>
      <c r="D168">
        <v>0</v>
      </c>
      <c r="E168">
        <v>38170</v>
      </c>
      <c r="F168">
        <v>2958465</v>
      </c>
      <c r="G168">
        <v>2268</v>
      </c>
      <c r="H168" t="s">
        <v>9</v>
      </c>
      <c r="I168" t="s">
        <v>90</v>
      </c>
      <c r="J168">
        <v>0</v>
      </c>
      <c r="K168">
        <v>0</v>
      </c>
      <c r="N168">
        <v>2</v>
      </c>
      <c r="O168" t="s">
        <v>91</v>
      </c>
      <c r="P168" t="s">
        <v>1354</v>
      </c>
      <c r="Q168" s="16">
        <f>IF(CustomerHierarchyLevels[[#This Row],[HgLvCust.]]=0,CustomerHierarchyLevels[[#This Row],[Customer]],CustomerHierarchyLevels[[#This Row],[HgLvCust.]])</f>
        <v>2268</v>
      </c>
      <c r="R168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68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69" spans="1:19" x14ac:dyDescent="0.25">
      <c r="A169">
        <v>2270</v>
      </c>
      <c r="B169" t="s">
        <v>9</v>
      </c>
      <c r="C169" t="s">
        <v>90</v>
      </c>
      <c r="D169">
        <v>0</v>
      </c>
      <c r="E169">
        <v>38170</v>
      </c>
      <c r="F169">
        <v>2958465</v>
      </c>
      <c r="G169">
        <v>2269</v>
      </c>
      <c r="H169" t="s">
        <v>9</v>
      </c>
      <c r="I169" t="s">
        <v>90</v>
      </c>
      <c r="J169">
        <v>0</v>
      </c>
      <c r="K169">
        <v>0</v>
      </c>
      <c r="N169">
        <v>3</v>
      </c>
      <c r="O169" t="s">
        <v>91</v>
      </c>
      <c r="P169" t="s">
        <v>1355</v>
      </c>
      <c r="Q169" s="16">
        <f>IF(CustomerHierarchyLevels[[#This Row],[HgLvCust.]]=0,CustomerHierarchyLevels[[#This Row],[Customer]],CustomerHierarchyLevels[[#This Row],[HgLvCust.]])</f>
        <v>2269</v>
      </c>
      <c r="R169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69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0" spans="1:19" x14ac:dyDescent="0.25">
      <c r="A170">
        <v>2271</v>
      </c>
      <c r="B170" t="s">
        <v>9</v>
      </c>
      <c r="C170" t="s">
        <v>90</v>
      </c>
      <c r="D170">
        <v>0</v>
      </c>
      <c r="E170">
        <v>38170</v>
      </c>
      <c r="F170">
        <v>2958465</v>
      </c>
      <c r="G170">
        <v>2269</v>
      </c>
      <c r="H170" t="s">
        <v>9</v>
      </c>
      <c r="I170" t="s">
        <v>90</v>
      </c>
      <c r="J170">
        <v>0</v>
      </c>
      <c r="K170">
        <v>0</v>
      </c>
      <c r="N170">
        <v>3</v>
      </c>
      <c r="O170" t="s">
        <v>91</v>
      </c>
      <c r="P170" t="s">
        <v>1356</v>
      </c>
      <c r="Q170" s="16">
        <f>IF(CustomerHierarchyLevels[[#This Row],[HgLvCust.]]=0,CustomerHierarchyLevels[[#This Row],[Customer]],CustomerHierarchyLevels[[#This Row],[HgLvCust.]])</f>
        <v>2269</v>
      </c>
      <c r="R170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0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1" spans="1:19" x14ac:dyDescent="0.25">
      <c r="A171">
        <v>2272</v>
      </c>
      <c r="B171" t="s">
        <v>9</v>
      </c>
      <c r="C171" t="s">
        <v>90</v>
      </c>
      <c r="D171">
        <v>0</v>
      </c>
      <c r="E171">
        <v>38170</v>
      </c>
      <c r="F171">
        <v>2958465</v>
      </c>
      <c r="G171">
        <v>2269</v>
      </c>
      <c r="H171" t="s">
        <v>9</v>
      </c>
      <c r="I171" t="s">
        <v>90</v>
      </c>
      <c r="J171">
        <v>0</v>
      </c>
      <c r="K171">
        <v>0</v>
      </c>
      <c r="N171">
        <v>3</v>
      </c>
      <c r="O171" t="s">
        <v>91</v>
      </c>
      <c r="P171" t="s">
        <v>1357</v>
      </c>
      <c r="Q171" s="16">
        <f>IF(CustomerHierarchyLevels[[#This Row],[HgLvCust.]]=0,CustomerHierarchyLevels[[#This Row],[Customer]],CustomerHierarchyLevels[[#This Row],[HgLvCust.]])</f>
        <v>2269</v>
      </c>
      <c r="R171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1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2" spans="1:19" x14ac:dyDescent="0.25">
      <c r="A172">
        <v>2273</v>
      </c>
      <c r="B172" t="s">
        <v>9</v>
      </c>
      <c r="C172" t="s">
        <v>90</v>
      </c>
      <c r="D172">
        <v>0</v>
      </c>
      <c r="E172">
        <v>38170</v>
      </c>
      <c r="F172">
        <v>2958465</v>
      </c>
      <c r="G172">
        <v>2269</v>
      </c>
      <c r="H172" t="s">
        <v>9</v>
      </c>
      <c r="I172" t="s">
        <v>90</v>
      </c>
      <c r="J172">
        <v>0</v>
      </c>
      <c r="K172">
        <v>0</v>
      </c>
      <c r="N172">
        <v>3</v>
      </c>
      <c r="O172" t="s">
        <v>91</v>
      </c>
      <c r="P172" t="s">
        <v>1358</v>
      </c>
      <c r="Q172" s="16">
        <f>IF(CustomerHierarchyLevels[[#This Row],[HgLvCust.]]=0,CustomerHierarchyLevels[[#This Row],[Customer]],CustomerHierarchyLevels[[#This Row],[HgLvCust.]])</f>
        <v>2269</v>
      </c>
      <c r="R172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2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3" spans="1:19" x14ac:dyDescent="0.25">
      <c r="A173">
        <v>2274</v>
      </c>
      <c r="B173" t="s">
        <v>9</v>
      </c>
      <c r="C173" t="s">
        <v>90</v>
      </c>
      <c r="D173">
        <v>0</v>
      </c>
      <c r="E173">
        <v>38170</v>
      </c>
      <c r="F173">
        <v>2958465</v>
      </c>
      <c r="G173">
        <v>2269</v>
      </c>
      <c r="H173" t="s">
        <v>9</v>
      </c>
      <c r="I173" t="s">
        <v>90</v>
      </c>
      <c r="J173">
        <v>0</v>
      </c>
      <c r="K173">
        <v>0</v>
      </c>
      <c r="N173">
        <v>3</v>
      </c>
      <c r="O173" t="s">
        <v>91</v>
      </c>
      <c r="P173" t="s">
        <v>1359</v>
      </c>
      <c r="Q173" s="16">
        <f>IF(CustomerHierarchyLevels[[#This Row],[HgLvCust.]]=0,CustomerHierarchyLevels[[#This Row],[Customer]],CustomerHierarchyLevels[[#This Row],[HgLvCust.]])</f>
        <v>2269</v>
      </c>
      <c r="R173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3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4" spans="1:19" x14ac:dyDescent="0.25">
      <c r="A174">
        <v>2275</v>
      </c>
      <c r="B174" t="s">
        <v>9</v>
      </c>
      <c r="C174" t="s">
        <v>90</v>
      </c>
      <c r="D174">
        <v>0</v>
      </c>
      <c r="E174">
        <v>38170</v>
      </c>
      <c r="F174">
        <v>2958465</v>
      </c>
      <c r="G174">
        <v>2269</v>
      </c>
      <c r="H174" t="s">
        <v>9</v>
      </c>
      <c r="I174" t="s">
        <v>90</v>
      </c>
      <c r="J174">
        <v>0</v>
      </c>
      <c r="K174">
        <v>0</v>
      </c>
      <c r="N174">
        <v>3</v>
      </c>
      <c r="O174" t="s">
        <v>91</v>
      </c>
      <c r="P174" t="s">
        <v>1360</v>
      </c>
      <c r="Q174" s="16">
        <f>IF(CustomerHierarchyLevels[[#This Row],[HgLvCust.]]=0,CustomerHierarchyLevels[[#This Row],[Customer]],CustomerHierarchyLevels[[#This Row],[HgLvCust.]])</f>
        <v>2269</v>
      </c>
      <c r="R174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4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5" spans="1:19" x14ac:dyDescent="0.25">
      <c r="A175">
        <v>2276</v>
      </c>
      <c r="B175" t="s">
        <v>9</v>
      </c>
      <c r="C175" t="s">
        <v>90</v>
      </c>
      <c r="D175">
        <v>0</v>
      </c>
      <c r="E175">
        <v>38170</v>
      </c>
      <c r="F175">
        <v>2958465</v>
      </c>
      <c r="G175">
        <v>2269</v>
      </c>
      <c r="H175" t="s">
        <v>9</v>
      </c>
      <c r="I175" t="s">
        <v>90</v>
      </c>
      <c r="J175">
        <v>0</v>
      </c>
      <c r="K175">
        <v>0</v>
      </c>
      <c r="N175">
        <v>3</v>
      </c>
      <c r="O175" t="s">
        <v>91</v>
      </c>
      <c r="P175" t="s">
        <v>1361</v>
      </c>
      <c r="Q175" s="16">
        <f>IF(CustomerHierarchyLevels[[#This Row],[HgLvCust.]]=0,CustomerHierarchyLevels[[#This Row],[Customer]],CustomerHierarchyLevels[[#This Row],[HgLvCust.]])</f>
        <v>2269</v>
      </c>
      <c r="R175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5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6" spans="1:19" x14ac:dyDescent="0.25">
      <c r="A176">
        <v>2277</v>
      </c>
      <c r="B176" t="s">
        <v>9</v>
      </c>
      <c r="C176" t="s">
        <v>90</v>
      </c>
      <c r="D176">
        <v>0</v>
      </c>
      <c r="E176">
        <v>38170</v>
      </c>
      <c r="F176">
        <v>2958465</v>
      </c>
      <c r="G176">
        <v>2269</v>
      </c>
      <c r="H176" t="s">
        <v>9</v>
      </c>
      <c r="I176" t="s">
        <v>90</v>
      </c>
      <c r="J176">
        <v>0</v>
      </c>
      <c r="K176">
        <v>0</v>
      </c>
      <c r="N176">
        <v>3</v>
      </c>
      <c r="O176" t="s">
        <v>91</v>
      </c>
      <c r="P176" t="s">
        <v>1362</v>
      </c>
      <c r="Q176" s="16">
        <f>IF(CustomerHierarchyLevels[[#This Row],[HgLvCust.]]=0,CustomerHierarchyLevels[[#This Row],[Customer]],CustomerHierarchyLevels[[#This Row],[HgLvCust.]])</f>
        <v>2269</v>
      </c>
      <c r="R176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6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7" spans="1:19" x14ac:dyDescent="0.25">
      <c r="A177">
        <v>2278</v>
      </c>
      <c r="B177" t="s">
        <v>9</v>
      </c>
      <c r="C177" t="s">
        <v>90</v>
      </c>
      <c r="D177">
        <v>0</v>
      </c>
      <c r="E177">
        <v>38170</v>
      </c>
      <c r="F177">
        <v>2958465</v>
      </c>
      <c r="G177">
        <v>2269</v>
      </c>
      <c r="H177" t="s">
        <v>9</v>
      </c>
      <c r="I177" t="s">
        <v>90</v>
      </c>
      <c r="J177">
        <v>0</v>
      </c>
      <c r="K177">
        <v>0</v>
      </c>
      <c r="N177">
        <v>3</v>
      </c>
      <c r="O177" t="s">
        <v>91</v>
      </c>
      <c r="P177" t="s">
        <v>1363</v>
      </c>
      <c r="Q177" s="16">
        <f>IF(CustomerHierarchyLevels[[#This Row],[HgLvCust.]]=0,CustomerHierarchyLevels[[#This Row],[Customer]],CustomerHierarchyLevels[[#This Row],[HgLvCust.]])</f>
        <v>2269</v>
      </c>
      <c r="R177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7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8" spans="1:19" x14ac:dyDescent="0.25">
      <c r="A178">
        <v>2279</v>
      </c>
      <c r="B178" t="s">
        <v>9</v>
      </c>
      <c r="C178" t="s">
        <v>90</v>
      </c>
      <c r="D178">
        <v>0</v>
      </c>
      <c r="E178">
        <v>38170</v>
      </c>
      <c r="F178">
        <v>2958465</v>
      </c>
      <c r="G178">
        <v>2269</v>
      </c>
      <c r="H178" t="s">
        <v>9</v>
      </c>
      <c r="I178" t="s">
        <v>90</v>
      </c>
      <c r="J178">
        <v>0</v>
      </c>
      <c r="K178">
        <v>0</v>
      </c>
      <c r="N178">
        <v>3</v>
      </c>
      <c r="O178" t="s">
        <v>91</v>
      </c>
      <c r="P178" t="s">
        <v>1364</v>
      </c>
      <c r="Q178" s="16">
        <f>IF(CustomerHierarchyLevels[[#This Row],[HgLvCust.]]=0,CustomerHierarchyLevels[[#This Row],[Customer]],CustomerHierarchyLevels[[#This Row],[HgLvCust.]])</f>
        <v>2269</v>
      </c>
      <c r="R178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8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9" spans="1:19" x14ac:dyDescent="0.25">
      <c r="A179">
        <v>2280</v>
      </c>
      <c r="B179" t="s">
        <v>9</v>
      </c>
      <c r="C179" t="s">
        <v>90</v>
      </c>
      <c r="D179">
        <v>0</v>
      </c>
      <c r="E179">
        <v>38170</v>
      </c>
      <c r="F179">
        <v>2958465</v>
      </c>
      <c r="G179">
        <v>2269</v>
      </c>
      <c r="H179" t="s">
        <v>9</v>
      </c>
      <c r="I179" t="s">
        <v>90</v>
      </c>
      <c r="J179">
        <v>0</v>
      </c>
      <c r="K179">
        <v>0</v>
      </c>
      <c r="N179">
        <v>3</v>
      </c>
      <c r="O179" t="s">
        <v>91</v>
      </c>
      <c r="P179" t="s">
        <v>1365</v>
      </c>
      <c r="Q179" s="16">
        <f>IF(CustomerHierarchyLevels[[#This Row],[HgLvCust.]]=0,CustomerHierarchyLevels[[#This Row],[Customer]],CustomerHierarchyLevels[[#This Row],[HgLvCust.]])</f>
        <v>2269</v>
      </c>
      <c r="R179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9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80" spans="1:19" x14ac:dyDescent="0.25">
      <c r="A180">
        <v>2281</v>
      </c>
      <c r="B180" t="s">
        <v>9</v>
      </c>
      <c r="C180" t="s">
        <v>90</v>
      </c>
      <c r="D180">
        <v>0</v>
      </c>
      <c r="E180">
        <v>38170</v>
      </c>
      <c r="F180">
        <v>2958465</v>
      </c>
      <c r="G180">
        <v>2269</v>
      </c>
      <c r="H180" t="s">
        <v>9</v>
      </c>
      <c r="I180" t="s">
        <v>90</v>
      </c>
      <c r="J180">
        <v>0</v>
      </c>
      <c r="K180">
        <v>0</v>
      </c>
      <c r="N180">
        <v>3</v>
      </c>
      <c r="O180" t="s">
        <v>91</v>
      </c>
      <c r="P180" t="s">
        <v>1366</v>
      </c>
      <c r="Q180" s="16">
        <f>IF(CustomerHierarchyLevels[[#This Row],[HgLvCust.]]=0,CustomerHierarchyLevels[[#This Row],[Customer]],CustomerHierarchyLevels[[#This Row],[HgLvCust.]])</f>
        <v>2269</v>
      </c>
      <c r="R180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80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81" spans="1:19" x14ac:dyDescent="0.25">
      <c r="A181">
        <v>2282</v>
      </c>
      <c r="B181" t="s">
        <v>9</v>
      </c>
      <c r="C181" t="s">
        <v>90</v>
      </c>
      <c r="D181">
        <v>0</v>
      </c>
      <c r="E181">
        <v>38170</v>
      </c>
      <c r="F181">
        <v>2958465</v>
      </c>
      <c r="G181">
        <v>2269</v>
      </c>
      <c r="H181" t="s">
        <v>9</v>
      </c>
      <c r="I181" t="s">
        <v>90</v>
      </c>
      <c r="J181">
        <v>0</v>
      </c>
      <c r="K181">
        <v>0</v>
      </c>
      <c r="N181">
        <v>3</v>
      </c>
      <c r="O181" t="s">
        <v>91</v>
      </c>
      <c r="P181" t="s">
        <v>1367</v>
      </c>
      <c r="Q181" s="16">
        <f>IF(CustomerHierarchyLevels[[#This Row],[HgLvCust.]]=0,CustomerHierarchyLevels[[#This Row],[Customer]],CustomerHierarchyLevels[[#This Row],[HgLvCust.]])</f>
        <v>2269</v>
      </c>
      <c r="R181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81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82" spans="1:19" x14ac:dyDescent="0.25">
      <c r="A182">
        <v>2283</v>
      </c>
      <c r="B182" t="s">
        <v>9</v>
      </c>
      <c r="C182" t="s">
        <v>90</v>
      </c>
      <c r="D182">
        <v>0</v>
      </c>
      <c r="E182">
        <v>38170</v>
      </c>
      <c r="F182">
        <v>2958465</v>
      </c>
      <c r="G182">
        <v>2269</v>
      </c>
      <c r="H182" t="s">
        <v>9</v>
      </c>
      <c r="I182" t="s">
        <v>90</v>
      </c>
      <c r="J182">
        <v>0</v>
      </c>
      <c r="K182">
        <v>0</v>
      </c>
      <c r="N182">
        <v>3</v>
      </c>
      <c r="O182" t="s">
        <v>91</v>
      </c>
      <c r="P182" t="s">
        <v>1368</v>
      </c>
      <c r="Q182" s="16">
        <f>IF(CustomerHierarchyLevels[[#This Row],[HgLvCust.]]=0,CustomerHierarchyLevels[[#This Row],[Customer]],CustomerHierarchyLevels[[#This Row],[HgLvCust.]])</f>
        <v>2269</v>
      </c>
      <c r="R182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82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83" spans="1:19" x14ac:dyDescent="0.25">
      <c r="A183">
        <v>2284</v>
      </c>
      <c r="B183" t="s">
        <v>9</v>
      </c>
      <c r="C183" t="s">
        <v>90</v>
      </c>
      <c r="D183">
        <v>0</v>
      </c>
      <c r="E183">
        <v>38170</v>
      </c>
      <c r="F183">
        <v>2958465</v>
      </c>
      <c r="G183">
        <v>2269</v>
      </c>
      <c r="H183" t="s">
        <v>9</v>
      </c>
      <c r="I183" t="s">
        <v>90</v>
      </c>
      <c r="J183">
        <v>0</v>
      </c>
      <c r="K183">
        <v>0</v>
      </c>
      <c r="N183">
        <v>3</v>
      </c>
      <c r="O183" t="s">
        <v>91</v>
      </c>
      <c r="P183" t="s">
        <v>1369</v>
      </c>
      <c r="Q183" s="16">
        <f>IF(CustomerHierarchyLevels[[#This Row],[HgLvCust.]]=0,CustomerHierarchyLevels[[#This Row],[Customer]],CustomerHierarchyLevels[[#This Row],[HgLvCust.]])</f>
        <v>2269</v>
      </c>
      <c r="R183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83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84" spans="1:19" x14ac:dyDescent="0.25">
      <c r="A184">
        <v>2285</v>
      </c>
      <c r="B184" t="s">
        <v>9</v>
      </c>
      <c r="C184" t="s">
        <v>90</v>
      </c>
      <c r="D184">
        <v>0</v>
      </c>
      <c r="E184">
        <v>38170</v>
      </c>
      <c r="F184">
        <v>2958465</v>
      </c>
      <c r="G184">
        <v>2268</v>
      </c>
      <c r="H184" t="s">
        <v>9</v>
      </c>
      <c r="I184" t="s">
        <v>90</v>
      </c>
      <c r="J184">
        <v>0</v>
      </c>
      <c r="K184">
        <v>0</v>
      </c>
      <c r="N184">
        <v>2</v>
      </c>
      <c r="O184" t="s">
        <v>91</v>
      </c>
      <c r="P184" t="s">
        <v>1370</v>
      </c>
      <c r="Q184" s="16">
        <f>IF(CustomerHierarchyLevels[[#This Row],[HgLvCust.]]=0,CustomerHierarchyLevels[[#This Row],[Customer]],CustomerHierarchyLevels[[#This Row],[HgLvCust.]])</f>
        <v>2268</v>
      </c>
      <c r="R184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84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85" spans="1:19" x14ac:dyDescent="0.25">
      <c r="A185">
        <v>2286</v>
      </c>
      <c r="B185" t="s">
        <v>9</v>
      </c>
      <c r="C185" t="s">
        <v>90</v>
      </c>
      <c r="D185">
        <v>0</v>
      </c>
      <c r="E185">
        <v>38170</v>
      </c>
      <c r="F185">
        <v>2958465</v>
      </c>
      <c r="G185">
        <v>2285</v>
      </c>
      <c r="H185" t="s">
        <v>9</v>
      </c>
      <c r="I185" t="s">
        <v>90</v>
      </c>
      <c r="J185">
        <v>0</v>
      </c>
      <c r="K185">
        <v>0</v>
      </c>
      <c r="N185">
        <v>3</v>
      </c>
      <c r="O185" t="s">
        <v>91</v>
      </c>
      <c r="P185" t="s">
        <v>1371</v>
      </c>
      <c r="Q185" s="16">
        <f>IF(CustomerHierarchyLevels[[#This Row],[HgLvCust.]]=0,CustomerHierarchyLevels[[#This Row],[Customer]],CustomerHierarchyLevels[[#This Row],[HgLvCust.]])</f>
        <v>2285</v>
      </c>
      <c r="R185" s="16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85" s="16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86" spans="1:19" x14ac:dyDescent="0.25">
      <c r="A186">
        <v>2703</v>
      </c>
      <c r="B186" t="s">
        <v>9</v>
      </c>
      <c r="C186" t="s">
        <v>90</v>
      </c>
      <c r="D186">
        <v>0</v>
      </c>
      <c r="E186">
        <v>38272</v>
      </c>
      <c r="F186">
        <v>2958465</v>
      </c>
      <c r="G186">
        <v>2110</v>
      </c>
      <c r="H186" t="s">
        <v>9</v>
      </c>
      <c r="I186" t="s">
        <v>90</v>
      </c>
      <c r="J186">
        <v>0</v>
      </c>
      <c r="K186">
        <v>0</v>
      </c>
      <c r="N186">
        <v>3</v>
      </c>
      <c r="O186" t="s">
        <v>91</v>
      </c>
      <c r="P186" t="s">
        <v>1372</v>
      </c>
      <c r="Q186" s="16">
        <f>IF(CustomerHierarchyLevels[[#This Row],[HgLvCust.]]=0,CustomerHierarchyLevels[[#This Row],[Customer]],CustomerHierarchyLevels[[#This Row],[HgLvCust.]])</f>
        <v>2110</v>
      </c>
      <c r="R186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86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87" spans="1:19" x14ac:dyDescent="0.25">
      <c r="A187">
        <v>2704</v>
      </c>
      <c r="B187" t="s">
        <v>9</v>
      </c>
      <c r="C187" t="s">
        <v>90</v>
      </c>
      <c r="D187">
        <v>0</v>
      </c>
      <c r="E187">
        <v>38272</v>
      </c>
      <c r="F187">
        <v>2958465</v>
      </c>
      <c r="G187">
        <v>2110</v>
      </c>
      <c r="H187" t="s">
        <v>9</v>
      </c>
      <c r="I187" t="s">
        <v>90</v>
      </c>
      <c r="J187">
        <v>0</v>
      </c>
      <c r="K187">
        <v>0</v>
      </c>
      <c r="N187">
        <v>3</v>
      </c>
      <c r="O187" t="s">
        <v>91</v>
      </c>
      <c r="P187" t="s">
        <v>1373</v>
      </c>
      <c r="Q187" s="16">
        <f>IF(CustomerHierarchyLevels[[#This Row],[HgLvCust.]]=0,CustomerHierarchyLevels[[#This Row],[Customer]],CustomerHierarchyLevels[[#This Row],[HgLvCust.]])</f>
        <v>2110</v>
      </c>
      <c r="R187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87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88" spans="1:19" x14ac:dyDescent="0.25">
      <c r="A188">
        <v>3023</v>
      </c>
      <c r="B188" t="s">
        <v>9</v>
      </c>
      <c r="C188" t="s">
        <v>90</v>
      </c>
      <c r="D188">
        <v>0</v>
      </c>
      <c r="E188">
        <v>38343</v>
      </c>
      <c r="F188">
        <v>2958465</v>
      </c>
      <c r="G188">
        <v>2200</v>
      </c>
      <c r="H188" t="s">
        <v>9</v>
      </c>
      <c r="I188" t="s">
        <v>90</v>
      </c>
      <c r="J188">
        <v>0</v>
      </c>
      <c r="K188">
        <v>0</v>
      </c>
      <c r="N188">
        <v>0</v>
      </c>
      <c r="O188" t="s">
        <v>91</v>
      </c>
      <c r="P188" t="s">
        <v>1374</v>
      </c>
      <c r="Q188" s="16">
        <f>IF(CustomerHierarchyLevels[[#This Row],[HgLvCust.]]=0,CustomerHierarchyLevels[[#This Row],[Customer]],CustomerHierarchyLevels[[#This Row],[HgLvCust.]])</f>
        <v>2200</v>
      </c>
      <c r="R188" s="16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88" s="16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89" spans="1:19" x14ac:dyDescent="0.25">
      <c r="A189">
        <v>1404</v>
      </c>
      <c r="B189" t="s">
        <v>9</v>
      </c>
      <c r="C189" t="s">
        <v>90</v>
      </c>
      <c r="D189">
        <v>0</v>
      </c>
      <c r="E189">
        <v>39426</v>
      </c>
      <c r="F189">
        <v>2958465</v>
      </c>
      <c r="G189">
        <v>6311</v>
      </c>
      <c r="H189" t="s">
        <v>9</v>
      </c>
      <c r="I189" t="s">
        <v>90</v>
      </c>
      <c r="J189">
        <v>0</v>
      </c>
      <c r="K189">
        <v>0</v>
      </c>
      <c r="N189">
        <v>0</v>
      </c>
      <c r="O189" t="s">
        <v>91</v>
      </c>
      <c r="P189" t="s">
        <v>1375</v>
      </c>
      <c r="Q189" s="16">
        <f>IF(CustomerHierarchyLevels[[#This Row],[HgLvCust.]]=0,CustomerHierarchyLevels[[#This Row],[Customer]],CustomerHierarchyLevels[[#This Row],[HgLvCust.]])</f>
        <v>6311</v>
      </c>
      <c r="R189" s="16">
        <f>IF(VLOOKUP(CustomerHierarchyLevels[[#This Row],[Level1]],CustomerHierarchyLevels[],7,FALSE)=0,CustomerHierarchyLevels[[#This Row],[Level1]],VLOOKUP(CustomerHierarchyLevels[[#This Row],[Level1]],CustomerHierarchyLevels[],7,FALSE))</f>
        <v>6310</v>
      </c>
      <c r="S189" s="16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190" spans="1:19" x14ac:dyDescent="0.25">
      <c r="A190">
        <v>6701</v>
      </c>
      <c r="B190" t="s">
        <v>9</v>
      </c>
      <c r="C190" t="s">
        <v>90</v>
      </c>
      <c r="D190">
        <v>0</v>
      </c>
      <c r="E190">
        <v>39010</v>
      </c>
      <c r="F190">
        <v>2958465</v>
      </c>
      <c r="G190">
        <v>6700</v>
      </c>
      <c r="H190" t="s">
        <v>9</v>
      </c>
      <c r="I190" t="s">
        <v>90</v>
      </c>
      <c r="J190">
        <v>0</v>
      </c>
      <c r="K190">
        <v>0</v>
      </c>
      <c r="L190" t="s">
        <v>1195</v>
      </c>
      <c r="M190" t="s">
        <v>1195</v>
      </c>
      <c r="N190">
        <v>2</v>
      </c>
      <c r="O190" t="s">
        <v>91</v>
      </c>
      <c r="P190" t="s">
        <v>1376</v>
      </c>
      <c r="Q190" s="16">
        <f>IF(CustomerHierarchyLevels[[#This Row],[HgLvCust.]]=0,CustomerHierarchyLevels[[#This Row],[Customer]],CustomerHierarchyLevels[[#This Row],[HgLvCust.]])</f>
        <v>6700</v>
      </c>
      <c r="R190" s="16">
        <f>IF(VLOOKUP(CustomerHierarchyLevels[[#This Row],[Level1]],CustomerHierarchyLevels[],7,FALSE)=0,CustomerHierarchyLevels[[#This Row],[Level1]],VLOOKUP(CustomerHierarchyLevels[[#This Row],[Level1]],CustomerHierarchyLevels[],7,FALSE))</f>
        <v>6700</v>
      </c>
      <c r="S190" s="16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191" spans="1:19" x14ac:dyDescent="0.25">
      <c r="A191">
        <v>6700</v>
      </c>
      <c r="B191" t="s">
        <v>9</v>
      </c>
      <c r="C191" t="s">
        <v>90</v>
      </c>
      <c r="D191">
        <v>0</v>
      </c>
      <c r="E191">
        <v>39010</v>
      </c>
      <c r="F191">
        <v>2958465</v>
      </c>
      <c r="K191">
        <v>0</v>
      </c>
      <c r="L191" t="s">
        <v>1195</v>
      </c>
      <c r="M191" t="s">
        <v>1195</v>
      </c>
      <c r="N191">
        <v>0</v>
      </c>
      <c r="O191" t="s">
        <v>91</v>
      </c>
      <c r="P191" t="s">
        <v>1377</v>
      </c>
      <c r="Q191" s="16">
        <f>IF(CustomerHierarchyLevels[[#This Row],[HgLvCust.]]=0,CustomerHierarchyLevels[[#This Row],[Customer]],CustomerHierarchyLevels[[#This Row],[HgLvCust.]])</f>
        <v>6700</v>
      </c>
      <c r="R191" s="16">
        <f>IF(VLOOKUP(CustomerHierarchyLevels[[#This Row],[Level1]],CustomerHierarchyLevels[],7,FALSE)=0,CustomerHierarchyLevels[[#This Row],[Level1]],VLOOKUP(CustomerHierarchyLevels[[#This Row],[Level1]],CustomerHierarchyLevels[],7,FALSE))</f>
        <v>6700</v>
      </c>
      <c r="S191" s="16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192" spans="1:19" x14ac:dyDescent="0.25">
      <c r="A192">
        <v>6532</v>
      </c>
      <c r="B192" t="s">
        <v>9</v>
      </c>
      <c r="C192" t="s">
        <v>90</v>
      </c>
      <c r="D192">
        <v>0</v>
      </c>
      <c r="E192">
        <v>39010</v>
      </c>
      <c r="F192">
        <v>2958465</v>
      </c>
      <c r="G192">
        <v>6705</v>
      </c>
      <c r="H192" t="s">
        <v>9</v>
      </c>
      <c r="I192" t="s">
        <v>90</v>
      </c>
      <c r="J192">
        <v>0</v>
      </c>
      <c r="K192">
        <v>0</v>
      </c>
      <c r="M192" t="s">
        <v>1195</v>
      </c>
      <c r="N192">
        <v>2</v>
      </c>
      <c r="O192" t="s">
        <v>91</v>
      </c>
      <c r="P192" t="s">
        <v>1378</v>
      </c>
      <c r="Q192" s="16">
        <f>IF(CustomerHierarchyLevels[[#This Row],[HgLvCust.]]=0,CustomerHierarchyLevels[[#This Row],[Customer]],CustomerHierarchyLevels[[#This Row],[HgLvCust.]])</f>
        <v>6705</v>
      </c>
      <c r="R192" s="16">
        <f>IF(VLOOKUP(CustomerHierarchyLevels[[#This Row],[Level1]],CustomerHierarchyLevels[],7,FALSE)=0,CustomerHierarchyLevels[[#This Row],[Level1]],VLOOKUP(CustomerHierarchyLevels[[#This Row],[Level1]],CustomerHierarchyLevels[],7,FALSE))</f>
        <v>6705</v>
      </c>
      <c r="S192" s="16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193" spans="1:19" x14ac:dyDescent="0.25">
      <c r="A193">
        <v>6705</v>
      </c>
      <c r="B193" t="s">
        <v>9</v>
      </c>
      <c r="C193" t="s">
        <v>90</v>
      </c>
      <c r="D193">
        <v>0</v>
      </c>
      <c r="E193">
        <v>39010</v>
      </c>
      <c r="F193">
        <v>2958465</v>
      </c>
      <c r="K193">
        <v>0</v>
      </c>
      <c r="L193" t="s">
        <v>1195</v>
      </c>
      <c r="M193" t="s">
        <v>1195</v>
      </c>
      <c r="N193">
        <v>0</v>
      </c>
      <c r="O193" t="s">
        <v>91</v>
      </c>
      <c r="P193" t="s">
        <v>1379</v>
      </c>
      <c r="Q193" s="16">
        <f>IF(CustomerHierarchyLevels[[#This Row],[HgLvCust.]]=0,CustomerHierarchyLevels[[#This Row],[Customer]],CustomerHierarchyLevels[[#This Row],[HgLvCust.]])</f>
        <v>6705</v>
      </c>
      <c r="R193" s="16">
        <f>IF(VLOOKUP(CustomerHierarchyLevels[[#This Row],[Level1]],CustomerHierarchyLevels[],7,FALSE)=0,CustomerHierarchyLevels[[#This Row],[Level1]],VLOOKUP(CustomerHierarchyLevels[[#This Row],[Level1]],CustomerHierarchyLevels[],7,FALSE))</f>
        <v>6705</v>
      </c>
      <c r="S193" s="16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194" spans="1:19" x14ac:dyDescent="0.25">
      <c r="A194">
        <v>6306</v>
      </c>
      <c r="B194" t="s">
        <v>9</v>
      </c>
      <c r="C194" t="s">
        <v>90</v>
      </c>
      <c r="D194">
        <v>0</v>
      </c>
      <c r="E194">
        <v>39010</v>
      </c>
      <c r="F194">
        <v>2958465</v>
      </c>
      <c r="G194">
        <v>6305</v>
      </c>
      <c r="H194" t="s">
        <v>9</v>
      </c>
      <c r="I194" t="s">
        <v>90</v>
      </c>
      <c r="J194">
        <v>0</v>
      </c>
      <c r="K194">
        <v>0</v>
      </c>
      <c r="L194" t="s">
        <v>1195</v>
      </c>
      <c r="M194" t="s">
        <v>1195</v>
      </c>
      <c r="N194">
        <v>2</v>
      </c>
      <c r="O194" t="s">
        <v>91</v>
      </c>
      <c r="P194" t="s">
        <v>1380</v>
      </c>
      <c r="Q194" s="16">
        <f>IF(CustomerHierarchyLevels[[#This Row],[HgLvCust.]]=0,CustomerHierarchyLevels[[#This Row],[Customer]],CustomerHierarchyLevels[[#This Row],[HgLvCust.]])</f>
        <v>6305</v>
      </c>
      <c r="R194" s="16">
        <f>IF(VLOOKUP(CustomerHierarchyLevels[[#This Row],[Level1]],CustomerHierarchyLevels[],7,FALSE)=0,CustomerHierarchyLevels[[#This Row],[Level1]],VLOOKUP(CustomerHierarchyLevels[[#This Row],[Level1]],CustomerHierarchyLevels[],7,FALSE))</f>
        <v>6305</v>
      </c>
      <c r="S194" s="16">
        <f>IF(VLOOKUP(CustomerHierarchyLevels[[#This Row],[Level2]],CustomerHierarchyLevels[],7,FALSE)=0,CustomerHierarchyLevels[[#This Row],[Level2]],VLOOKUP(CustomerHierarchyLevels[[#This Row],[Level2]],CustomerHierarchyLevels[],7,FALSE))</f>
        <v>6305</v>
      </c>
    </row>
    <row r="195" spans="1:19" x14ac:dyDescent="0.25">
      <c r="A195">
        <v>6305</v>
      </c>
      <c r="B195" t="s">
        <v>9</v>
      </c>
      <c r="C195" t="s">
        <v>90</v>
      </c>
      <c r="D195">
        <v>0</v>
      </c>
      <c r="E195">
        <v>39010</v>
      </c>
      <c r="F195">
        <v>2958465</v>
      </c>
      <c r="K195">
        <v>0</v>
      </c>
      <c r="L195" t="s">
        <v>1195</v>
      </c>
      <c r="M195" t="s">
        <v>1195</v>
      </c>
      <c r="N195">
        <v>0</v>
      </c>
      <c r="O195" t="s">
        <v>91</v>
      </c>
      <c r="P195" t="s">
        <v>1381</v>
      </c>
      <c r="Q195" s="16">
        <f>IF(CustomerHierarchyLevels[[#This Row],[HgLvCust.]]=0,CustomerHierarchyLevels[[#This Row],[Customer]],CustomerHierarchyLevels[[#This Row],[HgLvCust.]])</f>
        <v>6305</v>
      </c>
      <c r="R195" s="16">
        <f>IF(VLOOKUP(CustomerHierarchyLevels[[#This Row],[Level1]],CustomerHierarchyLevels[],7,FALSE)=0,CustomerHierarchyLevels[[#This Row],[Level1]],VLOOKUP(CustomerHierarchyLevels[[#This Row],[Level1]],CustomerHierarchyLevels[],7,FALSE))</f>
        <v>6305</v>
      </c>
      <c r="S195" s="16">
        <f>IF(VLOOKUP(CustomerHierarchyLevels[[#This Row],[Level2]],CustomerHierarchyLevels[],7,FALSE)=0,CustomerHierarchyLevels[[#This Row],[Level2]],VLOOKUP(CustomerHierarchyLevels[[#This Row],[Level2]],CustomerHierarchyLevels[],7,FALSE))</f>
        <v>6305</v>
      </c>
    </row>
    <row r="196" spans="1:19" x14ac:dyDescent="0.25">
      <c r="A196">
        <v>6310</v>
      </c>
      <c r="B196" t="s">
        <v>9</v>
      </c>
      <c r="C196" t="s">
        <v>90</v>
      </c>
      <c r="D196">
        <v>0</v>
      </c>
      <c r="E196">
        <v>39010</v>
      </c>
      <c r="F196">
        <v>2958465</v>
      </c>
      <c r="G196">
        <v>6309</v>
      </c>
      <c r="H196" t="s">
        <v>9</v>
      </c>
      <c r="I196" t="s">
        <v>90</v>
      </c>
      <c r="J196">
        <v>0</v>
      </c>
      <c r="K196">
        <v>0</v>
      </c>
      <c r="L196" t="s">
        <v>1195</v>
      </c>
      <c r="M196" t="s">
        <v>1195</v>
      </c>
      <c r="N196">
        <v>2</v>
      </c>
      <c r="O196" t="s">
        <v>91</v>
      </c>
      <c r="P196" t="s">
        <v>1382</v>
      </c>
      <c r="Q196" s="16">
        <f>IF(CustomerHierarchyLevels[[#This Row],[HgLvCust.]]=0,CustomerHierarchyLevels[[#This Row],[Customer]],CustomerHierarchyLevels[[#This Row],[HgLvCust.]])</f>
        <v>6309</v>
      </c>
      <c r="R196" s="16">
        <f>IF(VLOOKUP(CustomerHierarchyLevels[[#This Row],[Level1]],CustomerHierarchyLevels[],7,FALSE)=0,CustomerHierarchyLevels[[#This Row],[Level1]],VLOOKUP(CustomerHierarchyLevels[[#This Row],[Level1]],CustomerHierarchyLevels[],7,FALSE))</f>
        <v>6309</v>
      </c>
      <c r="S196" s="16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197" spans="1:19" x14ac:dyDescent="0.25">
      <c r="A197">
        <v>6309</v>
      </c>
      <c r="B197" t="s">
        <v>9</v>
      </c>
      <c r="C197" t="s">
        <v>90</v>
      </c>
      <c r="D197">
        <v>0</v>
      </c>
      <c r="E197">
        <v>39010</v>
      </c>
      <c r="F197">
        <v>2958465</v>
      </c>
      <c r="K197">
        <v>0</v>
      </c>
      <c r="L197" t="s">
        <v>1195</v>
      </c>
      <c r="M197" t="s">
        <v>1195</v>
      </c>
      <c r="N197">
        <v>1</v>
      </c>
      <c r="O197" t="s">
        <v>91</v>
      </c>
      <c r="P197" t="s">
        <v>1383</v>
      </c>
      <c r="Q197" s="16">
        <f>IF(CustomerHierarchyLevels[[#This Row],[HgLvCust.]]=0,CustomerHierarchyLevels[[#This Row],[Customer]],CustomerHierarchyLevels[[#This Row],[HgLvCust.]])</f>
        <v>6309</v>
      </c>
      <c r="R197" s="16">
        <f>IF(VLOOKUP(CustomerHierarchyLevels[[#This Row],[Level1]],CustomerHierarchyLevels[],7,FALSE)=0,CustomerHierarchyLevels[[#This Row],[Level1]],VLOOKUP(CustomerHierarchyLevels[[#This Row],[Level1]],CustomerHierarchyLevels[],7,FALSE))</f>
        <v>6309</v>
      </c>
      <c r="S197" s="16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198" spans="1:19" x14ac:dyDescent="0.25">
      <c r="A198">
        <v>6314</v>
      </c>
      <c r="B198" t="s">
        <v>9</v>
      </c>
      <c r="C198" t="s">
        <v>90</v>
      </c>
      <c r="D198">
        <v>0</v>
      </c>
      <c r="E198">
        <v>39010</v>
      </c>
      <c r="F198">
        <v>2958465</v>
      </c>
      <c r="G198">
        <v>6313</v>
      </c>
      <c r="H198" t="s">
        <v>9</v>
      </c>
      <c r="I198" t="s">
        <v>90</v>
      </c>
      <c r="J198">
        <v>0</v>
      </c>
      <c r="K198">
        <v>0</v>
      </c>
      <c r="L198" t="s">
        <v>1195</v>
      </c>
      <c r="M198" t="s">
        <v>1195</v>
      </c>
      <c r="N198">
        <v>2</v>
      </c>
      <c r="O198" t="s">
        <v>91</v>
      </c>
      <c r="P198" t="s">
        <v>1384</v>
      </c>
      <c r="Q198" s="16">
        <f>IF(CustomerHierarchyLevels[[#This Row],[HgLvCust.]]=0,CustomerHierarchyLevels[[#This Row],[Customer]],CustomerHierarchyLevels[[#This Row],[HgLvCust.]])</f>
        <v>6313</v>
      </c>
      <c r="R198" s="16">
        <f>IF(VLOOKUP(CustomerHierarchyLevels[[#This Row],[Level1]],CustomerHierarchyLevels[],7,FALSE)=0,CustomerHierarchyLevels[[#This Row],[Level1]],VLOOKUP(CustomerHierarchyLevels[[#This Row],[Level1]],CustomerHierarchyLevels[],7,FALSE))</f>
        <v>6313</v>
      </c>
      <c r="S198" s="16">
        <f>IF(VLOOKUP(CustomerHierarchyLevels[[#This Row],[Level2]],CustomerHierarchyLevels[],7,FALSE)=0,CustomerHierarchyLevels[[#This Row],[Level2]],VLOOKUP(CustomerHierarchyLevels[[#This Row],[Level2]],CustomerHierarchyLevels[],7,FALSE))</f>
        <v>6313</v>
      </c>
    </row>
    <row r="199" spans="1:19" x14ac:dyDescent="0.25">
      <c r="A199">
        <v>6313</v>
      </c>
      <c r="B199" t="s">
        <v>9</v>
      </c>
      <c r="C199" t="s">
        <v>90</v>
      </c>
      <c r="D199">
        <v>0</v>
      </c>
      <c r="E199">
        <v>39010</v>
      </c>
      <c r="F199">
        <v>2958465</v>
      </c>
      <c r="K199">
        <v>0</v>
      </c>
      <c r="L199" t="s">
        <v>1195</v>
      </c>
      <c r="M199" t="s">
        <v>1195</v>
      </c>
      <c r="N199">
        <v>0</v>
      </c>
      <c r="O199" t="s">
        <v>91</v>
      </c>
      <c r="P199" t="s">
        <v>1385</v>
      </c>
      <c r="Q199" s="16">
        <f>IF(CustomerHierarchyLevels[[#This Row],[HgLvCust.]]=0,CustomerHierarchyLevels[[#This Row],[Customer]],CustomerHierarchyLevels[[#This Row],[HgLvCust.]])</f>
        <v>6313</v>
      </c>
      <c r="R199" s="16">
        <f>IF(VLOOKUP(CustomerHierarchyLevels[[#This Row],[Level1]],CustomerHierarchyLevels[],7,FALSE)=0,CustomerHierarchyLevels[[#This Row],[Level1]],VLOOKUP(CustomerHierarchyLevels[[#This Row],[Level1]],CustomerHierarchyLevels[],7,FALSE))</f>
        <v>6313</v>
      </c>
      <c r="S199" s="16">
        <f>IF(VLOOKUP(CustomerHierarchyLevels[[#This Row],[Level2]],CustomerHierarchyLevels[],7,FALSE)=0,CustomerHierarchyLevels[[#This Row],[Level2]],VLOOKUP(CustomerHierarchyLevels[[#This Row],[Level2]],CustomerHierarchyLevels[],7,FALSE))</f>
        <v>6313</v>
      </c>
    </row>
    <row r="200" spans="1:19" x14ac:dyDescent="0.25">
      <c r="A200">
        <v>2102</v>
      </c>
      <c r="B200" t="s">
        <v>9</v>
      </c>
      <c r="C200" t="s">
        <v>90</v>
      </c>
      <c r="D200">
        <v>0</v>
      </c>
      <c r="E200">
        <v>39010</v>
      </c>
      <c r="F200">
        <v>2958465</v>
      </c>
      <c r="G200">
        <v>2101</v>
      </c>
      <c r="H200" t="s">
        <v>9</v>
      </c>
      <c r="I200" t="s">
        <v>90</v>
      </c>
      <c r="J200">
        <v>0</v>
      </c>
      <c r="K200">
        <v>0</v>
      </c>
      <c r="M200" t="s">
        <v>1195</v>
      </c>
      <c r="N200">
        <v>2</v>
      </c>
      <c r="O200" t="s">
        <v>91</v>
      </c>
      <c r="P200" t="s">
        <v>1386</v>
      </c>
      <c r="Q200" s="16">
        <f>IF(CustomerHierarchyLevels[[#This Row],[HgLvCust.]]=0,CustomerHierarchyLevels[[#This Row],[Customer]],CustomerHierarchyLevels[[#This Row],[HgLvCust.]])</f>
        <v>2101</v>
      </c>
      <c r="R200" s="16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200" s="16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01" spans="1:19" x14ac:dyDescent="0.25">
      <c r="A201">
        <v>2110</v>
      </c>
      <c r="B201" t="s">
        <v>9</v>
      </c>
      <c r="C201" t="s">
        <v>90</v>
      </c>
      <c r="D201">
        <v>0</v>
      </c>
      <c r="E201">
        <v>39010</v>
      </c>
      <c r="F201">
        <v>2958465</v>
      </c>
      <c r="G201">
        <v>2109</v>
      </c>
      <c r="H201" t="s">
        <v>9</v>
      </c>
      <c r="I201" t="s">
        <v>90</v>
      </c>
      <c r="J201">
        <v>0</v>
      </c>
      <c r="K201">
        <v>0</v>
      </c>
      <c r="M201" t="s">
        <v>1195</v>
      </c>
      <c r="N201">
        <v>2</v>
      </c>
      <c r="O201" t="s">
        <v>91</v>
      </c>
      <c r="P201" t="s">
        <v>1387</v>
      </c>
      <c r="Q201" s="16">
        <f>IF(CustomerHierarchyLevels[[#This Row],[HgLvCust.]]=0,CustomerHierarchyLevels[[#This Row],[Customer]],CustomerHierarchyLevels[[#This Row],[HgLvCust.]])</f>
        <v>2109</v>
      </c>
      <c r="R201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01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02" spans="1:19" x14ac:dyDescent="0.25">
      <c r="A202">
        <v>6323</v>
      </c>
      <c r="B202" t="s">
        <v>9</v>
      </c>
      <c r="C202" t="s">
        <v>90</v>
      </c>
      <c r="D202">
        <v>0</v>
      </c>
      <c r="E202">
        <v>39010</v>
      </c>
      <c r="F202">
        <v>2958465</v>
      </c>
      <c r="G202">
        <v>2109</v>
      </c>
      <c r="H202" t="s">
        <v>9</v>
      </c>
      <c r="I202" t="s">
        <v>90</v>
      </c>
      <c r="J202">
        <v>0</v>
      </c>
      <c r="K202">
        <v>0</v>
      </c>
      <c r="L202" t="s">
        <v>1195</v>
      </c>
      <c r="M202" t="s">
        <v>1195</v>
      </c>
      <c r="N202">
        <v>2</v>
      </c>
      <c r="O202" t="s">
        <v>91</v>
      </c>
      <c r="P202" t="s">
        <v>1388</v>
      </c>
      <c r="Q202" s="16">
        <f>IF(CustomerHierarchyLevels[[#This Row],[HgLvCust.]]=0,CustomerHierarchyLevels[[#This Row],[Customer]],CustomerHierarchyLevels[[#This Row],[HgLvCust.]])</f>
        <v>2109</v>
      </c>
      <c r="R202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02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03" spans="1:19" x14ac:dyDescent="0.25">
      <c r="A203">
        <v>2126</v>
      </c>
      <c r="B203" t="s">
        <v>9</v>
      </c>
      <c r="C203" t="s">
        <v>90</v>
      </c>
      <c r="D203">
        <v>0</v>
      </c>
      <c r="E203">
        <v>39010</v>
      </c>
      <c r="F203">
        <v>2958465</v>
      </c>
      <c r="G203">
        <v>2125</v>
      </c>
      <c r="H203" t="s">
        <v>9</v>
      </c>
      <c r="I203" t="s">
        <v>90</v>
      </c>
      <c r="J203">
        <v>0</v>
      </c>
      <c r="K203">
        <v>0</v>
      </c>
      <c r="M203" t="s">
        <v>1195</v>
      </c>
      <c r="N203">
        <v>2</v>
      </c>
      <c r="O203" t="s">
        <v>91</v>
      </c>
      <c r="P203" t="s">
        <v>1389</v>
      </c>
      <c r="Q203" s="16">
        <f>IF(CustomerHierarchyLevels[[#This Row],[HgLvCust.]]=0,CustomerHierarchyLevels[[#This Row],[Customer]],CustomerHierarchyLevels[[#This Row],[HgLvCust.]])</f>
        <v>2125</v>
      </c>
      <c r="R203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03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04" spans="1:19" x14ac:dyDescent="0.25">
      <c r="A204">
        <v>2158</v>
      </c>
      <c r="B204" t="s">
        <v>9</v>
      </c>
      <c r="C204" t="s">
        <v>90</v>
      </c>
      <c r="D204">
        <v>0</v>
      </c>
      <c r="E204">
        <v>39010</v>
      </c>
      <c r="F204">
        <v>2958465</v>
      </c>
      <c r="G204">
        <v>2157</v>
      </c>
      <c r="H204" t="s">
        <v>9</v>
      </c>
      <c r="I204" t="s">
        <v>90</v>
      </c>
      <c r="J204">
        <v>0</v>
      </c>
      <c r="K204">
        <v>0</v>
      </c>
      <c r="M204" t="s">
        <v>1195</v>
      </c>
      <c r="N204">
        <v>2</v>
      </c>
      <c r="O204" t="s">
        <v>91</v>
      </c>
      <c r="P204" t="s">
        <v>1390</v>
      </c>
      <c r="Q204" s="16">
        <f>IF(CustomerHierarchyLevels[[#This Row],[HgLvCust.]]=0,CustomerHierarchyLevels[[#This Row],[Customer]],CustomerHierarchyLevels[[#This Row],[HgLvCust.]])</f>
        <v>2157</v>
      </c>
      <c r="R204" s="16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204" s="16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05" spans="1:19" x14ac:dyDescent="0.25">
      <c r="A205">
        <v>6334</v>
      </c>
      <c r="B205" t="s">
        <v>9</v>
      </c>
      <c r="C205" t="s">
        <v>90</v>
      </c>
      <c r="D205">
        <v>0</v>
      </c>
      <c r="E205">
        <v>39010</v>
      </c>
      <c r="F205">
        <v>2958465</v>
      </c>
      <c r="G205">
        <v>6333</v>
      </c>
      <c r="H205" t="s">
        <v>9</v>
      </c>
      <c r="I205" t="s">
        <v>90</v>
      </c>
      <c r="J205">
        <v>0</v>
      </c>
      <c r="K205">
        <v>0</v>
      </c>
      <c r="M205" t="s">
        <v>1195</v>
      </c>
      <c r="N205">
        <v>2</v>
      </c>
      <c r="O205" t="s">
        <v>91</v>
      </c>
      <c r="P205" t="s">
        <v>1391</v>
      </c>
      <c r="Q205" s="16">
        <f>IF(CustomerHierarchyLevels[[#This Row],[HgLvCust.]]=0,CustomerHierarchyLevels[[#This Row],[Customer]],CustomerHierarchyLevels[[#This Row],[HgLvCust.]])</f>
        <v>6333</v>
      </c>
      <c r="R205" s="16">
        <f>IF(VLOOKUP(CustomerHierarchyLevels[[#This Row],[Level1]],CustomerHierarchyLevels[],7,FALSE)=0,CustomerHierarchyLevels[[#This Row],[Level1]],VLOOKUP(CustomerHierarchyLevels[[#This Row],[Level1]],CustomerHierarchyLevels[],7,FALSE))</f>
        <v>6333</v>
      </c>
      <c r="S205" s="16">
        <f>IF(VLOOKUP(CustomerHierarchyLevels[[#This Row],[Level2]],CustomerHierarchyLevels[],7,FALSE)=0,CustomerHierarchyLevels[[#This Row],[Level2]],VLOOKUP(CustomerHierarchyLevels[[#This Row],[Level2]],CustomerHierarchyLevels[],7,FALSE))</f>
        <v>6333</v>
      </c>
    </row>
    <row r="206" spans="1:19" x14ac:dyDescent="0.25">
      <c r="A206">
        <v>6333</v>
      </c>
      <c r="B206" t="s">
        <v>9</v>
      </c>
      <c r="C206" t="s">
        <v>90</v>
      </c>
      <c r="D206">
        <v>0</v>
      </c>
      <c r="E206">
        <v>39010</v>
      </c>
      <c r="F206">
        <v>2958465</v>
      </c>
      <c r="K206">
        <v>0</v>
      </c>
      <c r="L206" t="s">
        <v>1195</v>
      </c>
      <c r="M206" t="s">
        <v>1195</v>
      </c>
      <c r="N206">
        <v>0</v>
      </c>
      <c r="O206" t="s">
        <v>91</v>
      </c>
      <c r="P206" t="s">
        <v>1392</v>
      </c>
      <c r="Q206" s="16">
        <f>IF(CustomerHierarchyLevels[[#This Row],[HgLvCust.]]=0,CustomerHierarchyLevels[[#This Row],[Customer]],CustomerHierarchyLevels[[#This Row],[HgLvCust.]])</f>
        <v>6333</v>
      </c>
      <c r="R206" s="16">
        <f>IF(VLOOKUP(CustomerHierarchyLevels[[#This Row],[Level1]],CustomerHierarchyLevels[],7,FALSE)=0,CustomerHierarchyLevels[[#This Row],[Level1]],VLOOKUP(CustomerHierarchyLevels[[#This Row],[Level1]],CustomerHierarchyLevels[],7,FALSE))</f>
        <v>6333</v>
      </c>
      <c r="S206" s="16">
        <f>IF(VLOOKUP(CustomerHierarchyLevels[[#This Row],[Level2]],CustomerHierarchyLevels[],7,FALSE)=0,CustomerHierarchyLevels[[#This Row],[Level2]],VLOOKUP(CustomerHierarchyLevels[[#This Row],[Level2]],CustomerHierarchyLevels[],7,FALSE))</f>
        <v>6333</v>
      </c>
    </row>
    <row r="207" spans="1:19" x14ac:dyDescent="0.25">
      <c r="A207">
        <v>6702</v>
      </c>
      <c r="B207" t="s">
        <v>9</v>
      </c>
      <c r="C207" t="s">
        <v>90</v>
      </c>
      <c r="D207">
        <v>0</v>
      </c>
      <c r="E207">
        <v>39010</v>
      </c>
      <c r="F207">
        <v>2958465</v>
      </c>
      <c r="G207">
        <v>6701</v>
      </c>
      <c r="H207" t="s">
        <v>9</v>
      </c>
      <c r="I207" t="s">
        <v>90</v>
      </c>
      <c r="J207">
        <v>0</v>
      </c>
      <c r="K207">
        <v>0</v>
      </c>
      <c r="L207" t="s">
        <v>1195</v>
      </c>
      <c r="M207" t="s">
        <v>1195</v>
      </c>
      <c r="N207">
        <v>0</v>
      </c>
      <c r="O207" t="s">
        <v>91</v>
      </c>
      <c r="P207" t="s">
        <v>1393</v>
      </c>
      <c r="Q207" s="16">
        <f>IF(CustomerHierarchyLevels[[#This Row],[HgLvCust.]]=0,CustomerHierarchyLevels[[#This Row],[Customer]],CustomerHierarchyLevels[[#This Row],[HgLvCust.]])</f>
        <v>6701</v>
      </c>
      <c r="R207" s="16">
        <f>IF(VLOOKUP(CustomerHierarchyLevels[[#This Row],[Level1]],CustomerHierarchyLevels[],7,FALSE)=0,CustomerHierarchyLevels[[#This Row],[Level1]],VLOOKUP(CustomerHierarchyLevels[[#This Row],[Level1]],CustomerHierarchyLevels[],7,FALSE))</f>
        <v>6700</v>
      </c>
      <c r="S207" s="16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208" spans="1:19" x14ac:dyDescent="0.25">
      <c r="A208">
        <v>6704</v>
      </c>
      <c r="B208" t="s">
        <v>9</v>
      </c>
      <c r="C208" t="s">
        <v>90</v>
      </c>
      <c r="D208">
        <v>0</v>
      </c>
      <c r="E208">
        <v>39010</v>
      </c>
      <c r="F208">
        <v>2958465</v>
      </c>
      <c r="G208">
        <v>6701</v>
      </c>
      <c r="H208" t="s">
        <v>9</v>
      </c>
      <c r="I208" t="s">
        <v>90</v>
      </c>
      <c r="J208">
        <v>0</v>
      </c>
      <c r="K208">
        <v>0</v>
      </c>
      <c r="L208" t="s">
        <v>1195</v>
      </c>
      <c r="M208" t="s">
        <v>1195</v>
      </c>
      <c r="N208">
        <v>3</v>
      </c>
      <c r="O208" t="s">
        <v>91</v>
      </c>
      <c r="P208" t="s">
        <v>1394</v>
      </c>
      <c r="Q208" s="16">
        <f>IF(CustomerHierarchyLevels[[#This Row],[HgLvCust.]]=0,CustomerHierarchyLevels[[#This Row],[Customer]],CustomerHierarchyLevels[[#This Row],[HgLvCust.]])</f>
        <v>6701</v>
      </c>
      <c r="R208" s="16">
        <f>IF(VLOOKUP(CustomerHierarchyLevels[[#This Row],[Level1]],CustomerHierarchyLevels[],7,FALSE)=0,CustomerHierarchyLevels[[#This Row],[Level1]],VLOOKUP(CustomerHierarchyLevels[[#This Row],[Level1]],CustomerHierarchyLevels[],7,FALSE))</f>
        <v>6700</v>
      </c>
      <c r="S208" s="16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209" spans="1:19" x14ac:dyDescent="0.25">
      <c r="A209">
        <v>6533</v>
      </c>
      <c r="B209" t="s">
        <v>9</v>
      </c>
      <c r="C209" t="s">
        <v>90</v>
      </c>
      <c r="D209">
        <v>0</v>
      </c>
      <c r="E209">
        <v>39010</v>
      </c>
      <c r="F209">
        <v>2958465</v>
      </c>
      <c r="G209">
        <v>6532</v>
      </c>
      <c r="H209" t="s">
        <v>9</v>
      </c>
      <c r="I209" t="s">
        <v>90</v>
      </c>
      <c r="J209">
        <v>0</v>
      </c>
      <c r="K209">
        <v>0</v>
      </c>
      <c r="L209" t="s">
        <v>1195</v>
      </c>
      <c r="M209" t="s">
        <v>1195</v>
      </c>
      <c r="N209">
        <v>0</v>
      </c>
      <c r="O209" t="s">
        <v>91</v>
      </c>
      <c r="P209" t="s">
        <v>1395</v>
      </c>
      <c r="Q209" s="16">
        <f>IF(CustomerHierarchyLevels[[#This Row],[HgLvCust.]]=0,CustomerHierarchyLevels[[#This Row],[Customer]],CustomerHierarchyLevels[[#This Row],[HgLvCust.]])</f>
        <v>6532</v>
      </c>
      <c r="R209" s="16">
        <f>IF(VLOOKUP(CustomerHierarchyLevels[[#This Row],[Level1]],CustomerHierarchyLevels[],7,FALSE)=0,CustomerHierarchyLevels[[#This Row],[Level1]],VLOOKUP(CustomerHierarchyLevels[[#This Row],[Level1]],CustomerHierarchyLevels[],7,FALSE))</f>
        <v>6705</v>
      </c>
      <c r="S209" s="16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210" spans="1:19" x14ac:dyDescent="0.25">
      <c r="A210">
        <v>6534</v>
      </c>
      <c r="B210" t="s">
        <v>9</v>
      </c>
      <c r="C210" t="s">
        <v>90</v>
      </c>
      <c r="D210">
        <v>0</v>
      </c>
      <c r="E210">
        <v>39010</v>
      </c>
      <c r="F210">
        <v>2958465</v>
      </c>
      <c r="G210">
        <v>6532</v>
      </c>
      <c r="H210" t="s">
        <v>9</v>
      </c>
      <c r="I210" t="s">
        <v>90</v>
      </c>
      <c r="J210">
        <v>0</v>
      </c>
      <c r="K210">
        <v>0</v>
      </c>
      <c r="L210" t="s">
        <v>1195</v>
      </c>
      <c r="M210" t="s">
        <v>1195</v>
      </c>
      <c r="N210">
        <v>0</v>
      </c>
      <c r="O210" t="s">
        <v>91</v>
      </c>
      <c r="P210" t="s">
        <v>1396</v>
      </c>
      <c r="Q210" s="16">
        <f>IF(CustomerHierarchyLevels[[#This Row],[HgLvCust.]]=0,CustomerHierarchyLevels[[#This Row],[Customer]],CustomerHierarchyLevels[[#This Row],[HgLvCust.]])</f>
        <v>6532</v>
      </c>
      <c r="R210" s="16">
        <f>IF(VLOOKUP(CustomerHierarchyLevels[[#This Row],[Level1]],CustomerHierarchyLevels[],7,FALSE)=0,CustomerHierarchyLevels[[#This Row],[Level1]],VLOOKUP(CustomerHierarchyLevels[[#This Row],[Level1]],CustomerHierarchyLevels[],7,FALSE))</f>
        <v>6705</v>
      </c>
      <c r="S210" s="16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211" spans="1:19" x14ac:dyDescent="0.25">
      <c r="A211">
        <v>6307</v>
      </c>
      <c r="B211" t="s">
        <v>9</v>
      </c>
      <c r="C211" t="s">
        <v>90</v>
      </c>
      <c r="D211">
        <v>0</v>
      </c>
      <c r="E211">
        <v>39010</v>
      </c>
      <c r="F211">
        <v>2958465</v>
      </c>
      <c r="G211">
        <v>6306</v>
      </c>
      <c r="H211" t="s">
        <v>9</v>
      </c>
      <c r="I211" t="s">
        <v>90</v>
      </c>
      <c r="J211">
        <v>0</v>
      </c>
      <c r="K211">
        <v>0</v>
      </c>
      <c r="L211" t="s">
        <v>1195</v>
      </c>
      <c r="M211" t="s">
        <v>1195</v>
      </c>
      <c r="N211">
        <v>0</v>
      </c>
      <c r="O211" t="s">
        <v>91</v>
      </c>
      <c r="P211" t="s">
        <v>1397</v>
      </c>
      <c r="Q211" s="16">
        <f>IF(CustomerHierarchyLevels[[#This Row],[HgLvCust.]]=0,CustomerHierarchyLevels[[#This Row],[Customer]],CustomerHierarchyLevels[[#This Row],[HgLvCust.]])</f>
        <v>6306</v>
      </c>
      <c r="R211" s="16">
        <f>IF(VLOOKUP(CustomerHierarchyLevels[[#This Row],[Level1]],CustomerHierarchyLevels[],7,FALSE)=0,CustomerHierarchyLevels[[#This Row],[Level1]],VLOOKUP(CustomerHierarchyLevels[[#This Row],[Level1]],CustomerHierarchyLevels[],7,FALSE))</f>
        <v>6305</v>
      </c>
      <c r="S211" s="16">
        <f>IF(VLOOKUP(CustomerHierarchyLevels[[#This Row],[Level2]],CustomerHierarchyLevels[],7,FALSE)=0,CustomerHierarchyLevels[[#This Row],[Level2]],VLOOKUP(CustomerHierarchyLevels[[#This Row],[Level2]],CustomerHierarchyLevels[],7,FALSE))</f>
        <v>6305</v>
      </c>
    </row>
    <row r="212" spans="1:19" x14ac:dyDescent="0.25">
      <c r="A212">
        <v>6308</v>
      </c>
      <c r="B212" t="s">
        <v>9</v>
      </c>
      <c r="C212" t="s">
        <v>90</v>
      </c>
      <c r="D212">
        <v>0</v>
      </c>
      <c r="E212">
        <v>39010</v>
      </c>
      <c r="F212">
        <v>2958465</v>
      </c>
      <c r="G212">
        <v>6306</v>
      </c>
      <c r="H212" t="s">
        <v>9</v>
      </c>
      <c r="I212" t="s">
        <v>90</v>
      </c>
      <c r="J212">
        <v>0</v>
      </c>
      <c r="K212">
        <v>0</v>
      </c>
      <c r="L212" t="s">
        <v>1195</v>
      </c>
      <c r="M212" t="s">
        <v>1195</v>
      </c>
      <c r="N212">
        <v>0</v>
      </c>
      <c r="O212" t="s">
        <v>91</v>
      </c>
      <c r="P212" t="s">
        <v>1398</v>
      </c>
      <c r="Q212" s="16">
        <f>IF(CustomerHierarchyLevels[[#This Row],[HgLvCust.]]=0,CustomerHierarchyLevels[[#This Row],[Customer]],CustomerHierarchyLevels[[#This Row],[HgLvCust.]])</f>
        <v>6306</v>
      </c>
      <c r="R212" s="16">
        <f>IF(VLOOKUP(CustomerHierarchyLevels[[#This Row],[Level1]],CustomerHierarchyLevels[],7,FALSE)=0,CustomerHierarchyLevels[[#This Row],[Level1]],VLOOKUP(CustomerHierarchyLevels[[#This Row],[Level1]],CustomerHierarchyLevels[],7,FALSE))</f>
        <v>6305</v>
      </c>
      <c r="S212" s="16">
        <f>IF(VLOOKUP(CustomerHierarchyLevels[[#This Row],[Level2]],CustomerHierarchyLevels[],7,FALSE)=0,CustomerHierarchyLevels[[#This Row],[Level2]],VLOOKUP(CustomerHierarchyLevels[[#This Row],[Level2]],CustomerHierarchyLevels[],7,FALSE))</f>
        <v>6305</v>
      </c>
    </row>
    <row r="213" spans="1:19" x14ac:dyDescent="0.25">
      <c r="A213">
        <v>6311</v>
      </c>
      <c r="B213" t="s">
        <v>9</v>
      </c>
      <c r="C213" t="s">
        <v>90</v>
      </c>
      <c r="D213">
        <v>0</v>
      </c>
      <c r="E213">
        <v>39010</v>
      </c>
      <c r="F213">
        <v>2958465</v>
      </c>
      <c r="G213">
        <v>6310</v>
      </c>
      <c r="H213" t="s">
        <v>9</v>
      </c>
      <c r="I213" t="s">
        <v>90</v>
      </c>
      <c r="J213">
        <v>0</v>
      </c>
      <c r="K213">
        <v>0</v>
      </c>
      <c r="L213" t="s">
        <v>1195</v>
      </c>
      <c r="M213" t="s">
        <v>1195</v>
      </c>
      <c r="N213">
        <v>3</v>
      </c>
      <c r="O213" t="s">
        <v>91</v>
      </c>
      <c r="P213" t="s">
        <v>1399</v>
      </c>
      <c r="Q213" s="16">
        <f>IF(CustomerHierarchyLevels[[#This Row],[HgLvCust.]]=0,CustomerHierarchyLevels[[#This Row],[Customer]],CustomerHierarchyLevels[[#This Row],[HgLvCust.]])</f>
        <v>6310</v>
      </c>
      <c r="R213" s="16">
        <f>IF(VLOOKUP(CustomerHierarchyLevels[[#This Row],[Level1]],CustomerHierarchyLevels[],7,FALSE)=0,CustomerHierarchyLevels[[#This Row],[Level1]],VLOOKUP(CustomerHierarchyLevels[[#This Row],[Level1]],CustomerHierarchyLevels[],7,FALSE))</f>
        <v>6309</v>
      </c>
      <c r="S213" s="16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214" spans="1:19" x14ac:dyDescent="0.25">
      <c r="A214">
        <v>6312</v>
      </c>
      <c r="B214" t="s">
        <v>9</v>
      </c>
      <c r="C214" t="s">
        <v>90</v>
      </c>
      <c r="D214">
        <v>0</v>
      </c>
      <c r="E214">
        <v>39010</v>
      </c>
      <c r="F214">
        <v>2958465</v>
      </c>
      <c r="G214">
        <v>6310</v>
      </c>
      <c r="H214" t="s">
        <v>9</v>
      </c>
      <c r="I214" t="s">
        <v>90</v>
      </c>
      <c r="J214">
        <v>0</v>
      </c>
      <c r="K214">
        <v>0</v>
      </c>
      <c r="L214" t="s">
        <v>1195</v>
      </c>
      <c r="M214" t="s">
        <v>1195</v>
      </c>
      <c r="N214">
        <v>3</v>
      </c>
      <c r="O214" t="s">
        <v>91</v>
      </c>
      <c r="P214" t="s">
        <v>1400</v>
      </c>
      <c r="Q214" s="16">
        <f>IF(CustomerHierarchyLevels[[#This Row],[HgLvCust.]]=0,CustomerHierarchyLevels[[#This Row],[Customer]],CustomerHierarchyLevels[[#This Row],[HgLvCust.]])</f>
        <v>6310</v>
      </c>
      <c r="R214" s="16">
        <f>IF(VLOOKUP(CustomerHierarchyLevels[[#This Row],[Level1]],CustomerHierarchyLevels[],7,FALSE)=0,CustomerHierarchyLevels[[#This Row],[Level1]],VLOOKUP(CustomerHierarchyLevels[[#This Row],[Level1]],CustomerHierarchyLevels[],7,FALSE))</f>
        <v>6309</v>
      </c>
      <c r="S214" s="16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215" spans="1:19" x14ac:dyDescent="0.25">
      <c r="A215">
        <v>6315</v>
      </c>
      <c r="B215" t="s">
        <v>9</v>
      </c>
      <c r="C215" t="s">
        <v>90</v>
      </c>
      <c r="D215">
        <v>0</v>
      </c>
      <c r="E215">
        <v>39010</v>
      </c>
      <c r="F215">
        <v>2958465</v>
      </c>
      <c r="G215">
        <v>6314</v>
      </c>
      <c r="H215" t="s">
        <v>9</v>
      </c>
      <c r="I215" t="s">
        <v>90</v>
      </c>
      <c r="J215">
        <v>0</v>
      </c>
      <c r="K215">
        <v>0</v>
      </c>
      <c r="L215" t="s">
        <v>1195</v>
      </c>
      <c r="M215" t="s">
        <v>1195</v>
      </c>
      <c r="N215">
        <v>0</v>
      </c>
      <c r="O215" t="s">
        <v>91</v>
      </c>
      <c r="P215" t="s">
        <v>1401</v>
      </c>
      <c r="Q215" s="16">
        <f>IF(CustomerHierarchyLevels[[#This Row],[HgLvCust.]]=0,CustomerHierarchyLevels[[#This Row],[Customer]],CustomerHierarchyLevels[[#This Row],[HgLvCust.]])</f>
        <v>6314</v>
      </c>
      <c r="R215" s="16">
        <f>IF(VLOOKUP(CustomerHierarchyLevels[[#This Row],[Level1]],CustomerHierarchyLevels[],7,FALSE)=0,CustomerHierarchyLevels[[#This Row],[Level1]],VLOOKUP(CustomerHierarchyLevels[[#This Row],[Level1]],CustomerHierarchyLevels[],7,FALSE))</f>
        <v>6313</v>
      </c>
      <c r="S215" s="16">
        <f>IF(VLOOKUP(CustomerHierarchyLevels[[#This Row],[Level2]],CustomerHierarchyLevels[],7,FALSE)=0,CustomerHierarchyLevels[[#This Row],[Level2]],VLOOKUP(CustomerHierarchyLevels[[#This Row],[Level2]],CustomerHierarchyLevels[],7,FALSE))</f>
        <v>6313</v>
      </c>
    </row>
    <row r="216" spans="1:19" x14ac:dyDescent="0.25">
      <c r="A216">
        <v>6316</v>
      </c>
      <c r="B216" t="s">
        <v>9</v>
      </c>
      <c r="C216" t="s">
        <v>90</v>
      </c>
      <c r="D216">
        <v>0</v>
      </c>
      <c r="E216">
        <v>39010</v>
      </c>
      <c r="F216">
        <v>2958465</v>
      </c>
      <c r="G216">
        <v>6314</v>
      </c>
      <c r="H216" t="s">
        <v>9</v>
      </c>
      <c r="I216" t="s">
        <v>90</v>
      </c>
      <c r="J216">
        <v>0</v>
      </c>
      <c r="K216">
        <v>0</v>
      </c>
      <c r="L216" t="s">
        <v>1195</v>
      </c>
      <c r="M216" t="s">
        <v>1195</v>
      </c>
      <c r="N216">
        <v>0</v>
      </c>
      <c r="O216" t="s">
        <v>91</v>
      </c>
      <c r="P216" t="s">
        <v>1402</v>
      </c>
      <c r="Q216" s="16">
        <f>IF(CustomerHierarchyLevels[[#This Row],[HgLvCust.]]=0,CustomerHierarchyLevels[[#This Row],[Customer]],CustomerHierarchyLevels[[#This Row],[HgLvCust.]])</f>
        <v>6314</v>
      </c>
      <c r="R216" s="16">
        <f>IF(VLOOKUP(CustomerHierarchyLevels[[#This Row],[Level1]],CustomerHierarchyLevels[],7,FALSE)=0,CustomerHierarchyLevels[[#This Row],[Level1]],VLOOKUP(CustomerHierarchyLevels[[#This Row],[Level1]],CustomerHierarchyLevels[],7,FALSE))</f>
        <v>6313</v>
      </c>
      <c r="S216" s="16">
        <f>IF(VLOOKUP(CustomerHierarchyLevels[[#This Row],[Level2]],CustomerHierarchyLevels[],7,FALSE)=0,CustomerHierarchyLevels[[#This Row],[Level2]],VLOOKUP(CustomerHierarchyLevels[[#This Row],[Level2]],CustomerHierarchyLevels[],7,FALSE))</f>
        <v>6313</v>
      </c>
    </row>
    <row r="217" spans="1:19" x14ac:dyDescent="0.25">
      <c r="A217">
        <v>6317</v>
      </c>
      <c r="B217" t="s">
        <v>9</v>
      </c>
      <c r="C217" t="s">
        <v>90</v>
      </c>
      <c r="D217">
        <v>0</v>
      </c>
      <c r="E217">
        <v>39010</v>
      </c>
      <c r="F217">
        <v>2958465</v>
      </c>
      <c r="G217">
        <v>2102</v>
      </c>
      <c r="H217" t="s">
        <v>9</v>
      </c>
      <c r="I217" t="s">
        <v>90</v>
      </c>
      <c r="J217">
        <v>0</v>
      </c>
      <c r="K217">
        <v>0</v>
      </c>
      <c r="L217" t="s">
        <v>1195</v>
      </c>
      <c r="M217" t="s">
        <v>1195</v>
      </c>
      <c r="N217">
        <v>0</v>
      </c>
      <c r="O217" t="s">
        <v>91</v>
      </c>
      <c r="P217" t="s">
        <v>1403</v>
      </c>
      <c r="Q217" s="16">
        <f>IF(CustomerHierarchyLevels[[#This Row],[HgLvCust.]]=0,CustomerHierarchyLevels[[#This Row],[Customer]],CustomerHierarchyLevels[[#This Row],[HgLvCust.]])</f>
        <v>2102</v>
      </c>
      <c r="R217" s="16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217" s="16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18" spans="1:19" x14ac:dyDescent="0.25">
      <c r="A218">
        <v>6318</v>
      </c>
      <c r="B218" t="s">
        <v>9</v>
      </c>
      <c r="C218" t="s">
        <v>90</v>
      </c>
      <c r="D218">
        <v>0</v>
      </c>
      <c r="E218">
        <v>39010</v>
      </c>
      <c r="F218">
        <v>2958465</v>
      </c>
      <c r="G218">
        <v>2102</v>
      </c>
      <c r="H218" t="s">
        <v>9</v>
      </c>
      <c r="I218" t="s">
        <v>90</v>
      </c>
      <c r="J218">
        <v>0</v>
      </c>
      <c r="K218">
        <v>0</v>
      </c>
      <c r="L218" t="s">
        <v>1195</v>
      </c>
      <c r="M218" t="s">
        <v>1195</v>
      </c>
      <c r="N218">
        <v>0</v>
      </c>
      <c r="O218" t="s">
        <v>91</v>
      </c>
      <c r="P218" t="s">
        <v>1404</v>
      </c>
      <c r="Q218" s="16">
        <f>IF(CustomerHierarchyLevels[[#This Row],[HgLvCust.]]=0,CustomerHierarchyLevels[[#This Row],[Customer]],CustomerHierarchyLevels[[#This Row],[HgLvCust.]])</f>
        <v>2102</v>
      </c>
      <c r="R218" s="16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218" s="16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19" spans="1:19" x14ac:dyDescent="0.25">
      <c r="A219">
        <v>6319</v>
      </c>
      <c r="B219" t="s">
        <v>9</v>
      </c>
      <c r="C219" t="s">
        <v>90</v>
      </c>
      <c r="D219">
        <v>0</v>
      </c>
      <c r="E219">
        <v>39010</v>
      </c>
      <c r="F219">
        <v>2958465</v>
      </c>
      <c r="G219">
        <v>2102</v>
      </c>
      <c r="H219" t="s">
        <v>9</v>
      </c>
      <c r="I219" t="s">
        <v>90</v>
      </c>
      <c r="J219">
        <v>0</v>
      </c>
      <c r="K219">
        <v>0</v>
      </c>
      <c r="L219" t="s">
        <v>1195</v>
      </c>
      <c r="M219" t="s">
        <v>1195</v>
      </c>
      <c r="N219">
        <v>0</v>
      </c>
      <c r="O219" t="s">
        <v>91</v>
      </c>
      <c r="P219" t="s">
        <v>1405</v>
      </c>
      <c r="Q219" s="16">
        <f>IF(CustomerHierarchyLevels[[#This Row],[HgLvCust.]]=0,CustomerHierarchyLevels[[#This Row],[Customer]],CustomerHierarchyLevels[[#This Row],[HgLvCust.]])</f>
        <v>2102</v>
      </c>
      <c r="R219" s="16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219" s="16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20" spans="1:19" x14ac:dyDescent="0.25">
      <c r="A220">
        <v>6320</v>
      </c>
      <c r="B220" t="s">
        <v>9</v>
      </c>
      <c r="C220" t="s">
        <v>90</v>
      </c>
      <c r="D220">
        <v>0</v>
      </c>
      <c r="E220">
        <v>39010</v>
      </c>
      <c r="F220">
        <v>2958465</v>
      </c>
      <c r="G220">
        <v>2110</v>
      </c>
      <c r="H220" t="s">
        <v>9</v>
      </c>
      <c r="I220" t="s">
        <v>90</v>
      </c>
      <c r="J220">
        <v>0</v>
      </c>
      <c r="K220">
        <v>0</v>
      </c>
      <c r="L220" t="s">
        <v>1195</v>
      </c>
      <c r="M220" t="s">
        <v>1195</v>
      </c>
      <c r="N220">
        <v>0</v>
      </c>
      <c r="O220" t="s">
        <v>91</v>
      </c>
      <c r="P220" t="s">
        <v>1406</v>
      </c>
      <c r="Q220" s="16">
        <f>IF(CustomerHierarchyLevels[[#This Row],[HgLvCust.]]=0,CustomerHierarchyLevels[[#This Row],[Customer]],CustomerHierarchyLevels[[#This Row],[HgLvCust.]])</f>
        <v>2110</v>
      </c>
      <c r="R220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20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21" spans="1:19" x14ac:dyDescent="0.25">
      <c r="A221">
        <v>6321</v>
      </c>
      <c r="B221" t="s">
        <v>9</v>
      </c>
      <c r="C221" t="s">
        <v>90</v>
      </c>
      <c r="D221">
        <v>0</v>
      </c>
      <c r="E221">
        <v>39010</v>
      </c>
      <c r="F221">
        <v>2958465</v>
      </c>
      <c r="G221">
        <v>2110</v>
      </c>
      <c r="H221" t="s">
        <v>9</v>
      </c>
      <c r="I221" t="s">
        <v>90</v>
      </c>
      <c r="J221">
        <v>0</v>
      </c>
      <c r="K221">
        <v>0</v>
      </c>
      <c r="L221" t="s">
        <v>1195</v>
      </c>
      <c r="M221" t="s">
        <v>1195</v>
      </c>
      <c r="N221">
        <v>0</v>
      </c>
      <c r="O221" t="s">
        <v>91</v>
      </c>
      <c r="P221" t="s">
        <v>1407</v>
      </c>
      <c r="Q221" s="16">
        <f>IF(CustomerHierarchyLevels[[#This Row],[HgLvCust.]]=0,CustomerHierarchyLevels[[#This Row],[Customer]],CustomerHierarchyLevels[[#This Row],[HgLvCust.]])</f>
        <v>2110</v>
      </c>
      <c r="R221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21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22" spans="1:19" x14ac:dyDescent="0.25">
      <c r="A222">
        <v>6322</v>
      </c>
      <c r="B222" t="s">
        <v>9</v>
      </c>
      <c r="C222" t="s">
        <v>90</v>
      </c>
      <c r="D222">
        <v>0</v>
      </c>
      <c r="E222">
        <v>39010</v>
      </c>
      <c r="F222">
        <v>2958465</v>
      </c>
      <c r="G222">
        <v>2110</v>
      </c>
      <c r="H222" t="s">
        <v>9</v>
      </c>
      <c r="I222" t="s">
        <v>90</v>
      </c>
      <c r="J222">
        <v>0</v>
      </c>
      <c r="K222">
        <v>0</v>
      </c>
      <c r="L222" t="s">
        <v>1195</v>
      </c>
      <c r="M222" t="s">
        <v>1195</v>
      </c>
      <c r="N222">
        <v>0</v>
      </c>
      <c r="O222" t="s">
        <v>91</v>
      </c>
      <c r="P222" t="s">
        <v>1408</v>
      </c>
      <c r="Q222" s="16">
        <f>IF(CustomerHierarchyLevels[[#This Row],[HgLvCust.]]=0,CustomerHierarchyLevels[[#This Row],[Customer]],CustomerHierarchyLevels[[#This Row],[HgLvCust.]])</f>
        <v>2110</v>
      </c>
      <c r="R222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22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23" spans="1:19" x14ac:dyDescent="0.25">
      <c r="A223">
        <v>6324</v>
      </c>
      <c r="B223" t="s">
        <v>9</v>
      </c>
      <c r="C223" t="s">
        <v>90</v>
      </c>
      <c r="D223">
        <v>0</v>
      </c>
      <c r="E223">
        <v>39010</v>
      </c>
      <c r="F223">
        <v>2958465</v>
      </c>
      <c r="G223">
        <v>6323</v>
      </c>
      <c r="H223" t="s">
        <v>9</v>
      </c>
      <c r="I223" t="s">
        <v>90</v>
      </c>
      <c r="J223">
        <v>0</v>
      </c>
      <c r="K223">
        <v>0</v>
      </c>
      <c r="L223" t="s">
        <v>1195</v>
      </c>
      <c r="M223" t="s">
        <v>1195</v>
      </c>
      <c r="N223">
        <v>0</v>
      </c>
      <c r="O223" t="s">
        <v>91</v>
      </c>
      <c r="P223" t="s">
        <v>1409</v>
      </c>
      <c r="Q223" s="16">
        <f>IF(CustomerHierarchyLevels[[#This Row],[HgLvCust.]]=0,CustomerHierarchyLevels[[#This Row],[Customer]],CustomerHierarchyLevels[[#This Row],[HgLvCust.]])</f>
        <v>6323</v>
      </c>
      <c r="R223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23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24" spans="1:19" x14ac:dyDescent="0.25">
      <c r="A224">
        <v>6325</v>
      </c>
      <c r="B224" t="s">
        <v>9</v>
      </c>
      <c r="C224" t="s">
        <v>90</v>
      </c>
      <c r="D224">
        <v>0</v>
      </c>
      <c r="E224">
        <v>39010</v>
      </c>
      <c r="F224">
        <v>2958465</v>
      </c>
      <c r="G224">
        <v>6323</v>
      </c>
      <c r="H224" t="s">
        <v>9</v>
      </c>
      <c r="I224" t="s">
        <v>90</v>
      </c>
      <c r="J224">
        <v>0</v>
      </c>
      <c r="K224">
        <v>0</v>
      </c>
      <c r="L224" t="s">
        <v>1195</v>
      </c>
      <c r="M224" t="s">
        <v>1195</v>
      </c>
      <c r="N224">
        <v>0</v>
      </c>
      <c r="O224" t="s">
        <v>91</v>
      </c>
      <c r="P224" t="s">
        <v>1410</v>
      </c>
      <c r="Q224" s="16">
        <f>IF(CustomerHierarchyLevels[[#This Row],[HgLvCust.]]=0,CustomerHierarchyLevels[[#This Row],[Customer]],CustomerHierarchyLevels[[#This Row],[HgLvCust.]])</f>
        <v>6323</v>
      </c>
      <c r="R224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24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25" spans="1:19" x14ac:dyDescent="0.25">
      <c r="A225">
        <v>6326</v>
      </c>
      <c r="B225" t="s">
        <v>9</v>
      </c>
      <c r="C225" t="s">
        <v>90</v>
      </c>
      <c r="D225">
        <v>0</v>
      </c>
      <c r="E225">
        <v>39010</v>
      </c>
      <c r="F225">
        <v>2958465</v>
      </c>
      <c r="G225">
        <v>6323</v>
      </c>
      <c r="H225" t="s">
        <v>9</v>
      </c>
      <c r="I225" t="s">
        <v>90</v>
      </c>
      <c r="J225">
        <v>0</v>
      </c>
      <c r="K225">
        <v>0</v>
      </c>
      <c r="L225" t="s">
        <v>1195</v>
      </c>
      <c r="M225" t="s">
        <v>1195</v>
      </c>
      <c r="N225">
        <v>0</v>
      </c>
      <c r="O225" t="s">
        <v>91</v>
      </c>
      <c r="P225" t="s">
        <v>1411</v>
      </c>
      <c r="Q225" s="16">
        <f>IF(CustomerHierarchyLevels[[#This Row],[HgLvCust.]]=0,CustomerHierarchyLevels[[#This Row],[Customer]],CustomerHierarchyLevels[[#This Row],[HgLvCust.]])</f>
        <v>6323</v>
      </c>
      <c r="R225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25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26" spans="1:19" x14ac:dyDescent="0.25">
      <c r="A226">
        <v>6327</v>
      </c>
      <c r="B226" t="s">
        <v>9</v>
      </c>
      <c r="C226" t="s">
        <v>90</v>
      </c>
      <c r="D226">
        <v>0</v>
      </c>
      <c r="E226">
        <v>39010</v>
      </c>
      <c r="F226">
        <v>2958465</v>
      </c>
      <c r="G226">
        <v>2126</v>
      </c>
      <c r="H226" t="s">
        <v>9</v>
      </c>
      <c r="I226" t="s">
        <v>90</v>
      </c>
      <c r="J226">
        <v>0</v>
      </c>
      <c r="K226">
        <v>0</v>
      </c>
      <c r="L226" t="s">
        <v>1195</v>
      </c>
      <c r="M226" t="s">
        <v>1195</v>
      </c>
      <c r="N226">
        <v>0</v>
      </c>
      <c r="O226" t="s">
        <v>91</v>
      </c>
      <c r="P226" t="s">
        <v>1412</v>
      </c>
      <c r="Q226" s="16">
        <f>IF(CustomerHierarchyLevels[[#This Row],[HgLvCust.]]=0,CustomerHierarchyLevels[[#This Row],[Customer]],CustomerHierarchyLevels[[#This Row],[HgLvCust.]])</f>
        <v>2126</v>
      </c>
      <c r="R226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26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27" spans="1:19" x14ac:dyDescent="0.25">
      <c r="A227">
        <v>6328</v>
      </c>
      <c r="B227" t="s">
        <v>9</v>
      </c>
      <c r="C227" t="s">
        <v>90</v>
      </c>
      <c r="D227">
        <v>0</v>
      </c>
      <c r="E227">
        <v>39010</v>
      </c>
      <c r="F227">
        <v>2958465</v>
      </c>
      <c r="G227">
        <v>2126</v>
      </c>
      <c r="H227" t="s">
        <v>9</v>
      </c>
      <c r="I227" t="s">
        <v>90</v>
      </c>
      <c r="J227">
        <v>0</v>
      </c>
      <c r="K227">
        <v>0</v>
      </c>
      <c r="L227" t="s">
        <v>1195</v>
      </c>
      <c r="M227" t="s">
        <v>1195</v>
      </c>
      <c r="N227">
        <v>0</v>
      </c>
      <c r="O227" t="s">
        <v>91</v>
      </c>
      <c r="P227" t="s">
        <v>1413</v>
      </c>
      <c r="Q227" s="16">
        <f>IF(CustomerHierarchyLevels[[#This Row],[HgLvCust.]]=0,CustomerHierarchyLevels[[#This Row],[Customer]],CustomerHierarchyLevels[[#This Row],[HgLvCust.]])</f>
        <v>2126</v>
      </c>
      <c r="R227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27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28" spans="1:19" x14ac:dyDescent="0.25">
      <c r="A228">
        <v>6329</v>
      </c>
      <c r="B228" t="s">
        <v>9</v>
      </c>
      <c r="C228" t="s">
        <v>90</v>
      </c>
      <c r="D228">
        <v>0</v>
      </c>
      <c r="E228">
        <v>39010</v>
      </c>
      <c r="F228">
        <v>2958465</v>
      </c>
      <c r="G228">
        <v>2126</v>
      </c>
      <c r="H228" t="s">
        <v>9</v>
      </c>
      <c r="I228" t="s">
        <v>90</v>
      </c>
      <c r="J228">
        <v>0</v>
      </c>
      <c r="K228">
        <v>0</v>
      </c>
      <c r="L228" t="s">
        <v>1195</v>
      </c>
      <c r="M228" t="s">
        <v>1195</v>
      </c>
      <c r="N228">
        <v>0</v>
      </c>
      <c r="O228" t="s">
        <v>91</v>
      </c>
      <c r="P228" t="s">
        <v>1414</v>
      </c>
      <c r="Q228" s="16">
        <f>IF(CustomerHierarchyLevels[[#This Row],[HgLvCust.]]=0,CustomerHierarchyLevels[[#This Row],[Customer]],CustomerHierarchyLevels[[#This Row],[HgLvCust.]])</f>
        <v>2126</v>
      </c>
      <c r="R228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28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29" spans="1:19" x14ac:dyDescent="0.25">
      <c r="A229">
        <v>6330</v>
      </c>
      <c r="B229" t="s">
        <v>9</v>
      </c>
      <c r="C229" t="s">
        <v>90</v>
      </c>
      <c r="D229">
        <v>0</v>
      </c>
      <c r="E229">
        <v>39010</v>
      </c>
      <c r="F229">
        <v>2958465</v>
      </c>
      <c r="G229">
        <v>2158</v>
      </c>
      <c r="H229" t="s">
        <v>9</v>
      </c>
      <c r="I229" t="s">
        <v>90</v>
      </c>
      <c r="J229">
        <v>0</v>
      </c>
      <c r="K229">
        <v>0</v>
      </c>
      <c r="L229" t="s">
        <v>1195</v>
      </c>
      <c r="M229" t="s">
        <v>1195</v>
      </c>
      <c r="N229">
        <v>0</v>
      </c>
      <c r="O229" t="s">
        <v>91</v>
      </c>
      <c r="P229" t="s">
        <v>1415</v>
      </c>
      <c r="Q229" s="16">
        <f>IF(CustomerHierarchyLevels[[#This Row],[HgLvCust.]]=0,CustomerHierarchyLevels[[#This Row],[Customer]],CustomerHierarchyLevels[[#This Row],[HgLvCust.]])</f>
        <v>2158</v>
      </c>
      <c r="R229" s="16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229" s="16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30" spans="1:19" x14ac:dyDescent="0.25">
      <c r="A230">
        <v>6331</v>
      </c>
      <c r="B230" t="s">
        <v>9</v>
      </c>
      <c r="C230" t="s">
        <v>90</v>
      </c>
      <c r="D230">
        <v>0</v>
      </c>
      <c r="E230">
        <v>39010</v>
      </c>
      <c r="F230">
        <v>2958465</v>
      </c>
      <c r="G230">
        <v>2158</v>
      </c>
      <c r="H230" t="s">
        <v>9</v>
      </c>
      <c r="I230" t="s">
        <v>90</v>
      </c>
      <c r="J230">
        <v>0</v>
      </c>
      <c r="K230">
        <v>0</v>
      </c>
      <c r="L230" t="s">
        <v>1195</v>
      </c>
      <c r="M230" t="s">
        <v>1195</v>
      </c>
      <c r="N230">
        <v>0</v>
      </c>
      <c r="O230" t="s">
        <v>91</v>
      </c>
      <c r="P230" t="s">
        <v>1416</v>
      </c>
      <c r="Q230" s="16">
        <f>IF(CustomerHierarchyLevels[[#This Row],[HgLvCust.]]=0,CustomerHierarchyLevels[[#This Row],[Customer]],CustomerHierarchyLevels[[#This Row],[HgLvCust.]])</f>
        <v>2158</v>
      </c>
      <c r="R230" s="16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230" s="16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31" spans="1:19" x14ac:dyDescent="0.25">
      <c r="A231">
        <v>6332</v>
      </c>
      <c r="B231" t="s">
        <v>9</v>
      </c>
      <c r="C231" t="s">
        <v>90</v>
      </c>
      <c r="D231">
        <v>0</v>
      </c>
      <c r="E231">
        <v>39010</v>
      </c>
      <c r="F231">
        <v>2958465</v>
      </c>
      <c r="G231">
        <v>2158</v>
      </c>
      <c r="H231" t="s">
        <v>9</v>
      </c>
      <c r="I231" t="s">
        <v>90</v>
      </c>
      <c r="J231">
        <v>0</v>
      </c>
      <c r="K231">
        <v>0</v>
      </c>
      <c r="L231" t="s">
        <v>1195</v>
      </c>
      <c r="M231" t="s">
        <v>1195</v>
      </c>
      <c r="N231">
        <v>0</v>
      </c>
      <c r="O231" t="s">
        <v>91</v>
      </c>
      <c r="P231" t="s">
        <v>1417</v>
      </c>
      <c r="Q231" s="16">
        <f>IF(CustomerHierarchyLevels[[#This Row],[HgLvCust.]]=0,CustomerHierarchyLevels[[#This Row],[Customer]],CustomerHierarchyLevels[[#This Row],[HgLvCust.]])</f>
        <v>2158</v>
      </c>
      <c r="R231" s="16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231" s="16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32" spans="1:19" x14ac:dyDescent="0.25">
      <c r="A232">
        <v>6336</v>
      </c>
      <c r="B232" t="s">
        <v>9</v>
      </c>
      <c r="C232" t="s">
        <v>90</v>
      </c>
      <c r="D232">
        <v>0</v>
      </c>
      <c r="E232">
        <v>39010</v>
      </c>
      <c r="F232">
        <v>2958465</v>
      </c>
      <c r="G232">
        <v>6334</v>
      </c>
      <c r="H232" t="s">
        <v>9</v>
      </c>
      <c r="I232" t="s">
        <v>90</v>
      </c>
      <c r="J232">
        <v>0</v>
      </c>
      <c r="K232">
        <v>0</v>
      </c>
      <c r="L232" t="s">
        <v>1195</v>
      </c>
      <c r="M232" t="s">
        <v>1195</v>
      </c>
      <c r="N232">
        <v>0</v>
      </c>
      <c r="O232" t="s">
        <v>91</v>
      </c>
      <c r="P232" t="s">
        <v>1418</v>
      </c>
      <c r="Q232" s="16">
        <f>IF(CustomerHierarchyLevels[[#This Row],[HgLvCust.]]=0,CustomerHierarchyLevels[[#This Row],[Customer]],CustomerHierarchyLevels[[#This Row],[HgLvCust.]])</f>
        <v>6334</v>
      </c>
      <c r="R232" s="16">
        <f>IF(VLOOKUP(CustomerHierarchyLevels[[#This Row],[Level1]],CustomerHierarchyLevels[],7,FALSE)=0,CustomerHierarchyLevels[[#This Row],[Level1]],VLOOKUP(CustomerHierarchyLevels[[#This Row],[Level1]],CustomerHierarchyLevels[],7,FALSE))</f>
        <v>6333</v>
      </c>
      <c r="S232" s="16">
        <f>IF(VLOOKUP(CustomerHierarchyLevels[[#This Row],[Level2]],CustomerHierarchyLevels[],7,FALSE)=0,CustomerHierarchyLevels[[#This Row],[Level2]],VLOOKUP(CustomerHierarchyLevels[[#This Row],[Level2]],CustomerHierarchyLevels[],7,FALSE))</f>
        <v>6333</v>
      </c>
    </row>
    <row r="233" spans="1:19" x14ac:dyDescent="0.25">
      <c r="A233">
        <v>6337</v>
      </c>
      <c r="B233" t="s">
        <v>9</v>
      </c>
      <c r="C233" t="s">
        <v>90</v>
      </c>
      <c r="D233">
        <v>0</v>
      </c>
      <c r="E233">
        <v>39010</v>
      </c>
      <c r="F233">
        <v>2958465</v>
      </c>
      <c r="G233">
        <v>6334</v>
      </c>
      <c r="H233" t="s">
        <v>9</v>
      </c>
      <c r="I233" t="s">
        <v>90</v>
      </c>
      <c r="J233">
        <v>0</v>
      </c>
      <c r="K233">
        <v>0</v>
      </c>
      <c r="L233" t="s">
        <v>1195</v>
      </c>
      <c r="M233" t="s">
        <v>1195</v>
      </c>
      <c r="N233">
        <v>0</v>
      </c>
      <c r="O233" t="s">
        <v>91</v>
      </c>
      <c r="P233" t="s">
        <v>1419</v>
      </c>
      <c r="Q233" s="16">
        <f>IF(CustomerHierarchyLevels[[#This Row],[HgLvCust.]]=0,CustomerHierarchyLevels[[#This Row],[Customer]],CustomerHierarchyLevels[[#This Row],[HgLvCust.]])</f>
        <v>6334</v>
      </c>
      <c r="R233" s="16">
        <f>IF(VLOOKUP(CustomerHierarchyLevels[[#This Row],[Level1]],CustomerHierarchyLevels[],7,FALSE)=0,CustomerHierarchyLevels[[#This Row],[Level1]],VLOOKUP(CustomerHierarchyLevels[[#This Row],[Level1]],CustomerHierarchyLevels[],7,FALSE))</f>
        <v>6333</v>
      </c>
      <c r="S233" s="16">
        <f>IF(VLOOKUP(CustomerHierarchyLevels[[#This Row],[Level2]],CustomerHierarchyLevels[],7,FALSE)=0,CustomerHierarchyLevels[[#This Row],[Level2]],VLOOKUP(CustomerHierarchyLevels[[#This Row],[Level2]],CustomerHierarchyLevels[],7,FALSE))</f>
        <v>6333</v>
      </c>
    </row>
    <row r="234" spans="1:19" x14ac:dyDescent="0.25">
      <c r="A234">
        <v>6339</v>
      </c>
      <c r="B234" t="s">
        <v>9</v>
      </c>
      <c r="C234" t="s">
        <v>90</v>
      </c>
      <c r="D234">
        <v>0</v>
      </c>
      <c r="E234">
        <v>39010</v>
      </c>
      <c r="F234">
        <v>2958465</v>
      </c>
      <c r="G234">
        <v>6334</v>
      </c>
      <c r="H234" t="s">
        <v>9</v>
      </c>
      <c r="I234" t="s">
        <v>90</v>
      </c>
      <c r="J234">
        <v>0</v>
      </c>
      <c r="K234">
        <v>0</v>
      </c>
      <c r="L234" t="s">
        <v>1195</v>
      </c>
      <c r="M234" t="s">
        <v>1195</v>
      </c>
      <c r="N234">
        <v>0</v>
      </c>
      <c r="O234" t="s">
        <v>91</v>
      </c>
      <c r="P234" t="s">
        <v>1420</v>
      </c>
      <c r="Q234" s="16">
        <f>IF(CustomerHierarchyLevels[[#This Row],[HgLvCust.]]=0,CustomerHierarchyLevels[[#This Row],[Customer]],CustomerHierarchyLevels[[#This Row],[HgLvCust.]])</f>
        <v>6334</v>
      </c>
      <c r="R234" s="16">
        <f>IF(VLOOKUP(CustomerHierarchyLevels[[#This Row],[Level1]],CustomerHierarchyLevels[],7,FALSE)=0,CustomerHierarchyLevels[[#This Row],[Level1]],VLOOKUP(CustomerHierarchyLevels[[#This Row],[Level1]],CustomerHierarchyLevels[],7,FALSE))</f>
        <v>6333</v>
      </c>
      <c r="S234" s="16">
        <f>IF(VLOOKUP(CustomerHierarchyLevels[[#This Row],[Level2]],CustomerHierarchyLevels[],7,FALSE)=0,CustomerHierarchyLevels[[#This Row],[Level2]],VLOOKUP(CustomerHierarchyLevels[[#This Row],[Level2]],CustomerHierarchyLevels[],7,FALSE))</f>
        <v>6333</v>
      </c>
    </row>
    <row r="235" spans="1:19" x14ac:dyDescent="0.25">
      <c r="A235">
        <v>6547</v>
      </c>
      <c r="B235" t="s">
        <v>9</v>
      </c>
      <c r="C235" t="s">
        <v>90</v>
      </c>
      <c r="D235">
        <v>0</v>
      </c>
      <c r="E235">
        <v>39010</v>
      </c>
      <c r="F235">
        <v>2958465</v>
      </c>
      <c r="G235">
        <v>6318</v>
      </c>
      <c r="H235" t="s">
        <v>9</v>
      </c>
      <c r="I235" t="s">
        <v>90</v>
      </c>
      <c r="J235">
        <v>0</v>
      </c>
      <c r="K235">
        <v>0</v>
      </c>
      <c r="N235">
        <v>0</v>
      </c>
      <c r="O235" t="s">
        <v>91</v>
      </c>
      <c r="P235" t="s">
        <v>264</v>
      </c>
      <c r="Q235" s="16">
        <f>IF(CustomerHierarchyLevels[[#This Row],[HgLvCust.]]=0,CustomerHierarchyLevels[[#This Row],[Customer]],CustomerHierarchyLevels[[#This Row],[HgLvCust.]])</f>
        <v>6318</v>
      </c>
      <c r="R235" s="16">
        <f>IF(VLOOKUP(CustomerHierarchyLevels[[#This Row],[Level1]],CustomerHierarchyLevels[],7,FALSE)=0,CustomerHierarchyLevels[[#This Row],[Level1]],VLOOKUP(CustomerHierarchyLevels[[#This Row],[Level1]],CustomerHierarchyLevels[],7,FALSE))</f>
        <v>2102</v>
      </c>
      <c r="S235" s="16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36" spans="1:19" x14ac:dyDescent="0.25">
      <c r="A236">
        <v>6548</v>
      </c>
      <c r="B236" t="s">
        <v>9</v>
      </c>
      <c r="C236" t="s">
        <v>90</v>
      </c>
      <c r="D236">
        <v>0</v>
      </c>
      <c r="E236">
        <v>39010</v>
      </c>
      <c r="F236">
        <v>2958465</v>
      </c>
      <c r="G236">
        <v>6317</v>
      </c>
      <c r="H236" t="s">
        <v>9</v>
      </c>
      <c r="I236" t="s">
        <v>90</v>
      </c>
      <c r="J236">
        <v>0</v>
      </c>
      <c r="K236">
        <v>0</v>
      </c>
      <c r="N236">
        <v>0</v>
      </c>
      <c r="O236" t="s">
        <v>91</v>
      </c>
      <c r="P236" t="s">
        <v>285</v>
      </c>
      <c r="Q236" s="16">
        <f>IF(CustomerHierarchyLevels[[#This Row],[HgLvCust.]]=0,CustomerHierarchyLevels[[#This Row],[Customer]],CustomerHierarchyLevels[[#This Row],[HgLvCust.]])</f>
        <v>6317</v>
      </c>
      <c r="R236" s="16">
        <f>IF(VLOOKUP(CustomerHierarchyLevels[[#This Row],[Level1]],CustomerHierarchyLevels[],7,FALSE)=0,CustomerHierarchyLevels[[#This Row],[Level1]],VLOOKUP(CustomerHierarchyLevels[[#This Row],[Level1]],CustomerHierarchyLevels[],7,FALSE))</f>
        <v>2102</v>
      </c>
      <c r="S236" s="16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37" spans="1:19" x14ac:dyDescent="0.25">
      <c r="A237">
        <v>6550</v>
      </c>
      <c r="B237" t="s">
        <v>9</v>
      </c>
      <c r="C237" t="s">
        <v>90</v>
      </c>
      <c r="D237">
        <v>0</v>
      </c>
      <c r="E237">
        <v>39010</v>
      </c>
      <c r="F237">
        <v>2958465</v>
      </c>
      <c r="G237">
        <v>6319</v>
      </c>
      <c r="H237" t="s">
        <v>9</v>
      </c>
      <c r="I237" t="s">
        <v>90</v>
      </c>
      <c r="J237">
        <v>0</v>
      </c>
      <c r="K237">
        <v>0</v>
      </c>
      <c r="N237">
        <v>0</v>
      </c>
      <c r="O237" t="s">
        <v>91</v>
      </c>
      <c r="P237" t="s">
        <v>233</v>
      </c>
      <c r="Q237" s="16">
        <f>IF(CustomerHierarchyLevels[[#This Row],[HgLvCust.]]=0,CustomerHierarchyLevels[[#This Row],[Customer]],CustomerHierarchyLevels[[#This Row],[HgLvCust.]])</f>
        <v>6319</v>
      </c>
      <c r="R237" s="16">
        <f>IF(VLOOKUP(CustomerHierarchyLevels[[#This Row],[Level1]],CustomerHierarchyLevels[],7,FALSE)=0,CustomerHierarchyLevels[[#This Row],[Level1]],VLOOKUP(CustomerHierarchyLevels[[#This Row],[Level1]],CustomerHierarchyLevels[],7,FALSE))</f>
        <v>2102</v>
      </c>
      <c r="S237" s="16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38" spans="1:19" x14ac:dyDescent="0.25">
      <c r="A238">
        <v>6551</v>
      </c>
      <c r="B238" t="s">
        <v>9</v>
      </c>
      <c r="C238" t="s">
        <v>90</v>
      </c>
      <c r="D238">
        <v>0</v>
      </c>
      <c r="E238">
        <v>39010</v>
      </c>
      <c r="F238">
        <v>2958465</v>
      </c>
      <c r="G238">
        <v>6319</v>
      </c>
      <c r="H238" t="s">
        <v>9</v>
      </c>
      <c r="I238" t="s">
        <v>90</v>
      </c>
      <c r="J238">
        <v>0</v>
      </c>
      <c r="K238">
        <v>0</v>
      </c>
      <c r="N238">
        <v>0</v>
      </c>
      <c r="O238" t="s">
        <v>91</v>
      </c>
      <c r="P238" t="s">
        <v>276</v>
      </c>
      <c r="Q238" s="16">
        <f>IF(CustomerHierarchyLevels[[#This Row],[HgLvCust.]]=0,CustomerHierarchyLevels[[#This Row],[Customer]],CustomerHierarchyLevels[[#This Row],[HgLvCust.]])</f>
        <v>6319</v>
      </c>
      <c r="R238" s="16">
        <f>IF(VLOOKUP(CustomerHierarchyLevels[[#This Row],[Level1]],CustomerHierarchyLevels[],7,FALSE)=0,CustomerHierarchyLevels[[#This Row],[Level1]],VLOOKUP(CustomerHierarchyLevels[[#This Row],[Level1]],CustomerHierarchyLevels[],7,FALSE))</f>
        <v>2102</v>
      </c>
      <c r="S238" s="16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39" spans="1:19" x14ac:dyDescent="0.25">
      <c r="A239">
        <v>1189</v>
      </c>
      <c r="B239" t="s">
        <v>9</v>
      </c>
      <c r="C239" t="s">
        <v>90</v>
      </c>
      <c r="D239">
        <v>0</v>
      </c>
      <c r="E239">
        <v>39010</v>
      </c>
      <c r="F239">
        <v>2958465</v>
      </c>
      <c r="G239">
        <v>6319</v>
      </c>
      <c r="H239" t="s">
        <v>9</v>
      </c>
      <c r="I239" t="s">
        <v>90</v>
      </c>
      <c r="J239">
        <v>0</v>
      </c>
      <c r="K239">
        <v>0</v>
      </c>
      <c r="N239">
        <v>0</v>
      </c>
      <c r="O239" t="s">
        <v>91</v>
      </c>
      <c r="P239" t="s">
        <v>1421</v>
      </c>
      <c r="Q239" s="16">
        <f>IF(CustomerHierarchyLevels[[#This Row],[HgLvCust.]]=0,CustomerHierarchyLevels[[#This Row],[Customer]],CustomerHierarchyLevels[[#This Row],[HgLvCust.]])</f>
        <v>6319</v>
      </c>
      <c r="R239" s="16">
        <f>IF(VLOOKUP(CustomerHierarchyLevels[[#This Row],[Level1]],CustomerHierarchyLevels[],7,FALSE)=0,CustomerHierarchyLevels[[#This Row],[Level1]],VLOOKUP(CustomerHierarchyLevels[[#This Row],[Level1]],CustomerHierarchyLevels[],7,FALSE))</f>
        <v>2102</v>
      </c>
      <c r="S239" s="16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40" spans="1:19" x14ac:dyDescent="0.25">
      <c r="A240">
        <v>1738</v>
      </c>
      <c r="B240" t="s">
        <v>9</v>
      </c>
      <c r="C240" t="s">
        <v>90</v>
      </c>
      <c r="D240">
        <v>0</v>
      </c>
      <c r="E240">
        <v>39010</v>
      </c>
      <c r="F240">
        <v>2958465</v>
      </c>
      <c r="G240">
        <v>6303</v>
      </c>
      <c r="H240" t="s">
        <v>9</v>
      </c>
      <c r="I240" t="s">
        <v>90</v>
      </c>
      <c r="J240">
        <v>0</v>
      </c>
      <c r="K240">
        <v>0</v>
      </c>
      <c r="N240">
        <v>0</v>
      </c>
      <c r="O240" t="s">
        <v>91</v>
      </c>
      <c r="P240" t="s">
        <v>278</v>
      </c>
      <c r="Q240" s="16">
        <f>IF(CustomerHierarchyLevels[[#This Row],[HgLvCust.]]=0,CustomerHierarchyLevels[[#This Row],[Customer]],CustomerHierarchyLevels[[#This Row],[HgLvCust.]])</f>
        <v>6303</v>
      </c>
      <c r="R240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0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1" spans="1:19" x14ac:dyDescent="0.25">
      <c r="A241">
        <v>1203</v>
      </c>
      <c r="B241" t="s">
        <v>9</v>
      </c>
      <c r="C241" t="s">
        <v>90</v>
      </c>
      <c r="D241">
        <v>0</v>
      </c>
      <c r="E241">
        <v>39010</v>
      </c>
      <c r="F241">
        <v>2958465</v>
      </c>
      <c r="G241">
        <v>6303</v>
      </c>
      <c r="H241" t="s">
        <v>9</v>
      </c>
      <c r="I241" t="s">
        <v>90</v>
      </c>
      <c r="J241">
        <v>0</v>
      </c>
      <c r="K241">
        <v>0</v>
      </c>
      <c r="N241">
        <v>0</v>
      </c>
      <c r="O241" t="s">
        <v>91</v>
      </c>
      <c r="P241" t="s">
        <v>194</v>
      </c>
      <c r="Q241" s="16">
        <f>IF(CustomerHierarchyLevels[[#This Row],[HgLvCust.]]=0,CustomerHierarchyLevels[[#This Row],[Customer]],CustomerHierarchyLevels[[#This Row],[HgLvCust.]])</f>
        <v>6303</v>
      </c>
      <c r="R241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1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2" spans="1:19" x14ac:dyDescent="0.25">
      <c r="A242">
        <v>1377</v>
      </c>
      <c r="B242" t="s">
        <v>9</v>
      </c>
      <c r="C242" t="s">
        <v>90</v>
      </c>
      <c r="D242">
        <v>0</v>
      </c>
      <c r="E242">
        <v>39010</v>
      </c>
      <c r="F242">
        <v>2958465</v>
      </c>
      <c r="G242">
        <v>6303</v>
      </c>
      <c r="H242" t="s">
        <v>9</v>
      </c>
      <c r="I242" t="s">
        <v>90</v>
      </c>
      <c r="J242">
        <v>0</v>
      </c>
      <c r="K242">
        <v>0</v>
      </c>
      <c r="N242">
        <v>0</v>
      </c>
      <c r="O242" t="s">
        <v>91</v>
      </c>
      <c r="P242" t="s">
        <v>247</v>
      </c>
      <c r="Q242" s="16">
        <f>IF(CustomerHierarchyLevels[[#This Row],[HgLvCust.]]=0,CustomerHierarchyLevels[[#This Row],[Customer]],CustomerHierarchyLevels[[#This Row],[HgLvCust.]])</f>
        <v>6303</v>
      </c>
      <c r="R242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2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3" spans="1:19" x14ac:dyDescent="0.25">
      <c r="A243">
        <v>1205</v>
      </c>
      <c r="B243" t="s">
        <v>9</v>
      </c>
      <c r="C243" t="s">
        <v>90</v>
      </c>
      <c r="D243">
        <v>0</v>
      </c>
      <c r="E243">
        <v>39010</v>
      </c>
      <c r="F243">
        <v>2958465</v>
      </c>
      <c r="G243">
        <v>6304</v>
      </c>
      <c r="H243" t="s">
        <v>9</v>
      </c>
      <c r="I243" t="s">
        <v>90</v>
      </c>
      <c r="J243">
        <v>0</v>
      </c>
      <c r="K243">
        <v>0</v>
      </c>
      <c r="N243">
        <v>0</v>
      </c>
      <c r="O243" t="s">
        <v>91</v>
      </c>
      <c r="P243" t="s">
        <v>266</v>
      </c>
      <c r="Q243" s="16">
        <f>IF(CustomerHierarchyLevels[[#This Row],[HgLvCust.]]=0,CustomerHierarchyLevels[[#This Row],[Customer]],CustomerHierarchyLevels[[#This Row],[HgLvCust.]])</f>
        <v>6304</v>
      </c>
      <c r="R243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3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4" spans="1:19" x14ac:dyDescent="0.25">
      <c r="A244">
        <v>1188</v>
      </c>
      <c r="B244" t="s">
        <v>9</v>
      </c>
      <c r="C244" t="s">
        <v>90</v>
      </c>
      <c r="D244">
        <v>0</v>
      </c>
      <c r="E244">
        <v>39010</v>
      </c>
      <c r="F244">
        <v>2958465</v>
      </c>
      <c r="G244">
        <v>6304</v>
      </c>
      <c r="H244" t="s">
        <v>9</v>
      </c>
      <c r="I244" t="s">
        <v>90</v>
      </c>
      <c r="J244">
        <v>0</v>
      </c>
      <c r="K244">
        <v>0</v>
      </c>
      <c r="N244">
        <v>0</v>
      </c>
      <c r="O244" t="s">
        <v>91</v>
      </c>
      <c r="P244" t="s">
        <v>282</v>
      </c>
      <c r="Q244" s="16">
        <f>IF(CustomerHierarchyLevels[[#This Row],[HgLvCust.]]=0,CustomerHierarchyLevels[[#This Row],[Customer]],CustomerHierarchyLevels[[#This Row],[HgLvCust.]])</f>
        <v>6304</v>
      </c>
      <c r="R244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4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5" spans="1:19" x14ac:dyDescent="0.25">
      <c r="A245">
        <v>1247</v>
      </c>
      <c r="B245" t="s">
        <v>9</v>
      </c>
      <c r="C245" t="s">
        <v>90</v>
      </c>
      <c r="D245">
        <v>0</v>
      </c>
      <c r="E245">
        <v>39010</v>
      </c>
      <c r="F245">
        <v>2958465</v>
      </c>
      <c r="G245">
        <v>6304</v>
      </c>
      <c r="H245" t="s">
        <v>9</v>
      </c>
      <c r="I245" t="s">
        <v>90</v>
      </c>
      <c r="J245">
        <v>0</v>
      </c>
      <c r="K245">
        <v>0</v>
      </c>
      <c r="N245">
        <v>0</v>
      </c>
      <c r="O245" t="s">
        <v>91</v>
      </c>
      <c r="P245" t="s">
        <v>280</v>
      </c>
      <c r="Q245" s="16">
        <f>IF(CustomerHierarchyLevels[[#This Row],[HgLvCust.]]=0,CustomerHierarchyLevels[[#This Row],[Customer]],CustomerHierarchyLevels[[#This Row],[HgLvCust.]])</f>
        <v>6304</v>
      </c>
      <c r="R245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5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6" spans="1:19" x14ac:dyDescent="0.25">
      <c r="A246">
        <v>2090</v>
      </c>
      <c r="B246" t="s">
        <v>9</v>
      </c>
      <c r="C246" t="s">
        <v>90</v>
      </c>
      <c r="D246">
        <v>0</v>
      </c>
      <c r="E246">
        <v>39010</v>
      </c>
      <c r="F246">
        <v>2958465</v>
      </c>
      <c r="G246">
        <v>6304</v>
      </c>
      <c r="H246" t="s">
        <v>9</v>
      </c>
      <c r="I246" t="s">
        <v>90</v>
      </c>
      <c r="J246">
        <v>0</v>
      </c>
      <c r="K246">
        <v>0</v>
      </c>
      <c r="N246">
        <v>0</v>
      </c>
      <c r="O246" t="s">
        <v>91</v>
      </c>
      <c r="P246" t="s">
        <v>281</v>
      </c>
      <c r="Q246" s="16">
        <f>IF(CustomerHierarchyLevels[[#This Row],[HgLvCust.]]=0,CustomerHierarchyLevels[[#This Row],[Customer]],CustomerHierarchyLevels[[#This Row],[HgLvCust.]])</f>
        <v>6304</v>
      </c>
      <c r="R246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6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7" spans="1:19" x14ac:dyDescent="0.25">
      <c r="A247">
        <v>1195</v>
      </c>
      <c r="B247" t="s">
        <v>9</v>
      </c>
      <c r="C247" t="s">
        <v>90</v>
      </c>
      <c r="D247">
        <v>0</v>
      </c>
      <c r="E247">
        <v>39010</v>
      </c>
      <c r="F247">
        <v>2958465</v>
      </c>
      <c r="G247">
        <v>6303</v>
      </c>
      <c r="H247" t="s">
        <v>9</v>
      </c>
      <c r="I247" t="s">
        <v>90</v>
      </c>
      <c r="J247">
        <v>0</v>
      </c>
      <c r="K247">
        <v>0</v>
      </c>
      <c r="N247">
        <v>0</v>
      </c>
      <c r="O247" t="s">
        <v>91</v>
      </c>
      <c r="P247" t="s">
        <v>176</v>
      </c>
      <c r="Q247" s="16">
        <f>IF(CustomerHierarchyLevels[[#This Row],[HgLvCust.]]=0,CustomerHierarchyLevels[[#This Row],[Customer]],CustomerHierarchyLevels[[#This Row],[HgLvCust.]])</f>
        <v>6303</v>
      </c>
      <c r="R247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7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8" spans="1:19" x14ac:dyDescent="0.25">
      <c r="A248">
        <v>2086</v>
      </c>
      <c r="B248" t="s">
        <v>9</v>
      </c>
      <c r="C248" t="s">
        <v>90</v>
      </c>
      <c r="D248">
        <v>0</v>
      </c>
      <c r="E248">
        <v>39010</v>
      </c>
      <c r="F248">
        <v>2958465</v>
      </c>
      <c r="G248">
        <v>6303</v>
      </c>
      <c r="H248" t="s">
        <v>9</v>
      </c>
      <c r="I248" t="s">
        <v>90</v>
      </c>
      <c r="J248">
        <v>0</v>
      </c>
      <c r="K248">
        <v>0</v>
      </c>
      <c r="N248">
        <v>0</v>
      </c>
      <c r="O248" t="s">
        <v>91</v>
      </c>
      <c r="P248" t="s">
        <v>286</v>
      </c>
      <c r="Q248" s="16">
        <f>IF(CustomerHierarchyLevels[[#This Row],[HgLvCust.]]=0,CustomerHierarchyLevels[[#This Row],[Customer]],CustomerHierarchyLevels[[#This Row],[HgLvCust.]])</f>
        <v>6303</v>
      </c>
      <c r="R248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8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9" spans="1:19" x14ac:dyDescent="0.25">
      <c r="A249">
        <v>1171</v>
      </c>
      <c r="B249" t="s">
        <v>9</v>
      </c>
      <c r="C249" t="s">
        <v>90</v>
      </c>
      <c r="D249">
        <v>0</v>
      </c>
      <c r="E249">
        <v>39010</v>
      </c>
      <c r="F249">
        <v>2958465</v>
      </c>
      <c r="G249">
        <v>6304</v>
      </c>
      <c r="H249" t="s">
        <v>9</v>
      </c>
      <c r="I249" t="s">
        <v>90</v>
      </c>
      <c r="J249">
        <v>0</v>
      </c>
      <c r="K249">
        <v>0</v>
      </c>
      <c r="N249">
        <v>0</v>
      </c>
      <c r="O249" t="s">
        <v>91</v>
      </c>
      <c r="P249" t="s">
        <v>1422</v>
      </c>
      <c r="Q249" s="16">
        <f>IF(CustomerHierarchyLevels[[#This Row],[HgLvCust.]]=0,CustomerHierarchyLevels[[#This Row],[Customer]],CustomerHierarchyLevels[[#This Row],[HgLvCust.]])</f>
        <v>6304</v>
      </c>
      <c r="R249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9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0" spans="1:19" x14ac:dyDescent="0.25">
      <c r="A250">
        <v>1194</v>
      </c>
      <c r="B250" t="s">
        <v>9</v>
      </c>
      <c r="C250" t="s">
        <v>90</v>
      </c>
      <c r="D250">
        <v>0</v>
      </c>
      <c r="E250">
        <v>39010</v>
      </c>
      <c r="F250">
        <v>2958465</v>
      </c>
      <c r="G250">
        <v>6304</v>
      </c>
      <c r="H250" t="s">
        <v>9</v>
      </c>
      <c r="I250" t="s">
        <v>90</v>
      </c>
      <c r="J250">
        <v>0</v>
      </c>
      <c r="K250">
        <v>0</v>
      </c>
      <c r="N250">
        <v>0</v>
      </c>
      <c r="O250" t="s">
        <v>91</v>
      </c>
      <c r="P250" t="s">
        <v>225</v>
      </c>
      <c r="Q250" s="16">
        <f>IF(CustomerHierarchyLevels[[#This Row],[HgLvCust.]]=0,CustomerHierarchyLevels[[#This Row],[Customer]],CustomerHierarchyLevels[[#This Row],[HgLvCust.]])</f>
        <v>6304</v>
      </c>
      <c r="R250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0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1" spans="1:19" x14ac:dyDescent="0.25">
      <c r="A251">
        <v>1225</v>
      </c>
      <c r="B251" t="s">
        <v>9</v>
      </c>
      <c r="C251" t="s">
        <v>90</v>
      </c>
      <c r="D251">
        <v>0</v>
      </c>
      <c r="E251">
        <v>39010</v>
      </c>
      <c r="F251">
        <v>2958465</v>
      </c>
      <c r="G251">
        <v>6303</v>
      </c>
      <c r="H251" t="s">
        <v>9</v>
      </c>
      <c r="I251" t="s">
        <v>90</v>
      </c>
      <c r="J251">
        <v>0</v>
      </c>
      <c r="K251">
        <v>0</v>
      </c>
      <c r="N251">
        <v>0</v>
      </c>
      <c r="O251" t="s">
        <v>91</v>
      </c>
      <c r="P251" t="s">
        <v>275</v>
      </c>
      <c r="Q251" s="16">
        <f>IF(CustomerHierarchyLevels[[#This Row],[HgLvCust.]]=0,CustomerHierarchyLevels[[#This Row],[Customer]],CustomerHierarchyLevels[[#This Row],[HgLvCust.]])</f>
        <v>6303</v>
      </c>
      <c r="R251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1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2" spans="1:19" x14ac:dyDescent="0.25">
      <c r="A252">
        <v>1359</v>
      </c>
      <c r="B252" t="s">
        <v>9</v>
      </c>
      <c r="C252" t="s">
        <v>90</v>
      </c>
      <c r="D252">
        <v>0</v>
      </c>
      <c r="E252">
        <v>39010</v>
      </c>
      <c r="F252">
        <v>2958465</v>
      </c>
      <c r="G252">
        <v>6304</v>
      </c>
      <c r="H252" t="s">
        <v>9</v>
      </c>
      <c r="I252" t="s">
        <v>90</v>
      </c>
      <c r="J252">
        <v>0</v>
      </c>
      <c r="K252">
        <v>0</v>
      </c>
      <c r="N252">
        <v>0</v>
      </c>
      <c r="O252" t="s">
        <v>91</v>
      </c>
      <c r="P252" t="s">
        <v>170</v>
      </c>
      <c r="Q252" s="16">
        <f>IF(CustomerHierarchyLevels[[#This Row],[HgLvCust.]]=0,CustomerHierarchyLevels[[#This Row],[Customer]],CustomerHierarchyLevels[[#This Row],[HgLvCust.]])</f>
        <v>6304</v>
      </c>
      <c r="R252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2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3" spans="1:19" x14ac:dyDescent="0.25">
      <c r="A253">
        <v>1358</v>
      </c>
      <c r="B253" t="s">
        <v>9</v>
      </c>
      <c r="C253" t="s">
        <v>90</v>
      </c>
      <c r="D253">
        <v>0</v>
      </c>
      <c r="E253">
        <v>39010</v>
      </c>
      <c r="F253">
        <v>2958465</v>
      </c>
      <c r="G253">
        <v>6304</v>
      </c>
      <c r="H253" t="s">
        <v>9</v>
      </c>
      <c r="I253" t="s">
        <v>90</v>
      </c>
      <c r="J253">
        <v>0</v>
      </c>
      <c r="K253">
        <v>0</v>
      </c>
      <c r="N253">
        <v>0</v>
      </c>
      <c r="O253" t="s">
        <v>91</v>
      </c>
      <c r="P253" t="s">
        <v>129</v>
      </c>
      <c r="Q253" s="16">
        <f>IF(CustomerHierarchyLevels[[#This Row],[HgLvCust.]]=0,CustomerHierarchyLevels[[#This Row],[Customer]],CustomerHierarchyLevels[[#This Row],[HgLvCust.]])</f>
        <v>6304</v>
      </c>
      <c r="R253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3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4" spans="1:19" x14ac:dyDescent="0.25">
      <c r="A254">
        <v>1695</v>
      </c>
      <c r="B254" t="s">
        <v>9</v>
      </c>
      <c r="C254" t="s">
        <v>90</v>
      </c>
      <c r="D254">
        <v>0</v>
      </c>
      <c r="E254">
        <v>39010</v>
      </c>
      <c r="F254">
        <v>2958465</v>
      </c>
      <c r="G254">
        <v>6304</v>
      </c>
      <c r="H254" t="s">
        <v>9</v>
      </c>
      <c r="I254" t="s">
        <v>90</v>
      </c>
      <c r="J254">
        <v>0</v>
      </c>
      <c r="K254">
        <v>0</v>
      </c>
      <c r="N254">
        <v>0</v>
      </c>
      <c r="O254" t="s">
        <v>91</v>
      </c>
      <c r="P254" t="s">
        <v>257</v>
      </c>
      <c r="Q254" s="16">
        <f>IF(CustomerHierarchyLevels[[#This Row],[HgLvCust.]]=0,CustomerHierarchyLevels[[#This Row],[Customer]],CustomerHierarchyLevels[[#This Row],[HgLvCust.]])</f>
        <v>6304</v>
      </c>
      <c r="R254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4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5" spans="1:19" x14ac:dyDescent="0.25">
      <c r="A255">
        <v>1232</v>
      </c>
      <c r="B255" t="s">
        <v>9</v>
      </c>
      <c r="C255" t="s">
        <v>90</v>
      </c>
      <c r="D255">
        <v>0</v>
      </c>
      <c r="E255">
        <v>39010</v>
      </c>
      <c r="F255">
        <v>2958465</v>
      </c>
      <c r="G255">
        <v>6303</v>
      </c>
      <c r="H255" t="s">
        <v>9</v>
      </c>
      <c r="I255" t="s">
        <v>90</v>
      </c>
      <c r="J255">
        <v>0</v>
      </c>
      <c r="K255">
        <v>0</v>
      </c>
      <c r="N255">
        <v>0</v>
      </c>
      <c r="O255" t="s">
        <v>91</v>
      </c>
      <c r="P255" t="s">
        <v>248</v>
      </c>
      <c r="Q255" s="16">
        <f>IF(CustomerHierarchyLevels[[#This Row],[HgLvCust.]]=0,CustomerHierarchyLevels[[#This Row],[Customer]],CustomerHierarchyLevels[[#This Row],[HgLvCust.]])</f>
        <v>6303</v>
      </c>
      <c r="R255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5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6" spans="1:19" x14ac:dyDescent="0.25">
      <c r="A256">
        <v>1216</v>
      </c>
      <c r="B256" t="s">
        <v>9</v>
      </c>
      <c r="C256" t="s">
        <v>90</v>
      </c>
      <c r="D256">
        <v>0</v>
      </c>
      <c r="E256">
        <v>39010</v>
      </c>
      <c r="F256">
        <v>2958465</v>
      </c>
      <c r="G256">
        <v>6303</v>
      </c>
      <c r="H256" t="s">
        <v>9</v>
      </c>
      <c r="I256" t="s">
        <v>90</v>
      </c>
      <c r="J256">
        <v>0</v>
      </c>
      <c r="K256">
        <v>0</v>
      </c>
      <c r="N256">
        <v>0</v>
      </c>
      <c r="O256" t="s">
        <v>91</v>
      </c>
      <c r="P256" t="s">
        <v>1423</v>
      </c>
      <c r="Q256" s="16">
        <f>IF(CustomerHierarchyLevels[[#This Row],[HgLvCust.]]=0,CustomerHierarchyLevels[[#This Row],[Customer]],CustomerHierarchyLevels[[#This Row],[HgLvCust.]])</f>
        <v>6303</v>
      </c>
      <c r="R256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6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7" spans="1:19" x14ac:dyDescent="0.25">
      <c r="A257">
        <v>1215</v>
      </c>
      <c r="B257" t="s">
        <v>9</v>
      </c>
      <c r="C257" t="s">
        <v>90</v>
      </c>
      <c r="D257">
        <v>0</v>
      </c>
      <c r="E257">
        <v>39010</v>
      </c>
      <c r="F257">
        <v>2958465</v>
      </c>
      <c r="G257">
        <v>6303</v>
      </c>
      <c r="H257" t="s">
        <v>9</v>
      </c>
      <c r="I257" t="s">
        <v>90</v>
      </c>
      <c r="J257">
        <v>0</v>
      </c>
      <c r="K257">
        <v>0</v>
      </c>
      <c r="N257">
        <v>0</v>
      </c>
      <c r="O257" t="s">
        <v>91</v>
      </c>
      <c r="P257" t="s">
        <v>154</v>
      </c>
      <c r="Q257" s="16">
        <f>IF(CustomerHierarchyLevels[[#This Row],[HgLvCust.]]=0,CustomerHierarchyLevels[[#This Row],[Customer]],CustomerHierarchyLevels[[#This Row],[HgLvCust.]])</f>
        <v>6303</v>
      </c>
      <c r="R257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7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8" spans="1:19" x14ac:dyDescent="0.25">
      <c r="A258">
        <v>1157</v>
      </c>
      <c r="B258" t="s">
        <v>9</v>
      </c>
      <c r="C258" t="s">
        <v>90</v>
      </c>
      <c r="D258">
        <v>0</v>
      </c>
      <c r="E258">
        <v>39083</v>
      </c>
      <c r="F258">
        <v>2958465</v>
      </c>
      <c r="G258">
        <v>6303</v>
      </c>
      <c r="H258" t="s">
        <v>9</v>
      </c>
      <c r="I258" t="s">
        <v>90</v>
      </c>
      <c r="J258">
        <v>0</v>
      </c>
      <c r="K258">
        <v>0</v>
      </c>
      <c r="N258">
        <v>0</v>
      </c>
      <c r="O258" t="s">
        <v>91</v>
      </c>
      <c r="P258" t="s">
        <v>267</v>
      </c>
      <c r="Q258" s="16">
        <f>IF(CustomerHierarchyLevels[[#This Row],[HgLvCust.]]=0,CustomerHierarchyLevels[[#This Row],[Customer]],CustomerHierarchyLevels[[#This Row],[HgLvCust.]])</f>
        <v>6303</v>
      </c>
      <c r="R258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8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9" spans="1:19" x14ac:dyDescent="0.25">
      <c r="A259">
        <v>1989</v>
      </c>
      <c r="B259" t="s">
        <v>9</v>
      </c>
      <c r="C259" t="s">
        <v>90</v>
      </c>
      <c r="D259">
        <v>0</v>
      </c>
      <c r="E259">
        <v>39010</v>
      </c>
      <c r="F259">
        <v>2958465</v>
      </c>
      <c r="G259">
        <v>6303</v>
      </c>
      <c r="H259" t="s">
        <v>9</v>
      </c>
      <c r="I259" t="s">
        <v>90</v>
      </c>
      <c r="J259">
        <v>0</v>
      </c>
      <c r="K259">
        <v>0</v>
      </c>
      <c r="N259">
        <v>0</v>
      </c>
      <c r="O259" t="s">
        <v>91</v>
      </c>
      <c r="P259" t="s">
        <v>167</v>
      </c>
      <c r="Q259" s="16">
        <f>IF(CustomerHierarchyLevels[[#This Row],[HgLvCust.]]=0,CustomerHierarchyLevels[[#This Row],[Customer]],CustomerHierarchyLevels[[#This Row],[HgLvCust.]])</f>
        <v>6303</v>
      </c>
      <c r="R259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9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60" spans="1:19" x14ac:dyDescent="0.25">
      <c r="A260">
        <v>1433</v>
      </c>
      <c r="B260" t="s">
        <v>9</v>
      </c>
      <c r="C260" t="s">
        <v>90</v>
      </c>
      <c r="D260">
        <v>0</v>
      </c>
      <c r="E260">
        <v>39010</v>
      </c>
      <c r="F260">
        <v>2958465</v>
      </c>
      <c r="G260">
        <v>6303</v>
      </c>
      <c r="H260" t="s">
        <v>9</v>
      </c>
      <c r="I260" t="s">
        <v>90</v>
      </c>
      <c r="J260">
        <v>0</v>
      </c>
      <c r="K260">
        <v>0</v>
      </c>
      <c r="N260">
        <v>0</v>
      </c>
      <c r="O260" t="s">
        <v>91</v>
      </c>
      <c r="P260" t="s">
        <v>288</v>
      </c>
      <c r="Q260" s="16">
        <f>IF(CustomerHierarchyLevels[[#This Row],[HgLvCust.]]=0,CustomerHierarchyLevels[[#This Row],[Customer]],CustomerHierarchyLevels[[#This Row],[HgLvCust.]])</f>
        <v>6303</v>
      </c>
      <c r="R260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60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61" spans="1:19" x14ac:dyDescent="0.25">
      <c r="A261">
        <v>1183</v>
      </c>
      <c r="B261" t="s">
        <v>9</v>
      </c>
      <c r="C261" t="s">
        <v>90</v>
      </c>
      <c r="D261">
        <v>0</v>
      </c>
      <c r="E261">
        <v>39010</v>
      </c>
      <c r="F261">
        <v>2958465</v>
      </c>
      <c r="G261">
        <v>6303</v>
      </c>
      <c r="H261" t="s">
        <v>9</v>
      </c>
      <c r="I261" t="s">
        <v>90</v>
      </c>
      <c r="J261">
        <v>0</v>
      </c>
      <c r="K261">
        <v>0</v>
      </c>
      <c r="N261">
        <v>0</v>
      </c>
      <c r="O261" t="s">
        <v>91</v>
      </c>
      <c r="P261" t="s">
        <v>1424</v>
      </c>
      <c r="Q261" s="16">
        <f>IF(CustomerHierarchyLevels[[#This Row],[HgLvCust.]]=0,CustomerHierarchyLevels[[#This Row],[Customer]],CustomerHierarchyLevels[[#This Row],[HgLvCust.]])</f>
        <v>6303</v>
      </c>
      <c r="R261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61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62" spans="1:19" x14ac:dyDescent="0.25">
      <c r="A262">
        <v>6579</v>
      </c>
      <c r="B262" t="s">
        <v>9</v>
      </c>
      <c r="C262" t="s">
        <v>90</v>
      </c>
      <c r="D262">
        <v>0</v>
      </c>
      <c r="E262">
        <v>39010</v>
      </c>
      <c r="F262">
        <v>2958465</v>
      </c>
      <c r="G262">
        <v>6321</v>
      </c>
      <c r="H262" t="s">
        <v>9</v>
      </c>
      <c r="I262" t="s">
        <v>90</v>
      </c>
      <c r="J262">
        <v>0</v>
      </c>
      <c r="K262">
        <v>0</v>
      </c>
      <c r="N262">
        <v>0</v>
      </c>
      <c r="O262" t="s">
        <v>91</v>
      </c>
      <c r="P262" t="s">
        <v>263</v>
      </c>
      <c r="Q262" s="16">
        <f>IF(CustomerHierarchyLevels[[#This Row],[HgLvCust.]]=0,CustomerHierarchyLevels[[#This Row],[Customer]],CustomerHierarchyLevels[[#This Row],[HgLvCust.]])</f>
        <v>6321</v>
      </c>
      <c r="R262" s="16">
        <f>IF(VLOOKUP(CustomerHierarchyLevels[[#This Row],[Level1]],CustomerHierarchyLevels[],7,FALSE)=0,CustomerHierarchyLevels[[#This Row],[Level1]],VLOOKUP(CustomerHierarchyLevels[[#This Row],[Level1]],CustomerHierarchyLevels[],7,FALSE))</f>
        <v>2110</v>
      </c>
      <c r="S262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63" spans="1:19" x14ac:dyDescent="0.25">
      <c r="A263">
        <v>6581</v>
      </c>
      <c r="B263" t="s">
        <v>9</v>
      </c>
      <c r="C263" t="s">
        <v>90</v>
      </c>
      <c r="D263">
        <v>0</v>
      </c>
      <c r="E263">
        <v>39010</v>
      </c>
      <c r="F263">
        <v>2958465</v>
      </c>
      <c r="G263">
        <v>6322</v>
      </c>
      <c r="H263" t="s">
        <v>9</v>
      </c>
      <c r="I263" t="s">
        <v>90</v>
      </c>
      <c r="J263">
        <v>0</v>
      </c>
      <c r="K263">
        <v>0</v>
      </c>
      <c r="N263">
        <v>0</v>
      </c>
      <c r="O263" t="s">
        <v>91</v>
      </c>
      <c r="P263" t="s">
        <v>235</v>
      </c>
      <c r="Q263" s="16">
        <f>IF(CustomerHierarchyLevels[[#This Row],[HgLvCust.]]=0,CustomerHierarchyLevels[[#This Row],[Customer]],CustomerHierarchyLevels[[#This Row],[HgLvCust.]])</f>
        <v>6322</v>
      </c>
      <c r="R263" s="16">
        <f>IF(VLOOKUP(CustomerHierarchyLevels[[#This Row],[Level1]],CustomerHierarchyLevels[],7,FALSE)=0,CustomerHierarchyLevels[[#This Row],[Level1]],VLOOKUP(CustomerHierarchyLevels[[#This Row],[Level1]],CustomerHierarchyLevels[],7,FALSE))</f>
        <v>2110</v>
      </c>
      <c r="S263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64" spans="1:19" x14ac:dyDescent="0.25">
      <c r="A264">
        <v>6582</v>
      </c>
      <c r="B264" t="s">
        <v>9</v>
      </c>
      <c r="C264" t="s">
        <v>90</v>
      </c>
      <c r="D264">
        <v>0</v>
      </c>
      <c r="E264">
        <v>39010</v>
      </c>
      <c r="F264">
        <v>2958465</v>
      </c>
      <c r="G264">
        <v>6320</v>
      </c>
      <c r="H264" t="s">
        <v>9</v>
      </c>
      <c r="I264" t="s">
        <v>90</v>
      </c>
      <c r="J264">
        <v>0</v>
      </c>
      <c r="K264">
        <v>0</v>
      </c>
      <c r="N264">
        <v>0</v>
      </c>
      <c r="O264" t="s">
        <v>91</v>
      </c>
      <c r="P264" t="s">
        <v>260</v>
      </c>
      <c r="Q264" s="16">
        <f>IF(CustomerHierarchyLevels[[#This Row],[HgLvCust.]]=0,CustomerHierarchyLevels[[#This Row],[Customer]],CustomerHierarchyLevels[[#This Row],[HgLvCust.]])</f>
        <v>6320</v>
      </c>
      <c r="R264" s="16">
        <f>IF(VLOOKUP(CustomerHierarchyLevels[[#This Row],[Level1]],CustomerHierarchyLevels[],7,FALSE)=0,CustomerHierarchyLevels[[#This Row],[Level1]],VLOOKUP(CustomerHierarchyLevels[[#This Row],[Level1]],CustomerHierarchyLevels[],7,FALSE))</f>
        <v>2110</v>
      </c>
      <c r="S264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65" spans="1:19" x14ac:dyDescent="0.25">
      <c r="A265">
        <v>6583</v>
      </c>
      <c r="B265" t="s">
        <v>9</v>
      </c>
      <c r="C265" t="s">
        <v>90</v>
      </c>
      <c r="D265">
        <v>0</v>
      </c>
      <c r="E265">
        <v>39010</v>
      </c>
      <c r="F265">
        <v>2958465</v>
      </c>
      <c r="G265">
        <v>6322</v>
      </c>
      <c r="H265" t="s">
        <v>9</v>
      </c>
      <c r="I265" t="s">
        <v>90</v>
      </c>
      <c r="J265">
        <v>0</v>
      </c>
      <c r="K265">
        <v>0</v>
      </c>
      <c r="N265">
        <v>0</v>
      </c>
      <c r="O265" t="s">
        <v>91</v>
      </c>
      <c r="P265" t="s">
        <v>237</v>
      </c>
      <c r="Q265" s="16">
        <f>IF(CustomerHierarchyLevels[[#This Row],[HgLvCust.]]=0,CustomerHierarchyLevels[[#This Row],[Customer]],CustomerHierarchyLevels[[#This Row],[HgLvCust.]])</f>
        <v>6322</v>
      </c>
      <c r="R265" s="16">
        <f>IF(VLOOKUP(CustomerHierarchyLevels[[#This Row],[Level1]],CustomerHierarchyLevels[],7,FALSE)=0,CustomerHierarchyLevels[[#This Row],[Level1]],VLOOKUP(CustomerHierarchyLevels[[#This Row],[Level1]],CustomerHierarchyLevels[],7,FALSE))</f>
        <v>2110</v>
      </c>
      <c r="S265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66" spans="1:19" x14ac:dyDescent="0.25">
      <c r="A266">
        <v>6584</v>
      </c>
      <c r="B266" t="s">
        <v>9</v>
      </c>
      <c r="C266" t="s">
        <v>90</v>
      </c>
      <c r="D266">
        <v>0</v>
      </c>
      <c r="E266">
        <v>39010</v>
      </c>
      <c r="F266">
        <v>2958465</v>
      </c>
      <c r="G266">
        <v>6320</v>
      </c>
      <c r="H266" t="s">
        <v>9</v>
      </c>
      <c r="I266" t="s">
        <v>90</v>
      </c>
      <c r="J266">
        <v>0</v>
      </c>
      <c r="K266">
        <v>0</v>
      </c>
      <c r="N266">
        <v>0</v>
      </c>
      <c r="O266" t="s">
        <v>91</v>
      </c>
      <c r="P266" t="s">
        <v>273</v>
      </c>
      <c r="Q266" s="16">
        <f>IF(CustomerHierarchyLevels[[#This Row],[HgLvCust.]]=0,CustomerHierarchyLevels[[#This Row],[Customer]],CustomerHierarchyLevels[[#This Row],[HgLvCust.]])</f>
        <v>6320</v>
      </c>
      <c r="R266" s="16">
        <f>IF(VLOOKUP(CustomerHierarchyLevels[[#This Row],[Level1]],CustomerHierarchyLevels[],7,FALSE)=0,CustomerHierarchyLevels[[#This Row],[Level1]],VLOOKUP(CustomerHierarchyLevels[[#This Row],[Level1]],CustomerHierarchyLevels[],7,FALSE))</f>
        <v>2110</v>
      </c>
      <c r="S266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67" spans="1:19" x14ac:dyDescent="0.25">
      <c r="A267">
        <v>1305</v>
      </c>
      <c r="B267" t="s">
        <v>9</v>
      </c>
      <c r="C267" t="s">
        <v>90</v>
      </c>
      <c r="D267">
        <v>0</v>
      </c>
      <c r="E267">
        <v>39010</v>
      </c>
      <c r="F267">
        <v>2958465</v>
      </c>
      <c r="G267">
        <v>6320</v>
      </c>
      <c r="H267" t="s">
        <v>9</v>
      </c>
      <c r="I267" t="s">
        <v>90</v>
      </c>
      <c r="J267">
        <v>0</v>
      </c>
      <c r="K267">
        <v>0</v>
      </c>
      <c r="N267">
        <v>0</v>
      </c>
      <c r="O267" t="s">
        <v>91</v>
      </c>
      <c r="P267" t="s">
        <v>1425</v>
      </c>
      <c r="Q267" s="16">
        <f>IF(CustomerHierarchyLevels[[#This Row],[HgLvCust.]]=0,CustomerHierarchyLevels[[#This Row],[Customer]],CustomerHierarchyLevels[[#This Row],[HgLvCust.]])</f>
        <v>6320</v>
      </c>
      <c r="R267" s="16">
        <f>IF(VLOOKUP(CustomerHierarchyLevels[[#This Row],[Level1]],CustomerHierarchyLevels[],7,FALSE)=0,CustomerHierarchyLevels[[#This Row],[Level1]],VLOOKUP(CustomerHierarchyLevels[[#This Row],[Level1]],CustomerHierarchyLevels[],7,FALSE))</f>
        <v>2110</v>
      </c>
      <c r="S267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68" spans="1:19" x14ac:dyDescent="0.25">
      <c r="A268">
        <v>6001</v>
      </c>
      <c r="B268" t="s">
        <v>9</v>
      </c>
      <c r="C268" t="s">
        <v>90</v>
      </c>
      <c r="D268">
        <v>0</v>
      </c>
      <c r="E268">
        <v>39010</v>
      </c>
      <c r="F268">
        <v>2958465</v>
      </c>
      <c r="G268">
        <v>6325</v>
      </c>
      <c r="H268" t="s">
        <v>9</v>
      </c>
      <c r="I268" t="s">
        <v>90</v>
      </c>
      <c r="J268">
        <v>0</v>
      </c>
      <c r="K268">
        <v>0</v>
      </c>
      <c r="N268">
        <v>0</v>
      </c>
      <c r="O268" t="s">
        <v>91</v>
      </c>
      <c r="P268" t="s">
        <v>1426</v>
      </c>
      <c r="Q268" s="16">
        <f>IF(CustomerHierarchyLevels[[#This Row],[HgLvCust.]]=0,CustomerHierarchyLevels[[#This Row],[Customer]],CustomerHierarchyLevels[[#This Row],[HgLvCust.]])</f>
        <v>6325</v>
      </c>
      <c r="R268" s="16">
        <f>IF(VLOOKUP(CustomerHierarchyLevels[[#This Row],[Level1]],CustomerHierarchyLevels[],7,FALSE)=0,CustomerHierarchyLevels[[#This Row],[Level1]],VLOOKUP(CustomerHierarchyLevels[[#This Row],[Level1]],CustomerHierarchyLevels[],7,FALSE))</f>
        <v>6323</v>
      </c>
      <c r="S268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69" spans="1:19" x14ac:dyDescent="0.25">
      <c r="A269">
        <v>1558</v>
      </c>
      <c r="B269" t="s">
        <v>9</v>
      </c>
      <c r="C269" t="s">
        <v>90</v>
      </c>
      <c r="D269">
        <v>0</v>
      </c>
      <c r="E269">
        <v>39010</v>
      </c>
      <c r="F269">
        <v>2958465</v>
      </c>
      <c r="G269">
        <v>6324</v>
      </c>
      <c r="H269" t="s">
        <v>9</v>
      </c>
      <c r="I269" t="s">
        <v>90</v>
      </c>
      <c r="J269">
        <v>0</v>
      </c>
      <c r="K269">
        <v>0</v>
      </c>
      <c r="N269">
        <v>0</v>
      </c>
      <c r="O269" t="s">
        <v>91</v>
      </c>
      <c r="P269" t="s">
        <v>1427</v>
      </c>
      <c r="Q269" s="16">
        <f>IF(CustomerHierarchyLevels[[#This Row],[HgLvCust.]]=0,CustomerHierarchyLevels[[#This Row],[Customer]],CustomerHierarchyLevels[[#This Row],[HgLvCust.]])</f>
        <v>6324</v>
      </c>
      <c r="R269" s="16">
        <f>IF(VLOOKUP(CustomerHierarchyLevels[[#This Row],[Level1]],CustomerHierarchyLevels[],7,FALSE)=0,CustomerHierarchyLevels[[#This Row],[Level1]],VLOOKUP(CustomerHierarchyLevels[[#This Row],[Level1]],CustomerHierarchyLevels[],7,FALSE))</f>
        <v>6323</v>
      </c>
      <c r="S269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70" spans="1:19" x14ac:dyDescent="0.25">
      <c r="A270">
        <v>6585</v>
      </c>
      <c r="B270" t="s">
        <v>9</v>
      </c>
      <c r="C270" t="s">
        <v>90</v>
      </c>
      <c r="D270">
        <v>0</v>
      </c>
      <c r="E270">
        <v>39010</v>
      </c>
      <c r="F270">
        <v>2958465</v>
      </c>
      <c r="G270">
        <v>6325</v>
      </c>
      <c r="H270" t="s">
        <v>9</v>
      </c>
      <c r="I270" t="s">
        <v>90</v>
      </c>
      <c r="J270">
        <v>0</v>
      </c>
      <c r="K270">
        <v>0</v>
      </c>
      <c r="N270">
        <v>0</v>
      </c>
      <c r="O270" t="s">
        <v>91</v>
      </c>
      <c r="P270" t="s">
        <v>1428</v>
      </c>
      <c r="Q270" s="16">
        <f>IF(CustomerHierarchyLevels[[#This Row],[HgLvCust.]]=0,CustomerHierarchyLevels[[#This Row],[Customer]],CustomerHierarchyLevels[[#This Row],[HgLvCust.]])</f>
        <v>6325</v>
      </c>
      <c r="R270" s="16">
        <f>IF(VLOOKUP(CustomerHierarchyLevels[[#This Row],[Level1]],CustomerHierarchyLevels[],7,FALSE)=0,CustomerHierarchyLevels[[#This Row],[Level1]],VLOOKUP(CustomerHierarchyLevels[[#This Row],[Level1]],CustomerHierarchyLevels[],7,FALSE))</f>
        <v>6323</v>
      </c>
      <c r="S270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71" spans="1:19" x14ac:dyDescent="0.25">
      <c r="A271">
        <v>6586</v>
      </c>
      <c r="B271" t="s">
        <v>9</v>
      </c>
      <c r="C271" t="s">
        <v>90</v>
      </c>
      <c r="D271">
        <v>0</v>
      </c>
      <c r="E271">
        <v>39010</v>
      </c>
      <c r="F271">
        <v>2958465</v>
      </c>
      <c r="G271">
        <v>6324</v>
      </c>
      <c r="H271" t="s">
        <v>9</v>
      </c>
      <c r="I271" t="s">
        <v>90</v>
      </c>
      <c r="J271">
        <v>0</v>
      </c>
      <c r="K271">
        <v>0</v>
      </c>
      <c r="N271">
        <v>0</v>
      </c>
      <c r="O271" t="s">
        <v>91</v>
      </c>
      <c r="P271" t="s">
        <v>1429</v>
      </c>
      <c r="Q271" s="16">
        <f>IF(CustomerHierarchyLevels[[#This Row],[HgLvCust.]]=0,CustomerHierarchyLevels[[#This Row],[Customer]],CustomerHierarchyLevels[[#This Row],[HgLvCust.]])</f>
        <v>6324</v>
      </c>
      <c r="R271" s="16">
        <f>IF(VLOOKUP(CustomerHierarchyLevels[[#This Row],[Level1]],CustomerHierarchyLevels[],7,FALSE)=0,CustomerHierarchyLevels[[#This Row],[Level1]],VLOOKUP(CustomerHierarchyLevels[[#This Row],[Level1]],CustomerHierarchyLevels[],7,FALSE))</f>
        <v>6323</v>
      </c>
      <c r="S271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72" spans="1:19" x14ac:dyDescent="0.25">
      <c r="A272">
        <v>1376</v>
      </c>
      <c r="B272" t="s">
        <v>9</v>
      </c>
      <c r="C272" t="s">
        <v>90</v>
      </c>
      <c r="D272">
        <v>0</v>
      </c>
      <c r="E272">
        <v>39010</v>
      </c>
      <c r="F272">
        <v>2958465</v>
      </c>
      <c r="G272">
        <v>6324</v>
      </c>
      <c r="H272" t="s">
        <v>9</v>
      </c>
      <c r="I272" t="s">
        <v>90</v>
      </c>
      <c r="J272">
        <v>0</v>
      </c>
      <c r="K272">
        <v>0</v>
      </c>
      <c r="N272">
        <v>0</v>
      </c>
      <c r="O272" t="s">
        <v>91</v>
      </c>
      <c r="P272" t="s">
        <v>1430</v>
      </c>
      <c r="Q272" s="16">
        <f>IF(CustomerHierarchyLevels[[#This Row],[HgLvCust.]]=0,CustomerHierarchyLevels[[#This Row],[Customer]],CustomerHierarchyLevels[[#This Row],[HgLvCust.]])</f>
        <v>6324</v>
      </c>
      <c r="R272" s="16">
        <f>IF(VLOOKUP(CustomerHierarchyLevels[[#This Row],[Level1]],CustomerHierarchyLevels[],7,FALSE)=0,CustomerHierarchyLevels[[#This Row],[Level1]],VLOOKUP(CustomerHierarchyLevels[[#This Row],[Level1]],CustomerHierarchyLevels[],7,FALSE))</f>
        <v>6323</v>
      </c>
      <c r="S272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73" spans="1:19" x14ac:dyDescent="0.25">
      <c r="A273">
        <v>1288</v>
      </c>
      <c r="B273" t="s">
        <v>9</v>
      </c>
      <c r="C273" t="s">
        <v>90</v>
      </c>
      <c r="D273">
        <v>0</v>
      </c>
      <c r="E273">
        <v>39010</v>
      </c>
      <c r="F273">
        <v>2958465</v>
      </c>
      <c r="G273">
        <v>6327</v>
      </c>
      <c r="H273" t="s">
        <v>9</v>
      </c>
      <c r="I273" t="s">
        <v>90</v>
      </c>
      <c r="J273">
        <v>0</v>
      </c>
      <c r="K273">
        <v>0</v>
      </c>
      <c r="N273">
        <v>0</v>
      </c>
      <c r="O273" t="s">
        <v>91</v>
      </c>
      <c r="P273" t="s">
        <v>190</v>
      </c>
      <c r="Q273" s="16">
        <f>IF(CustomerHierarchyLevels[[#This Row],[HgLvCust.]]=0,CustomerHierarchyLevels[[#This Row],[Customer]],CustomerHierarchyLevels[[#This Row],[HgLvCust.]])</f>
        <v>6327</v>
      </c>
      <c r="R273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73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74" spans="1:19" x14ac:dyDescent="0.25">
      <c r="A274">
        <v>1287</v>
      </c>
      <c r="B274" t="s">
        <v>9</v>
      </c>
      <c r="C274" t="s">
        <v>90</v>
      </c>
      <c r="D274">
        <v>0</v>
      </c>
      <c r="E274">
        <v>39010</v>
      </c>
      <c r="F274">
        <v>2958465</v>
      </c>
      <c r="G274">
        <v>6327</v>
      </c>
      <c r="H274" t="s">
        <v>9</v>
      </c>
      <c r="I274" t="s">
        <v>90</v>
      </c>
      <c r="J274">
        <v>0</v>
      </c>
      <c r="K274">
        <v>0</v>
      </c>
      <c r="N274">
        <v>0</v>
      </c>
      <c r="O274" t="s">
        <v>91</v>
      </c>
      <c r="P274" t="s">
        <v>193</v>
      </c>
      <c r="Q274" s="16">
        <f>IF(CustomerHierarchyLevels[[#This Row],[HgLvCust.]]=0,CustomerHierarchyLevels[[#This Row],[Customer]],CustomerHierarchyLevels[[#This Row],[HgLvCust.]])</f>
        <v>6327</v>
      </c>
      <c r="R274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74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75" spans="1:19" x14ac:dyDescent="0.25">
      <c r="A275">
        <v>1292</v>
      </c>
      <c r="B275" t="s">
        <v>9</v>
      </c>
      <c r="C275" t="s">
        <v>90</v>
      </c>
      <c r="D275">
        <v>0</v>
      </c>
      <c r="E275">
        <v>39010</v>
      </c>
      <c r="F275">
        <v>2958465</v>
      </c>
      <c r="G275">
        <v>6329</v>
      </c>
      <c r="H275" t="s">
        <v>9</v>
      </c>
      <c r="I275" t="s">
        <v>90</v>
      </c>
      <c r="J275">
        <v>0</v>
      </c>
      <c r="K275">
        <v>0</v>
      </c>
      <c r="N275">
        <v>0</v>
      </c>
      <c r="O275" t="s">
        <v>91</v>
      </c>
      <c r="P275" t="s">
        <v>197</v>
      </c>
      <c r="Q275" s="16">
        <f>IF(CustomerHierarchyLevels[[#This Row],[HgLvCust.]]=0,CustomerHierarchyLevels[[#This Row],[Customer]],CustomerHierarchyLevels[[#This Row],[HgLvCust.]])</f>
        <v>6329</v>
      </c>
      <c r="R275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75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76" spans="1:19" x14ac:dyDescent="0.25">
      <c r="A276">
        <v>1293</v>
      </c>
      <c r="B276" t="s">
        <v>9</v>
      </c>
      <c r="C276" t="s">
        <v>90</v>
      </c>
      <c r="D276">
        <v>0</v>
      </c>
      <c r="E276">
        <v>39010</v>
      </c>
      <c r="F276">
        <v>2958465</v>
      </c>
      <c r="G276">
        <v>6327</v>
      </c>
      <c r="H276" t="s">
        <v>9</v>
      </c>
      <c r="I276" t="s">
        <v>90</v>
      </c>
      <c r="J276">
        <v>0</v>
      </c>
      <c r="K276">
        <v>0</v>
      </c>
      <c r="N276">
        <v>0</v>
      </c>
      <c r="O276" t="s">
        <v>91</v>
      </c>
      <c r="P276" t="s">
        <v>265</v>
      </c>
      <c r="Q276" s="16">
        <f>IF(CustomerHierarchyLevels[[#This Row],[HgLvCust.]]=0,CustomerHierarchyLevels[[#This Row],[Customer]],CustomerHierarchyLevels[[#This Row],[HgLvCust.]])</f>
        <v>6327</v>
      </c>
      <c r="R276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76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77" spans="1:19" x14ac:dyDescent="0.25">
      <c r="A277">
        <v>1298</v>
      </c>
      <c r="B277" t="s">
        <v>9</v>
      </c>
      <c r="C277" t="s">
        <v>90</v>
      </c>
      <c r="D277">
        <v>0</v>
      </c>
      <c r="E277">
        <v>39010</v>
      </c>
      <c r="F277">
        <v>2958465</v>
      </c>
      <c r="G277">
        <v>6328</v>
      </c>
      <c r="H277" t="s">
        <v>9</v>
      </c>
      <c r="I277" t="s">
        <v>90</v>
      </c>
      <c r="J277">
        <v>0</v>
      </c>
      <c r="K277">
        <v>0</v>
      </c>
      <c r="N277">
        <v>0</v>
      </c>
      <c r="O277" t="s">
        <v>91</v>
      </c>
      <c r="P277" t="s">
        <v>228</v>
      </c>
      <c r="Q277" s="16">
        <f>IF(CustomerHierarchyLevels[[#This Row],[HgLvCust.]]=0,CustomerHierarchyLevels[[#This Row],[Customer]],CustomerHierarchyLevels[[#This Row],[HgLvCust.]])</f>
        <v>6328</v>
      </c>
      <c r="R277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77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78" spans="1:19" x14ac:dyDescent="0.25">
      <c r="A278">
        <v>1289</v>
      </c>
      <c r="B278" t="s">
        <v>9</v>
      </c>
      <c r="C278" t="s">
        <v>90</v>
      </c>
      <c r="D278">
        <v>0</v>
      </c>
      <c r="E278">
        <v>39010</v>
      </c>
      <c r="F278">
        <v>2958465</v>
      </c>
      <c r="G278">
        <v>6328</v>
      </c>
      <c r="H278" t="s">
        <v>9</v>
      </c>
      <c r="I278" t="s">
        <v>90</v>
      </c>
      <c r="J278">
        <v>0</v>
      </c>
      <c r="K278">
        <v>0</v>
      </c>
      <c r="N278">
        <v>0</v>
      </c>
      <c r="O278" t="s">
        <v>91</v>
      </c>
      <c r="P278" t="s">
        <v>1431</v>
      </c>
      <c r="Q278" s="16">
        <f>IF(CustomerHierarchyLevels[[#This Row],[HgLvCust.]]=0,CustomerHierarchyLevels[[#This Row],[Customer]],CustomerHierarchyLevels[[#This Row],[HgLvCust.]])</f>
        <v>6328</v>
      </c>
      <c r="R278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78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79" spans="1:19" x14ac:dyDescent="0.25">
      <c r="A279">
        <v>1304</v>
      </c>
      <c r="B279" t="s">
        <v>9</v>
      </c>
      <c r="C279" t="s">
        <v>90</v>
      </c>
      <c r="D279">
        <v>0</v>
      </c>
      <c r="E279">
        <v>39010</v>
      </c>
      <c r="F279">
        <v>2958465</v>
      </c>
      <c r="G279">
        <v>6327</v>
      </c>
      <c r="H279" t="s">
        <v>9</v>
      </c>
      <c r="I279" t="s">
        <v>90</v>
      </c>
      <c r="J279">
        <v>0</v>
      </c>
      <c r="K279">
        <v>0</v>
      </c>
      <c r="N279">
        <v>0</v>
      </c>
      <c r="O279" t="s">
        <v>91</v>
      </c>
      <c r="P279" t="s">
        <v>226</v>
      </c>
      <c r="Q279" s="16">
        <f>IF(CustomerHierarchyLevels[[#This Row],[HgLvCust.]]=0,CustomerHierarchyLevels[[#This Row],[Customer]],CustomerHierarchyLevels[[#This Row],[HgLvCust.]])</f>
        <v>6327</v>
      </c>
      <c r="R279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79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80" spans="1:19" x14ac:dyDescent="0.25">
      <c r="A280">
        <v>1369</v>
      </c>
      <c r="B280" t="s">
        <v>9</v>
      </c>
      <c r="C280" t="s">
        <v>90</v>
      </c>
      <c r="D280">
        <v>0</v>
      </c>
      <c r="E280">
        <v>39010</v>
      </c>
      <c r="F280">
        <v>2958465</v>
      </c>
      <c r="G280">
        <v>6327</v>
      </c>
      <c r="H280" t="s">
        <v>9</v>
      </c>
      <c r="I280" t="s">
        <v>90</v>
      </c>
      <c r="J280">
        <v>0</v>
      </c>
      <c r="K280">
        <v>0</v>
      </c>
      <c r="N280">
        <v>0</v>
      </c>
      <c r="O280" t="s">
        <v>91</v>
      </c>
      <c r="P280" t="s">
        <v>179</v>
      </c>
      <c r="Q280" s="16">
        <f>IF(CustomerHierarchyLevels[[#This Row],[HgLvCust.]]=0,CustomerHierarchyLevels[[#This Row],[Customer]],CustomerHierarchyLevels[[#This Row],[HgLvCust.]])</f>
        <v>6327</v>
      </c>
      <c r="R280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80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81" spans="1:19" x14ac:dyDescent="0.25">
      <c r="A281">
        <v>1324</v>
      </c>
      <c r="B281" t="s">
        <v>9</v>
      </c>
      <c r="C281" t="s">
        <v>90</v>
      </c>
      <c r="D281">
        <v>0</v>
      </c>
      <c r="E281">
        <v>39010</v>
      </c>
      <c r="F281">
        <v>2958465</v>
      </c>
      <c r="G281">
        <v>6327</v>
      </c>
      <c r="H281" t="s">
        <v>9</v>
      </c>
      <c r="I281" t="s">
        <v>90</v>
      </c>
      <c r="J281">
        <v>0</v>
      </c>
      <c r="K281">
        <v>0</v>
      </c>
      <c r="N281">
        <v>0</v>
      </c>
      <c r="O281" t="s">
        <v>91</v>
      </c>
      <c r="P281" t="s">
        <v>216</v>
      </c>
      <c r="Q281" s="16">
        <f>IF(CustomerHierarchyLevels[[#This Row],[HgLvCust.]]=0,CustomerHierarchyLevels[[#This Row],[Customer]],CustomerHierarchyLevels[[#This Row],[HgLvCust.]])</f>
        <v>6327</v>
      </c>
      <c r="R281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81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82" spans="1:19" x14ac:dyDescent="0.25">
      <c r="A282">
        <v>1313</v>
      </c>
      <c r="B282" t="s">
        <v>9</v>
      </c>
      <c r="C282" t="s">
        <v>90</v>
      </c>
      <c r="D282">
        <v>0</v>
      </c>
      <c r="E282">
        <v>39010</v>
      </c>
      <c r="F282">
        <v>2958465</v>
      </c>
      <c r="G282">
        <v>6327</v>
      </c>
      <c r="H282" t="s">
        <v>9</v>
      </c>
      <c r="I282" t="s">
        <v>90</v>
      </c>
      <c r="J282">
        <v>0</v>
      </c>
      <c r="K282">
        <v>0</v>
      </c>
      <c r="N282">
        <v>0</v>
      </c>
      <c r="O282" t="s">
        <v>91</v>
      </c>
      <c r="P282" t="s">
        <v>166</v>
      </c>
      <c r="Q282" s="16">
        <f>IF(CustomerHierarchyLevels[[#This Row],[HgLvCust.]]=0,CustomerHierarchyLevels[[#This Row],[Customer]],CustomerHierarchyLevels[[#This Row],[HgLvCust.]])</f>
        <v>6327</v>
      </c>
      <c r="R282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82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83" spans="1:19" x14ac:dyDescent="0.25">
      <c r="A283">
        <v>2084</v>
      </c>
      <c r="B283" t="s">
        <v>9</v>
      </c>
      <c r="C283" t="s">
        <v>90</v>
      </c>
      <c r="D283">
        <v>0</v>
      </c>
      <c r="E283">
        <v>39010</v>
      </c>
      <c r="F283">
        <v>2958465</v>
      </c>
      <c r="G283">
        <v>6329</v>
      </c>
      <c r="H283" t="s">
        <v>9</v>
      </c>
      <c r="I283" t="s">
        <v>90</v>
      </c>
      <c r="J283">
        <v>0</v>
      </c>
      <c r="K283">
        <v>0</v>
      </c>
      <c r="N283">
        <v>0</v>
      </c>
      <c r="O283" t="s">
        <v>91</v>
      </c>
      <c r="P283" t="s">
        <v>189</v>
      </c>
      <c r="Q283" s="16">
        <f>IF(CustomerHierarchyLevels[[#This Row],[HgLvCust.]]=0,CustomerHierarchyLevels[[#This Row],[Customer]],CustomerHierarchyLevels[[#This Row],[HgLvCust.]])</f>
        <v>6329</v>
      </c>
      <c r="R283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83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84" spans="1:19" x14ac:dyDescent="0.25">
      <c r="A284">
        <v>5731</v>
      </c>
      <c r="B284" t="s">
        <v>9</v>
      </c>
      <c r="C284" t="s">
        <v>90</v>
      </c>
      <c r="D284">
        <v>0</v>
      </c>
      <c r="E284">
        <v>39010</v>
      </c>
      <c r="F284">
        <v>2958465</v>
      </c>
      <c r="G284">
        <v>6336</v>
      </c>
      <c r="H284" t="s">
        <v>9</v>
      </c>
      <c r="I284" t="s">
        <v>90</v>
      </c>
      <c r="J284">
        <v>0</v>
      </c>
      <c r="K284">
        <v>0</v>
      </c>
      <c r="N284">
        <v>0</v>
      </c>
      <c r="O284" t="s">
        <v>91</v>
      </c>
      <c r="P284" t="s">
        <v>1432</v>
      </c>
      <c r="Q284" s="16">
        <f>IF(CustomerHierarchyLevels[[#This Row],[HgLvCust.]]=0,CustomerHierarchyLevels[[#This Row],[Customer]],CustomerHierarchyLevels[[#This Row],[HgLvCust.]])</f>
        <v>6336</v>
      </c>
      <c r="R284" s="16">
        <f>IF(VLOOKUP(CustomerHierarchyLevels[[#This Row],[Level1]],CustomerHierarchyLevels[],7,FALSE)=0,CustomerHierarchyLevels[[#This Row],[Level1]],VLOOKUP(CustomerHierarchyLevels[[#This Row],[Level1]],CustomerHierarchyLevels[],7,FALSE))</f>
        <v>6334</v>
      </c>
      <c r="S284" s="16">
        <f>IF(VLOOKUP(CustomerHierarchyLevels[[#This Row],[Level2]],CustomerHierarchyLevels[],7,FALSE)=0,CustomerHierarchyLevels[[#This Row],[Level2]],VLOOKUP(CustomerHierarchyLevels[[#This Row],[Level2]],CustomerHierarchyLevels[],7,FALSE))</f>
        <v>6333</v>
      </c>
    </row>
    <row r="285" spans="1:19" x14ac:dyDescent="0.25">
      <c r="A285">
        <v>3222</v>
      </c>
      <c r="B285" t="s">
        <v>9</v>
      </c>
      <c r="C285" t="s">
        <v>90</v>
      </c>
      <c r="D285">
        <v>0</v>
      </c>
      <c r="E285">
        <v>39010</v>
      </c>
      <c r="F285">
        <v>2958465</v>
      </c>
      <c r="G285">
        <v>6330</v>
      </c>
      <c r="H285" t="s">
        <v>9</v>
      </c>
      <c r="I285" t="s">
        <v>90</v>
      </c>
      <c r="J285">
        <v>0</v>
      </c>
      <c r="K285">
        <v>0</v>
      </c>
      <c r="N285">
        <v>0</v>
      </c>
      <c r="O285" t="s">
        <v>91</v>
      </c>
      <c r="P285" t="s">
        <v>287</v>
      </c>
      <c r="Q285" s="16">
        <f>IF(CustomerHierarchyLevels[[#This Row],[HgLvCust.]]=0,CustomerHierarchyLevels[[#This Row],[Customer]],CustomerHierarchyLevels[[#This Row],[HgLvCust.]])</f>
        <v>6330</v>
      </c>
      <c r="R285" s="16">
        <f>IF(VLOOKUP(CustomerHierarchyLevels[[#This Row],[Level1]],CustomerHierarchyLevels[],7,FALSE)=0,CustomerHierarchyLevels[[#This Row],[Level1]],VLOOKUP(CustomerHierarchyLevels[[#This Row],[Level1]],CustomerHierarchyLevels[],7,FALSE))</f>
        <v>2158</v>
      </c>
      <c r="S285" s="16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86" spans="1:19" x14ac:dyDescent="0.25">
      <c r="A286">
        <v>1221</v>
      </c>
      <c r="B286" t="s">
        <v>9</v>
      </c>
      <c r="C286" t="s">
        <v>90</v>
      </c>
      <c r="D286">
        <v>0</v>
      </c>
      <c r="E286">
        <v>39010</v>
      </c>
      <c r="F286">
        <v>2958465</v>
      </c>
      <c r="G286">
        <v>6332</v>
      </c>
      <c r="H286" t="s">
        <v>9</v>
      </c>
      <c r="I286" t="s">
        <v>90</v>
      </c>
      <c r="J286">
        <v>0</v>
      </c>
      <c r="K286">
        <v>0</v>
      </c>
      <c r="N286">
        <v>0</v>
      </c>
      <c r="O286" t="s">
        <v>91</v>
      </c>
      <c r="P286" t="s">
        <v>201</v>
      </c>
      <c r="Q286" s="16">
        <f>IF(CustomerHierarchyLevels[[#This Row],[HgLvCust.]]=0,CustomerHierarchyLevels[[#This Row],[Customer]],CustomerHierarchyLevels[[#This Row],[HgLvCust.]])</f>
        <v>6332</v>
      </c>
      <c r="R286" s="16">
        <f>IF(VLOOKUP(CustomerHierarchyLevels[[#This Row],[Level1]],CustomerHierarchyLevels[],7,FALSE)=0,CustomerHierarchyLevels[[#This Row],[Level1]],VLOOKUP(CustomerHierarchyLevels[[#This Row],[Level1]],CustomerHierarchyLevels[],7,FALSE))</f>
        <v>2158</v>
      </c>
      <c r="S286" s="16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87" spans="1:19" x14ac:dyDescent="0.25">
      <c r="A287">
        <v>1360</v>
      </c>
      <c r="B287" t="s">
        <v>9</v>
      </c>
      <c r="C287" t="s">
        <v>90</v>
      </c>
      <c r="D287">
        <v>0</v>
      </c>
      <c r="E287">
        <v>39010</v>
      </c>
      <c r="F287">
        <v>2958465</v>
      </c>
      <c r="G287">
        <v>6332</v>
      </c>
      <c r="H287" t="s">
        <v>9</v>
      </c>
      <c r="I287" t="s">
        <v>90</v>
      </c>
      <c r="J287">
        <v>0</v>
      </c>
      <c r="K287">
        <v>0</v>
      </c>
      <c r="N287">
        <v>0</v>
      </c>
      <c r="O287" t="s">
        <v>91</v>
      </c>
      <c r="P287" t="s">
        <v>1433</v>
      </c>
      <c r="Q287" s="16">
        <f>IF(CustomerHierarchyLevels[[#This Row],[HgLvCust.]]=0,CustomerHierarchyLevels[[#This Row],[Customer]],CustomerHierarchyLevels[[#This Row],[HgLvCust.]])</f>
        <v>6332</v>
      </c>
      <c r="R287" s="16">
        <f>IF(VLOOKUP(CustomerHierarchyLevels[[#This Row],[Level1]],CustomerHierarchyLevels[],7,FALSE)=0,CustomerHierarchyLevels[[#This Row],[Level1]],VLOOKUP(CustomerHierarchyLevels[[#This Row],[Level1]],CustomerHierarchyLevels[],7,FALSE))</f>
        <v>2158</v>
      </c>
      <c r="S287" s="16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88" spans="1:19" x14ac:dyDescent="0.25">
      <c r="A288">
        <v>1402</v>
      </c>
      <c r="B288" t="s">
        <v>9</v>
      </c>
      <c r="C288" t="s">
        <v>90</v>
      </c>
      <c r="D288">
        <v>0</v>
      </c>
      <c r="E288">
        <v>39010</v>
      </c>
      <c r="F288">
        <v>2958465</v>
      </c>
      <c r="G288">
        <v>6332</v>
      </c>
      <c r="H288" t="s">
        <v>9</v>
      </c>
      <c r="I288" t="s">
        <v>90</v>
      </c>
      <c r="J288">
        <v>0</v>
      </c>
      <c r="K288">
        <v>0</v>
      </c>
      <c r="N288">
        <v>0</v>
      </c>
      <c r="O288" t="s">
        <v>91</v>
      </c>
      <c r="P288" t="s">
        <v>270</v>
      </c>
      <c r="Q288" s="16">
        <f>IF(CustomerHierarchyLevels[[#This Row],[HgLvCust.]]=0,CustomerHierarchyLevels[[#This Row],[Customer]],CustomerHierarchyLevels[[#This Row],[HgLvCust.]])</f>
        <v>6332</v>
      </c>
      <c r="R288" s="16">
        <f>IF(VLOOKUP(CustomerHierarchyLevels[[#This Row],[Level1]],CustomerHierarchyLevels[],7,FALSE)=0,CustomerHierarchyLevels[[#This Row],[Level1]],VLOOKUP(CustomerHierarchyLevels[[#This Row],[Level1]],CustomerHierarchyLevels[],7,FALSE))</f>
        <v>2158</v>
      </c>
      <c r="S288" s="16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89" spans="1:19" x14ac:dyDescent="0.25">
      <c r="A289">
        <v>1401</v>
      </c>
      <c r="B289" t="s">
        <v>9</v>
      </c>
      <c r="C289" t="s">
        <v>90</v>
      </c>
      <c r="D289">
        <v>0</v>
      </c>
      <c r="E289">
        <v>39010</v>
      </c>
      <c r="F289">
        <v>2958465</v>
      </c>
      <c r="G289">
        <v>6331</v>
      </c>
      <c r="H289" t="s">
        <v>9</v>
      </c>
      <c r="I289" t="s">
        <v>90</v>
      </c>
      <c r="J289">
        <v>0</v>
      </c>
      <c r="K289">
        <v>0</v>
      </c>
      <c r="N289">
        <v>0</v>
      </c>
      <c r="O289" t="s">
        <v>91</v>
      </c>
      <c r="P289" t="s">
        <v>261</v>
      </c>
      <c r="Q289" s="16">
        <f>IF(CustomerHierarchyLevels[[#This Row],[HgLvCust.]]=0,CustomerHierarchyLevels[[#This Row],[Customer]],CustomerHierarchyLevels[[#This Row],[HgLvCust.]])</f>
        <v>6331</v>
      </c>
      <c r="R289" s="16">
        <f>IF(VLOOKUP(CustomerHierarchyLevels[[#This Row],[Level1]],CustomerHierarchyLevels[],7,FALSE)=0,CustomerHierarchyLevels[[#This Row],[Level1]],VLOOKUP(CustomerHierarchyLevels[[#This Row],[Level1]],CustomerHierarchyLevels[],7,FALSE))</f>
        <v>2158</v>
      </c>
      <c r="S289" s="16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90" spans="1:19" x14ac:dyDescent="0.25">
      <c r="A290">
        <v>1208</v>
      </c>
      <c r="B290" t="s">
        <v>9</v>
      </c>
      <c r="C290" t="s">
        <v>90</v>
      </c>
      <c r="D290">
        <v>0</v>
      </c>
      <c r="E290">
        <v>39010</v>
      </c>
      <c r="F290">
        <v>2958465</v>
      </c>
      <c r="G290">
        <v>6330</v>
      </c>
      <c r="H290" t="s">
        <v>9</v>
      </c>
      <c r="I290" t="s">
        <v>90</v>
      </c>
      <c r="J290">
        <v>0</v>
      </c>
      <c r="K290">
        <v>0</v>
      </c>
      <c r="N290">
        <v>0</v>
      </c>
      <c r="O290" t="s">
        <v>91</v>
      </c>
      <c r="P290" t="s">
        <v>195</v>
      </c>
      <c r="Q290" s="16">
        <f>IF(CustomerHierarchyLevels[[#This Row],[HgLvCust.]]=0,CustomerHierarchyLevels[[#This Row],[Customer]],CustomerHierarchyLevels[[#This Row],[HgLvCust.]])</f>
        <v>6330</v>
      </c>
      <c r="R290" s="16">
        <f>IF(VLOOKUP(CustomerHierarchyLevels[[#This Row],[Level1]],CustomerHierarchyLevels[],7,FALSE)=0,CustomerHierarchyLevels[[#This Row],[Level1]],VLOOKUP(CustomerHierarchyLevels[[#This Row],[Level1]],CustomerHierarchyLevels[],7,FALSE))</f>
        <v>2158</v>
      </c>
      <c r="S290" s="16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91" spans="1:19" x14ac:dyDescent="0.25">
      <c r="A291">
        <v>1465</v>
      </c>
      <c r="B291" t="s">
        <v>9</v>
      </c>
      <c r="C291" t="s">
        <v>90</v>
      </c>
      <c r="D291">
        <v>0</v>
      </c>
      <c r="E291">
        <v>39010</v>
      </c>
      <c r="F291">
        <v>2958465</v>
      </c>
      <c r="G291">
        <v>6533</v>
      </c>
      <c r="H291" t="s">
        <v>9</v>
      </c>
      <c r="I291" t="s">
        <v>90</v>
      </c>
      <c r="J291">
        <v>0</v>
      </c>
      <c r="K291">
        <v>0</v>
      </c>
      <c r="N291">
        <v>0</v>
      </c>
      <c r="O291" t="s">
        <v>91</v>
      </c>
      <c r="P291" t="s">
        <v>1434</v>
      </c>
      <c r="Q291" s="16">
        <f>IF(CustomerHierarchyLevels[[#This Row],[HgLvCust.]]=0,CustomerHierarchyLevels[[#This Row],[Customer]],CustomerHierarchyLevels[[#This Row],[HgLvCust.]])</f>
        <v>6533</v>
      </c>
      <c r="R291" s="16">
        <f>IF(VLOOKUP(CustomerHierarchyLevels[[#This Row],[Level1]],CustomerHierarchyLevels[],7,FALSE)=0,CustomerHierarchyLevels[[#This Row],[Level1]],VLOOKUP(CustomerHierarchyLevels[[#This Row],[Level1]],CustomerHierarchyLevels[],7,FALSE))</f>
        <v>6532</v>
      </c>
      <c r="S291" s="16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292" spans="1:19" x14ac:dyDescent="0.25">
      <c r="A292">
        <v>1648</v>
      </c>
      <c r="B292" t="s">
        <v>9</v>
      </c>
      <c r="C292" t="s">
        <v>90</v>
      </c>
      <c r="D292">
        <v>0</v>
      </c>
      <c r="E292">
        <v>39010</v>
      </c>
      <c r="F292">
        <v>2958465</v>
      </c>
      <c r="G292">
        <v>6534</v>
      </c>
      <c r="H292" t="s">
        <v>9</v>
      </c>
      <c r="I292" t="s">
        <v>90</v>
      </c>
      <c r="J292">
        <v>0</v>
      </c>
      <c r="K292">
        <v>0</v>
      </c>
      <c r="N292">
        <v>0</v>
      </c>
      <c r="O292" t="s">
        <v>91</v>
      </c>
      <c r="P292" t="s">
        <v>1435</v>
      </c>
      <c r="Q292" s="16">
        <f>IF(CustomerHierarchyLevels[[#This Row],[HgLvCust.]]=0,CustomerHierarchyLevels[[#This Row],[Customer]],CustomerHierarchyLevels[[#This Row],[HgLvCust.]])</f>
        <v>6534</v>
      </c>
      <c r="R292" s="16">
        <f>IF(VLOOKUP(CustomerHierarchyLevels[[#This Row],[Level1]],CustomerHierarchyLevels[],7,FALSE)=0,CustomerHierarchyLevels[[#This Row],[Level1]],VLOOKUP(CustomerHierarchyLevels[[#This Row],[Level1]],CustomerHierarchyLevels[],7,FALSE))</f>
        <v>6532</v>
      </c>
      <c r="S292" s="16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293" spans="1:19" x14ac:dyDescent="0.25">
      <c r="A293">
        <v>1464</v>
      </c>
      <c r="B293" t="s">
        <v>9</v>
      </c>
      <c r="C293" t="s">
        <v>90</v>
      </c>
      <c r="D293">
        <v>0</v>
      </c>
      <c r="E293">
        <v>39010</v>
      </c>
      <c r="F293">
        <v>2958465</v>
      </c>
      <c r="G293">
        <v>6533</v>
      </c>
      <c r="H293" t="s">
        <v>9</v>
      </c>
      <c r="I293" t="s">
        <v>90</v>
      </c>
      <c r="J293">
        <v>0</v>
      </c>
      <c r="K293">
        <v>0</v>
      </c>
      <c r="N293">
        <v>0</v>
      </c>
      <c r="O293" t="s">
        <v>91</v>
      </c>
      <c r="P293" t="s">
        <v>1436</v>
      </c>
      <c r="Q293" s="16">
        <f>IF(CustomerHierarchyLevels[[#This Row],[HgLvCust.]]=0,CustomerHierarchyLevels[[#This Row],[Customer]],CustomerHierarchyLevels[[#This Row],[HgLvCust.]])</f>
        <v>6533</v>
      </c>
      <c r="R293" s="16">
        <f>IF(VLOOKUP(CustomerHierarchyLevels[[#This Row],[Level1]],CustomerHierarchyLevels[],7,FALSE)=0,CustomerHierarchyLevels[[#This Row],[Level1]],VLOOKUP(CustomerHierarchyLevels[[#This Row],[Level1]],CustomerHierarchyLevels[],7,FALSE))</f>
        <v>6532</v>
      </c>
      <c r="S293" s="16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294" spans="1:19" x14ac:dyDescent="0.25">
      <c r="A294">
        <v>6206</v>
      </c>
      <c r="B294" t="s">
        <v>9</v>
      </c>
      <c r="C294" t="s">
        <v>90</v>
      </c>
      <c r="D294">
        <v>0</v>
      </c>
      <c r="E294">
        <v>39010</v>
      </c>
      <c r="F294">
        <v>2958465</v>
      </c>
      <c r="G294">
        <v>6533</v>
      </c>
      <c r="H294" t="s">
        <v>9</v>
      </c>
      <c r="I294" t="s">
        <v>90</v>
      </c>
      <c r="J294">
        <v>0</v>
      </c>
      <c r="K294">
        <v>0</v>
      </c>
      <c r="N294">
        <v>0</v>
      </c>
      <c r="O294" t="s">
        <v>91</v>
      </c>
      <c r="P294" t="s">
        <v>1437</v>
      </c>
      <c r="Q294" s="16">
        <f>IF(CustomerHierarchyLevels[[#This Row],[HgLvCust.]]=0,CustomerHierarchyLevels[[#This Row],[Customer]],CustomerHierarchyLevels[[#This Row],[HgLvCust.]])</f>
        <v>6533</v>
      </c>
      <c r="R294" s="16">
        <f>IF(VLOOKUP(CustomerHierarchyLevels[[#This Row],[Level1]],CustomerHierarchyLevels[],7,FALSE)=0,CustomerHierarchyLevels[[#This Row],[Level1]],VLOOKUP(CustomerHierarchyLevels[[#This Row],[Level1]],CustomerHierarchyLevels[],7,FALSE))</f>
        <v>6532</v>
      </c>
      <c r="S294" s="16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295" spans="1:19" x14ac:dyDescent="0.25">
      <c r="A295">
        <v>2453</v>
      </c>
      <c r="B295" t="s">
        <v>9</v>
      </c>
      <c r="C295" t="s">
        <v>90</v>
      </c>
      <c r="D295">
        <v>0</v>
      </c>
      <c r="E295">
        <v>39010</v>
      </c>
      <c r="F295">
        <v>2958465</v>
      </c>
      <c r="G295">
        <v>6702</v>
      </c>
      <c r="H295" t="s">
        <v>9</v>
      </c>
      <c r="I295" t="s">
        <v>90</v>
      </c>
      <c r="J295">
        <v>0</v>
      </c>
      <c r="K295">
        <v>0</v>
      </c>
      <c r="N295">
        <v>0</v>
      </c>
      <c r="O295" t="s">
        <v>91</v>
      </c>
      <c r="P295" t="s">
        <v>1438</v>
      </c>
      <c r="Q295" s="16">
        <f>IF(CustomerHierarchyLevels[[#This Row],[HgLvCust.]]=0,CustomerHierarchyLevels[[#This Row],[Customer]],CustomerHierarchyLevels[[#This Row],[HgLvCust.]])</f>
        <v>6702</v>
      </c>
      <c r="R295" s="16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295" s="16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296" spans="1:19" x14ac:dyDescent="0.25">
      <c r="A296">
        <v>1180</v>
      </c>
      <c r="B296" t="s">
        <v>9</v>
      </c>
      <c r="C296" t="s">
        <v>90</v>
      </c>
      <c r="D296">
        <v>0</v>
      </c>
      <c r="E296">
        <v>39010</v>
      </c>
      <c r="F296">
        <v>2958465</v>
      </c>
      <c r="G296">
        <v>6702</v>
      </c>
      <c r="H296" t="s">
        <v>9</v>
      </c>
      <c r="I296" t="s">
        <v>90</v>
      </c>
      <c r="J296">
        <v>0</v>
      </c>
      <c r="K296">
        <v>0</v>
      </c>
      <c r="N296">
        <v>0</v>
      </c>
      <c r="O296" t="s">
        <v>91</v>
      </c>
      <c r="P296" t="s">
        <v>1439</v>
      </c>
      <c r="Q296" s="16">
        <f>IF(CustomerHierarchyLevels[[#This Row],[HgLvCust.]]=0,CustomerHierarchyLevels[[#This Row],[Customer]],CustomerHierarchyLevels[[#This Row],[HgLvCust.]])</f>
        <v>6702</v>
      </c>
      <c r="R296" s="16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296" s="16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297" spans="1:19" x14ac:dyDescent="0.25">
      <c r="A297">
        <v>1204</v>
      </c>
      <c r="B297" t="s">
        <v>9</v>
      </c>
      <c r="C297" t="s">
        <v>90</v>
      </c>
      <c r="D297">
        <v>0</v>
      </c>
      <c r="E297">
        <v>39010</v>
      </c>
      <c r="F297">
        <v>2958465</v>
      </c>
      <c r="G297">
        <v>6702</v>
      </c>
      <c r="H297" t="s">
        <v>9</v>
      </c>
      <c r="I297" t="s">
        <v>90</v>
      </c>
      <c r="J297">
        <v>0</v>
      </c>
      <c r="K297">
        <v>0</v>
      </c>
      <c r="N297">
        <v>0</v>
      </c>
      <c r="O297" t="s">
        <v>91</v>
      </c>
      <c r="P297" t="s">
        <v>1440</v>
      </c>
      <c r="Q297" s="16">
        <f>IF(CustomerHierarchyLevels[[#This Row],[HgLvCust.]]=0,CustomerHierarchyLevels[[#This Row],[Customer]],CustomerHierarchyLevels[[#This Row],[HgLvCust.]])</f>
        <v>6702</v>
      </c>
      <c r="R297" s="16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297" s="16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298" spans="1:19" x14ac:dyDescent="0.25">
      <c r="A298">
        <v>1206</v>
      </c>
      <c r="B298" t="s">
        <v>9</v>
      </c>
      <c r="C298" t="s">
        <v>90</v>
      </c>
      <c r="D298">
        <v>0</v>
      </c>
      <c r="E298">
        <v>39010</v>
      </c>
      <c r="F298">
        <v>2958465</v>
      </c>
      <c r="G298">
        <v>6702</v>
      </c>
      <c r="H298" t="s">
        <v>9</v>
      </c>
      <c r="I298" t="s">
        <v>90</v>
      </c>
      <c r="J298">
        <v>0</v>
      </c>
      <c r="K298">
        <v>0</v>
      </c>
      <c r="N298">
        <v>0</v>
      </c>
      <c r="O298" t="s">
        <v>91</v>
      </c>
      <c r="P298" t="s">
        <v>1441</v>
      </c>
      <c r="Q298" s="16">
        <f>IF(CustomerHierarchyLevels[[#This Row],[HgLvCust.]]=0,CustomerHierarchyLevels[[#This Row],[Customer]],CustomerHierarchyLevels[[#This Row],[HgLvCust.]])</f>
        <v>6702</v>
      </c>
      <c r="R298" s="16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298" s="16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299" spans="1:19" x14ac:dyDescent="0.25">
      <c r="A299">
        <v>1351</v>
      </c>
      <c r="B299" t="s">
        <v>9</v>
      </c>
      <c r="C299" t="s">
        <v>90</v>
      </c>
      <c r="D299">
        <v>0</v>
      </c>
      <c r="E299">
        <v>39010</v>
      </c>
      <c r="F299">
        <v>2958465</v>
      </c>
      <c r="G299">
        <v>6702</v>
      </c>
      <c r="H299" t="s">
        <v>9</v>
      </c>
      <c r="I299" t="s">
        <v>90</v>
      </c>
      <c r="J299">
        <v>0</v>
      </c>
      <c r="K299">
        <v>0</v>
      </c>
      <c r="N299">
        <v>0</v>
      </c>
      <c r="O299" t="s">
        <v>91</v>
      </c>
      <c r="P299" t="s">
        <v>1442</v>
      </c>
      <c r="Q299" s="16">
        <f>IF(CustomerHierarchyLevels[[#This Row],[HgLvCust.]]=0,CustomerHierarchyLevels[[#This Row],[Customer]],CustomerHierarchyLevels[[#This Row],[HgLvCust.]])</f>
        <v>6702</v>
      </c>
      <c r="R299" s="16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299" s="16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300" spans="1:19" x14ac:dyDescent="0.25">
      <c r="A300">
        <v>1354</v>
      </c>
      <c r="B300" t="s">
        <v>9</v>
      </c>
      <c r="C300" t="s">
        <v>90</v>
      </c>
      <c r="D300">
        <v>0</v>
      </c>
      <c r="E300">
        <v>39010</v>
      </c>
      <c r="F300">
        <v>2958465</v>
      </c>
      <c r="G300">
        <v>6702</v>
      </c>
      <c r="H300" t="s">
        <v>9</v>
      </c>
      <c r="I300" t="s">
        <v>90</v>
      </c>
      <c r="J300">
        <v>0</v>
      </c>
      <c r="K300">
        <v>0</v>
      </c>
      <c r="N300">
        <v>0</v>
      </c>
      <c r="O300" t="s">
        <v>91</v>
      </c>
      <c r="P300" t="s">
        <v>1443</v>
      </c>
      <c r="Q300" s="16">
        <f>IF(CustomerHierarchyLevels[[#This Row],[HgLvCust.]]=0,CustomerHierarchyLevels[[#This Row],[Customer]],CustomerHierarchyLevels[[#This Row],[HgLvCust.]])</f>
        <v>6702</v>
      </c>
      <c r="R300" s="16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300" s="16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301" spans="1:19" x14ac:dyDescent="0.25">
      <c r="A301">
        <v>1365</v>
      </c>
      <c r="B301" t="s">
        <v>9</v>
      </c>
      <c r="C301" t="s">
        <v>90</v>
      </c>
      <c r="D301">
        <v>0</v>
      </c>
      <c r="E301">
        <v>39010</v>
      </c>
      <c r="F301">
        <v>2958465</v>
      </c>
      <c r="G301">
        <v>6702</v>
      </c>
      <c r="H301" t="s">
        <v>9</v>
      </c>
      <c r="I301" t="s">
        <v>90</v>
      </c>
      <c r="J301">
        <v>0</v>
      </c>
      <c r="K301">
        <v>0</v>
      </c>
      <c r="N301">
        <v>0</v>
      </c>
      <c r="O301" t="s">
        <v>91</v>
      </c>
      <c r="P301" t="s">
        <v>1444</v>
      </c>
      <c r="Q301" s="16">
        <f>IF(CustomerHierarchyLevels[[#This Row],[HgLvCust.]]=0,CustomerHierarchyLevels[[#This Row],[Customer]],CustomerHierarchyLevels[[#This Row],[HgLvCust.]])</f>
        <v>6702</v>
      </c>
      <c r="R301" s="16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301" s="16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302" spans="1:19" x14ac:dyDescent="0.25">
      <c r="A302">
        <v>1366</v>
      </c>
      <c r="B302" t="s">
        <v>9</v>
      </c>
      <c r="C302" t="s">
        <v>90</v>
      </c>
      <c r="D302">
        <v>0</v>
      </c>
      <c r="E302">
        <v>39010</v>
      </c>
      <c r="F302">
        <v>2958465</v>
      </c>
      <c r="G302">
        <v>6702</v>
      </c>
      <c r="H302" t="s">
        <v>9</v>
      </c>
      <c r="I302" t="s">
        <v>90</v>
      </c>
      <c r="J302">
        <v>0</v>
      </c>
      <c r="K302">
        <v>0</v>
      </c>
      <c r="N302">
        <v>0</v>
      </c>
      <c r="O302" t="s">
        <v>91</v>
      </c>
      <c r="P302" t="s">
        <v>1445</v>
      </c>
      <c r="Q302" s="16">
        <f>IF(CustomerHierarchyLevels[[#This Row],[HgLvCust.]]=0,CustomerHierarchyLevels[[#This Row],[Customer]],CustomerHierarchyLevels[[#This Row],[HgLvCust.]])</f>
        <v>6702</v>
      </c>
      <c r="R302" s="16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302" s="16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303" spans="1:19" x14ac:dyDescent="0.25">
      <c r="A303">
        <v>1387</v>
      </c>
      <c r="B303" t="s">
        <v>9</v>
      </c>
      <c r="C303" t="s">
        <v>90</v>
      </c>
      <c r="D303">
        <v>0</v>
      </c>
      <c r="E303">
        <v>39010</v>
      </c>
      <c r="F303">
        <v>2958465</v>
      </c>
      <c r="G303">
        <v>6702</v>
      </c>
      <c r="H303" t="s">
        <v>9</v>
      </c>
      <c r="I303" t="s">
        <v>90</v>
      </c>
      <c r="J303">
        <v>0</v>
      </c>
      <c r="K303">
        <v>0</v>
      </c>
      <c r="N303">
        <v>0</v>
      </c>
      <c r="O303" t="s">
        <v>91</v>
      </c>
      <c r="P303" t="s">
        <v>1446</v>
      </c>
      <c r="Q303" s="16">
        <f>IF(CustomerHierarchyLevels[[#This Row],[HgLvCust.]]=0,CustomerHierarchyLevels[[#This Row],[Customer]],CustomerHierarchyLevels[[#This Row],[HgLvCust.]])</f>
        <v>6702</v>
      </c>
      <c r="R303" s="16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303" s="16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304" spans="1:19" x14ac:dyDescent="0.25">
      <c r="A304">
        <v>1422</v>
      </c>
      <c r="B304" t="s">
        <v>9</v>
      </c>
      <c r="C304" t="s">
        <v>90</v>
      </c>
      <c r="D304">
        <v>0</v>
      </c>
      <c r="E304">
        <v>39010</v>
      </c>
      <c r="F304">
        <v>2958465</v>
      </c>
      <c r="G304">
        <v>6702</v>
      </c>
      <c r="H304" t="s">
        <v>9</v>
      </c>
      <c r="I304" t="s">
        <v>90</v>
      </c>
      <c r="J304">
        <v>0</v>
      </c>
      <c r="K304">
        <v>0</v>
      </c>
      <c r="N304">
        <v>0</v>
      </c>
      <c r="O304" t="s">
        <v>91</v>
      </c>
      <c r="P304" t="s">
        <v>1447</v>
      </c>
      <c r="Q304" s="16">
        <f>IF(CustomerHierarchyLevels[[#This Row],[HgLvCust.]]=0,CustomerHierarchyLevels[[#This Row],[Customer]],CustomerHierarchyLevels[[#This Row],[HgLvCust.]])</f>
        <v>6702</v>
      </c>
      <c r="R304" s="16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304" s="16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305" spans="1:19" x14ac:dyDescent="0.25">
      <c r="A305">
        <v>1458</v>
      </c>
      <c r="B305" t="s">
        <v>9</v>
      </c>
      <c r="C305" t="s">
        <v>90</v>
      </c>
      <c r="D305">
        <v>0</v>
      </c>
      <c r="E305">
        <v>39010</v>
      </c>
      <c r="F305">
        <v>2958465</v>
      </c>
      <c r="G305">
        <v>6702</v>
      </c>
      <c r="H305" t="s">
        <v>9</v>
      </c>
      <c r="I305" t="s">
        <v>90</v>
      </c>
      <c r="J305">
        <v>0</v>
      </c>
      <c r="K305">
        <v>0</v>
      </c>
      <c r="N305">
        <v>0</v>
      </c>
      <c r="O305" t="s">
        <v>91</v>
      </c>
      <c r="P305" t="s">
        <v>1448</v>
      </c>
      <c r="Q305" s="16">
        <f>IF(CustomerHierarchyLevels[[#This Row],[HgLvCust.]]=0,CustomerHierarchyLevels[[#This Row],[Customer]],CustomerHierarchyLevels[[#This Row],[HgLvCust.]])</f>
        <v>6702</v>
      </c>
      <c r="R305" s="16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305" s="16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306" spans="1:19" x14ac:dyDescent="0.25">
      <c r="A306">
        <v>1909</v>
      </c>
      <c r="B306" t="s">
        <v>9</v>
      </c>
      <c r="C306" t="s">
        <v>90</v>
      </c>
      <c r="D306">
        <v>0</v>
      </c>
      <c r="E306">
        <v>39010</v>
      </c>
      <c r="F306">
        <v>2958465</v>
      </c>
      <c r="G306">
        <v>6702</v>
      </c>
      <c r="H306" t="s">
        <v>9</v>
      </c>
      <c r="I306" t="s">
        <v>90</v>
      </c>
      <c r="J306">
        <v>0</v>
      </c>
      <c r="K306">
        <v>0</v>
      </c>
      <c r="N306">
        <v>0</v>
      </c>
      <c r="O306" t="s">
        <v>91</v>
      </c>
      <c r="P306" t="s">
        <v>1449</v>
      </c>
      <c r="Q306" s="16">
        <f>IF(CustomerHierarchyLevels[[#This Row],[HgLvCust.]]=0,CustomerHierarchyLevels[[#This Row],[Customer]],CustomerHierarchyLevels[[#This Row],[HgLvCust.]])</f>
        <v>6702</v>
      </c>
      <c r="R306" s="16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306" s="16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307" spans="1:19" x14ac:dyDescent="0.25">
      <c r="A307">
        <v>2297</v>
      </c>
      <c r="B307" t="s">
        <v>9</v>
      </c>
      <c r="C307" t="s">
        <v>90</v>
      </c>
      <c r="D307">
        <v>0</v>
      </c>
      <c r="E307">
        <v>39010</v>
      </c>
      <c r="F307">
        <v>2958465</v>
      </c>
      <c r="G307">
        <v>6538</v>
      </c>
      <c r="H307" t="s">
        <v>9</v>
      </c>
      <c r="I307" t="s">
        <v>90</v>
      </c>
      <c r="J307">
        <v>0</v>
      </c>
      <c r="K307">
        <v>0</v>
      </c>
      <c r="N307">
        <v>0</v>
      </c>
      <c r="O307" t="s">
        <v>91</v>
      </c>
      <c r="P307" t="s">
        <v>1450</v>
      </c>
      <c r="Q307" s="16">
        <f>IF(CustomerHierarchyLevels[[#This Row],[HgLvCust.]]=0,CustomerHierarchyLevels[[#This Row],[Customer]],CustomerHierarchyLevels[[#This Row],[HgLvCust.]])</f>
        <v>6538</v>
      </c>
      <c r="R307" s="16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307" s="16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308" spans="1:19" x14ac:dyDescent="0.25">
      <c r="A308">
        <v>2306</v>
      </c>
      <c r="B308" t="s">
        <v>9</v>
      </c>
      <c r="C308" t="s">
        <v>90</v>
      </c>
      <c r="D308">
        <v>0</v>
      </c>
      <c r="E308">
        <v>39010</v>
      </c>
      <c r="F308">
        <v>2958465</v>
      </c>
      <c r="G308">
        <v>6536</v>
      </c>
      <c r="H308" t="s">
        <v>9</v>
      </c>
      <c r="I308" t="s">
        <v>90</v>
      </c>
      <c r="J308">
        <v>0</v>
      </c>
      <c r="K308">
        <v>0</v>
      </c>
      <c r="N308">
        <v>0</v>
      </c>
      <c r="O308" t="s">
        <v>91</v>
      </c>
      <c r="P308" t="s">
        <v>168</v>
      </c>
      <c r="Q308" s="16">
        <f>IF(CustomerHierarchyLevels[[#This Row],[HgLvCust.]]=0,CustomerHierarchyLevels[[#This Row],[Customer]],CustomerHierarchyLevels[[#This Row],[HgLvCust.]])</f>
        <v>6536</v>
      </c>
      <c r="R308" s="16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308" s="16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309" spans="1:19" x14ac:dyDescent="0.25">
      <c r="A309">
        <v>2295</v>
      </c>
      <c r="B309" t="s">
        <v>9</v>
      </c>
      <c r="C309" t="s">
        <v>90</v>
      </c>
      <c r="D309">
        <v>0</v>
      </c>
      <c r="E309">
        <v>39010</v>
      </c>
      <c r="F309">
        <v>2958465</v>
      </c>
      <c r="G309">
        <v>6537</v>
      </c>
      <c r="H309" t="s">
        <v>9</v>
      </c>
      <c r="I309" t="s">
        <v>90</v>
      </c>
      <c r="J309">
        <v>0</v>
      </c>
      <c r="K309">
        <v>0</v>
      </c>
      <c r="N309">
        <v>0</v>
      </c>
      <c r="O309" t="s">
        <v>91</v>
      </c>
      <c r="P309" t="s">
        <v>1451</v>
      </c>
      <c r="Q309" s="16">
        <f>IF(CustomerHierarchyLevels[[#This Row],[HgLvCust.]]=0,CustomerHierarchyLevels[[#This Row],[Customer]],CustomerHierarchyLevels[[#This Row],[HgLvCust.]])</f>
        <v>6537</v>
      </c>
      <c r="R309" s="16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309" s="16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310" spans="1:19" x14ac:dyDescent="0.25">
      <c r="A310">
        <v>6281</v>
      </c>
      <c r="B310" t="s">
        <v>9</v>
      </c>
      <c r="C310" t="s">
        <v>90</v>
      </c>
      <c r="D310">
        <v>0</v>
      </c>
      <c r="E310">
        <v>39010</v>
      </c>
      <c r="F310">
        <v>2958465</v>
      </c>
      <c r="G310">
        <v>6710</v>
      </c>
      <c r="H310" t="s">
        <v>9</v>
      </c>
      <c r="I310" t="s">
        <v>90</v>
      </c>
      <c r="J310">
        <v>0</v>
      </c>
      <c r="K310">
        <v>0</v>
      </c>
      <c r="L310" t="s">
        <v>1195</v>
      </c>
      <c r="M310" t="s">
        <v>1195</v>
      </c>
      <c r="N310">
        <v>2</v>
      </c>
      <c r="O310" t="s">
        <v>91</v>
      </c>
      <c r="P310" t="s">
        <v>1452</v>
      </c>
      <c r="Q310" s="16">
        <f>IF(CustomerHierarchyLevels[[#This Row],[HgLvCust.]]=0,CustomerHierarchyLevels[[#This Row],[Customer]],CustomerHierarchyLevels[[#This Row],[HgLvCust.]])</f>
        <v>6710</v>
      </c>
      <c r="R310" s="16">
        <f>IF(VLOOKUP(CustomerHierarchyLevels[[#This Row],[Level1]],CustomerHierarchyLevels[],7,FALSE)=0,CustomerHierarchyLevels[[#This Row],[Level1]],VLOOKUP(CustomerHierarchyLevels[[#This Row],[Level1]],CustomerHierarchyLevels[],7,FALSE))</f>
        <v>6710</v>
      </c>
      <c r="S310" s="16">
        <f>IF(VLOOKUP(CustomerHierarchyLevels[[#This Row],[Level2]],CustomerHierarchyLevels[],7,FALSE)=0,CustomerHierarchyLevels[[#This Row],[Level2]],VLOOKUP(CustomerHierarchyLevels[[#This Row],[Level2]],CustomerHierarchyLevels[],7,FALSE))</f>
        <v>6710</v>
      </c>
    </row>
    <row r="311" spans="1:19" x14ac:dyDescent="0.25">
      <c r="A311">
        <v>6710</v>
      </c>
      <c r="B311" t="s">
        <v>9</v>
      </c>
      <c r="C311" t="s">
        <v>90</v>
      </c>
      <c r="D311">
        <v>0</v>
      </c>
      <c r="E311">
        <v>39010</v>
      </c>
      <c r="F311">
        <v>2958465</v>
      </c>
      <c r="K311">
        <v>0</v>
      </c>
      <c r="L311" t="s">
        <v>1195</v>
      </c>
      <c r="M311" t="s">
        <v>1195</v>
      </c>
      <c r="N311">
        <v>0</v>
      </c>
      <c r="O311" t="s">
        <v>91</v>
      </c>
      <c r="P311" t="s">
        <v>1453</v>
      </c>
      <c r="Q311" s="16">
        <f>IF(CustomerHierarchyLevels[[#This Row],[HgLvCust.]]=0,CustomerHierarchyLevels[[#This Row],[Customer]],CustomerHierarchyLevels[[#This Row],[HgLvCust.]])</f>
        <v>6710</v>
      </c>
      <c r="R311" s="16">
        <f>IF(VLOOKUP(CustomerHierarchyLevels[[#This Row],[Level1]],CustomerHierarchyLevels[],7,FALSE)=0,CustomerHierarchyLevels[[#This Row],[Level1]],VLOOKUP(CustomerHierarchyLevels[[#This Row],[Level1]],CustomerHierarchyLevels[],7,FALSE))</f>
        <v>6710</v>
      </c>
      <c r="S311" s="16">
        <f>IF(VLOOKUP(CustomerHierarchyLevels[[#This Row],[Level2]],CustomerHierarchyLevels[],7,FALSE)=0,CustomerHierarchyLevels[[#This Row],[Level2]],VLOOKUP(CustomerHierarchyLevels[[#This Row],[Level2]],CustomerHierarchyLevels[],7,FALSE))</f>
        <v>6710</v>
      </c>
    </row>
    <row r="312" spans="1:19" x14ac:dyDescent="0.25">
      <c r="A312">
        <v>6283</v>
      </c>
      <c r="B312" t="s">
        <v>9</v>
      </c>
      <c r="C312" t="s">
        <v>90</v>
      </c>
      <c r="D312">
        <v>0</v>
      </c>
      <c r="E312">
        <v>39010</v>
      </c>
      <c r="F312">
        <v>2958465</v>
      </c>
      <c r="G312">
        <v>6711</v>
      </c>
      <c r="H312" t="s">
        <v>9</v>
      </c>
      <c r="I312" t="s">
        <v>90</v>
      </c>
      <c r="J312">
        <v>0</v>
      </c>
      <c r="K312">
        <v>0</v>
      </c>
      <c r="L312" t="s">
        <v>1195</v>
      </c>
      <c r="M312" t="s">
        <v>1195</v>
      </c>
      <c r="N312">
        <v>2</v>
      </c>
      <c r="O312" t="s">
        <v>91</v>
      </c>
      <c r="P312" t="s">
        <v>1454</v>
      </c>
      <c r="Q312" s="16">
        <f>IF(CustomerHierarchyLevels[[#This Row],[HgLvCust.]]=0,CustomerHierarchyLevels[[#This Row],[Customer]],CustomerHierarchyLevels[[#This Row],[HgLvCust.]])</f>
        <v>6711</v>
      </c>
      <c r="R312" s="16">
        <f>IF(VLOOKUP(CustomerHierarchyLevels[[#This Row],[Level1]],CustomerHierarchyLevels[],7,FALSE)=0,CustomerHierarchyLevels[[#This Row],[Level1]],VLOOKUP(CustomerHierarchyLevels[[#This Row],[Level1]],CustomerHierarchyLevels[],7,FALSE))</f>
        <v>6711</v>
      </c>
      <c r="S312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13" spans="1:19" x14ac:dyDescent="0.25">
      <c r="A313">
        <v>6711</v>
      </c>
      <c r="B313" t="s">
        <v>9</v>
      </c>
      <c r="C313" t="s">
        <v>90</v>
      </c>
      <c r="D313">
        <v>0</v>
      </c>
      <c r="E313">
        <v>39010</v>
      </c>
      <c r="F313">
        <v>2958465</v>
      </c>
      <c r="K313">
        <v>0</v>
      </c>
      <c r="L313" t="s">
        <v>1195</v>
      </c>
      <c r="M313" t="s">
        <v>1195</v>
      </c>
      <c r="N313">
        <v>0</v>
      </c>
      <c r="O313" t="s">
        <v>91</v>
      </c>
      <c r="P313" t="s">
        <v>1455</v>
      </c>
      <c r="Q313" s="16">
        <f>IF(CustomerHierarchyLevels[[#This Row],[HgLvCust.]]=0,CustomerHierarchyLevels[[#This Row],[Customer]],CustomerHierarchyLevels[[#This Row],[HgLvCust.]])</f>
        <v>6711</v>
      </c>
      <c r="R313" s="16">
        <f>IF(VLOOKUP(CustomerHierarchyLevels[[#This Row],[Level1]],CustomerHierarchyLevels[],7,FALSE)=0,CustomerHierarchyLevels[[#This Row],[Level1]],VLOOKUP(CustomerHierarchyLevels[[#This Row],[Level1]],CustomerHierarchyLevels[],7,FALSE))</f>
        <v>6711</v>
      </c>
      <c r="S313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14" spans="1:19" x14ac:dyDescent="0.25">
      <c r="A314">
        <v>6285</v>
      </c>
      <c r="B314" t="s">
        <v>9</v>
      </c>
      <c r="C314" t="s">
        <v>90</v>
      </c>
      <c r="D314">
        <v>0</v>
      </c>
      <c r="E314">
        <v>39010</v>
      </c>
      <c r="F314">
        <v>2958465</v>
      </c>
      <c r="G314">
        <v>6712</v>
      </c>
      <c r="H314" t="s">
        <v>9</v>
      </c>
      <c r="I314" t="s">
        <v>90</v>
      </c>
      <c r="J314">
        <v>0</v>
      </c>
      <c r="K314">
        <v>0</v>
      </c>
      <c r="L314" t="s">
        <v>1195</v>
      </c>
      <c r="M314" t="s">
        <v>1195</v>
      </c>
      <c r="N314">
        <v>2</v>
      </c>
      <c r="O314" t="s">
        <v>91</v>
      </c>
      <c r="P314" t="s">
        <v>1456</v>
      </c>
      <c r="Q314" s="16">
        <f>IF(CustomerHierarchyLevels[[#This Row],[HgLvCust.]]=0,CustomerHierarchyLevels[[#This Row],[Customer]],CustomerHierarchyLevels[[#This Row],[HgLvCust.]])</f>
        <v>6712</v>
      </c>
      <c r="R314" s="16">
        <f>IF(VLOOKUP(CustomerHierarchyLevels[[#This Row],[Level1]],CustomerHierarchyLevels[],7,FALSE)=0,CustomerHierarchyLevels[[#This Row],[Level1]],VLOOKUP(CustomerHierarchyLevels[[#This Row],[Level1]],CustomerHierarchyLevels[],7,FALSE))</f>
        <v>6712</v>
      </c>
      <c r="S314" s="16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315" spans="1:19" x14ac:dyDescent="0.25">
      <c r="A315">
        <v>6712</v>
      </c>
      <c r="B315" t="s">
        <v>9</v>
      </c>
      <c r="C315" t="s">
        <v>90</v>
      </c>
      <c r="D315">
        <v>0</v>
      </c>
      <c r="E315">
        <v>39010</v>
      </c>
      <c r="F315">
        <v>2958465</v>
      </c>
      <c r="K315">
        <v>0</v>
      </c>
      <c r="L315" t="s">
        <v>1195</v>
      </c>
      <c r="M315" t="s">
        <v>1195</v>
      </c>
      <c r="N315">
        <v>0</v>
      </c>
      <c r="O315" t="s">
        <v>91</v>
      </c>
      <c r="P315" t="s">
        <v>1457</v>
      </c>
      <c r="Q315" s="16">
        <f>IF(CustomerHierarchyLevels[[#This Row],[HgLvCust.]]=0,CustomerHierarchyLevels[[#This Row],[Customer]],CustomerHierarchyLevels[[#This Row],[HgLvCust.]])</f>
        <v>6712</v>
      </c>
      <c r="R315" s="16">
        <f>IF(VLOOKUP(CustomerHierarchyLevels[[#This Row],[Level1]],CustomerHierarchyLevels[],7,FALSE)=0,CustomerHierarchyLevels[[#This Row],[Level1]],VLOOKUP(CustomerHierarchyLevels[[#This Row],[Level1]],CustomerHierarchyLevels[],7,FALSE))</f>
        <v>6712</v>
      </c>
      <c r="S315" s="16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316" spans="1:19" x14ac:dyDescent="0.25">
      <c r="A316">
        <v>6287</v>
      </c>
      <c r="B316" t="s">
        <v>9</v>
      </c>
      <c r="C316" t="s">
        <v>90</v>
      </c>
      <c r="D316">
        <v>0</v>
      </c>
      <c r="E316">
        <v>39010</v>
      </c>
      <c r="F316">
        <v>2958465</v>
      </c>
      <c r="G316">
        <v>6713</v>
      </c>
      <c r="H316" t="s">
        <v>9</v>
      </c>
      <c r="I316" t="s">
        <v>90</v>
      </c>
      <c r="J316">
        <v>0</v>
      </c>
      <c r="K316">
        <v>0</v>
      </c>
      <c r="L316" t="s">
        <v>1195</v>
      </c>
      <c r="M316" t="s">
        <v>1195</v>
      </c>
      <c r="N316">
        <v>2</v>
      </c>
      <c r="O316" t="s">
        <v>91</v>
      </c>
      <c r="P316" t="s">
        <v>1458</v>
      </c>
      <c r="Q316" s="16">
        <f>IF(CustomerHierarchyLevels[[#This Row],[HgLvCust.]]=0,CustomerHierarchyLevels[[#This Row],[Customer]],CustomerHierarchyLevels[[#This Row],[HgLvCust.]])</f>
        <v>6713</v>
      </c>
      <c r="R316" s="16">
        <f>IF(VLOOKUP(CustomerHierarchyLevels[[#This Row],[Level1]],CustomerHierarchyLevels[],7,FALSE)=0,CustomerHierarchyLevels[[#This Row],[Level1]],VLOOKUP(CustomerHierarchyLevels[[#This Row],[Level1]],CustomerHierarchyLevels[],7,FALSE))</f>
        <v>6713</v>
      </c>
      <c r="S316" s="16">
        <f>IF(VLOOKUP(CustomerHierarchyLevels[[#This Row],[Level2]],CustomerHierarchyLevels[],7,FALSE)=0,CustomerHierarchyLevels[[#This Row],[Level2]],VLOOKUP(CustomerHierarchyLevels[[#This Row],[Level2]],CustomerHierarchyLevels[],7,FALSE))</f>
        <v>6713</v>
      </c>
    </row>
    <row r="317" spans="1:19" x14ac:dyDescent="0.25">
      <c r="A317">
        <v>6713</v>
      </c>
      <c r="B317" t="s">
        <v>9</v>
      </c>
      <c r="C317" t="s">
        <v>90</v>
      </c>
      <c r="D317">
        <v>0</v>
      </c>
      <c r="E317">
        <v>39010</v>
      </c>
      <c r="F317">
        <v>2958465</v>
      </c>
      <c r="K317">
        <v>0</v>
      </c>
      <c r="L317" t="s">
        <v>1195</v>
      </c>
      <c r="M317" t="s">
        <v>1195</v>
      </c>
      <c r="N317">
        <v>0</v>
      </c>
      <c r="O317" t="s">
        <v>91</v>
      </c>
      <c r="P317" t="s">
        <v>1459</v>
      </c>
      <c r="Q317" s="16">
        <f>IF(CustomerHierarchyLevels[[#This Row],[HgLvCust.]]=0,CustomerHierarchyLevels[[#This Row],[Customer]],CustomerHierarchyLevels[[#This Row],[HgLvCust.]])</f>
        <v>6713</v>
      </c>
      <c r="R317" s="16">
        <f>IF(VLOOKUP(CustomerHierarchyLevels[[#This Row],[Level1]],CustomerHierarchyLevels[],7,FALSE)=0,CustomerHierarchyLevels[[#This Row],[Level1]],VLOOKUP(CustomerHierarchyLevels[[#This Row],[Level1]],CustomerHierarchyLevels[],7,FALSE))</f>
        <v>6713</v>
      </c>
      <c r="S317" s="16">
        <f>IF(VLOOKUP(CustomerHierarchyLevels[[#This Row],[Level2]],CustomerHierarchyLevels[],7,FALSE)=0,CustomerHierarchyLevels[[#This Row],[Level2]],VLOOKUP(CustomerHierarchyLevels[[#This Row],[Level2]],CustomerHierarchyLevels[],7,FALSE))</f>
        <v>6713</v>
      </c>
    </row>
    <row r="318" spans="1:19" x14ac:dyDescent="0.25">
      <c r="A318">
        <v>6289</v>
      </c>
      <c r="B318" t="s">
        <v>9</v>
      </c>
      <c r="C318" t="s">
        <v>90</v>
      </c>
      <c r="D318">
        <v>0</v>
      </c>
      <c r="E318">
        <v>39010</v>
      </c>
      <c r="F318">
        <v>2958465</v>
      </c>
      <c r="G318">
        <v>6714</v>
      </c>
      <c r="H318" t="s">
        <v>9</v>
      </c>
      <c r="I318" t="s">
        <v>90</v>
      </c>
      <c r="J318">
        <v>0</v>
      </c>
      <c r="K318">
        <v>0</v>
      </c>
      <c r="L318" t="s">
        <v>1195</v>
      </c>
      <c r="M318" t="s">
        <v>1195</v>
      </c>
      <c r="N318">
        <v>2</v>
      </c>
      <c r="O318" t="s">
        <v>91</v>
      </c>
      <c r="P318" t="s">
        <v>1460</v>
      </c>
      <c r="Q318" s="16">
        <f>IF(CustomerHierarchyLevels[[#This Row],[HgLvCust.]]=0,CustomerHierarchyLevels[[#This Row],[Customer]],CustomerHierarchyLevels[[#This Row],[HgLvCust.]])</f>
        <v>6714</v>
      </c>
      <c r="R318" s="16">
        <f>IF(VLOOKUP(CustomerHierarchyLevels[[#This Row],[Level1]],CustomerHierarchyLevels[],7,FALSE)=0,CustomerHierarchyLevels[[#This Row],[Level1]],VLOOKUP(CustomerHierarchyLevels[[#This Row],[Level1]],CustomerHierarchyLevels[],7,FALSE))</f>
        <v>6714</v>
      </c>
      <c r="S318" s="16">
        <f>IF(VLOOKUP(CustomerHierarchyLevels[[#This Row],[Level2]],CustomerHierarchyLevels[],7,FALSE)=0,CustomerHierarchyLevels[[#This Row],[Level2]],VLOOKUP(CustomerHierarchyLevels[[#This Row],[Level2]],CustomerHierarchyLevels[],7,FALSE))</f>
        <v>6714</v>
      </c>
    </row>
    <row r="319" spans="1:19" x14ac:dyDescent="0.25">
      <c r="A319">
        <v>6714</v>
      </c>
      <c r="B319" t="s">
        <v>9</v>
      </c>
      <c r="C319" t="s">
        <v>90</v>
      </c>
      <c r="D319">
        <v>0</v>
      </c>
      <c r="E319">
        <v>39010</v>
      </c>
      <c r="F319">
        <v>2958465</v>
      </c>
      <c r="K319">
        <v>0</v>
      </c>
      <c r="L319" t="s">
        <v>1195</v>
      </c>
      <c r="M319" t="s">
        <v>1195</v>
      </c>
      <c r="N319">
        <v>0</v>
      </c>
      <c r="O319" t="s">
        <v>91</v>
      </c>
      <c r="P319" t="s">
        <v>1461</v>
      </c>
      <c r="Q319" s="16">
        <f>IF(CustomerHierarchyLevels[[#This Row],[HgLvCust.]]=0,CustomerHierarchyLevels[[#This Row],[Customer]],CustomerHierarchyLevels[[#This Row],[HgLvCust.]])</f>
        <v>6714</v>
      </c>
      <c r="R319" s="16">
        <f>IF(VLOOKUP(CustomerHierarchyLevels[[#This Row],[Level1]],CustomerHierarchyLevels[],7,FALSE)=0,CustomerHierarchyLevels[[#This Row],[Level1]],VLOOKUP(CustomerHierarchyLevels[[#This Row],[Level1]],CustomerHierarchyLevels[],7,FALSE))</f>
        <v>6714</v>
      </c>
      <c r="S319" s="16">
        <f>IF(VLOOKUP(CustomerHierarchyLevels[[#This Row],[Level2]],CustomerHierarchyLevels[],7,FALSE)=0,CustomerHierarchyLevels[[#This Row],[Level2]],VLOOKUP(CustomerHierarchyLevels[[#This Row],[Level2]],CustomerHierarchyLevels[],7,FALSE))</f>
        <v>6714</v>
      </c>
    </row>
    <row r="320" spans="1:19" x14ac:dyDescent="0.25">
      <c r="A320">
        <v>6291</v>
      </c>
      <c r="B320" t="s">
        <v>9</v>
      </c>
      <c r="C320" t="s">
        <v>90</v>
      </c>
      <c r="D320">
        <v>0</v>
      </c>
      <c r="E320">
        <v>39010</v>
      </c>
      <c r="F320">
        <v>2958465</v>
      </c>
      <c r="G320">
        <v>6715</v>
      </c>
      <c r="H320" t="s">
        <v>9</v>
      </c>
      <c r="I320" t="s">
        <v>90</v>
      </c>
      <c r="J320">
        <v>0</v>
      </c>
      <c r="K320">
        <v>0</v>
      </c>
      <c r="L320" t="s">
        <v>1195</v>
      </c>
      <c r="M320" t="s">
        <v>1195</v>
      </c>
      <c r="N320">
        <v>2</v>
      </c>
      <c r="O320" t="s">
        <v>91</v>
      </c>
      <c r="P320" t="s">
        <v>1462</v>
      </c>
      <c r="Q320" s="16">
        <f>IF(CustomerHierarchyLevels[[#This Row],[HgLvCust.]]=0,CustomerHierarchyLevels[[#This Row],[Customer]],CustomerHierarchyLevels[[#This Row],[HgLvCust.]])</f>
        <v>6715</v>
      </c>
      <c r="R320" s="16">
        <f>IF(VLOOKUP(CustomerHierarchyLevels[[#This Row],[Level1]],CustomerHierarchyLevels[],7,FALSE)=0,CustomerHierarchyLevels[[#This Row],[Level1]],VLOOKUP(CustomerHierarchyLevels[[#This Row],[Level1]],CustomerHierarchyLevels[],7,FALSE))</f>
        <v>6715</v>
      </c>
      <c r="S320" s="16">
        <f>IF(VLOOKUP(CustomerHierarchyLevels[[#This Row],[Level2]],CustomerHierarchyLevels[],7,FALSE)=0,CustomerHierarchyLevels[[#This Row],[Level2]],VLOOKUP(CustomerHierarchyLevels[[#This Row],[Level2]],CustomerHierarchyLevels[],7,FALSE))</f>
        <v>6715</v>
      </c>
    </row>
    <row r="321" spans="1:19" x14ac:dyDescent="0.25">
      <c r="A321">
        <v>6715</v>
      </c>
      <c r="B321" t="s">
        <v>9</v>
      </c>
      <c r="C321" t="s">
        <v>90</v>
      </c>
      <c r="D321">
        <v>0</v>
      </c>
      <c r="E321">
        <v>39010</v>
      </c>
      <c r="F321">
        <v>2958465</v>
      </c>
      <c r="K321">
        <v>0</v>
      </c>
      <c r="L321" t="s">
        <v>1195</v>
      </c>
      <c r="M321" t="s">
        <v>1195</v>
      </c>
      <c r="N321">
        <v>0</v>
      </c>
      <c r="O321" t="s">
        <v>91</v>
      </c>
      <c r="P321" t="s">
        <v>1463</v>
      </c>
      <c r="Q321" s="16">
        <f>IF(CustomerHierarchyLevels[[#This Row],[HgLvCust.]]=0,CustomerHierarchyLevels[[#This Row],[Customer]],CustomerHierarchyLevels[[#This Row],[HgLvCust.]])</f>
        <v>6715</v>
      </c>
      <c r="R321" s="16">
        <f>IF(VLOOKUP(CustomerHierarchyLevels[[#This Row],[Level1]],CustomerHierarchyLevels[],7,FALSE)=0,CustomerHierarchyLevels[[#This Row],[Level1]],VLOOKUP(CustomerHierarchyLevels[[#This Row],[Level1]],CustomerHierarchyLevels[],7,FALSE))</f>
        <v>6715</v>
      </c>
      <c r="S321" s="16">
        <f>IF(VLOOKUP(CustomerHierarchyLevels[[#This Row],[Level2]],CustomerHierarchyLevels[],7,FALSE)=0,CustomerHierarchyLevels[[#This Row],[Level2]],VLOOKUP(CustomerHierarchyLevels[[#This Row],[Level2]],CustomerHierarchyLevels[],7,FALSE))</f>
        <v>6715</v>
      </c>
    </row>
    <row r="322" spans="1:19" x14ac:dyDescent="0.25">
      <c r="A322">
        <v>6293</v>
      </c>
      <c r="B322" t="s">
        <v>9</v>
      </c>
      <c r="C322" t="s">
        <v>90</v>
      </c>
      <c r="D322">
        <v>0</v>
      </c>
      <c r="E322">
        <v>39010</v>
      </c>
      <c r="F322">
        <v>2958465</v>
      </c>
      <c r="G322">
        <v>6716</v>
      </c>
      <c r="H322" t="s">
        <v>9</v>
      </c>
      <c r="I322" t="s">
        <v>90</v>
      </c>
      <c r="J322">
        <v>0</v>
      </c>
      <c r="K322">
        <v>0</v>
      </c>
      <c r="L322" t="s">
        <v>1195</v>
      </c>
      <c r="M322" t="s">
        <v>1195</v>
      </c>
      <c r="N322">
        <v>2</v>
      </c>
      <c r="O322" t="s">
        <v>91</v>
      </c>
      <c r="P322" t="s">
        <v>1464</v>
      </c>
      <c r="Q322" s="16">
        <f>IF(CustomerHierarchyLevels[[#This Row],[HgLvCust.]]=0,CustomerHierarchyLevels[[#This Row],[Customer]],CustomerHierarchyLevels[[#This Row],[HgLvCust.]])</f>
        <v>6716</v>
      </c>
      <c r="R322" s="16">
        <f>IF(VLOOKUP(CustomerHierarchyLevels[[#This Row],[Level1]],CustomerHierarchyLevels[],7,FALSE)=0,CustomerHierarchyLevels[[#This Row],[Level1]],VLOOKUP(CustomerHierarchyLevels[[#This Row],[Level1]],CustomerHierarchyLevels[],7,FALSE))</f>
        <v>6716</v>
      </c>
      <c r="S322" s="16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323" spans="1:19" x14ac:dyDescent="0.25">
      <c r="A323">
        <v>6716</v>
      </c>
      <c r="B323" t="s">
        <v>9</v>
      </c>
      <c r="C323" t="s">
        <v>90</v>
      </c>
      <c r="D323">
        <v>0</v>
      </c>
      <c r="E323">
        <v>39010</v>
      </c>
      <c r="F323">
        <v>2958465</v>
      </c>
      <c r="K323">
        <v>0</v>
      </c>
      <c r="L323" t="s">
        <v>1195</v>
      </c>
      <c r="M323" t="s">
        <v>1195</v>
      </c>
      <c r="N323">
        <v>1</v>
      </c>
      <c r="O323" t="s">
        <v>91</v>
      </c>
      <c r="P323" t="s">
        <v>1465</v>
      </c>
      <c r="Q323" s="16">
        <f>IF(CustomerHierarchyLevels[[#This Row],[HgLvCust.]]=0,CustomerHierarchyLevels[[#This Row],[Customer]],CustomerHierarchyLevels[[#This Row],[HgLvCust.]])</f>
        <v>6716</v>
      </c>
      <c r="R323" s="16">
        <f>IF(VLOOKUP(CustomerHierarchyLevels[[#This Row],[Level1]],CustomerHierarchyLevels[],7,FALSE)=0,CustomerHierarchyLevels[[#This Row],[Level1]],VLOOKUP(CustomerHierarchyLevels[[#This Row],[Level1]],CustomerHierarchyLevels[],7,FALSE))</f>
        <v>6716</v>
      </c>
      <c r="S323" s="16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324" spans="1:19" x14ac:dyDescent="0.25">
      <c r="A324">
        <v>6295</v>
      </c>
      <c r="B324" t="s">
        <v>9</v>
      </c>
      <c r="C324" t="s">
        <v>90</v>
      </c>
      <c r="D324">
        <v>0</v>
      </c>
      <c r="E324">
        <v>39010</v>
      </c>
      <c r="F324">
        <v>2958465</v>
      </c>
      <c r="G324">
        <v>6717</v>
      </c>
      <c r="H324" t="s">
        <v>9</v>
      </c>
      <c r="I324" t="s">
        <v>90</v>
      </c>
      <c r="J324">
        <v>0</v>
      </c>
      <c r="K324">
        <v>0</v>
      </c>
      <c r="L324" t="s">
        <v>1195</v>
      </c>
      <c r="M324" t="s">
        <v>1195</v>
      </c>
      <c r="N324">
        <v>2</v>
      </c>
      <c r="O324" t="s">
        <v>91</v>
      </c>
      <c r="P324" t="s">
        <v>1466</v>
      </c>
      <c r="Q324" s="16">
        <f>IF(CustomerHierarchyLevels[[#This Row],[HgLvCust.]]=0,CustomerHierarchyLevels[[#This Row],[Customer]],CustomerHierarchyLevels[[#This Row],[HgLvCust.]])</f>
        <v>6717</v>
      </c>
      <c r="R324" s="16">
        <f>IF(VLOOKUP(CustomerHierarchyLevels[[#This Row],[Level1]],CustomerHierarchyLevels[],7,FALSE)=0,CustomerHierarchyLevels[[#This Row],[Level1]],VLOOKUP(CustomerHierarchyLevels[[#This Row],[Level1]],CustomerHierarchyLevels[],7,FALSE))</f>
        <v>6717</v>
      </c>
      <c r="S324" s="16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325" spans="1:19" x14ac:dyDescent="0.25">
      <c r="A325">
        <v>6717</v>
      </c>
      <c r="B325" t="s">
        <v>9</v>
      </c>
      <c r="C325" t="s">
        <v>90</v>
      </c>
      <c r="D325">
        <v>0</v>
      </c>
      <c r="E325">
        <v>39010</v>
      </c>
      <c r="F325">
        <v>2958465</v>
      </c>
      <c r="K325">
        <v>0</v>
      </c>
      <c r="L325" t="s">
        <v>1195</v>
      </c>
      <c r="M325" t="s">
        <v>1195</v>
      </c>
      <c r="N325">
        <v>0</v>
      </c>
      <c r="O325" t="s">
        <v>91</v>
      </c>
      <c r="P325" t="s">
        <v>1467</v>
      </c>
      <c r="Q325" s="16">
        <f>IF(CustomerHierarchyLevels[[#This Row],[HgLvCust.]]=0,CustomerHierarchyLevels[[#This Row],[Customer]],CustomerHierarchyLevels[[#This Row],[HgLvCust.]])</f>
        <v>6717</v>
      </c>
      <c r="R325" s="16">
        <f>IF(VLOOKUP(CustomerHierarchyLevels[[#This Row],[Level1]],CustomerHierarchyLevels[],7,FALSE)=0,CustomerHierarchyLevels[[#This Row],[Level1]],VLOOKUP(CustomerHierarchyLevels[[#This Row],[Level1]],CustomerHierarchyLevels[],7,FALSE))</f>
        <v>6717</v>
      </c>
      <c r="S325" s="16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326" spans="1:19" x14ac:dyDescent="0.25">
      <c r="A326">
        <v>6297</v>
      </c>
      <c r="B326" t="s">
        <v>9</v>
      </c>
      <c r="C326" t="s">
        <v>90</v>
      </c>
      <c r="D326">
        <v>0</v>
      </c>
      <c r="E326">
        <v>39010</v>
      </c>
      <c r="F326">
        <v>2958465</v>
      </c>
      <c r="G326">
        <v>6718</v>
      </c>
      <c r="H326" t="s">
        <v>9</v>
      </c>
      <c r="I326" t="s">
        <v>90</v>
      </c>
      <c r="J326">
        <v>0</v>
      </c>
      <c r="K326">
        <v>0</v>
      </c>
      <c r="L326" t="s">
        <v>1195</v>
      </c>
      <c r="M326" t="s">
        <v>1195</v>
      </c>
      <c r="N326">
        <v>2</v>
      </c>
      <c r="O326" t="s">
        <v>91</v>
      </c>
      <c r="P326" t="s">
        <v>1468</v>
      </c>
      <c r="Q326" s="16">
        <f>IF(CustomerHierarchyLevels[[#This Row],[HgLvCust.]]=0,CustomerHierarchyLevels[[#This Row],[Customer]],CustomerHierarchyLevels[[#This Row],[HgLvCust.]])</f>
        <v>6718</v>
      </c>
      <c r="R326" s="16">
        <f>IF(VLOOKUP(CustomerHierarchyLevels[[#This Row],[Level1]],CustomerHierarchyLevels[],7,FALSE)=0,CustomerHierarchyLevels[[#This Row],[Level1]],VLOOKUP(CustomerHierarchyLevels[[#This Row],[Level1]],CustomerHierarchyLevels[],7,FALSE))</f>
        <v>6718</v>
      </c>
      <c r="S326" s="16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327" spans="1:19" x14ac:dyDescent="0.25">
      <c r="A327">
        <v>6718</v>
      </c>
      <c r="B327" t="s">
        <v>9</v>
      </c>
      <c r="C327" t="s">
        <v>90</v>
      </c>
      <c r="D327">
        <v>0</v>
      </c>
      <c r="E327">
        <v>39010</v>
      </c>
      <c r="F327">
        <v>2958465</v>
      </c>
      <c r="K327">
        <v>0</v>
      </c>
      <c r="L327" t="s">
        <v>1195</v>
      </c>
      <c r="M327" t="s">
        <v>1195</v>
      </c>
      <c r="N327">
        <v>0</v>
      </c>
      <c r="O327" t="s">
        <v>91</v>
      </c>
      <c r="P327" t="s">
        <v>1469</v>
      </c>
      <c r="Q327" s="16">
        <f>IF(CustomerHierarchyLevels[[#This Row],[HgLvCust.]]=0,CustomerHierarchyLevels[[#This Row],[Customer]],CustomerHierarchyLevels[[#This Row],[HgLvCust.]])</f>
        <v>6718</v>
      </c>
      <c r="R327" s="16">
        <f>IF(VLOOKUP(CustomerHierarchyLevels[[#This Row],[Level1]],CustomerHierarchyLevels[],7,FALSE)=0,CustomerHierarchyLevels[[#This Row],[Level1]],VLOOKUP(CustomerHierarchyLevels[[#This Row],[Level1]],CustomerHierarchyLevels[],7,FALSE))</f>
        <v>6718</v>
      </c>
      <c r="S327" s="16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328" spans="1:19" x14ac:dyDescent="0.25">
      <c r="A328">
        <v>6299</v>
      </c>
      <c r="B328" t="s">
        <v>9</v>
      </c>
      <c r="C328" t="s">
        <v>90</v>
      </c>
      <c r="D328">
        <v>0</v>
      </c>
      <c r="E328">
        <v>39010</v>
      </c>
      <c r="F328">
        <v>2958465</v>
      </c>
      <c r="G328">
        <v>6719</v>
      </c>
      <c r="H328" t="s">
        <v>9</v>
      </c>
      <c r="I328" t="s">
        <v>90</v>
      </c>
      <c r="J328">
        <v>0</v>
      </c>
      <c r="K328">
        <v>0</v>
      </c>
      <c r="L328" t="s">
        <v>1195</v>
      </c>
      <c r="M328" t="s">
        <v>1195</v>
      </c>
      <c r="N328">
        <v>2</v>
      </c>
      <c r="O328" t="s">
        <v>91</v>
      </c>
      <c r="P328" t="s">
        <v>1470</v>
      </c>
      <c r="Q328" s="16">
        <f>IF(CustomerHierarchyLevels[[#This Row],[HgLvCust.]]=0,CustomerHierarchyLevels[[#This Row],[Customer]],CustomerHierarchyLevels[[#This Row],[HgLvCust.]])</f>
        <v>6719</v>
      </c>
      <c r="R328" s="16">
        <f>IF(VLOOKUP(CustomerHierarchyLevels[[#This Row],[Level1]],CustomerHierarchyLevels[],7,FALSE)=0,CustomerHierarchyLevels[[#This Row],[Level1]],VLOOKUP(CustomerHierarchyLevels[[#This Row],[Level1]],CustomerHierarchyLevels[],7,FALSE))</f>
        <v>6719</v>
      </c>
      <c r="S328" s="16">
        <f>IF(VLOOKUP(CustomerHierarchyLevels[[#This Row],[Level2]],CustomerHierarchyLevels[],7,FALSE)=0,CustomerHierarchyLevels[[#This Row],[Level2]],VLOOKUP(CustomerHierarchyLevels[[#This Row],[Level2]],CustomerHierarchyLevels[],7,FALSE))</f>
        <v>6719</v>
      </c>
    </row>
    <row r="329" spans="1:19" x14ac:dyDescent="0.25">
      <c r="A329">
        <v>6719</v>
      </c>
      <c r="B329" t="s">
        <v>9</v>
      </c>
      <c r="C329" t="s">
        <v>90</v>
      </c>
      <c r="D329">
        <v>0</v>
      </c>
      <c r="E329">
        <v>39010</v>
      </c>
      <c r="F329">
        <v>2958465</v>
      </c>
      <c r="K329">
        <v>0</v>
      </c>
      <c r="L329" t="s">
        <v>1195</v>
      </c>
      <c r="M329" t="s">
        <v>1195</v>
      </c>
      <c r="N329">
        <v>0</v>
      </c>
      <c r="O329" t="s">
        <v>91</v>
      </c>
      <c r="P329" t="s">
        <v>1471</v>
      </c>
      <c r="Q329" s="16">
        <f>IF(CustomerHierarchyLevels[[#This Row],[HgLvCust.]]=0,CustomerHierarchyLevels[[#This Row],[Customer]],CustomerHierarchyLevels[[#This Row],[HgLvCust.]])</f>
        <v>6719</v>
      </c>
      <c r="R329" s="16">
        <f>IF(VLOOKUP(CustomerHierarchyLevels[[#This Row],[Level1]],CustomerHierarchyLevels[],7,FALSE)=0,CustomerHierarchyLevels[[#This Row],[Level1]],VLOOKUP(CustomerHierarchyLevels[[#This Row],[Level1]],CustomerHierarchyLevels[],7,FALSE))</f>
        <v>6719</v>
      </c>
      <c r="S329" s="16">
        <f>IF(VLOOKUP(CustomerHierarchyLevels[[#This Row],[Level2]],CustomerHierarchyLevels[],7,FALSE)=0,CustomerHierarchyLevels[[#This Row],[Level2]],VLOOKUP(CustomerHierarchyLevels[[#This Row],[Level2]],CustomerHierarchyLevels[],7,FALSE))</f>
        <v>6719</v>
      </c>
    </row>
    <row r="330" spans="1:19" x14ac:dyDescent="0.25">
      <c r="A330">
        <v>6280</v>
      </c>
      <c r="B330" t="s">
        <v>9</v>
      </c>
      <c r="C330" t="s">
        <v>90</v>
      </c>
      <c r="D330">
        <v>0</v>
      </c>
      <c r="E330">
        <v>39010</v>
      </c>
      <c r="F330">
        <v>2958465</v>
      </c>
      <c r="G330">
        <v>6281</v>
      </c>
      <c r="H330" t="s">
        <v>9</v>
      </c>
      <c r="I330" t="s">
        <v>90</v>
      </c>
      <c r="J330">
        <v>0</v>
      </c>
      <c r="K330">
        <v>0</v>
      </c>
      <c r="L330" t="s">
        <v>1195</v>
      </c>
      <c r="M330" t="s">
        <v>1195</v>
      </c>
      <c r="N330">
        <v>0</v>
      </c>
      <c r="O330" t="s">
        <v>91</v>
      </c>
      <c r="P330" t="s">
        <v>1472</v>
      </c>
      <c r="Q330" s="16">
        <f>IF(CustomerHierarchyLevels[[#This Row],[HgLvCust.]]=0,CustomerHierarchyLevels[[#This Row],[Customer]],CustomerHierarchyLevels[[#This Row],[HgLvCust.]])</f>
        <v>6281</v>
      </c>
      <c r="R330" s="16">
        <f>IF(VLOOKUP(CustomerHierarchyLevels[[#This Row],[Level1]],CustomerHierarchyLevels[],7,FALSE)=0,CustomerHierarchyLevels[[#This Row],[Level1]],VLOOKUP(CustomerHierarchyLevels[[#This Row],[Level1]],CustomerHierarchyLevels[],7,FALSE))</f>
        <v>6710</v>
      </c>
      <c r="S330" s="16">
        <f>IF(VLOOKUP(CustomerHierarchyLevels[[#This Row],[Level2]],CustomerHierarchyLevels[],7,FALSE)=0,CustomerHierarchyLevels[[#This Row],[Level2]],VLOOKUP(CustomerHierarchyLevels[[#This Row],[Level2]],CustomerHierarchyLevels[],7,FALSE))</f>
        <v>6710</v>
      </c>
    </row>
    <row r="331" spans="1:19" x14ac:dyDescent="0.25">
      <c r="A331">
        <v>6284</v>
      </c>
      <c r="B331" t="s">
        <v>9</v>
      </c>
      <c r="C331" t="s">
        <v>90</v>
      </c>
      <c r="D331">
        <v>0</v>
      </c>
      <c r="E331">
        <v>39010</v>
      </c>
      <c r="F331">
        <v>2958465</v>
      </c>
      <c r="G331">
        <v>6285</v>
      </c>
      <c r="H331" t="s">
        <v>9</v>
      </c>
      <c r="I331" t="s">
        <v>90</v>
      </c>
      <c r="J331">
        <v>0</v>
      </c>
      <c r="K331">
        <v>0</v>
      </c>
      <c r="L331" t="s">
        <v>1195</v>
      </c>
      <c r="M331" t="s">
        <v>1195</v>
      </c>
      <c r="N331">
        <v>0</v>
      </c>
      <c r="O331" t="s">
        <v>91</v>
      </c>
      <c r="P331" t="s">
        <v>1473</v>
      </c>
      <c r="Q331" s="16">
        <f>IF(CustomerHierarchyLevels[[#This Row],[HgLvCust.]]=0,CustomerHierarchyLevels[[#This Row],[Customer]],CustomerHierarchyLevels[[#This Row],[HgLvCust.]])</f>
        <v>6285</v>
      </c>
      <c r="R331" s="16">
        <f>IF(VLOOKUP(CustomerHierarchyLevels[[#This Row],[Level1]],CustomerHierarchyLevels[],7,FALSE)=0,CustomerHierarchyLevels[[#This Row],[Level1]],VLOOKUP(CustomerHierarchyLevels[[#This Row],[Level1]],CustomerHierarchyLevels[],7,FALSE))</f>
        <v>6712</v>
      </c>
      <c r="S331" s="16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332" spans="1:19" x14ac:dyDescent="0.25">
      <c r="A332">
        <v>6286</v>
      </c>
      <c r="B332" t="s">
        <v>9</v>
      </c>
      <c r="C332" t="s">
        <v>90</v>
      </c>
      <c r="D332">
        <v>0</v>
      </c>
      <c r="E332">
        <v>39010</v>
      </c>
      <c r="F332">
        <v>2958465</v>
      </c>
      <c r="G332">
        <v>6287</v>
      </c>
      <c r="H332" t="s">
        <v>9</v>
      </c>
      <c r="I332" t="s">
        <v>90</v>
      </c>
      <c r="J332">
        <v>0</v>
      </c>
      <c r="K332">
        <v>0</v>
      </c>
      <c r="L332" t="s">
        <v>1195</v>
      </c>
      <c r="M332" t="s">
        <v>1195</v>
      </c>
      <c r="N332">
        <v>0</v>
      </c>
      <c r="O332" t="s">
        <v>91</v>
      </c>
      <c r="P332" t="s">
        <v>1474</v>
      </c>
      <c r="Q332" s="16">
        <f>IF(CustomerHierarchyLevels[[#This Row],[HgLvCust.]]=0,CustomerHierarchyLevels[[#This Row],[Customer]],CustomerHierarchyLevels[[#This Row],[HgLvCust.]])</f>
        <v>6287</v>
      </c>
      <c r="R332" s="16">
        <f>IF(VLOOKUP(CustomerHierarchyLevels[[#This Row],[Level1]],CustomerHierarchyLevels[],7,FALSE)=0,CustomerHierarchyLevels[[#This Row],[Level1]],VLOOKUP(CustomerHierarchyLevels[[#This Row],[Level1]],CustomerHierarchyLevels[],7,FALSE))</f>
        <v>6713</v>
      </c>
      <c r="S332" s="16">
        <f>IF(VLOOKUP(CustomerHierarchyLevels[[#This Row],[Level2]],CustomerHierarchyLevels[],7,FALSE)=0,CustomerHierarchyLevels[[#This Row],[Level2]],VLOOKUP(CustomerHierarchyLevels[[#This Row],[Level2]],CustomerHierarchyLevels[],7,FALSE))</f>
        <v>6713</v>
      </c>
    </row>
    <row r="333" spans="1:19" x14ac:dyDescent="0.25">
      <c r="A333">
        <v>6288</v>
      </c>
      <c r="B333" t="s">
        <v>9</v>
      </c>
      <c r="C333" t="s">
        <v>90</v>
      </c>
      <c r="D333">
        <v>0</v>
      </c>
      <c r="E333">
        <v>39010</v>
      </c>
      <c r="F333">
        <v>2958465</v>
      </c>
      <c r="G333">
        <v>6289</v>
      </c>
      <c r="H333" t="s">
        <v>9</v>
      </c>
      <c r="I333" t="s">
        <v>90</v>
      </c>
      <c r="J333">
        <v>0</v>
      </c>
      <c r="K333">
        <v>0</v>
      </c>
      <c r="L333" t="s">
        <v>1195</v>
      </c>
      <c r="M333" t="s">
        <v>1195</v>
      </c>
      <c r="N333">
        <v>0</v>
      </c>
      <c r="O333" t="s">
        <v>91</v>
      </c>
      <c r="P333" t="s">
        <v>1475</v>
      </c>
      <c r="Q333" s="16">
        <f>IF(CustomerHierarchyLevels[[#This Row],[HgLvCust.]]=0,CustomerHierarchyLevels[[#This Row],[Customer]],CustomerHierarchyLevels[[#This Row],[HgLvCust.]])</f>
        <v>6289</v>
      </c>
      <c r="R333" s="16">
        <f>IF(VLOOKUP(CustomerHierarchyLevels[[#This Row],[Level1]],CustomerHierarchyLevels[],7,FALSE)=0,CustomerHierarchyLevels[[#This Row],[Level1]],VLOOKUP(CustomerHierarchyLevels[[#This Row],[Level1]],CustomerHierarchyLevels[],7,FALSE))</f>
        <v>6714</v>
      </c>
      <c r="S333" s="16">
        <f>IF(VLOOKUP(CustomerHierarchyLevels[[#This Row],[Level2]],CustomerHierarchyLevels[],7,FALSE)=0,CustomerHierarchyLevels[[#This Row],[Level2]],VLOOKUP(CustomerHierarchyLevels[[#This Row],[Level2]],CustomerHierarchyLevels[],7,FALSE))</f>
        <v>6714</v>
      </c>
    </row>
    <row r="334" spans="1:19" x14ac:dyDescent="0.25">
      <c r="A334">
        <v>6290</v>
      </c>
      <c r="B334" t="s">
        <v>9</v>
      </c>
      <c r="C334" t="s">
        <v>90</v>
      </c>
      <c r="D334">
        <v>0</v>
      </c>
      <c r="E334">
        <v>39010</v>
      </c>
      <c r="F334">
        <v>2958465</v>
      </c>
      <c r="G334">
        <v>6291</v>
      </c>
      <c r="H334" t="s">
        <v>9</v>
      </c>
      <c r="I334" t="s">
        <v>90</v>
      </c>
      <c r="J334">
        <v>0</v>
      </c>
      <c r="K334">
        <v>0</v>
      </c>
      <c r="L334" t="s">
        <v>1195</v>
      </c>
      <c r="M334" t="s">
        <v>1195</v>
      </c>
      <c r="N334">
        <v>0</v>
      </c>
      <c r="O334" t="s">
        <v>91</v>
      </c>
      <c r="P334" t="s">
        <v>1476</v>
      </c>
      <c r="Q334" s="16">
        <f>IF(CustomerHierarchyLevels[[#This Row],[HgLvCust.]]=0,CustomerHierarchyLevels[[#This Row],[Customer]],CustomerHierarchyLevels[[#This Row],[HgLvCust.]])</f>
        <v>6291</v>
      </c>
      <c r="R334" s="16">
        <f>IF(VLOOKUP(CustomerHierarchyLevels[[#This Row],[Level1]],CustomerHierarchyLevels[],7,FALSE)=0,CustomerHierarchyLevels[[#This Row],[Level1]],VLOOKUP(CustomerHierarchyLevels[[#This Row],[Level1]],CustomerHierarchyLevels[],7,FALSE))</f>
        <v>6715</v>
      </c>
      <c r="S334" s="16">
        <f>IF(VLOOKUP(CustomerHierarchyLevels[[#This Row],[Level2]],CustomerHierarchyLevels[],7,FALSE)=0,CustomerHierarchyLevels[[#This Row],[Level2]],VLOOKUP(CustomerHierarchyLevels[[#This Row],[Level2]],CustomerHierarchyLevels[],7,FALSE))</f>
        <v>6715</v>
      </c>
    </row>
    <row r="335" spans="1:19" x14ac:dyDescent="0.25">
      <c r="A335">
        <v>6294</v>
      </c>
      <c r="B335" t="s">
        <v>9</v>
      </c>
      <c r="C335" t="s">
        <v>90</v>
      </c>
      <c r="D335">
        <v>0</v>
      </c>
      <c r="E335">
        <v>39010</v>
      </c>
      <c r="F335">
        <v>2958465</v>
      </c>
      <c r="G335">
        <v>6295</v>
      </c>
      <c r="H335" t="s">
        <v>9</v>
      </c>
      <c r="I335" t="s">
        <v>90</v>
      </c>
      <c r="J335">
        <v>0</v>
      </c>
      <c r="K335">
        <v>0</v>
      </c>
      <c r="L335" t="s">
        <v>1195</v>
      </c>
      <c r="M335" t="s">
        <v>1195</v>
      </c>
      <c r="N335">
        <v>0</v>
      </c>
      <c r="O335" t="s">
        <v>91</v>
      </c>
      <c r="P335" t="s">
        <v>1477</v>
      </c>
      <c r="Q335" s="16">
        <f>IF(CustomerHierarchyLevels[[#This Row],[HgLvCust.]]=0,CustomerHierarchyLevels[[#This Row],[Customer]],CustomerHierarchyLevels[[#This Row],[HgLvCust.]])</f>
        <v>6295</v>
      </c>
      <c r="R335" s="16">
        <f>IF(VLOOKUP(CustomerHierarchyLevels[[#This Row],[Level1]],CustomerHierarchyLevels[],7,FALSE)=0,CustomerHierarchyLevels[[#This Row],[Level1]],VLOOKUP(CustomerHierarchyLevels[[#This Row],[Level1]],CustomerHierarchyLevels[],7,FALSE))</f>
        <v>6717</v>
      </c>
      <c r="S335" s="16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336" spans="1:19" x14ac:dyDescent="0.25">
      <c r="A336">
        <v>6296</v>
      </c>
      <c r="B336" t="s">
        <v>9</v>
      </c>
      <c r="C336" t="s">
        <v>90</v>
      </c>
      <c r="D336">
        <v>0</v>
      </c>
      <c r="E336">
        <v>39010</v>
      </c>
      <c r="F336">
        <v>2958465</v>
      </c>
      <c r="G336">
        <v>6297</v>
      </c>
      <c r="H336" t="s">
        <v>9</v>
      </c>
      <c r="I336" t="s">
        <v>90</v>
      </c>
      <c r="J336">
        <v>0</v>
      </c>
      <c r="K336">
        <v>0</v>
      </c>
      <c r="L336" t="s">
        <v>1195</v>
      </c>
      <c r="M336" t="s">
        <v>1195</v>
      </c>
      <c r="N336">
        <v>0</v>
      </c>
      <c r="O336" t="s">
        <v>91</v>
      </c>
      <c r="P336" t="s">
        <v>1478</v>
      </c>
      <c r="Q336" s="16">
        <f>IF(CustomerHierarchyLevels[[#This Row],[HgLvCust.]]=0,CustomerHierarchyLevels[[#This Row],[Customer]],CustomerHierarchyLevels[[#This Row],[HgLvCust.]])</f>
        <v>6297</v>
      </c>
      <c r="R336" s="16">
        <f>IF(VLOOKUP(CustomerHierarchyLevels[[#This Row],[Level1]],CustomerHierarchyLevels[],7,FALSE)=0,CustomerHierarchyLevels[[#This Row],[Level1]],VLOOKUP(CustomerHierarchyLevels[[#This Row],[Level1]],CustomerHierarchyLevels[],7,FALSE))</f>
        <v>6718</v>
      </c>
      <c r="S336" s="16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337" spans="1:19" x14ac:dyDescent="0.25">
      <c r="A337">
        <v>6298</v>
      </c>
      <c r="B337" t="s">
        <v>9</v>
      </c>
      <c r="C337" t="s">
        <v>90</v>
      </c>
      <c r="D337">
        <v>0</v>
      </c>
      <c r="E337">
        <v>39010</v>
      </c>
      <c r="F337">
        <v>2958465</v>
      </c>
      <c r="G337">
        <v>6299</v>
      </c>
      <c r="H337" t="s">
        <v>9</v>
      </c>
      <c r="I337" t="s">
        <v>90</v>
      </c>
      <c r="J337">
        <v>0</v>
      </c>
      <c r="K337">
        <v>0</v>
      </c>
      <c r="L337" t="s">
        <v>1195</v>
      </c>
      <c r="M337" t="s">
        <v>1195</v>
      </c>
      <c r="N337">
        <v>0</v>
      </c>
      <c r="O337" t="s">
        <v>91</v>
      </c>
      <c r="P337" t="s">
        <v>1479</v>
      </c>
      <c r="Q337" s="16">
        <f>IF(CustomerHierarchyLevels[[#This Row],[HgLvCust.]]=0,CustomerHierarchyLevels[[#This Row],[Customer]],CustomerHierarchyLevels[[#This Row],[HgLvCust.]])</f>
        <v>6299</v>
      </c>
      <c r="R337" s="16">
        <f>IF(VLOOKUP(CustomerHierarchyLevels[[#This Row],[Level1]],CustomerHierarchyLevels[],7,FALSE)=0,CustomerHierarchyLevels[[#This Row],[Level1]],VLOOKUP(CustomerHierarchyLevels[[#This Row],[Level1]],CustomerHierarchyLevels[],7,FALSE))</f>
        <v>6719</v>
      </c>
      <c r="S337" s="16">
        <f>IF(VLOOKUP(CustomerHierarchyLevels[[#This Row],[Level2]],CustomerHierarchyLevels[],7,FALSE)=0,CustomerHierarchyLevels[[#This Row],[Level2]],VLOOKUP(CustomerHierarchyLevels[[#This Row],[Level2]],CustomerHierarchyLevels[],7,FALSE))</f>
        <v>6719</v>
      </c>
    </row>
    <row r="338" spans="1:19" x14ac:dyDescent="0.25">
      <c r="A338">
        <v>6557</v>
      </c>
      <c r="B338" t="s">
        <v>9</v>
      </c>
      <c r="C338" t="s">
        <v>90</v>
      </c>
      <c r="D338">
        <v>0</v>
      </c>
      <c r="E338">
        <v>39010</v>
      </c>
      <c r="F338">
        <v>2958465</v>
      </c>
      <c r="G338">
        <v>6280</v>
      </c>
      <c r="H338" t="s">
        <v>9</v>
      </c>
      <c r="I338" t="s">
        <v>90</v>
      </c>
      <c r="J338">
        <v>0</v>
      </c>
      <c r="K338">
        <v>0</v>
      </c>
      <c r="N338">
        <v>0</v>
      </c>
      <c r="O338" t="s">
        <v>91</v>
      </c>
      <c r="P338" t="s">
        <v>1480</v>
      </c>
      <c r="Q338" s="16">
        <f>IF(CustomerHierarchyLevels[[#This Row],[HgLvCust.]]=0,CustomerHierarchyLevels[[#This Row],[Customer]],CustomerHierarchyLevels[[#This Row],[HgLvCust.]])</f>
        <v>6280</v>
      </c>
      <c r="R338" s="16">
        <f>IF(VLOOKUP(CustomerHierarchyLevels[[#This Row],[Level1]],CustomerHierarchyLevels[],7,FALSE)=0,CustomerHierarchyLevels[[#This Row],[Level1]],VLOOKUP(CustomerHierarchyLevels[[#This Row],[Level1]],CustomerHierarchyLevels[],7,FALSE))</f>
        <v>6281</v>
      </c>
      <c r="S338" s="16">
        <f>IF(VLOOKUP(CustomerHierarchyLevels[[#This Row],[Level2]],CustomerHierarchyLevels[],7,FALSE)=0,CustomerHierarchyLevels[[#This Row],[Level2]],VLOOKUP(CustomerHierarchyLevels[[#This Row],[Level2]],CustomerHierarchyLevels[],7,FALSE))</f>
        <v>6710</v>
      </c>
    </row>
    <row r="339" spans="1:19" x14ac:dyDescent="0.25">
      <c r="A339">
        <v>1448</v>
      </c>
      <c r="B339" t="s">
        <v>9</v>
      </c>
      <c r="C339" t="s">
        <v>90</v>
      </c>
      <c r="D339">
        <v>0</v>
      </c>
      <c r="E339">
        <v>39010</v>
      </c>
      <c r="F339">
        <v>2958465</v>
      </c>
      <c r="G339">
        <v>6280</v>
      </c>
      <c r="H339" t="s">
        <v>9</v>
      </c>
      <c r="I339" t="s">
        <v>90</v>
      </c>
      <c r="J339">
        <v>0</v>
      </c>
      <c r="K339">
        <v>0</v>
      </c>
      <c r="N339">
        <v>0</v>
      </c>
      <c r="O339" t="s">
        <v>91</v>
      </c>
      <c r="P339" t="s">
        <v>1481</v>
      </c>
      <c r="Q339" s="16">
        <f>IF(CustomerHierarchyLevels[[#This Row],[HgLvCust.]]=0,CustomerHierarchyLevels[[#This Row],[Customer]],CustomerHierarchyLevels[[#This Row],[HgLvCust.]])</f>
        <v>6280</v>
      </c>
      <c r="R339" s="16">
        <f>IF(VLOOKUP(CustomerHierarchyLevels[[#This Row],[Level1]],CustomerHierarchyLevels[],7,FALSE)=0,CustomerHierarchyLevels[[#This Row],[Level1]],VLOOKUP(CustomerHierarchyLevels[[#This Row],[Level1]],CustomerHierarchyLevels[],7,FALSE))</f>
        <v>6281</v>
      </c>
      <c r="S339" s="16">
        <f>IF(VLOOKUP(CustomerHierarchyLevels[[#This Row],[Level2]],CustomerHierarchyLevels[],7,FALSE)=0,CustomerHierarchyLevels[[#This Row],[Level2]],VLOOKUP(CustomerHierarchyLevels[[#This Row],[Level2]],CustomerHierarchyLevels[],7,FALSE))</f>
        <v>6710</v>
      </c>
    </row>
    <row r="340" spans="1:19" x14ac:dyDescent="0.25">
      <c r="A340">
        <v>2941</v>
      </c>
      <c r="B340" t="s">
        <v>9</v>
      </c>
      <c r="C340" t="s">
        <v>90</v>
      </c>
      <c r="D340">
        <v>0</v>
      </c>
      <c r="E340">
        <v>39010</v>
      </c>
      <c r="F340">
        <v>2958465</v>
      </c>
      <c r="G340">
        <v>6282</v>
      </c>
      <c r="H340" t="s">
        <v>9</v>
      </c>
      <c r="I340" t="s">
        <v>90</v>
      </c>
      <c r="J340">
        <v>0</v>
      </c>
      <c r="K340">
        <v>0</v>
      </c>
      <c r="N340">
        <v>0</v>
      </c>
      <c r="O340" t="s">
        <v>91</v>
      </c>
      <c r="P340" t="s">
        <v>1482</v>
      </c>
      <c r="Q340" s="16">
        <f>IF(CustomerHierarchyLevels[[#This Row],[HgLvCust.]]=0,CustomerHierarchyLevels[[#This Row],[Customer]],CustomerHierarchyLevels[[#This Row],[HgLvCust.]])</f>
        <v>6282</v>
      </c>
      <c r="R340" s="16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0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1" spans="1:19" x14ac:dyDescent="0.25">
      <c r="A341">
        <v>1261</v>
      </c>
      <c r="B341" t="s">
        <v>9</v>
      </c>
      <c r="C341" t="s">
        <v>90</v>
      </c>
      <c r="D341">
        <v>0</v>
      </c>
      <c r="E341">
        <v>39010</v>
      </c>
      <c r="F341">
        <v>2958465</v>
      </c>
      <c r="G341">
        <v>6282</v>
      </c>
      <c r="H341" t="s">
        <v>9</v>
      </c>
      <c r="I341" t="s">
        <v>90</v>
      </c>
      <c r="J341">
        <v>0</v>
      </c>
      <c r="K341">
        <v>0</v>
      </c>
      <c r="N341">
        <v>0</v>
      </c>
      <c r="O341" t="s">
        <v>91</v>
      </c>
      <c r="P341" t="s">
        <v>1483</v>
      </c>
      <c r="Q341" s="16">
        <f>IF(CustomerHierarchyLevels[[#This Row],[HgLvCust.]]=0,CustomerHierarchyLevels[[#This Row],[Customer]],CustomerHierarchyLevels[[#This Row],[HgLvCust.]])</f>
        <v>6282</v>
      </c>
      <c r="R341" s="16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1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2" spans="1:19" x14ac:dyDescent="0.25">
      <c r="A342">
        <v>1431</v>
      </c>
      <c r="B342" t="s">
        <v>9</v>
      </c>
      <c r="C342" t="s">
        <v>90</v>
      </c>
      <c r="D342">
        <v>0</v>
      </c>
      <c r="E342">
        <v>39010</v>
      </c>
      <c r="F342">
        <v>2958465</v>
      </c>
      <c r="G342">
        <v>6282</v>
      </c>
      <c r="H342" t="s">
        <v>9</v>
      </c>
      <c r="I342" t="s">
        <v>90</v>
      </c>
      <c r="J342">
        <v>0</v>
      </c>
      <c r="K342">
        <v>0</v>
      </c>
      <c r="N342">
        <v>0</v>
      </c>
      <c r="O342" t="s">
        <v>91</v>
      </c>
      <c r="P342" t="s">
        <v>1484</v>
      </c>
      <c r="Q342" s="16">
        <f>IF(CustomerHierarchyLevels[[#This Row],[HgLvCust.]]=0,CustomerHierarchyLevels[[#This Row],[Customer]],CustomerHierarchyLevels[[#This Row],[HgLvCust.]])</f>
        <v>6282</v>
      </c>
      <c r="R342" s="16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2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3" spans="1:19" x14ac:dyDescent="0.25">
      <c r="A343">
        <v>1170</v>
      </c>
      <c r="B343" t="s">
        <v>9</v>
      </c>
      <c r="C343" t="s">
        <v>90</v>
      </c>
      <c r="D343">
        <v>0</v>
      </c>
      <c r="E343">
        <v>39010</v>
      </c>
      <c r="F343">
        <v>2958465</v>
      </c>
      <c r="G343">
        <v>6282</v>
      </c>
      <c r="H343" t="s">
        <v>9</v>
      </c>
      <c r="I343" t="s">
        <v>90</v>
      </c>
      <c r="J343">
        <v>0</v>
      </c>
      <c r="K343">
        <v>0</v>
      </c>
      <c r="N343">
        <v>0</v>
      </c>
      <c r="O343" t="s">
        <v>91</v>
      </c>
      <c r="P343" t="s">
        <v>1485</v>
      </c>
      <c r="Q343" s="16">
        <f>IF(CustomerHierarchyLevels[[#This Row],[HgLvCust.]]=0,CustomerHierarchyLevels[[#This Row],[Customer]],CustomerHierarchyLevels[[#This Row],[HgLvCust.]])</f>
        <v>6282</v>
      </c>
      <c r="R343" s="16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3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4" spans="1:19" x14ac:dyDescent="0.25">
      <c r="A344">
        <v>1173</v>
      </c>
      <c r="B344" t="s">
        <v>9</v>
      </c>
      <c r="C344" t="s">
        <v>90</v>
      </c>
      <c r="D344">
        <v>0</v>
      </c>
      <c r="E344">
        <v>39010</v>
      </c>
      <c r="F344">
        <v>2958465</v>
      </c>
      <c r="G344">
        <v>6282</v>
      </c>
      <c r="H344" t="s">
        <v>9</v>
      </c>
      <c r="I344" t="s">
        <v>90</v>
      </c>
      <c r="J344">
        <v>0</v>
      </c>
      <c r="K344">
        <v>0</v>
      </c>
      <c r="N344">
        <v>0</v>
      </c>
      <c r="O344" t="s">
        <v>91</v>
      </c>
      <c r="P344" t="s">
        <v>1486</v>
      </c>
      <c r="Q344" s="16">
        <f>IF(CustomerHierarchyLevels[[#This Row],[HgLvCust.]]=0,CustomerHierarchyLevels[[#This Row],[Customer]],CustomerHierarchyLevels[[#This Row],[HgLvCust.]])</f>
        <v>6282</v>
      </c>
      <c r="R344" s="16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4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5" spans="1:19" x14ac:dyDescent="0.25">
      <c r="A345">
        <v>3546</v>
      </c>
      <c r="B345" t="s">
        <v>9</v>
      </c>
      <c r="C345" t="s">
        <v>90</v>
      </c>
      <c r="D345">
        <v>0</v>
      </c>
      <c r="E345">
        <v>39010</v>
      </c>
      <c r="F345">
        <v>2958465</v>
      </c>
      <c r="G345">
        <v>6282</v>
      </c>
      <c r="H345" t="s">
        <v>9</v>
      </c>
      <c r="I345" t="s">
        <v>90</v>
      </c>
      <c r="J345">
        <v>0</v>
      </c>
      <c r="K345">
        <v>0</v>
      </c>
      <c r="N345">
        <v>0</v>
      </c>
      <c r="O345" t="s">
        <v>91</v>
      </c>
      <c r="P345" t="s">
        <v>1487</v>
      </c>
      <c r="Q345" s="16">
        <f>IF(CustomerHierarchyLevels[[#This Row],[HgLvCust.]]=0,CustomerHierarchyLevels[[#This Row],[Customer]],CustomerHierarchyLevels[[#This Row],[HgLvCust.]])</f>
        <v>6282</v>
      </c>
      <c r="R345" s="16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5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6" spans="1:19" x14ac:dyDescent="0.25">
      <c r="A346">
        <v>1421</v>
      </c>
      <c r="B346" t="s">
        <v>9</v>
      </c>
      <c r="C346" t="s">
        <v>90</v>
      </c>
      <c r="D346">
        <v>0</v>
      </c>
      <c r="E346">
        <v>39010</v>
      </c>
      <c r="F346">
        <v>2958465</v>
      </c>
      <c r="G346">
        <v>6282</v>
      </c>
      <c r="H346" t="s">
        <v>9</v>
      </c>
      <c r="I346" t="s">
        <v>90</v>
      </c>
      <c r="J346">
        <v>0</v>
      </c>
      <c r="K346">
        <v>0</v>
      </c>
      <c r="N346">
        <v>0</v>
      </c>
      <c r="O346" t="s">
        <v>91</v>
      </c>
      <c r="P346" t="s">
        <v>1488</v>
      </c>
      <c r="Q346" s="16">
        <f>IF(CustomerHierarchyLevels[[#This Row],[HgLvCust.]]=0,CustomerHierarchyLevels[[#This Row],[Customer]],CustomerHierarchyLevels[[#This Row],[HgLvCust.]])</f>
        <v>6282</v>
      </c>
      <c r="R346" s="16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6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7" spans="1:19" x14ac:dyDescent="0.25">
      <c r="A347">
        <v>3547</v>
      </c>
      <c r="B347" t="s">
        <v>9</v>
      </c>
      <c r="C347" t="s">
        <v>90</v>
      </c>
      <c r="D347">
        <v>0</v>
      </c>
      <c r="E347">
        <v>39010</v>
      </c>
      <c r="F347">
        <v>2958465</v>
      </c>
      <c r="G347">
        <v>6282</v>
      </c>
      <c r="H347" t="s">
        <v>9</v>
      </c>
      <c r="I347" t="s">
        <v>90</v>
      </c>
      <c r="J347">
        <v>0</v>
      </c>
      <c r="K347">
        <v>0</v>
      </c>
      <c r="N347">
        <v>0</v>
      </c>
      <c r="O347" t="s">
        <v>91</v>
      </c>
      <c r="P347" t="s">
        <v>1489</v>
      </c>
      <c r="Q347" s="16">
        <f>IF(CustomerHierarchyLevels[[#This Row],[HgLvCust.]]=0,CustomerHierarchyLevels[[#This Row],[Customer]],CustomerHierarchyLevels[[#This Row],[HgLvCust.]])</f>
        <v>6282</v>
      </c>
      <c r="R347" s="16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7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8" spans="1:19" x14ac:dyDescent="0.25">
      <c r="A348">
        <v>1829</v>
      </c>
      <c r="B348" t="s">
        <v>9</v>
      </c>
      <c r="C348" t="s">
        <v>90</v>
      </c>
      <c r="D348">
        <v>0</v>
      </c>
      <c r="E348">
        <v>39010</v>
      </c>
      <c r="F348">
        <v>2958465</v>
      </c>
      <c r="G348">
        <v>6282</v>
      </c>
      <c r="H348" t="s">
        <v>9</v>
      </c>
      <c r="I348" t="s">
        <v>90</v>
      </c>
      <c r="J348">
        <v>0</v>
      </c>
      <c r="K348">
        <v>0</v>
      </c>
      <c r="N348">
        <v>0</v>
      </c>
      <c r="O348" t="s">
        <v>91</v>
      </c>
      <c r="P348" t="s">
        <v>1490</v>
      </c>
      <c r="Q348" s="16">
        <f>IF(CustomerHierarchyLevels[[#This Row],[HgLvCust.]]=0,CustomerHierarchyLevels[[#This Row],[Customer]],CustomerHierarchyLevels[[#This Row],[HgLvCust.]])</f>
        <v>6282</v>
      </c>
      <c r="R348" s="16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8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9" spans="1:19" x14ac:dyDescent="0.25">
      <c r="A349">
        <v>1273</v>
      </c>
      <c r="B349" t="s">
        <v>9</v>
      </c>
      <c r="C349" t="s">
        <v>90</v>
      </c>
      <c r="D349">
        <v>0</v>
      </c>
      <c r="E349">
        <v>39010</v>
      </c>
      <c r="F349">
        <v>2958465</v>
      </c>
      <c r="G349">
        <v>6282</v>
      </c>
      <c r="H349" t="s">
        <v>9</v>
      </c>
      <c r="I349" t="s">
        <v>90</v>
      </c>
      <c r="J349">
        <v>0</v>
      </c>
      <c r="K349">
        <v>0</v>
      </c>
      <c r="N349">
        <v>0</v>
      </c>
      <c r="O349" t="s">
        <v>91</v>
      </c>
      <c r="P349" t="s">
        <v>1491</v>
      </c>
      <c r="Q349" s="16">
        <f>IF(CustomerHierarchyLevels[[#This Row],[HgLvCust.]]=0,CustomerHierarchyLevels[[#This Row],[Customer]],CustomerHierarchyLevels[[#This Row],[HgLvCust.]])</f>
        <v>6282</v>
      </c>
      <c r="R349" s="16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9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50" spans="1:19" x14ac:dyDescent="0.25">
      <c r="A350">
        <v>3232</v>
      </c>
      <c r="B350" t="s">
        <v>9</v>
      </c>
      <c r="C350" t="s">
        <v>90</v>
      </c>
      <c r="D350">
        <v>0</v>
      </c>
      <c r="E350">
        <v>39010</v>
      </c>
      <c r="F350">
        <v>2958465</v>
      </c>
      <c r="G350">
        <v>6282</v>
      </c>
      <c r="H350" t="s">
        <v>9</v>
      </c>
      <c r="I350" t="s">
        <v>90</v>
      </c>
      <c r="J350">
        <v>0</v>
      </c>
      <c r="K350">
        <v>0</v>
      </c>
      <c r="N350">
        <v>0</v>
      </c>
      <c r="O350" t="s">
        <v>91</v>
      </c>
      <c r="P350" t="s">
        <v>1492</v>
      </c>
      <c r="Q350" s="16">
        <f>IF(CustomerHierarchyLevels[[#This Row],[HgLvCust.]]=0,CustomerHierarchyLevels[[#This Row],[Customer]],CustomerHierarchyLevels[[#This Row],[HgLvCust.]])</f>
        <v>6282</v>
      </c>
      <c r="R350" s="16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50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51" spans="1:19" x14ac:dyDescent="0.25">
      <c r="A351">
        <v>1367</v>
      </c>
      <c r="B351" t="s">
        <v>9</v>
      </c>
      <c r="C351" t="s">
        <v>90</v>
      </c>
      <c r="D351">
        <v>0</v>
      </c>
      <c r="E351">
        <v>39010</v>
      </c>
      <c r="F351">
        <v>2958465</v>
      </c>
      <c r="G351">
        <v>6282</v>
      </c>
      <c r="H351" t="s">
        <v>9</v>
      </c>
      <c r="I351" t="s">
        <v>90</v>
      </c>
      <c r="J351">
        <v>0</v>
      </c>
      <c r="K351">
        <v>0</v>
      </c>
      <c r="N351">
        <v>0</v>
      </c>
      <c r="O351" t="s">
        <v>91</v>
      </c>
      <c r="P351" t="s">
        <v>1493</v>
      </c>
      <c r="Q351" s="16">
        <f>IF(CustomerHierarchyLevels[[#This Row],[HgLvCust.]]=0,CustomerHierarchyLevels[[#This Row],[Customer]],CustomerHierarchyLevels[[#This Row],[HgLvCust.]])</f>
        <v>6282</v>
      </c>
      <c r="R351" s="16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51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52" spans="1:19" x14ac:dyDescent="0.25">
      <c r="A352">
        <v>3228</v>
      </c>
      <c r="B352" t="s">
        <v>9</v>
      </c>
      <c r="C352" t="s">
        <v>90</v>
      </c>
      <c r="D352">
        <v>0</v>
      </c>
      <c r="E352">
        <v>39010</v>
      </c>
      <c r="F352">
        <v>2958465</v>
      </c>
      <c r="G352">
        <v>6282</v>
      </c>
      <c r="H352" t="s">
        <v>9</v>
      </c>
      <c r="I352" t="s">
        <v>90</v>
      </c>
      <c r="J352">
        <v>0</v>
      </c>
      <c r="K352">
        <v>0</v>
      </c>
      <c r="N352">
        <v>0</v>
      </c>
      <c r="O352" t="s">
        <v>91</v>
      </c>
      <c r="P352" t="s">
        <v>1494</v>
      </c>
      <c r="Q352" s="16">
        <f>IF(CustomerHierarchyLevels[[#This Row],[HgLvCust.]]=0,CustomerHierarchyLevels[[#This Row],[Customer]],CustomerHierarchyLevels[[#This Row],[HgLvCust.]])</f>
        <v>6282</v>
      </c>
      <c r="R352" s="16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52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53" spans="1:19" x14ac:dyDescent="0.25">
      <c r="A353">
        <v>1704</v>
      </c>
      <c r="B353" t="s">
        <v>9</v>
      </c>
      <c r="C353" t="s">
        <v>90</v>
      </c>
      <c r="D353">
        <v>0</v>
      </c>
      <c r="E353">
        <v>39010</v>
      </c>
      <c r="F353">
        <v>2958465</v>
      </c>
      <c r="G353">
        <v>6284</v>
      </c>
      <c r="H353" t="s">
        <v>9</v>
      </c>
      <c r="I353" t="s">
        <v>90</v>
      </c>
      <c r="J353">
        <v>0</v>
      </c>
      <c r="K353">
        <v>0</v>
      </c>
      <c r="N353">
        <v>0</v>
      </c>
      <c r="O353" t="s">
        <v>91</v>
      </c>
      <c r="P353" t="s">
        <v>1495</v>
      </c>
      <c r="Q353" s="16">
        <f>IF(CustomerHierarchyLevels[[#This Row],[HgLvCust.]]=0,CustomerHierarchyLevels[[#This Row],[Customer]],CustomerHierarchyLevels[[#This Row],[HgLvCust.]])</f>
        <v>6284</v>
      </c>
      <c r="R353" s="16">
        <f>IF(VLOOKUP(CustomerHierarchyLevels[[#This Row],[Level1]],CustomerHierarchyLevels[],7,FALSE)=0,CustomerHierarchyLevels[[#This Row],[Level1]],VLOOKUP(CustomerHierarchyLevels[[#This Row],[Level1]],CustomerHierarchyLevels[],7,FALSE))</f>
        <v>6285</v>
      </c>
      <c r="S353" s="16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354" spans="1:19" x14ac:dyDescent="0.25">
      <c r="A354">
        <v>1455</v>
      </c>
      <c r="B354" t="s">
        <v>9</v>
      </c>
      <c r="C354" t="s">
        <v>90</v>
      </c>
      <c r="D354">
        <v>0</v>
      </c>
      <c r="E354">
        <v>39010</v>
      </c>
      <c r="F354">
        <v>2958465</v>
      </c>
      <c r="G354">
        <v>6284</v>
      </c>
      <c r="H354" t="s">
        <v>9</v>
      </c>
      <c r="I354" t="s">
        <v>90</v>
      </c>
      <c r="J354">
        <v>0</v>
      </c>
      <c r="K354">
        <v>0</v>
      </c>
      <c r="N354">
        <v>0</v>
      </c>
      <c r="O354" t="s">
        <v>91</v>
      </c>
      <c r="P354" t="s">
        <v>1496</v>
      </c>
      <c r="Q354" s="16">
        <f>IF(CustomerHierarchyLevels[[#This Row],[HgLvCust.]]=0,CustomerHierarchyLevels[[#This Row],[Customer]],CustomerHierarchyLevels[[#This Row],[HgLvCust.]])</f>
        <v>6284</v>
      </c>
      <c r="R354" s="16">
        <f>IF(VLOOKUP(CustomerHierarchyLevels[[#This Row],[Level1]],CustomerHierarchyLevels[],7,FALSE)=0,CustomerHierarchyLevels[[#This Row],[Level1]],VLOOKUP(CustomerHierarchyLevels[[#This Row],[Level1]],CustomerHierarchyLevels[],7,FALSE))</f>
        <v>6285</v>
      </c>
      <c r="S354" s="16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355" spans="1:19" x14ac:dyDescent="0.25">
      <c r="A355">
        <v>2392</v>
      </c>
      <c r="B355" t="s">
        <v>9</v>
      </c>
      <c r="C355" t="s">
        <v>90</v>
      </c>
      <c r="D355">
        <v>0</v>
      </c>
      <c r="E355">
        <v>39010</v>
      </c>
      <c r="F355">
        <v>2958465</v>
      </c>
      <c r="G355">
        <v>6284</v>
      </c>
      <c r="H355" t="s">
        <v>9</v>
      </c>
      <c r="I355" t="s">
        <v>90</v>
      </c>
      <c r="J355">
        <v>0</v>
      </c>
      <c r="K355">
        <v>0</v>
      </c>
      <c r="N355">
        <v>0</v>
      </c>
      <c r="O355" t="s">
        <v>91</v>
      </c>
      <c r="P355" t="s">
        <v>1497</v>
      </c>
      <c r="Q355" s="16">
        <f>IF(CustomerHierarchyLevels[[#This Row],[HgLvCust.]]=0,CustomerHierarchyLevels[[#This Row],[Customer]],CustomerHierarchyLevels[[#This Row],[HgLvCust.]])</f>
        <v>6284</v>
      </c>
      <c r="R355" s="16">
        <f>IF(VLOOKUP(CustomerHierarchyLevels[[#This Row],[Level1]],CustomerHierarchyLevels[],7,FALSE)=0,CustomerHierarchyLevels[[#This Row],[Level1]],VLOOKUP(CustomerHierarchyLevels[[#This Row],[Level1]],CustomerHierarchyLevels[],7,FALSE))</f>
        <v>6285</v>
      </c>
      <c r="S355" s="16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356" spans="1:19" x14ac:dyDescent="0.25">
      <c r="A356">
        <v>1580</v>
      </c>
      <c r="B356" t="s">
        <v>9</v>
      </c>
      <c r="C356" t="s">
        <v>90</v>
      </c>
      <c r="D356">
        <v>0</v>
      </c>
      <c r="E356">
        <v>39010</v>
      </c>
      <c r="F356">
        <v>2958465</v>
      </c>
      <c r="G356">
        <v>6284</v>
      </c>
      <c r="H356" t="s">
        <v>9</v>
      </c>
      <c r="I356" t="s">
        <v>90</v>
      </c>
      <c r="J356">
        <v>0</v>
      </c>
      <c r="K356">
        <v>0</v>
      </c>
      <c r="N356">
        <v>0</v>
      </c>
      <c r="O356" t="s">
        <v>91</v>
      </c>
      <c r="P356" t="s">
        <v>1498</v>
      </c>
      <c r="Q356" s="16">
        <f>IF(CustomerHierarchyLevels[[#This Row],[HgLvCust.]]=0,CustomerHierarchyLevels[[#This Row],[Customer]],CustomerHierarchyLevels[[#This Row],[HgLvCust.]])</f>
        <v>6284</v>
      </c>
      <c r="R356" s="16">
        <f>IF(VLOOKUP(CustomerHierarchyLevels[[#This Row],[Level1]],CustomerHierarchyLevels[],7,FALSE)=0,CustomerHierarchyLevels[[#This Row],[Level1]],VLOOKUP(CustomerHierarchyLevels[[#This Row],[Level1]],CustomerHierarchyLevels[],7,FALSE))</f>
        <v>6285</v>
      </c>
      <c r="S356" s="16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357" spans="1:19" x14ac:dyDescent="0.25">
      <c r="A357">
        <v>2952</v>
      </c>
      <c r="B357" t="s">
        <v>9</v>
      </c>
      <c r="C357" t="s">
        <v>90</v>
      </c>
      <c r="D357">
        <v>0</v>
      </c>
      <c r="E357">
        <v>39010</v>
      </c>
      <c r="F357">
        <v>2958465</v>
      </c>
      <c r="G357">
        <v>6286</v>
      </c>
      <c r="H357" t="s">
        <v>9</v>
      </c>
      <c r="I357" t="s">
        <v>90</v>
      </c>
      <c r="J357">
        <v>0</v>
      </c>
      <c r="K357">
        <v>0</v>
      </c>
      <c r="N357">
        <v>0</v>
      </c>
      <c r="O357" t="s">
        <v>91</v>
      </c>
      <c r="P357" t="s">
        <v>1499</v>
      </c>
      <c r="Q357" s="16">
        <f>IF(CustomerHierarchyLevels[[#This Row],[HgLvCust.]]=0,CustomerHierarchyLevels[[#This Row],[Customer]],CustomerHierarchyLevels[[#This Row],[HgLvCust.]])</f>
        <v>6286</v>
      </c>
      <c r="R357" s="16">
        <f>IF(VLOOKUP(CustomerHierarchyLevels[[#This Row],[Level1]],CustomerHierarchyLevels[],7,FALSE)=0,CustomerHierarchyLevels[[#This Row],[Level1]],VLOOKUP(CustomerHierarchyLevels[[#This Row],[Level1]],CustomerHierarchyLevels[],7,FALSE))</f>
        <v>6287</v>
      </c>
      <c r="S357" s="16">
        <f>IF(VLOOKUP(CustomerHierarchyLevels[[#This Row],[Level2]],CustomerHierarchyLevels[],7,FALSE)=0,CustomerHierarchyLevels[[#This Row],[Level2]],VLOOKUP(CustomerHierarchyLevels[[#This Row],[Level2]],CustomerHierarchyLevels[],7,FALSE))</f>
        <v>6713</v>
      </c>
    </row>
    <row r="358" spans="1:19" x14ac:dyDescent="0.25">
      <c r="A358">
        <v>1584</v>
      </c>
      <c r="B358" t="s">
        <v>9</v>
      </c>
      <c r="C358" t="s">
        <v>90</v>
      </c>
      <c r="D358">
        <v>0</v>
      </c>
      <c r="E358">
        <v>39010</v>
      </c>
      <c r="F358">
        <v>2958465</v>
      </c>
      <c r="G358">
        <v>6286</v>
      </c>
      <c r="H358" t="s">
        <v>9</v>
      </c>
      <c r="I358" t="s">
        <v>90</v>
      </c>
      <c r="J358">
        <v>0</v>
      </c>
      <c r="K358">
        <v>0</v>
      </c>
      <c r="N358">
        <v>0</v>
      </c>
      <c r="O358" t="s">
        <v>91</v>
      </c>
      <c r="P358" t="s">
        <v>1500</v>
      </c>
      <c r="Q358" s="16">
        <f>IF(CustomerHierarchyLevels[[#This Row],[HgLvCust.]]=0,CustomerHierarchyLevels[[#This Row],[Customer]],CustomerHierarchyLevels[[#This Row],[HgLvCust.]])</f>
        <v>6286</v>
      </c>
      <c r="R358" s="16">
        <f>IF(VLOOKUP(CustomerHierarchyLevels[[#This Row],[Level1]],CustomerHierarchyLevels[],7,FALSE)=0,CustomerHierarchyLevels[[#This Row],[Level1]],VLOOKUP(CustomerHierarchyLevels[[#This Row],[Level1]],CustomerHierarchyLevels[],7,FALSE))</f>
        <v>6287</v>
      </c>
      <c r="S358" s="16">
        <f>IF(VLOOKUP(CustomerHierarchyLevels[[#This Row],[Level2]],CustomerHierarchyLevels[],7,FALSE)=0,CustomerHierarchyLevels[[#This Row],[Level2]],VLOOKUP(CustomerHierarchyLevels[[#This Row],[Level2]],CustomerHierarchyLevels[],7,FALSE))</f>
        <v>6713</v>
      </c>
    </row>
    <row r="359" spans="1:19" x14ac:dyDescent="0.25">
      <c r="A359">
        <v>1355</v>
      </c>
      <c r="B359" t="s">
        <v>9</v>
      </c>
      <c r="C359" t="s">
        <v>90</v>
      </c>
      <c r="D359">
        <v>0</v>
      </c>
      <c r="E359">
        <v>39010</v>
      </c>
      <c r="F359">
        <v>2958465</v>
      </c>
      <c r="G359">
        <v>6288</v>
      </c>
      <c r="H359" t="s">
        <v>9</v>
      </c>
      <c r="I359" t="s">
        <v>90</v>
      </c>
      <c r="J359">
        <v>0</v>
      </c>
      <c r="K359">
        <v>0</v>
      </c>
      <c r="N359">
        <v>0</v>
      </c>
      <c r="O359" t="s">
        <v>91</v>
      </c>
      <c r="P359" t="s">
        <v>1501</v>
      </c>
      <c r="Q359" s="16">
        <f>IF(CustomerHierarchyLevels[[#This Row],[HgLvCust.]]=0,CustomerHierarchyLevels[[#This Row],[Customer]],CustomerHierarchyLevels[[#This Row],[HgLvCust.]])</f>
        <v>6288</v>
      </c>
      <c r="R359" s="16">
        <f>IF(VLOOKUP(CustomerHierarchyLevels[[#This Row],[Level1]],CustomerHierarchyLevels[],7,FALSE)=0,CustomerHierarchyLevels[[#This Row],[Level1]],VLOOKUP(CustomerHierarchyLevels[[#This Row],[Level1]],CustomerHierarchyLevels[],7,FALSE))</f>
        <v>6289</v>
      </c>
      <c r="S359" s="16">
        <f>IF(VLOOKUP(CustomerHierarchyLevels[[#This Row],[Level2]],CustomerHierarchyLevels[],7,FALSE)=0,CustomerHierarchyLevels[[#This Row],[Level2]],VLOOKUP(CustomerHierarchyLevels[[#This Row],[Level2]],CustomerHierarchyLevels[],7,FALSE))</f>
        <v>6714</v>
      </c>
    </row>
    <row r="360" spans="1:19" x14ac:dyDescent="0.25">
      <c r="A360">
        <v>3422</v>
      </c>
      <c r="B360" t="s">
        <v>9</v>
      </c>
      <c r="C360" t="s">
        <v>90</v>
      </c>
      <c r="D360">
        <v>0</v>
      </c>
      <c r="E360">
        <v>39010</v>
      </c>
      <c r="F360">
        <v>2958465</v>
      </c>
      <c r="G360">
        <v>6288</v>
      </c>
      <c r="H360" t="s">
        <v>9</v>
      </c>
      <c r="I360" t="s">
        <v>90</v>
      </c>
      <c r="J360">
        <v>0</v>
      </c>
      <c r="K360">
        <v>0</v>
      </c>
      <c r="N360">
        <v>0</v>
      </c>
      <c r="O360" t="s">
        <v>91</v>
      </c>
      <c r="P360" t="s">
        <v>1502</v>
      </c>
      <c r="Q360" s="16">
        <f>IF(CustomerHierarchyLevels[[#This Row],[HgLvCust.]]=0,CustomerHierarchyLevels[[#This Row],[Customer]],CustomerHierarchyLevels[[#This Row],[HgLvCust.]])</f>
        <v>6288</v>
      </c>
      <c r="R360" s="16">
        <f>IF(VLOOKUP(CustomerHierarchyLevels[[#This Row],[Level1]],CustomerHierarchyLevels[],7,FALSE)=0,CustomerHierarchyLevels[[#This Row],[Level1]],VLOOKUP(CustomerHierarchyLevels[[#This Row],[Level1]],CustomerHierarchyLevels[],7,FALSE))</f>
        <v>6289</v>
      </c>
      <c r="S360" s="16">
        <f>IF(VLOOKUP(CustomerHierarchyLevels[[#This Row],[Level2]],CustomerHierarchyLevels[],7,FALSE)=0,CustomerHierarchyLevels[[#This Row],[Level2]],VLOOKUP(CustomerHierarchyLevels[[#This Row],[Level2]],CustomerHierarchyLevels[],7,FALSE))</f>
        <v>6714</v>
      </c>
    </row>
    <row r="361" spans="1:19" x14ac:dyDescent="0.25">
      <c r="A361">
        <v>1429</v>
      </c>
      <c r="B361" t="s">
        <v>9</v>
      </c>
      <c r="C361" t="s">
        <v>90</v>
      </c>
      <c r="D361">
        <v>0</v>
      </c>
      <c r="E361">
        <v>39010</v>
      </c>
      <c r="F361">
        <v>2958465</v>
      </c>
      <c r="G361">
        <v>6288</v>
      </c>
      <c r="H361" t="s">
        <v>9</v>
      </c>
      <c r="I361" t="s">
        <v>90</v>
      </c>
      <c r="J361">
        <v>0</v>
      </c>
      <c r="K361">
        <v>0</v>
      </c>
      <c r="N361">
        <v>0</v>
      </c>
      <c r="O361" t="s">
        <v>91</v>
      </c>
      <c r="P361" t="s">
        <v>1503</v>
      </c>
      <c r="Q361" s="16">
        <f>IF(CustomerHierarchyLevels[[#This Row],[HgLvCust.]]=0,CustomerHierarchyLevels[[#This Row],[Customer]],CustomerHierarchyLevels[[#This Row],[HgLvCust.]])</f>
        <v>6288</v>
      </c>
      <c r="R361" s="16">
        <f>IF(VLOOKUP(CustomerHierarchyLevels[[#This Row],[Level1]],CustomerHierarchyLevels[],7,FALSE)=0,CustomerHierarchyLevels[[#This Row],[Level1]],VLOOKUP(CustomerHierarchyLevels[[#This Row],[Level1]],CustomerHierarchyLevels[],7,FALSE))</f>
        <v>6289</v>
      </c>
      <c r="S361" s="16">
        <f>IF(VLOOKUP(CustomerHierarchyLevels[[#This Row],[Level2]],CustomerHierarchyLevels[],7,FALSE)=0,CustomerHierarchyLevels[[#This Row],[Level2]],VLOOKUP(CustomerHierarchyLevels[[#This Row],[Level2]],CustomerHierarchyLevels[],7,FALSE))</f>
        <v>6714</v>
      </c>
    </row>
    <row r="362" spans="1:19" x14ac:dyDescent="0.25">
      <c r="A362">
        <v>1412</v>
      </c>
      <c r="B362" t="s">
        <v>9</v>
      </c>
      <c r="C362" t="s">
        <v>90</v>
      </c>
      <c r="D362">
        <v>0</v>
      </c>
      <c r="E362">
        <v>39010</v>
      </c>
      <c r="F362">
        <v>2958465</v>
      </c>
      <c r="G362">
        <v>6290</v>
      </c>
      <c r="H362" t="s">
        <v>9</v>
      </c>
      <c r="I362" t="s">
        <v>90</v>
      </c>
      <c r="J362">
        <v>0</v>
      </c>
      <c r="K362">
        <v>0</v>
      </c>
      <c r="N362">
        <v>0</v>
      </c>
      <c r="O362" t="s">
        <v>91</v>
      </c>
      <c r="P362" t="s">
        <v>1504</v>
      </c>
      <c r="Q362" s="16">
        <f>IF(CustomerHierarchyLevels[[#This Row],[HgLvCust.]]=0,CustomerHierarchyLevels[[#This Row],[Customer]],CustomerHierarchyLevels[[#This Row],[HgLvCust.]])</f>
        <v>6290</v>
      </c>
      <c r="R362" s="16">
        <f>IF(VLOOKUP(CustomerHierarchyLevels[[#This Row],[Level1]],CustomerHierarchyLevels[],7,FALSE)=0,CustomerHierarchyLevels[[#This Row],[Level1]],VLOOKUP(CustomerHierarchyLevels[[#This Row],[Level1]],CustomerHierarchyLevels[],7,FALSE))</f>
        <v>6291</v>
      </c>
      <c r="S362" s="16">
        <f>IF(VLOOKUP(CustomerHierarchyLevels[[#This Row],[Level2]],CustomerHierarchyLevels[],7,FALSE)=0,CustomerHierarchyLevels[[#This Row],[Level2]],VLOOKUP(CustomerHierarchyLevels[[#This Row],[Level2]],CustomerHierarchyLevels[],7,FALSE))</f>
        <v>6715</v>
      </c>
    </row>
    <row r="363" spans="1:19" x14ac:dyDescent="0.25">
      <c r="A363">
        <v>1598</v>
      </c>
      <c r="B363" t="s">
        <v>9</v>
      </c>
      <c r="C363" t="s">
        <v>90</v>
      </c>
      <c r="D363">
        <v>0</v>
      </c>
      <c r="E363">
        <v>39010</v>
      </c>
      <c r="F363">
        <v>2958465</v>
      </c>
      <c r="G363">
        <v>6290</v>
      </c>
      <c r="H363" t="s">
        <v>9</v>
      </c>
      <c r="I363" t="s">
        <v>90</v>
      </c>
      <c r="J363">
        <v>0</v>
      </c>
      <c r="K363">
        <v>0</v>
      </c>
      <c r="N363">
        <v>0</v>
      </c>
      <c r="O363" t="s">
        <v>91</v>
      </c>
      <c r="P363" t="s">
        <v>1505</v>
      </c>
      <c r="Q363" s="16">
        <f>IF(CustomerHierarchyLevels[[#This Row],[HgLvCust.]]=0,CustomerHierarchyLevels[[#This Row],[Customer]],CustomerHierarchyLevels[[#This Row],[HgLvCust.]])</f>
        <v>6290</v>
      </c>
      <c r="R363" s="16">
        <f>IF(VLOOKUP(CustomerHierarchyLevels[[#This Row],[Level1]],CustomerHierarchyLevels[],7,FALSE)=0,CustomerHierarchyLevels[[#This Row],[Level1]],VLOOKUP(CustomerHierarchyLevels[[#This Row],[Level1]],CustomerHierarchyLevels[],7,FALSE))</f>
        <v>6291</v>
      </c>
      <c r="S363" s="16">
        <f>IF(VLOOKUP(CustomerHierarchyLevels[[#This Row],[Level2]],CustomerHierarchyLevels[],7,FALSE)=0,CustomerHierarchyLevels[[#This Row],[Level2]],VLOOKUP(CustomerHierarchyLevels[[#This Row],[Level2]],CustomerHierarchyLevels[],7,FALSE))</f>
        <v>6715</v>
      </c>
    </row>
    <row r="364" spans="1:19" x14ac:dyDescent="0.25">
      <c r="A364">
        <v>1664</v>
      </c>
      <c r="B364" t="s">
        <v>9</v>
      </c>
      <c r="C364" t="s">
        <v>90</v>
      </c>
      <c r="D364">
        <v>0</v>
      </c>
      <c r="E364">
        <v>39010</v>
      </c>
      <c r="F364">
        <v>2958465</v>
      </c>
      <c r="G364">
        <v>6290</v>
      </c>
      <c r="H364" t="s">
        <v>9</v>
      </c>
      <c r="I364" t="s">
        <v>90</v>
      </c>
      <c r="J364">
        <v>0</v>
      </c>
      <c r="K364">
        <v>0</v>
      </c>
      <c r="N364">
        <v>0</v>
      </c>
      <c r="O364" t="s">
        <v>91</v>
      </c>
      <c r="P364" t="s">
        <v>1506</v>
      </c>
      <c r="Q364" s="16">
        <f>IF(CustomerHierarchyLevels[[#This Row],[HgLvCust.]]=0,CustomerHierarchyLevels[[#This Row],[Customer]],CustomerHierarchyLevels[[#This Row],[HgLvCust.]])</f>
        <v>6290</v>
      </c>
      <c r="R364" s="16">
        <f>IF(VLOOKUP(CustomerHierarchyLevels[[#This Row],[Level1]],CustomerHierarchyLevels[],7,FALSE)=0,CustomerHierarchyLevels[[#This Row],[Level1]],VLOOKUP(CustomerHierarchyLevels[[#This Row],[Level1]],CustomerHierarchyLevels[],7,FALSE))</f>
        <v>6291</v>
      </c>
      <c r="S364" s="16">
        <f>IF(VLOOKUP(CustomerHierarchyLevels[[#This Row],[Level2]],CustomerHierarchyLevels[],7,FALSE)=0,CustomerHierarchyLevels[[#This Row],[Level2]],VLOOKUP(CustomerHierarchyLevels[[#This Row],[Level2]],CustomerHierarchyLevels[],7,FALSE))</f>
        <v>6715</v>
      </c>
    </row>
    <row r="365" spans="1:19" x14ac:dyDescent="0.25">
      <c r="A365">
        <v>1143</v>
      </c>
      <c r="B365" t="s">
        <v>9</v>
      </c>
      <c r="C365" t="s">
        <v>90</v>
      </c>
      <c r="D365">
        <v>0</v>
      </c>
      <c r="E365">
        <v>39010</v>
      </c>
      <c r="F365">
        <v>2958465</v>
      </c>
      <c r="G365">
        <v>6292</v>
      </c>
      <c r="H365" t="s">
        <v>9</v>
      </c>
      <c r="I365" t="s">
        <v>90</v>
      </c>
      <c r="J365">
        <v>0</v>
      </c>
      <c r="K365">
        <v>0</v>
      </c>
      <c r="L365" t="s">
        <v>1195</v>
      </c>
      <c r="N365">
        <v>0</v>
      </c>
      <c r="O365" t="s">
        <v>91</v>
      </c>
      <c r="P365" t="s">
        <v>1507</v>
      </c>
      <c r="Q365" s="16">
        <f>IF(CustomerHierarchyLevels[[#This Row],[HgLvCust.]]=0,CustomerHierarchyLevels[[#This Row],[Customer]],CustomerHierarchyLevels[[#This Row],[HgLvCust.]])</f>
        <v>6292</v>
      </c>
      <c r="R365" s="16">
        <f>IF(VLOOKUP(CustomerHierarchyLevels[[#This Row],[Level1]],CustomerHierarchyLevels[],7,FALSE)=0,CustomerHierarchyLevels[[#This Row],[Level1]],VLOOKUP(CustomerHierarchyLevels[[#This Row],[Level1]],CustomerHierarchyLevels[],7,FALSE))</f>
        <v>6293</v>
      </c>
      <c r="S365" s="16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366" spans="1:19" x14ac:dyDescent="0.25">
      <c r="A366">
        <v>1172</v>
      </c>
      <c r="B366" t="s">
        <v>9</v>
      </c>
      <c r="C366" t="s">
        <v>90</v>
      </c>
      <c r="D366">
        <v>0</v>
      </c>
      <c r="E366">
        <v>39010</v>
      </c>
      <c r="F366">
        <v>2958465</v>
      </c>
      <c r="G366">
        <v>6292</v>
      </c>
      <c r="H366" t="s">
        <v>9</v>
      </c>
      <c r="I366" t="s">
        <v>90</v>
      </c>
      <c r="J366">
        <v>0</v>
      </c>
      <c r="K366">
        <v>0</v>
      </c>
      <c r="N366">
        <v>0</v>
      </c>
      <c r="O366" t="s">
        <v>91</v>
      </c>
      <c r="P366" t="s">
        <v>1508</v>
      </c>
      <c r="Q366" s="16">
        <f>IF(CustomerHierarchyLevels[[#This Row],[HgLvCust.]]=0,CustomerHierarchyLevels[[#This Row],[Customer]],CustomerHierarchyLevels[[#This Row],[HgLvCust.]])</f>
        <v>6292</v>
      </c>
      <c r="R366" s="16">
        <f>IF(VLOOKUP(CustomerHierarchyLevels[[#This Row],[Level1]],CustomerHierarchyLevels[],7,FALSE)=0,CustomerHierarchyLevels[[#This Row],[Level1]],VLOOKUP(CustomerHierarchyLevels[[#This Row],[Level1]],CustomerHierarchyLevels[],7,FALSE))</f>
        <v>6293</v>
      </c>
      <c r="S366" s="16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367" spans="1:19" x14ac:dyDescent="0.25">
      <c r="A367">
        <v>1428</v>
      </c>
      <c r="B367" t="s">
        <v>9</v>
      </c>
      <c r="C367" t="s">
        <v>90</v>
      </c>
      <c r="D367">
        <v>0</v>
      </c>
      <c r="E367">
        <v>39010</v>
      </c>
      <c r="F367">
        <v>2958465</v>
      </c>
      <c r="G367">
        <v>6292</v>
      </c>
      <c r="H367" t="s">
        <v>9</v>
      </c>
      <c r="I367" t="s">
        <v>90</v>
      </c>
      <c r="J367">
        <v>0</v>
      </c>
      <c r="K367">
        <v>0</v>
      </c>
      <c r="N367">
        <v>0</v>
      </c>
      <c r="O367" t="s">
        <v>91</v>
      </c>
      <c r="P367" t="s">
        <v>1509</v>
      </c>
      <c r="Q367" s="16">
        <f>IF(CustomerHierarchyLevels[[#This Row],[HgLvCust.]]=0,CustomerHierarchyLevels[[#This Row],[Customer]],CustomerHierarchyLevels[[#This Row],[HgLvCust.]])</f>
        <v>6292</v>
      </c>
      <c r="R367" s="16">
        <f>IF(VLOOKUP(CustomerHierarchyLevels[[#This Row],[Level1]],CustomerHierarchyLevels[],7,FALSE)=0,CustomerHierarchyLevels[[#This Row],[Level1]],VLOOKUP(CustomerHierarchyLevels[[#This Row],[Level1]],CustomerHierarchyLevels[],7,FALSE))</f>
        <v>6293</v>
      </c>
      <c r="S367" s="16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368" spans="1:19" x14ac:dyDescent="0.25">
      <c r="A368">
        <v>6556</v>
      </c>
      <c r="B368" t="s">
        <v>9</v>
      </c>
      <c r="C368" t="s">
        <v>90</v>
      </c>
      <c r="D368">
        <v>0</v>
      </c>
      <c r="E368">
        <v>39010</v>
      </c>
      <c r="F368">
        <v>2958465</v>
      </c>
      <c r="G368">
        <v>6292</v>
      </c>
      <c r="H368" t="s">
        <v>9</v>
      </c>
      <c r="I368" t="s">
        <v>90</v>
      </c>
      <c r="J368">
        <v>0</v>
      </c>
      <c r="K368">
        <v>0</v>
      </c>
      <c r="N368">
        <v>0</v>
      </c>
      <c r="O368" t="s">
        <v>91</v>
      </c>
      <c r="P368" t="s">
        <v>1510</v>
      </c>
      <c r="Q368" s="16">
        <f>IF(CustomerHierarchyLevels[[#This Row],[HgLvCust.]]=0,CustomerHierarchyLevels[[#This Row],[Customer]],CustomerHierarchyLevels[[#This Row],[HgLvCust.]])</f>
        <v>6292</v>
      </c>
      <c r="R368" s="16">
        <f>IF(VLOOKUP(CustomerHierarchyLevels[[#This Row],[Level1]],CustomerHierarchyLevels[],7,FALSE)=0,CustomerHierarchyLevels[[#This Row],[Level1]],VLOOKUP(CustomerHierarchyLevels[[#This Row],[Level1]],CustomerHierarchyLevels[],7,FALSE))</f>
        <v>6293</v>
      </c>
      <c r="S368" s="16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369" spans="1:19" x14ac:dyDescent="0.25">
      <c r="A369">
        <v>1722</v>
      </c>
      <c r="B369" t="s">
        <v>9</v>
      </c>
      <c r="C369" t="s">
        <v>90</v>
      </c>
      <c r="D369">
        <v>0</v>
      </c>
      <c r="E369">
        <v>39010</v>
      </c>
      <c r="F369">
        <v>2958465</v>
      </c>
      <c r="G369">
        <v>6292</v>
      </c>
      <c r="H369" t="s">
        <v>9</v>
      </c>
      <c r="I369" t="s">
        <v>90</v>
      </c>
      <c r="J369">
        <v>0</v>
      </c>
      <c r="K369">
        <v>0</v>
      </c>
      <c r="N369">
        <v>0</v>
      </c>
      <c r="O369" t="s">
        <v>91</v>
      </c>
      <c r="P369" t="s">
        <v>1511</v>
      </c>
      <c r="Q369" s="16">
        <f>IF(CustomerHierarchyLevels[[#This Row],[HgLvCust.]]=0,CustomerHierarchyLevels[[#This Row],[Customer]],CustomerHierarchyLevels[[#This Row],[HgLvCust.]])</f>
        <v>6292</v>
      </c>
      <c r="R369" s="16">
        <f>IF(VLOOKUP(CustomerHierarchyLevels[[#This Row],[Level1]],CustomerHierarchyLevels[],7,FALSE)=0,CustomerHierarchyLevels[[#This Row],[Level1]],VLOOKUP(CustomerHierarchyLevels[[#This Row],[Level1]],CustomerHierarchyLevels[],7,FALSE))</f>
        <v>6293</v>
      </c>
      <c r="S369" s="16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370" spans="1:19" x14ac:dyDescent="0.25">
      <c r="A370">
        <v>3548</v>
      </c>
      <c r="B370" t="s">
        <v>9</v>
      </c>
      <c r="C370" t="s">
        <v>90</v>
      </c>
      <c r="D370">
        <v>0</v>
      </c>
      <c r="E370">
        <v>39010</v>
      </c>
      <c r="F370">
        <v>2958465</v>
      </c>
      <c r="G370">
        <v>6292</v>
      </c>
      <c r="H370" t="s">
        <v>9</v>
      </c>
      <c r="I370" t="s">
        <v>90</v>
      </c>
      <c r="J370">
        <v>0</v>
      </c>
      <c r="K370">
        <v>0</v>
      </c>
      <c r="N370">
        <v>0</v>
      </c>
      <c r="O370" t="s">
        <v>91</v>
      </c>
      <c r="P370" t="s">
        <v>1512</v>
      </c>
      <c r="Q370" s="16">
        <f>IF(CustomerHierarchyLevels[[#This Row],[HgLvCust.]]=0,CustomerHierarchyLevels[[#This Row],[Customer]],CustomerHierarchyLevels[[#This Row],[HgLvCust.]])</f>
        <v>6292</v>
      </c>
      <c r="R370" s="16">
        <f>IF(VLOOKUP(CustomerHierarchyLevels[[#This Row],[Level1]],CustomerHierarchyLevels[],7,FALSE)=0,CustomerHierarchyLevels[[#This Row],[Level1]],VLOOKUP(CustomerHierarchyLevels[[#This Row],[Level1]],CustomerHierarchyLevels[],7,FALSE))</f>
        <v>6293</v>
      </c>
      <c r="S370" s="16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371" spans="1:19" x14ac:dyDescent="0.25">
      <c r="A371">
        <v>1708</v>
      </c>
      <c r="B371" t="s">
        <v>9</v>
      </c>
      <c r="C371" t="s">
        <v>90</v>
      </c>
      <c r="D371">
        <v>0</v>
      </c>
      <c r="E371">
        <v>39010</v>
      </c>
      <c r="F371">
        <v>2958465</v>
      </c>
      <c r="G371">
        <v>6294</v>
      </c>
      <c r="H371" t="s">
        <v>9</v>
      </c>
      <c r="I371" t="s">
        <v>90</v>
      </c>
      <c r="J371">
        <v>0</v>
      </c>
      <c r="K371">
        <v>0</v>
      </c>
      <c r="N371">
        <v>0</v>
      </c>
      <c r="O371" t="s">
        <v>91</v>
      </c>
      <c r="P371" t="s">
        <v>1513</v>
      </c>
      <c r="Q371" s="16">
        <f>IF(CustomerHierarchyLevels[[#This Row],[HgLvCust.]]=0,CustomerHierarchyLevels[[#This Row],[Customer]],CustomerHierarchyLevels[[#This Row],[HgLvCust.]])</f>
        <v>6294</v>
      </c>
      <c r="R371" s="16">
        <f>IF(VLOOKUP(CustomerHierarchyLevels[[#This Row],[Level1]],CustomerHierarchyLevels[],7,FALSE)=0,CustomerHierarchyLevels[[#This Row],[Level1]],VLOOKUP(CustomerHierarchyLevels[[#This Row],[Level1]],CustomerHierarchyLevels[],7,FALSE))</f>
        <v>6295</v>
      </c>
      <c r="S371" s="16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372" spans="1:19" x14ac:dyDescent="0.25">
      <c r="A372">
        <v>2681</v>
      </c>
      <c r="B372" t="s">
        <v>9</v>
      </c>
      <c r="C372" t="s">
        <v>90</v>
      </c>
      <c r="D372">
        <v>0</v>
      </c>
      <c r="E372">
        <v>39010</v>
      </c>
      <c r="F372">
        <v>2958465</v>
      </c>
      <c r="G372">
        <v>6294</v>
      </c>
      <c r="H372" t="s">
        <v>9</v>
      </c>
      <c r="I372" t="s">
        <v>90</v>
      </c>
      <c r="J372">
        <v>0</v>
      </c>
      <c r="K372">
        <v>0</v>
      </c>
      <c r="N372">
        <v>0</v>
      </c>
      <c r="O372" t="s">
        <v>91</v>
      </c>
      <c r="P372" t="s">
        <v>1514</v>
      </c>
      <c r="Q372" s="16">
        <f>IF(CustomerHierarchyLevels[[#This Row],[HgLvCust.]]=0,CustomerHierarchyLevels[[#This Row],[Customer]],CustomerHierarchyLevels[[#This Row],[HgLvCust.]])</f>
        <v>6294</v>
      </c>
      <c r="R372" s="16">
        <f>IF(VLOOKUP(CustomerHierarchyLevels[[#This Row],[Level1]],CustomerHierarchyLevels[],7,FALSE)=0,CustomerHierarchyLevels[[#This Row],[Level1]],VLOOKUP(CustomerHierarchyLevels[[#This Row],[Level1]],CustomerHierarchyLevels[],7,FALSE))</f>
        <v>6295</v>
      </c>
      <c r="S372" s="16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373" spans="1:19" x14ac:dyDescent="0.25">
      <c r="A373">
        <v>1709</v>
      </c>
      <c r="B373" t="s">
        <v>9</v>
      </c>
      <c r="C373" t="s">
        <v>90</v>
      </c>
      <c r="D373">
        <v>0</v>
      </c>
      <c r="E373">
        <v>39010</v>
      </c>
      <c r="F373">
        <v>2958465</v>
      </c>
      <c r="G373">
        <v>6294</v>
      </c>
      <c r="H373" t="s">
        <v>9</v>
      </c>
      <c r="I373" t="s">
        <v>90</v>
      </c>
      <c r="J373">
        <v>0</v>
      </c>
      <c r="K373">
        <v>0</v>
      </c>
      <c r="N373">
        <v>0</v>
      </c>
      <c r="O373" t="s">
        <v>91</v>
      </c>
      <c r="P373" t="s">
        <v>1515</v>
      </c>
      <c r="Q373" s="16">
        <f>IF(CustomerHierarchyLevels[[#This Row],[HgLvCust.]]=0,CustomerHierarchyLevels[[#This Row],[Customer]],CustomerHierarchyLevels[[#This Row],[HgLvCust.]])</f>
        <v>6294</v>
      </c>
      <c r="R373" s="16">
        <f>IF(VLOOKUP(CustomerHierarchyLevels[[#This Row],[Level1]],CustomerHierarchyLevels[],7,FALSE)=0,CustomerHierarchyLevels[[#This Row],[Level1]],VLOOKUP(CustomerHierarchyLevels[[#This Row],[Level1]],CustomerHierarchyLevels[],7,FALSE))</f>
        <v>6295</v>
      </c>
      <c r="S373" s="16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374" spans="1:19" x14ac:dyDescent="0.25">
      <c r="A374">
        <v>1754</v>
      </c>
      <c r="B374" t="s">
        <v>9</v>
      </c>
      <c r="C374" t="s">
        <v>90</v>
      </c>
      <c r="D374">
        <v>0</v>
      </c>
      <c r="E374">
        <v>39010</v>
      </c>
      <c r="F374">
        <v>2958465</v>
      </c>
      <c r="G374">
        <v>6296</v>
      </c>
      <c r="H374" t="s">
        <v>9</v>
      </c>
      <c r="I374" t="s">
        <v>90</v>
      </c>
      <c r="J374">
        <v>0</v>
      </c>
      <c r="K374">
        <v>0</v>
      </c>
      <c r="N374">
        <v>0</v>
      </c>
      <c r="O374" t="s">
        <v>91</v>
      </c>
      <c r="P374" t="s">
        <v>1516</v>
      </c>
      <c r="Q374" s="16">
        <f>IF(CustomerHierarchyLevels[[#This Row],[HgLvCust.]]=0,CustomerHierarchyLevels[[#This Row],[Customer]],CustomerHierarchyLevels[[#This Row],[HgLvCust.]])</f>
        <v>6296</v>
      </c>
      <c r="R374" s="16">
        <f>IF(VLOOKUP(CustomerHierarchyLevels[[#This Row],[Level1]],CustomerHierarchyLevels[],7,FALSE)=0,CustomerHierarchyLevels[[#This Row],[Level1]],VLOOKUP(CustomerHierarchyLevels[[#This Row],[Level1]],CustomerHierarchyLevels[],7,FALSE))</f>
        <v>6297</v>
      </c>
      <c r="S374" s="16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375" spans="1:19" x14ac:dyDescent="0.25">
      <c r="A375">
        <v>2748</v>
      </c>
      <c r="B375" t="s">
        <v>9</v>
      </c>
      <c r="C375" t="s">
        <v>90</v>
      </c>
      <c r="D375">
        <v>0</v>
      </c>
      <c r="E375">
        <v>39010</v>
      </c>
      <c r="F375">
        <v>2958465</v>
      </c>
      <c r="G375">
        <v>6296</v>
      </c>
      <c r="H375" t="s">
        <v>9</v>
      </c>
      <c r="I375" t="s">
        <v>90</v>
      </c>
      <c r="J375">
        <v>0</v>
      </c>
      <c r="K375">
        <v>0</v>
      </c>
      <c r="N375">
        <v>0</v>
      </c>
      <c r="O375" t="s">
        <v>91</v>
      </c>
      <c r="P375" t="s">
        <v>1517</v>
      </c>
      <c r="Q375" s="16">
        <f>IF(CustomerHierarchyLevels[[#This Row],[HgLvCust.]]=0,CustomerHierarchyLevels[[#This Row],[Customer]],CustomerHierarchyLevels[[#This Row],[HgLvCust.]])</f>
        <v>6296</v>
      </c>
      <c r="R375" s="16">
        <f>IF(VLOOKUP(CustomerHierarchyLevels[[#This Row],[Level1]],CustomerHierarchyLevels[],7,FALSE)=0,CustomerHierarchyLevels[[#This Row],[Level1]],VLOOKUP(CustomerHierarchyLevels[[#This Row],[Level1]],CustomerHierarchyLevels[],7,FALSE))</f>
        <v>6297</v>
      </c>
      <c r="S375" s="16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376" spans="1:19" x14ac:dyDescent="0.25">
      <c r="A376">
        <v>2482</v>
      </c>
      <c r="B376" t="s">
        <v>9</v>
      </c>
      <c r="C376" t="s">
        <v>90</v>
      </c>
      <c r="D376">
        <v>0</v>
      </c>
      <c r="E376">
        <v>39010</v>
      </c>
      <c r="F376">
        <v>2958465</v>
      </c>
      <c r="G376">
        <v>6296</v>
      </c>
      <c r="H376" t="s">
        <v>9</v>
      </c>
      <c r="I376" t="s">
        <v>90</v>
      </c>
      <c r="J376">
        <v>0</v>
      </c>
      <c r="K376">
        <v>0</v>
      </c>
      <c r="N376">
        <v>0</v>
      </c>
      <c r="O376" t="s">
        <v>91</v>
      </c>
      <c r="P376" t="s">
        <v>1518</v>
      </c>
      <c r="Q376" s="16">
        <f>IF(CustomerHierarchyLevels[[#This Row],[HgLvCust.]]=0,CustomerHierarchyLevels[[#This Row],[Customer]],CustomerHierarchyLevels[[#This Row],[HgLvCust.]])</f>
        <v>6296</v>
      </c>
      <c r="R376" s="16">
        <f>IF(VLOOKUP(CustomerHierarchyLevels[[#This Row],[Level1]],CustomerHierarchyLevels[],7,FALSE)=0,CustomerHierarchyLevels[[#This Row],[Level1]],VLOOKUP(CustomerHierarchyLevels[[#This Row],[Level1]],CustomerHierarchyLevels[],7,FALSE))</f>
        <v>6297</v>
      </c>
      <c r="S376" s="16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377" spans="1:19" x14ac:dyDescent="0.25">
      <c r="A377">
        <v>3404</v>
      </c>
      <c r="B377" t="s">
        <v>9</v>
      </c>
      <c r="C377" t="s">
        <v>90</v>
      </c>
      <c r="D377">
        <v>0</v>
      </c>
      <c r="E377">
        <v>39010</v>
      </c>
      <c r="F377">
        <v>2958465</v>
      </c>
      <c r="G377">
        <v>6296</v>
      </c>
      <c r="H377" t="s">
        <v>9</v>
      </c>
      <c r="I377" t="s">
        <v>90</v>
      </c>
      <c r="J377">
        <v>0</v>
      </c>
      <c r="K377">
        <v>0</v>
      </c>
      <c r="N377">
        <v>0</v>
      </c>
      <c r="O377" t="s">
        <v>91</v>
      </c>
      <c r="P377" t="s">
        <v>1519</v>
      </c>
      <c r="Q377" s="16">
        <f>IF(CustomerHierarchyLevels[[#This Row],[HgLvCust.]]=0,CustomerHierarchyLevels[[#This Row],[Customer]],CustomerHierarchyLevels[[#This Row],[HgLvCust.]])</f>
        <v>6296</v>
      </c>
      <c r="R377" s="16">
        <f>IF(VLOOKUP(CustomerHierarchyLevels[[#This Row],[Level1]],CustomerHierarchyLevels[],7,FALSE)=0,CustomerHierarchyLevels[[#This Row],[Level1]],VLOOKUP(CustomerHierarchyLevels[[#This Row],[Level1]],CustomerHierarchyLevels[],7,FALSE))</f>
        <v>6297</v>
      </c>
      <c r="S377" s="16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378" spans="1:19" x14ac:dyDescent="0.25">
      <c r="A378">
        <v>1439</v>
      </c>
      <c r="B378" t="s">
        <v>9</v>
      </c>
      <c r="C378" t="s">
        <v>90</v>
      </c>
      <c r="D378">
        <v>0</v>
      </c>
      <c r="E378">
        <v>39010</v>
      </c>
      <c r="F378">
        <v>2958465</v>
      </c>
      <c r="G378">
        <v>6298</v>
      </c>
      <c r="H378" t="s">
        <v>9</v>
      </c>
      <c r="I378" t="s">
        <v>90</v>
      </c>
      <c r="J378">
        <v>0</v>
      </c>
      <c r="K378">
        <v>0</v>
      </c>
      <c r="N378">
        <v>0</v>
      </c>
      <c r="O378" t="s">
        <v>91</v>
      </c>
      <c r="P378" t="s">
        <v>1520</v>
      </c>
      <c r="Q378" s="16">
        <f>IF(CustomerHierarchyLevels[[#This Row],[HgLvCust.]]=0,CustomerHierarchyLevels[[#This Row],[Customer]],CustomerHierarchyLevels[[#This Row],[HgLvCust.]])</f>
        <v>6298</v>
      </c>
      <c r="R378" s="16">
        <f>IF(VLOOKUP(CustomerHierarchyLevels[[#This Row],[Level1]],CustomerHierarchyLevels[],7,FALSE)=0,CustomerHierarchyLevels[[#This Row],[Level1]],VLOOKUP(CustomerHierarchyLevels[[#This Row],[Level1]],CustomerHierarchyLevels[],7,FALSE))</f>
        <v>6299</v>
      </c>
      <c r="S378" s="16">
        <f>IF(VLOOKUP(CustomerHierarchyLevels[[#This Row],[Level2]],CustomerHierarchyLevels[],7,FALSE)=0,CustomerHierarchyLevels[[#This Row],[Level2]],VLOOKUP(CustomerHierarchyLevels[[#This Row],[Level2]],CustomerHierarchyLevels[],7,FALSE))</f>
        <v>6719</v>
      </c>
    </row>
    <row r="379" spans="1:19" x14ac:dyDescent="0.25">
      <c r="A379">
        <v>6255</v>
      </c>
      <c r="B379" t="s">
        <v>9</v>
      </c>
      <c r="C379" t="s">
        <v>55</v>
      </c>
      <c r="D379">
        <v>0</v>
      </c>
      <c r="E379">
        <v>39010</v>
      </c>
      <c r="F379">
        <v>2958465</v>
      </c>
      <c r="G379">
        <v>6720</v>
      </c>
      <c r="H379" t="s">
        <v>9</v>
      </c>
      <c r="I379" t="s">
        <v>55</v>
      </c>
      <c r="J379">
        <v>0</v>
      </c>
      <c r="K379">
        <v>0</v>
      </c>
      <c r="L379" t="s">
        <v>1195</v>
      </c>
      <c r="M379" t="s">
        <v>1195</v>
      </c>
      <c r="N379">
        <v>2</v>
      </c>
      <c r="O379" t="s">
        <v>91</v>
      </c>
      <c r="P379" t="s">
        <v>1521</v>
      </c>
      <c r="Q379" s="16">
        <f>IF(CustomerHierarchyLevels[[#This Row],[HgLvCust.]]=0,CustomerHierarchyLevels[[#This Row],[Customer]],CustomerHierarchyLevels[[#This Row],[HgLvCust.]])</f>
        <v>6720</v>
      </c>
      <c r="R379" s="16">
        <f>IF(VLOOKUP(CustomerHierarchyLevels[[#This Row],[Level1]],CustomerHierarchyLevels[],7,FALSE)=0,CustomerHierarchyLevels[[#This Row],[Level1]],VLOOKUP(CustomerHierarchyLevels[[#This Row],[Level1]],CustomerHierarchyLevels[],7,FALSE))</f>
        <v>6720</v>
      </c>
      <c r="S379" s="16">
        <f>IF(VLOOKUP(CustomerHierarchyLevels[[#This Row],[Level2]],CustomerHierarchyLevels[],7,FALSE)=0,CustomerHierarchyLevels[[#This Row],[Level2]],VLOOKUP(CustomerHierarchyLevels[[#This Row],[Level2]],CustomerHierarchyLevels[],7,FALSE))</f>
        <v>6720</v>
      </c>
    </row>
    <row r="380" spans="1:19" x14ac:dyDescent="0.25">
      <c r="A380">
        <v>6720</v>
      </c>
      <c r="B380" t="s">
        <v>9</v>
      </c>
      <c r="C380" t="s">
        <v>55</v>
      </c>
      <c r="D380">
        <v>0</v>
      </c>
      <c r="E380">
        <v>39010</v>
      </c>
      <c r="F380">
        <v>2958465</v>
      </c>
      <c r="K380">
        <v>0</v>
      </c>
      <c r="L380" t="s">
        <v>1195</v>
      </c>
      <c r="M380" t="s">
        <v>1195</v>
      </c>
      <c r="N380">
        <v>0</v>
      </c>
      <c r="O380" t="s">
        <v>91</v>
      </c>
      <c r="P380" t="s">
        <v>1522</v>
      </c>
      <c r="Q380" s="16">
        <f>IF(CustomerHierarchyLevels[[#This Row],[HgLvCust.]]=0,CustomerHierarchyLevels[[#This Row],[Customer]],CustomerHierarchyLevels[[#This Row],[HgLvCust.]])</f>
        <v>6720</v>
      </c>
      <c r="R380" s="16">
        <f>IF(VLOOKUP(CustomerHierarchyLevels[[#This Row],[Level1]],CustomerHierarchyLevels[],7,FALSE)=0,CustomerHierarchyLevels[[#This Row],[Level1]],VLOOKUP(CustomerHierarchyLevels[[#This Row],[Level1]],CustomerHierarchyLevels[],7,FALSE))</f>
        <v>6720</v>
      </c>
      <c r="S380" s="16">
        <f>IF(VLOOKUP(CustomerHierarchyLevels[[#This Row],[Level2]],CustomerHierarchyLevels[],7,FALSE)=0,CustomerHierarchyLevels[[#This Row],[Level2]],VLOOKUP(CustomerHierarchyLevels[[#This Row],[Level2]],CustomerHierarchyLevels[],7,FALSE))</f>
        <v>6720</v>
      </c>
    </row>
    <row r="381" spans="1:19" x14ac:dyDescent="0.25">
      <c r="A381">
        <v>6257</v>
      </c>
      <c r="B381" t="s">
        <v>9</v>
      </c>
      <c r="C381" t="s">
        <v>55</v>
      </c>
      <c r="D381">
        <v>0</v>
      </c>
      <c r="E381">
        <v>39010</v>
      </c>
      <c r="F381">
        <v>2958465</v>
      </c>
      <c r="G381">
        <v>6721</v>
      </c>
      <c r="H381" t="s">
        <v>9</v>
      </c>
      <c r="I381" t="s">
        <v>55</v>
      </c>
      <c r="J381">
        <v>0</v>
      </c>
      <c r="K381">
        <v>0</v>
      </c>
      <c r="L381" t="s">
        <v>1195</v>
      </c>
      <c r="M381" t="s">
        <v>1195</v>
      </c>
      <c r="N381">
        <v>2</v>
      </c>
      <c r="O381" t="s">
        <v>91</v>
      </c>
      <c r="P381" t="s">
        <v>1523</v>
      </c>
      <c r="Q381" s="16">
        <f>IF(CustomerHierarchyLevels[[#This Row],[HgLvCust.]]=0,CustomerHierarchyLevels[[#This Row],[Customer]],CustomerHierarchyLevels[[#This Row],[HgLvCust.]])</f>
        <v>6721</v>
      </c>
      <c r="R381" s="16">
        <f>IF(VLOOKUP(CustomerHierarchyLevels[[#This Row],[Level1]],CustomerHierarchyLevels[],7,FALSE)=0,CustomerHierarchyLevels[[#This Row],[Level1]],VLOOKUP(CustomerHierarchyLevels[[#This Row],[Level1]],CustomerHierarchyLevels[],7,FALSE))</f>
        <v>6721</v>
      </c>
      <c r="S381" s="16">
        <f>IF(VLOOKUP(CustomerHierarchyLevels[[#This Row],[Level2]],CustomerHierarchyLevels[],7,FALSE)=0,CustomerHierarchyLevels[[#This Row],[Level2]],VLOOKUP(CustomerHierarchyLevels[[#This Row],[Level2]],CustomerHierarchyLevels[],7,FALSE))</f>
        <v>6721</v>
      </c>
    </row>
    <row r="382" spans="1:19" x14ac:dyDescent="0.25">
      <c r="A382">
        <v>6259</v>
      </c>
      <c r="B382" t="s">
        <v>9</v>
      </c>
      <c r="C382" t="s">
        <v>55</v>
      </c>
      <c r="D382">
        <v>0</v>
      </c>
      <c r="E382">
        <v>39010</v>
      </c>
      <c r="F382">
        <v>2958465</v>
      </c>
      <c r="G382">
        <v>6722</v>
      </c>
      <c r="H382" t="s">
        <v>9</v>
      </c>
      <c r="I382" t="s">
        <v>55</v>
      </c>
      <c r="J382">
        <v>0</v>
      </c>
      <c r="K382">
        <v>0</v>
      </c>
      <c r="L382" t="s">
        <v>1195</v>
      </c>
      <c r="M382" t="s">
        <v>1195</v>
      </c>
      <c r="N382">
        <v>2</v>
      </c>
      <c r="O382" t="s">
        <v>91</v>
      </c>
      <c r="P382" t="s">
        <v>1524</v>
      </c>
      <c r="Q382" s="16">
        <f>IF(CustomerHierarchyLevels[[#This Row],[HgLvCust.]]=0,CustomerHierarchyLevels[[#This Row],[Customer]],CustomerHierarchyLevels[[#This Row],[HgLvCust.]])</f>
        <v>6722</v>
      </c>
      <c r="R382" s="16">
        <f>IF(VLOOKUP(CustomerHierarchyLevels[[#This Row],[Level1]],CustomerHierarchyLevels[],7,FALSE)=0,CustomerHierarchyLevels[[#This Row],[Level1]],VLOOKUP(CustomerHierarchyLevels[[#This Row],[Level1]],CustomerHierarchyLevels[],7,FALSE))</f>
        <v>6722</v>
      </c>
      <c r="S382" s="16">
        <f>IF(VLOOKUP(CustomerHierarchyLevels[[#This Row],[Level2]],CustomerHierarchyLevels[],7,FALSE)=0,CustomerHierarchyLevels[[#This Row],[Level2]],VLOOKUP(CustomerHierarchyLevels[[#This Row],[Level2]],CustomerHierarchyLevels[],7,FALSE))</f>
        <v>6722</v>
      </c>
    </row>
    <row r="383" spans="1:19" x14ac:dyDescent="0.25">
      <c r="A383">
        <v>6722</v>
      </c>
      <c r="B383" t="s">
        <v>9</v>
      </c>
      <c r="C383" t="s">
        <v>55</v>
      </c>
      <c r="D383">
        <v>0</v>
      </c>
      <c r="E383">
        <v>39010</v>
      </c>
      <c r="F383">
        <v>2958465</v>
      </c>
      <c r="K383">
        <v>0</v>
      </c>
      <c r="L383" t="s">
        <v>1195</v>
      </c>
      <c r="M383" t="s">
        <v>1195</v>
      </c>
      <c r="N383">
        <v>0</v>
      </c>
      <c r="O383" t="s">
        <v>91</v>
      </c>
      <c r="P383" t="s">
        <v>1525</v>
      </c>
      <c r="Q383" s="16">
        <f>IF(CustomerHierarchyLevels[[#This Row],[HgLvCust.]]=0,CustomerHierarchyLevels[[#This Row],[Customer]],CustomerHierarchyLevels[[#This Row],[HgLvCust.]])</f>
        <v>6722</v>
      </c>
      <c r="R383" s="16">
        <f>IF(VLOOKUP(CustomerHierarchyLevels[[#This Row],[Level1]],CustomerHierarchyLevels[],7,FALSE)=0,CustomerHierarchyLevels[[#This Row],[Level1]],VLOOKUP(CustomerHierarchyLevels[[#This Row],[Level1]],CustomerHierarchyLevels[],7,FALSE))</f>
        <v>6722</v>
      </c>
      <c r="S383" s="16">
        <f>IF(VLOOKUP(CustomerHierarchyLevels[[#This Row],[Level2]],CustomerHierarchyLevels[],7,FALSE)=0,CustomerHierarchyLevels[[#This Row],[Level2]],VLOOKUP(CustomerHierarchyLevels[[#This Row],[Level2]],CustomerHierarchyLevels[],7,FALSE))</f>
        <v>6722</v>
      </c>
    </row>
    <row r="384" spans="1:19" x14ac:dyDescent="0.25">
      <c r="A384">
        <v>6261</v>
      </c>
      <c r="B384" t="s">
        <v>9</v>
      </c>
      <c r="C384" t="s">
        <v>55</v>
      </c>
      <c r="D384">
        <v>0</v>
      </c>
      <c r="E384">
        <v>39010</v>
      </c>
      <c r="F384">
        <v>2958465</v>
      </c>
      <c r="G384">
        <v>6723</v>
      </c>
      <c r="H384" t="s">
        <v>9</v>
      </c>
      <c r="I384" t="s">
        <v>55</v>
      </c>
      <c r="J384">
        <v>0</v>
      </c>
      <c r="K384">
        <v>0</v>
      </c>
      <c r="L384" t="s">
        <v>1195</v>
      </c>
      <c r="M384" t="s">
        <v>1195</v>
      </c>
      <c r="N384">
        <v>2</v>
      </c>
      <c r="O384" t="s">
        <v>91</v>
      </c>
      <c r="P384" t="s">
        <v>1526</v>
      </c>
      <c r="Q384" s="16">
        <f>IF(CustomerHierarchyLevels[[#This Row],[HgLvCust.]]=0,CustomerHierarchyLevels[[#This Row],[Customer]],CustomerHierarchyLevels[[#This Row],[HgLvCust.]])</f>
        <v>6723</v>
      </c>
      <c r="R384" s="16">
        <f>IF(VLOOKUP(CustomerHierarchyLevels[[#This Row],[Level1]],CustomerHierarchyLevels[],7,FALSE)=0,CustomerHierarchyLevels[[#This Row],[Level1]],VLOOKUP(CustomerHierarchyLevels[[#This Row],[Level1]],CustomerHierarchyLevels[],7,FALSE))</f>
        <v>6723</v>
      </c>
      <c r="S384" s="16">
        <f>IF(VLOOKUP(CustomerHierarchyLevels[[#This Row],[Level2]],CustomerHierarchyLevels[],7,FALSE)=0,CustomerHierarchyLevels[[#This Row],[Level2]],VLOOKUP(CustomerHierarchyLevels[[#This Row],[Level2]],CustomerHierarchyLevels[],7,FALSE))</f>
        <v>6723</v>
      </c>
    </row>
    <row r="385" spans="1:19" x14ac:dyDescent="0.25">
      <c r="A385">
        <v>6723</v>
      </c>
      <c r="B385" t="s">
        <v>9</v>
      </c>
      <c r="C385" t="s">
        <v>55</v>
      </c>
      <c r="D385">
        <v>0</v>
      </c>
      <c r="E385">
        <v>39010</v>
      </c>
      <c r="F385">
        <v>2958465</v>
      </c>
      <c r="K385">
        <v>0</v>
      </c>
      <c r="L385" t="s">
        <v>1195</v>
      </c>
      <c r="M385" t="s">
        <v>1195</v>
      </c>
      <c r="N385">
        <v>0</v>
      </c>
      <c r="O385" t="s">
        <v>91</v>
      </c>
      <c r="P385" t="s">
        <v>1527</v>
      </c>
      <c r="Q385" s="16">
        <f>IF(CustomerHierarchyLevels[[#This Row],[HgLvCust.]]=0,CustomerHierarchyLevels[[#This Row],[Customer]],CustomerHierarchyLevels[[#This Row],[HgLvCust.]])</f>
        <v>6723</v>
      </c>
      <c r="R385" s="16">
        <f>IF(VLOOKUP(CustomerHierarchyLevels[[#This Row],[Level1]],CustomerHierarchyLevels[],7,FALSE)=0,CustomerHierarchyLevels[[#This Row],[Level1]],VLOOKUP(CustomerHierarchyLevels[[#This Row],[Level1]],CustomerHierarchyLevels[],7,FALSE))</f>
        <v>6723</v>
      </c>
      <c r="S385" s="16">
        <f>IF(VLOOKUP(CustomerHierarchyLevels[[#This Row],[Level2]],CustomerHierarchyLevels[],7,FALSE)=0,CustomerHierarchyLevels[[#This Row],[Level2]],VLOOKUP(CustomerHierarchyLevels[[#This Row],[Level2]],CustomerHierarchyLevels[],7,FALSE))</f>
        <v>6723</v>
      </c>
    </row>
    <row r="386" spans="1:19" x14ac:dyDescent="0.25">
      <c r="A386">
        <v>6263</v>
      </c>
      <c r="B386" t="s">
        <v>9</v>
      </c>
      <c r="C386" t="s">
        <v>55</v>
      </c>
      <c r="D386">
        <v>0</v>
      </c>
      <c r="E386">
        <v>39010</v>
      </c>
      <c r="F386">
        <v>2958465</v>
      </c>
      <c r="G386">
        <v>6724</v>
      </c>
      <c r="H386" t="s">
        <v>9</v>
      </c>
      <c r="I386" t="s">
        <v>55</v>
      </c>
      <c r="J386">
        <v>0</v>
      </c>
      <c r="K386">
        <v>0</v>
      </c>
      <c r="L386" t="s">
        <v>1195</v>
      </c>
      <c r="M386" t="s">
        <v>1195</v>
      </c>
      <c r="N386">
        <v>2</v>
      </c>
      <c r="O386" t="s">
        <v>91</v>
      </c>
      <c r="P386" t="s">
        <v>1528</v>
      </c>
      <c r="Q386" s="16">
        <f>IF(CustomerHierarchyLevels[[#This Row],[HgLvCust.]]=0,CustomerHierarchyLevels[[#This Row],[Customer]],CustomerHierarchyLevels[[#This Row],[HgLvCust.]])</f>
        <v>6724</v>
      </c>
      <c r="R386" s="16">
        <f>IF(VLOOKUP(CustomerHierarchyLevels[[#This Row],[Level1]],CustomerHierarchyLevels[],7,FALSE)=0,CustomerHierarchyLevels[[#This Row],[Level1]],VLOOKUP(CustomerHierarchyLevels[[#This Row],[Level1]],CustomerHierarchyLevels[],7,FALSE))</f>
        <v>6724</v>
      </c>
      <c r="S386" s="16">
        <f>IF(VLOOKUP(CustomerHierarchyLevels[[#This Row],[Level2]],CustomerHierarchyLevels[],7,FALSE)=0,CustomerHierarchyLevels[[#This Row],[Level2]],VLOOKUP(CustomerHierarchyLevels[[#This Row],[Level2]],CustomerHierarchyLevels[],7,FALSE))</f>
        <v>6724</v>
      </c>
    </row>
    <row r="387" spans="1:19" x14ac:dyDescent="0.25">
      <c r="A387">
        <v>6724</v>
      </c>
      <c r="B387" t="s">
        <v>9</v>
      </c>
      <c r="C387" t="s">
        <v>55</v>
      </c>
      <c r="D387">
        <v>0</v>
      </c>
      <c r="E387">
        <v>39010</v>
      </c>
      <c r="F387">
        <v>2958465</v>
      </c>
      <c r="K387">
        <v>0</v>
      </c>
      <c r="L387" t="s">
        <v>1195</v>
      </c>
      <c r="M387" t="s">
        <v>1195</v>
      </c>
      <c r="N387">
        <v>0</v>
      </c>
      <c r="O387" t="s">
        <v>91</v>
      </c>
      <c r="P387" t="s">
        <v>1529</v>
      </c>
      <c r="Q387" s="16">
        <f>IF(CustomerHierarchyLevels[[#This Row],[HgLvCust.]]=0,CustomerHierarchyLevels[[#This Row],[Customer]],CustomerHierarchyLevels[[#This Row],[HgLvCust.]])</f>
        <v>6724</v>
      </c>
      <c r="R387" s="16">
        <f>IF(VLOOKUP(CustomerHierarchyLevels[[#This Row],[Level1]],CustomerHierarchyLevels[],7,FALSE)=0,CustomerHierarchyLevels[[#This Row],[Level1]],VLOOKUP(CustomerHierarchyLevels[[#This Row],[Level1]],CustomerHierarchyLevels[],7,FALSE))</f>
        <v>6724</v>
      </c>
      <c r="S387" s="16">
        <f>IF(VLOOKUP(CustomerHierarchyLevels[[#This Row],[Level2]],CustomerHierarchyLevels[],7,FALSE)=0,CustomerHierarchyLevels[[#This Row],[Level2]],VLOOKUP(CustomerHierarchyLevels[[#This Row],[Level2]],CustomerHierarchyLevels[],7,FALSE))</f>
        <v>6724</v>
      </c>
    </row>
    <row r="388" spans="1:19" x14ac:dyDescent="0.25">
      <c r="A388">
        <v>6265</v>
      </c>
      <c r="B388" t="s">
        <v>9</v>
      </c>
      <c r="C388" t="s">
        <v>55</v>
      </c>
      <c r="D388">
        <v>0</v>
      </c>
      <c r="E388">
        <v>39010</v>
      </c>
      <c r="F388">
        <v>2958465</v>
      </c>
      <c r="G388">
        <v>6725</v>
      </c>
      <c r="H388" t="s">
        <v>9</v>
      </c>
      <c r="I388" t="s">
        <v>55</v>
      </c>
      <c r="J388">
        <v>0</v>
      </c>
      <c r="K388">
        <v>0</v>
      </c>
      <c r="L388" t="s">
        <v>1195</v>
      </c>
      <c r="M388" t="s">
        <v>1195</v>
      </c>
      <c r="N388">
        <v>2</v>
      </c>
      <c r="O388" t="s">
        <v>91</v>
      </c>
      <c r="P388" t="s">
        <v>1530</v>
      </c>
      <c r="Q388" s="16">
        <f>IF(CustomerHierarchyLevels[[#This Row],[HgLvCust.]]=0,CustomerHierarchyLevels[[#This Row],[Customer]],CustomerHierarchyLevels[[#This Row],[HgLvCust.]])</f>
        <v>6725</v>
      </c>
      <c r="R388" s="16">
        <f>IF(VLOOKUP(CustomerHierarchyLevels[[#This Row],[Level1]],CustomerHierarchyLevels[],7,FALSE)=0,CustomerHierarchyLevels[[#This Row],[Level1]],VLOOKUP(CustomerHierarchyLevels[[#This Row],[Level1]],CustomerHierarchyLevels[],7,FALSE))</f>
        <v>6725</v>
      </c>
      <c r="S388" s="16">
        <f>IF(VLOOKUP(CustomerHierarchyLevels[[#This Row],[Level2]],CustomerHierarchyLevels[],7,FALSE)=0,CustomerHierarchyLevels[[#This Row],[Level2]],VLOOKUP(CustomerHierarchyLevels[[#This Row],[Level2]],CustomerHierarchyLevels[],7,FALSE))</f>
        <v>6725</v>
      </c>
    </row>
    <row r="389" spans="1:19" x14ac:dyDescent="0.25">
      <c r="A389">
        <v>6725</v>
      </c>
      <c r="B389" t="s">
        <v>9</v>
      </c>
      <c r="C389" t="s">
        <v>55</v>
      </c>
      <c r="D389">
        <v>0</v>
      </c>
      <c r="E389">
        <v>39010</v>
      </c>
      <c r="F389">
        <v>2958465</v>
      </c>
      <c r="K389">
        <v>0</v>
      </c>
      <c r="L389" t="s">
        <v>1195</v>
      </c>
      <c r="M389" t="s">
        <v>1195</v>
      </c>
      <c r="N389">
        <v>0</v>
      </c>
      <c r="O389" t="s">
        <v>91</v>
      </c>
      <c r="P389" t="s">
        <v>1531</v>
      </c>
      <c r="Q389" s="16">
        <f>IF(CustomerHierarchyLevels[[#This Row],[HgLvCust.]]=0,CustomerHierarchyLevels[[#This Row],[Customer]],CustomerHierarchyLevels[[#This Row],[HgLvCust.]])</f>
        <v>6725</v>
      </c>
      <c r="R389" s="16">
        <f>IF(VLOOKUP(CustomerHierarchyLevels[[#This Row],[Level1]],CustomerHierarchyLevels[],7,FALSE)=0,CustomerHierarchyLevels[[#This Row],[Level1]],VLOOKUP(CustomerHierarchyLevels[[#This Row],[Level1]],CustomerHierarchyLevels[],7,FALSE))</f>
        <v>6725</v>
      </c>
      <c r="S389" s="16">
        <f>IF(VLOOKUP(CustomerHierarchyLevels[[#This Row],[Level2]],CustomerHierarchyLevels[],7,FALSE)=0,CustomerHierarchyLevels[[#This Row],[Level2]],VLOOKUP(CustomerHierarchyLevels[[#This Row],[Level2]],CustomerHierarchyLevels[],7,FALSE))</f>
        <v>6725</v>
      </c>
    </row>
    <row r="390" spans="1:19" x14ac:dyDescent="0.25">
      <c r="A390">
        <v>6267</v>
      </c>
      <c r="B390" t="s">
        <v>9</v>
      </c>
      <c r="C390" t="s">
        <v>55</v>
      </c>
      <c r="D390">
        <v>0</v>
      </c>
      <c r="E390">
        <v>39010</v>
      </c>
      <c r="F390">
        <v>2958465</v>
      </c>
      <c r="G390">
        <v>6726</v>
      </c>
      <c r="H390" t="s">
        <v>9</v>
      </c>
      <c r="I390" t="s">
        <v>55</v>
      </c>
      <c r="J390">
        <v>0</v>
      </c>
      <c r="K390">
        <v>0</v>
      </c>
      <c r="L390" t="s">
        <v>1195</v>
      </c>
      <c r="M390" t="s">
        <v>1195</v>
      </c>
      <c r="N390">
        <v>2</v>
      </c>
      <c r="O390" t="s">
        <v>91</v>
      </c>
      <c r="P390" t="s">
        <v>1532</v>
      </c>
      <c r="Q390" s="16">
        <f>IF(CustomerHierarchyLevels[[#This Row],[HgLvCust.]]=0,CustomerHierarchyLevels[[#This Row],[Customer]],CustomerHierarchyLevels[[#This Row],[HgLvCust.]])</f>
        <v>6726</v>
      </c>
      <c r="R390" s="16">
        <f>IF(VLOOKUP(CustomerHierarchyLevels[[#This Row],[Level1]],CustomerHierarchyLevels[],7,FALSE)=0,CustomerHierarchyLevels[[#This Row],[Level1]],VLOOKUP(CustomerHierarchyLevels[[#This Row],[Level1]],CustomerHierarchyLevels[],7,FALSE))</f>
        <v>6726</v>
      </c>
      <c r="S390" s="16">
        <f>IF(VLOOKUP(CustomerHierarchyLevels[[#This Row],[Level2]],CustomerHierarchyLevels[],7,FALSE)=0,CustomerHierarchyLevels[[#This Row],[Level2]],VLOOKUP(CustomerHierarchyLevels[[#This Row],[Level2]],CustomerHierarchyLevels[],7,FALSE))</f>
        <v>6726</v>
      </c>
    </row>
    <row r="391" spans="1:19" x14ac:dyDescent="0.25">
      <c r="A391">
        <v>6726</v>
      </c>
      <c r="B391" t="s">
        <v>9</v>
      </c>
      <c r="C391" t="s">
        <v>55</v>
      </c>
      <c r="D391">
        <v>0</v>
      </c>
      <c r="E391">
        <v>39010</v>
      </c>
      <c r="F391">
        <v>2958465</v>
      </c>
      <c r="K391">
        <v>0</v>
      </c>
      <c r="L391" t="s">
        <v>1195</v>
      </c>
      <c r="M391" t="s">
        <v>1195</v>
      </c>
      <c r="N391">
        <v>1</v>
      </c>
      <c r="O391" t="s">
        <v>91</v>
      </c>
      <c r="P391" t="s">
        <v>1533</v>
      </c>
      <c r="Q391" s="16">
        <f>IF(CustomerHierarchyLevels[[#This Row],[HgLvCust.]]=0,CustomerHierarchyLevels[[#This Row],[Customer]],CustomerHierarchyLevels[[#This Row],[HgLvCust.]])</f>
        <v>6726</v>
      </c>
      <c r="R391" s="16">
        <f>IF(VLOOKUP(CustomerHierarchyLevels[[#This Row],[Level1]],CustomerHierarchyLevels[],7,FALSE)=0,CustomerHierarchyLevels[[#This Row],[Level1]],VLOOKUP(CustomerHierarchyLevels[[#This Row],[Level1]],CustomerHierarchyLevels[],7,FALSE))</f>
        <v>6726</v>
      </c>
      <c r="S391" s="16">
        <f>IF(VLOOKUP(CustomerHierarchyLevels[[#This Row],[Level2]],CustomerHierarchyLevels[],7,FALSE)=0,CustomerHierarchyLevels[[#This Row],[Level2]],VLOOKUP(CustomerHierarchyLevels[[#This Row],[Level2]],CustomerHierarchyLevels[],7,FALSE))</f>
        <v>6726</v>
      </c>
    </row>
    <row r="392" spans="1:19" x14ac:dyDescent="0.25">
      <c r="A392">
        <v>6269</v>
      </c>
      <c r="B392" t="s">
        <v>9</v>
      </c>
      <c r="C392" t="s">
        <v>55</v>
      </c>
      <c r="D392">
        <v>0</v>
      </c>
      <c r="E392">
        <v>39010</v>
      </c>
      <c r="F392">
        <v>2958465</v>
      </c>
      <c r="G392">
        <v>6727</v>
      </c>
      <c r="H392" t="s">
        <v>9</v>
      </c>
      <c r="I392" t="s">
        <v>55</v>
      </c>
      <c r="J392">
        <v>0</v>
      </c>
      <c r="K392">
        <v>0</v>
      </c>
      <c r="L392" t="s">
        <v>1195</v>
      </c>
      <c r="M392" t="s">
        <v>1195</v>
      </c>
      <c r="N392">
        <v>2</v>
      </c>
      <c r="O392" t="s">
        <v>91</v>
      </c>
      <c r="P392" t="s">
        <v>1534</v>
      </c>
      <c r="Q392" s="16">
        <f>IF(CustomerHierarchyLevels[[#This Row],[HgLvCust.]]=0,CustomerHierarchyLevels[[#This Row],[Customer]],CustomerHierarchyLevels[[#This Row],[HgLvCust.]])</f>
        <v>6727</v>
      </c>
      <c r="R392" s="16">
        <f>IF(VLOOKUP(CustomerHierarchyLevels[[#This Row],[Level1]],CustomerHierarchyLevels[],7,FALSE)=0,CustomerHierarchyLevels[[#This Row],[Level1]],VLOOKUP(CustomerHierarchyLevels[[#This Row],[Level1]],CustomerHierarchyLevels[],7,FALSE))</f>
        <v>6727</v>
      </c>
      <c r="S392" s="16">
        <f>IF(VLOOKUP(CustomerHierarchyLevels[[#This Row],[Level2]],CustomerHierarchyLevels[],7,FALSE)=0,CustomerHierarchyLevels[[#This Row],[Level2]],VLOOKUP(CustomerHierarchyLevels[[#This Row],[Level2]],CustomerHierarchyLevels[],7,FALSE))</f>
        <v>6727</v>
      </c>
    </row>
    <row r="393" spans="1:19" x14ac:dyDescent="0.25">
      <c r="A393">
        <v>6727</v>
      </c>
      <c r="B393" t="s">
        <v>9</v>
      </c>
      <c r="C393" t="s">
        <v>55</v>
      </c>
      <c r="D393">
        <v>0</v>
      </c>
      <c r="E393">
        <v>39010</v>
      </c>
      <c r="F393">
        <v>2958465</v>
      </c>
      <c r="K393">
        <v>0</v>
      </c>
      <c r="L393" t="s">
        <v>1195</v>
      </c>
      <c r="M393" t="s">
        <v>1195</v>
      </c>
      <c r="N393">
        <v>1</v>
      </c>
      <c r="O393" t="s">
        <v>91</v>
      </c>
      <c r="P393" t="s">
        <v>1535</v>
      </c>
      <c r="Q393" s="16">
        <f>IF(CustomerHierarchyLevels[[#This Row],[HgLvCust.]]=0,CustomerHierarchyLevels[[#This Row],[Customer]],CustomerHierarchyLevels[[#This Row],[HgLvCust.]])</f>
        <v>6727</v>
      </c>
      <c r="R393" s="16">
        <f>IF(VLOOKUP(CustomerHierarchyLevels[[#This Row],[Level1]],CustomerHierarchyLevels[],7,FALSE)=0,CustomerHierarchyLevels[[#This Row],[Level1]],VLOOKUP(CustomerHierarchyLevels[[#This Row],[Level1]],CustomerHierarchyLevels[],7,FALSE))</f>
        <v>6727</v>
      </c>
      <c r="S393" s="16">
        <f>IF(VLOOKUP(CustomerHierarchyLevels[[#This Row],[Level2]],CustomerHierarchyLevels[],7,FALSE)=0,CustomerHierarchyLevels[[#This Row],[Level2]],VLOOKUP(CustomerHierarchyLevels[[#This Row],[Level2]],CustomerHierarchyLevels[],7,FALSE))</f>
        <v>6727</v>
      </c>
    </row>
    <row r="394" spans="1:19" x14ac:dyDescent="0.25">
      <c r="A394">
        <v>6271</v>
      </c>
      <c r="B394" t="s">
        <v>9</v>
      </c>
      <c r="C394" t="s">
        <v>55</v>
      </c>
      <c r="D394">
        <v>0</v>
      </c>
      <c r="E394">
        <v>39010</v>
      </c>
      <c r="F394">
        <v>2958465</v>
      </c>
      <c r="G394">
        <v>6728</v>
      </c>
      <c r="H394" t="s">
        <v>9</v>
      </c>
      <c r="I394" t="s">
        <v>55</v>
      </c>
      <c r="J394">
        <v>0</v>
      </c>
      <c r="K394">
        <v>0</v>
      </c>
      <c r="L394" t="s">
        <v>1195</v>
      </c>
      <c r="M394" t="s">
        <v>1195</v>
      </c>
      <c r="N394">
        <v>2</v>
      </c>
      <c r="O394" t="s">
        <v>91</v>
      </c>
      <c r="P394" t="s">
        <v>1536</v>
      </c>
      <c r="Q394" s="16">
        <f>IF(CustomerHierarchyLevels[[#This Row],[HgLvCust.]]=0,CustomerHierarchyLevels[[#This Row],[Customer]],CustomerHierarchyLevels[[#This Row],[HgLvCust.]])</f>
        <v>6728</v>
      </c>
      <c r="R394" s="16">
        <f>IF(VLOOKUP(CustomerHierarchyLevels[[#This Row],[Level1]],CustomerHierarchyLevels[],7,FALSE)=0,CustomerHierarchyLevels[[#This Row],[Level1]],VLOOKUP(CustomerHierarchyLevels[[#This Row],[Level1]],CustomerHierarchyLevels[],7,FALSE))</f>
        <v>6728</v>
      </c>
      <c r="S394" s="16">
        <f>IF(VLOOKUP(CustomerHierarchyLevels[[#This Row],[Level2]],CustomerHierarchyLevels[],7,FALSE)=0,CustomerHierarchyLevels[[#This Row],[Level2]],VLOOKUP(CustomerHierarchyLevels[[#This Row],[Level2]],CustomerHierarchyLevels[],7,FALSE))</f>
        <v>6728</v>
      </c>
    </row>
    <row r="395" spans="1:19" x14ac:dyDescent="0.25">
      <c r="A395">
        <v>6728</v>
      </c>
      <c r="B395" t="s">
        <v>9</v>
      </c>
      <c r="C395" t="s">
        <v>55</v>
      </c>
      <c r="D395">
        <v>0</v>
      </c>
      <c r="E395">
        <v>39010</v>
      </c>
      <c r="F395">
        <v>2958465</v>
      </c>
      <c r="K395">
        <v>0</v>
      </c>
      <c r="L395" t="s">
        <v>1195</v>
      </c>
      <c r="M395" t="s">
        <v>1195</v>
      </c>
      <c r="N395">
        <v>0</v>
      </c>
      <c r="O395" t="s">
        <v>91</v>
      </c>
      <c r="P395" t="s">
        <v>1537</v>
      </c>
      <c r="Q395" s="16">
        <f>IF(CustomerHierarchyLevels[[#This Row],[HgLvCust.]]=0,CustomerHierarchyLevels[[#This Row],[Customer]],CustomerHierarchyLevels[[#This Row],[HgLvCust.]])</f>
        <v>6728</v>
      </c>
      <c r="R395" s="16">
        <f>IF(VLOOKUP(CustomerHierarchyLevels[[#This Row],[Level1]],CustomerHierarchyLevels[],7,FALSE)=0,CustomerHierarchyLevels[[#This Row],[Level1]],VLOOKUP(CustomerHierarchyLevels[[#This Row],[Level1]],CustomerHierarchyLevels[],7,FALSE))</f>
        <v>6728</v>
      </c>
      <c r="S395" s="16">
        <f>IF(VLOOKUP(CustomerHierarchyLevels[[#This Row],[Level2]],CustomerHierarchyLevels[],7,FALSE)=0,CustomerHierarchyLevels[[#This Row],[Level2]],VLOOKUP(CustomerHierarchyLevels[[#This Row],[Level2]],CustomerHierarchyLevels[],7,FALSE))</f>
        <v>6728</v>
      </c>
    </row>
    <row r="396" spans="1:19" x14ac:dyDescent="0.25">
      <c r="A396">
        <v>6273</v>
      </c>
      <c r="B396" t="s">
        <v>9</v>
      </c>
      <c r="C396" t="s">
        <v>55</v>
      </c>
      <c r="D396">
        <v>0</v>
      </c>
      <c r="E396">
        <v>39010</v>
      </c>
      <c r="F396">
        <v>2958465</v>
      </c>
      <c r="G396">
        <v>6729</v>
      </c>
      <c r="H396" t="s">
        <v>9</v>
      </c>
      <c r="I396" t="s">
        <v>55</v>
      </c>
      <c r="J396">
        <v>0</v>
      </c>
      <c r="K396">
        <v>0</v>
      </c>
      <c r="L396" t="s">
        <v>1195</v>
      </c>
      <c r="M396" t="s">
        <v>1195</v>
      </c>
      <c r="N396">
        <v>2</v>
      </c>
      <c r="O396" t="s">
        <v>91</v>
      </c>
      <c r="P396" t="s">
        <v>1538</v>
      </c>
      <c r="Q396" s="16">
        <f>IF(CustomerHierarchyLevels[[#This Row],[HgLvCust.]]=0,CustomerHierarchyLevels[[#This Row],[Customer]],CustomerHierarchyLevels[[#This Row],[HgLvCust.]])</f>
        <v>6729</v>
      </c>
      <c r="R396" s="16">
        <f>IF(VLOOKUP(CustomerHierarchyLevels[[#This Row],[Level1]],CustomerHierarchyLevels[],7,FALSE)=0,CustomerHierarchyLevels[[#This Row],[Level1]],VLOOKUP(CustomerHierarchyLevels[[#This Row],[Level1]],CustomerHierarchyLevels[],7,FALSE))</f>
        <v>6729</v>
      </c>
      <c r="S396" s="16">
        <f>IF(VLOOKUP(CustomerHierarchyLevels[[#This Row],[Level2]],CustomerHierarchyLevels[],7,FALSE)=0,CustomerHierarchyLevels[[#This Row],[Level2]],VLOOKUP(CustomerHierarchyLevels[[#This Row],[Level2]],CustomerHierarchyLevels[],7,FALSE))</f>
        <v>6729</v>
      </c>
    </row>
    <row r="397" spans="1:19" x14ac:dyDescent="0.25">
      <c r="A397">
        <v>6729</v>
      </c>
      <c r="B397" t="s">
        <v>9</v>
      </c>
      <c r="C397" t="s">
        <v>55</v>
      </c>
      <c r="D397">
        <v>0</v>
      </c>
      <c r="E397">
        <v>39010</v>
      </c>
      <c r="F397">
        <v>2958465</v>
      </c>
      <c r="K397">
        <v>0</v>
      </c>
      <c r="L397" t="s">
        <v>1195</v>
      </c>
      <c r="M397" t="s">
        <v>1195</v>
      </c>
      <c r="N397">
        <v>0</v>
      </c>
      <c r="O397" t="s">
        <v>91</v>
      </c>
      <c r="P397" t="s">
        <v>1539</v>
      </c>
      <c r="Q397" s="16">
        <f>IF(CustomerHierarchyLevels[[#This Row],[HgLvCust.]]=0,CustomerHierarchyLevels[[#This Row],[Customer]],CustomerHierarchyLevels[[#This Row],[HgLvCust.]])</f>
        <v>6729</v>
      </c>
      <c r="R397" s="16">
        <f>IF(VLOOKUP(CustomerHierarchyLevels[[#This Row],[Level1]],CustomerHierarchyLevels[],7,FALSE)=0,CustomerHierarchyLevels[[#This Row],[Level1]],VLOOKUP(CustomerHierarchyLevels[[#This Row],[Level1]],CustomerHierarchyLevels[],7,FALSE))</f>
        <v>6729</v>
      </c>
      <c r="S397" s="16">
        <f>IF(VLOOKUP(CustomerHierarchyLevels[[#This Row],[Level2]],CustomerHierarchyLevels[],7,FALSE)=0,CustomerHierarchyLevels[[#This Row],[Level2]],VLOOKUP(CustomerHierarchyLevels[[#This Row],[Level2]],CustomerHierarchyLevels[],7,FALSE))</f>
        <v>6729</v>
      </c>
    </row>
    <row r="398" spans="1:19" x14ac:dyDescent="0.25">
      <c r="A398">
        <v>6275</v>
      </c>
      <c r="B398" t="s">
        <v>9</v>
      </c>
      <c r="C398" t="s">
        <v>55</v>
      </c>
      <c r="D398">
        <v>0</v>
      </c>
      <c r="E398">
        <v>39010</v>
      </c>
      <c r="F398">
        <v>2958465</v>
      </c>
      <c r="G398">
        <v>6730</v>
      </c>
      <c r="H398" t="s">
        <v>9</v>
      </c>
      <c r="I398" t="s">
        <v>55</v>
      </c>
      <c r="J398">
        <v>0</v>
      </c>
      <c r="K398">
        <v>0</v>
      </c>
      <c r="L398" t="s">
        <v>1195</v>
      </c>
      <c r="M398" t="s">
        <v>1195</v>
      </c>
      <c r="N398">
        <v>2</v>
      </c>
      <c r="O398" t="s">
        <v>91</v>
      </c>
      <c r="P398" t="s">
        <v>1540</v>
      </c>
      <c r="Q398" s="16">
        <f>IF(CustomerHierarchyLevels[[#This Row],[HgLvCust.]]=0,CustomerHierarchyLevels[[#This Row],[Customer]],CustomerHierarchyLevels[[#This Row],[HgLvCust.]])</f>
        <v>6730</v>
      </c>
      <c r="R398" s="16">
        <f>IF(VLOOKUP(CustomerHierarchyLevels[[#This Row],[Level1]],CustomerHierarchyLevels[],7,FALSE)=0,CustomerHierarchyLevels[[#This Row],[Level1]],VLOOKUP(CustomerHierarchyLevels[[#This Row],[Level1]],CustomerHierarchyLevels[],7,FALSE))</f>
        <v>6730</v>
      </c>
      <c r="S398" s="16">
        <f>IF(VLOOKUP(CustomerHierarchyLevels[[#This Row],[Level2]],CustomerHierarchyLevels[],7,FALSE)=0,CustomerHierarchyLevels[[#This Row],[Level2]],VLOOKUP(CustomerHierarchyLevels[[#This Row],[Level2]],CustomerHierarchyLevels[],7,FALSE))</f>
        <v>6730</v>
      </c>
    </row>
    <row r="399" spans="1:19" x14ac:dyDescent="0.25">
      <c r="A399">
        <v>6730</v>
      </c>
      <c r="B399" t="s">
        <v>9</v>
      </c>
      <c r="C399" t="s">
        <v>55</v>
      </c>
      <c r="D399">
        <v>0</v>
      </c>
      <c r="E399">
        <v>39010</v>
      </c>
      <c r="F399">
        <v>2958465</v>
      </c>
      <c r="K399">
        <v>0</v>
      </c>
      <c r="L399" t="s">
        <v>1195</v>
      </c>
      <c r="M399" t="s">
        <v>1195</v>
      </c>
      <c r="N399">
        <v>0</v>
      </c>
      <c r="O399" t="s">
        <v>91</v>
      </c>
      <c r="P399" t="s">
        <v>1541</v>
      </c>
      <c r="Q399" s="16">
        <f>IF(CustomerHierarchyLevels[[#This Row],[HgLvCust.]]=0,CustomerHierarchyLevels[[#This Row],[Customer]],CustomerHierarchyLevels[[#This Row],[HgLvCust.]])</f>
        <v>6730</v>
      </c>
      <c r="R399" s="16">
        <f>IF(VLOOKUP(CustomerHierarchyLevels[[#This Row],[Level1]],CustomerHierarchyLevels[],7,FALSE)=0,CustomerHierarchyLevels[[#This Row],[Level1]],VLOOKUP(CustomerHierarchyLevels[[#This Row],[Level1]],CustomerHierarchyLevels[],7,FALSE))</f>
        <v>6730</v>
      </c>
      <c r="S399" s="16">
        <f>IF(VLOOKUP(CustomerHierarchyLevels[[#This Row],[Level2]],CustomerHierarchyLevels[],7,FALSE)=0,CustomerHierarchyLevels[[#This Row],[Level2]],VLOOKUP(CustomerHierarchyLevels[[#This Row],[Level2]],CustomerHierarchyLevels[],7,FALSE))</f>
        <v>6730</v>
      </c>
    </row>
    <row r="400" spans="1:19" x14ac:dyDescent="0.25">
      <c r="A400">
        <v>6277</v>
      </c>
      <c r="B400" t="s">
        <v>9</v>
      </c>
      <c r="C400" t="s">
        <v>55</v>
      </c>
      <c r="D400">
        <v>0</v>
      </c>
      <c r="E400">
        <v>39010</v>
      </c>
      <c r="F400">
        <v>2958465</v>
      </c>
      <c r="G400">
        <v>6731</v>
      </c>
      <c r="H400" t="s">
        <v>9</v>
      </c>
      <c r="I400" t="s">
        <v>55</v>
      </c>
      <c r="J400">
        <v>0</v>
      </c>
      <c r="K400">
        <v>0</v>
      </c>
      <c r="L400" t="s">
        <v>1195</v>
      </c>
      <c r="M400" t="s">
        <v>1195</v>
      </c>
      <c r="N400">
        <v>2</v>
      </c>
      <c r="O400" t="s">
        <v>91</v>
      </c>
      <c r="P400" t="s">
        <v>1542</v>
      </c>
      <c r="Q400" s="16">
        <f>IF(CustomerHierarchyLevels[[#This Row],[HgLvCust.]]=0,CustomerHierarchyLevels[[#This Row],[Customer]],CustomerHierarchyLevels[[#This Row],[HgLvCust.]])</f>
        <v>6731</v>
      </c>
      <c r="R400" s="16">
        <f>IF(VLOOKUP(CustomerHierarchyLevels[[#This Row],[Level1]],CustomerHierarchyLevels[],7,FALSE)=0,CustomerHierarchyLevels[[#This Row],[Level1]],VLOOKUP(CustomerHierarchyLevels[[#This Row],[Level1]],CustomerHierarchyLevels[],7,FALSE))</f>
        <v>6731</v>
      </c>
      <c r="S400" s="16">
        <f>IF(VLOOKUP(CustomerHierarchyLevels[[#This Row],[Level2]],CustomerHierarchyLevels[],7,FALSE)=0,CustomerHierarchyLevels[[#This Row],[Level2]],VLOOKUP(CustomerHierarchyLevels[[#This Row],[Level2]],CustomerHierarchyLevels[],7,FALSE))</f>
        <v>6731</v>
      </c>
    </row>
    <row r="401" spans="1:19" x14ac:dyDescent="0.25">
      <c r="A401">
        <v>6731</v>
      </c>
      <c r="B401" t="s">
        <v>9</v>
      </c>
      <c r="C401" t="s">
        <v>55</v>
      </c>
      <c r="D401">
        <v>0</v>
      </c>
      <c r="E401">
        <v>39010</v>
      </c>
      <c r="F401">
        <v>2958465</v>
      </c>
      <c r="K401">
        <v>0</v>
      </c>
      <c r="L401" t="s">
        <v>1195</v>
      </c>
      <c r="M401" t="s">
        <v>1195</v>
      </c>
      <c r="N401">
        <v>0</v>
      </c>
      <c r="O401" t="s">
        <v>91</v>
      </c>
      <c r="P401" t="s">
        <v>1543</v>
      </c>
      <c r="Q401" s="16">
        <f>IF(CustomerHierarchyLevels[[#This Row],[HgLvCust.]]=0,CustomerHierarchyLevels[[#This Row],[Customer]],CustomerHierarchyLevels[[#This Row],[HgLvCust.]])</f>
        <v>6731</v>
      </c>
      <c r="R401" s="16">
        <f>IF(VLOOKUP(CustomerHierarchyLevels[[#This Row],[Level1]],CustomerHierarchyLevels[],7,FALSE)=0,CustomerHierarchyLevels[[#This Row],[Level1]],VLOOKUP(CustomerHierarchyLevels[[#This Row],[Level1]],CustomerHierarchyLevels[],7,FALSE))</f>
        <v>6731</v>
      </c>
      <c r="S401" s="16">
        <f>IF(VLOOKUP(CustomerHierarchyLevels[[#This Row],[Level2]],CustomerHierarchyLevels[],7,FALSE)=0,CustomerHierarchyLevels[[#This Row],[Level2]],VLOOKUP(CustomerHierarchyLevels[[#This Row],[Level2]],CustomerHierarchyLevels[],7,FALSE))</f>
        <v>6731</v>
      </c>
    </row>
    <row r="402" spans="1:19" x14ac:dyDescent="0.25">
      <c r="A402">
        <v>6279</v>
      </c>
      <c r="B402" t="s">
        <v>9</v>
      </c>
      <c r="C402" t="s">
        <v>55</v>
      </c>
      <c r="D402">
        <v>0</v>
      </c>
      <c r="E402">
        <v>39010</v>
      </c>
      <c r="F402">
        <v>2958465</v>
      </c>
      <c r="G402">
        <v>6732</v>
      </c>
      <c r="H402" t="s">
        <v>9</v>
      </c>
      <c r="I402" t="s">
        <v>55</v>
      </c>
      <c r="J402">
        <v>0</v>
      </c>
      <c r="K402">
        <v>0</v>
      </c>
      <c r="L402" t="s">
        <v>1195</v>
      </c>
      <c r="M402" t="s">
        <v>1195</v>
      </c>
      <c r="N402">
        <v>2</v>
      </c>
      <c r="O402" t="s">
        <v>91</v>
      </c>
      <c r="P402" t="s">
        <v>1544</v>
      </c>
      <c r="Q402" s="16">
        <f>IF(CustomerHierarchyLevels[[#This Row],[HgLvCust.]]=0,CustomerHierarchyLevels[[#This Row],[Customer]],CustomerHierarchyLevels[[#This Row],[HgLvCust.]])</f>
        <v>6732</v>
      </c>
      <c r="R402" s="16">
        <f>IF(VLOOKUP(CustomerHierarchyLevels[[#This Row],[Level1]],CustomerHierarchyLevels[],7,FALSE)=0,CustomerHierarchyLevels[[#This Row],[Level1]],VLOOKUP(CustomerHierarchyLevels[[#This Row],[Level1]],CustomerHierarchyLevels[],7,FALSE))</f>
        <v>6732</v>
      </c>
      <c r="S402" s="16">
        <f>IF(VLOOKUP(CustomerHierarchyLevels[[#This Row],[Level2]],CustomerHierarchyLevels[],7,FALSE)=0,CustomerHierarchyLevels[[#This Row],[Level2]],VLOOKUP(CustomerHierarchyLevels[[#This Row],[Level2]],CustomerHierarchyLevels[],7,FALSE))</f>
        <v>6732</v>
      </c>
    </row>
    <row r="403" spans="1:19" x14ac:dyDescent="0.25">
      <c r="A403">
        <v>6732</v>
      </c>
      <c r="B403" t="s">
        <v>9</v>
      </c>
      <c r="C403" t="s">
        <v>55</v>
      </c>
      <c r="D403">
        <v>0</v>
      </c>
      <c r="E403">
        <v>39010</v>
      </c>
      <c r="F403">
        <v>2958465</v>
      </c>
      <c r="K403">
        <v>0</v>
      </c>
      <c r="L403" t="s">
        <v>1195</v>
      </c>
      <c r="M403" t="s">
        <v>1195</v>
      </c>
      <c r="N403">
        <v>0</v>
      </c>
      <c r="O403" t="s">
        <v>91</v>
      </c>
      <c r="P403" t="s">
        <v>1545</v>
      </c>
      <c r="Q403" s="16">
        <f>IF(CustomerHierarchyLevels[[#This Row],[HgLvCust.]]=0,CustomerHierarchyLevels[[#This Row],[Customer]],CustomerHierarchyLevels[[#This Row],[HgLvCust.]])</f>
        <v>6732</v>
      </c>
      <c r="R403" s="16">
        <f>IF(VLOOKUP(CustomerHierarchyLevels[[#This Row],[Level1]],CustomerHierarchyLevels[],7,FALSE)=0,CustomerHierarchyLevels[[#This Row],[Level1]],VLOOKUP(CustomerHierarchyLevels[[#This Row],[Level1]],CustomerHierarchyLevels[],7,FALSE))</f>
        <v>6732</v>
      </c>
      <c r="S403" s="16">
        <f>IF(VLOOKUP(CustomerHierarchyLevels[[#This Row],[Level2]],CustomerHierarchyLevels[],7,FALSE)=0,CustomerHierarchyLevels[[#This Row],[Level2]],VLOOKUP(CustomerHierarchyLevels[[#This Row],[Level2]],CustomerHierarchyLevels[],7,FALSE))</f>
        <v>6732</v>
      </c>
    </row>
    <row r="404" spans="1:19" x14ac:dyDescent="0.25">
      <c r="A404">
        <v>6254</v>
      </c>
      <c r="B404" t="s">
        <v>9</v>
      </c>
      <c r="C404" t="s">
        <v>55</v>
      </c>
      <c r="D404">
        <v>0</v>
      </c>
      <c r="E404">
        <v>39010</v>
      </c>
      <c r="F404">
        <v>2958465</v>
      </c>
      <c r="G404">
        <v>6255</v>
      </c>
      <c r="H404" t="s">
        <v>9</v>
      </c>
      <c r="I404" t="s">
        <v>55</v>
      </c>
      <c r="J404">
        <v>0</v>
      </c>
      <c r="K404">
        <v>0</v>
      </c>
      <c r="L404" t="s">
        <v>1195</v>
      </c>
      <c r="M404" t="s">
        <v>1195</v>
      </c>
      <c r="N404">
        <v>0</v>
      </c>
      <c r="O404" t="s">
        <v>91</v>
      </c>
      <c r="P404" t="s">
        <v>1546</v>
      </c>
      <c r="Q404" s="16">
        <f>IF(CustomerHierarchyLevels[[#This Row],[HgLvCust.]]=0,CustomerHierarchyLevels[[#This Row],[Customer]],CustomerHierarchyLevels[[#This Row],[HgLvCust.]])</f>
        <v>6255</v>
      </c>
      <c r="R404" s="16">
        <f>IF(VLOOKUP(CustomerHierarchyLevels[[#This Row],[Level1]],CustomerHierarchyLevels[],7,FALSE)=0,CustomerHierarchyLevels[[#This Row],[Level1]],VLOOKUP(CustomerHierarchyLevels[[#This Row],[Level1]],CustomerHierarchyLevels[],7,FALSE))</f>
        <v>6720</v>
      </c>
      <c r="S404" s="16">
        <f>IF(VLOOKUP(CustomerHierarchyLevels[[#This Row],[Level2]],CustomerHierarchyLevels[],7,FALSE)=0,CustomerHierarchyLevels[[#This Row],[Level2]],VLOOKUP(CustomerHierarchyLevels[[#This Row],[Level2]],CustomerHierarchyLevels[],7,FALSE))</f>
        <v>6720</v>
      </c>
    </row>
    <row r="405" spans="1:19" x14ac:dyDescent="0.25">
      <c r="A405">
        <v>6258</v>
      </c>
      <c r="B405" t="s">
        <v>9</v>
      </c>
      <c r="C405" t="s">
        <v>55</v>
      </c>
      <c r="D405">
        <v>0</v>
      </c>
      <c r="E405">
        <v>39010</v>
      </c>
      <c r="F405">
        <v>2958465</v>
      </c>
      <c r="G405">
        <v>6259</v>
      </c>
      <c r="H405" t="s">
        <v>9</v>
      </c>
      <c r="I405" t="s">
        <v>55</v>
      </c>
      <c r="J405">
        <v>0</v>
      </c>
      <c r="K405">
        <v>0</v>
      </c>
      <c r="L405" t="s">
        <v>1195</v>
      </c>
      <c r="M405" t="s">
        <v>1195</v>
      </c>
      <c r="N405">
        <v>0</v>
      </c>
      <c r="O405" t="s">
        <v>91</v>
      </c>
      <c r="P405" t="s">
        <v>1547</v>
      </c>
      <c r="Q405" s="16">
        <f>IF(CustomerHierarchyLevels[[#This Row],[HgLvCust.]]=0,CustomerHierarchyLevels[[#This Row],[Customer]],CustomerHierarchyLevels[[#This Row],[HgLvCust.]])</f>
        <v>6259</v>
      </c>
      <c r="R405" s="16">
        <f>IF(VLOOKUP(CustomerHierarchyLevels[[#This Row],[Level1]],CustomerHierarchyLevels[],7,FALSE)=0,CustomerHierarchyLevels[[#This Row],[Level1]],VLOOKUP(CustomerHierarchyLevels[[#This Row],[Level1]],CustomerHierarchyLevels[],7,FALSE))</f>
        <v>6722</v>
      </c>
      <c r="S405" s="16">
        <f>IF(VLOOKUP(CustomerHierarchyLevels[[#This Row],[Level2]],CustomerHierarchyLevels[],7,FALSE)=0,CustomerHierarchyLevels[[#This Row],[Level2]],VLOOKUP(CustomerHierarchyLevels[[#This Row],[Level2]],CustomerHierarchyLevels[],7,FALSE))</f>
        <v>6722</v>
      </c>
    </row>
    <row r="406" spans="1:19" x14ac:dyDescent="0.25">
      <c r="A406">
        <v>6260</v>
      </c>
      <c r="B406" t="s">
        <v>9</v>
      </c>
      <c r="C406" t="s">
        <v>55</v>
      </c>
      <c r="D406">
        <v>0</v>
      </c>
      <c r="E406">
        <v>39010</v>
      </c>
      <c r="F406">
        <v>2958465</v>
      </c>
      <c r="G406">
        <v>6261</v>
      </c>
      <c r="H406" t="s">
        <v>9</v>
      </c>
      <c r="I406" t="s">
        <v>55</v>
      </c>
      <c r="J406">
        <v>0</v>
      </c>
      <c r="K406">
        <v>0</v>
      </c>
      <c r="L406" t="s">
        <v>1195</v>
      </c>
      <c r="M406" t="s">
        <v>1195</v>
      </c>
      <c r="N406">
        <v>0</v>
      </c>
      <c r="O406" t="s">
        <v>91</v>
      </c>
      <c r="P406" t="s">
        <v>1548</v>
      </c>
      <c r="Q406" s="16">
        <f>IF(CustomerHierarchyLevels[[#This Row],[HgLvCust.]]=0,CustomerHierarchyLevels[[#This Row],[Customer]],CustomerHierarchyLevels[[#This Row],[HgLvCust.]])</f>
        <v>6261</v>
      </c>
      <c r="R406" s="16">
        <f>IF(VLOOKUP(CustomerHierarchyLevels[[#This Row],[Level1]],CustomerHierarchyLevels[],7,FALSE)=0,CustomerHierarchyLevels[[#This Row],[Level1]],VLOOKUP(CustomerHierarchyLevels[[#This Row],[Level1]],CustomerHierarchyLevels[],7,FALSE))</f>
        <v>6723</v>
      </c>
      <c r="S406" s="16">
        <f>IF(VLOOKUP(CustomerHierarchyLevels[[#This Row],[Level2]],CustomerHierarchyLevels[],7,FALSE)=0,CustomerHierarchyLevels[[#This Row],[Level2]],VLOOKUP(CustomerHierarchyLevels[[#This Row],[Level2]],CustomerHierarchyLevels[],7,FALSE))</f>
        <v>6723</v>
      </c>
    </row>
    <row r="407" spans="1:19" x14ac:dyDescent="0.25">
      <c r="A407">
        <v>6262</v>
      </c>
      <c r="B407" t="s">
        <v>9</v>
      </c>
      <c r="C407" t="s">
        <v>55</v>
      </c>
      <c r="D407">
        <v>0</v>
      </c>
      <c r="E407">
        <v>39010</v>
      </c>
      <c r="F407">
        <v>2958465</v>
      </c>
      <c r="G407">
        <v>6263</v>
      </c>
      <c r="H407" t="s">
        <v>9</v>
      </c>
      <c r="I407" t="s">
        <v>55</v>
      </c>
      <c r="J407">
        <v>0</v>
      </c>
      <c r="K407">
        <v>0</v>
      </c>
      <c r="L407" t="s">
        <v>1195</v>
      </c>
      <c r="M407" t="s">
        <v>1195</v>
      </c>
      <c r="N407">
        <v>0</v>
      </c>
      <c r="O407" t="s">
        <v>91</v>
      </c>
      <c r="P407" t="s">
        <v>1549</v>
      </c>
      <c r="Q407" s="16">
        <f>IF(CustomerHierarchyLevels[[#This Row],[HgLvCust.]]=0,CustomerHierarchyLevels[[#This Row],[Customer]],CustomerHierarchyLevels[[#This Row],[HgLvCust.]])</f>
        <v>6263</v>
      </c>
      <c r="R407" s="16">
        <f>IF(VLOOKUP(CustomerHierarchyLevels[[#This Row],[Level1]],CustomerHierarchyLevels[],7,FALSE)=0,CustomerHierarchyLevels[[#This Row],[Level1]],VLOOKUP(CustomerHierarchyLevels[[#This Row],[Level1]],CustomerHierarchyLevels[],7,FALSE))</f>
        <v>6724</v>
      </c>
      <c r="S407" s="16">
        <f>IF(VLOOKUP(CustomerHierarchyLevels[[#This Row],[Level2]],CustomerHierarchyLevels[],7,FALSE)=0,CustomerHierarchyLevels[[#This Row],[Level2]],VLOOKUP(CustomerHierarchyLevels[[#This Row],[Level2]],CustomerHierarchyLevels[],7,FALSE))</f>
        <v>6724</v>
      </c>
    </row>
    <row r="408" spans="1:19" x14ac:dyDescent="0.25">
      <c r="A408">
        <v>6264</v>
      </c>
      <c r="B408" t="s">
        <v>9</v>
      </c>
      <c r="C408" t="s">
        <v>55</v>
      </c>
      <c r="D408">
        <v>0</v>
      </c>
      <c r="E408">
        <v>39010</v>
      </c>
      <c r="F408">
        <v>2958465</v>
      </c>
      <c r="G408">
        <v>6265</v>
      </c>
      <c r="H408" t="s">
        <v>9</v>
      </c>
      <c r="I408" t="s">
        <v>55</v>
      </c>
      <c r="J408">
        <v>0</v>
      </c>
      <c r="K408">
        <v>0</v>
      </c>
      <c r="L408" t="s">
        <v>1195</v>
      </c>
      <c r="M408" t="s">
        <v>1195</v>
      </c>
      <c r="N408">
        <v>0</v>
      </c>
      <c r="O408" t="s">
        <v>91</v>
      </c>
      <c r="P408" t="s">
        <v>1550</v>
      </c>
      <c r="Q408" s="16">
        <f>IF(CustomerHierarchyLevels[[#This Row],[HgLvCust.]]=0,CustomerHierarchyLevels[[#This Row],[Customer]],CustomerHierarchyLevels[[#This Row],[HgLvCust.]])</f>
        <v>6265</v>
      </c>
      <c r="R408" s="16">
        <f>IF(VLOOKUP(CustomerHierarchyLevels[[#This Row],[Level1]],CustomerHierarchyLevels[],7,FALSE)=0,CustomerHierarchyLevels[[#This Row],[Level1]],VLOOKUP(CustomerHierarchyLevels[[#This Row],[Level1]],CustomerHierarchyLevels[],7,FALSE))</f>
        <v>6725</v>
      </c>
      <c r="S408" s="16">
        <f>IF(VLOOKUP(CustomerHierarchyLevels[[#This Row],[Level2]],CustomerHierarchyLevels[],7,FALSE)=0,CustomerHierarchyLevels[[#This Row],[Level2]],VLOOKUP(CustomerHierarchyLevels[[#This Row],[Level2]],CustomerHierarchyLevels[],7,FALSE))</f>
        <v>6725</v>
      </c>
    </row>
    <row r="409" spans="1:19" x14ac:dyDescent="0.25">
      <c r="A409">
        <v>6266</v>
      </c>
      <c r="B409" t="s">
        <v>9</v>
      </c>
      <c r="C409" t="s">
        <v>55</v>
      </c>
      <c r="D409">
        <v>0</v>
      </c>
      <c r="E409">
        <v>39010</v>
      </c>
      <c r="F409">
        <v>2958465</v>
      </c>
      <c r="G409">
        <v>6267</v>
      </c>
      <c r="H409" t="s">
        <v>9</v>
      </c>
      <c r="I409" t="s">
        <v>55</v>
      </c>
      <c r="J409">
        <v>0</v>
      </c>
      <c r="K409">
        <v>0</v>
      </c>
      <c r="L409" t="s">
        <v>1195</v>
      </c>
      <c r="M409" t="s">
        <v>1195</v>
      </c>
      <c r="N409">
        <v>3</v>
      </c>
      <c r="O409" t="s">
        <v>91</v>
      </c>
      <c r="P409" t="s">
        <v>1551</v>
      </c>
      <c r="Q409" s="16">
        <f>IF(CustomerHierarchyLevels[[#This Row],[HgLvCust.]]=0,CustomerHierarchyLevels[[#This Row],[Customer]],CustomerHierarchyLevels[[#This Row],[HgLvCust.]])</f>
        <v>6267</v>
      </c>
      <c r="R409" s="16">
        <f>IF(VLOOKUP(CustomerHierarchyLevels[[#This Row],[Level1]],CustomerHierarchyLevels[],7,FALSE)=0,CustomerHierarchyLevels[[#This Row],[Level1]],VLOOKUP(CustomerHierarchyLevels[[#This Row],[Level1]],CustomerHierarchyLevels[],7,FALSE))</f>
        <v>6726</v>
      </c>
      <c r="S409" s="16">
        <f>IF(VLOOKUP(CustomerHierarchyLevels[[#This Row],[Level2]],CustomerHierarchyLevels[],7,FALSE)=0,CustomerHierarchyLevels[[#This Row],[Level2]],VLOOKUP(CustomerHierarchyLevels[[#This Row],[Level2]],CustomerHierarchyLevels[],7,FALSE))</f>
        <v>6726</v>
      </c>
    </row>
    <row r="410" spans="1:19" x14ac:dyDescent="0.25">
      <c r="A410">
        <v>6268</v>
      </c>
      <c r="B410" t="s">
        <v>9</v>
      </c>
      <c r="C410" t="s">
        <v>55</v>
      </c>
      <c r="D410">
        <v>0</v>
      </c>
      <c r="E410">
        <v>39010</v>
      </c>
      <c r="F410">
        <v>2958465</v>
      </c>
      <c r="G410">
        <v>6269</v>
      </c>
      <c r="H410" t="s">
        <v>9</v>
      </c>
      <c r="I410" t="s">
        <v>55</v>
      </c>
      <c r="J410">
        <v>0</v>
      </c>
      <c r="K410">
        <v>0</v>
      </c>
      <c r="L410" t="s">
        <v>1195</v>
      </c>
      <c r="M410" t="s">
        <v>1195</v>
      </c>
      <c r="N410">
        <v>3</v>
      </c>
      <c r="O410" t="s">
        <v>91</v>
      </c>
      <c r="P410" t="s">
        <v>1552</v>
      </c>
      <c r="Q410" s="16">
        <f>IF(CustomerHierarchyLevels[[#This Row],[HgLvCust.]]=0,CustomerHierarchyLevels[[#This Row],[Customer]],CustomerHierarchyLevels[[#This Row],[HgLvCust.]])</f>
        <v>6269</v>
      </c>
      <c r="R410" s="16">
        <f>IF(VLOOKUP(CustomerHierarchyLevels[[#This Row],[Level1]],CustomerHierarchyLevels[],7,FALSE)=0,CustomerHierarchyLevels[[#This Row],[Level1]],VLOOKUP(CustomerHierarchyLevels[[#This Row],[Level1]],CustomerHierarchyLevels[],7,FALSE))</f>
        <v>6727</v>
      </c>
      <c r="S410" s="16">
        <f>IF(VLOOKUP(CustomerHierarchyLevels[[#This Row],[Level2]],CustomerHierarchyLevels[],7,FALSE)=0,CustomerHierarchyLevels[[#This Row],[Level2]],VLOOKUP(CustomerHierarchyLevels[[#This Row],[Level2]],CustomerHierarchyLevels[],7,FALSE))</f>
        <v>6727</v>
      </c>
    </row>
    <row r="411" spans="1:19" x14ac:dyDescent="0.25">
      <c r="A411">
        <v>6270</v>
      </c>
      <c r="B411" t="s">
        <v>9</v>
      </c>
      <c r="C411" t="s">
        <v>55</v>
      </c>
      <c r="D411">
        <v>0</v>
      </c>
      <c r="E411">
        <v>39010</v>
      </c>
      <c r="F411">
        <v>2958465</v>
      </c>
      <c r="G411">
        <v>6271</v>
      </c>
      <c r="H411" t="s">
        <v>9</v>
      </c>
      <c r="I411" t="s">
        <v>55</v>
      </c>
      <c r="J411">
        <v>0</v>
      </c>
      <c r="K411">
        <v>0</v>
      </c>
      <c r="L411" t="s">
        <v>1195</v>
      </c>
      <c r="M411" t="s">
        <v>1195</v>
      </c>
      <c r="N411">
        <v>0</v>
      </c>
      <c r="O411" t="s">
        <v>91</v>
      </c>
      <c r="P411" t="s">
        <v>1553</v>
      </c>
      <c r="Q411" s="16">
        <f>IF(CustomerHierarchyLevels[[#This Row],[HgLvCust.]]=0,CustomerHierarchyLevels[[#This Row],[Customer]],CustomerHierarchyLevels[[#This Row],[HgLvCust.]])</f>
        <v>6271</v>
      </c>
      <c r="R411" s="16">
        <f>IF(VLOOKUP(CustomerHierarchyLevels[[#This Row],[Level1]],CustomerHierarchyLevels[],7,FALSE)=0,CustomerHierarchyLevels[[#This Row],[Level1]],VLOOKUP(CustomerHierarchyLevels[[#This Row],[Level1]],CustomerHierarchyLevels[],7,FALSE))</f>
        <v>6728</v>
      </c>
      <c r="S411" s="16">
        <f>IF(VLOOKUP(CustomerHierarchyLevels[[#This Row],[Level2]],CustomerHierarchyLevels[],7,FALSE)=0,CustomerHierarchyLevels[[#This Row],[Level2]],VLOOKUP(CustomerHierarchyLevels[[#This Row],[Level2]],CustomerHierarchyLevels[],7,FALSE))</f>
        <v>6728</v>
      </c>
    </row>
    <row r="412" spans="1:19" x14ac:dyDescent="0.25">
      <c r="A412">
        <v>6272</v>
      </c>
      <c r="B412" t="s">
        <v>9</v>
      </c>
      <c r="C412" t="s">
        <v>55</v>
      </c>
      <c r="D412">
        <v>0</v>
      </c>
      <c r="E412">
        <v>39010</v>
      </c>
      <c r="F412">
        <v>2958465</v>
      </c>
      <c r="G412">
        <v>6273</v>
      </c>
      <c r="H412" t="s">
        <v>9</v>
      </c>
      <c r="I412" t="s">
        <v>55</v>
      </c>
      <c r="J412">
        <v>0</v>
      </c>
      <c r="K412">
        <v>0</v>
      </c>
      <c r="L412" t="s">
        <v>1195</v>
      </c>
      <c r="M412" t="s">
        <v>1195</v>
      </c>
      <c r="N412">
        <v>0</v>
      </c>
      <c r="O412" t="s">
        <v>91</v>
      </c>
      <c r="P412" t="s">
        <v>1554</v>
      </c>
      <c r="Q412" s="16">
        <f>IF(CustomerHierarchyLevels[[#This Row],[HgLvCust.]]=0,CustomerHierarchyLevels[[#This Row],[Customer]],CustomerHierarchyLevels[[#This Row],[HgLvCust.]])</f>
        <v>6273</v>
      </c>
      <c r="R412" s="16">
        <f>IF(VLOOKUP(CustomerHierarchyLevels[[#This Row],[Level1]],CustomerHierarchyLevels[],7,FALSE)=0,CustomerHierarchyLevels[[#This Row],[Level1]],VLOOKUP(CustomerHierarchyLevels[[#This Row],[Level1]],CustomerHierarchyLevels[],7,FALSE))</f>
        <v>6729</v>
      </c>
      <c r="S412" s="16">
        <f>IF(VLOOKUP(CustomerHierarchyLevels[[#This Row],[Level2]],CustomerHierarchyLevels[],7,FALSE)=0,CustomerHierarchyLevels[[#This Row],[Level2]],VLOOKUP(CustomerHierarchyLevels[[#This Row],[Level2]],CustomerHierarchyLevels[],7,FALSE))</f>
        <v>6729</v>
      </c>
    </row>
    <row r="413" spans="1:19" x14ac:dyDescent="0.25">
      <c r="A413">
        <v>6274</v>
      </c>
      <c r="B413" t="s">
        <v>9</v>
      </c>
      <c r="C413" t="s">
        <v>55</v>
      </c>
      <c r="D413">
        <v>0</v>
      </c>
      <c r="E413">
        <v>39010</v>
      </c>
      <c r="F413">
        <v>2958465</v>
      </c>
      <c r="G413">
        <v>6275</v>
      </c>
      <c r="H413" t="s">
        <v>9</v>
      </c>
      <c r="I413" t="s">
        <v>55</v>
      </c>
      <c r="J413">
        <v>0</v>
      </c>
      <c r="K413">
        <v>0</v>
      </c>
      <c r="L413" t="s">
        <v>1195</v>
      </c>
      <c r="M413" t="s">
        <v>1195</v>
      </c>
      <c r="N413">
        <v>0</v>
      </c>
      <c r="O413" t="s">
        <v>91</v>
      </c>
      <c r="P413" t="s">
        <v>1555</v>
      </c>
      <c r="Q413" s="16">
        <f>IF(CustomerHierarchyLevels[[#This Row],[HgLvCust.]]=0,CustomerHierarchyLevels[[#This Row],[Customer]],CustomerHierarchyLevels[[#This Row],[HgLvCust.]])</f>
        <v>6275</v>
      </c>
      <c r="R413" s="16">
        <f>IF(VLOOKUP(CustomerHierarchyLevels[[#This Row],[Level1]],CustomerHierarchyLevels[],7,FALSE)=0,CustomerHierarchyLevels[[#This Row],[Level1]],VLOOKUP(CustomerHierarchyLevels[[#This Row],[Level1]],CustomerHierarchyLevels[],7,FALSE))</f>
        <v>6730</v>
      </c>
      <c r="S413" s="16">
        <f>IF(VLOOKUP(CustomerHierarchyLevels[[#This Row],[Level2]],CustomerHierarchyLevels[],7,FALSE)=0,CustomerHierarchyLevels[[#This Row],[Level2]],VLOOKUP(CustomerHierarchyLevels[[#This Row],[Level2]],CustomerHierarchyLevels[],7,FALSE))</f>
        <v>6730</v>
      </c>
    </row>
    <row r="414" spans="1:19" x14ac:dyDescent="0.25">
      <c r="A414">
        <v>6276</v>
      </c>
      <c r="B414" t="s">
        <v>9</v>
      </c>
      <c r="C414" t="s">
        <v>55</v>
      </c>
      <c r="D414">
        <v>0</v>
      </c>
      <c r="E414">
        <v>39010</v>
      </c>
      <c r="F414">
        <v>2958465</v>
      </c>
      <c r="G414">
        <v>6277</v>
      </c>
      <c r="H414" t="s">
        <v>9</v>
      </c>
      <c r="I414" t="s">
        <v>55</v>
      </c>
      <c r="J414">
        <v>0</v>
      </c>
      <c r="K414">
        <v>0</v>
      </c>
      <c r="L414" t="s">
        <v>1195</v>
      </c>
      <c r="M414" t="s">
        <v>1195</v>
      </c>
      <c r="N414">
        <v>0</v>
      </c>
      <c r="O414" t="s">
        <v>91</v>
      </c>
      <c r="P414" t="s">
        <v>1556</v>
      </c>
      <c r="Q414" s="16">
        <f>IF(CustomerHierarchyLevels[[#This Row],[HgLvCust.]]=0,CustomerHierarchyLevels[[#This Row],[Customer]],CustomerHierarchyLevels[[#This Row],[HgLvCust.]])</f>
        <v>6277</v>
      </c>
      <c r="R414" s="16">
        <f>IF(VLOOKUP(CustomerHierarchyLevels[[#This Row],[Level1]],CustomerHierarchyLevels[],7,FALSE)=0,CustomerHierarchyLevels[[#This Row],[Level1]],VLOOKUP(CustomerHierarchyLevels[[#This Row],[Level1]],CustomerHierarchyLevels[],7,FALSE))</f>
        <v>6731</v>
      </c>
      <c r="S414" s="16">
        <f>IF(VLOOKUP(CustomerHierarchyLevels[[#This Row],[Level2]],CustomerHierarchyLevels[],7,FALSE)=0,CustomerHierarchyLevels[[#This Row],[Level2]],VLOOKUP(CustomerHierarchyLevels[[#This Row],[Level2]],CustomerHierarchyLevels[],7,FALSE))</f>
        <v>6731</v>
      </c>
    </row>
    <row r="415" spans="1:19" x14ac:dyDescent="0.25">
      <c r="A415">
        <v>6278</v>
      </c>
      <c r="B415" t="s">
        <v>9</v>
      </c>
      <c r="C415" t="s">
        <v>55</v>
      </c>
      <c r="D415">
        <v>0</v>
      </c>
      <c r="E415">
        <v>39010</v>
      </c>
      <c r="F415">
        <v>2958465</v>
      </c>
      <c r="G415">
        <v>6279</v>
      </c>
      <c r="H415" t="s">
        <v>9</v>
      </c>
      <c r="I415" t="s">
        <v>55</v>
      </c>
      <c r="J415">
        <v>0</v>
      </c>
      <c r="K415">
        <v>0</v>
      </c>
      <c r="L415" t="s">
        <v>1195</v>
      </c>
      <c r="M415" t="s">
        <v>1195</v>
      </c>
      <c r="N415">
        <v>0</v>
      </c>
      <c r="O415" t="s">
        <v>91</v>
      </c>
      <c r="P415" t="s">
        <v>1557</v>
      </c>
      <c r="Q415" s="16">
        <f>IF(CustomerHierarchyLevels[[#This Row],[HgLvCust.]]=0,CustomerHierarchyLevels[[#This Row],[Customer]],CustomerHierarchyLevels[[#This Row],[HgLvCust.]])</f>
        <v>6279</v>
      </c>
      <c r="R415" s="16">
        <f>IF(VLOOKUP(CustomerHierarchyLevels[[#This Row],[Level1]],CustomerHierarchyLevels[],7,FALSE)=0,CustomerHierarchyLevels[[#This Row],[Level1]],VLOOKUP(CustomerHierarchyLevels[[#This Row],[Level1]],CustomerHierarchyLevels[],7,FALSE))</f>
        <v>6732</v>
      </c>
      <c r="S415" s="16">
        <f>IF(VLOOKUP(CustomerHierarchyLevels[[#This Row],[Level2]],CustomerHierarchyLevels[],7,FALSE)=0,CustomerHierarchyLevels[[#This Row],[Level2]],VLOOKUP(CustomerHierarchyLevels[[#This Row],[Level2]],CustomerHierarchyLevels[],7,FALSE))</f>
        <v>6732</v>
      </c>
    </row>
    <row r="416" spans="1:19" x14ac:dyDescent="0.25">
      <c r="A416">
        <v>2087</v>
      </c>
      <c r="B416" t="s">
        <v>9</v>
      </c>
      <c r="C416" t="s">
        <v>55</v>
      </c>
      <c r="D416">
        <v>0</v>
      </c>
      <c r="E416">
        <v>39010</v>
      </c>
      <c r="F416">
        <v>2958465</v>
      </c>
      <c r="G416">
        <v>6254</v>
      </c>
      <c r="H416" t="s">
        <v>9</v>
      </c>
      <c r="I416" t="s">
        <v>55</v>
      </c>
      <c r="J416">
        <v>0</v>
      </c>
      <c r="K416">
        <v>0</v>
      </c>
      <c r="N416">
        <v>0</v>
      </c>
      <c r="O416" t="s">
        <v>1558</v>
      </c>
      <c r="P416" t="s">
        <v>1559</v>
      </c>
      <c r="Q416" s="16">
        <f>IF(CustomerHierarchyLevels[[#This Row],[HgLvCust.]]=0,CustomerHierarchyLevels[[#This Row],[Customer]],CustomerHierarchyLevels[[#This Row],[HgLvCust.]])</f>
        <v>6254</v>
      </c>
      <c r="R416" s="16">
        <f>IF(VLOOKUP(CustomerHierarchyLevels[[#This Row],[Level1]],CustomerHierarchyLevels[],7,FALSE)=0,CustomerHierarchyLevels[[#This Row],[Level1]],VLOOKUP(CustomerHierarchyLevels[[#This Row],[Level1]],CustomerHierarchyLevels[],7,FALSE))</f>
        <v>6255</v>
      </c>
      <c r="S416" s="16">
        <f>IF(VLOOKUP(CustomerHierarchyLevels[[#This Row],[Level2]],CustomerHierarchyLevels[],7,FALSE)=0,CustomerHierarchyLevels[[#This Row],[Level2]],VLOOKUP(CustomerHierarchyLevels[[#This Row],[Level2]],CustomerHierarchyLevels[],7,FALSE))</f>
        <v>6720</v>
      </c>
    </row>
    <row r="417" spans="1:19" x14ac:dyDescent="0.25">
      <c r="A417">
        <v>1374</v>
      </c>
      <c r="B417" t="s">
        <v>9</v>
      </c>
      <c r="C417" t="s">
        <v>55</v>
      </c>
      <c r="D417">
        <v>0</v>
      </c>
      <c r="E417">
        <v>39010</v>
      </c>
      <c r="F417">
        <v>2958465</v>
      </c>
      <c r="G417">
        <v>6254</v>
      </c>
      <c r="H417" t="s">
        <v>9</v>
      </c>
      <c r="I417" t="s">
        <v>55</v>
      </c>
      <c r="J417">
        <v>0</v>
      </c>
      <c r="K417">
        <v>0</v>
      </c>
      <c r="N417">
        <v>0</v>
      </c>
      <c r="O417" t="s">
        <v>1560</v>
      </c>
      <c r="P417" t="s">
        <v>1561</v>
      </c>
      <c r="Q417" s="16">
        <f>IF(CustomerHierarchyLevels[[#This Row],[HgLvCust.]]=0,CustomerHierarchyLevels[[#This Row],[Customer]],CustomerHierarchyLevels[[#This Row],[HgLvCust.]])</f>
        <v>6254</v>
      </c>
      <c r="R417" s="16">
        <f>IF(VLOOKUP(CustomerHierarchyLevels[[#This Row],[Level1]],CustomerHierarchyLevels[],7,FALSE)=0,CustomerHierarchyLevels[[#This Row],[Level1]],VLOOKUP(CustomerHierarchyLevels[[#This Row],[Level1]],CustomerHierarchyLevels[],7,FALSE))</f>
        <v>6255</v>
      </c>
      <c r="S417" s="16">
        <f>IF(VLOOKUP(CustomerHierarchyLevels[[#This Row],[Level2]],CustomerHierarchyLevels[],7,FALSE)=0,CustomerHierarchyLevels[[#This Row],[Level2]],VLOOKUP(CustomerHierarchyLevels[[#This Row],[Level2]],CustomerHierarchyLevels[],7,FALSE))</f>
        <v>6720</v>
      </c>
    </row>
    <row r="418" spans="1:19" x14ac:dyDescent="0.25">
      <c r="A418">
        <v>1263</v>
      </c>
      <c r="B418" t="s">
        <v>9</v>
      </c>
      <c r="C418" t="s">
        <v>55</v>
      </c>
      <c r="D418">
        <v>0</v>
      </c>
      <c r="E418">
        <v>39010</v>
      </c>
      <c r="F418">
        <v>2958465</v>
      </c>
      <c r="G418">
        <v>6254</v>
      </c>
      <c r="H418" t="s">
        <v>9</v>
      </c>
      <c r="I418" t="s">
        <v>55</v>
      </c>
      <c r="J418">
        <v>0</v>
      </c>
      <c r="K418">
        <v>0</v>
      </c>
      <c r="N418">
        <v>0</v>
      </c>
      <c r="O418" t="s">
        <v>1562</v>
      </c>
      <c r="P418" t="s">
        <v>1563</v>
      </c>
      <c r="Q418" s="16">
        <f>IF(CustomerHierarchyLevels[[#This Row],[HgLvCust.]]=0,CustomerHierarchyLevels[[#This Row],[Customer]],CustomerHierarchyLevels[[#This Row],[HgLvCust.]])</f>
        <v>6254</v>
      </c>
      <c r="R418" s="16">
        <f>IF(VLOOKUP(CustomerHierarchyLevels[[#This Row],[Level1]],CustomerHierarchyLevels[],7,FALSE)=0,CustomerHierarchyLevels[[#This Row],[Level1]],VLOOKUP(CustomerHierarchyLevels[[#This Row],[Level1]],CustomerHierarchyLevels[],7,FALSE))</f>
        <v>6255</v>
      </c>
      <c r="S418" s="16">
        <f>IF(VLOOKUP(CustomerHierarchyLevels[[#This Row],[Level2]],CustomerHierarchyLevels[],7,FALSE)=0,CustomerHierarchyLevels[[#This Row],[Level2]],VLOOKUP(CustomerHierarchyLevels[[#This Row],[Level2]],CustomerHierarchyLevels[],7,FALSE))</f>
        <v>6720</v>
      </c>
    </row>
    <row r="419" spans="1:19" x14ac:dyDescent="0.25">
      <c r="A419">
        <v>1272</v>
      </c>
      <c r="B419" t="s">
        <v>9</v>
      </c>
      <c r="C419" t="s">
        <v>55</v>
      </c>
      <c r="D419">
        <v>0</v>
      </c>
      <c r="E419">
        <v>39010</v>
      </c>
      <c r="F419">
        <v>2958465</v>
      </c>
      <c r="G419">
        <v>6256</v>
      </c>
      <c r="H419" t="s">
        <v>9</v>
      </c>
      <c r="I419" t="s">
        <v>55</v>
      </c>
      <c r="J419">
        <v>0</v>
      </c>
      <c r="K419">
        <v>0</v>
      </c>
      <c r="N419">
        <v>0</v>
      </c>
      <c r="O419" t="s">
        <v>1564</v>
      </c>
      <c r="P419" t="s">
        <v>1565</v>
      </c>
      <c r="Q419" s="16">
        <f>IF(CustomerHierarchyLevels[[#This Row],[HgLvCust.]]=0,CustomerHierarchyLevels[[#This Row],[Customer]],CustomerHierarchyLevels[[#This Row],[HgLvCust.]])</f>
        <v>6256</v>
      </c>
      <c r="R419" s="16">
        <f>IF(VLOOKUP(CustomerHierarchyLevels[[#This Row],[Level1]],CustomerHierarchyLevels[],7,FALSE)=0,CustomerHierarchyLevels[[#This Row],[Level1]],VLOOKUP(CustomerHierarchyLevels[[#This Row],[Level1]],CustomerHierarchyLevels[],7,FALSE))</f>
        <v>6257</v>
      </c>
      <c r="S419" s="16">
        <f>IF(VLOOKUP(CustomerHierarchyLevels[[#This Row],[Level2]],CustomerHierarchyLevels[],7,FALSE)=0,CustomerHierarchyLevels[[#This Row],[Level2]],VLOOKUP(CustomerHierarchyLevels[[#This Row],[Level2]],CustomerHierarchyLevels[],7,FALSE))</f>
        <v>6721</v>
      </c>
    </row>
    <row r="420" spans="1:19" x14ac:dyDescent="0.25">
      <c r="A420">
        <v>1344</v>
      </c>
      <c r="B420" t="s">
        <v>9</v>
      </c>
      <c r="C420" t="s">
        <v>55</v>
      </c>
      <c r="D420">
        <v>0</v>
      </c>
      <c r="E420">
        <v>39010</v>
      </c>
      <c r="F420">
        <v>2958465</v>
      </c>
      <c r="G420">
        <v>6256</v>
      </c>
      <c r="H420" t="s">
        <v>9</v>
      </c>
      <c r="I420" t="s">
        <v>55</v>
      </c>
      <c r="J420">
        <v>0</v>
      </c>
      <c r="K420">
        <v>0</v>
      </c>
      <c r="N420">
        <v>0</v>
      </c>
      <c r="O420" t="s">
        <v>1566</v>
      </c>
      <c r="P420" t="s">
        <v>1567</v>
      </c>
      <c r="Q420" s="16">
        <f>IF(CustomerHierarchyLevels[[#This Row],[HgLvCust.]]=0,CustomerHierarchyLevels[[#This Row],[Customer]],CustomerHierarchyLevels[[#This Row],[HgLvCust.]])</f>
        <v>6256</v>
      </c>
      <c r="R420" s="16">
        <f>IF(VLOOKUP(CustomerHierarchyLevels[[#This Row],[Level1]],CustomerHierarchyLevels[],7,FALSE)=0,CustomerHierarchyLevels[[#This Row],[Level1]],VLOOKUP(CustomerHierarchyLevels[[#This Row],[Level1]],CustomerHierarchyLevels[],7,FALSE))</f>
        <v>6257</v>
      </c>
      <c r="S420" s="16">
        <f>IF(VLOOKUP(CustomerHierarchyLevels[[#This Row],[Level2]],CustomerHierarchyLevels[],7,FALSE)=0,CustomerHierarchyLevels[[#This Row],[Level2]],VLOOKUP(CustomerHierarchyLevels[[#This Row],[Level2]],CustomerHierarchyLevels[],7,FALSE))</f>
        <v>6721</v>
      </c>
    </row>
    <row r="421" spans="1:19" x14ac:dyDescent="0.25">
      <c r="A421">
        <v>1400</v>
      </c>
      <c r="B421" t="s">
        <v>9</v>
      </c>
      <c r="C421" t="s">
        <v>55</v>
      </c>
      <c r="D421">
        <v>0</v>
      </c>
      <c r="E421">
        <v>39010</v>
      </c>
      <c r="F421">
        <v>2958465</v>
      </c>
      <c r="G421">
        <v>6256</v>
      </c>
      <c r="H421" t="s">
        <v>9</v>
      </c>
      <c r="I421" t="s">
        <v>55</v>
      </c>
      <c r="J421">
        <v>0</v>
      </c>
      <c r="K421">
        <v>0</v>
      </c>
      <c r="N421">
        <v>0</v>
      </c>
      <c r="O421" t="s">
        <v>1568</v>
      </c>
      <c r="P421" t="s">
        <v>1569</v>
      </c>
      <c r="Q421" s="16">
        <f>IF(CustomerHierarchyLevels[[#This Row],[HgLvCust.]]=0,CustomerHierarchyLevels[[#This Row],[Customer]],CustomerHierarchyLevels[[#This Row],[HgLvCust.]])</f>
        <v>6256</v>
      </c>
      <c r="R421" s="16">
        <f>IF(VLOOKUP(CustomerHierarchyLevels[[#This Row],[Level1]],CustomerHierarchyLevels[],7,FALSE)=0,CustomerHierarchyLevels[[#This Row],[Level1]],VLOOKUP(CustomerHierarchyLevels[[#This Row],[Level1]],CustomerHierarchyLevels[],7,FALSE))</f>
        <v>6257</v>
      </c>
      <c r="S421" s="16">
        <f>IF(VLOOKUP(CustomerHierarchyLevels[[#This Row],[Level2]],CustomerHierarchyLevels[],7,FALSE)=0,CustomerHierarchyLevels[[#This Row],[Level2]],VLOOKUP(CustomerHierarchyLevels[[#This Row],[Level2]],CustomerHierarchyLevels[],7,FALSE))</f>
        <v>6721</v>
      </c>
    </row>
    <row r="422" spans="1:19" x14ac:dyDescent="0.25">
      <c r="A422">
        <v>1380</v>
      </c>
      <c r="B422" t="s">
        <v>9</v>
      </c>
      <c r="C422" t="s">
        <v>55</v>
      </c>
      <c r="D422">
        <v>0</v>
      </c>
      <c r="E422">
        <v>39010</v>
      </c>
      <c r="F422">
        <v>2958465</v>
      </c>
      <c r="G422">
        <v>6256</v>
      </c>
      <c r="H422" t="s">
        <v>9</v>
      </c>
      <c r="I422" t="s">
        <v>55</v>
      </c>
      <c r="J422">
        <v>0</v>
      </c>
      <c r="K422">
        <v>0</v>
      </c>
      <c r="N422">
        <v>0</v>
      </c>
      <c r="O422" t="s">
        <v>1570</v>
      </c>
      <c r="P422" t="s">
        <v>1571</v>
      </c>
      <c r="Q422" s="16">
        <f>IF(CustomerHierarchyLevels[[#This Row],[HgLvCust.]]=0,CustomerHierarchyLevels[[#This Row],[Customer]],CustomerHierarchyLevels[[#This Row],[HgLvCust.]])</f>
        <v>6256</v>
      </c>
      <c r="R422" s="16">
        <f>IF(VLOOKUP(CustomerHierarchyLevels[[#This Row],[Level1]],CustomerHierarchyLevels[],7,FALSE)=0,CustomerHierarchyLevels[[#This Row],[Level1]],VLOOKUP(CustomerHierarchyLevels[[#This Row],[Level1]],CustomerHierarchyLevels[],7,FALSE))</f>
        <v>6257</v>
      </c>
      <c r="S422" s="16">
        <f>IF(VLOOKUP(CustomerHierarchyLevels[[#This Row],[Level2]],CustomerHierarchyLevels[],7,FALSE)=0,CustomerHierarchyLevels[[#This Row],[Level2]],VLOOKUP(CustomerHierarchyLevels[[#This Row],[Level2]],CustomerHierarchyLevels[],7,FALSE))</f>
        <v>6721</v>
      </c>
    </row>
    <row r="423" spans="1:19" x14ac:dyDescent="0.25">
      <c r="A423">
        <v>1167</v>
      </c>
      <c r="B423" t="s">
        <v>9</v>
      </c>
      <c r="C423" t="s">
        <v>55</v>
      </c>
      <c r="D423">
        <v>0</v>
      </c>
      <c r="E423">
        <v>39010</v>
      </c>
      <c r="F423">
        <v>2958465</v>
      </c>
      <c r="G423">
        <v>6256</v>
      </c>
      <c r="H423" t="s">
        <v>9</v>
      </c>
      <c r="I423" t="s">
        <v>55</v>
      </c>
      <c r="J423">
        <v>0</v>
      </c>
      <c r="K423">
        <v>0</v>
      </c>
      <c r="N423">
        <v>0</v>
      </c>
      <c r="O423" t="s">
        <v>1572</v>
      </c>
      <c r="P423" t="s">
        <v>1573</v>
      </c>
      <c r="Q423" s="16">
        <f>IF(CustomerHierarchyLevels[[#This Row],[HgLvCust.]]=0,CustomerHierarchyLevels[[#This Row],[Customer]],CustomerHierarchyLevels[[#This Row],[HgLvCust.]])</f>
        <v>6256</v>
      </c>
      <c r="R423" s="16">
        <f>IF(VLOOKUP(CustomerHierarchyLevels[[#This Row],[Level1]],CustomerHierarchyLevels[],7,FALSE)=0,CustomerHierarchyLevels[[#This Row],[Level1]],VLOOKUP(CustomerHierarchyLevels[[#This Row],[Level1]],CustomerHierarchyLevels[],7,FALSE))</f>
        <v>6257</v>
      </c>
      <c r="S423" s="16">
        <f>IF(VLOOKUP(CustomerHierarchyLevels[[#This Row],[Level2]],CustomerHierarchyLevels[],7,FALSE)=0,CustomerHierarchyLevels[[#This Row],[Level2]],VLOOKUP(CustomerHierarchyLevels[[#This Row],[Level2]],CustomerHierarchyLevels[],7,FALSE))</f>
        <v>6721</v>
      </c>
    </row>
    <row r="424" spans="1:19" x14ac:dyDescent="0.25">
      <c r="A424">
        <v>1381</v>
      </c>
      <c r="B424" t="s">
        <v>9</v>
      </c>
      <c r="C424" t="s">
        <v>55</v>
      </c>
      <c r="D424">
        <v>0</v>
      </c>
      <c r="E424">
        <v>39010</v>
      </c>
      <c r="F424">
        <v>2958465</v>
      </c>
      <c r="G424">
        <v>6258</v>
      </c>
      <c r="H424" t="s">
        <v>9</v>
      </c>
      <c r="I424" t="s">
        <v>55</v>
      </c>
      <c r="J424">
        <v>0</v>
      </c>
      <c r="K424">
        <v>0</v>
      </c>
      <c r="N424">
        <v>0</v>
      </c>
      <c r="O424" t="s">
        <v>1574</v>
      </c>
      <c r="P424" t="s">
        <v>1575</v>
      </c>
      <c r="Q424" s="16">
        <f>IF(CustomerHierarchyLevels[[#This Row],[HgLvCust.]]=0,CustomerHierarchyLevels[[#This Row],[Customer]],CustomerHierarchyLevels[[#This Row],[HgLvCust.]])</f>
        <v>6258</v>
      </c>
      <c r="R424" s="16">
        <f>IF(VLOOKUP(CustomerHierarchyLevels[[#This Row],[Level1]],CustomerHierarchyLevels[],7,FALSE)=0,CustomerHierarchyLevels[[#This Row],[Level1]],VLOOKUP(CustomerHierarchyLevels[[#This Row],[Level1]],CustomerHierarchyLevels[],7,FALSE))</f>
        <v>6259</v>
      </c>
      <c r="S424" s="16">
        <f>IF(VLOOKUP(CustomerHierarchyLevels[[#This Row],[Level2]],CustomerHierarchyLevels[],7,FALSE)=0,CustomerHierarchyLevels[[#This Row],[Level2]],VLOOKUP(CustomerHierarchyLevels[[#This Row],[Level2]],CustomerHierarchyLevels[],7,FALSE))</f>
        <v>6722</v>
      </c>
    </row>
    <row r="425" spans="1:19" x14ac:dyDescent="0.25">
      <c r="A425">
        <v>1209</v>
      </c>
      <c r="B425" t="s">
        <v>9</v>
      </c>
      <c r="C425" t="s">
        <v>55</v>
      </c>
      <c r="D425">
        <v>0</v>
      </c>
      <c r="E425">
        <v>39010</v>
      </c>
      <c r="F425">
        <v>2958465</v>
      </c>
      <c r="G425">
        <v>6260</v>
      </c>
      <c r="H425" t="s">
        <v>9</v>
      </c>
      <c r="I425" t="s">
        <v>55</v>
      </c>
      <c r="J425">
        <v>0</v>
      </c>
      <c r="K425">
        <v>0</v>
      </c>
      <c r="N425">
        <v>0</v>
      </c>
      <c r="O425" t="s">
        <v>1574</v>
      </c>
      <c r="P425" t="s">
        <v>1576</v>
      </c>
      <c r="Q425" s="16">
        <f>IF(CustomerHierarchyLevels[[#This Row],[HgLvCust.]]=0,CustomerHierarchyLevels[[#This Row],[Customer]],CustomerHierarchyLevels[[#This Row],[HgLvCust.]])</f>
        <v>6260</v>
      </c>
      <c r="R425" s="16">
        <f>IF(VLOOKUP(CustomerHierarchyLevels[[#This Row],[Level1]],CustomerHierarchyLevels[],7,FALSE)=0,CustomerHierarchyLevels[[#This Row],[Level1]],VLOOKUP(CustomerHierarchyLevels[[#This Row],[Level1]],CustomerHierarchyLevels[],7,FALSE))</f>
        <v>6261</v>
      </c>
      <c r="S425" s="16">
        <f>IF(VLOOKUP(CustomerHierarchyLevels[[#This Row],[Level2]],CustomerHierarchyLevels[],7,FALSE)=0,CustomerHierarchyLevels[[#This Row],[Level2]],VLOOKUP(CustomerHierarchyLevels[[#This Row],[Level2]],CustomerHierarchyLevels[],7,FALSE))</f>
        <v>6723</v>
      </c>
    </row>
    <row r="426" spans="1:19" x14ac:dyDescent="0.25">
      <c r="A426">
        <v>3127</v>
      </c>
      <c r="B426" t="s">
        <v>9</v>
      </c>
      <c r="C426" t="s">
        <v>55</v>
      </c>
      <c r="D426">
        <v>0</v>
      </c>
      <c r="E426">
        <v>39010</v>
      </c>
      <c r="F426">
        <v>2958465</v>
      </c>
      <c r="G426">
        <v>6260</v>
      </c>
      <c r="H426" t="s">
        <v>9</v>
      </c>
      <c r="I426" t="s">
        <v>55</v>
      </c>
      <c r="J426">
        <v>0</v>
      </c>
      <c r="K426">
        <v>0</v>
      </c>
      <c r="N426">
        <v>0</v>
      </c>
      <c r="O426" t="s">
        <v>1577</v>
      </c>
      <c r="P426" t="s">
        <v>1578</v>
      </c>
      <c r="Q426" s="16">
        <f>IF(CustomerHierarchyLevels[[#This Row],[HgLvCust.]]=0,CustomerHierarchyLevels[[#This Row],[Customer]],CustomerHierarchyLevels[[#This Row],[HgLvCust.]])</f>
        <v>6260</v>
      </c>
      <c r="R426" s="16">
        <f>IF(VLOOKUP(CustomerHierarchyLevels[[#This Row],[Level1]],CustomerHierarchyLevels[],7,FALSE)=0,CustomerHierarchyLevels[[#This Row],[Level1]],VLOOKUP(CustomerHierarchyLevels[[#This Row],[Level1]],CustomerHierarchyLevels[],7,FALSE))</f>
        <v>6261</v>
      </c>
      <c r="S426" s="16">
        <f>IF(VLOOKUP(CustomerHierarchyLevels[[#This Row],[Level2]],CustomerHierarchyLevels[],7,FALSE)=0,CustomerHierarchyLevels[[#This Row],[Level2]],VLOOKUP(CustomerHierarchyLevels[[#This Row],[Level2]],CustomerHierarchyLevels[],7,FALSE))</f>
        <v>6723</v>
      </c>
    </row>
    <row r="427" spans="1:19" x14ac:dyDescent="0.25">
      <c r="A427">
        <v>1476</v>
      </c>
      <c r="B427" t="s">
        <v>9</v>
      </c>
      <c r="C427" t="s">
        <v>55</v>
      </c>
      <c r="D427">
        <v>0</v>
      </c>
      <c r="E427">
        <v>39010</v>
      </c>
      <c r="F427">
        <v>2958465</v>
      </c>
      <c r="G427">
        <v>6262</v>
      </c>
      <c r="H427" t="s">
        <v>9</v>
      </c>
      <c r="I427" t="s">
        <v>55</v>
      </c>
      <c r="J427">
        <v>0</v>
      </c>
      <c r="K427">
        <v>0</v>
      </c>
      <c r="N427">
        <v>0</v>
      </c>
      <c r="O427" t="s">
        <v>1574</v>
      </c>
      <c r="P427" t="s">
        <v>1579</v>
      </c>
      <c r="Q427" s="16">
        <f>IF(CustomerHierarchyLevels[[#This Row],[HgLvCust.]]=0,CustomerHierarchyLevels[[#This Row],[Customer]],CustomerHierarchyLevels[[#This Row],[HgLvCust.]])</f>
        <v>6262</v>
      </c>
      <c r="R427" s="16">
        <f>IF(VLOOKUP(CustomerHierarchyLevels[[#This Row],[Level1]],CustomerHierarchyLevels[],7,FALSE)=0,CustomerHierarchyLevels[[#This Row],[Level1]],VLOOKUP(CustomerHierarchyLevels[[#This Row],[Level1]],CustomerHierarchyLevels[],7,FALSE))</f>
        <v>6263</v>
      </c>
      <c r="S427" s="16">
        <f>IF(VLOOKUP(CustomerHierarchyLevels[[#This Row],[Level2]],CustomerHierarchyLevels[],7,FALSE)=0,CustomerHierarchyLevels[[#This Row],[Level2]],VLOOKUP(CustomerHierarchyLevels[[#This Row],[Level2]],CustomerHierarchyLevels[],7,FALSE))</f>
        <v>6724</v>
      </c>
    </row>
    <row r="428" spans="1:19" x14ac:dyDescent="0.25">
      <c r="A428">
        <v>3236</v>
      </c>
      <c r="B428" t="s">
        <v>9</v>
      </c>
      <c r="C428" t="s">
        <v>55</v>
      </c>
      <c r="D428">
        <v>0</v>
      </c>
      <c r="E428">
        <v>39010</v>
      </c>
      <c r="F428">
        <v>2958465</v>
      </c>
      <c r="G428">
        <v>6262</v>
      </c>
      <c r="H428" t="s">
        <v>9</v>
      </c>
      <c r="I428" t="s">
        <v>55</v>
      </c>
      <c r="J428">
        <v>0</v>
      </c>
      <c r="K428">
        <v>0</v>
      </c>
      <c r="N428">
        <v>0</v>
      </c>
      <c r="O428" t="s">
        <v>1564</v>
      </c>
      <c r="P428" t="s">
        <v>1580</v>
      </c>
      <c r="Q428" s="16">
        <f>IF(CustomerHierarchyLevels[[#This Row],[HgLvCust.]]=0,CustomerHierarchyLevels[[#This Row],[Customer]],CustomerHierarchyLevels[[#This Row],[HgLvCust.]])</f>
        <v>6262</v>
      </c>
      <c r="R428" s="16">
        <f>IF(VLOOKUP(CustomerHierarchyLevels[[#This Row],[Level1]],CustomerHierarchyLevels[],7,FALSE)=0,CustomerHierarchyLevels[[#This Row],[Level1]],VLOOKUP(CustomerHierarchyLevels[[#This Row],[Level1]],CustomerHierarchyLevels[],7,FALSE))</f>
        <v>6263</v>
      </c>
      <c r="S428" s="16">
        <f>IF(VLOOKUP(CustomerHierarchyLevels[[#This Row],[Level2]],CustomerHierarchyLevels[],7,FALSE)=0,CustomerHierarchyLevels[[#This Row],[Level2]],VLOOKUP(CustomerHierarchyLevels[[#This Row],[Level2]],CustomerHierarchyLevels[],7,FALSE))</f>
        <v>6724</v>
      </c>
    </row>
    <row r="429" spans="1:19" x14ac:dyDescent="0.25">
      <c r="A429">
        <v>5881</v>
      </c>
      <c r="B429" t="s">
        <v>9</v>
      </c>
      <c r="C429" t="s">
        <v>55</v>
      </c>
      <c r="D429">
        <v>0</v>
      </c>
      <c r="E429">
        <v>39010</v>
      </c>
      <c r="F429">
        <v>2958465</v>
      </c>
      <c r="G429">
        <v>6264</v>
      </c>
      <c r="H429" t="s">
        <v>9</v>
      </c>
      <c r="I429" t="s">
        <v>55</v>
      </c>
      <c r="J429">
        <v>0</v>
      </c>
      <c r="K429">
        <v>0</v>
      </c>
      <c r="N429">
        <v>0</v>
      </c>
      <c r="O429" t="s">
        <v>1562</v>
      </c>
      <c r="P429" t="s">
        <v>1581</v>
      </c>
      <c r="Q429" s="16">
        <f>IF(CustomerHierarchyLevels[[#This Row],[HgLvCust.]]=0,CustomerHierarchyLevels[[#This Row],[Customer]],CustomerHierarchyLevels[[#This Row],[HgLvCust.]])</f>
        <v>6264</v>
      </c>
      <c r="R429" s="16">
        <f>IF(VLOOKUP(CustomerHierarchyLevels[[#This Row],[Level1]],CustomerHierarchyLevels[],7,FALSE)=0,CustomerHierarchyLevels[[#This Row],[Level1]],VLOOKUP(CustomerHierarchyLevels[[#This Row],[Level1]],CustomerHierarchyLevels[],7,FALSE))</f>
        <v>6265</v>
      </c>
      <c r="S429" s="16">
        <f>IF(VLOOKUP(CustomerHierarchyLevels[[#This Row],[Level2]],CustomerHierarchyLevels[],7,FALSE)=0,CustomerHierarchyLevels[[#This Row],[Level2]],VLOOKUP(CustomerHierarchyLevels[[#This Row],[Level2]],CustomerHierarchyLevels[],7,FALSE))</f>
        <v>6725</v>
      </c>
    </row>
    <row r="430" spans="1:19" x14ac:dyDescent="0.25">
      <c r="A430">
        <v>1384</v>
      </c>
      <c r="B430" t="s">
        <v>9</v>
      </c>
      <c r="C430" t="s">
        <v>55</v>
      </c>
      <c r="D430">
        <v>0</v>
      </c>
      <c r="E430">
        <v>39010</v>
      </c>
      <c r="F430">
        <v>2958465</v>
      </c>
      <c r="G430">
        <v>6264</v>
      </c>
      <c r="H430" t="s">
        <v>9</v>
      </c>
      <c r="I430" t="s">
        <v>55</v>
      </c>
      <c r="J430">
        <v>0</v>
      </c>
      <c r="K430">
        <v>0</v>
      </c>
      <c r="N430">
        <v>0</v>
      </c>
      <c r="O430" t="s">
        <v>1582</v>
      </c>
      <c r="P430" t="s">
        <v>1583</v>
      </c>
      <c r="Q430" s="16">
        <f>IF(CustomerHierarchyLevels[[#This Row],[HgLvCust.]]=0,CustomerHierarchyLevels[[#This Row],[Customer]],CustomerHierarchyLevels[[#This Row],[HgLvCust.]])</f>
        <v>6264</v>
      </c>
      <c r="R430" s="16">
        <f>IF(VLOOKUP(CustomerHierarchyLevels[[#This Row],[Level1]],CustomerHierarchyLevels[],7,FALSE)=0,CustomerHierarchyLevels[[#This Row],[Level1]],VLOOKUP(CustomerHierarchyLevels[[#This Row],[Level1]],CustomerHierarchyLevels[],7,FALSE))</f>
        <v>6265</v>
      </c>
      <c r="S430" s="16">
        <f>IF(VLOOKUP(CustomerHierarchyLevels[[#This Row],[Level2]],CustomerHierarchyLevels[],7,FALSE)=0,CustomerHierarchyLevels[[#This Row],[Level2]],VLOOKUP(CustomerHierarchyLevels[[#This Row],[Level2]],CustomerHierarchyLevels[],7,FALSE))</f>
        <v>6725</v>
      </c>
    </row>
    <row r="431" spans="1:19" x14ac:dyDescent="0.25">
      <c r="A431">
        <v>2082</v>
      </c>
      <c r="B431" t="s">
        <v>9</v>
      </c>
      <c r="C431" t="s">
        <v>55</v>
      </c>
      <c r="D431">
        <v>0</v>
      </c>
      <c r="E431">
        <v>39010</v>
      </c>
      <c r="F431">
        <v>2958465</v>
      </c>
      <c r="G431">
        <v>6264</v>
      </c>
      <c r="H431" t="s">
        <v>9</v>
      </c>
      <c r="I431" t="s">
        <v>55</v>
      </c>
      <c r="J431">
        <v>0</v>
      </c>
      <c r="K431">
        <v>0</v>
      </c>
      <c r="N431">
        <v>0</v>
      </c>
      <c r="O431" t="s">
        <v>1564</v>
      </c>
      <c r="P431" t="s">
        <v>1584</v>
      </c>
      <c r="Q431" s="16">
        <f>IF(CustomerHierarchyLevels[[#This Row],[HgLvCust.]]=0,CustomerHierarchyLevels[[#This Row],[Customer]],CustomerHierarchyLevels[[#This Row],[HgLvCust.]])</f>
        <v>6264</v>
      </c>
      <c r="R431" s="16">
        <f>IF(VLOOKUP(CustomerHierarchyLevels[[#This Row],[Level1]],CustomerHierarchyLevels[],7,FALSE)=0,CustomerHierarchyLevels[[#This Row],[Level1]],VLOOKUP(CustomerHierarchyLevels[[#This Row],[Level1]],CustomerHierarchyLevels[],7,FALSE))</f>
        <v>6265</v>
      </c>
      <c r="S431" s="16">
        <f>IF(VLOOKUP(CustomerHierarchyLevels[[#This Row],[Level2]],CustomerHierarchyLevels[],7,FALSE)=0,CustomerHierarchyLevels[[#This Row],[Level2]],VLOOKUP(CustomerHierarchyLevels[[#This Row],[Level2]],CustomerHierarchyLevels[],7,FALSE))</f>
        <v>6725</v>
      </c>
    </row>
    <row r="432" spans="1:19" x14ac:dyDescent="0.25">
      <c r="A432">
        <v>1390</v>
      </c>
      <c r="B432" t="s">
        <v>9</v>
      </c>
      <c r="C432" t="s">
        <v>55</v>
      </c>
      <c r="D432">
        <v>0</v>
      </c>
      <c r="E432">
        <v>39010</v>
      </c>
      <c r="F432">
        <v>2958465</v>
      </c>
      <c r="G432">
        <v>6266</v>
      </c>
      <c r="H432" t="s">
        <v>9</v>
      </c>
      <c r="I432" t="s">
        <v>55</v>
      </c>
      <c r="J432">
        <v>0</v>
      </c>
      <c r="K432">
        <v>0</v>
      </c>
      <c r="N432">
        <v>0</v>
      </c>
      <c r="O432" t="s">
        <v>1585</v>
      </c>
      <c r="P432" t="s">
        <v>1586</v>
      </c>
      <c r="Q432" s="16">
        <f>IF(CustomerHierarchyLevels[[#This Row],[HgLvCust.]]=0,CustomerHierarchyLevels[[#This Row],[Customer]],CustomerHierarchyLevels[[#This Row],[HgLvCust.]])</f>
        <v>6266</v>
      </c>
      <c r="R432" s="16">
        <f>IF(VLOOKUP(CustomerHierarchyLevels[[#This Row],[Level1]],CustomerHierarchyLevels[],7,FALSE)=0,CustomerHierarchyLevels[[#This Row],[Level1]],VLOOKUP(CustomerHierarchyLevels[[#This Row],[Level1]],CustomerHierarchyLevels[],7,FALSE))</f>
        <v>6267</v>
      </c>
      <c r="S432" s="16">
        <f>IF(VLOOKUP(CustomerHierarchyLevels[[#This Row],[Level2]],CustomerHierarchyLevels[],7,FALSE)=0,CustomerHierarchyLevels[[#This Row],[Level2]],VLOOKUP(CustomerHierarchyLevels[[#This Row],[Level2]],CustomerHierarchyLevels[],7,FALSE))</f>
        <v>6726</v>
      </c>
    </row>
    <row r="433" spans="1:19" x14ac:dyDescent="0.25">
      <c r="A433">
        <v>4047</v>
      </c>
      <c r="B433" t="s">
        <v>9</v>
      </c>
      <c r="C433" t="s">
        <v>55</v>
      </c>
      <c r="D433">
        <v>0</v>
      </c>
      <c r="E433">
        <v>39010</v>
      </c>
      <c r="F433">
        <v>2958465</v>
      </c>
      <c r="G433">
        <v>6266</v>
      </c>
      <c r="H433" t="s">
        <v>9</v>
      </c>
      <c r="I433" t="s">
        <v>55</v>
      </c>
      <c r="J433">
        <v>0</v>
      </c>
      <c r="K433">
        <v>0</v>
      </c>
      <c r="N433">
        <v>0</v>
      </c>
      <c r="O433" t="s">
        <v>1568</v>
      </c>
      <c r="P433" t="s">
        <v>1587</v>
      </c>
      <c r="Q433" s="16">
        <f>IF(CustomerHierarchyLevels[[#This Row],[HgLvCust.]]=0,CustomerHierarchyLevels[[#This Row],[Customer]],CustomerHierarchyLevels[[#This Row],[HgLvCust.]])</f>
        <v>6266</v>
      </c>
      <c r="R433" s="16">
        <f>IF(VLOOKUP(CustomerHierarchyLevels[[#This Row],[Level1]],CustomerHierarchyLevels[],7,FALSE)=0,CustomerHierarchyLevels[[#This Row],[Level1]],VLOOKUP(CustomerHierarchyLevels[[#This Row],[Level1]],CustomerHierarchyLevels[],7,FALSE))</f>
        <v>6267</v>
      </c>
      <c r="S433" s="16">
        <f>IF(VLOOKUP(CustomerHierarchyLevels[[#This Row],[Level2]],CustomerHierarchyLevels[],7,FALSE)=0,CustomerHierarchyLevels[[#This Row],[Level2]],VLOOKUP(CustomerHierarchyLevels[[#This Row],[Level2]],CustomerHierarchyLevels[],7,FALSE))</f>
        <v>6726</v>
      </c>
    </row>
    <row r="434" spans="1:19" x14ac:dyDescent="0.25">
      <c r="A434">
        <v>1174</v>
      </c>
      <c r="B434" t="s">
        <v>9</v>
      </c>
      <c r="C434" t="s">
        <v>55</v>
      </c>
      <c r="D434">
        <v>0</v>
      </c>
      <c r="E434">
        <v>39010</v>
      </c>
      <c r="F434">
        <v>2958465</v>
      </c>
      <c r="G434">
        <v>6266</v>
      </c>
      <c r="H434" t="s">
        <v>9</v>
      </c>
      <c r="I434" t="s">
        <v>55</v>
      </c>
      <c r="J434">
        <v>0</v>
      </c>
      <c r="K434">
        <v>0</v>
      </c>
      <c r="N434">
        <v>0</v>
      </c>
      <c r="O434" t="s">
        <v>1588</v>
      </c>
      <c r="P434" t="s">
        <v>1589</v>
      </c>
      <c r="Q434" s="16">
        <f>IF(CustomerHierarchyLevels[[#This Row],[HgLvCust.]]=0,CustomerHierarchyLevels[[#This Row],[Customer]],CustomerHierarchyLevels[[#This Row],[HgLvCust.]])</f>
        <v>6266</v>
      </c>
      <c r="R434" s="16">
        <f>IF(VLOOKUP(CustomerHierarchyLevels[[#This Row],[Level1]],CustomerHierarchyLevels[],7,FALSE)=0,CustomerHierarchyLevels[[#This Row],[Level1]],VLOOKUP(CustomerHierarchyLevels[[#This Row],[Level1]],CustomerHierarchyLevels[],7,FALSE))</f>
        <v>6267</v>
      </c>
      <c r="S434" s="16">
        <f>IF(VLOOKUP(CustomerHierarchyLevels[[#This Row],[Level2]],CustomerHierarchyLevels[],7,FALSE)=0,CustomerHierarchyLevels[[#This Row],[Level2]],VLOOKUP(CustomerHierarchyLevels[[#This Row],[Level2]],CustomerHierarchyLevels[],7,FALSE))</f>
        <v>6726</v>
      </c>
    </row>
    <row r="435" spans="1:19" x14ac:dyDescent="0.25">
      <c r="A435">
        <v>1177</v>
      </c>
      <c r="B435" t="s">
        <v>9</v>
      </c>
      <c r="C435" t="s">
        <v>55</v>
      </c>
      <c r="D435">
        <v>0</v>
      </c>
      <c r="E435">
        <v>39010</v>
      </c>
      <c r="F435">
        <v>2958465</v>
      </c>
      <c r="G435">
        <v>6268</v>
      </c>
      <c r="H435" t="s">
        <v>9</v>
      </c>
      <c r="I435" t="s">
        <v>55</v>
      </c>
      <c r="J435">
        <v>0</v>
      </c>
      <c r="K435">
        <v>0</v>
      </c>
      <c r="N435">
        <v>0</v>
      </c>
      <c r="O435" t="s">
        <v>1582</v>
      </c>
      <c r="P435" t="s">
        <v>1590</v>
      </c>
      <c r="Q435" s="16">
        <f>IF(CustomerHierarchyLevels[[#This Row],[HgLvCust.]]=0,CustomerHierarchyLevels[[#This Row],[Customer]],CustomerHierarchyLevels[[#This Row],[HgLvCust.]])</f>
        <v>6268</v>
      </c>
      <c r="R435" s="16">
        <f>IF(VLOOKUP(CustomerHierarchyLevels[[#This Row],[Level1]],CustomerHierarchyLevels[],7,FALSE)=0,CustomerHierarchyLevels[[#This Row],[Level1]],VLOOKUP(CustomerHierarchyLevels[[#This Row],[Level1]],CustomerHierarchyLevels[],7,FALSE))</f>
        <v>6269</v>
      </c>
      <c r="S435" s="16">
        <f>IF(VLOOKUP(CustomerHierarchyLevels[[#This Row],[Level2]],CustomerHierarchyLevels[],7,FALSE)=0,CustomerHierarchyLevels[[#This Row],[Level2]],VLOOKUP(CustomerHierarchyLevels[[#This Row],[Level2]],CustomerHierarchyLevels[],7,FALSE))</f>
        <v>6727</v>
      </c>
    </row>
    <row r="436" spans="1:19" x14ac:dyDescent="0.25">
      <c r="A436">
        <v>1364</v>
      </c>
      <c r="B436" t="s">
        <v>9</v>
      </c>
      <c r="C436" t="s">
        <v>55</v>
      </c>
      <c r="D436">
        <v>0</v>
      </c>
      <c r="E436">
        <v>39010</v>
      </c>
      <c r="F436">
        <v>2958465</v>
      </c>
      <c r="G436">
        <v>6268</v>
      </c>
      <c r="H436" t="s">
        <v>9</v>
      </c>
      <c r="I436" t="s">
        <v>55</v>
      </c>
      <c r="J436">
        <v>0</v>
      </c>
      <c r="K436">
        <v>0</v>
      </c>
      <c r="N436">
        <v>0</v>
      </c>
      <c r="O436" t="s">
        <v>1577</v>
      </c>
      <c r="P436" t="s">
        <v>1591</v>
      </c>
      <c r="Q436" s="16">
        <f>IF(CustomerHierarchyLevels[[#This Row],[HgLvCust.]]=0,CustomerHierarchyLevels[[#This Row],[Customer]],CustomerHierarchyLevels[[#This Row],[HgLvCust.]])</f>
        <v>6268</v>
      </c>
      <c r="R436" s="16">
        <f>IF(VLOOKUP(CustomerHierarchyLevels[[#This Row],[Level1]],CustomerHierarchyLevels[],7,FALSE)=0,CustomerHierarchyLevels[[#This Row],[Level1]],VLOOKUP(CustomerHierarchyLevels[[#This Row],[Level1]],CustomerHierarchyLevels[],7,FALSE))</f>
        <v>6269</v>
      </c>
      <c r="S436" s="16">
        <f>IF(VLOOKUP(CustomerHierarchyLevels[[#This Row],[Level2]],CustomerHierarchyLevels[],7,FALSE)=0,CustomerHierarchyLevels[[#This Row],[Level2]],VLOOKUP(CustomerHierarchyLevels[[#This Row],[Level2]],CustomerHierarchyLevels[],7,FALSE))</f>
        <v>6727</v>
      </c>
    </row>
    <row r="437" spans="1:19" x14ac:dyDescent="0.25">
      <c r="A437">
        <v>1226</v>
      </c>
      <c r="B437" t="s">
        <v>9</v>
      </c>
      <c r="C437" t="s">
        <v>55</v>
      </c>
      <c r="D437">
        <v>0</v>
      </c>
      <c r="E437">
        <v>39010</v>
      </c>
      <c r="F437">
        <v>2958465</v>
      </c>
      <c r="G437">
        <v>6270</v>
      </c>
      <c r="H437" t="s">
        <v>9</v>
      </c>
      <c r="I437" t="s">
        <v>55</v>
      </c>
      <c r="J437">
        <v>0</v>
      </c>
      <c r="K437">
        <v>0</v>
      </c>
      <c r="N437">
        <v>0</v>
      </c>
      <c r="O437" t="s">
        <v>1592</v>
      </c>
      <c r="P437" t="s">
        <v>1593</v>
      </c>
      <c r="Q437" s="16">
        <f>IF(CustomerHierarchyLevels[[#This Row],[HgLvCust.]]=0,CustomerHierarchyLevels[[#This Row],[Customer]],CustomerHierarchyLevels[[#This Row],[HgLvCust.]])</f>
        <v>6270</v>
      </c>
      <c r="R437" s="16">
        <f>IF(VLOOKUP(CustomerHierarchyLevels[[#This Row],[Level1]],CustomerHierarchyLevels[],7,FALSE)=0,CustomerHierarchyLevels[[#This Row],[Level1]],VLOOKUP(CustomerHierarchyLevels[[#This Row],[Level1]],CustomerHierarchyLevels[],7,FALSE))</f>
        <v>6271</v>
      </c>
      <c r="S437" s="16">
        <f>IF(VLOOKUP(CustomerHierarchyLevels[[#This Row],[Level2]],CustomerHierarchyLevels[],7,FALSE)=0,CustomerHierarchyLevels[[#This Row],[Level2]],VLOOKUP(CustomerHierarchyLevels[[#This Row],[Level2]],CustomerHierarchyLevels[],7,FALSE))</f>
        <v>6728</v>
      </c>
    </row>
    <row r="438" spans="1:19" x14ac:dyDescent="0.25">
      <c r="A438">
        <v>1186</v>
      </c>
      <c r="B438" t="s">
        <v>9</v>
      </c>
      <c r="C438" t="s">
        <v>55</v>
      </c>
      <c r="D438">
        <v>0</v>
      </c>
      <c r="E438">
        <v>39010</v>
      </c>
      <c r="F438">
        <v>2958465</v>
      </c>
      <c r="G438">
        <v>6270</v>
      </c>
      <c r="H438" t="s">
        <v>9</v>
      </c>
      <c r="I438" t="s">
        <v>55</v>
      </c>
      <c r="J438">
        <v>0</v>
      </c>
      <c r="K438">
        <v>0</v>
      </c>
      <c r="N438">
        <v>0</v>
      </c>
      <c r="O438" t="s">
        <v>1592</v>
      </c>
      <c r="P438" t="s">
        <v>1594</v>
      </c>
      <c r="Q438" s="16">
        <f>IF(CustomerHierarchyLevels[[#This Row],[HgLvCust.]]=0,CustomerHierarchyLevels[[#This Row],[Customer]],CustomerHierarchyLevels[[#This Row],[HgLvCust.]])</f>
        <v>6270</v>
      </c>
      <c r="R438" s="16">
        <f>IF(VLOOKUP(CustomerHierarchyLevels[[#This Row],[Level1]],CustomerHierarchyLevels[],7,FALSE)=0,CustomerHierarchyLevels[[#This Row],[Level1]],VLOOKUP(CustomerHierarchyLevels[[#This Row],[Level1]],CustomerHierarchyLevels[],7,FALSE))</f>
        <v>6271</v>
      </c>
      <c r="S438" s="16">
        <f>IF(VLOOKUP(CustomerHierarchyLevels[[#This Row],[Level2]],CustomerHierarchyLevels[],7,FALSE)=0,CustomerHierarchyLevels[[#This Row],[Level2]],VLOOKUP(CustomerHierarchyLevels[[#This Row],[Level2]],CustomerHierarchyLevels[],7,FALSE))</f>
        <v>6728</v>
      </c>
    </row>
    <row r="439" spans="1:19" x14ac:dyDescent="0.25">
      <c r="A439">
        <v>3161</v>
      </c>
      <c r="B439" t="s">
        <v>9</v>
      </c>
      <c r="C439" t="s">
        <v>55</v>
      </c>
      <c r="D439">
        <v>0</v>
      </c>
      <c r="E439">
        <v>39010</v>
      </c>
      <c r="F439">
        <v>2958465</v>
      </c>
      <c r="G439">
        <v>6272</v>
      </c>
      <c r="H439" t="s">
        <v>9</v>
      </c>
      <c r="I439" t="s">
        <v>55</v>
      </c>
      <c r="J439">
        <v>0</v>
      </c>
      <c r="K439">
        <v>0</v>
      </c>
      <c r="N439">
        <v>0</v>
      </c>
      <c r="O439" t="s">
        <v>1595</v>
      </c>
      <c r="P439" t="s">
        <v>1596</v>
      </c>
      <c r="Q439" s="16">
        <f>IF(CustomerHierarchyLevels[[#This Row],[HgLvCust.]]=0,CustomerHierarchyLevels[[#This Row],[Customer]],CustomerHierarchyLevels[[#This Row],[HgLvCust.]])</f>
        <v>6272</v>
      </c>
      <c r="R439" s="16">
        <f>IF(VLOOKUP(CustomerHierarchyLevels[[#This Row],[Level1]],CustomerHierarchyLevels[],7,FALSE)=0,CustomerHierarchyLevels[[#This Row],[Level1]],VLOOKUP(CustomerHierarchyLevels[[#This Row],[Level1]],CustomerHierarchyLevels[],7,FALSE))</f>
        <v>6273</v>
      </c>
      <c r="S439" s="16">
        <f>IF(VLOOKUP(CustomerHierarchyLevels[[#This Row],[Level2]],CustomerHierarchyLevels[],7,FALSE)=0,CustomerHierarchyLevels[[#This Row],[Level2]],VLOOKUP(CustomerHierarchyLevels[[#This Row],[Level2]],CustomerHierarchyLevels[],7,FALSE))</f>
        <v>6729</v>
      </c>
    </row>
    <row r="440" spans="1:19" x14ac:dyDescent="0.25">
      <c r="A440">
        <v>3197</v>
      </c>
      <c r="B440" t="s">
        <v>9</v>
      </c>
      <c r="C440" t="s">
        <v>55</v>
      </c>
      <c r="D440">
        <v>0</v>
      </c>
      <c r="E440">
        <v>39010</v>
      </c>
      <c r="F440">
        <v>2958465</v>
      </c>
      <c r="G440">
        <v>6272</v>
      </c>
      <c r="H440" t="s">
        <v>9</v>
      </c>
      <c r="I440" t="s">
        <v>55</v>
      </c>
      <c r="J440">
        <v>0</v>
      </c>
      <c r="K440">
        <v>0</v>
      </c>
      <c r="N440">
        <v>0</v>
      </c>
      <c r="O440" t="s">
        <v>1597</v>
      </c>
      <c r="P440" t="s">
        <v>1598</v>
      </c>
      <c r="Q440" s="16">
        <f>IF(CustomerHierarchyLevels[[#This Row],[HgLvCust.]]=0,CustomerHierarchyLevels[[#This Row],[Customer]],CustomerHierarchyLevels[[#This Row],[HgLvCust.]])</f>
        <v>6272</v>
      </c>
      <c r="R440" s="16">
        <f>IF(VLOOKUP(CustomerHierarchyLevels[[#This Row],[Level1]],CustomerHierarchyLevels[],7,FALSE)=0,CustomerHierarchyLevels[[#This Row],[Level1]],VLOOKUP(CustomerHierarchyLevels[[#This Row],[Level1]],CustomerHierarchyLevels[],7,FALSE))</f>
        <v>6273</v>
      </c>
      <c r="S440" s="16">
        <f>IF(VLOOKUP(CustomerHierarchyLevels[[#This Row],[Level2]],CustomerHierarchyLevels[],7,FALSE)=0,CustomerHierarchyLevels[[#This Row],[Level2]],VLOOKUP(CustomerHierarchyLevels[[#This Row],[Level2]],CustomerHierarchyLevels[],7,FALSE))</f>
        <v>6729</v>
      </c>
    </row>
    <row r="441" spans="1:19" x14ac:dyDescent="0.25">
      <c r="A441">
        <v>3513</v>
      </c>
      <c r="B441" t="s">
        <v>9</v>
      </c>
      <c r="C441" t="s">
        <v>55</v>
      </c>
      <c r="D441">
        <v>0</v>
      </c>
      <c r="E441">
        <v>39010</v>
      </c>
      <c r="F441">
        <v>2958465</v>
      </c>
      <c r="G441">
        <v>6272</v>
      </c>
      <c r="H441" t="s">
        <v>9</v>
      </c>
      <c r="I441" t="s">
        <v>55</v>
      </c>
      <c r="J441">
        <v>0</v>
      </c>
      <c r="K441">
        <v>0</v>
      </c>
      <c r="N441">
        <v>0</v>
      </c>
      <c r="O441" t="s">
        <v>1599</v>
      </c>
      <c r="P441" t="s">
        <v>1600</v>
      </c>
      <c r="Q441" s="16">
        <f>IF(CustomerHierarchyLevels[[#This Row],[HgLvCust.]]=0,CustomerHierarchyLevels[[#This Row],[Customer]],CustomerHierarchyLevels[[#This Row],[HgLvCust.]])</f>
        <v>6272</v>
      </c>
      <c r="R441" s="16">
        <f>IF(VLOOKUP(CustomerHierarchyLevels[[#This Row],[Level1]],CustomerHierarchyLevels[],7,FALSE)=0,CustomerHierarchyLevels[[#This Row],[Level1]],VLOOKUP(CustomerHierarchyLevels[[#This Row],[Level1]],CustomerHierarchyLevels[],7,FALSE))</f>
        <v>6273</v>
      </c>
      <c r="S441" s="16">
        <f>IF(VLOOKUP(CustomerHierarchyLevels[[#This Row],[Level2]],CustomerHierarchyLevels[],7,FALSE)=0,CustomerHierarchyLevels[[#This Row],[Level2]],VLOOKUP(CustomerHierarchyLevels[[#This Row],[Level2]],CustomerHierarchyLevels[],7,FALSE))</f>
        <v>6729</v>
      </c>
    </row>
    <row r="442" spans="1:19" x14ac:dyDescent="0.25">
      <c r="A442">
        <v>4787</v>
      </c>
      <c r="B442" t="s">
        <v>9</v>
      </c>
      <c r="C442" t="s">
        <v>55</v>
      </c>
      <c r="D442">
        <v>0</v>
      </c>
      <c r="E442">
        <v>39010</v>
      </c>
      <c r="F442">
        <v>2958465</v>
      </c>
      <c r="G442">
        <v>6274</v>
      </c>
      <c r="H442" t="s">
        <v>9</v>
      </c>
      <c r="I442" t="s">
        <v>55</v>
      </c>
      <c r="J442">
        <v>0</v>
      </c>
      <c r="K442">
        <v>0</v>
      </c>
      <c r="N442">
        <v>0</v>
      </c>
      <c r="O442" t="s">
        <v>1564</v>
      </c>
      <c r="P442" t="s">
        <v>1601</v>
      </c>
      <c r="Q442" s="16">
        <f>IF(CustomerHierarchyLevels[[#This Row],[HgLvCust.]]=0,CustomerHierarchyLevels[[#This Row],[Customer]],CustomerHierarchyLevels[[#This Row],[HgLvCust.]])</f>
        <v>6274</v>
      </c>
      <c r="R442" s="16">
        <f>IF(VLOOKUP(CustomerHierarchyLevels[[#This Row],[Level1]],CustomerHierarchyLevels[],7,FALSE)=0,CustomerHierarchyLevels[[#This Row],[Level1]],VLOOKUP(CustomerHierarchyLevels[[#This Row],[Level1]],CustomerHierarchyLevels[],7,FALSE))</f>
        <v>6275</v>
      </c>
      <c r="S442" s="16">
        <f>IF(VLOOKUP(CustomerHierarchyLevels[[#This Row],[Level2]],CustomerHierarchyLevels[],7,FALSE)=0,CustomerHierarchyLevels[[#This Row],[Level2]],VLOOKUP(CustomerHierarchyLevels[[#This Row],[Level2]],CustomerHierarchyLevels[],7,FALSE))</f>
        <v>6730</v>
      </c>
    </row>
    <row r="443" spans="1:19" x14ac:dyDescent="0.25">
      <c r="A443">
        <v>1244</v>
      </c>
      <c r="B443" t="s">
        <v>9</v>
      </c>
      <c r="C443" t="s">
        <v>55</v>
      </c>
      <c r="D443">
        <v>0</v>
      </c>
      <c r="E443">
        <v>39010</v>
      </c>
      <c r="F443">
        <v>2958465</v>
      </c>
      <c r="G443">
        <v>6274</v>
      </c>
      <c r="H443" t="s">
        <v>9</v>
      </c>
      <c r="I443" t="s">
        <v>55</v>
      </c>
      <c r="J443">
        <v>0</v>
      </c>
      <c r="K443">
        <v>0</v>
      </c>
      <c r="N443">
        <v>0</v>
      </c>
      <c r="O443" t="s">
        <v>1602</v>
      </c>
      <c r="P443" t="s">
        <v>1603</v>
      </c>
      <c r="Q443" s="16">
        <f>IF(CustomerHierarchyLevels[[#This Row],[HgLvCust.]]=0,CustomerHierarchyLevels[[#This Row],[Customer]],CustomerHierarchyLevels[[#This Row],[HgLvCust.]])</f>
        <v>6274</v>
      </c>
      <c r="R443" s="16">
        <f>IF(VLOOKUP(CustomerHierarchyLevels[[#This Row],[Level1]],CustomerHierarchyLevels[],7,FALSE)=0,CustomerHierarchyLevels[[#This Row],[Level1]],VLOOKUP(CustomerHierarchyLevels[[#This Row],[Level1]],CustomerHierarchyLevels[],7,FALSE))</f>
        <v>6275</v>
      </c>
      <c r="S443" s="16">
        <f>IF(VLOOKUP(CustomerHierarchyLevels[[#This Row],[Level2]],CustomerHierarchyLevels[],7,FALSE)=0,CustomerHierarchyLevels[[#This Row],[Level2]],VLOOKUP(CustomerHierarchyLevels[[#This Row],[Level2]],CustomerHierarchyLevels[],7,FALSE))</f>
        <v>6730</v>
      </c>
    </row>
    <row r="444" spans="1:19" x14ac:dyDescent="0.25">
      <c r="A444">
        <v>1932</v>
      </c>
      <c r="B444" t="s">
        <v>9</v>
      </c>
      <c r="C444" t="s">
        <v>55</v>
      </c>
      <c r="D444">
        <v>0</v>
      </c>
      <c r="E444">
        <v>39010</v>
      </c>
      <c r="F444">
        <v>2958465</v>
      </c>
      <c r="G444">
        <v>6274</v>
      </c>
      <c r="H444" t="s">
        <v>9</v>
      </c>
      <c r="I444" t="s">
        <v>55</v>
      </c>
      <c r="J444">
        <v>0</v>
      </c>
      <c r="K444">
        <v>0</v>
      </c>
      <c r="N444">
        <v>0</v>
      </c>
      <c r="O444" t="s">
        <v>1604</v>
      </c>
      <c r="P444" t="s">
        <v>1605</v>
      </c>
      <c r="Q444" s="16">
        <f>IF(CustomerHierarchyLevels[[#This Row],[HgLvCust.]]=0,CustomerHierarchyLevels[[#This Row],[Customer]],CustomerHierarchyLevels[[#This Row],[HgLvCust.]])</f>
        <v>6274</v>
      </c>
      <c r="R444" s="16">
        <f>IF(VLOOKUP(CustomerHierarchyLevels[[#This Row],[Level1]],CustomerHierarchyLevels[],7,FALSE)=0,CustomerHierarchyLevels[[#This Row],[Level1]],VLOOKUP(CustomerHierarchyLevels[[#This Row],[Level1]],CustomerHierarchyLevels[],7,FALSE))</f>
        <v>6275</v>
      </c>
      <c r="S444" s="16">
        <f>IF(VLOOKUP(CustomerHierarchyLevels[[#This Row],[Level2]],CustomerHierarchyLevels[],7,FALSE)=0,CustomerHierarchyLevels[[#This Row],[Level2]],VLOOKUP(CustomerHierarchyLevels[[#This Row],[Level2]],CustomerHierarchyLevels[],7,FALSE))</f>
        <v>6730</v>
      </c>
    </row>
    <row r="445" spans="1:19" x14ac:dyDescent="0.25">
      <c r="A445">
        <v>2811</v>
      </c>
      <c r="B445" t="s">
        <v>9</v>
      </c>
      <c r="C445" t="s">
        <v>55</v>
      </c>
      <c r="D445">
        <v>0</v>
      </c>
      <c r="E445">
        <v>39010</v>
      </c>
      <c r="F445">
        <v>2958465</v>
      </c>
      <c r="G445">
        <v>6276</v>
      </c>
      <c r="H445" t="s">
        <v>9</v>
      </c>
      <c r="I445" t="s">
        <v>55</v>
      </c>
      <c r="J445">
        <v>0</v>
      </c>
      <c r="K445">
        <v>0</v>
      </c>
      <c r="N445">
        <v>0</v>
      </c>
      <c r="O445" t="s">
        <v>1606</v>
      </c>
      <c r="P445" t="s">
        <v>1607</v>
      </c>
      <c r="Q445" s="16">
        <f>IF(CustomerHierarchyLevels[[#This Row],[HgLvCust.]]=0,CustomerHierarchyLevels[[#This Row],[Customer]],CustomerHierarchyLevels[[#This Row],[HgLvCust.]])</f>
        <v>6276</v>
      </c>
      <c r="R445" s="16">
        <f>IF(VLOOKUP(CustomerHierarchyLevels[[#This Row],[Level1]],CustomerHierarchyLevels[],7,FALSE)=0,CustomerHierarchyLevels[[#This Row],[Level1]],VLOOKUP(CustomerHierarchyLevels[[#This Row],[Level1]],CustomerHierarchyLevels[],7,FALSE))</f>
        <v>6277</v>
      </c>
      <c r="S445" s="16">
        <f>IF(VLOOKUP(CustomerHierarchyLevels[[#This Row],[Level2]],CustomerHierarchyLevels[],7,FALSE)=0,CustomerHierarchyLevels[[#This Row],[Level2]],VLOOKUP(CustomerHierarchyLevels[[#This Row],[Level2]],CustomerHierarchyLevels[],7,FALSE))</f>
        <v>6731</v>
      </c>
    </row>
    <row r="446" spans="1:19" x14ac:dyDescent="0.25">
      <c r="A446">
        <v>3186</v>
      </c>
      <c r="B446" t="s">
        <v>9</v>
      </c>
      <c r="C446" t="s">
        <v>55</v>
      </c>
      <c r="D446">
        <v>0</v>
      </c>
      <c r="E446">
        <v>39010</v>
      </c>
      <c r="F446">
        <v>2958465</v>
      </c>
      <c r="G446">
        <v>6276</v>
      </c>
      <c r="H446" t="s">
        <v>9</v>
      </c>
      <c r="I446" t="s">
        <v>55</v>
      </c>
      <c r="J446">
        <v>0</v>
      </c>
      <c r="K446">
        <v>0</v>
      </c>
      <c r="N446">
        <v>0</v>
      </c>
      <c r="O446" t="s">
        <v>1608</v>
      </c>
      <c r="P446" t="s">
        <v>1609</v>
      </c>
      <c r="Q446" s="16">
        <f>IF(CustomerHierarchyLevels[[#This Row],[HgLvCust.]]=0,CustomerHierarchyLevels[[#This Row],[Customer]],CustomerHierarchyLevels[[#This Row],[HgLvCust.]])</f>
        <v>6276</v>
      </c>
      <c r="R446" s="16">
        <f>IF(VLOOKUP(CustomerHierarchyLevels[[#This Row],[Level1]],CustomerHierarchyLevels[],7,FALSE)=0,CustomerHierarchyLevels[[#This Row],[Level1]],VLOOKUP(CustomerHierarchyLevels[[#This Row],[Level1]],CustomerHierarchyLevels[],7,FALSE))</f>
        <v>6277</v>
      </c>
      <c r="S446" s="16">
        <f>IF(VLOOKUP(CustomerHierarchyLevels[[#This Row],[Level2]],CustomerHierarchyLevels[],7,FALSE)=0,CustomerHierarchyLevels[[#This Row],[Level2]],VLOOKUP(CustomerHierarchyLevels[[#This Row],[Level2]],CustomerHierarchyLevels[],7,FALSE))</f>
        <v>6731</v>
      </c>
    </row>
    <row r="447" spans="1:19" x14ac:dyDescent="0.25">
      <c r="A447">
        <v>1193</v>
      </c>
      <c r="B447" t="s">
        <v>9</v>
      </c>
      <c r="C447" t="s">
        <v>55</v>
      </c>
      <c r="D447">
        <v>0</v>
      </c>
      <c r="E447">
        <v>39010</v>
      </c>
      <c r="F447">
        <v>2958465</v>
      </c>
      <c r="G447">
        <v>6278</v>
      </c>
      <c r="H447" t="s">
        <v>9</v>
      </c>
      <c r="I447" t="s">
        <v>55</v>
      </c>
      <c r="J447">
        <v>0</v>
      </c>
      <c r="K447">
        <v>0</v>
      </c>
      <c r="N447">
        <v>0</v>
      </c>
      <c r="O447" t="s">
        <v>1610</v>
      </c>
      <c r="P447" t="s">
        <v>1611</v>
      </c>
      <c r="Q447" s="16">
        <f>IF(CustomerHierarchyLevels[[#This Row],[HgLvCust.]]=0,CustomerHierarchyLevels[[#This Row],[Customer]],CustomerHierarchyLevels[[#This Row],[HgLvCust.]])</f>
        <v>6278</v>
      </c>
      <c r="R447" s="16">
        <f>IF(VLOOKUP(CustomerHierarchyLevels[[#This Row],[Level1]],CustomerHierarchyLevels[],7,FALSE)=0,CustomerHierarchyLevels[[#This Row],[Level1]],VLOOKUP(CustomerHierarchyLevels[[#This Row],[Level1]],CustomerHierarchyLevels[],7,FALSE))</f>
        <v>6279</v>
      </c>
      <c r="S447" s="16">
        <f>IF(VLOOKUP(CustomerHierarchyLevels[[#This Row],[Level2]],CustomerHierarchyLevels[],7,FALSE)=0,CustomerHierarchyLevels[[#This Row],[Level2]],VLOOKUP(CustomerHierarchyLevels[[#This Row],[Level2]],CustomerHierarchyLevels[],7,FALSE))</f>
        <v>6732</v>
      </c>
    </row>
    <row r="448" spans="1:19" x14ac:dyDescent="0.25">
      <c r="A448">
        <v>1346</v>
      </c>
      <c r="B448" t="s">
        <v>9</v>
      </c>
      <c r="C448" t="s">
        <v>55</v>
      </c>
      <c r="D448">
        <v>0</v>
      </c>
      <c r="E448">
        <v>39010</v>
      </c>
      <c r="F448">
        <v>2958465</v>
      </c>
      <c r="G448">
        <v>6278</v>
      </c>
      <c r="H448" t="s">
        <v>9</v>
      </c>
      <c r="I448" t="s">
        <v>55</v>
      </c>
      <c r="J448">
        <v>0</v>
      </c>
      <c r="K448">
        <v>0</v>
      </c>
      <c r="N448">
        <v>0</v>
      </c>
      <c r="O448" t="s">
        <v>1610</v>
      </c>
      <c r="P448" t="s">
        <v>1612</v>
      </c>
      <c r="Q448" s="16">
        <f>IF(CustomerHierarchyLevels[[#This Row],[HgLvCust.]]=0,CustomerHierarchyLevels[[#This Row],[Customer]],CustomerHierarchyLevels[[#This Row],[HgLvCust.]])</f>
        <v>6278</v>
      </c>
      <c r="R448" s="16">
        <f>IF(VLOOKUP(CustomerHierarchyLevels[[#This Row],[Level1]],CustomerHierarchyLevels[],7,FALSE)=0,CustomerHierarchyLevels[[#This Row],[Level1]],VLOOKUP(CustomerHierarchyLevels[[#This Row],[Level1]],CustomerHierarchyLevels[],7,FALSE))</f>
        <v>6279</v>
      </c>
      <c r="S448" s="16">
        <f>IF(VLOOKUP(CustomerHierarchyLevels[[#This Row],[Level2]],CustomerHierarchyLevels[],7,FALSE)=0,CustomerHierarchyLevels[[#This Row],[Level2]],VLOOKUP(CustomerHierarchyLevels[[#This Row],[Level2]],CustomerHierarchyLevels[],7,FALSE))</f>
        <v>6732</v>
      </c>
    </row>
    <row r="449" spans="1:19" x14ac:dyDescent="0.25">
      <c r="A449">
        <v>6537</v>
      </c>
      <c r="B449" t="s">
        <v>9</v>
      </c>
      <c r="C449" t="s">
        <v>90</v>
      </c>
      <c r="D449">
        <v>0</v>
      </c>
      <c r="E449">
        <v>39020</v>
      </c>
      <c r="F449">
        <v>2958465</v>
      </c>
      <c r="G449">
        <v>6535</v>
      </c>
      <c r="H449" t="s">
        <v>9</v>
      </c>
      <c r="I449" t="s">
        <v>90</v>
      </c>
      <c r="J449">
        <v>0</v>
      </c>
      <c r="K449">
        <v>0</v>
      </c>
      <c r="L449" t="s">
        <v>1195</v>
      </c>
      <c r="M449" t="s">
        <v>1195</v>
      </c>
      <c r="N449">
        <v>2</v>
      </c>
      <c r="O449" t="s">
        <v>91</v>
      </c>
      <c r="P449" t="s">
        <v>1613</v>
      </c>
      <c r="Q449" s="16">
        <f>IF(CustomerHierarchyLevels[[#This Row],[HgLvCust.]]=0,CustomerHierarchyLevels[[#This Row],[Customer]],CustomerHierarchyLevels[[#This Row],[HgLvCust.]])</f>
        <v>6535</v>
      </c>
      <c r="R449" s="16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49" s="16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50" spans="1:19" x14ac:dyDescent="0.25">
      <c r="A450">
        <v>6535</v>
      </c>
      <c r="B450" t="s">
        <v>9</v>
      </c>
      <c r="C450" t="s">
        <v>90</v>
      </c>
      <c r="D450">
        <v>0</v>
      </c>
      <c r="E450">
        <v>39020</v>
      </c>
      <c r="F450">
        <v>2958465</v>
      </c>
      <c r="K450">
        <v>0</v>
      </c>
      <c r="L450" t="s">
        <v>1195</v>
      </c>
      <c r="M450" t="s">
        <v>1195</v>
      </c>
      <c r="N450">
        <v>0</v>
      </c>
      <c r="O450" t="s">
        <v>91</v>
      </c>
      <c r="P450" t="s">
        <v>1614</v>
      </c>
      <c r="Q450" s="16">
        <f>IF(CustomerHierarchyLevels[[#This Row],[HgLvCust.]]=0,CustomerHierarchyLevels[[#This Row],[Customer]],CustomerHierarchyLevels[[#This Row],[HgLvCust.]])</f>
        <v>6535</v>
      </c>
      <c r="R450" s="16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50" s="16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51" spans="1:19" x14ac:dyDescent="0.25">
      <c r="A451">
        <v>6538</v>
      </c>
      <c r="B451" t="s">
        <v>9</v>
      </c>
      <c r="C451" t="s">
        <v>90</v>
      </c>
      <c r="D451">
        <v>0</v>
      </c>
      <c r="E451">
        <v>39020</v>
      </c>
      <c r="F451">
        <v>2958465</v>
      </c>
      <c r="G451">
        <v>6535</v>
      </c>
      <c r="H451" t="s">
        <v>9</v>
      </c>
      <c r="I451" t="s">
        <v>90</v>
      </c>
      <c r="J451">
        <v>0</v>
      </c>
      <c r="K451">
        <v>0</v>
      </c>
      <c r="L451" t="s">
        <v>1195</v>
      </c>
      <c r="M451" t="s">
        <v>1195</v>
      </c>
      <c r="N451">
        <v>2</v>
      </c>
      <c r="O451" t="s">
        <v>91</v>
      </c>
      <c r="P451" t="s">
        <v>1615</v>
      </c>
      <c r="Q451" s="16">
        <f>IF(CustomerHierarchyLevels[[#This Row],[HgLvCust.]]=0,CustomerHierarchyLevels[[#This Row],[Customer]],CustomerHierarchyLevels[[#This Row],[HgLvCust.]])</f>
        <v>6535</v>
      </c>
      <c r="R451" s="16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51" s="16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52" spans="1:19" x14ac:dyDescent="0.25">
      <c r="A452">
        <v>6536</v>
      </c>
      <c r="B452" t="s">
        <v>9</v>
      </c>
      <c r="C452" t="s">
        <v>90</v>
      </c>
      <c r="D452">
        <v>0</v>
      </c>
      <c r="E452">
        <v>39020</v>
      </c>
      <c r="F452">
        <v>2958465</v>
      </c>
      <c r="G452">
        <v>6535</v>
      </c>
      <c r="H452" t="s">
        <v>9</v>
      </c>
      <c r="I452" t="s">
        <v>90</v>
      </c>
      <c r="J452">
        <v>0</v>
      </c>
      <c r="K452">
        <v>0</v>
      </c>
      <c r="L452" t="s">
        <v>1195</v>
      </c>
      <c r="M452" t="s">
        <v>1195</v>
      </c>
      <c r="N452">
        <v>2</v>
      </c>
      <c r="O452" t="s">
        <v>91</v>
      </c>
      <c r="P452" t="s">
        <v>1616</v>
      </c>
      <c r="Q452" s="16">
        <f>IF(CustomerHierarchyLevels[[#This Row],[HgLvCust.]]=0,CustomerHierarchyLevels[[#This Row],[Customer]],CustomerHierarchyLevels[[#This Row],[HgLvCust.]])</f>
        <v>6535</v>
      </c>
      <c r="R452" s="16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52" s="16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53" spans="1:19" x14ac:dyDescent="0.25">
      <c r="A453">
        <v>2298</v>
      </c>
      <c r="B453" t="s">
        <v>9</v>
      </c>
      <c r="C453" t="s">
        <v>90</v>
      </c>
      <c r="D453">
        <v>0</v>
      </c>
      <c r="E453">
        <v>39020</v>
      </c>
      <c r="F453">
        <v>2958465</v>
      </c>
      <c r="G453">
        <v>6536</v>
      </c>
      <c r="H453" t="s">
        <v>9</v>
      </c>
      <c r="I453" t="s">
        <v>90</v>
      </c>
      <c r="J453">
        <v>0</v>
      </c>
      <c r="K453">
        <v>0</v>
      </c>
      <c r="N453">
        <v>0</v>
      </c>
      <c r="O453" t="s">
        <v>91</v>
      </c>
      <c r="P453" t="s">
        <v>1617</v>
      </c>
      <c r="Q453" s="16">
        <f>IF(CustomerHierarchyLevels[[#This Row],[HgLvCust.]]=0,CustomerHierarchyLevels[[#This Row],[Customer]],CustomerHierarchyLevels[[#This Row],[HgLvCust.]])</f>
        <v>6536</v>
      </c>
      <c r="R453" s="16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53" s="16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54" spans="1:19" x14ac:dyDescent="0.25">
      <c r="A454">
        <v>2313</v>
      </c>
      <c r="B454" t="s">
        <v>9</v>
      </c>
      <c r="C454" t="s">
        <v>90</v>
      </c>
      <c r="D454">
        <v>0</v>
      </c>
      <c r="E454">
        <v>39020</v>
      </c>
      <c r="F454">
        <v>2958465</v>
      </c>
      <c r="G454">
        <v>6537</v>
      </c>
      <c r="H454" t="s">
        <v>9</v>
      </c>
      <c r="I454" t="s">
        <v>90</v>
      </c>
      <c r="J454">
        <v>0</v>
      </c>
      <c r="K454">
        <v>0</v>
      </c>
      <c r="N454">
        <v>0</v>
      </c>
      <c r="O454" t="s">
        <v>91</v>
      </c>
      <c r="P454" t="s">
        <v>1618</v>
      </c>
      <c r="Q454" s="16">
        <f>IF(CustomerHierarchyLevels[[#This Row],[HgLvCust.]]=0,CustomerHierarchyLevels[[#This Row],[Customer]],CustomerHierarchyLevels[[#This Row],[HgLvCust.]])</f>
        <v>6537</v>
      </c>
      <c r="R454" s="16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54" s="16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55" spans="1:19" x14ac:dyDescent="0.25">
      <c r="A455">
        <v>6951</v>
      </c>
      <c r="B455" t="s">
        <v>9</v>
      </c>
      <c r="C455" t="s">
        <v>90</v>
      </c>
      <c r="D455">
        <v>0</v>
      </c>
      <c r="E455">
        <v>39036</v>
      </c>
      <c r="F455">
        <v>2958465</v>
      </c>
      <c r="G455">
        <v>6329</v>
      </c>
      <c r="H455" t="s">
        <v>9</v>
      </c>
      <c r="I455" t="s">
        <v>90</v>
      </c>
      <c r="J455">
        <v>0</v>
      </c>
      <c r="K455">
        <v>0</v>
      </c>
      <c r="N455">
        <v>0</v>
      </c>
      <c r="O455" t="s">
        <v>91</v>
      </c>
      <c r="P455" t="s">
        <v>188</v>
      </c>
      <c r="Q455" s="16">
        <f>IF(CustomerHierarchyLevels[[#This Row],[HgLvCust.]]=0,CustomerHierarchyLevels[[#This Row],[Customer]],CustomerHierarchyLevels[[#This Row],[HgLvCust.]])</f>
        <v>6329</v>
      </c>
      <c r="R455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455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56" spans="1:19" x14ac:dyDescent="0.25">
      <c r="A456">
        <v>1339</v>
      </c>
      <c r="B456" t="s">
        <v>9</v>
      </c>
      <c r="C456" t="s">
        <v>90</v>
      </c>
      <c r="D456">
        <v>0</v>
      </c>
      <c r="E456">
        <v>39036</v>
      </c>
      <c r="F456">
        <v>2958465</v>
      </c>
      <c r="G456">
        <v>6312</v>
      </c>
      <c r="H456" t="s">
        <v>9</v>
      </c>
      <c r="I456" t="s">
        <v>90</v>
      </c>
      <c r="J456">
        <v>0</v>
      </c>
      <c r="K456">
        <v>0</v>
      </c>
      <c r="N456">
        <v>0</v>
      </c>
      <c r="O456" t="s">
        <v>91</v>
      </c>
      <c r="P456" t="s">
        <v>1619</v>
      </c>
      <c r="Q456" s="16">
        <f>IF(CustomerHierarchyLevels[[#This Row],[HgLvCust.]]=0,CustomerHierarchyLevels[[#This Row],[Customer]],CustomerHierarchyLevels[[#This Row],[HgLvCust.]])</f>
        <v>6312</v>
      </c>
      <c r="R456" s="16">
        <f>IF(VLOOKUP(CustomerHierarchyLevels[[#This Row],[Level1]],CustomerHierarchyLevels[],7,FALSE)=0,CustomerHierarchyLevels[[#This Row],[Level1]],VLOOKUP(CustomerHierarchyLevels[[#This Row],[Level1]],CustomerHierarchyLevels[],7,FALSE))</f>
        <v>6310</v>
      </c>
      <c r="S456" s="16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457" spans="1:19" x14ac:dyDescent="0.25">
      <c r="A457">
        <v>1395</v>
      </c>
      <c r="B457" t="s">
        <v>9</v>
      </c>
      <c r="C457" t="s">
        <v>90</v>
      </c>
      <c r="D457">
        <v>0</v>
      </c>
      <c r="E457">
        <v>39036</v>
      </c>
      <c r="F457">
        <v>2958465</v>
      </c>
      <c r="G457">
        <v>6312</v>
      </c>
      <c r="H457" t="s">
        <v>9</v>
      </c>
      <c r="I457" t="s">
        <v>90</v>
      </c>
      <c r="J457">
        <v>0</v>
      </c>
      <c r="K457">
        <v>0</v>
      </c>
      <c r="N457">
        <v>0</v>
      </c>
      <c r="O457" t="s">
        <v>91</v>
      </c>
      <c r="P457" t="s">
        <v>1620</v>
      </c>
      <c r="Q457" s="16">
        <f>IF(CustomerHierarchyLevels[[#This Row],[HgLvCust.]]=0,CustomerHierarchyLevels[[#This Row],[Customer]],CustomerHierarchyLevels[[#This Row],[HgLvCust.]])</f>
        <v>6312</v>
      </c>
      <c r="R457" s="16">
        <f>IF(VLOOKUP(CustomerHierarchyLevels[[#This Row],[Level1]],CustomerHierarchyLevels[],7,FALSE)=0,CustomerHierarchyLevels[[#This Row],[Level1]],VLOOKUP(CustomerHierarchyLevels[[#This Row],[Level1]],CustomerHierarchyLevels[],7,FALSE))</f>
        <v>6310</v>
      </c>
      <c r="S457" s="16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458" spans="1:19" x14ac:dyDescent="0.25">
      <c r="A458">
        <v>1472</v>
      </c>
      <c r="B458" t="s">
        <v>9</v>
      </c>
      <c r="C458" t="s">
        <v>90</v>
      </c>
      <c r="D458">
        <v>0</v>
      </c>
      <c r="E458">
        <v>39036</v>
      </c>
      <c r="F458">
        <v>2958465</v>
      </c>
      <c r="G458">
        <v>6311</v>
      </c>
      <c r="H458" t="s">
        <v>9</v>
      </c>
      <c r="I458" t="s">
        <v>90</v>
      </c>
      <c r="J458">
        <v>0</v>
      </c>
      <c r="K458">
        <v>0</v>
      </c>
      <c r="N458">
        <v>0</v>
      </c>
      <c r="O458" t="s">
        <v>91</v>
      </c>
      <c r="P458" t="s">
        <v>1621</v>
      </c>
      <c r="Q458" s="16">
        <f>IF(CustomerHierarchyLevels[[#This Row],[HgLvCust.]]=0,CustomerHierarchyLevels[[#This Row],[Customer]],CustomerHierarchyLevels[[#This Row],[HgLvCust.]])</f>
        <v>6311</v>
      </c>
      <c r="R458" s="16">
        <f>IF(VLOOKUP(CustomerHierarchyLevels[[#This Row],[Level1]],CustomerHierarchyLevels[],7,FALSE)=0,CustomerHierarchyLevels[[#This Row],[Level1]],VLOOKUP(CustomerHierarchyLevels[[#This Row],[Level1]],CustomerHierarchyLevels[],7,FALSE))</f>
        <v>6310</v>
      </c>
      <c r="S458" s="16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459" spans="1:19" x14ac:dyDescent="0.25">
      <c r="A459">
        <v>1241</v>
      </c>
      <c r="B459" t="s">
        <v>9</v>
      </c>
      <c r="C459" t="s">
        <v>90</v>
      </c>
      <c r="D459">
        <v>0</v>
      </c>
      <c r="E459">
        <v>39036</v>
      </c>
      <c r="F459">
        <v>2958465</v>
      </c>
      <c r="G459">
        <v>6311</v>
      </c>
      <c r="H459" t="s">
        <v>9</v>
      </c>
      <c r="I459" t="s">
        <v>90</v>
      </c>
      <c r="J459">
        <v>0</v>
      </c>
      <c r="K459">
        <v>0</v>
      </c>
      <c r="N459">
        <v>0</v>
      </c>
      <c r="O459" t="s">
        <v>91</v>
      </c>
      <c r="P459" t="s">
        <v>1622</v>
      </c>
      <c r="Q459" s="16">
        <f>IF(CustomerHierarchyLevels[[#This Row],[HgLvCust.]]=0,CustomerHierarchyLevels[[#This Row],[Customer]],CustomerHierarchyLevels[[#This Row],[HgLvCust.]])</f>
        <v>6311</v>
      </c>
      <c r="R459" s="16">
        <f>IF(VLOOKUP(CustomerHierarchyLevels[[#This Row],[Level1]],CustomerHierarchyLevels[],7,FALSE)=0,CustomerHierarchyLevels[[#This Row],[Level1]],VLOOKUP(CustomerHierarchyLevels[[#This Row],[Level1]],CustomerHierarchyLevels[],7,FALSE))</f>
        <v>6310</v>
      </c>
      <c r="S459" s="16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460" spans="1:19" x14ac:dyDescent="0.25">
      <c r="A460">
        <v>1334</v>
      </c>
      <c r="B460" t="s">
        <v>9</v>
      </c>
      <c r="C460" t="s">
        <v>90</v>
      </c>
      <c r="D460">
        <v>0</v>
      </c>
      <c r="E460">
        <v>39036</v>
      </c>
      <c r="F460">
        <v>2958465</v>
      </c>
      <c r="G460">
        <v>6311</v>
      </c>
      <c r="H460" t="s">
        <v>9</v>
      </c>
      <c r="I460" t="s">
        <v>90</v>
      </c>
      <c r="J460">
        <v>0</v>
      </c>
      <c r="K460">
        <v>0</v>
      </c>
      <c r="N460">
        <v>0</v>
      </c>
      <c r="O460" t="s">
        <v>91</v>
      </c>
      <c r="P460" t="s">
        <v>1623</v>
      </c>
      <c r="Q460" s="16">
        <f>IF(CustomerHierarchyLevels[[#This Row],[HgLvCust.]]=0,CustomerHierarchyLevels[[#This Row],[Customer]],CustomerHierarchyLevels[[#This Row],[HgLvCust.]])</f>
        <v>6311</v>
      </c>
      <c r="R460" s="16">
        <f>IF(VLOOKUP(CustomerHierarchyLevels[[#This Row],[Level1]],CustomerHierarchyLevels[],7,FALSE)=0,CustomerHierarchyLevels[[#This Row],[Level1]],VLOOKUP(CustomerHierarchyLevels[[#This Row],[Level1]],CustomerHierarchyLevels[],7,FALSE))</f>
        <v>6310</v>
      </c>
      <c r="S460" s="16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461" spans="1:19" x14ac:dyDescent="0.25">
      <c r="A461">
        <v>1343</v>
      </c>
      <c r="B461" t="s">
        <v>9</v>
      </c>
      <c r="C461" t="s">
        <v>90</v>
      </c>
      <c r="D461">
        <v>0</v>
      </c>
      <c r="E461">
        <v>39036</v>
      </c>
      <c r="F461">
        <v>2958465</v>
      </c>
      <c r="G461">
        <v>6311</v>
      </c>
      <c r="H461" t="s">
        <v>9</v>
      </c>
      <c r="I461" t="s">
        <v>90</v>
      </c>
      <c r="J461">
        <v>0</v>
      </c>
      <c r="K461">
        <v>0</v>
      </c>
      <c r="N461">
        <v>0</v>
      </c>
      <c r="O461" t="s">
        <v>91</v>
      </c>
      <c r="P461" t="s">
        <v>1624</v>
      </c>
      <c r="Q461" s="16">
        <f>IF(CustomerHierarchyLevels[[#This Row],[HgLvCust.]]=0,CustomerHierarchyLevels[[#This Row],[Customer]],CustomerHierarchyLevels[[#This Row],[HgLvCust.]])</f>
        <v>6311</v>
      </c>
      <c r="R461" s="16">
        <f>IF(VLOOKUP(CustomerHierarchyLevels[[#This Row],[Level1]],CustomerHierarchyLevels[],7,FALSE)=0,CustomerHierarchyLevels[[#This Row],[Level1]],VLOOKUP(CustomerHierarchyLevels[[#This Row],[Level1]],CustomerHierarchyLevels[],7,FALSE))</f>
        <v>6310</v>
      </c>
      <c r="S461" s="16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462" spans="1:19" x14ac:dyDescent="0.25">
      <c r="A462">
        <v>6300</v>
      </c>
      <c r="B462" t="s">
        <v>9</v>
      </c>
      <c r="C462" t="s">
        <v>90</v>
      </c>
      <c r="D462">
        <v>0</v>
      </c>
      <c r="E462">
        <v>39057</v>
      </c>
      <c r="F462">
        <v>2958465</v>
      </c>
      <c r="G462">
        <v>6535</v>
      </c>
      <c r="H462" t="s">
        <v>9</v>
      </c>
      <c r="I462" t="s">
        <v>90</v>
      </c>
      <c r="J462">
        <v>0</v>
      </c>
      <c r="K462">
        <v>0</v>
      </c>
      <c r="N462">
        <v>0</v>
      </c>
      <c r="O462" t="s">
        <v>91</v>
      </c>
      <c r="P462" t="s">
        <v>1625</v>
      </c>
      <c r="Q462" s="16">
        <f>IF(CustomerHierarchyLevels[[#This Row],[HgLvCust.]]=0,CustomerHierarchyLevels[[#This Row],[Customer]],CustomerHierarchyLevels[[#This Row],[HgLvCust.]])</f>
        <v>6535</v>
      </c>
      <c r="R462" s="16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62" s="16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63" spans="1:19" x14ac:dyDescent="0.25">
      <c r="A463">
        <v>1443</v>
      </c>
      <c r="B463" t="s">
        <v>9</v>
      </c>
      <c r="C463" t="s">
        <v>90</v>
      </c>
      <c r="D463">
        <v>0</v>
      </c>
      <c r="E463">
        <v>39010</v>
      </c>
      <c r="F463">
        <v>2958465</v>
      </c>
      <c r="G463">
        <v>6292</v>
      </c>
      <c r="H463" t="s">
        <v>9</v>
      </c>
      <c r="I463" t="s">
        <v>90</v>
      </c>
      <c r="J463">
        <v>0</v>
      </c>
      <c r="K463">
        <v>0</v>
      </c>
      <c r="N463">
        <v>0</v>
      </c>
      <c r="O463" t="s">
        <v>91</v>
      </c>
      <c r="P463" t="s">
        <v>1626</v>
      </c>
      <c r="Q463" s="16">
        <f>IF(CustomerHierarchyLevels[[#This Row],[HgLvCust.]]=0,CustomerHierarchyLevels[[#This Row],[Customer]],CustomerHierarchyLevels[[#This Row],[HgLvCust.]])</f>
        <v>6292</v>
      </c>
      <c r="R463" s="16">
        <f>IF(VLOOKUP(CustomerHierarchyLevels[[#This Row],[Level1]],CustomerHierarchyLevels[],7,FALSE)=0,CustomerHierarchyLevels[[#This Row],[Level1]],VLOOKUP(CustomerHierarchyLevels[[#This Row],[Level1]],CustomerHierarchyLevels[],7,FALSE))</f>
        <v>6293</v>
      </c>
      <c r="S463" s="16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464" spans="1:19" x14ac:dyDescent="0.25">
      <c r="A464">
        <v>1696</v>
      </c>
      <c r="B464" t="s">
        <v>9</v>
      </c>
      <c r="C464" t="s">
        <v>90</v>
      </c>
      <c r="D464">
        <v>0</v>
      </c>
      <c r="E464">
        <v>39010</v>
      </c>
      <c r="F464">
        <v>2958465</v>
      </c>
      <c r="G464">
        <v>6282</v>
      </c>
      <c r="H464" t="s">
        <v>9</v>
      </c>
      <c r="I464" t="s">
        <v>90</v>
      </c>
      <c r="J464">
        <v>0</v>
      </c>
      <c r="K464">
        <v>0</v>
      </c>
      <c r="N464">
        <v>0</v>
      </c>
      <c r="O464" t="s">
        <v>91</v>
      </c>
      <c r="P464" t="s">
        <v>1627</v>
      </c>
      <c r="Q464" s="16">
        <f>IF(CustomerHierarchyLevels[[#This Row],[HgLvCust.]]=0,CustomerHierarchyLevels[[#This Row],[Customer]],CustomerHierarchyLevels[[#This Row],[HgLvCust.]])</f>
        <v>6282</v>
      </c>
      <c r="R464" s="16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464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465" spans="1:19" x14ac:dyDescent="0.25">
      <c r="A465">
        <v>5934</v>
      </c>
      <c r="B465" t="s">
        <v>9</v>
      </c>
      <c r="C465" t="s">
        <v>90</v>
      </c>
      <c r="D465">
        <v>0</v>
      </c>
      <c r="E465">
        <v>39010</v>
      </c>
      <c r="F465">
        <v>2958465</v>
      </c>
      <c r="G465">
        <v>6294</v>
      </c>
      <c r="H465" t="s">
        <v>9</v>
      </c>
      <c r="I465" t="s">
        <v>90</v>
      </c>
      <c r="J465">
        <v>0</v>
      </c>
      <c r="K465">
        <v>0</v>
      </c>
      <c r="N465">
        <v>0</v>
      </c>
      <c r="O465" t="s">
        <v>91</v>
      </c>
      <c r="P465" t="s">
        <v>1628</v>
      </c>
      <c r="Q465" s="16">
        <f>IF(CustomerHierarchyLevels[[#This Row],[HgLvCust.]]=0,CustomerHierarchyLevels[[#This Row],[Customer]],CustomerHierarchyLevels[[#This Row],[HgLvCust.]])</f>
        <v>6294</v>
      </c>
      <c r="R465" s="16">
        <f>IF(VLOOKUP(CustomerHierarchyLevels[[#This Row],[Level1]],CustomerHierarchyLevels[],7,FALSE)=0,CustomerHierarchyLevels[[#This Row],[Level1]],VLOOKUP(CustomerHierarchyLevels[[#This Row],[Level1]],CustomerHierarchyLevels[],7,FALSE))</f>
        <v>6295</v>
      </c>
      <c r="S465" s="16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466" spans="1:19" x14ac:dyDescent="0.25">
      <c r="A466">
        <v>2957</v>
      </c>
      <c r="B466" t="s">
        <v>9</v>
      </c>
      <c r="C466" t="s">
        <v>55</v>
      </c>
      <c r="D466">
        <v>0</v>
      </c>
      <c r="E466">
        <v>39010</v>
      </c>
      <c r="F466">
        <v>2958465</v>
      </c>
      <c r="G466">
        <v>6266</v>
      </c>
      <c r="H466" t="s">
        <v>9</v>
      </c>
      <c r="I466" t="s">
        <v>55</v>
      </c>
      <c r="J466">
        <v>0</v>
      </c>
      <c r="K466">
        <v>0</v>
      </c>
      <c r="N466">
        <v>0</v>
      </c>
      <c r="O466" t="s">
        <v>1562</v>
      </c>
      <c r="P466" t="s">
        <v>1629</v>
      </c>
      <c r="Q466" s="16">
        <f>IF(CustomerHierarchyLevels[[#This Row],[HgLvCust.]]=0,CustomerHierarchyLevels[[#This Row],[Customer]],CustomerHierarchyLevels[[#This Row],[HgLvCust.]])</f>
        <v>6266</v>
      </c>
      <c r="R466" s="16">
        <f>IF(VLOOKUP(CustomerHierarchyLevels[[#This Row],[Level1]],CustomerHierarchyLevels[],7,FALSE)=0,CustomerHierarchyLevels[[#This Row],[Level1]],VLOOKUP(CustomerHierarchyLevels[[#This Row],[Level1]],CustomerHierarchyLevels[],7,FALSE))</f>
        <v>6267</v>
      </c>
      <c r="S466" s="16">
        <f>IF(VLOOKUP(CustomerHierarchyLevels[[#This Row],[Level2]],CustomerHierarchyLevels[],7,FALSE)=0,CustomerHierarchyLevels[[#This Row],[Level2]],VLOOKUP(CustomerHierarchyLevels[[#This Row],[Level2]],CustomerHierarchyLevels[],7,FALSE))</f>
        <v>6726</v>
      </c>
    </row>
    <row r="467" spans="1:19" x14ac:dyDescent="0.25">
      <c r="A467">
        <v>1647</v>
      </c>
      <c r="B467" t="s">
        <v>9</v>
      </c>
      <c r="C467" t="s">
        <v>55</v>
      </c>
      <c r="D467">
        <v>0</v>
      </c>
      <c r="E467">
        <v>39010</v>
      </c>
      <c r="F467">
        <v>2958465</v>
      </c>
      <c r="G467">
        <v>6254</v>
      </c>
      <c r="H467" t="s">
        <v>9</v>
      </c>
      <c r="I467" t="s">
        <v>55</v>
      </c>
      <c r="J467">
        <v>0</v>
      </c>
      <c r="K467">
        <v>0</v>
      </c>
      <c r="N467">
        <v>0</v>
      </c>
      <c r="O467" t="s">
        <v>1570</v>
      </c>
      <c r="P467" t="s">
        <v>1630</v>
      </c>
      <c r="Q467" s="16">
        <f>IF(CustomerHierarchyLevels[[#This Row],[HgLvCust.]]=0,CustomerHierarchyLevels[[#This Row],[Customer]],CustomerHierarchyLevels[[#This Row],[HgLvCust.]])</f>
        <v>6254</v>
      </c>
      <c r="R467" s="16">
        <f>IF(VLOOKUP(CustomerHierarchyLevels[[#This Row],[Level1]],CustomerHierarchyLevels[],7,FALSE)=0,CustomerHierarchyLevels[[#This Row],[Level1]],VLOOKUP(CustomerHierarchyLevels[[#This Row],[Level1]],CustomerHierarchyLevels[],7,FALSE))</f>
        <v>6255</v>
      </c>
      <c r="S467" s="16">
        <f>IF(VLOOKUP(CustomerHierarchyLevels[[#This Row],[Level2]],CustomerHierarchyLevels[],7,FALSE)=0,CustomerHierarchyLevels[[#This Row],[Level2]],VLOOKUP(CustomerHierarchyLevels[[#This Row],[Level2]],CustomerHierarchyLevels[],7,FALSE))</f>
        <v>6720</v>
      </c>
    </row>
    <row r="468" spans="1:19" x14ac:dyDescent="0.25">
      <c r="A468">
        <v>6227</v>
      </c>
      <c r="B468" t="s">
        <v>9</v>
      </c>
      <c r="C468" t="s">
        <v>55</v>
      </c>
      <c r="D468">
        <v>0</v>
      </c>
      <c r="E468">
        <v>39010</v>
      </c>
      <c r="F468">
        <v>2958465</v>
      </c>
      <c r="G468">
        <v>6258</v>
      </c>
      <c r="H468" t="s">
        <v>9</v>
      </c>
      <c r="I468" t="s">
        <v>55</v>
      </c>
      <c r="J468">
        <v>0</v>
      </c>
      <c r="K468">
        <v>0</v>
      </c>
      <c r="N468">
        <v>0</v>
      </c>
      <c r="O468" t="s">
        <v>1572</v>
      </c>
      <c r="P468" t="s">
        <v>1631</v>
      </c>
      <c r="Q468" s="16">
        <f>IF(CustomerHierarchyLevels[[#This Row],[HgLvCust.]]=0,CustomerHierarchyLevels[[#This Row],[Customer]],CustomerHierarchyLevels[[#This Row],[HgLvCust.]])</f>
        <v>6258</v>
      </c>
      <c r="R468" s="16">
        <f>IF(VLOOKUP(CustomerHierarchyLevels[[#This Row],[Level1]],CustomerHierarchyLevels[],7,FALSE)=0,CustomerHierarchyLevels[[#This Row],[Level1]],VLOOKUP(CustomerHierarchyLevels[[#This Row],[Level1]],CustomerHierarchyLevels[],7,FALSE))</f>
        <v>6259</v>
      </c>
      <c r="S468" s="16">
        <f>IF(VLOOKUP(CustomerHierarchyLevels[[#This Row],[Level2]],CustomerHierarchyLevels[],7,FALSE)=0,CustomerHierarchyLevels[[#This Row],[Level2]],VLOOKUP(CustomerHierarchyLevels[[#This Row],[Level2]],CustomerHierarchyLevels[],7,FALSE))</f>
        <v>6722</v>
      </c>
    </row>
    <row r="469" spans="1:19" x14ac:dyDescent="0.25">
      <c r="A469">
        <v>2563</v>
      </c>
      <c r="B469" t="s">
        <v>9</v>
      </c>
      <c r="C469" t="s">
        <v>90</v>
      </c>
      <c r="D469">
        <v>0</v>
      </c>
      <c r="E469">
        <v>39010</v>
      </c>
      <c r="F469">
        <v>2958465</v>
      </c>
      <c r="G469">
        <v>6294</v>
      </c>
      <c r="H469" t="s">
        <v>9</v>
      </c>
      <c r="I469" t="s">
        <v>90</v>
      </c>
      <c r="J469">
        <v>0</v>
      </c>
      <c r="K469">
        <v>0</v>
      </c>
      <c r="N469">
        <v>0</v>
      </c>
      <c r="O469" t="s">
        <v>91</v>
      </c>
      <c r="P469" t="s">
        <v>1632</v>
      </c>
      <c r="Q469" s="16">
        <f>IF(CustomerHierarchyLevels[[#This Row],[HgLvCust.]]=0,CustomerHierarchyLevels[[#This Row],[Customer]],CustomerHierarchyLevels[[#This Row],[HgLvCust.]])</f>
        <v>6294</v>
      </c>
      <c r="R469" s="16">
        <f>IF(VLOOKUP(CustomerHierarchyLevels[[#This Row],[Level1]],CustomerHierarchyLevels[],7,FALSE)=0,CustomerHierarchyLevels[[#This Row],[Level1]],VLOOKUP(CustomerHierarchyLevels[[#This Row],[Level1]],CustomerHierarchyLevels[],7,FALSE))</f>
        <v>6295</v>
      </c>
      <c r="S469" s="16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470" spans="1:19" x14ac:dyDescent="0.25">
      <c r="A470">
        <v>1211</v>
      </c>
      <c r="B470" t="s">
        <v>9</v>
      </c>
      <c r="C470" t="s">
        <v>55</v>
      </c>
      <c r="D470">
        <v>0</v>
      </c>
      <c r="E470">
        <v>39010</v>
      </c>
      <c r="F470">
        <v>2958465</v>
      </c>
      <c r="G470">
        <v>6254</v>
      </c>
      <c r="H470" t="s">
        <v>9</v>
      </c>
      <c r="I470" t="s">
        <v>55</v>
      </c>
      <c r="J470">
        <v>0</v>
      </c>
      <c r="K470">
        <v>0</v>
      </c>
      <c r="N470">
        <v>0</v>
      </c>
      <c r="O470" t="s">
        <v>1564</v>
      </c>
      <c r="P470" t="s">
        <v>1633</v>
      </c>
      <c r="Q470" s="16">
        <f>IF(CustomerHierarchyLevels[[#This Row],[HgLvCust.]]=0,CustomerHierarchyLevels[[#This Row],[Customer]],CustomerHierarchyLevels[[#This Row],[HgLvCust.]])</f>
        <v>6254</v>
      </c>
      <c r="R470" s="16">
        <f>IF(VLOOKUP(CustomerHierarchyLevels[[#This Row],[Level1]],CustomerHierarchyLevels[],7,FALSE)=0,CustomerHierarchyLevels[[#This Row],[Level1]],VLOOKUP(CustomerHierarchyLevels[[#This Row],[Level1]],CustomerHierarchyLevels[],7,FALSE))</f>
        <v>6255</v>
      </c>
      <c r="S470" s="16">
        <f>IF(VLOOKUP(CustomerHierarchyLevels[[#This Row],[Level2]],CustomerHierarchyLevels[],7,FALSE)=0,CustomerHierarchyLevels[[#This Row],[Level2]],VLOOKUP(CustomerHierarchyLevels[[#This Row],[Level2]],CustomerHierarchyLevels[],7,FALSE))</f>
        <v>6720</v>
      </c>
    </row>
    <row r="471" spans="1:19" x14ac:dyDescent="0.25">
      <c r="A471">
        <v>7417</v>
      </c>
      <c r="B471" t="s">
        <v>9</v>
      </c>
      <c r="C471" t="s">
        <v>55</v>
      </c>
      <c r="D471">
        <v>0</v>
      </c>
      <c r="E471">
        <v>39155</v>
      </c>
      <c r="F471">
        <v>2958465</v>
      </c>
      <c r="G471">
        <v>7416</v>
      </c>
      <c r="H471" t="s">
        <v>9</v>
      </c>
      <c r="I471" t="s">
        <v>55</v>
      </c>
      <c r="J471">
        <v>0</v>
      </c>
      <c r="K471">
        <v>0</v>
      </c>
      <c r="L471" t="s">
        <v>1195</v>
      </c>
      <c r="M471" t="s">
        <v>1195</v>
      </c>
      <c r="N471">
        <v>0</v>
      </c>
      <c r="O471" t="s">
        <v>1572</v>
      </c>
      <c r="P471" t="s">
        <v>1634</v>
      </c>
      <c r="Q471" s="16">
        <f>IF(CustomerHierarchyLevels[[#This Row],[HgLvCust.]]=0,CustomerHierarchyLevels[[#This Row],[Customer]],CustomerHierarchyLevels[[#This Row],[HgLvCust.]])</f>
        <v>7416</v>
      </c>
      <c r="R471" s="16">
        <f>IF(VLOOKUP(CustomerHierarchyLevels[[#This Row],[Level1]],CustomerHierarchyLevels[],7,FALSE)=0,CustomerHierarchyLevels[[#This Row],[Level1]],VLOOKUP(CustomerHierarchyLevels[[#This Row],[Level1]],CustomerHierarchyLevels[],7,FALSE))</f>
        <v>7416</v>
      </c>
      <c r="S471" s="16">
        <f>IF(VLOOKUP(CustomerHierarchyLevels[[#This Row],[Level2]],CustomerHierarchyLevels[],7,FALSE)=0,CustomerHierarchyLevels[[#This Row],[Level2]],VLOOKUP(CustomerHierarchyLevels[[#This Row],[Level2]],CustomerHierarchyLevels[],7,FALSE))</f>
        <v>7416</v>
      </c>
    </row>
    <row r="472" spans="1:19" x14ac:dyDescent="0.25">
      <c r="A472">
        <v>7416</v>
      </c>
      <c r="B472" t="s">
        <v>9</v>
      </c>
      <c r="C472" t="s">
        <v>55</v>
      </c>
      <c r="D472">
        <v>0</v>
      </c>
      <c r="E472">
        <v>39155</v>
      </c>
      <c r="F472">
        <v>2958465</v>
      </c>
      <c r="K472">
        <v>0</v>
      </c>
      <c r="L472" t="s">
        <v>1195</v>
      </c>
      <c r="M472" t="s">
        <v>1195</v>
      </c>
      <c r="N472">
        <v>0</v>
      </c>
      <c r="O472" t="s">
        <v>1572</v>
      </c>
      <c r="P472" t="s">
        <v>1635</v>
      </c>
      <c r="Q472" s="16">
        <f>IF(CustomerHierarchyLevels[[#This Row],[HgLvCust.]]=0,CustomerHierarchyLevels[[#This Row],[Customer]],CustomerHierarchyLevels[[#This Row],[HgLvCust.]])</f>
        <v>7416</v>
      </c>
      <c r="R472" s="16">
        <f>IF(VLOOKUP(CustomerHierarchyLevels[[#This Row],[Level1]],CustomerHierarchyLevels[],7,FALSE)=0,CustomerHierarchyLevels[[#This Row],[Level1]],VLOOKUP(CustomerHierarchyLevels[[#This Row],[Level1]],CustomerHierarchyLevels[],7,FALSE))</f>
        <v>7416</v>
      </c>
      <c r="S472" s="16">
        <f>IF(VLOOKUP(CustomerHierarchyLevels[[#This Row],[Level2]],CustomerHierarchyLevels[],7,FALSE)=0,CustomerHierarchyLevels[[#This Row],[Level2]],VLOOKUP(CustomerHierarchyLevels[[#This Row],[Level2]],CustomerHierarchyLevels[],7,FALSE))</f>
        <v>7416</v>
      </c>
    </row>
    <row r="473" spans="1:19" x14ac:dyDescent="0.25">
      <c r="A473">
        <v>7418</v>
      </c>
      <c r="B473" t="s">
        <v>9</v>
      </c>
      <c r="C473" t="s">
        <v>55</v>
      </c>
      <c r="D473">
        <v>0</v>
      </c>
      <c r="E473">
        <v>39155</v>
      </c>
      <c r="F473">
        <v>2958465</v>
      </c>
      <c r="G473">
        <v>7417</v>
      </c>
      <c r="H473" t="s">
        <v>9</v>
      </c>
      <c r="I473" t="s">
        <v>55</v>
      </c>
      <c r="J473">
        <v>0</v>
      </c>
      <c r="K473">
        <v>0</v>
      </c>
      <c r="L473" t="s">
        <v>1195</v>
      </c>
      <c r="M473" t="s">
        <v>1195</v>
      </c>
      <c r="N473">
        <v>0</v>
      </c>
      <c r="O473" t="s">
        <v>1572</v>
      </c>
      <c r="P473" t="s">
        <v>1636</v>
      </c>
      <c r="Q473" s="16">
        <f>IF(CustomerHierarchyLevels[[#This Row],[HgLvCust.]]=0,CustomerHierarchyLevels[[#This Row],[Customer]],CustomerHierarchyLevels[[#This Row],[HgLvCust.]])</f>
        <v>7417</v>
      </c>
      <c r="R473" s="16">
        <f>IF(VLOOKUP(CustomerHierarchyLevels[[#This Row],[Level1]],CustomerHierarchyLevels[],7,FALSE)=0,CustomerHierarchyLevels[[#This Row],[Level1]],VLOOKUP(CustomerHierarchyLevels[[#This Row],[Level1]],CustomerHierarchyLevels[],7,FALSE))</f>
        <v>7416</v>
      </c>
      <c r="S473" s="16">
        <f>IF(VLOOKUP(CustomerHierarchyLevels[[#This Row],[Level2]],CustomerHierarchyLevels[],7,FALSE)=0,CustomerHierarchyLevels[[#This Row],[Level2]],VLOOKUP(CustomerHierarchyLevels[[#This Row],[Level2]],CustomerHierarchyLevels[],7,FALSE))</f>
        <v>7416</v>
      </c>
    </row>
    <row r="474" spans="1:19" x14ac:dyDescent="0.25">
      <c r="A474">
        <v>7406</v>
      </c>
      <c r="B474" t="s">
        <v>9</v>
      </c>
      <c r="C474" t="s">
        <v>55</v>
      </c>
      <c r="D474">
        <v>0</v>
      </c>
      <c r="E474">
        <v>39155</v>
      </c>
      <c r="F474">
        <v>2958465</v>
      </c>
      <c r="G474">
        <v>7418</v>
      </c>
      <c r="H474" t="s">
        <v>9</v>
      </c>
      <c r="I474" t="s">
        <v>55</v>
      </c>
      <c r="J474">
        <v>0</v>
      </c>
      <c r="K474">
        <v>0</v>
      </c>
      <c r="N474">
        <v>0</v>
      </c>
      <c r="O474" t="s">
        <v>1572</v>
      </c>
      <c r="P474" t="s">
        <v>1637</v>
      </c>
      <c r="Q474" s="16">
        <f>IF(CustomerHierarchyLevels[[#This Row],[HgLvCust.]]=0,CustomerHierarchyLevels[[#This Row],[Customer]],CustomerHierarchyLevels[[#This Row],[HgLvCust.]])</f>
        <v>7418</v>
      </c>
      <c r="R474" s="16">
        <f>IF(VLOOKUP(CustomerHierarchyLevels[[#This Row],[Level1]],CustomerHierarchyLevels[],7,FALSE)=0,CustomerHierarchyLevels[[#This Row],[Level1]],VLOOKUP(CustomerHierarchyLevels[[#This Row],[Level1]],CustomerHierarchyLevels[],7,FALSE))</f>
        <v>7417</v>
      </c>
      <c r="S474" s="16">
        <f>IF(VLOOKUP(CustomerHierarchyLevels[[#This Row],[Level2]],CustomerHierarchyLevels[],7,FALSE)=0,CustomerHierarchyLevels[[#This Row],[Level2]],VLOOKUP(CustomerHierarchyLevels[[#This Row],[Level2]],CustomerHierarchyLevels[],7,FALSE))</f>
        <v>7416</v>
      </c>
    </row>
    <row r="475" spans="1:19" x14ac:dyDescent="0.25">
      <c r="A475">
        <v>4826</v>
      </c>
      <c r="B475" t="s">
        <v>9</v>
      </c>
      <c r="C475" t="s">
        <v>90</v>
      </c>
      <c r="D475">
        <v>0</v>
      </c>
      <c r="E475">
        <v>39164</v>
      </c>
      <c r="F475">
        <v>2958465</v>
      </c>
      <c r="G475">
        <v>6533</v>
      </c>
      <c r="H475" t="s">
        <v>9</v>
      </c>
      <c r="I475" t="s">
        <v>90</v>
      </c>
      <c r="J475">
        <v>0</v>
      </c>
      <c r="K475">
        <v>0</v>
      </c>
      <c r="N475">
        <v>0</v>
      </c>
      <c r="O475" t="s">
        <v>91</v>
      </c>
      <c r="P475" t="s">
        <v>1638</v>
      </c>
      <c r="Q475" s="16">
        <f>IF(CustomerHierarchyLevels[[#This Row],[HgLvCust.]]=0,CustomerHierarchyLevels[[#This Row],[Customer]],CustomerHierarchyLevels[[#This Row],[HgLvCust.]])</f>
        <v>6533</v>
      </c>
      <c r="R475" s="16">
        <f>IF(VLOOKUP(CustomerHierarchyLevels[[#This Row],[Level1]],CustomerHierarchyLevels[],7,FALSE)=0,CustomerHierarchyLevels[[#This Row],[Level1]],VLOOKUP(CustomerHierarchyLevels[[#This Row],[Level1]],CustomerHierarchyLevels[],7,FALSE))</f>
        <v>6532</v>
      </c>
      <c r="S475" s="16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476" spans="1:19" x14ac:dyDescent="0.25">
      <c r="A476">
        <v>1311</v>
      </c>
      <c r="B476" t="s">
        <v>9</v>
      </c>
      <c r="C476" t="s">
        <v>90</v>
      </c>
      <c r="D476">
        <v>0</v>
      </c>
      <c r="E476">
        <v>39169</v>
      </c>
      <c r="F476">
        <v>2958465</v>
      </c>
      <c r="G476">
        <v>6329</v>
      </c>
      <c r="H476" t="s">
        <v>9</v>
      </c>
      <c r="I476" t="s">
        <v>90</v>
      </c>
      <c r="J476">
        <v>0</v>
      </c>
      <c r="K476">
        <v>0</v>
      </c>
      <c r="N476">
        <v>0</v>
      </c>
      <c r="O476" t="s">
        <v>91</v>
      </c>
      <c r="P476" t="s">
        <v>262</v>
      </c>
      <c r="Q476" s="16">
        <f>IF(CustomerHierarchyLevels[[#This Row],[HgLvCust.]]=0,CustomerHierarchyLevels[[#This Row],[Customer]],CustomerHierarchyLevels[[#This Row],[HgLvCust.]])</f>
        <v>6329</v>
      </c>
      <c r="R476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476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77" spans="1:19" x14ac:dyDescent="0.25">
      <c r="A477">
        <v>1281</v>
      </c>
      <c r="B477" t="s">
        <v>9</v>
      </c>
      <c r="C477" t="s">
        <v>90</v>
      </c>
      <c r="D477">
        <v>0</v>
      </c>
      <c r="E477">
        <v>39169</v>
      </c>
      <c r="F477">
        <v>2958465</v>
      </c>
      <c r="G477">
        <v>6329</v>
      </c>
      <c r="H477" t="s">
        <v>9</v>
      </c>
      <c r="I477" t="s">
        <v>90</v>
      </c>
      <c r="J477">
        <v>0</v>
      </c>
      <c r="K477">
        <v>0</v>
      </c>
      <c r="N477">
        <v>0</v>
      </c>
      <c r="O477" t="s">
        <v>91</v>
      </c>
      <c r="P477" t="s">
        <v>200</v>
      </c>
      <c r="Q477" s="16">
        <f>IF(CustomerHierarchyLevels[[#This Row],[HgLvCust.]]=0,CustomerHierarchyLevels[[#This Row],[Customer]],CustomerHierarchyLevels[[#This Row],[HgLvCust.]])</f>
        <v>6329</v>
      </c>
      <c r="R477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477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78" spans="1:19" x14ac:dyDescent="0.25">
      <c r="A478">
        <v>7564</v>
      </c>
      <c r="B478" t="s">
        <v>9</v>
      </c>
      <c r="C478" t="s">
        <v>90</v>
      </c>
      <c r="D478">
        <v>0</v>
      </c>
      <c r="E478">
        <v>39198</v>
      </c>
      <c r="F478">
        <v>2958465</v>
      </c>
      <c r="G478">
        <v>6535</v>
      </c>
      <c r="H478" t="s">
        <v>9</v>
      </c>
      <c r="I478" t="s">
        <v>90</v>
      </c>
      <c r="J478">
        <v>0</v>
      </c>
      <c r="K478">
        <v>0</v>
      </c>
      <c r="N478">
        <v>0</v>
      </c>
      <c r="O478" t="s">
        <v>91</v>
      </c>
      <c r="P478" t="s">
        <v>1639</v>
      </c>
      <c r="Q478" s="16">
        <f>IF(CustomerHierarchyLevels[[#This Row],[HgLvCust.]]=0,CustomerHierarchyLevels[[#This Row],[Customer]],CustomerHierarchyLevels[[#This Row],[HgLvCust.]])</f>
        <v>6535</v>
      </c>
      <c r="R478" s="16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78" s="16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79" spans="1:19" x14ac:dyDescent="0.25">
      <c r="A479">
        <v>5961</v>
      </c>
      <c r="B479" t="s">
        <v>9</v>
      </c>
      <c r="C479" t="s">
        <v>90</v>
      </c>
      <c r="D479">
        <v>0</v>
      </c>
      <c r="E479">
        <v>39233</v>
      </c>
      <c r="F479">
        <v>2958465</v>
      </c>
      <c r="G479">
        <v>6315</v>
      </c>
      <c r="H479" t="s">
        <v>9</v>
      </c>
      <c r="I479" t="s">
        <v>90</v>
      </c>
      <c r="J479">
        <v>0</v>
      </c>
      <c r="K479">
        <v>0</v>
      </c>
      <c r="N479">
        <v>0</v>
      </c>
      <c r="O479" t="s">
        <v>91</v>
      </c>
      <c r="P479" t="s">
        <v>1640</v>
      </c>
      <c r="Q479" s="16">
        <f>IF(CustomerHierarchyLevels[[#This Row],[HgLvCust.]]=0,CustomerHierarchyLevels[[#This Row],[Customer]],CustomerHierarchyLevels[[#This Row],[HgLvCust.]])</f>
        <v>6315</v>
      </c>
      <c r="R479" s="16">
        <f>IF(VLOOKUP(CustomerHierarchyLevels[[#This Row],[Level1]],CustomerHierarchyLevels[],7,FALSE)=0,CustomerHierarchyLevels[[#This Row],[Level1]],VLOOKUP(CustomerHierarchyLevels[[#This Row],[Level1]],CustomerHierarchyLevels[],7,FALSE))</f>
        <v>6314</v>
      </c>
      <c r="S479" s="16">
        <f>IF(VLOOKUP(CustomerHierarchyLevels[[#This Row],[Level2]],CustomerHierarchyLevels[],7,FALSE)=0,CustomerHierarchyLevels[[#This Row],[Level2]],VLOOKUP(CustomerHierarchyLevels[[#This Row],[Level2]],CustomerHierarchyLevels[],7,FALSE))</f>
        <v>6313</v>
      </c>
    </row>
    <row r="480" spans="1:19" x14ac:dyDescent="0.25">
      <c r="A480">
        <v>7719</v>
      </c>
      <c r="B480" t="s">
        <v>9</v>
      </c>
      <c r="C480" t="s">
        <v>90</v>
      </c>
      <c r="D480">
        <v>0</v>
      </c>
      <c r="E480">
        <v>39251</v>
      </c>
      <c r="F480">
        <v>2958465</v>
      </c>
      <c r="G480">
        <v>2110</v>
      </c>
      <c r="H480" t="s">
        <v>9</v>
      </c>
      <c r="I480" t="s">
        <v>90</v>
      </c>
      <c r="J480">
        <v>0</v>
      </c>
      <c r="K480">
        <v>0</v>
      </c>
      <c r="L480" t="s">
        <v>1195</v>
      </c>
      <c r="M480" t="s">
        <v>1195</v>
      </c>
      <c r="N480">
        <v>0</v>
      </c>
      <c r="O480" t="s">
        <v>91</v>
      </c>
      <c r="P480" t="s">
        <v>1641</v>
      </c>
      <c r="Q480" s="16">
        <f>IF(CustomerHierarchyLevels[[#This Row],[HgLvCust.]]=0,CustomerHierarchyLevels[[#This Row],[Customer]],CustomerHierarchyLevels[[#This Row],[HgLvCust.]])</f>
        <v>2110</v>
      </c>
      <c r="R480" s="16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480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481" spans="1:19" x14ac:dyDescent="0.25">
      <c r="A481">
        <v>7718</v>
      </c>
      <c r="B481" t="s">
        <v>9</v>
      </c>
      <c r="C481" t="s">
        <v>90</v>
      </c>
      <c r="D481">
        <v>0</v>
      </c>
      <c r="E481">
        <v>39251</v>
      </c>
      <c r="F481">
        <v>2958465</v>
      </c>
      <c r="G481">
        <v>2158</v>
      </c>
      <c r="H481" t="s">
        <v>9</v>
      </c>
      <c r="I481" t="s">
        <v>90</v>
      </c>
      <c r="J481">
        <v>0</v>
      </c>
      <c r="K481">
        <v>0</v>
      </c>
      <c r="L481" t="s">
        <v>1195</v>
      </c>
      <c r="M481" t="s">
        <v>1195</v>
      </c>
      <c r="N481">
        <v>0</v>
      </c>
      <c r="O481" t="s">
        <v>91</v>
      </c>
      <c r="P481" t="s">
        <v>1642</v>
      </c>
      <c r="Q481" s="16">
        <f>IF(CustomerHierarchyLevels[[#This Row],[HgLvCust.]]=0,CustomerHierarchyLevels[[#This Row],[Customer]],CustomerHierarchyLevels[[#This Row],[HgLvCust.]])</f>
        <v>2158</v>
      </c>
      <c r="R481" s="16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481" s="16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482" spans="1:19" x14ac:dyDescent="0.25">
      <c r="A482">
        <v>7717</v>
      </c>
      <c r="B482" t="s">
        <v>9</v>
      </c>
      <c r="C482" t="s">
        <v>90</v>
      </c>
      <c r="D482">
        <v>0</v>
      </c>
      <c r="E482">
        <v>39251</v>
      </c>
      <c r="F482">
        <v>2958465</v>
      </c>
      <c r="G482">
        <v>2126</v>
      </c>
      <c r="H482" t="s">
        <v>9</v>
      </c>
      <c r="I482" t="s">
        <v>90</v>
      </c>
      <c r="J482">
        <v>0</v>
      </c>
      <c r="K482">
        <v>0</v>
      </c>
      <c r="L482" t="s">
        <v>1195</v>
      </c>
      <c r="M482" t="s">
        <v>1195</v>
      </c>
      <c r="N482">
        <v>0</v>
      </c>
      <c r="O482" t="s">
        <v>91</v>
      </c>
      <c r="P482" t="s">
        <v>1643</v>
      </c>
      <c r="Q482" s="16">
        <f>IF(CustomerHierarchyLevels[[#This Row],[HgLvCust.]]=0,CustomerHierarchyLevels[[#This Row],[Customer]],CustomerHierarchyLevels[[#This Row],[HgLvCust.]])</f>
        <v>2126</v>
      </c>
      <c r="R482" s="16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82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83" spans="1:19" x14ac:dyDescent="0.25">
      <c r="A483">
        <v>7716</v>
      </c>
      <c r="B483" t="s">
        <v>9</v>
      </c>
      <c r="C483" t="s">
        <v>90</v>
      </c>
      <c r="D483">
        <v>0</v>
      </c>
      <c r="E483">
        <v>39251</v>
      </c>
      <c r="F483">
        <v>2958465</v>
      </c>
      <c r="G483">
        <v>2102</v>
      </c>
      <c r="H483" t="s">
        <v>9</v>
      </c>
      <c r="I483" t="s">
        <v>90</v>
      </c>
      <c r="J483">
        <v>0</v>
      </c>
      <c r="K483">
        <v>0</v>
      </c>
      <c r="L483" t="s">
        <v>1195</v>
      </c>
      <c r="M483" t="s">
        <v>1195</v>
      </c>
      <c r="N483">
        <v>0</v>
      </c>
      <c r="O483" t="s">
        <v>91</v>
      </c>
      <c r="P483" t="s">
        <v>1644</v>
      </c>
      <c r="Q483" s="16">
        <f>IF(CustomerHierarchyLevels[[#This Row],[HgLvCust.]]=0,CustomerHierarchyLevels[[#This Row],[Customer]],CustomerHierarchyLevels[[#This Row],[HgLvCust.]])</f>
        <v>2102</v>
      </c>
      <c r="R483" s="16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483" s="16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484" spans="1:19" x14ac:dyDescent="0.25">
      <c r="A484">
        <v>6549</v>
      </c>
      <c r="B484" t="s">
        <v>9</v>
      </c>
      <c r="C484" t="s">
        <v>90</v>
      </c>
      <c r="D484">
        <v>0</v>
      </c>
      <c r="E484">
        <v>39251</v>
      </c>
      <c r="F484">
        <v>2958465</v>
      </c>
      <c r="G484">
        <v>7716</v>
      </c>
      <c r="H484" t="s">
        <v>9</v>
      </c>
      <c r="I484" t="s">
        <v>90</v>
      </c>
      <c r="J484">
        <v>0</v>
      </c>
      <c r="K484">
        <v>0</v>
      </c>
      <c r="N484">
        <v>0</v>
      </c>
      <c r="O484" t="s">
        <v>91</v>
      </c>
      <c r="P484" t="s">
        <v>277</v>
      </c>
      <c r="Q484" s="16">
        <f>IF(CustomerHierarchyLevels[[#This Row],[HgLvCust.]]=0,CustomerHierarchyLevels[[#This Row],[Customer]],CustomerHierarchyLevels[[#This Row],[HgLvCust.]])</f>
        <v>7716</v>
      </c>
      <c r="R484" s="16">
        <f>IF(VLOOKUP(CustomerHierarchyLevels[[#This Row],[Level1]],CustomerHierarchyLevels[],7,FALSE)=0,CustomerHierarchyLevels[[#This Row],[Level1]],VLOOKUP(CustomerHierarchyLevels[[#This Row],[Level1]],CustomerHierarchyLevels[],7,FALSE))</f>
        <v>2102</v>
      </c>
      <c r="S484" s="16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485" spans="1:19" x14ac:dyDescent="0.25">
      <c r="A485">
        <v>1294</v>
      </c>
      <c r="B485" t="s">
        <v>9</v>
      </c>
      <c r="C485" t="s">
        <v>90</v>
      </c>
      <c r="D485">
        <v>0</v>
      </c>
      <c r="E485">
        <v>39251</v>
      </c>
      <c r="F485">
        <v>2958465</v>
      </c>
      <c r="G485">
        <v>7717</v>
      </c>
      <c r="H485" t="s">
        <v>9</v>
      </c>
      <c r="I485" t="s">
        <v>90</v>
      </c>
      <c r="J485">
        <v>0</v>
      </c>
      <c r="K485">
        <v>0</v>
      </c>
      <c r="N485">
        <v>0</v>
      </c>
      <c r="O485" t="s">
        <v>91</v>
      </c>
      <c r="P485" t="s">
        <v>1645</v>
      </c>
      <c r="Q485" s="16">
        <f>IF(CustomerHierarchyLevels[[#This Row],[HgLvCust.]]=0,CustomerHierarchyLevels[[#This Row],[Customer]],CustomerHierarchyLevels[[#This Row],[HgLvCust.]])</f>
        <v>7717</v>
      </c>
      <c r="R485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485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86" spans="1:19" x14ac:dyDescent="0.25">
      <c r="A486">
        <v>1295</v>
      </c>
      <c r="B486" t="s">
        <v>9</v>
      </c>
      <c r="C486" t="s">
        <v>90</v>
      </c>
      <c r="D486">
        <v>0</v>
      </c>
      <c r="E486">
        <v>39251</v>
      </c>
      <c r="F486">
        <v>2958465</v>
      </c>
      <c r="G486">
        <v>7717</v>
      </c>
      <c r="H486" t="s">
        <v>9</v>
      </c>
      <c r="I486" t="s">
        <v>90</v>
      </c>
      <c r="J486">
        <v>0</v>
      </c>
      <c r="K486">
        <v>0</v>
      </c>
      <c r="N486">
        <v>0</v>
      </c>
      <c r="O486" t="s">
        <v>91</v>
      </c>
      <c r="P486" t="s">
        <v>185</v>
      </c>
      <c r="Q486" s="16">
        <f>IF(CustomerHierarchyLevels[[#This Row],[HgLvCust.]]=0,CustomerHierarchyLevels[[#This Row],[Customer]],CustomerHierarchyLevels[[#This Row],[HgLvCust.]])</f>
        <v>7717</v>
      </c>
      <c r="R486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486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87" spans="1:19" x14ac:dyDescent="0.25">
      <c r="A487">
        <v>1286</v>
      </c>
      <c r="B487" t="s">
        <v>9</v>
      </c>
      <c r="C487" t="s">
        <v>90</v>
      </c>
      <c r="D487">
        <v>0</v>
      </c>
      <c r="E487">
        <v>39251</v>
      </c>
      <c r="F487">
        <v>2958465</v>
      </c>
      <c r="G487">
        <v>7717</v>
      </c>
      <c r="H487" t="s">
        <v>9</v>
      </c>
      <c r="I487" t="s">
        <v>90</v>
      </c>
      <c r="J487">
        <v>0</v>
      </c>
      <c r="K487">
        <v>0</v>
      </c>
      <c r="N487">
        <v>0</v>
      </c>
      <c r="O487" t="s">
        <v>91</v>
      </c>
      <c r="P487" t="s">
        <v>227</v>
      </c>
      <c r="Q487" s="16">
        <f>IF(CustomerHierarchyLevels[[#This Row],[HgLvCust.]]=0,CustomerHierarchyLevels[[#This Row],[Customer]],CustomerHierarchyLevels[[#This Row],[HgLvCust.]])</f>
        <v>7717</v>
      </c>
      <c r="R487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487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88" spans="1:19" x14ac:dyDescent="0.25">
      <c r="A488">
        <v>2992</v>
      </c>
      <c r="B488" t="s">
        <v>9</v>
      </c>
      <c r="C488" t="s">
        <v>90</v>
      </c>
      <c r="D488">
        <v>0</v>
      </c>
      <c r="E488">
        <v>39251</v>
      </c>
      <c r="F488">
        <v>2958465</v>
      </c>
      <c r="G488">
        <v>7718</v>
      </c>
      <c r="H488" t="s">
        <v>9</v>
      </c>
      <c r="I488" t="s">
        <v>90</v>
      </c>
      <c r="J488">
        <v>0</v>
      </c>
      <c r="K488">
        <v>0</v>
      </c>
      <c r="N488">
        <v>0</v>
      </c>
      <c r="O488" t="s">
        <v>91</v>
      </c>
      <c r="P488" t="s">
        <v>272</v>
      </c>
      <c r="Q488" s="16">
        <f>IF(CustomerHierarchyLevels[[#This Row],[HgLvCust.]]=0,CustomerHierarchyLevels[[#This Row],[Customer]],CustomerHierarchyLevels[[#This Row],[HgLvCust.]])</f>
        <v>7718</v>
      </c>
      <c r="R488" s="16">
        <f>IF(VLOOKUP(CustomerHierarchyLevels[[#This Row],[Level1]],CustomerHierarchyLevels[],7,FALSE)=0,CustomerHierarchyLevels[[#This Row],[Level1]],VLOOKUP(CustomerHierarchyLevels[[#This Row],[Level1]],CustomerHierarchyLevels[],7,FALSE))</f>
        <v>2158</v>
      </c>
      <c r="S488" s="16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489" spans="1:19" x14ac:dyDescent="0.25">
      <c r="A489">
        <v>6580</v>
      </c>
      <c r="B489" t="s">
        <v>9</v>
      </c>
      <c r="C489" t="s">
        <v>90</v>
      </c>
      <c r="D489">
        <v>0</v>
      </c>
      <c r="E489">
        <v>39251</v>
      </c>
      <c r="F489">
        <v>2958465</v>
      </c>
      <c r="G489">
        <v>7719</v>
      </c>
      <c r="H489" t="s">
        <v>9</v>
      </c>
      <c r="I489" t="s">
        <v>90</v>
      </c>
      <c r="J489">
        <v>0</v>
      </c>
      <c r="K489">
        <v>0</v>
      </c>
      <c r="N489">
        <v>0</v>
      </c>
      <c r="O489" t="s">
        <v>91</v>
      </c>
      <c r="P489" t="s">
        <v>1646</v>
      </c>
      <c r="Q489" s="16">
        <f>IF(CustomerHierarchyLevels[[#This Row],[HgLvCust.]]=0,CustomerHierarchyLevels[[#This Row],[Customer]],CustomerHierarchyLevels[[#This Row],[HgLvCust.]])</f>
        <v>7719</v>
      </c>
      <c r="R489" s="16">
        <f>IF(VLOOKUP(CustomerHierarchyLevels[[#This Row],[Level1]],CustomerHierarchyLevels[],7,FALSE)=0,CustomerHierarchyLevels[[#This Row],[Level1]],VLOOKUP(CustomerHierarchyLevels[[#This Row],[Level1]],CustomerHierarchyLevels[],7,FALSE))</f>
        <v>2110</v>
      </c>
      <c r="S489" s="16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490" spans="1:19" x14ac:dyDescent="0.25">
      <c r="A490">
        <v>7801</v>
      </c>
      <c r="B490" t="s">
        <v>9</v>
      </c>
      <c r="C490" t="s">
        <v>90</v>
      </c>
      <c r="D490">
        <v>0</v>
      </c>
      <c r="E490">
        <v>39268</v>
      </c>
      <c r="F490">
        <v>2958465</v>
      </c>
      <c r="G490">
        <v>6533</v>
      </c>
      <c r="H490" t="s">
        <v>9</v>
      </c>
      <c r="I490" t="s">
        <v>90</v>
      </c>
      <c r="J490">
        <v>0</v>
      </c>
      <c r="K490">
        <v>0</v>
      </c>
      <c r="N490">
        <v>0</v>
      </c>
      <c r="O490" t="s">
        <v>91</v>
      </c>
      <c r="P490" t="s">
        <v>1647</v>
      </c>
      <c r="Q490" s="16">
        <f>IF(CustomerHierarchyLevels[[#This Row],[HgLvCust.]]=0,CustomerHierarchyLevels[[#This Row],[Customer]],CustomerHierarchyLevels[[#This Row],[HgLvCust.]])</f>
        <v>6533</v>
      </c>
      <c r="R490" s="16">
        <f>IF(VLOOKUP(CustomerHierarchyLevels[[#This Row],[Level1]],CustomerHierarchyLevels[],7,FALSE)=0,CustomerHierarchyLevels[[#This Row],[Level1]],VLOOKUP(CustomerHierarchyLevels[[#This Row],[Level1]],CustomerHierarchyLevels[],7,FALSE))</f>
        <v>6532</v>
      </c>
      <c r="S490" s="16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491" spans="1:19" x14ac:dyDescent="0.25">
      <c r="A491">
        <v>1290</v>
      </c>
      <c r="B491" t="s">
        <v>9</v>
      </c>
      <c r="C491" t="s">
        <v>90</v>
      </c>
      <c r="D491">
        <v>0</v>
      </c>
      <c r="E491">
        <v>39358</v>
      </c>
      <c r="F491">
        <v>2958465</v>
      </c>
      <c r="G491">
        <v>6329</v>
      </c>
      <c r="H491" t="s">
        <v>9</v>
      </c>
      <c r="I491" t="s">
        <v>90</v>
      </c>
      <c r="J491">
        <v>0</v>
      </c>
      <c r="K491">
        <v>0</v>
      </c>
      <c r="N491">
        <v>0</v>
      </c>
      <c r="O491" t="s">
        <v>91</v>
      </c>
      <c r="P491" t="s">
        <v>188</v>
      </c>
      <c r="Q491" s="16">
        <f>IF(CustomerHierarchyLevels[[#This Row],[HgLvCust.]]=0,CustomerHierarchyLevels[[#This Row],[Customer]],CustomerHierarchyLevels[[#This Row],[HgLvCust.]])</f>
        <v>6329</v>
      </c>
      <c r="R491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491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92" spans="1:19" x14ac:dyDescent="0.25">
      <c r="A492">
        <v>8147</v>
      </c>
      <c r="B492" t="s">
        <v>9</v>
      </c>
      <c r="C492" t="s">
        <v>90</v>
      </c>
      <c r="D492">
        <v>0</v>
      </c>
      <c r="E492">
        <v>39379</v>
      </c>
      <c r="F492">
        <v>2958465</v>
      </c>
      <c r="G492">
        <v>6538</v>
      </c>
      <c r="H492" t="s">
        <v>9</v>
      </c>
      <c r="I492" t="s">
        <v>90</v>
      </c>
      <c r="J492">
        <v>0</v>
      </c>
      <c r="K492">
        <v>0</v>
      </c>
      <c r="N492">
        <v>0</v>
      </c>
      <c r="O492" t="s">
        <v>91</v>
      </c>
      <c r="P492" t="s">
        <v>1648</v>
      </c>
      <c r="Q492" s="16">
        <f>IF(CustomerHierarchyLevels[[#This Row],[HgLvCust.]]=0,CustomerHierarchyLevels[[#This Row],[Customer]],CustomerHierarchyLevels[[#This Row],[HgLvCust.]])</f>
        <v>6538</v>
      </c>
      <c r="R492" s="16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92" s="16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93" spans="1:19" x14ac:dyDescent="0.25">
      <c r="A493">
        <v>8201</v>
      </c>
      <c r="B493" t="s">
        <v>9</v>
      </c>
      <c r="C493" t="s">
        <v>90</v>
      </c>
      <c r="D493">
        <v>0</v>
      </c>
      <c r="E493">
        <v>39392</v>
      </c>
      <c r="F493">
        <v>2958465</v>
      </c>
      <c r="G493">
        <v>6533</v>
      </c>
      <c r="H493" t="s">
        <v>9</v>
      </c>
      <c r="I493" t="s">
        <v>90</v>
      </c>
      <c r="J493">
        <v>0</v>
      </c>
      <c r="K493">
        <v>0</v>
      </c>
      <c r="N493">
        <v>0</v>
      </c>
      <c r="O493" t="s">
        <v>91</v>
      </c>
      <c r="P493" t="s">
        <v>1649</v>
      </c>
      <c r="Q493" s="16">
        <f>IF(CustomerHierarchyLevels[[#This Row],[HgLvCust.]]=0,CustomerHierarchyLevels[[#This Row],[Customer]],CustomerHierarchyLevels[[#This Row],[HgLvCust.]])</f>
        <v>6533</v>
      </c>
      <c r="R493" s="16">
        <f>IF(VLOOKUP(CustomerHierarchyLevels[[#This Row],[Level1]],CustomerHierarchyLevels[],7,FALSE)=0,CustomerHierarchyLevels[[#This Row],[Level1]],VLOOKUP(CustomerHierarchyLevels[[#This Row],[Level1]],CustomerHierarchyLevels[],7,FALSE))</f>
        <v>6532</v>
      </c>
      <c r="S493" s="16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494" spans="1:19" x14ac:dyDescent="0.25">
      <c r="A494">
        <v>8123</v>
      </c>
      <c r="B494" t="s">
        <v>9</v>
      </c>
      <c r="C494" t="s">
        <v>90</v>
      </c>
      <c r="D494">
        <v>0</v>
      </c>
      <c r="E494">
        <v>39398</v>
      </c>
      <c r="F494">
        <v>2958465</v>
      </c>
      <c r="G494">
        <v>6292</v>
      </c>
      <c r="H494" t="s">
        <v>9</v>
      </c>
      <c r="I494" t="s">
        <v>90</v>
      </c>
      <c r="J494">
        <v>0</v>
      </c>
      <c r="K494">
        <v>0</v>
      </c>
      <c r="N494">
        <v>0</v>
      </c>
      <c r="O494" t="s">
        <v>91</v>
      </c>
      <c r="P494" t="s">
        <v>1650</v>
      </c>
      <c r="Q494" s="16">
        <f>IF(CustomerHierarchyLevels[[#This Row],[HgLvCust.]]=0,CustomerHierarchyLevels[[#This Row],[Customer]],CustomerHierarchyLevels[[#This Row],[HgLvCust.]])</f>
        <v>6292</v>
      </c>
      <c r="R494" s="16">
        <f>IF(VLOOKUP(CustomerHierarchyLevels[[#This Row],[Level1]],CustomerHierarchyLevels[],7,FALSE)=0,CustomerHierarchyLevels[[#This Row],[Level1]],VLOOKUP(CustomerHierarchyLevels[[#This Row],[Level1]],CustomerHierarchyLevels[],7,FALSE))</f>
        <v>6293</v>
      </c>
      <c r="S494" s="16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495" spans="1:19" x14ac:dyDescent="0.25">
      <c r="A495">
        <v>6555</v>
      </c>
      <c r="B495" t="s">
        <v>9</v>
      </c>
      <c r="C495" t="s">
        <v>90</v>
      </c>
      <c r="D495">
        <v>0</v>
      </c>
      <c r="E495">
        <v>39462</v>
      </c>
      <c r="F495">
        <v>2958465</v>
      </c>
      <c r="G495">
        <v>6282</v>
      </c>
      <c r="H495" t="s">
        <v>9</v>
      </c>
      <c r="I495" t="s">
        <v>90</v>
      </c>
      <c r="J495">
        <v>0</v>
      </c>
      <c r="K495">
        <v>0</v>
      </c>
      <c r="N495">
        <v>0</v>
      </c>
      <c r="O495" t="s">
        <v>91</v>
      </c>
      <c r="P495" t="s">
        <v>1651</v>
      </c>
      <c r="Q495" s="16">
        <f>IF(CustomerHierarchyLevels[[#This Row],[HgLvCust.]]=0,CustomerHierarchyLevels[[#This Row],[Customer]],CustomerHierarchyLevels[[#This Row],[HgLvCust.]])</f>
        <v>6282</v>
      </c>
      <c r="R495" s="16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495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496" spans="1:19" x14ac:dyDescent="0.25">
      <c r="A496">
        <v>7521</v>
      </c>
      <c r="B496" t="s">
        <v>9</v>
      </c>
      <c r="C496" t="s">
        <v>90</v>
      </c>
      <c r="D496">
        <v>0</v>
      </c>
      <c r="E496">
        <v>39494</v>
      </c>
      <c r="F496">
        <v>2958465</v>
      </c>
      <c r="G496">
        <v>6294</v>
      </c>
      <c r="H496" t="s">
        <v>9</v>
      </c>
      <c r="I496" t="s">
        <v>90</v>
      </c>
      <c r="J496">
        <v>0</v>
      </c>
      <c r="K496">
        <v>0</v>
      </c>
      <c r="N496">
        <v>0</v>
      </c>
      <c r="O496" t="s">
        <v>91</v>
      </c>
      <c r="P496" t="s">
        <v>1652</v>
      </c>
      <c r="Q496" s="16">
        <f>IF(CustomerHierarchyLevels[[#This Row],[HgLvCust.]]=0,CustomerHierarchyLevels[[#This Row],[Customer]],CustomerHierarchyLevels[[#This Row],[HgLvCust.]])</f>
        <v>6294</v>
      </c>
      <c r="R496" s="16">
        <f>IF(VLOOKUP(CustomerHierarchyLevels[[#This Row],[Level1]],CustomerHierarchyLevels[],7,FALSE)=0,CustomerHierarchyLevels[[#This Row],[Level1]],VLOOKUP(CustomerHierarchyLevels[[#This Row],[Level1]],CustomerHierarchyLevels[],7,FALSE))</f>
        <v>6295</v>
      </c>
      <c r="S496" s="16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497" spans="1:19" x14ac:dyDescent="0.25">
      <c r="A497">
        <v>1700</v>
      </c>
      <c r="B497" t="s">
        <v>9</v>
      </c>
      <c r="C497" t="s">
        <v>90</v>
      </c>
      <c r="D497">
        <v>0</v>
      </c>
      <c r="E497">
        <v>39520</v>
      </c>
      <c r="F497">
        <v>2958465</v>
      </c>
      <c r="G497">
        <v>6296</v>
      </c>
      <c r="H497" t="s">
        <v>9</v>
      </c>
      <c r="I497" t="s">
        <v>90</v>
      </c>
      <c r="J497">
        <v>0</v>
      </c>
      <c r="K497">
        <v>0</v>
      </c>
      <c r="N497">
        <v>0</v>
      </c>
      <c r="O497" t="s">
        <v>91</v>
      </c>
      <c r="P497" t="s">
        <v>1653</v>
      </c>
      <c r="Q497" s="16">
        <f>IF(CustomerHierarchyLevels[[#This Row],[HgLvCust.]]=0,CustomerHierarchyLevels[[#This Row],[Customer]],CustomerHierarchyLevels[[#This Row],[HgLvCust.]])</f>
        <v>6296</v>
      </c>
      <c r="R497" s="16">
        <f>IF(VLOOKUP(CustomerHierarchyLevels[[#This Row],[Level1]],CustomerHierarchyLevels[],7,FALSE)=0,CustomerHierarchyLevels[[#This Row],[Level1]],VLOOKUP(CustomerHierarchyLevels[[#This Row],[Level1]],CustomerHierarchyLevels[],7,FALSE))</f>
        <v>6297</v>
      </c>
      <c r="S497" s="16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498" spans="1:19" x14ac:dyDescent="0.25">
      <c r="A498">
        <v>1275</v>
      </c>
      <c r="B498" t="s">
        <v>9</v>
      </c>
      <c r="C498" t="s">
        <v>90</v>
      </c>
      <c r="D498">
        <v>0</v>
      </c>
      <c r="E498">
        <v>39588</v>
      </c>
      <c r="F498">
        <v>2958465</v>
      </c>
      <c r="G498">
        <v>6282</v>
      </c>
      <c r="H498" t="s">
        <v>9</v>
      </c>
      <c r="I498" t="s">
        <v>90</v>
      </c>
      <c r="J498">
        <v>0</v>
      </c>
      <c r="K498">
        <v>0</v>
      </c>
      <c r="N498">
        <v>0</v>
      </c>
      <c r="O498" t="s">
        <v>91</v>
      </c>
      <c r="P498" t="s">
        <v>1654</v>
      </c>
      <c r="Q498" s="16">
        <f>IF(CustomerHierarchyLevels[[#This Row],[HgLvCust.]]=0,CustomerHierarchyLevels[[#This Row],[Customer]],CustomerHierarchyLevels[[#This Row],[HgLvCust.]])</f>
        <v>6282</v>
      </c>
      <c r="R498" s="16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498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499" spans="1:19" x14ac:dyDescent="0.25">
      <c r="A499">
        <v>9262</v>
      </c>
      <c r="B499" t="s">
        <v>9</v>
      </c>
      <c r="C499" t="s">
        <v>90</v>
      </c>
      <c r="D499">
        <v>0</v>
      </c>
      <c r="E499">
        <v>39720</v>
      </c>
      <c r="F499">
        <v>2958465</v>
      </c>
      <c r="G499">
        <v>6330</v>
      </c>
      <c r="H499" t="s">
        <v>9</v>
      </c>
      <c r="I499" t="s">
        <v>90</v>
      </c>
      <c r="J499">
        <v>0</v>
      </c>
      <c r="K499">
        <v>0</v>
      </c>
      <c r="N499">
        <v>0</v>
      </c>
      <c r="O499" t="s">
        <v>91</v>
      </c>
      <c r="P499" t="s">
        <v>199</v>
      </c>
      <c r="Q499" s="16">
        <f>IF(CustomerHierarchyLevels[[#This Row],[HgLvCust.]]=0,CustomerHierarchyLevels[[#This Row],[Customer]],CustomerHierarchyLevels[[#This Row],[HgLvCust.]])</f>
        <v>6330</v>
      </c>
      <c r="R499" s="16">
        <f>IF(VLOOKUP(CustomerHierarchyLevels[[#This Row],[Level1]],CustomerHierarchyLevels[],7,FALSE)=0,CustomerHierarchyLevels[[#This Row],[Level1]],VLOOKUP(CustomerHierarchyLevels[[#This Row],[Level1]],CustomerHierarchyLevels[],7,FALSE))</f>
        <v>2158</v>
      </c>
      <c r="S499" s="16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500" spans="1:19" x14ac:dyDescent="0.25">
      <c r="A500">
        <v>9271</v>
      </c>
      <c r="B500" t="s">
        <v>9</v>
      </c>
      <c r="C500" t="s">
        <v>90</v>
      </c>
      <c r="D500">
        <v>0</v>
      </c>
      <c r="E500">
        <v>39723</v>
      </c>
      <c r="F500">
        <v>2958465</v>
      </c>
      <c r="G500">
        <v>6284</v>
      </c>
      <c r="H500" t="s">
        <v>9</v>
      </c>
      <c r="I500" t="s">
        <v>90</v>
      </c>
      <c r="J500">
        <v>0</v>
      </c>
      <c r="K500">
        <v>0</v>
      </c>
      <c r="N500">
        <v>0</v>
      </c>
      <c r="O500" t="s">
        <v>91</v>
      </c>
      <c r="P500" t="s">
        <v>1655</v>
      </c>
      <c r="Q500" s="16">
        <f>IF(CustomerHierarchyLevels[[#This Row],[HgLvCust.]]=0,CustomerHierarchyLevels[[#This Row],[Customer]],CustomerHierarchyLevels[[#This Row],[HgLvCust.]])</f>
        <v>6284</v>
      </c>
      <c r="R500" s="16">
        <f>IF(VLOOKUP(CustomerHierarchyLevels[[#This Row],[Level1]],CustomerHierarchyLevels[],7,FALSE)=0,CustomerHierarchyLevels[[#This Row],[Level1]],VLOOKUP(CustomerHierarchyLevels[[#This Row],[Level1]],CustomerHierarchyLevels[],7,FALSE))</f>
        <v>6285</v>
      </c>
      <c r="S500" s="16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501" spans="1:19" x14ac:dyDescent="0.25">
      <c r="A501">
        <v>2954</v>
      </c>
      <c r="B501" t="s">
        <v>9</v>
      </c>
      <c r="C501" t="s">
        <v>90</v>
      </c>
      <c r="D501">
        <v>0</v>
      </c>
      <c r="E501">
        <v>39723</v>
      </c>
      <c r="F501">
        <v>2958465</v>
      </c>
      <c r="G501">
        <v>6284</v>
      </c>
      <c r="H501" t="s">
        <v>9</v>
      </c>
      <c r="I501" t="s">
        <v>90</v>
      </c>
      <c r="J501">
        <v>0</v>
      </c>
      <c r="K501">
        <v>0</v>
      </c>
      <c r="N501">
        <v>0</v>
      </c>
      <c r="O501" t="s">
        <v>91</v>
      </c>
      <c r="P501" t="s">
        <v>1656</v>
      </c>
      <c r="Q501" s="16">
        <f>IF(CustomerHierarchyLevels[[#This Row],[HgLvCust.]]=0,CustomerHierarchyLevels[[#This Row],[Customer]],CustomerHierarchyLevels[[#This Row],[HgLvCust.]])</f>
        <v>6284</v>
      </c>
      <c r="R501" s="16">
        <f>IF(VLOOKUP(CustomerHierarchyLevels[[#This Row],[Level1]],CustomerHierarchyLevels[],7,FALSE)=0,CustomerHierarchyLevels[[#This Row],[Level1]],VLOOKUP(CustomerHierarchyLevels[[#This Row],[Level1]],CustomerHierarchyLevels[],7,FALSE))</f>
        <v>6285</v>
      </c>
      <c r="S501" s="16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502" spans="1:19" x14ac:dyDescent="0.25">
      <c r="A502">
        <v>9287</v>
      </c>
      <c r="B502" t="s">
        <v>9</v>
      </c>
      <c r="C502" t="s">
        <v>90</v>
      </c>
      <c r="D502">
        <v>0</v>
      </c>
      <c r="E502">
        <v>39729</v>
      </c>
      <c r="F502">
        <v>2958465</v>
      </c>
      <c r="G502">
        <v>6283</v>
      </c>
      <c r="H502" t="s">
        <v>9</v>
      </c>
      <c r="I502" t="s">
        <v>90</v>
      </c>
      <c r="J502">
        <v>0</v>
      </c>
      <c r="K502">
        <v>0</v>
      </c>
      <c r="N502">
        <v>0</v>
      </c>
      <c r="O502" t="s">
        <v>91</v>
      </c>
      <c r="P502" t="s">
        <v>1657</v>
      </c>
      <c r="Q502" s="16">
        <f>IF(CustomerHierarchyLevels[[#This Row],[HgLvCust.]]=0,CustomerHierarchyLevels[[#This Row],[Customer]],CustomerHierarchyLevels[[#This Row],[HgLvCust.]])</f>
        <v>6283</v>
      </c>
      <c r="R502" s="16">
        <f>IF(VLOOKUP(CustomerHierarchyLevels[[#This Row],[Level1]],CustomerHierarchyLevels[],7,FALSE)=0,CustomerHierarchyLevels[[#This Row],[Level1]],VLOOKUP(CustomerHierarchyLevels[[#This Row],[Level1]],CustomerHierarchyLevels[],7,FALSE))</f>
        <v>6711</v>
      </c>
      <c r="S502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503" spans="1:19" x14ac:dyDescent="0.25">
      <c r="A503">
        <v>9432</v>
      </c>
      <c r="B503" t="s">
        <v>9</v>
      </c>
      <c r="C503" t="s">
        <v>90</v>
      </c>
      <c r="D503">
        <v>0</v>
      </c>
      <c r="E503">
        <v>39772</v>
      </c>
      <c r="F503">
        <v>2958465</v>
      </c>
      <c r="G503">
        <v>6327</v>
      </c>
      <c r="H503" t="s">
        <v>9</v>
      </c>
      <c r="I503" t="s">
        <v>90</v>
      </c>
      <c r="J503">
        <v>0</v>
      </c>
      <c r="K503">
        <v>0</v>
      </c>
      <c r="N503">
        <v>0</v>
      </c>
      <c r="O503" t="s">
        <v>91</v>
      </c>
      <c r="P503" t="s">
        <v>1658</v>
      </c>
      <c r="Q503" s="16">
        <f>IF(CustomerHierarchyLevels[[#This Row],[HgLvCust.]]=0,CustomerHierarchyLevels[[#This Row],[Customer]],CustomerHierarchyLevels[[#This Row],[HgLvCust.]])</f>
        <v>6327</v>
      </c>
      <c r="R503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503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504" spans="1:19" x14ac:dyDescent="0.25">
      <c r="A504">
        <v>9551</v>
      </c>
      <c r="B504" t="s">
        <v>9</v>
      </c>
      <c r="C504" t="s">
        <v>90</v>
      </c>
      <c r="D504">
        <v>0</v>
      </c>
      <c r="E504">
        <v>39821</v>
      </c>
      <c r="F504">
        <v>2958465</v>
      </c>
      <c r="G504">
        <v>6294</v>
      </c>
      <c r="H504" t="s">
        <v>9</v>
      </c>
      <c r="I504" t="s">
        <v>90</v>
      </c>
      <c r="J504">
        <v>0</v>
      </c>
      <c r="K504">
        <v>0</v>
      </c>
      <c r="N504">
        <v>0</v>
      </c>
      <c r="O504" t="s">
        <v>91</v>
      </c>
      <c r="P504" t="s">
        <v>1659</v>
      </c>
      <c r="Q504" s="16">
        <f>IF(CustomerHierarchyLevels[[#This Row],[HgLvCust.]]=0,CustomerHierarchyLevels[[#This Row],[Customer]],CustomerHierarchyLevels[[#This Row],[HgLvCust.]])</f>
        <v>6294</v>
      </c>
      <c r="R504" s="16">
        <f>IF(VLOOKUP(CustomerHierarchyLevels[[#This Row],[Level1]],CustomerHierarchyLevels[],7,FALSE)=0,CustomerHierarchyLevels[[#This Row],[Level1]],VLOOKUP(CustomerHierarchyLevels[[#This Row],[Level1]],CustomerHierarchyLevels[],7,FALSE))</f>
        <v>6295</v>
      </c>
      <c r="S504" s="16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505" spans="1:19" x14ac:dyDescent="0.25">
      <c r="A505">
        <v>2046</v>
      </c>
      <c r="B505" t="s">
        <v>9</v>
      </c>
      <c r="C505" t="s">
        <v>90</v>
      </c>
      <c r="D505">
        <v>0</v>
      </c>
      <c r="E505">
        <v>39821</v>
      </c>
      <c r="F505">
        <v>2958465</v>
      </c>
      <c r="G505">
        <v>6294</v>
      </c>
      <c r="H505" t="s">
        <v>9</v>
      </c>
      <c r="I505" t="s">
        <v>90</v>
      </c>
      <c r="J505">
        <v>0</v>
      </c>
      <c r="K505">
        <v>0</v>
      </c>
      <c r="N505">
        <v>0</v>
      </c>
      <c r="O505" t="s">
        <v>91</v>
      </c>
      <c r="P505" t="s">
        <v>1660</v>
      </c>
      <c r="Q505" s="16">
        <f>IF(CustomerHierarchyLevels[[#This Row],[HgLvCust.]]=0,CustomerHierarchyLevels[[#This Row],[Customer]],CustomerHierarchyLevels[[#This Row],[HgLvCust.]])</f>
        <v>6294</v>
      </c>
      <c r="R505" s="16">
        <f>IF(VLOOKUP(CustomerHierarchyLevels[[#This Row],[Level1]],CustomerHierarchyLevels[],7,FALSE)=0,CustomerHierarchyLevels[[#This Row],[Level1]],VLOOKUP(CustomerHierarchyLevels[[#This Row],[Level1]],CustomerHierarchyLevels[],7,FALSE))</f>
        <v>6295</v>
      </c>
      <c r="S505" s="16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506" spans="1:19" x14ac:dyDescent="0.25">
      <c r="A506">
        <v>10851</v>
      </c>
      <c r="B506" t="s">
        <v>9</v>
      </c>
      <c r="C506" t="s">
        <v>90</v>
      </c>
      <c r="D506">
        <v>0</v>
      </c>
      <c r="E506">
        <v>40466</v>
      </c>
      <c r="F506">
        <v>2958465</v>
      </c>
      <c r="G506">
        <v>6327</v>
      </c>
      <c r="H506" t="s">
        <v>9</v>
      </c>
      <c r="I506" t="s">
        <v>90</v>
      </c>
      <c r="J506">
        <v>0</v>
      </c>
      <c r="K506">
        <v>0</v>
      </c>
      <c r="N506">
        <v>0</v>
      </c>
      <c r="O506" t="s">
        <v>91</v>
      </c>
      <c r="P506" t="s">
        <v>1661</v>
      </c>
      <c r="Q506" s="16">
        <f>IF(CustomerHierarchyLevels[[#This Row],[HgLvCust.]]=0,CustomerHierarchyLevels[[#This Row],[Customer]],CustomerHierarchyLevels[[#This Row],[HgLvCust.]])</f>
        <v>6327</v>
      </c>
      <c r="R506" s="16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506" s="16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507" spans="1:19" x14ac:dyDescent="0.25">
      <c r="A507">
        <v>1414</v>
      </c>
      <c r="B507" t="s">
        <v>9</v>
      </c>
      <c r="C507" t="s">
        <v>90</v>
      </c>
      <c r="D507">
        <v>0</v>
      </c>
      <c r="E507">
        <v>40221</v>
      </c>
      <c r="F507">
        <v>2958465</v>
      </c>
      <c r="G507">
        <v>6304</v>
      </c>
      <c r="H507" t="s">
        <v>9</v>
      </c>
      <c r="I507" t="s">
        <v>90</v>
      </c>
      <c r="J507">
        <v>0</v>
      </c>
      <c r="K507">
        <v>0</v>
      </c>
      <c r="N507">
        <v>0</v>
      </c>
      <c r="O507" t="s">
        <v>91</v>
      </c>
      <c r="P507" t="s">
        <v>1662</v>
      </c>
      <c r="Q507" s="16">
        <f>IF(CustomerHierarchyLevels[[#This Row],[HgLvCust.]]=0,CustomerHierarchyLevels[[#This Row],[Customer]],CustomerHierarchyLevels[[#This Row],[HgLvCust.]])</f>
        <v>6304</v>
      </c>
      <c r="R507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507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508" spans="1:19" x14ac:dyDescent="0.25">
      <c r="A508">
        <v>6292</v>
      </c>
      <c r="B508" t="s">
        <v>9</v>
      </c>
      <c r="C508" t="s">
        <v>90</v>
      </c>
      <c r="D508">
        <v>0</v>
      </c>
      <c r="E508">
        <v>39011</v>
      </c>
      <c r="F508">
        <v>2958465</v>
      </c>
      <c r="G508">
        <v>6293</v>
      </c>
      <c r="H508" t="s">
        <v>9</v>
      </c>
      <c r="I508" t="s">
        <v>90</v>
      </c>
      <c r="J508">
        <v>0</v>
      </c>
      <c r="K508">
        <v>0</v>
      </c>
      <c r="L508" t="s">
        <v>1195</v>
      </c>
      <c r="M508" t="s">
        <v>1195</v>
      </c>
      <c r="N508">
        <v>3</v>
      </c>
      <c r="O508" t="s">
        <v>91</v>
      </c>
      <c r="P508" t="s">
        <v>1663</v>
      </c>
      <c r="Q508" s="16">
        <f>IF(CustomerHierarchyLevels[[#This Row],[HgLvCust.]]=0,CustomerHierarchyLevels[[#This Row],[Customer]],CustomerHierarchyLevels[[#This Row],[HgLvCust.]])</f>
        <v>6293</v>
      </c>
      <c r="R508" s="16">
        <f>IF(VLOOKUP(CustomerHierarchyLevels[[#This Row],[Level1]],CustomerHierarchyLevels[],7,FALSE)=0,CustomerHierarchyLevels[[#This Row],[Level1]],VLOOKUP(CustomerHierarchyLevels[[#This Row],[Level1]],CustomerHierarchyLevels[],7,FALSE))</f>
        <v>6716</v>
      </c>
      <c r="S508" s="16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509" spans="1:19" x14ac:dyDescent="0.25">
      <c r="A509">
        <v>11202</v>
      </c>
      <c r="B509" t="s">
        <v>9</v>
      </c>
      <c r="C509" t="s">
        <v>90</v>
      </c>
      <c r="D509">
        <v>0</v>
      </c>
      <c r="E509">
        <v>40526</v>
      </c>
      <c r="F509">
        <v>2958465</v>
      </c>
      <c r="G509">
        <v>6296</v>
      </c>
      <c r="H509" t="s">
        <v>9</v>
      </c>
      <c r="I509" t="s">
        <v>90</v>
      </c>
      <c r="J509">
        <v>0</v>
      </c>
      <c r="K509">
        <v>0</v>
      </c>
      <c r="N509">
        <v>0</v>
      </c>
      <c r="O509" t="s">
        <v>91</v>
      </c>
      <c r="P509" t="s">
        <v>1664</v>
      </c>
      <c r="Q509" s="16">
        <f>IF(CustomerHierarchyLevels[[#This Row],[HgLvCust.]]=0,CustomerHierarchyLevels[[#This Row],[Customer]],CustomerHierarchyLevels[[#This Row],[HgLvCust.]])</f>
        <v>6296</v>
      </c>
      <c r="R509" s="16">
        <f>IF(VLOOKUP(CustomerHierarchyLevels[[#This Row],[Level1]],CustomerHierarchyLevels[],7,FALSE)=0,CustomerHierarchyLevels[[#This Row],[Level1]],VLOOKUP(CustomerHierarchyLevels[[#This Row],[Level1]],CustomerHierarchyLevels[],7,FALSE))</f>
        <v>6297</v>
      </c>
      <c r="S509" s="16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510" spans="1:19" x14ac:dyDescent="0.25">
      <c r="A510">
        <v>7973</v>
      </c>
      <c r="B510" t="s">
        <v>9</v>
      </c>
      <c r="C510" t="s">
        <v>90</v>
      </c>
      <c r="D510">
        <v>0</v>
      </c>
      <c r="E510">
        <v>40228</v>
      </c>
      <c r="F510">
        <v>2958465</v>
      </c>
      <c r="G510">
        <v>6311</v>
      </c>
      <c r="H510" t="s">
        <v>9</v>
      </c>
      <c r="I510" t="s">
        <v>90</v>
      </c>
      <c r="J510">
        <v>0</v>
      </c>
      <c r="K510">
        <v>0</v>
      </c>
      <c r="N510">
        <v>0</v>
      </c>
      <c r="O510" t="s">
        <v>91</v>
      </c>
      <c r="P510" t="s">
        <v>1665</v>
      </c>
      <c r="Q510" s="16">
        <f>IF(CustomerHierarchyLevels[[#This Row],[HgLvCust.]]=0,CustomerHierarchyLevels[[#This Row],[Customer]],CustomerHierarchyLevels[[#This Row],[HgLvCust.]])</f>
        <v>6311</v>
      </c>
      <c r="R510" s="16">
        <f>IF(VLOOKUP(CustomerHierarchyLevels[[#This Row],[Level1]],CustomerHierarchyLevels[],7,FALSE)=0,CustomerHierarchyLevels[[#This Row],[Level1]],VLOOKUP(CustomerHierarchyLevels[[#This Row],[Level1]],CustomerHierarchyLevels[],7,FALSE))</f>
        <v>6310</v>
      </c>
      <c r="S510" s="16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511" spans="1:19" x14ac:dyDescent="0.25">
      <c r="A511">
        <v>6303</v>
      </c>
      <c r="B511" t="s">
        <v>9</v>
      </c>
      <c r="C511" t="s">
        <v>90</v>
      </c>
      <c r="D511">
        <v>0</v>
      </c>
      <c r="E511">
        <v>39083</v>
      </c>
      <c r="F511">
        <v>2958465</v>
      </c>
      <c r="G511">
        <v>6302</v>
      </c>
      <c r="H511" t="s">
        <v>9</v>
      </c>
      <c r="I511" t="s">
        <v>90</v>
      </c>
      <c r="J511">
        <v>0</v>
      </c>
      <c r="K511">
        <v>0</v>
      </c>
      <c r="L511" t="s">
        <v>1195</v>
      </c>
      <c r="M511" t="s">
        <v>1195</v>
      </c>
      <c r="N511">
        <v>3</v>
      </c>
      <c r="O511" t="s">
        <v>91</v>
      </c>
      <c r="P511" t="s">
        <v>1666</v>
      </c>
      <c r="Q511" s="16">
        <f>IF(CustomerHierarchyLevels[[#This Row],[HgLvCust.]]=0,CustomerHierarchyLevels[[#This Row],[Customer]],CustomerHierarchyLevels[[#This Row],[HgLvCust.]])</f>
        <v>6302</v>
      </c>
      <c r="R511" s="16">
        <f>IF(VLOOKUP(CustomerHierarchyLevels[[#This Row],[Level1]],CustomerHierarchyLevels[],7,FALSE)=0,CustomerHierarchyLevels[[#This Row],[Level1]],VLOOKUP(CustomerHierarchyLevels[[#This Row],[Level1]],CustomerHierarchyLevels[],7,FALSE))</f>
        <v>6301</v>
      </c>
      <c r="S511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512" spans="1:19" x14ac:dyDescent="0.25">
      <c r="A512">
        <v>6302</v>
      </c>
      <c r="B512" t="s">
        <v>9</v>
      </c>
      <c r="C512" t="s">
        <v>90</v>
      </c>
      <c r="D512">
        <v>0</v>
      </c>
      <c r="E512">
        <v>39083</v>
      </c>
      <c r="F512">
        <v>2958465</v>
      </c>
      <c r="G512">
        <v>6301</v>
      </c>
      <c r="H512" t="s">
        <v>9</v>
      </c>
      <c r="I512" t="s">
        <v>90</v>
      </c>
      <c r="J512">
        <v>0</v>
      </c>
      <c r="K512">
        <v>0</v>
      </c>
      <c r="M512" t="s">
        <v>1195</v>
      </c>
      <c r="N512">
        <v>2</v>
      </c>
      <c r="O512" t="s">
        <v>91</v>
      </c>
      <c r="P512" t="s">
        <v>1667</v>
      </c>
      <c r="Q512" s="16">
        <f>IF(CustomerHierarchyLevels[[#This Row],[HgLvCust.]]=0,CustomerHierarchyLevels[[#This Row],[Customer]],CustomerHierarchyLevels[[#This Row],[HgLvCust.]])</f>
        <v>6301</v>
      </c>
      <c r="R512" s="16">
        <f>IF(VLOOKUP(CustomerHierarchyLevels[[#This Row],[Level1]],CustomerHierarchyLevels[],7,FALSE)=0,CustomerHierarchyLevels[[#This Row],[Level1]],VLOOKUP(CustomerHierarchyLevels[[#This Row],[Level1]],CustomerHierarchyLevels[],7,FALSE))</f>
        <v>6301</v>
      </c>
      <c r="S512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513" spans="1:19" x14ac:dyDescent="0.25">
      <c r="A513">
        <v>6301</v>
      </c>
      <c r="B513" t="s">
        <v>9</v>
      </c>
      <c r="C513" t="s">
        <v>90</v>
      </c>
      <c r="D513">
        <v>0</v>
      </c>
      <c r="E513">
        <v>39083</v>
      </c>
      <c r="F513">
        <v>2958465</v>
      </c>
      <c r="K513">
        <v>0</v>
      </c>
      <c r="L513" t="s">
        <v>1195</v>
      </c>
      <c r="M513" t="s">
        <v>1195</v>
      </c>
      <c r="N513">
        <v>1</v>
      </c>
      <c r="O513" t="s">
        <v>91</v>
      </c>
      <c r="P513" t="s">
        <v>1668</v>
      </c>
      <c r="Q513" s="16">
        <f>IF(CustomerHierarchyLevels[[#This Row],[HgLvCust.]]=0,CustomerHierarchyLevels[[#This Row],[Customer]],CustomerHierarchyLevels[[#This Row],[HgLvCust.]])</f>
        <v>6301</v>
      </c>
      <c r="R513" s="16">
        <f>IF(VLOOKUP(CustomerHierarchyLevels[[#This Row],[Level1]],CustomerHierarchyLevels[],7,FALSE)=0,CustomerHierarchyLevels[[#This Row],[Level1]],VLOOKUP(CustomerHierarchyLevels[[#This Row],[Level1]],CustomerHierarchyLevels[],7,FALSE))</f>
        <v>6301</v>
      </c>
      <c r="S513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514" spans="1:19" x14ac:dyDescent="0.25">
      <c r="A514">
        <v>6256</v>
      </c>
      <c r="B514" t="s">
        <v>9</v>
      </c>
      <c r="C514" t="s">
        <v>55</v>
      </c>
      <c r="D514">
        <v>0</v>
      </c>
      <c r="E514">
        <v>39083</v>
      </c>
      <c r="F514">
        <v>2958465</v>
      </c>
      <c r="G514">
        <v>6257</v>
      </c>
      <c r="H514" t="s">
        <v>9</v>
      </c>
      <c r="I514" t="s">
        <v>55</v>
      </c>
      <c r="J514">
        <v>0</v>
      </c>
      <c r="K514">
        <v>0</v>
      </c>
      <c r="L514" t="s">
        <v>1195</v>
      </c>
      <c r="M514" t="s">
        <v>1195</v>
      </c>
      <c r="N514">
        <v>3</v>
      </c>
      <c r="O514" t="s">
        <v>91</v>
      </c>
      <c r="P514" t="s">
        <v>1669</v>
      </c>
      <c r="Q514" s="16">
        <f>IF(CustomerHierarchyLevels[[#This Row],[HgLvCust.]]=0,CustomerHierarchyLevels[[#This Row],[Customer]],CustomerHierarchyLevels[[#This Row],[HgLvCust.]])</f>
        <v>6257</v>
      </c>
      <c r="R514" s="16">
        <f>IF(VLOOKUP(CustomerHierarchyLevels[[#This Row],[Level1]],CustomerHierarchyLevels[],7,FALSE)=0,CustomerHierarchyLevels[[#This Row],[Level1]],VLOOKUP(CustomerHierarchyLevels[[#This Row],[Level1]],CustomerHierarchyLevels[],7,FALSE))</f>
        <v>6721</v>
      </c>
      <c r="S514" s="16">
        <f>IF(VLOOKUP(CustomerHierarchyLevels[[#This Row],[Level2]],CustomerHierarchyLevels[],7,FALSE)=0,CustomerHierarchyLevels[[#This Row],[Level2]],VLOOKUP(CustomerHierarchyLevels[[#This Row],[Level2]],CustomerHierarchyLevels[],7,FALSE))</f>
        <v>6721</v>
      </c>
    </row>
    <row r="515" spans="1:19" x14ac:dyDescent="0.25">
      <c r="A515">
        <v>6721</v>
      </c>
      <c r="B515" t="s">
        <v>9</v>
      </c>
      <c r="C515" t="s">
        <v>55</v>
      </c>
      <c r="D515">
        <v>0</v>
      </c>
      <c r="E515">
        <v>39083</v>
      </c>
      <c r="F515">
        <v>2958465</v>
      </c>
      <c r="K515">
        <v>0</v>
      </c>
      <c r="L515" t="s">
        <v>1195</v>
      </c>
      <c r="M515" t="s">
        <v>1195</v>
      </c>
      <c r="N515">
        <v>1</v>
      </c>
      <c r="O515" t="s">
        <v>91</v>
      </c>
      <c r="P515" t="s">
        <v>1670</v>
      </c>
      <c r="Q515" s="16">
        <f>IF(CustomerHierarchyLevels[[#This Row],[HgLvCust.]]=0,CustomerHierarchyLevels[[#This Row],[Customer]],CustomerHierarchyLevels[[#This Row],[HgLvCust.]])</f>
        <v>6721</v>
      </c>
      <c r="R515" s="16">
        <f>IF(VLOOKUP(CustomerHierarchyLevels[[#This Row],[Level1]],CustomerHierarchyLevels[],7,FALSE)=0,CustomerHierarchyLevels[[#This Row],[Level1]],VLOOKUP(CustomerHierarchyLevels[[#This Row],[Level1]],CustomerHierarchyLevels[],7,FALSE))</f>
        <v>6721</v>
      </c>
      <c r="S515" s="16">
        <f>IF(VLOOKUP(CustomerHierarchyLevels[[#This Row],[Level2]],CustomerHierarchyLevels[],7,FALSE)=0,CustomerHierarchyLevels[[#This Row],[Level2]],VLOOKUP(CustomerHierarchyLevels[[#This Row],[Level2]],CustomerHierarchyLevels[],7,FALSE))</f>
        <v>6721</v>
      </c>
    </row>
    <row r="516" spans="1:19" x14ac:dyDescent="0.25">
      <c r="A516">
        <v>6703</v>
      </c>
      <c r="B516" t="s">
        <v>9</v>
      </c>
      <c r="C516" t="s">
        <v>90</v>
      </c>
      <c r="D516">
        <v>0</v>
      </c>
      <c r="E516">
        <v>39083</v>
      </c>
      <c r="F516">
        <v>2958465</v>
      </c>
      <c r="G516">
        <v>6701</v>
      </c>
      <c r="H516" t="s">
        <v>9</v>
      </c>
      <c r="I516" t="s">
        <v>90</v>
      </c>
      <c r="J516">
        <v>0</v>
      </c>
      <c r="K516">
        <v>0</v>
      </c>
      <c r="L516" t="s">
        <v>1195</v>
      </c>
      <c r="M516" t="s">
        <v>1195</v>
      </c>
      <c r="N516">
        <v>3</v>
      </c>
      <c r="O516" t="s">
        <v>91</v>
      </c>
      <c r="P516" t="s">
        <v>1671</v>
      </c>
      <c r="Q516" s="16">
        <f>IF(CustomerHierarchyLevels[[#This Row],[HgLvCust.]]=0,CustomerHierarchyLevels[[#This Row],[Customer]],CustomerHierarchyLevels[[#This Row],[HgLvCust.]])</f>
        <v>6701</v>
      </c>
      <c r="R516" s="16">
        <f>IF(VLOOKUP(CustomerHierarchyLevels[[#This Row],[Level1]],CustomerHierarchyLevels[],7,FALSE)=0,CustomerHierarchyLevels[[#This Row],[Level1]],VLOOKUP(CustomerHierarchyLevels[[#This Row],[Level1]],CustomerHierarchyLevels[],7,FALSE))</f>
        <v>6700</v>
      </c>
      <c r="S516" s="16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517" spans="1:19" x14ac:dyDescent="0.25">
      <c r="A517">
        <v>6282</v>
      </c>
      <c r="B517" t="s">
        <v>9</v>
      </c>
      <c r="C517" t="s">
        <v>90</v>
      </c>
      <c r="D517">
        <v>0</v>
      </c>
      <c r="E517">
        <v>39083</v>
      </c>
      <c r="F517">
        <v>2958465</v>
      </c>
      <c r="G517">
        <v>6283</v>
      </c>
      <c r="H517" t="s">
        <v>9</v>
      </c>
      <c r="I517" t="s">
        <v>90</v>
      </c>
      <c r="J517">
        <v>0</v>
      </c>
      <c r="K517">
        <v>0</v>
      </c>
      <c r="L517" t="s">
        <v>1195</v>
      </c>
      <c r="M517" t="s">
        <v>1195</v>
      </c>
      <c r="N517">
        <v>0</v>
      </c>
      <c r="O517" t="s">
        <v>91</v>
      </c>
      <c r="P517" t="s">
        <v>1672</v>
      </c>
      <c r="Q517" s="16">
        <f>IF(CustomerHierarchyLevels[[#This Row],[HgLvCust.]]=0,CustomerHierarchyLevels[[#This Row],[Customer]],CustomerHierarchyLevels[[#This Row],[HgLvCust.]])</f>
        <v>6283</v>
      </c>
      <c r="R517" s="16">
        <f>IF(VLOOKUP(CustomerHierarchyLevels[[#This Row],[Level1]],CustomerHierarchyLevels[],7,FALSE)=0,CustomerHierarchyLevels[[#This Row],[Level1]],VLOOKUP(CustomerHierarchyLevels[[#This Row],[Level1]],CustomerHierarchyLevels[],7,FALSE))</f>
        <v>6711</v>
      </c>
      <c r="S517" s="16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518" spans="1:19" x14ac:dyDescent="0.25">
      <c r="A518">
        <v>6304</v>
      </c>
      <c r="B518" t="s">
        <v>9</v>
      </c>
      <c r="C518" t="s">
        <v>90</v>
      </c>
      <c r="D518">
        <v>0</v>
      </c>
      <c r="E518">
        <v>39082</v>
      </c>
      <c r="F518">
        <v>2958465</v>
      </c>
      <c r="G518">
        <v>6302</v>
      </c>
      <c r="H518" t="s">
        <v>9</v>
      </c>
      <c r="I518" t="s">
        <v>90</v>
      </c>
      <c r="J518">
        <v>0</v>
      </c>
      <c r="K518">
        <v>0</v>
      </c>
      <c r="L518" t="s">
        <v>1195</v>
      </c>
      <c r="M518" t="s">
        <v>1195</v>
      </c>
      <c r="N518">
        <v>3</v>
      </c>
      <c r="O518" t="s">
        <v>91</v>
      </c>
      <c r="P518" t="s">
        <v>1673</v>
      </c>
      <c r="Q518" s="16">
        <f>IF(CustomerHierarchyLevels[[#This Row],[HgLvCust.]]=0,CustomerHierarchyLevels[[#This Row],[Customer]],CustomerHierarchyLevels[[#This Row],[HgLvCust.]])</f>
        <v>6302</v>
      </c>
      <c r="R518" s="16">
        <f>IF(VLOOKUP(CustomerHierarchyLevels[[#This Row],[Level1]],CustomerHierarchyLevels[],7,FALSE)=0,CustomerHierarchyLevels[[#This Row],[Level1]],VLOOKUP(CustomerHierarchyLevels[[#This Row],[Level1]],CustomerHierarchyLevels[],7,FALSE))</f>
        <v>6301</v>
      </c>
      <c r="S518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519" spans="1:19" x14ac:dyDescent="0.25">
      <c r="A519">
        <v>11271</v>
      </c>
      <c r="B519" t="s">
        <v>9</v>
      </c>
      <c r="C519" t="s">
        <v>55</v>
      </c>
      <c r="D519">
        <v>0</v>
      </c>
      <c r="E519">
        <v>40507</v>
      </c>
      <c r="F519">
        <v>2958465</v>
      </c>
      <c r="G519">
        <v>6270</v>
      </c>
      <c r="H519" t="s">
        <v>9</v>
      </c>
      <c r="I519" t="s">
        <v>55</v>
      </c>
      <c r="J519">
        <v>0</v>
      </c>
      <c r="K519">
        <v>0</v>
      </c>
      <c r="N519">
        <v>0</v>
      </c>
      <c r="O519" t="s">
        <v>1592</v>
      </c>
      <c r="P519" t="s">
        <v>1674</v>
      </c>
      <c r="Q519" s="16">
        <f>IF(CustomerHierarchyLevels[[#This Row],[HgLvCust.]]=0,CustomerHierarchyLevels[[#This Row],[Customer]],CustomerHierarchyLevels[[#This Row],[HgLvCust.]])</f>
        <v>6270</v>
      </c>
      <c r="R519" s="16">
        <f>IF(VLOOKUP(CustomerHierarchyLevels[[#This Row],[Level1]],CustomerHierarchyLevels[],7,FALSE)=0,CustomerHierarchyLevels[[#This Row],[Level1]],VLOOKUP(CustomerHierarchyLevels[[#This Row],[Level1]],CustomerHierarchyLevels[],7,FALSE))</f>
        <v>6271</v>
      </c>
      <c r="S519" s="16">
        <f>IF(VLOOKUP(CustomerHierarchyLevels[[#This Row],[Level2]],CustomerHierarchyLevels[],7,FALSE)=0,CustomerHierarchyLevels[[#This Row],[Level2]],VLOOKUP(CustomerHierarchyLevels[[#This Row],[Level2]],CustomerHierarchyLevels[],7,FALSE))</f>
        <v>6728</v>
      </c>
    </row>
    <row r="520" spans="1:19" x14ac:dyDescent="0.25">
      <c r="A520">
        <v>12122</v>
      </c>
      <c r="B520" t="s">
        <v>9</v>
      </c>
      <c r="C520" t="s">
        <v>90</v>
      </c>
      <c r="D520">
        <v>0</v>
      </c>
      <c r="E520">
        <v>41050</v>
      </c>
      <c r="F520">
        <v>2958465</v>
      </c>
      <c r="G520">
        <v>12121</v>
      </c>
      <c r="H520" t="s">
        <v>9</v>
      </c>
      <c r="I520" t="s">
        <v>90</v>
      </c>
      <c r="J520">
        <v>0</v>
      </c>
      <c r="K520">
        <v>0</v>
      </c>
      <c r="M520" t="s">
        <v>1195</v>
      </c>
      <c r="N520">
        <v>0</v>
      </c>
      <c r="O520" t="s">
        <v>91</v>
      </c>
      <c r="P520" t="s">
        <v>1675</v>
      </c>
      <c r="Q520" s="16">
        <f>IF(CustomerHierarchyLevels[[#This Row],[HgLvCust.]]=0,CustomerHierarchyLevels[[#This Row],[Customer]],CustomerHierarchyLevels[[#This Row],[HgLvCust.]])</f>
        <v>12121</v>
      </c>
      <c r="R520" s="16">
        <f>IF(VLOOKUP(CustomerHierarchyLevels[[#This Row],[Level1]],CustomerHierarchyLevels[],7,FALSE)=0,CustomerHierarchyLevels[[#This Row],[Level1]],VLOOKUP(CustomerHierarchyLevels[[#This Row],[Level1]],CustomerHierarchyLevels[],7,FALSE))</f>
        <v>12121</v>
      </c>
      <c r="S520" s="16">
        <f>IF(VLOOKUP(CustomerHierarchyLevels[[#This Row],[Level2]],CustomerHierarchyLevels[],7,FALSE)=0,CustomerHierarchyLevels[[#This Row],[Level2]],VLOOKUP(CustomerHierarchyLevels[[#This Row],[Level2]],CustomerHierarchyLevels[],7,FALSE))</f>
        <v>12121</v>
      </c>
    </row>
    <row r="521" spans="1:19" x14ac:dyDescent="0.25">
      <c r="A521">
        <v>12121</v>
      </c>
      <c r="B521" t="s">
        <v>9</v>
      </c>
      <c r="C521" t="s">
        <v>90</v>
      </c>
      <c r="D521">
        <v>0</v>
      </c>
      <c r="E521">
        <v>41050</v>
      </c>
      <c r="F521">
        <v>2958465</v>
      </c>
      <c r="K521">
        <v>0</v>
      </c>
      <c r="L521" t="s">
        <v>1195</v>
      </c>
      <c r="M521" t="s">
        <v>1195</v>
      </c>
      <c r="N521">
        <v>0</v>
      </c>
      <c r="O521" t="s">
        <v>91</v>
      </c>
      <c r="P521" t="s">
        <v>1676</v>
      </c>
      <c r="Q521" s="16">
        <f>IF(CustomerHierarchyLevels[[#This Row],[HgLvCust.]]=0,CustomerHierarchyLevels[[#This Row],[Customer]],CustomerHierarchyLevels[[#This Row],[HgLvCust.]])</f>
        <v>12121</v>
      </c>
      <c r="R521" s="16">
        <f>IF(VLOOKUP(CustomerHierarchyLevels[[#This Row],[Level1]],CustomerHierarchyLevels[],7,FALSE)=0,CustomerHierarchyLevels[[#This Row],[Level1]],VLOOKUP(CustomerHierarchyLevels[[#This Row],[Level1]],CustomerHierarchyLevels[],7,FALSE))</f>
        <v>12121</v>
      </c>
      <c r="S521" s="16">
        <f>IF(VLOOKUP(CustomerHierarchyLevels[[#This Row],[Level2]],CustomerHierarchyLevels[],7,FALSE)=0,CustomerHierarchyLevels[[#This Row],[Level2]],VLOOKUP(CustomerHierarchyLevels[[#This Row],[Level2]],CustomerHierarchyLevels[],7,FALSE))</f>
        <v>12121</v>
      </c>
    </row>
    <row r="522" spans="1:19" x14ac:dyDescent="0.25">
      <c r="A522">
        <v>12115</v>
      </c>
      <c r="B522" t="s">
        <v>9</v>
      </c>
      <c r="C522" t="s">
        <v>90</v>
      </c>
      <c r="D522">
        <v>0</v>
      </c>
      <c r="E522">
        <v>41050</v>
      </c>
      <c r="F522">
        <v>2958465</v>
      </c>
      <c r="G522">
        <v>12122</v>
      </c>
      <c r="H522" t="s">
        <v>9</v>
      </c>
      <c r="I522" t="s">
        <v>90</v>
      </c>
      <c r="J522">
        <v>0</v>
      </c>
      <c r="K522">
        <v>0</v>
      </c>
      <c r="N522">
        <v>0</v>
      </c>
      <c r="O522" t="s">
        <v>91</v>
      </c>
      <c r="P522" t="s">
        <v>1677</v>
      </c>
      <c r="Q522" s="16">
        <f>IF(CustomerHierarchyLevels[[#This Row],[HgLvCust.]]=0,CustomerHierarchyLevels[[#This Row],[Customer]],CustomerHierarchyLevels[[#This Row],[HgLvCust.]])</f>
        <v>12122</v>
      </c>
      <c r="R522" s="16">
        <f>IF(VLOOKUP(CustomerHierarchyLevels[[#This Row],[Level1]],CustomerHierarchyLevels[],7,FALSE)=0,CustomerHierarchyLevels[[#This Row],[Level1]],VLOOKUP(CustomerHierarchyLevels[[#This Row],[Level1]],CustomerHierarchyLevels[],7,FALSE))</f>
        <v>12121</v>
      </c>
      <c r="S522" s="16">
        <f>IF(VLOOKUP(CustomerHierarchyLevels[[#This Row],[Level2]],CustomerHierarchyLevels[],7,FALSE)=0,CustomerHierarchyLevels[[#This Row],[Level2]],VLOOKUP(CustomerHierarchyLevels[[#This Row],[Level2]],CustomerHierarchyLevels[],7,FALSE))</f>
        <v>12121</v>
      </c>
    </row>
    <row r="523" spans="1:19" x14ac:dyDescent="0.25">
      <c r="A523">
        <v>12101</v>
      </c>
      <c r="B523" t="s">
        <v>9</v>
      </c>
      <c r="C523" t="s">
        <v>90</v>
      </c>
      <c r="D523">
        <v>0</v>
      </c>
      <c r="E523">
        <v>41050</v>
      </c>
      <c r="F523">
        <v>2958465</v>
      </c>
      <c r="G523">
        <v>12122</v>
      </c>
      <c r="H523" t="s">
        <v>9</v>
      </c>
      <c r="I523" t="s">
        <v>90</v>
      </c>
      <c r="J523">
        <v>0</v>
      </c>
      <c r="K523">
        <v>0</v>
      </c>
      <c r="N523">
        <v>0</v>
      </c>
      <c r="O523" t="s">
        <v>91</v>
      </c>
      <c r="P523" t="s">
        <v>1678</v>
      </c>
      <c r="Q523" s="16">
        <f>IF(CustomerHierarchyLevels[[#This Row],[HgLvCust.]]=0,CustomerHierarchyLevels[[#This Row],[Customer]],CustomerHierarchyLevels[[#This Row],[HgLvCust.]])</f>
        <v>12122</v>
      </c>
      <c r="R523" s="16">
        <f>IF(VLOOKUP(CustomerHierarchyLevels[[#This Row],[Level1]],CustomerHierarchyLevels[],7,FALSE)=0,CustomerHierarchyLevels[[#This Row],[Level1]],VLOOKUP(CustomerHierarchyLevels[[#This Row],[Level1]],CustomerHierarchyLevels[],7,FALSE))</f>
        <v>12121</v>
      </c>
      <c r="S523" s="16">
        <f>IF(VLOOKUP(CustomerHierarchyLevels[[#This Row],[Level2]],CustomerHierarchyLevels[],7,FALSE)=0,CustomerHierarchyLevels[[#This Row],[Level2]],VLOOKUP(CustomerHierarchyLevels[[#This Row],[Level2]],CustomerHierarchyLevels[],7,FALSE))</f>
        <v>12121</v>
      </c>
    </row>
    <row r="524" spans="1:19" x14ac:dyDescent="0.25">
      <c r="A524">
        <v>11639</v>
      </c>
      <c r="B524" t="s">
        <v>9</v>
      </c>
      <c r="C524" t="s">
        <v>90</v>
      </c>
      <c r="D524">
        <v>0</v>
      </c>
      <c r="E524">
        <v>40704</v>
      </c>
      <c r="F524">
        <v>2958465</v>
      </c>
      <c r="K524">
        <v>0</v>
      </c>
      <c r="N524">
        <v>1</v>
      </c>
      <c r="O524" t="s">
        <v>91</v>
      </c>
      <c r="P524" t="s">
        <v>1679</v>
      </c>
      <c r="Q524" s="16">
        <f>IF(CustomerHierarchyLevels[[#This Row],[HgLvCust.]]=0,CustomerHierarchyLevels[[#This Row],[Customer]],CustomerHierarchyLevels[[#This Row],[HgLvCust.]])</f>
        <v>11639</v>
      </c>
      <c r="R524" s="16">
        <f>IF(VLOOKUP(CustomerHierarchyLevels[[#This Row],[Level1]],CustomerHierarchyLevels[],7,FALSE)=0,CustomerHierarchyLevels[[#This Row],[Level1]],VLOOKUP(CustomerHierarchyLevels[[#This Row],[Level1]],CustomerHierarchyLevels[],7,FALSE))</f>
        <v>11639</v>
      </c>
      <c r="S524" s="16">
        <f>IF(VLOOKUP(CustomerHierarchyLevels[[#This Row],[Level2]],CustomerHierarchyLevels[],7,FALSE)=0,CustomerHierarchyLevels[[#This Row],[Level2]],VLOOKUP(CustomerHierarchyLevels[[#This Row],[Level2]],CustomerHierarchyLevels[],7,FALSE))</f>
        <v>11639</v>
      </c>
    </row>
    <row r="525" spans="1:19" x14ac:dyDescent="0.25">
      <c r="A525">
        <v>11640</v>
      </c>
      <c r="B525" t="s">
        <v>9</v>
      </c>
      <c r="C525" t="s">
        <v>90</v>
      </c>
      <c r="D525">
        <v>0</v>
      </c>
      <c r="E525">
        <v>40704</v>
      </c>
      <c r="F525">
        <v>2958465</v>
      </c>
      <c r="G525">
        <v>11639</v>
      </c>
      <c r="H525" t="s">
        <v>9</v>
      </c>
      <c r="I525" t="s">
        <v>90</v>
      </c>
      <c r="J525">
        <v>0</v>
      </c>
      <c r="K525">
        <v>0</v>
      </c>
      <c r="L525" t="s">
        <v>1195</v>
      </c>
      <c r="M525" t="s">
        <v>1195</v>
      </c>
      <c r="N525">
        <v>2</v>
      </c>
      <c r="O525" t="s">
        <v>91</v>
      </c>
      <c r="P525" t="s">
        <v>1680</v>
      </c>
      <c r="Q525" s="16">
        <f>IF(CustomerHierarchyLevels[[#This Row],[HgLvCust.]]=0,CustomerHierarchyLevels[[#This Row],[Customer]],CustomerHierarchyLevels[[#This Row],[HgLvCust.]])</f>
        <v>11639</v>
      </c>
      <c r="R525" s="16">
        <f>IF(VLOOKUP(CustomerHierarchyLevels[[#This Row],[Level1]],CustomerHierarchyLevels[],7,FALSE)=0,CustomerHierarchyLevels[[#This Row],[Level1]],VLOOKUP(CustomerHierarchyLevels[[#This Row],[Level1]],CustomerHierarchyLevels[],7,FALSE))</f>
        <v>11639</v>
      </c>
      <c r="S525" s="16">
        <f>IF(VLOOKUP(CustomerHierarchyLevels[[#This Row],[Level2]],CustomerHierarchyLevels[],7,FALSE)=0,CustomerHierarchyLevels[[#This Row],[Level2]],VLOOKUP(CustomerHierarchyLevels[[#This Row],[Level2]],CustomerHierarchyLevels[],7,FALSE))</f>
        <v>11639</v>
      </c>
    </row>
    <row r="526" spans="1:19" x14ac:dyDescent="0.25">
      <c r="A526">
        <v>11896</v>
      </c>
      <c r="B526" t="s">
        <v>9</v>
      </c>
      <c r="C526" t="s">
        <v>90</v>
      </c>
      <c r="D526">
        <v>0</v>
      </c>
      <c r="E526">
        <v>40869</v>
      </c>
      <c r="F526">
        <v>2958465</v>
      </c>
      <c r="G526">
        <v>11902</v>
      </c>
      <c r="H526" t="s">
        <v>9</v>
      </c>
      <c r="I526" t="s">
        <v>90</v>
      </c>
      <c r="J526">
        <v>0</v>
      </c>
      <c r="K526">
        <v>0</v>
      </c>
      <c r="L526" t="s">
        <v>1195</v>
      </c>
      <c r="M526" t="s">
        <v>1195</v>
      </c>
      <c r="N526">
        <v>2</v>
      </c>
      <c r="O526" t="s">
        <v>91</v>
      </c>
      <c r="P526" t="s">
        <v>1681</v>
      </c>
      <c r="Q526" s="16">
        <f>IF(CustomerHierarchyLevels[[#This Row],[HgLvCust.]]=0,CustomerHierarchyLevels[[#This Row],[Customer]],CustomerHierarchyLevels[[#This Row],[HgLvCust.]])</f>
        <v>11902</v>
      </c>
      <c r="R526" s="16">
        <f>IF(VLOOKUP(CustomerHierarchyLevels[[#This Row],[Level1]],CustomerHierarchyLevels[],7,FALSE)=0,CustomerHierarchyLevels[[#This Row],[Level1]],VLOOKUP(CustomerHierarchyLevels[[#This Row],[Level1]],CustomerHierarchyLevels[],7,FALSE))</f>
        <v>11902</v>
      </c>
      <c r="S526" s="16">
        <f>IF(VLOOKUP(CustomerHierarchyLevels[[#This Row],[Level2]],CustomerHierarchyLevels[],7,FALSE)=0,CustomerHierarchyLevels[[#This Row],[Level2]],VLOOKUP(CustomerHierarchyLevels[[#This Row],[Level2]],CustomerHierarchyLevels[],7,FALSE))</f>
        <v>11902</v>
      </c>
    </row>
    <row r="527" spans="1:19" x14ac:dyDescent="0.25">
      <c r="A527">
        <v>11902</v>
      </c>
      <c r="B527" t="s">
        <v>9</v>
      </c>
      <c r="C527" t="s">
        <v>90</v>
      </c>
      <c r="D527">
        <v>0</v>
      </c>
      <c r="E527">
        <v>40869</v>
      </c>
      <c r="F527">
        <v>2958465</v>
      </c>
      <c r="K527">
        <v>0</v>
      </c>
      <c r="N527">
        <v>1</v>
      </c>
      <c r="O527" t="s">
        <v>91</v>
      </c>
      <c r="P527" t="s">
        <v>1682</v>
      </c>
      <c r="Q527" s="16">
        <f>IF(CustomerHierarchyLevels[[#This Row],[HgLvCust.]]=0,CustomerHierarchyLevels[[#This Row],[Customer]],CustomerHierarchyLevels[[#This Row],[HgLvCust.]])</f>
        <v>11902</v>
      </c>
      <c r="R527" s="16">
        <f>IF(VLOOKUP(CustomerHierarchyLevels[[#This Row],[Level1]],CustomerHierarchyLevels[],7,FALSE)=0,CustomerHierarchyLevels[[#This Row],[Level1]],VLOOKUP(CustomerHierarchyLevels[[#This Row],[Level1]],CustomerHierarchyLevels[],7,FALSE))</f>
        <v>11902</v>
      </c>
      <c r="S527" s="16">
        <f>IF(VLOOKUP(CustomerHierarchyLevels[[#This Row],[Level2]],CustomerHierarchyLevels[],7,FALSE)=0,CustomerHierarchyLevels[[#This Row],[Level2]],VLOOKUP(CustomerHierarchyLevels[[#This Row],[Level2]],CustomerHierarchyLevels[],7,FALSE))</f>
        <v>11902</v>
      </c>
    </row>
    <row r="528" spans="1:19" x14ac:dyDescent="0.25">
      <c r="A528">
        <v>1323</v>
      </c>
      <c r="B528" t="s">
        <v>9</v>
      </c>
      <c r="C528" t="s">
        <v>90</v>
      </c>
      <c r="D528">
        <v>0</v>
      </c>
      <c r="E528">
        <v>40869</v>
      </c>
      <c r="F528">
        <v>2958465</v>
      </c>
      <c r="G528">
        <v>11896</v>
      </c>
      <c r="H528" t="s">
        <v>9</v>
      </c>
      <c r="I528" t="s">
        <v>90</v>
      </c>
      <c r="J528">
        <v>0</v>
      </c>
      <c r="K528">
        <v>0</v>
      </c>
      <c r="N528">
        <v>0</v>
      </c>
      <c r="O528" t="s">
        <v>91</v>
      </c>
      <c r="P528" t="s">
        <v>1683</v>
      </c>
      <c r="Q528" s="16">
        <f>IF(CustomerHierarchyLevels[[#This Row],[HgLvCust.]]=0,CustomerHierarchyLevels[[#This Row],[Customer]],CustomerHierarchyLevels[[#This Row],[HgLvCust.]])</f>
        <v>11896</v>
      </c>
      <c r="R528" s="16">
        <f>IF(VLOOKUP(CustomerHierarchyLevels[[#This Row],[Level1]],CustomerHierarchyLevels[],7,FALSE)=0,CustomerHierarchyLevels[[#This Row],[Level1]],VLOOKUP(CustomerHierarchyLevels[[#This Row],[Level1]],CustomerHierarchyLevels[],7,FALSE))</f>
        <v>11902</v>
      </c>
      <c r="S528" s="16">
        <f>IF(VLOOKUP(CustomerHierarchyLevels[[#This Row],[Level2]],CustomerHierarchyLevels[],7,FALSE)=0,CustomerHierarchyLevels[[#This Row],[Level2]],VLOOKUP(CustomerHierarchyLevels[[#This Row],[Level2]],CustomerHierarchyLevels[],7,FALSE))</f>
        <v>11902</v>
      </c>
    </row>
    <row r="529" spans="1:19" x14ac:dyDescent="0.25">
      <c r="A529">
        <v>1361</v>
      </c>
      <c r="B529" t="s">
        <v>9</v>
      </c>
      <c r="C529" t="s">
        <v>90</v>
      </c>
      <c r="D529">
        <v>0</v>
      </c>
      <c r="E529">
        <v>40869</v>
      </c>
      <c r="F529">
        <v>2958465</v>
      </c>
      <c r="G529">
        <v>11896</v>
      </c>
      <c r="H529" t="s">
        <v>9</v>
      </c>
      <c r="I529" t="s">
        <v>90</v>
      </c>
      <c r="J529">
        <v>0</v>
      </c>
      <c r="K529">
        <v>0</v>
      </c>
      <c r="N529">
        <v>0</v>
      </c>
      <c r="O529" t="s">
        <v>91</v>
      </c>
      <c r="P529" t="s">
        <v>1684</v>
      </c>
      <c r="Q529" s="16">
        <f>IF(CustomerHierarchyLevels[[#This Row],[HgLvCust.]]=0,CustomerHierarchyLevels[[#This Row],[Customer]],CustomerHierarchyLevels[[#This Row],[HgLvCust.]])</f>
        <v>11896</v>
      </c>
      <c r="R529" s="16">
        <f>IF(VLOOKUP(CustomerHierarchyLevels[[#This Row],[Level1]],CustomerHierarchyLevels[],7,FALSE)=0,CustomerHierarchyLevels[[#This Row],[Level1]],VLOOKUP(CustomerHierarchyLevels[[#This Row],[Level1]],CustomerHierarchyLevels[],7,FALSE))</f>
        <v>11902</v>
      </c>
      <c r="S529" s="16">
        <f>IF(VLOOKUP(CustomerHierarchyLevels[[#This Row],[Level2]],CustomerHierarchyLevels[],7,FALSE)=0,CustomerHierarchyLevels[[#This Row],[Level2]],VLOOKUP(CustomerHierarchyLevels[[#This Row],[Level2]],CustomerHierarchyLevels[],7,FALSE))</f>
        <v>11902</v>
      </c>
    </row>
    <row r="530" spans="1:19" x14ac:dyDescent="0.25">
      <c r="A530">
        <v>1327</v>
      </c>
      <c r="B530" t="s">
        <v>9</v>
      </c>
      <c r="C530" t="s">
        <v>90</v>
      </c>
      <c r="D530">
        <v>0</v>
      </c>
      <c r="E530">
        <v>40869</v>
      </c>
      <c r="F530">
        <v>2958465</v>
      </c>
      <c r="G530">
        <v>11896</v>
      </c>
      <c r="H530" t="s">
        <v>9</v>
      </c>
      <c r="I530" t="s">
        <v>90</v>
      </c>
      <c r="J530">
        <v>0</v>
      </c>
      <c r="K530">
        <v>0</v>
      </c>
      <c r="N530">
        <v>0</v>
      </c>
      <c r="O530" t="s">
        <v>91</v>
      </c>
      <c r="P530" t="s">
        <v>1685</v>
      </c>
      <c r="Q530" s="16">
        <f>IF(CustomerHierarchyLevels[[#This Row],[HgLvCust.]]=0,CustomerHierarchyLevels[[#This Row],[Customer]],CustomerHierarchyLevels[[#This Row],[HgLvCust.]])</f>
        <v>11896</v>
      </c>
      <c r="R530" s="16">
        <f>IF(VLOOKUP(CustomerHierarchyLevels[[#This Row],[Level1]],CustomerHierarchyLevels[],7,FALSE)=0,CustomerHierarchyLevels[[#This Row],[Level1]],VLOOKUP(CustomerHierarchyLevels[[#This Row],[Level1]],CustomerHierarchyLevels[],7,FALSE))</f>
        <v>11902</v>
      </c>
      <c r="S530" s="16">
        <f>IF(VLOOKUP(CustomerHierarchyLevels[[#This Row],[Level2]],CustomerHierarchyLevels[],7,FALSE)=0,CustomerHierarchyLevels[[#This Row],[Level2]],VLOOKUP(CustomerHierarchyLevels[[#This Row],[Level2]],CustomerHierarchyLevels[],7,FALSE))</f>
        <v>11902</v>
      </c>
    </row>
    <row r="531" spans="1:19" x14ac:dyDescent="0.25">
      <c r="A531">
        <v>1330</v>
      </c>
      <c r="B531" t="s">
        <v>9</v>
      </c>
      <c r="C531" t="s">
        <v>90</v>
      </c>
      <c r="D531">
        <v>0</v>
      </c>
      <c r="E531">
        <v>40869</v>
      </c>
      <c r="F531">
        <v>2958465</v>
      </c>
      <c r="G531">
        <v>11896</v>
      </c>
      <c r="H531" t="s">
        <v>9</v>
      </c>
      <c r="I531" t="s">
        <v>90</v>
      </c>
      <c r="J531">
        <v>0</v>
      </c>
      <c r="K531">
        <v>0</v>
      </c>
      <c r="N531">
        <v>0</v>
      </c>
      <c r="O531" t="s">
        <v>91</v>
      </c>
      <c r="P531" t="s">
        <v>1686</v>
      </c>
      <c r="Q531" s="16">
        <f>IF(CustomerHierarchyLevels[[#This Row],[HgLvCust.]]=0,CustomerHierarchyLevels[[#This Row],[Customer]],CustomerHierarchyLevels[[#This Row],[HgLvCust.]])</f>
        <v>11896</v>
      </c>
      <c r="R531" s="16">
        <f>IF(VLOOKUP(CustomerHierarchyLevels[[#This Row],[Level1]],CustomerHierarchyLevels[],7,FALSE)=0,CustomerHierarchyLevels[[#This Row],[Level1]],VLOOKUP(CustomerHierarchyLevels[[#This Row],[Level1]],CustomerHierarchyLevels[],7,FALSE))</f>
        <v>11902</v>
      </c>
      <c r="S531" s="16">
        <f>IF(VLOOKUP(CustomerHierarchyLevels[[#This Row],[Level2]],CustomerHierarchyLevels[],7,FALSE)=0,CustomerHierarchyLevels[[#This Row],[Level2]],VLOOKUP(CustomerHierarchyLevels[[#This Row],[Level2]],CustomerHierarchyLevels[],7,FALSE))</f>
        <v>11902</v>
      </c>
    </row>
    <row r="532" spans="1:19" x14ac:dyDescent="0.25">
      <c r="A532">
        <v>1242</v>
      </c>
      <c r="B532" t="s">
        <v>9</v>
      </c>
      <c r="C532" t="s">
        <v>90</v>
      </c>
      <c r="D532">
        <v>0</v>
      </c>
      <c r="E532">
        <v>40869</v>
      </c>
      <c r="F532">
        <v>2958465</v>
      </c>
      <c r="G532">
        <v>11896</v>
      </c>
      <c r="H532" t="s">
        <v>9</v>
      </c>
      <c r="I532" t="s">
        <v>90</v>
      </c>
      <c r="J532">
        <v>0</v>
      </c>
      <c r="K532">
        <v>0</v>
      </c>
      <c r="N532">
        <v>0</v>
      </c>
      <c r="O532" t="s">
        <v>91</v>
      </c>
      <c r="P532" t="s">
        <v>1687</v>
      </c>
      <c r="Q532" s="16">
        <f>IF(CustomerHierarchyLevels[[#This Row],[HgLvCust.]]=0,CustomerHierarchyLevels[[#This Row],[Customer]],CustomerHierarchyLevels[[#This Row],[HgLvCust.]])</f>
        <v>11896</v>
      </c>
      <c r="R532" s="16">
        <f>IF(VLOOKUP(CustomerHierarchyLevels[[#This Row],[Level1]],CustomerHierarchyLevels[],7,FALSE)=0,CustomerHierarchyLevels[[#This Row],[Level1]],VLOOKUP(CustomerHierarchyLevels[[#This Row],[Level1]],CustomerHierarchyLevels[],7,FALSE))</f>
        <v>11902</v>
      </c>
      <c r="S532" s="16">
        <f>IF(VLOOKUP(CustomerHierarchyLevels[[#This Row],[Level2]],CustomerHierarchyLevels[],7,FALSE)=0,CustomerHierarchyLevels[[#This Row],[Level2]],VLOOKUP(CustomerHierarchyLevels[[#This Row],[Level2]],CustomerHierarchyLevels[],7,FALSE))</f>
        <v>11902</v>
      </c>
    </row>
    <row r="533" spans="1:19" x14ac:dyDescent="0.25">
      <c r="A533">
        <v>11147</v>
      </c>
      <c r="B533" t="s">
        <v>9</v>
      </c>
      <c r="C533" t="s">
        <v>90</v>
      </c>
      <c r="D533">
        <v>0</v>
      </c>
      <c r="E533">
        <v>40912</v>
      </c>
      <c r="F533">
        <v>2958465</v>
      </c>
      <c r="G533">
        <v>6304</v>
      </c>
      <c r="H533" t="s">
        <v>9</v>
      </c>
      <c r="I533" t="s">
        <v>90</v>
      </c>
      <c r="J533">
        <v>0</v>
      </c>
      <c r="K533">
        <v>0</v>
      </c>
      <c r="N533">
        <v>0</v>
      </c>
      <c r="O533" t="s">
        <v>91</v>
      </c>
      <c r="P533" t="s">
        <v>279</v>
      </c>
      <c r="Q533" s="16">
        <f>IF(CustomerHierarchyLevels[[#This Row],[HgLvCust.]]=0,CustomerHierarchyLevels[[#This Row],[Customer]],CustomerHierarchyLevels[[#This Row],[HgLvCust.]])</f>
        <v>6304</v>
      </c>
      <c r="R533" s="16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533" s="16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534" spans="1:19" x14ac:dyDescent="0.25">
      <c r="A534">
        <v>12002</v>
      </c>
      <c r="B534" t="s">
        <v>9</v>
      </c>
      <c r="C534" t="s">
        <v>90</v>
      </c>
      <c r="D534">
        <v>0</v>
      </c>
      <c r="E534">
        <v>40946</v>
      </c>
      <c r="F534">
        <v>2958465</v>
      </c>
      <c r="G534">
        <v>12001</v>
      </c>
      <c r="H534" t="s">
        <v>9</v>
      </c>
      <c r="I534" t="s">
        <v>90</v>
      </c>
      <c r="J534">
        <v>0</v>
      </c>
      <c r="K534">
        <v>0</v>
      </c>
      <c r="M534" t="s">
        <v>1195</v>
      </c>
      <c r="N534">
        <v>2</v>
      </c>
      <c r="O534" t="s">
        <v>91</v>
      </c>
      <c r="P534" t="s">
        <v>1688</v>
      </c>
      <c r="Q534" s="16">
        <f>IF(CustomerHierarchyLevels[[#This Row],[HgLvCust.]]=0,CustomerHierarchyLevels[[#This Row],[Customer]],CustomerHierarchyLevels[[#This Row],[HgLvCust.]])</f>
        <v>12001</v>
      </c>
      <c r="R534" s="16">
        <f>IF(VLOOKUP(CustomerHierarchyLevels[[#This Row],[Level1]],CustomerHierarchyLevels[],7,FALSE)=0,CustomerHierarchyLevels[[#This Row],[Level1]],VLOOKUP(CustomerHierarchyLevels[[#This Row],[Level1]],CustomerHierarchyLevels[],7,FALSE))</f>
        <v>12001</v>
      </c>
      <c r="S534" s="16">
        <f>IF(VLOOKUP(CustomerHierarchyLevels[[#This Row],[Level2]],CustomerHierarchyLevels[],7,FALSE)=0,CustomerHierarchyLevels[[#This Row],[Level2]],VLOOKUP(CustomerHierarchyLevels[[#This Row],[Level2]],CustomerHierarchyLevels[],7,FALSE))</f>
        <v>12001</v>
      </c>
    </row>
    <row r="535" spans="1:19" x14ac:dyDescent="0.25">
      <c r="A535">
        <v>12001</v>
      </c>
      <c r="B535" t="s">
        <v>9</v>
      </c>
      <c r="C535" t="s">
        <v>90</v>
      </c>
      <c r="D535">
        <v>0</v>
      </c>
      <c r="E535">
        <v>40946</v>
      </c>
      <c r="F535">
        <v>2958465</v>
      </c>
      <c r="K535">
        <v>0</v>
      </c>
      <c r="M535" t="s">
        <v>1195</v>
      </c>
      <c r="N535">
        <v>1</v>
      </c>
      <c r="O535" t="s">
        <v>91</v>
      </c>
      <c r="P535" t="s">
        <v>1689</v>
      </c>
      <c r="Q535" s="16">
        <f>IF(CustomerHierarchyLevels[[#This Row],[HgLvCust.]]=0,CustomerHierarchyLevels[[#This Row],[Customer]],CustomerHierarchyLevels[[#This Row],[HgLvCust.]])</f>
        <v>12001</v>
      </c>
      <c r="R535" s="16">
        <f>IF(VLOOKUP(CustomerHierarchyLevels[[#This Row],[Level1]],CustomerHierarchyLevels[],7,FALSE)=0,CustomerHierarchyLevels[[#This Row],[Level1]],VLOOKUP(CustomerHierarchyLevels[[#This Row],[Level1]],CustomerHierarchyLevels[],7,FALSE))</f>
        <v>12001</v>
      </c>
      <c r="S535" s="16">
        <f>IF(VLOOKUP(CustomerHierarchyLevels[[#This Row],[Level2]],CustomerHierarchyLevels[],7,FALSE)=0,CustomerHierarchyLevels[[#This Row],[Level2]],VLOOKUP(CustomerHierarchyLevels[[#This Row],[Level2]],CustomerHierarchyLevels[],7,FALSE))</f>
        <v>12001</v>
      </c>
    </row>
    <row r="536" spans="1:19" x14ac:dyDescent="0.25">
      <c r="A536">
        <v>3406</v>
      </c>
      <c r="B536" t="s">
        <v>9</v>
      </c>
      <c r="C536" t="s">
        <v>90</v>
      </c>
      <c r="D536">
        <v>0</v>
      </c>
      <c r="E536">
        <v>40946</v>
      </c>
      <c r="F536">
        <v>2958465</v>
      </c>
      <c r="G536">
        <v>12002</v>
      </c>
      <c r="H536" t="s">
        <v>9</v>
      </c>
      <c r="I536" t="s">
        <v>90</v>
      </c>
      <c r="J536">
        <v>0</v>
      </c>
      <c r="K536">
        <v>0</v>
      </c>
      <c r="N536">
        <v>0</v>
      </c>
      <c r="O536" t="s">
        <v>91</v>
      </c>
      <c r="P536" t="s">
        <v>120</v>
      </c>
      <c r="Q536" s="16">
        <f>IF(CustomerHierarchyLevels[[#This Row],[HgLvCust.]]=0,CustomerHierarchyLevels[[#This Row],[Customer]],CustomerHierarchyLevels[[#This Row],[HgLvCust.]])</f>
        <v>12002</v>
      </c>
      <c r="R536" s="16">
        <f>IF(VLOOKUP(CustomerHierarchyLevels[[#This Row],[Level1]],CustomerHierarchyLevels[],7,FALSE)=0,CustomerHierarchyLevels[[#This Row],[Level1]],VLOOKUP(CustomerHierarchyLevels[[#This Row],[Level1]],CustomerHierarchyLevels[],7,FALSE))</f>
        <v>12001</v>
      </c>
      <c r="S536" s="16">
        <f>IF(VLOOKUP(CustomerHierarchyLevels[[#This Row],[Level2]],CustomerHierarchyLevels[],7,FALSE)=0,CustomerHierarchyLevels[[#This Row],[Level2]],VLOOKUP(CustomerHierarchyLevels[[#This Row],[Level2]],CustomerHierarchyLevels[],7,FALSE))</f>
        <v>12001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1">
    <tabColor rgb="FFFF8080"/>
  </sheetPr>
  <dimension ref="A1:B5"/>
  <sheetViews>
    <sheetView showGridLines="0" zoomScale="85" zoomScaleNormal="85" workbookViewId="0"/>
  </sheetViews>
  <sheetFormatPr defaultColWidth="11.42578125" defaultRowHeight="15" x14ac:dyDescent="0.25"/>
  <cols>
    <col min="1" max="1" width="29.140625" bestFit="1" customWidth="1"/>
    <col min="2" max="2" width="81.85546875" bestFit="1" customWidth="1"/>
  </cols>
  <sheetData>
    <row r="1" spans="1:2" x14ac:dyDescent="0.25">
      <c r="A1" s="6" t="s">
        <v>41</v>
      </c>
      <c r="B1" s="6" t="s">
        <v>14</v>
      </c>
    </row>
    <row r="2" spans="1:2" x14ac:dyDescent="0.25">
      <c r="A2" t="s">
        <v>1879</v>
      </c>
      <c r="B2" t="s">
        <v>1880</v>
      </c>
    </row>
    <row r="3" spans="1:2" x14ac:dyDescent="0.25">
      <c r="A3" t="s">
        <v>42</v>
      </c>
      <c r="B3" t="s">
        <v>1881</v>
      </c>
    </row>
    <row r="4" spans="1:2" x14ac:dyDescent="0.25">
      <c r="A4" t="s">
        <v>1882</v>
      </c>
      <c r="B4" t="s">
        <v>1883</v>
      </c>
    </row>
    <row r="5" spans="1:2" x14ac:dyDescent="0.25">
      <c r="A5" t="s">
        <v>1771</v>
      </c>
      <c r="B5" t="s">
        <v>1884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5" x14ac:dyDescent="0.25"/>
  <cols>
    <col min="1" max="1" width="11" customWidth="1"/>
    <col min="2" max="2" width="11.140625" bestFit="1" customWidth="1"/>
    <col min="3" max="3" width="11.5703125" bestFit="1" customWidth="1"/>
    <col min="4" max="4" width="13.7109375" customWidth="1"/>
    <col min="5" max="5" width="13.42578125" bestFit="1" customWidth="1"/>
    <col min="6" max="6" width="11" customWidth="1"/>
    <col min="7" max="7" width="15.42578125" bestFit="1" customWidth="1"/>
    <col min="8" max="8" width="14.5703125" bestFit="1" customWidth="1"/>
    <col min="9" max="9" width="15.7109375" bestFit="1" customWidth="1"/>
    <col min="10" max="10" width="12.5703125" bestFit="1" customWidth="1"/>
    <col min="11" max="11" width="19.28515625" bestFit="1" customWidth="1"/>
    <col min="12" max="12" width="12.28515625" bestFit="1" customWidth="1"/>
    <col min="13" max="14" width="12" customWidth="1"/>
    <col min="15" max="15" width="17" customWidth="1"/>
    <col min="16" max="16" width="20.85546875" bestFit="1" customWidth="1"/>
    <col min="17" max="17" width="12" customWidth="1"/>
    <col min="18" max="18" width="8.5703125" customWidth="1"/>
    <col min="19" max="19" width="9.28515625" customWidth="1"/>
    <col min="20" max="20" width="13.5703125" customWidth="1"/>
    <col min="21" max="21" width="11" customWidth="1"/>
    <col min="22" max="23" width="12" customWidth="1"/>
    <col min="24" max="24" width="12.85546875" customWidth="1"/>
    <col min="25" max="51" width="12" customWidth="1"/>
  </cols>
  <sheetData>
    <row r="1" spans="1:33" x14ac:dyDescent="0.25">
      <c r="A1" t="s">
        <v>1690</v>
      </c>
      <c r="B1" t="s">
        <v>3</v>
      </c>
      <c r="C1" t="s">
        <v>1691</v>
      </c>
      <c r="D1" t="s">
        <v>1692</v>
      </c>
      <c r="E1" t="s">
        <v>1693</v>
      </c>
      <c r="F1" t="s">
        <v>1694</v>
      </c>
      <c r="G1" t="s">
        <v>1695</v>
      </c>
      <c r="H1" t="s">
        <v>1696</v>
      </c>
      <c r="I1" t="s">
        <v>1697</v>
      </c>
      <c r="J1" t="s">
        <v>1698</v>
      </c>
      <c r="K1" t="s">
        <v>1699</v>
      </c>
      <c r="L1" t="s">
        <v>1700</v>
      </c>
      <c r="M1" t="s">
        <v>1701</v>
      </c>
      <c r="N1" t="s">
        <v>1702</v>
      </c>
      <c r="O1" t="s">
        <v>1703</v>
      </c>
      <c r="P1" t="s">
        <v>1704</v>
      </c>
      <c r="Q1" t="s">
        <v>1705</v>
      </c>
      <c r="R1" t="s">
        <v>1706</v>
      </c>
      <c r="S1" t="s">
        <v>1707</v>
      </c>
      <c r="T1" t="s">
        <v>1708</v>
      </c>
      <c r="U1" t="s">
        <v>1709</v>
      </c>
      <c r="V1" t="s">
        <v>1710</v>
      </c>
      <c r="W1" t="s">
        <v>1711</v>
      </c>
      <c r="X1" t="s">
        <v>1712</v>
      </c>
      <c r="Y1" t="s">
        <v>1713</v>
      </c>
      <c r="Z1" t="s">
        <v>1714</v>
      </c>
      <c r="AA1" t="s">
        <v>1715</v>
      </c>
      <c r="AB1" t="s">
        <v>1716</v>
      </c>
      <c r="AC1" t="s">
        <v>1717</v>
      </c>
      <c r="AD1" t="s">
        <v>1718</v>
      </c>
      <c r="AE1" t="s">
        <v>1719</v>
      </c>
      <c r="AF1" t="s">
        <v>1720</v>
      </c>
      <c r="AG1" t="s">
        <v>1721</v>
      </c>
    </row>
    <row r="2" spans="1:33" x14ac:dyDescent="0.25">
      <c r="A2" s="9"/>
      <c r="C2" s="9"/>
      <c r="D2" s="9"/>
      <c r="E2" s="9"/>
      <c r="F2" s="9"/>
      <c r="G2" s="9"/>
      <c r="H2" s="9"/>
      <c r="I2" s="9"/>
      <c r="L2" s="9"/>
      <c r="M2" s="9"/>
      <c r="N2" s="9"/>
      <c r="O2" s="9"/>
      <c r="P2" s="9"/>
      <c r="Q2" s="9"/>
      <c r="R2" s="9"/>
      <c r="S2" s="9"/>
      <c r="U2" s="9"/>
      <c r="V2" s="9"/>
      <c r="W2" s="9"/>
      <c r="X2" s="9"/>
      <c r="AA2" s="9"/>
      <c r="AE2" s="9"/>
      <c r="AF2" s="9"/>
    </row>
    <row r="3" spans="1:33" x14ac:dyDescent="0.25">
      <c r="D3" s="9"/>
      <c r="E3" s="9"/>
      <c r="G3" s="9"/>
      <c r="H3" s="9"/>
      <c r="L3" s="9"/>
      <c r="M3" s="9"/>
      <c r="N3" s="9"/>
      <c r="O3" s="9"/>
      <c r="Q3" s="9"/>
      <c r="R3" s="9"/>
      <c r="S3" s="9"/>
      <c r="U3" s="9"/>
    </row>
    <row r="4" spans="1:33" x14ac:dyDescent="0.25">
      <c r="D4" s="9"/>
      <c r="E4" s="9"/>
      <c r="G4" s="9"/>
      <c r="H4" s="9"/>
      <c r="L4" s="9"/>
      <c r="M4" s="9"/>
      <c r="N4" s="9"/>
      <c r="O4" s="9"/>
      <c r="Q4" s="9"/>
      <c r="R4" s="9"/>
      <c r="S4" s="9"/>
      <c r="U4" s="9"/>
    </row>
    <row r="5" spans="1:33" x14ac:dyDescent="0.25">
      <c r="D5" s="9"/>
      <c r="E5" s="9"/>
      <c r="G5" s="9"/>
      <c r="H5" s="9"/>
      <c r="L5" s="9"/>
      <c r="M5" s="9"/>
      <c r="N5" s="9"/>
      <c r="O5" s="9"/>
      <c r="Q5" s="9"/>
      <c r="R5" s="9"/>
      <c r="S5" s="9"/>
      <c r="U5" s="9"/>
    </row>
    <row r="6" spans="1:33" x14ac:dyDescent="0.25">
      <c r="D6" s="9"/>
      <c r="E6" s="9"/>
      <c r="G6" s="9"/>
      <c r="H6" s="9"/>
      <c r="L6" s="9"/>
      <c r="M6" s="9"/>
      <c r="N6" s="9"/>
      <c r="O6" s="9"/>
      <c r="Q6" s="9"/>
      <c r="R6" s="9"/>
      <c r="S6" s="9"/>
      <c r="U6" s="9"/>
    </row>
    <row r="7" spans="1:33" x14ac:dyDescent="0.25">
      <c r="D7" s="9"/>
      <c r="E7" s="9"/>
      <c r="G7" s="9"/>
      <c r="H7" s="9"/>
      <c r="L7" s="9"/>
      <c r="M7" s="9"/>
      <c r="N7" s="9"/>
      <c r="O7" s="9"/>
      <c r="Q7" s="9"/>
      <c r="R7" s="9"/>
      <c r="S7" s="9"/>
      <c r="U7" s="9"/>
    </row>
    <row r="8" spans="1:33" x14ac:dyDescent="0.25">
      <c r="D8" s="9"/>
      <c r="E8" s="9"/>
      <c r="G8" s="9"/>
      <c r="H8" s="9"/>
      <c r="L8" s="9"/>
      <c r="M8" s="9"/>
      <c r="N8" s="9"/>
      <c r="O8" s="9"/>
      <c r="Q8" s="9"/>
      <c r="R8" s="9"/>
      <c r="S8" s="9"/>
      <c r="U8" s="9"/>
    </row>
    <row r="9" spans="1:33" x14ac:dyDescent="0.25">
      <c r="D9" s="9"/>
      <c r="E9" s="9"/>
      <c r="G9" s="9"/>
      <c r="H9" s="9"/>
      <c r="L9" s="9"/>
      <c r="M9" s="9"/>
      <c r="N9" s="9"/>
      <c r="O9" s="9"/>
      <c r="Q9" s="9"/>
      <c r="R9" s="9"/>
      <c r="S9" s="9"/>
      <c r="U9" s="9"/>
    </row>
    <row r="10" spans="1:33" x14ac:dyDescent="0.25">
      <c r="D10" s="9"/>
      <c r="E10" s="9"/>
      <c r="G10" s="9"/>
      <c r="H10" s="9"/>
      <c r="L10" s="9"/>
      <c r="M10" s="9"/>
      <c r="N10" s="9"/>
      <c r="O10" s="9"/>
      <c r="Q10" s="9"/>
      <c r="R10" s="9"/>
      <c r="S10" s="9"/>
      <c r="U10" s="9"/>
    </row>
    <row r="11" spans="1:33" x14ac:dyDescent="0.25">
      <c r="D11" s="9"/>
      <c r="E11" s="9"/>
      <c r="G11" s="9"/>
      <c r="H11" s="9"/>
      <c r="L11" s="9"/>
      <c r="M11" s="9"/>
      <c r="N11" s="9"/>
      <c r="O11" s="9"/>
      <c r="Q11" s="9"/>
      <c r="R11" s="9"/>
      <c r="S11" s="9"/>
      <c r="U11" s="9"/>
    </row>
    <row r="12" spans="1:33" x14ac:dyDescent="0.25">
      <c r="D12" s="9"/>
      <c r="E12" s="9"/>
      <c r="G12" s="9"/>
      <c r="H12" s="9"/>
      <c r="L12" s="9"/>
      <c r="M12" s="9"/>
      <c r="N12" s="9"/>
      <c r="O12" s="9"/>
      <c r="Q12" s="9"/>
      <c r="R12" s="9"/>
      <c r="S12" s="9"/>
      <c r="U12" s="9"/>
    </row>
    <row r="13" spans="1:33" x14ac:dyDescent="0.25">
      <c r="D13" s="9"/>
      <c r="E13" s="9"/>
      <c r="G13" s="9"/>
      <c r="H13" s="9"/>
      <c r="L13" s="9"/>
      <c r="M13" s="9"/>
      <c r="N13" s="9"/>
      <c r="O13" s="9"/>
      <c r="Q13" s="9"/>
      <c r="R13" s="9"/>
      <c r="S13" s="9"/>
      <c r="U13" s="9"/>
    </row>
    <row r="14" spans="1:33" x14ac:dyDescent="0.25">
      <c r="D14" s="9"/>
      <c r="E14" s="9"/>
      <c r="G14" s="9"/>
      <c r="H14" s="9"/>
      <c r="L14" s="9"/>
      <c r="M14" s="9"/>
      <c r="N14" s="9"/>
      <c r="O14" s="9"/>
      <c r="Q14" s="9"/>
      <c r="R14" s="9"/>
      <c r="S14" s="9"/>
      <c r="U14" s="9"/>
    </row>
    <row r="15" spans="1:33" x14ac:dyDescent="0.25">
      <c r="D15" s="9"/>
      <c r="E15" s="9"/>
      <c r="G15" s="9"/>
      <c r="H15" s="9"/>
      <c r="L15" s="9"/>
      <c r="M15" s="9"/>
      <c r="N15" s="9"/>
      <c r="O15" s="9"/>
      <c r="Q15" s="9"/>
      <c r="R15" s="9"/>
      <c r="S15" s="9"/>
      <c r="U15" s="9"/>
    </row>
    <row r="16" spans="1:33" x14ac:dyDescent="0.25">
      <c r="D16" s="9"/>
      <c r="E16" s="9"/>
      <c r="G16" s="9"/>
      <c r="H16" s="9"/>
      <c r="L16" s="9"/>
      <c r="M16" s="9"/>
      <c r="N16" s="9"/>
      <c r="O16" s="9"/>
      <c r="Q16" s="9"/>
      <c r="R16" s="9"/>
      <c r="S16" s="9"/>
      <c r="U16" s="9"/>
    </row>
    <row r="17" spans="4:21" x14ac:dyDescent="0.25">
      <c r="D17" s="9"/>
      <c r="E17" s="9"/>
      <c r="G17" s="9"/>
      <c r="H17" s="9"/>
      <c r="L17" s="9"/>
      <c r="M17" s="9"/>
      <c r="N17" s="9"/>
      <c r="O17" s="9"/>
      <c r="Q17" s="9"/>
      <c r="R17" s="9"/>
      <c r="S17" s="9"/>
      <c r="U17" s="9"/>
    </row>
    <row r="18" spans="4:21" x14ac:dyDescent="0.25">
      <c r="D18" s="9"/>
      <c r="E18" s="9"/>
      <c r="G18" s="9"/>
      <c r="H18" s="9"/>
      <c r="L18" s="9"/>
      <c r="M18" s="9"/>
      <c r="N18" s="9"/>
      <c r="O18" s="9"/>
      <c r="Q18" s="9"/>
      <c r="R18" s="9"/>
      <c r="S18" s="9"/>
      <c r="U18" s="9"/>
    </row>
    <row r="19" spans="4:21" x14ac:dyDescent="0.25">
      <c r="D19" s="9"/>
      <c r="E19" s="9"/>
      <c r="G19" s="9"/>
      <c r="H19" s="9"/>
      <c r="L19" s="9"/>
      <c r="M19" s="9"/>
      <c r="N19" s="9"/>
      <c r="O19" s="9"/>
      <c r="Q19" s="9"/>
      <c r="R19" s="9"/>
      <c r="S19" s="9"/>
      <c r="U19" s="9"/>
    </row>
    <row r="20" spans="4:21" x14ac:dyDescent="0.25">
      <c r="D20" s="9"/>
      <c r="E20" s="9"/>
      <c r="G20" s="9"/>
      <c r="H20" s="9"/>
      <c r="L20" s="9"/>
      <c r="M20" s="9"/>
      <c r="N20" s="9"/>
      <c r="O20" s="9"/>
      <c r="Q20" s="9"/>
      <c r="R20" s="9"/>
      <c r="S20" s="9"/>
      <c r="U20" s="9"/>
    </row>
    <row r="21" spans="4:21" x14ac:dyDescent="0.25">
      <c r="D21" s="9"/>
      <c r="E21" s="9"/>
      <c r="G21" s="9"/>
      <c r="H21" s="9"/>
      <c r="L21" s="9"/>
      <c r="M21" s="9"/>
      <c r="N21" s="9"/>
      <c r="O21" s="9"/>
      <c r="Q21" s="9"/>
      <c r="R21" s="9"/>
      <c r="S21" s="9"/>
      <c r="U21" s="9"/>
    </row>
    <row r="22" spans="4:21" x14ac:dyDescent="0.25">
      <c r="D22" s="9"/>
      <c r="E22" s="9"/>
      <c r="G22" s="9"/>
      <c r="H22" s="9"/>
      <c r="L22" s="9"/>
      <c r="M22" s="9"/>
      <c r="N22" s="9"/>
      <c r="O22" s="9"/>
      <c r="Q22" s="9"/>
      <c r="R22" s="9"/>
      <c r="S22" s="9"/>
      <c r="U22" s="9"/>
    </row>
    <row r="23" spans="4:21" x14ac:dyDescent="0.25">
      <c r="D23" s="9"/>
      <c r="E23" s="9"/>
      <c r="G23" s="9"/>
      <c r="H23" s="9"/>
      <c r="L23" s="9"/>
      <c r="M23" s="9"/>
      <c r="N23" s="9"/>
      <c r="O23" s="9"/>
      <c r="Q23" s="9"/>
      <c r="R23" s="9"/>
      <c r="S23" s="9"/>
      <c r="U23" s="9"/>
    </row>
    <row r="24" spans="4:21" x14ac:dyDescent="0.25">
      <c r="D24" s="9"/>
      <c r="E24" s="9"/>
      <c r="G24" s="9"/>
      <c r="H24" s="9"/>
      <c r="L24" s="9"/>
      <c r="M24" s="9"/>
      <c r="N24" s="9"/>
      <c r="O24" s="9"/>
      <c r="Q24" s="9"/>
      <c r="R24" s="9"/>
      <c r="S24" s="9"/>
      <c r="U24" s="9"/>
    </row>
    <row r="25" spans="4:21" x14ac:dyDescent="0.25">
      <c r="D25" s="9"/>
      <c r="E25" s="9"/>
      <c r="G25" s="9"/>
      <c r="H25" s="9"/>
      <c r="L25" s="9"/>
      <c r="M25" s="9"/>
      <c r="N25" s="9"/>
      <c r="O25" s="9"/>
      <c r="Q25" s="9"/>
      <c r="R25" s="9"/>
      <c r="S25" s="9"/>
      <c r="U25" s="9"/>
    </row>
    <row r="26" spans="4:21" x14ac:dyDescent="0.25">
      <c r="D26" s="9"/>
      <c r="E26" s="9"/>
      <c r="G26" s="9"/>
      <c r="H26" s="9"/>
      <c r="L26" s="9"/>
      <c r="M26" s="9"/>
      <c r="N26" s="9"/>
      <c r="O26" s="9"/>
      <c r="Q26" s="9"/>
      <c r="R26" s="9"/>
      <c r="S26" s="9"/>
      <c r="U26" s="9"/>
    </row>
    <row r="27" spans="4:21" x14ac:dyDescent="0.25">
      <c r="D27" s="9"/>
      <c r="E27" s="9"/>
      <c r="G27" s="9"/>
      <c r="H27" s="9"/>
      <c r="L27" s="9"/>
      <c r="M27" s="9"/>
      <c r="N27" s="9"/>
      <c r="O27" s="9"/>
      <c r="Q27" s="9"/>
      <c r="R27" s="9"/>
      <c r="S27" s="9"/>
      <c r="U27" s="9"/>
    </row>
    <row r="28" spans="4:21" x14ac:dyDescent="0.25">
      <c r="D28" s="9"/>
      <c r="E28" s="9"/>
      <c r="G28" s="9"/>
      <c r="H28" s="9"/>
      <c r="L28" s="9"/>
      <c r="M28" s="9"/>
      <c r="N28" s="9"/>
      <c r="O28" s="9"/>
      <c r="Q28" s="9"/>
      <c r="R28" s="9"/>
      <c r="S28" s="9"/>
      <c r="U28" s="9"/>
    </row>
    <row r="29" spans="4:21" x14ac:dyDescent="0.25">
      <c r="D29" s="9"/>
      <c r="E29" s="9"/>
      <c r="G29" s="9"/>
      <c r="H29" s="9"/>
      <c r="L29" s="9"/>
      <c r="M29" s="9"/>
      <c r="N29" s="9"/>
      <c r="O29" s="9"/>
      <c r="Q29" s="9"/>
      <c r="R29" s="9"/>
      <c r="S29" s="9"/>
      <c r="U29" s="9"/>
    </row>
    <row r="30" spans="4:21" x14ac:dyDescent="0.25">
      <c r="D30" s="9"/>
      <c r="E30" s="9"/>
      <c r="G30" s="9"/>
      <c r="H30" s="9"/>
      <c r="L30" s="9"/>
      <c r="M30" s="9"/>
      <c r="N30" s="9"/>
      <c r="O30" s="9"/>
      <c r="Q30" s="9"/>
      <c r="R30" s="9"/>
      <c r="S30" s="9"/>
      <c r="U30" s="9"/>
    </row>
    <row r="31" spans="4:21" x14ac:dyDescent="0.25">
      <c r="D31" s="9"/>
      <c r="E31" s="9"/>
      <c r="G31" s="9"/>
      <c r="H31" s="9"/>
      <c r="L31" s="9"/>
      <c r="M31" s="9"/>
      <c r="N31" s="9"/>
      <c r="O31" s="9"/>
      <c r="Q31" s="9"/>
      <c r="R31" s="9"/>
      <c r="S31" s="9"/>
      <c r="U31" s="9"/>
    </row>
    <row r="32" spans="4:21" x14ac:dyDescent="0.25">
      <c r="D32" s="9"/>
      <c r="E32" s="9"/>
      <c r="G32" s="9"/>
      <c r="H32" s="9"/>
      <c r="L32" s="9"/>
      <c r="M32" s="9"/>
      <c r="N32" s="9"/>
      <c r="O32" s="9"/>
      <c r="Q32" s="9"/>
      <c r="R32" s="9"/>
      <c r="S32" s="9"/>
      <c r="U32" s="9"/>
    </row>
    <row r="33" spans="4:21" x14ac:dyDescent="0.25">
      <c r="D33" s="9"/>
      <c r="E33" s="9"/>
      <c r="G33" s="9"/>
      <c r="H33" s="9"/>
      <c r="L33" s="9"/>
      <c r="M33" s="9"/>
      <c r="N33" s="9"/>
      <c r="O33" s="9"/>
      <c r="Q33" s="9"/>
      <c r="R33" s="9"/>
      <c r="S33" s="9"/>
      <c r="U33" s="9"/>
    </row>
    <row r="34" spans="4:21" x14ac:dyDescent="0.25">
      <c r="D34" s="9"/>
      <c r="E34" s="9"/>
      <c r="G34" s="9"/>
      <c r="H34" s="9"/>
      <c r="L34" s="9"/>
      <c r="M34" s="9"/>
      <c r="N34" s="9"/>
      <c r="O34" s="9"/>
      <c r="Q34" s="9"/>
      <c r="R34" s="9"/>
      <c r="S34" s="9"/>
      <c r="U34" s="9"/>
    </row>
    <row r="35" spans="4:21" x14ac:dyDescent="0.25">
      <c r="D35" s="9"/>
      <c r="E35" s="9"/>
      <c r="G35" s="9"/>
      <c r="H35" s="9"/>
      <c r="L35" s="9"/>
      <c r="M35" s="9"/>
      <c r="N35" s="9"/>
      <c r="O35" s="9"/>
      <c r="Q35" s="9"/>
      <c r="R35" s="9"/>
      <c r="S35" s="9"/>
      <c r="U35" s="9"/>
    </row>
    <row r="36" spans="4:21" x14ac:dyDescent="0.25">
      <c r="D36" s="9"/>
      <c r="E36" s="9"/>
      <c r="G36" s="9"/>
      <c r="H36" s="9"/>
      <c r="L36" s="9"/>
      <c r="M36" s="9"/>
      <c r="N36" s="9"/>
      <c r="O36" s="9"/>
      <c r="Q36" s="9"/>
      <c r="R36" s="9"/>
      <c r="S36" s="9"/>
      <c r="U36" s="9"/>
    </row>
    <row r="37" spans="4:21" x14ac:dyDescent="0.25">
      <c r="D37" s="9"/>
      <c r="E37" s="9"/>
      <c r="G37" s="9"/>
      <c r="H37" s="9"/>
      <c r="L37" s="9"/>
      <c r="M37" s="9"/>
      <c r="N37" s="9"/>
      <c r="O37" s="9"/>
      <c r="Q37" s="9"/>
      <c r="R37" s="9"/>
      <c r="S37" s="9"/>
      <c r="U37" s="9"/>
    </row>
    <row r="38" spans="4:21" x14ac:dyDescent="0.25">
      <c r="D38" s="9"/>
      <c r="E38" s="9"/>
      <c r="G38" s="9"/>
      <c r="H38" s="9"/>
      <c r="L38" s="9"/>
      <c r="M38" s="9"/>
      <c r="N38" s="9"/>
      <c r="O38" s="9"/>
      <c r="Q38" s="9"/>
      <c r="R38" s="9"/>
      <c r="S38" s="9"/>
      <c r="U38" s="9"/>
    </row>
    <row r="39" spans="4:21" x14ac:dyDescent="0.25">
      <c r="D39" s="9"/>
      <c r="E39" s="9"/>
      <c r="G39" s="9"/>
      <c r="H39" s="9"/>
      <c r="L39" s="9"/>
      <c r="M39" s="9"/>
      <c r="N39" s="9"/>
      <c r="O39" s="9"/>
      <c r="Q39" s="9"/>
      <c r="R39" s="9"/>
      <c r="S39" s="9"/>
      <c r="U39" s="9"/>
    </row>
    <row r="40" spans="4:21" x14ac:dyDescent="0.25">
      <c r="D40" s="9"/>
      <c r="E40" s="9"/>
      <c r="G40" s="9"/>
      <c r="H40" s="9"/>
      <c r="L40" s="9"/>
      <c r="M40" s="9"/>
      <c r="N40" s="9"/>
      <c r="O40" s="9"/>
      <c r="Q40" s="9"/>
      <c r="R40" s="9"/>
      <c r="S40" s="9"/>
      <c r="U40" s="9"/>
    </row>
    <row r="41" spans="4:21" x14ac:dyDescent="0.25">
      <c r="D41" s="9"/>
      <c r="E41" s="9"/>
      <c r="G41" s="9"/>
      <c r="H41" s="9"/>
      <c r="L41" s="9"/>
      <c r="M41" s="9"/>
      <c r="N41" s="9"/>
      <c r="O41" s="9"/>
      <c r="Q41" s="9"/>
      <c r="R41" s="9"/>
      <c r="S41" s="9"/>
      <c r="U41" s="9"/>
    </row>
    <row r="42" spans="4:21" x14ac:dyDescent="0.25">
      <c r="D42" s="9"/>
      <c r="E42" s="9"/>
      <c r="G42" s="9"/>
      <c r="H42" s="9"/>
      <c r="L42" s="9"/>
      <c r="M42" s="9"/>
      <c r="N42" s="9"/>
      <c r="O42" s="9"/>
      <c r="Q42" s="9"/>
      <c r="R42" s="9"/>
      <c r="S42" s="9"/>
      <c r="U42" s="9"/>
    </row>
    <row r="43" spans="4:21" x14ac:dyDescent="0.25">
      <c r="D43" s="9"/>
      <c r="E43" s="9"/>
      <c r="G43" s="9"/>
      <c r="H43" s="9"/>
      <c r="L43" s="9"/>
      <c r="M43" s="9"/>
      <c r="N43" s="9"/>
      <c r="O43" s="9"/>
      <c r="Q43" s="9"/>
      <c r="R43" s="9"/>
      <c r="S43" s="9"/>
      <c r="U43" s="9"/>
    </row>
    <row r="44" spans="4:21" x14ac:dyDescent="0.25">
      <c r="D44" s="9"/>
      <c r="E44" s="9"/>
      <c r="G44" s="9"/>
      <c r="H44" s="9"/>
      <c r="L44" s="9"/>
      <c r="M44" s="9"/>
      <c r="N44" s="9"/>
      <c r="O44" s="9"/>
      <c r="Q44" s="9"/>
      <c r="R44" s="9"/>
      <c r="S44" s="9"/>
      <c r="U44" s="9"/>
    </row>
    <row r="45" spans="4:21" x14ac:dyDescent="0.25">
      <c r="D45" s="9"/>
      <c r="E45" s="9"/>
      <c r="G45" s="9"/>
      <c r="H45" s="9"/>
      <c r="L45" s="9"/>
      <c r="M45" s="9"/>
      <c r="N45" s="9"/>
      <c r="O45" s="9"/>
      <c r="Q45" s="9"/>
      <c r="R45" s="9"/>
      <c r="S45" s="9"/>
      <c r="U45" s="9"/>
    </row>
    <row r="46" spans="4:21" x14ac:dyDescent="0.25">
      <c r="D46" s="9"/>
      <c r="E46" s="9"/>
      <c r="G46" s="9"/>
      <c r="H46" s="9"/>
      <c r="L46" s="9"/>
      <c r="M46" s="9"/>
      <c r="N46" s="9"/>
      <c r="O46" s="9"/>
      <c r="Q46" s="9"/>
      <c r="R46" s="9"/>
      <c r="S46" s="9"/>
      <c r="U46" s="9"/>
    </row>
    <row r="47" spans="4:21" x14ac:dyDescent="0.25">
      <c r="D47" s="9"/>
      <c r="E47" s="9"/>
      <c r="G47" s="9"/>
      <c r="H47" s="9"/>
      <c r="L47" s="9"/>
      <c r="M47" s="9"/>
      <c r="N47" s="9"/>
      <c r="O47" s="9"/>
      <c r="Q47" s="9"/>
      <c r="R47" s="9"/>
      <c r="S47" s="9"/>
      <c r="U47" s="9"/>
    </row>
    <row r="48" spans="4:21" x14ac:dyDescent="0.25">
      <c r="D48" s="9"/>
      <c r="E48" s="9"/>
      <c r="G48" s="9"/>
      <c r="H48" s="9"/>
      <c r="L48" s="9"/>
      <c r="M48" s="9"/>
      <c r="N48" s="9"/>
      <c r="O48" s="9"/>
      <c r="Q48" s="9"/>
      <c r="R48" s="9"/>
      <c r="S48" s="9"/>
      <c r="U48" s="9"/>
    </row>
    <row r="49" spans="4:21" x14ac:dyDescent="0.25">
      <c r="D49" s="9"/>
      <c r="E49" s="9"/>
      <c r="G49" s="9"/>
      <c r="H49" s="9"/>
      <c r="L49" s="9"/>
      <c r="M49" s="9"/>
      <c r="N49" s="9"/>
      <c r="O49" s="9"/>
      <c r="Q49" s="9"/>
      <c r="R49" s="9"/>
      <c r="S49" s="9"/>
      <c r="U49" s="9"/>
    </row>
    <row r="50" spans="4:21" x14ac:dyDescent="0.25">
      <c r="D50" s="9"/>
      <c r="E50" s="9"/>
      <c r="G50" s="9"/>
      <c r="H50" s="9"/>
      <c r="L50" s="9"/>
      <c r="M50" s="9"/>
      <c r="N50" s="9"/>
      <c r="O50" s="9"/>
      <c r="Q50" s="9"/>
      <c r="R50" s="9"/>
      <c r="S50" s="9"/>
      <c r="U50" s="9"/>
    </row>
    <row r="51" spans="4:21" x14ac:dyDescent="0.25">
      <c r="D51" s="9"/>
      <c r="E51" s="9"/>
      <c r="G51" s="9"/>
      <c r="H51" s="9"/>
      <c r="L51" s="9"/>
      <c r="M51" s="9"/>
      <c r="N51" s="9"/>
      <c r="O51" s="9"/>
      <c r="Q51" s="9"/>
      <c r="R51" s="9"/>
      <c r="S51" s="9"/>
      <c r="U51" s="9"/>
    </row>
    <row r="52" spans="4:21" x14ac:dyDescent="0.25">
      <c r="D52" s="9"/>
      <c r="E52" s="9"/>
      <c r="G52" s="9"/>
      <c r="H52" s="9"/>
      <c r="L52" s="9"/>
      <c r="M52" s="9"/>
      <c r="N52" s="9"/>
      <c r="O52" s="9"/>
      <c r="Q52" s="9"/>
      <c r="R52" s="9"/>
      <c r="S52" s="9"/>
      <c r="U52" s="9"/>
    </row>
    <row r="53" spans="4:21" x14ac:dyDescent="0.25">
      <c r="D53" s="9"/>
      <c r="E53" s="9"/>
      <c r="G53" s="9"/>
      <c r="H53" s="9"/>
      <c r="L53" s="9"/>
      <c r="M53" s="9"/>
      <c r="N53" s="9"/>
      <c r="O53" s="9"/>
      <c r="Q53" s="9"/>
      <c r="R53" s="9"/>
      <c r="S53" s="9"/>
      <c r="U53" s="9"/>
    </row>
    <row r="54" spans="4:21" x14ac:dyDescent="0.25">
      <c r="D54" s="9"/>
      <c r="E54" s="9"/>
      <c r="G54" s="9"/>
      <c r="H54" s="9"/>
      <c r="L54" s="9"/>
      <c r="M54" s="9"/>
      <c r="N54" s="9"/>
      <c r="O54" s="9"/>
      <c r="Q54" s="9"/>
      <c r="R54" s="9"/>
      <c r="S54" s="9"/>
      <c r="U54" s="9"/>
    </row>
    <row r="55" spans="4:21" x14ac:dyDescent="0.25">
      <c r="D55" s="9"/>
      <c r="E55" s="9"/>
      <c r="G55" s="9"/>
      <c r="H55" s="9"/>
      <c r="L55" s="9"/>
      <c r="M55" s="9"/>
      <c r="N55" s="9"/>
      <c r="O55" s="9"/>
      <c r="Q55" s="9"/>
      <c r="R55" s="9"/>
      <c r="S55" s="9"/>
      <c r="U55" s="9"/>
    </row>
    <row r="56" spans="4:21" x14ac:dyDescent="0.25">
      <c r="D56" s="9"/>
      <c r="E56" s="9"/>
      <c r="G56" s="9"/>
      <c r="H56" s="9"/>
      <c r="L56" s="9"/>
      <c r="M56" s="9"/>
      <c r="N56" s="9"/>
      <c r="O56" s="9"/>
      <c r="Q56" s="9"/>
      <c r="R56" s="9"/>
      <c r="S56" s="9"/>
      <c r="U56" s="9"/>
    </row>
    <row r="57" spans="4:21" x14ac:dyDescent="0.25">
      <c r="D57" s="9"/>
      <c r="E57" s="9"/>
      <c r="G57" s="9"/>
      <c r="H57" s="9"/>
      <c r="L57" s="9"/>
      <c r="M57" s="9"/>
      <c r="N57" s="9"/>
      <c r="O57" s="9"/>
      <c r="Q57" s="9"/>
      <c r="R57" s="9"/>
      <c r="S57" s="9"/>
      <c r="U57" s="9"/>
    </row>
    <row r="58" spans="4:21" x14ac:dyDescent="0.25">
      <c r="D58" s="9"/>
      <c r="E58" s="9"/>
      <c r="G58" s="9"/>
      <c r="H58" s="9"/>
      <c r="L58" s="9"/>
      <c r="M58" s="9"/>
      <c r="N58" s="9"/>
      <c r="O58" s="9"/>
      <c r="Q58" s="9"/>
      <c r="R58" s="9"/>
      <c r="S58" s="9"/>
      <c r="U58" s="9"/>
    </row>
    <row r="59" spans="4:21" x14ac:dyDescent="0.25">
      <c r="D59" s="9"/>
      <c r="E59" s="9"/>
      <c r="G59" s="9"/>
      <c r="H59" s="9"/>
      <c r="L59" s="9"/>
      <c r="M59" s="9"/>
      <c r="N59" s="9"/>
      <c r="O59" s="9"/>
      <c r="Q59" s="9"/>
      <c r="R59" s="9"/>
      <c r="S59" s="9"/>
      <c r="U59" s="9"/>
    </row>
    <row r="60" spans="4:21" x14ac:dyDescent="0.25">
      <c r="D60" s="9"/>
      <c r="E60" s="9"/>
      <c r="G60" s="9"/>
      <c r="H60" s="9"/>
      <c r="L60" s="9"/>
      <c r="M60" s="9"/>
      <c r="N60" s="9"/>
      <c r="O60" s="9"/>
      <c r="Q60" s="9"/>
      <c r="R60" s="9"/>
      <c r="S60" s="9"/>
      <c r="U60" s="9"/>
    </row>
    <row r="61" spans="4:21" x14ac:dyDescent="0.25">
      <c r="D61" s="9"/>
      <c r="E61" s="9"/>
      <c r="G61" s="9"/>
      <c r="H61" s="9"/>
      <c r="L61" s="9"/>
      <c r="M61" s="9"/>
      <c r="N61" s="9"/>
      <c r="O61" s="9"/>
      <c r="Q61" s="9"/>
      <c r="R61" s="9"/>
      <c r="S61" s="9"/>
      <c r="U61" s="9"/>
    </row>
    <row r="62" spans="4:21" x14ac:dyDescent="0.25">
      <c r="D62" s="9"/>
      <c r="E62" s="9"/>
      <c r="G62" s="9"/>
      <c r="H62" s="9"/>
      <c r="L62" s="9"/>
      <c r="M62" s="9"/>
      <c r="N62" s="9"/>
      <c r="O62" s="9"/>
      <c r="Q62" s="9"/>
      <c r="R62" s="9"/>
      <c r="S62" s="9"/>
      <c r="U62" s="9"/>
    </row>
    <row r="63" spans="4:21" x14ac:dyDescent="0.25">
      <c r="D63" s="9"/>
      <c r="E63" s="9"/>
      <c r="G63" s="9"/>
      <c r="H63" s="9"/>
      <c r="L63" s="9"/>
      <c r="M63" s="9"/>
      <c r="N63" s="9"/>
      <c r="O63" s="9"/>
      <c r="Q63" s="9"/>
      <c r="R63" s="9"/>
      <c r="S63" s="9"/>
      <c r="U63" s="9"/>
    </row>
    <row r="64" spans="4:21" x14ac:dyDescent="0.25">
      <c r="D64" s="9"/>
      <c r="E64" s="9"/>
      <c r="G64" s="9"/>
      <c r="H64" s="9"/>
      <c r="L64" s="9"/>
      <c r="M64" s="9"/>
      <c r="N64" s="9"/>
      <c r="O64" s="9"/>
      <c r="Q64" s="9"/>
      <c r="R64" s="9"/>
      <c r="S64" s="9"/>
      <c r="U64" s="9"/>
    </row>
    <row r="65" spans="4:21" x14ac:dyDescent="0.25">
      <c r="D65" s="9"/>
      <c r="E65" s="9"/>
      <c r="G65" s="9"/>
      <c r="H65" s="9"/>
      <c r="L65" s="9"/>
      <c r="M65" s="9"/>
      <c r="N65" s="9"/>
      <c r="O65" s="9"/>
      <c r="Q65" s="9"/>
      <c r="R65" s="9"/>
      <c r="S65" s="9"/>
      <c r="U65" s="9"/>
    </row>
    <row r="66" spans="4:21" x14ac:dyDescent="0.25">
      <c r="D66" s="9"/>
      <c r="E66" s="9"/>
      <c r="G66" s="9"/>
      <c r="H66" s="9"/>
      <c r="L66" s="9"/>
      <c r="M66" s="9"/>
      <c r="N66" s="9"/>
      <c r="O66" s="9"/>
      <c r="Q66" s="9"/>
      <c r="R66" s="9"/>
      <c r="S66" s="9"/>
      <c r="U66" s="9"/>
    </row>
    <row r="67" spans="4:21" x14ac:dyDescent="0.25">
      <c r="D67" s="9"/>
      <c r="E67" s="9"/>
      <c r="G67" s="9"/>
      <c r="H67" s="9"/>
      <c r="L67" s="9"/>
      <c r="M67" s="9"/>
      <c r="N67" s="9"/>
      <c r="O67" s="9"/>
      <c r="Q67" s="9"/>
      <c r="R67" s="9"/>
      <c r="S67" s="9"/>
      <c r="U67" s="9"/>
    </row>
    <row r="68" spans="4:21" x14ac:dyDescent="0.25">
      <c r="D68" s="9"/>
      <c r="E68" s="9"/>
      <c r="G68" s="9"/>
      <c r="H68" s="9"/>
      <c r="L68" s="9"/>
      <c r="M68" s="9"/>
      <c r="N68" s="9"/>
      <c r="O68" s="9"/>
      <c r="Q68" s="9"/>
      <c r="R68" s="9"/>
      <c r="S68" s="9"/>
      <c r="U68" s="9"/>
    </row>
    <row r="69" spans="4:21" x14ac:dyDescent="0.25">
      <c r="D69" s="9"/>
      <c r="E69" s="9"/>
      <c r="G69" s="9"/>
      <c r="H69" s="9"/>
      <c r="L69" s="9"/>
      <c r="M69" s="9"/>
      <c r="N69" s="9"/>
      <c r="O69" s="9"/>
      <c r="Q69" s="9"/>
      <c r="R69" s="9"/>
      <c r="S69" s="9"/>
      <c r="U69" s="9"/>
    </row>
    <row r="70" spans="4:21" x14ac:dyDescent="0.25">
      <c r="D70" s="9"/>
      <c r="E70" s="9"/>
      <c r="G70" s="9"/>
      <c r="H70" s="9"/>
      <c r="L70" s="9"/>
      <c r="M70" s="9"/>
      <c r="N70" s="9"/>
      <c r="O70" s="9"/>
      <c r="Q70" s="9"/>
      <c r="R70" s="9"/>
      <c r="S70" s="9"/>
      <c r="U70" s="9"/>
    </row>
    <row r="71" spans="4:21" x14ac:dyDescent="0.25">
      <c r="D71" s="9"/>
      <c r="E71" s="9"/>
      <c r="G71" s="9"/>
      <c r="H71" s="9"/>
      <c r="L71" s="9"/>
      <c r="M71" s="9"/>
      <c r="N71" s="9"/>
      <c r="O71" s="9"/>
      <c r="Q71" s="9"/>
      <c r="R71" s="9"/>
      <c r="S71" s="9"/>
      <c r="U71" s="9"/>
    </row>
    <row r="72" spans="4:21" x14ac:dyDescent="0.25">
      <c r="D72" s="9"/>
      <c r="E72" s="9"/>
      <c r="G72" s="9"/>
      <c r="H72" s="9"/>
      <c r="L72" s="9"/>
      <c r="M72" s="9"/>
      <c r="N72" s="9"/>
      <c r="O72" s="9"/>
      <c r="Q72" s="9"/>
      <c r="R72" s="9"/>
      <c r="S72" s="9"/>
      <c r="U72" s="9"/>
    </row>
    <row r="73" spans="4:21" x14ac:dyDescent="0.25">
      <c r="D73" s="9"/>
      <c r="E73" s="9"/>
      <c r="G73" s="9"/>
      <c r="H73" s="9"/>
      <c r="L73" s="9"/>
      <c r="M73" s="9"/>
      <c r="N73" s="9"/>
      <c r="O73" s="9"/>
      <c r="Q73" s="9"/>
      <c r="R73" s="9"/>
      <c r="S73" s="9"/>
      <c r="U73" s="9"/>
    </row>
    <row r="74" spans="4:21" x14ac:dyDescent="0.25">
      <c r="D74" s="9"/>
      <c r="E74" s="9"/>
      <c r="G74" s="9"/>
      <c r="H74" s="9"/>
      <c r="L74" s="9"/>
      <c r="M74" s="9"/>
      <c r="N74" s="9"/>
      <c r="O74" s="9"/>
      <c r="Q74" s="9"/>
      <c r="R74" s="9"/>
      <c r="S74" s="9"/>
      <c r="U74" s="9"/>
    </row>
    <row r="75" spans="4:21" x14ac:dyDescent="0.25">
      <c r="D75" s="9"/>
      <c r="E75" s="9"/>
      <c r="G75" s="9"/>
      <c r="H75" s="9"/>
      <c r="L75" s="9"/>
      <c r="M75" s="9"/>
      <c r="N75" s="9"/>
      <c r="O75" s="9"/>
      <c r="Q75" s="9"/>
      <c r="R75" s="9"/>
      <c r="S75" s="9"/>
      <c r="U75" s="9"/>
    </row>
    <row r="76" spans="4:21" x14ac:dyDescent="0.25">
      <c r="D76" s="9"/>
      <c r="E76" s="9"/>
      <c r="G76" s="9"/>
      <c r="H76" s="9"/>
      <c r="L76" s="9"/>
      <c r="M76" s="9"/>
      <c r="N76" s="9"/>
      <c r="O76" s="9"/>
      <c r="Q76" s="9"/>
      <c r="R76" s="9"/>
      <c r="S76" s="9"/>
      <c r="U76" s="9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K6"/>
  <sheetViews>
    <sheetView showGridLines="0" zoomScale="85" zoomScaleNormal="85" workbookViewId="0">
      <selection activeCell="I2" sqref="I2"/>
    </sheetView>
  </sheetViews>
  <sheetFormatPr defaultColWidth="11.42578125" defaultRowHeight="15" x14ac:dyDescent="0.25"/>
  <cols>
    <col min="1" max="2" width="11.28515625" bestFit="1" customWidth="1"/>
    <col min="3" max="3" width="18.85546875" bestFit="1" customWidth="1"/>
    <col min="5" max="5" width="14.42578125" bestFit="1" customWidth="1"/>
    <col min="6" max="6" width="9.28515625" bestFit="1" customWidth="1"/>
    <col min="8" max="8" width="14.42578125" bestFit="1" customWidth="1"/>
  </cols>
  <sheetData>
    <row r="1" spans="1:11" x14ac:dyDescent="0.25">
      <c r="A1" t="s">
        <v>70</v>
      </c>
      <c r="B1" t="s">
        <v>69</v>
      </c>
      <c r="C1" t="s">
        <v>14</v>
      </c>
      <c r="E1" t="s">
        <v>39</v>
      </c>
      <c r="F1" t="s">
        <v>116</v>
      </c>
      <c r="H1" t="s">
        <v>1885</v>
      </c>
      <c r="I1" t="b">
        <v>1</v>
      </c>
    </row>
    <row r="2" spans="1:11" x14ac:dyDescent="0.25">
      <c r="C2" t="s">
        <v>68</v>
      </c>
      <c r="E2" t="s">
        <v>8</v>
      </c>
      <c r="F2" t="s">
        <v>110</v>
      </c>
      <c r="H2" t="s">
        <v>1886</v>
      </c>
      <c r="I2">
        <v>0</v>
      </c>
      <c r="K2" t="s">
        <v>1906</v>
      </c>
    </row>
    <row r="3" spans="1:11" x14ac:dyDescent="0.25">
      <c r="A3" t="s">
        <v>58</v>
      </c>
      <c r="B3" t="s">
        <v>67</v>
      </c>
      <c r="C3" t="s">
        <v>66</v>
      </c>
      <c r="E3" t="s">
        <v>54</v>
      </c>
      <c r="F3" t="s">
        <v>111</v>
      </c>
      <c r="H3" t="s">
        <v>1887</v>
      </c>
      <c r="I3">
        <v>1</v>
      </c>
      <c r="K3" t="s">
        <v>1725</v>
      </c>
    </row>
    <row r="4" spans="1:11" x14ac:dyDescent="0.25">
      <c r="A4" t="s">
        <v>65</v>
      </c>
      <c r="B4" t="s">
        <v>64</v>
      </c>
      <c r="C4" t="s">
        <v>63</v>
      </c>
      <c r="E4" t="s">
        <v>112</v>
      </c>
      <c r="F4" t="s">
        <v>113</v>
      </c>
      <c r="H4" t="s">
        <v>1888</v>
      </c>
      <c r="I4" t="b">
        <v>1</v>
      </c>
    </row>
    <row r="5" spans="1:11" x14ac:dyDescent="0.25">
      <c r="A5" t="s">
        <v>57</v>
      </c>
      <c r="B5" t="s">
        <v>62</v>
      </c>
      <c r="C5" t="s">
        <v>61</v>
      </c>
      <c r="E5" t="s">
        <v>114</v>
      </c>
      <c r="F5" t="s">
        <v>110</v>
      </c>
      <c r="H5" t="s">
        <v>1889</v>
      </c>
      <c r="I5">
        <v>0</v>
      </c>
    </row>
    <row r="6" spans="1:11" x14ac:dyDescent="0.25">
      <c r="E6" t="s">
        <v>115</v>
      </c>
      <c r="F6" t="s">
        <v>110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1">
    <tabColor rgb="FFFF8080"/>
  </sheetPr>
  <dimension ref="A1:O10"/>
  <sheetViews>
    <sheetView showGridLines="0" zoomScale="85" zoomScaleNormal="85" workbookViewId="0"/>
  </sheetViews>
  <sheetFormatPr defaultColWidth="11.42578125" defaultRowHeight="15" x14ac:dyDescent="0.25"/>
  <cols>
    <col min="1" max="1" width="17.140625" customWidth="1"/>
    <col min="2" max="2" width="13.140625" customWidth="1"/>
    <col min="3" max="3" width="11.85546875" customWidth="1"/>
    <col min="4" max="4" width="5.28515625" customWidth="1"/>
    <col min="5" max="5" width="15.5703125" customWidth="1"/>
    <col min="6" max="6" width="8" customWidth="1"/>
    <col min="7" max="7" width="34.5703125" bestFit="1" customWidth="1"/>
    <col min="8" max="8" width="4" customWidth="1"/>
    <col min="9" max="9" width="8.140625" customWidth="1"/>
    <col min="10" max="10" width="10.28515625" customWidth="1"/>
    <col min="11" max="11" width="13.5703125" bestFit="1" customWidth="1"/>
    <col min="12" max="12" width="3" customWidth="1"/>
    <col min="13" max="13" width="8.140625" customWidth="1"/>
    <col min="14" max="14" width="12.85546875" customWidth="1"/>
    <col min="15" max="15" width="22.42578125" bestFit="1" customWidth="1"/>
  </cols>
  <sheetData>
    <row r="1" spans="1:15" ht="23.85" x14ac:dyDescent="0.4">
      <c r="A1" s="7" t="s">
        <v>13</v>
      </c>
    </row>
    <row r="4" spans="1:15" ht="14.25" x14ac:dyDescent="0.25">
      <c r="A4" s="12" t="s">
        <v>15</v>
      </c>
      <c r="B4" s="13" t="s">
        <v>20</v>
      </c>
      <c r="C4" s="14" t="s">
        <v>16</v>
      </c>
      <c r="E4" s="6" t="s">
        <v>117</v>
      </c>
      <c r="F4" s="8" t="s">
        <v>16</v>
      </c>
      <c r="G4" s="6" t="s">
        <v>14</v>
      </c>
      <c r="I4" t="s">
        <v>99</v>
      </c>
      <c r="J4" t="s">
        <v>100</v>
      </c>
      <c r="K4" t="s">
        <v>14</v>
      </c>
      <c r="M4" t="s">
        <v>99</v>
      </c>
      <c r="N4" t="s">
        <v>105</v>
      </c>
      <c r="O4" t="s">
        <v>14</v>
      </c>
    </row>
    <row r="5" spans="1:15" ht="14.25" x14ac:dyDescent="0.25">
      <c r="A5" t="s">
        <v>48</v>
      </c>
      <c r="B5" s="5"/>
      <c r="C5" t="str">
        <f>IFERROR(VLOOKUP(MaterialPrice,tMaterialPrice[],2,FALSE),"")</f>
        <v/>
      </c>
      <c r="E5" s="1" t="s">
        <v>18</v>
      </c>
      <c r="G5" t="s">
        <v>11</v>
      </c>
      <c r="I5" t="s">
        <v>101</v>
      </c>
      <c r="J5">
        <f>COLUMN(CustomerHierarchyLevels[[#Headers],[Customer]])</f>
        <v>1</v>
      </c>
      <c r="K5" t="s">
        <v>95</v>
      </c>
      <c r="M5" t="s">
        <v>101</v>
      </c>
      <c r="N5">
        <v>2</v>
      </c>
      <c r="O5" t="s">
        <v>106</v>
      </c>
    </row>
    <row r="6" spans="1:15" ht="14.25" x14ac:dyDescent="0.25">
      <c r="A6" t="s">
        <v>47</v>
      </c>
      <c r="B6" s="5" t="s">
        <v>101</v>
      </c>
      <c r="C6">
        <f>IFERROR(VLOOKUP(ProductHierarchy,tProductHierarchyLevel[],2,FALSE),"")</f>
        <v>2</v>
      </c>
      <c r="E6" s="1" t="s">
        <v>17</v>
      </c>
      <c r="G6" t="s">
        <v>21</v>
      </c>
      <c r="I6" t="s">
        <v>102</v>
      </c>
      <c r="J6">
        <f>COLUMN(CustomerHierarchyLevels[[#Headers],[Level1]])</f>
        <v>17</v>
      </c>
      <c r="K6" t="s">
        <v>96</v>
      </c>
      <c r="M6" t="s">
        <v>102</v>
      </c>
      <c r="N6">
        <v>5</v>
      </c>
      <c r="O6" t="s">
        <v>107</v>
      </c>
    </row>
    <row r="7" spans="1:15" ht="14.25" x14ac:dyDescent="0.25">
      <c r="A7" t="s">
        <v>46</v>
      </c>
      <c r="B7" s="5" t="s">
        <v>103</v>
      </c>
      <c r="C7">
        <f>IFERROR(VLOOKUP(CustomerHierarchy,tCustomerLevel[],2,FALSE),"")</f>
        <v>18</v>
      </c>
      <c r="E7" s="1" t="s">
        <v>19</v>
      </c>
      <c r="G7" t="s">
        <v>12</v>
      </c>
      <c r="I7" t="s">
        <v>103</v>
      </c>
      <c r="J7">
        <f>COLUMN(CustomerHierarchyLevels[[#Headers],[Level2]])</f>
        <v>18</v>
      </c>
      <c r="K7" t="s">
        <v>97</v>
      </c>
      <c r="M7" t="s">
        <v>103</v>
      </c>
      <c r="N7">
        <v>8</v>
      </c>
      <c r="O7" t="s">
        <v>108</v>
      </c>
    </row>
    <row r="8" spans="1:15" ht="14.25" x14ac:dyDescent="0.25">
      <c r="A8" t="s">
        <v>45</v>
      </c>
      <c r="B8" s="5" t="s">
        <v>1722</v>
      </c>
      <c r="C8" t="str">
        <f t="shared" ref="C8:C10" si="0">B8</f>
        <v>Gross</v>
      </c>
      <c r="I8" t="s">
        <v>104</v>
      </c>
      <c r="J8">
        <f>COLUMN(CustomerHierarchyLevels[[#Headers],[Level3]])</f>
        <v>19</v>
      </c>
      <c r="K8" t="s">
        <v>98</v>
      </c>
      <c r="M8" t="s">
        <v>104</v>
      </c>
      <c r="N8">
        <v>12</v>
      </c>
      <c r="O8" t="s">
        <v>109</v>
      </c>
    </row>
    <row r="9" spans="1:15" ht="14.25" x14ac:dyDescent="0.25">
      <c r="A9" t="s">
        <v>44</v>
      </c>
      <c r="B9" s="5">
        <v>1</v>
      </c>
      <c r="C9">
        <f t="shared" si="0"/>
        <v>1</v>
      </c>
    </row>
    <row r="10" spans="1:15" ht="14.25" x14ac:dyDescent="0.25">
      <c r="A10" t="s">
        <v>10</v>
      </c>
      <c r="B10" s="5" t="s">
        <v>1723</v>
      </c>
      <c r="C10" t="str">
        <f t="shared" si="0"/>
        <v>Default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1">
    <tabColor rgb="FFFF8080"/>
  </sheetPr>
  <dimension ref="A1:B8"/>
  <sheetViews>
    <sheetView showGridLines="0" zoomScale="85" zoomScaleNormal="85" workbookViewId="0">
      <selection activeCell="B4" sqref="B4"/>
    </sheetView>
  </sheetViews>
  <sheetFormatPr defaultColWidth="11.42578125" defaultRowHeight="15" x14ac:dyDescent="0.25"/>
  <cols>
    <col min="1" max="1" width="13.140625" bestFit="1" customWidth="1"/>
    <col min="2" max="2" width="42.140625" bestFit="1" customWidth="1"/>
  </cols>
  <sheetData>
    <row r="1" spans="1:2" ht="23.85" x14ac:dyDescent="0.4">
      <c r="A1" s="7" t="s">
        <v>94</v>
      </c>
    </row>
    <row r="4" spans="1:2" ht="14.25" x14ac:dyDescent="0.25">
      <c r="A4" t="s">
        <v>3</v>
      </c>
      <c r="B4" s="17">
        <v>21</v>
      </c>
    </row>
    <row r="5" spans="1:2" ht="14.25" x14ac:dyDescent="0.25">
      <c r="A5" t="s">
        <v>2</v>
      </c>
      <c r="B5" s="17" t="s">
        <v>1726</v>
      </c>
    </row>
    <row r="6" spans="1:2" ht="14.25" x14ac:dyDescent="0.25">
      <c r="A6" t="s">
        <v>22</v>
      </c>
      <c r="B6" s="17" t="s">
        <v>1903</v>
      </c>
    </row>
    <row r="7" spans="1:2" ht="14.25" x14ac:dyDescent="0.25">
      <c r="A7" t="s">
        <v>23</v>
      </c>
      <c r="B7" s="17"/>
    </row>
    <row r="8" spans="1:2" ht="14.25" x14ac:dyDescent="0.25">
      <c r="A8" t="s">
        <v>118</v>
      </c>
      <c r="B8" s="17" t="s">
        <v>1726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B2:K25"/>
  <sheetViews>
    <sheetView showGridLines="0" showRowColHeaders="0" tabSelected="1" zoomScale="85" zoomScaleNormal="85" workbookViewId="0">
      <pane ySplit="64" topLeftCell="A65" activePane="bottomLeft" state="frozen"/>
      <selection activeCell="B2" sqref="B2"/>
      <selection pane="bottomLeft" activeCell="A65" sqref="A65"/>
    </sheetView>
  </sheetViews>
  <sheetFormatPr defaultColWidth="11" defaultRowHeight="15.75" x14ac:dyDescent="0.25"/>
  <cols>
    <col min="1" max="1" width="4.42578125" style="1" customWidth="1"/>
    <col min="2" max="3" width="11" style="3"/>
    <col min="4" max="16384" width="11" style="1"/>
  </cols>
  <sheetData>
    <row r="2" spans="2:11" ht="18.399999999999999" x14ac:dyDescent="0.3">
      <c r="K2" s="2"/>
    </row>
    <row r="5" spans="2:11" ht="16.350000000000001" x14ac:dyDescent="0.3">
      <c r="E5" s="3" t="s">
        <v>1</v>
      </c>
    </row>
    <row r="9" spans="2:11" ht="21.2" x14ac:dyDescent="0.35">
      <c r="B9" s="4" t="s">
        <v>0</v>
      </c>
      <c r="J9" s="11"/>
      <c r="K9" s="11" t="s">
        <v>43</v>
      </c>
    </row>
    <row r="10" spans="2:11" x14ac:dyDescent="0.25">
      <c r="B10" s="3" t="s">
        <v>1890</v>
      </c>
    </row>
    <row r="11" spans="2:11" x14ac:dyDescent="0.25">
      <c r="B11" s="3" t="s">
        <v>1891</v>
      </c>
    </row>
    <row r="12" spans="2:11" x14ac:dyDescent="0.25">
      <c r="B12" s="3" t="s">
        <v>1892</v>
      </c>
    </row>
    <row r="13" spans="2:11" x14ac:dyDescent="0.25">
      <c r="B13" s="3" t="s">
        <v>1893</v>
      </c>
    </row>
    <row r="14" spans="2:11" x14ac:dyDescent="0.25">
      <c r="B14" s="3" t="s">
        <v>1894</v>
      </c>
    </row>
    <row r="15" spans="2:11" x14ac:dyDescent="0.25">
      <c r="B15" s="3" t="s">
        <v>1895</v>
      </c>
    </row>
    <row r="16" spans="2:11" ht="16.350000000000001" x14ac:dyDescent="0.3"/>
    <row r="17" spans="2:2" ht="16.350000000000001" x14ac:dyDescent="0.3"/>
    <row r="18" spans="2:2" ht="16.350000000000001" x14ac:dyDescent="0.3"/>
    <row r="19" spans="2:2" ht="16.350000000000001" x14ac:dyDescent="0.3">
      <c r="B19" s="15"/>
    </row>
    <row r="20" spans="2:2" ht="16.350000000000001" x14ac:dyDescent="0.3"/>
    <row r="22" spans="2:2" ht="16.350000000000001" x14ac:dyDescent="0.3">
      <c r="B22" s="18"/>
    </row>
    <row r="24" spans="2:2" ht="16.350000000000001" x14ac:dyDescent="0.3">
      <c r="B24" s="15"/>
    </row>
    <row r="25" spans="2:2" ht="16.350000000000001" x14ac:dyDescent="0.3">
      <c r="B25" s="19"/>
    </row>
  </sheetData>
  <sheetProtection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3">
    <tabColor rgb="FFC00000"/>
    <pageSetUpPr fitToPage="1"/>
  </sheetPr>
  <dimension ref="A1:O282"/>
  <sheetViews>
    <sheetView showGridLines="0" showRowColHeaders="0" showZeros="0" zoomScale="85" workbookViewId="0">
      <pane ySplit="1" topLeftCell="A2" activePane="bottomLeft" state="frozen"/>
      <selection activeCell="J47" sqref="J47"/>
      <selection pane="bottomLeft" activeCell="D4" sqref="D4"/>
    </sheetView>
  </sheetViews>
  <sheetFormatPr defaultColWidth="11" defaultRowHeight="12.75" x14ac:dyDescent="0.2"/>
  <cols>
    <col min="1" max="1" width="5.7109375" style="21" customWidth="1"/>
    <col min="2" max="2" width="18.42578125" style="21" customWidth="1"/>
    <col min="3" max="3" width="9.42578125" style="21" customWidth="1"/>
    <col min="4" max="4" width="9.28515625" style="21" customWidth="1"/>
    <col min="5" max="5" width="10.7109375" style="21" customWidth="1"/>
    <col min="6" max="6" width="9.5703125" style="21" customWidth="1"/>
    <col min="7" max="7" width="11.5703125" style="21" customWidth="1"/>
    <col min="8" max="11" width="9.28515625" style="21" customWidth="1"/>
    <col min="12" max="12" width="9.5703125" style="21" customWidth="1"/>
    <col min="13" max="13" width="10.5703125" style="21" customWidth="1"/>
    <col min="14" max="15" width="10" style="21" customWidth="1"/>
    <col min="16" max="16384" width="11" style="21"/>
  </cols>
  <sheetData>
    <row r="1" spans="1:15" ht="20.25" x14ac:dyDescent="0.3">
      <c r="B1" s="22"/>
    </row>
    <row r="3" spans="1:15" x14ac:dyDescent="0.2">
      <c r="B3" s="23" t="s">
        <v>1727</v>
      </c>
      <c r="C3" s="24"/>
      <c r="D3" s="24"/>
      <c r="E3" s="24"/>
      <c r="F3" s="24"/>
      <c r="G3" s="25"/>
    </row>
    <row r="4" spans="1:15" x14ac:dyDescent="0.2">
      <c r="B4" s="26"/>
      <c r="C4" s="27" t="s">
        <v>1728</v>
      </c>
    </row>
    <row r="5" spans="1:15" x14ac:dyDescent="0.2">
      <c r="B5" s="26"/>
      <c r="C5" s="27" t="s">
        <v>1729</v>
      </c>
    </row>
    <row r="6" spans="1:15" x14ac:dyDescent="0.2">
      <c r="B6" s="26"/>
      <c r="C6" s="27" t="s">
        <v>1730</v>
      </c>
    </row>
    <row r="7" spans="1:15" x14ac:dyDescent="0.2">
      <c r="B7" s="26"/>
      <c r="C7" s="27" t="s">
        <v>1731</v>
      </c>
    </row>
    <row r="8" spans="1:15" ht="12" customHeight="1" x14ac:dyDescent="0.25">
      <c r="B8" s="123" t="s">
        <v>42</v>
      </c>
      <c r="C8" s="124"/>
      <c r="D8" s="122" t="s">
        <v>1906</v>
      </c>
      <c r="E8" s="21">
        <v>0</v>
      </c>
      <c r="G8" s="21">
        <v>0</v>
      </c>
    </row>
    <row r="9" spans="1:15" x14ac:dyDescent="0.2">
      <c r="B9" s="28"/>
      <c r="C9" s="28"/>
      <c r="D9" s="28"/>
      <c r="E9" s="29">
        <v>0</v>
      </c>
      <c r="F9" s="29"/>
      <c r="G9" s="29">
        <v>0</v>
      </c>
      <c r="H9" s="29">
        <v>0</v>
      </c>
      <c r="I9" s="29">
        <v>0</v>
      </c>
      <c r="J9" s="29"/>
      <c r="K9" s="29"/>
      <c r="L9" s="29"/>
      <c r="M9" s="29"/>
      <c r="N9" s="29"/>
      <c r="O9" s="29"/>
    </row>
    <row r="10" spans="1:15" x14ac:dyDescent="0.2">
      <c r="B10" s="23" t="s">
        <v>1732</v>
      </c>
      <c r="C10" s="30" t="s">
        <v>1733</v>
      </c>
      <c r="D10" s="31"/>
      <c r="E10" s="32"/>
      <c r="F10" s="30"/>
      <c r="G10" s="32"/>
      <c r="H10" s="32"/>
      <c r="I10" s="32"/>
      <c r="J10" s="32"/>
      <c r="K10" s="32"/>
      <c r="L10" s="32"/>
      <c r="M10" s="32"/>
      <c r="N10" s="32"/>
      <c r="O10" s="25"/>
    </row>
    <row r="11" spans="1:15" x14ac:dyDescent="0.2">
      <c r="B11" s="21" t="s">
        <v>1734</v>
      </c>
      <c r="C11" s="33">
        <f t="shared" ref="C11:C17" si="0">SUM(D11:O11)</f>
        <v>0</v>
      </c>
      <c r="D11" s="34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</row>
    <row r="12" spans="1:15" x14ac:dyDescent="0.2">
      <c r="B12" s="21" t="s">
        <v>1735</v>
      </c>
      <c r="C12" s="33">
        <f t="shared" si="0"/>
        <v>0</v>
      </c>
      <c r="D12" s="34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</row>
    <row r="13" spans="1:15" x14ac:dyDescent="0.2">
      <c r="B13" s="35" t="s">
        <v>1736</v>
      </c>
      <c r="C13" s="36">
        <f t="shared" si="0"/>
        <v>0</v>
      </c>
      <c r="D13" s="37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</row>
    <row r="14" spans="1:15" s="28" customFormat="1" x14ac:dyDescent="0.2">
      <c r="A14" s="39"/>
      <c r="B14" s="28" t="s">
        <v>1737</v>
      </c>
      <c r="C14" s="40">
        <f t="shared" si="0"/>
        <v>0</v>
      </c>
      <c r="D14" s="41">
        <f t="shared" ref="D14:O14" si="1">SUM(D11:D13)</f>
        <v>0</v>
      </c>
      <c r="E14" s="42">
        <f t="shared" si="1"/>
        <v>0</v>
      </c>
      <c r="F14" s="42">
        <f t="shared" si="1"/>
        <v>0</v>
      </c>
      <c r="G14" s="42">
        <f t="shared" si="1"/>
        <v>0</v>
      </c>
      <c r="H14" s="42">
        <f t="shared" si="1"/>
        <v>0</v>
      </c>
      <c r="I14" s="42">
        <f t="shared" si="1"/>
        <v>0</v>
      </c>
      <c r="J14" s="42">
        <f t="shared" si="1"/>
        <v>0</v>
      </c>
      <c r="K14" s="42"/>
      <c r="L14" s="42">
        <f t="shared" si="1"/>
        <v>0</v>
      </c>
      <c r="M14" s="42">
        <f t="shared" si="1"/>
        <v>0</v>
      </c>
      <c r="N14" s="42">
        <f t="shared" si="1"/>
        <v>0</v>
      </c>
      <c r="O14" s="42">
        <f t="shared" si="1"/>
        <v>0</v>
      </c>
    </row>
    <row r="15" spans="1:15" x14ac:dyDescent="0.2">
      <c r="A15" s="43"/>
      <c r="B15" s="21" t="s">
        <v>1738</v>
      </c>
      <c r="C15" s="33">
        <f t="shared" si="0"/>
        <v>0</v>
      </c>
      <c r="D15" s="44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</row>
    <row r="16" spans="1:15" x14ac:dyDescent="0.2">
      <c r="A16" s="43"/>
      <c r="B16" s="21" t="s">
        <v>1739</v>
      </c>
      <c r="C16" s="33">
        <f t="shared" si="0"/>
        <v>0</v>
      </c>
      <c r="D16" s="44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</row>
    <row r="17" spans="1:15" s="51" customFormat="1" x14ac:dyDescent="0.2">
      <c r="A17" s="46"/>
      <c r="B17" s="47" t="s">
        <v>5</v>
      </c>
      <c r="C17" s="48">
        <f t="shared" si="0"/>
        <v>0</v>
      </c>
      <c r="D17" s="49">
        <f t="shared" ref="D17:O17" si="2">SUM(D14:D16)</f>
        <v>0</v>
      </c>
      <c r="E17" s="50">
        <f t="shared" si="2"/>
        <v>0</v>
      </c>
      <c r="F17" s="50">
        <f t="shared" si="2"/>
        <v>0</v>
      </c>
      <c r="G17" s="50">
        <f t="shared" si="2"/>
        <v>0</v>
      </c>
      <c r="H17" s="50">
        <f t="shared" si="2"/>
        <v>0</v>
      </c>
      <c r="I17" s="50">
        <f t="shared" si="2"/>
        <v>0</v>
      </c>
      <c r="J17" s="50">
        <f t="shared" si="2"/>
        <v>0</v>
      </c>
      <c r="K17" s="50">
        <f t="shared" si="2"/>
        <v>0</v>
      </c>
      <c r="L17" s="50">
        <f t="shared" si="2"/>
        <v>0</v>
      </c>
      <c r="M17" s="50">
        <f t="shared" si="2"/>
        <v>0</v>
      </c>
      <c r="N17" s="50">
        <f t="shared" si="2"/>
        <v>0</v>
      </c>
      <c r="O17" s="50">
        <f t="shared" si="2"/>
        <v>0</v>
      </c>
    </row>
    <row r="18" spans="1:15" x14ac:dyDescent="0.2">
      <c r="A18" s="43"/>
      <c r="C18" s="52"/>
    </row>
    <row r="19" spans="1:15" x14ac:dyDescent="0.2">
      <c r="A19" s="43"/>
      <c r="B19" s="53" t="s">
        <v>1740</v>
      </c>
      <c r="C19" s="33">
        <f>SUM(D19:O19)</f>
        <v>0</v>
      </c>
      <c r="D19" s="3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</row>
    <row r="20" spans="1:15" x14ac:dyDescent="0.2">
      <c r="A20" s="43"/>
      <c r="B20" s="21" t="s">
        <v>1741</v>
      </c>
      <c r="C20" s="52"/>
      <c r="D20" s="34"/>
    </row>
    <row r="21" spans="1:15" x14ac:dyDescent="0.2">
      <c r="A21" s="43"/>
      <c r="B21" s="21" t="s">
        <v>1742</v>
      </c>
      <c r="C21" s="52"/>
      <c r="D21" s="34"/>
    </row>
    <row r="22" spans="1:15" x14ac:dyDescent="0.2">
      <c r="A22" s="43"/>
      <c r="C22" s="52"/>
      <c r="D22" s="34"/>
    </row>
    <row r="23" spans="1:15" x14ac:dyDescent="0.2">
      <c r="A23" s="43"/>
    </row>
    <row r="24" spans="1:15" x14ac:dyDescent="0.2">
      <c r="A24" s="43"/>
      <c r="B24" s="23" t="str">
        <f>"Usage plant:  "&amp;Plant</f>
        <v>Usage plant:  ALL</v>
      </c>
      <c r="C24" s="32" t="s">
        <v>1733</v>
      </c>
      <c r="D24" s="55">
        <f ca="1">VALUE(YEAR(NOW())&amp;TEXT(MONTH(NOW()),"00"))</f>
        <v>201401</v>
      </c>
      <c r="E24" s="56">
        <f t="shared" ref="E24:L24" ca="1" si="3">VALUE(IF(RIGHT(D24,2)="12",YEAR(NOW())+1&amp;"01",D24+1))</f>
        <v>201402</v>
      </c>
      <c r="F24" s="56">
        <f ca="1">VALUE(IF(RIGHT(E24,2)="12",YEAR(NOW())+1&amp;"01",E24+1))</f>
        <v>201403</v>
      </c>
      <c r="G24" s="56">
        <f t="shared" ca="1" si="3"/>
        <v>201404</v>
      </c>
      <c r="H24" s="56">
        <f ca="1">VALUE(IF(RIGHT(G24,2)="12",YEAR(NOW())+1&amp;"01",G24+1))</f>
        <v>201405</v>
      </c>
      <c r="I24" s="56">
        <f t="shared" ca="1" si="3"/>
        <v>201406</v>
      </c>
      <c r="J24" s="56">
        <f t="shared" ca="1" si="3"/>
        <v>201407</v>
      </c>
      <c r="K24" s="56">
        <f t="shared" ca="1" si="3"/>
        <v>201408</v>
      </c>
      <c r="L24" s="56">
        <f t="shared" ca="1" si="3"/>
        <v>201409</v>
      </c>
      <c r="M24" s="56">
        <f ca="1">VALUE(IF(RIGHT(L24,2)="12",YEAR(NOW())+1&amp;"01",L24+1))</f>
        <v>201410</v>
      </c>
      <c r="N24" s="56">
        <f ca="1">VALUE(IF(RIGHT(M24,2)="12",YEAR(NOW())+1&amp;"01",M24+1))</f>
        <v>201411</v>
      </c>
      <c r="O24" s="57">
        <f ca="1">VALUE(IF(RIGHT(N24,2)="12",YEAR(NOW())+1&amp;"01",N24+1))</f>
        <v>201412</v>
      </c>
    </row>
    <row r="25" spans="1:15" x14ac:dyDescent="0.2">
      <c r="A25" s="43"/>
      <c r="B25" s="21" t="s">
        <v>1743</v>
      </c>
      <c r="C25" s="58">
        <f>SUM(D25:O25)</f>
        <v>0</v>
      </c>
      <c r="D25" s="34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</row>
    <row r="26" spans="1:15" x14ac:dyDescent="0.2">
      <c r="A26" s="43"/>
      <c r="B26" s="35" t="s">
        <v>18</v>
      </c>
      <c r="C26" s="59">
        <f>SUM(D26:O26)</f>
        <v>0</v>
      </c>
      <c r="D26" s="37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</row>
    <row r="27" spans="1:15" x14ac:dyDescent="0.2">
      <c r="A27" s="43"/>
      <c r="B27" s="60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</row>
    <row r="28" spans="1:15" x14ac:dyDescent="0.2">
      <c r="A28" s="43"/>
      <c r="B28" s="51" t="s">
        <v>1744</v>
      </c>
      <c r="C28" s="33"/>
      <c r="D28" s="61"/>
      <c r="E28" s="33">
        <f>D33</f>
        <v>0</v>
      </c>
      <c r="F28" s="33">
        <f t="shared" ref="F28:O28" si="4">E33</f>
        <v>0</v>
      </c>
      <c r="G28" s="33">
        <f t="shared" si="4"/>
        <v>0</v>
      </c>
      <c r="H28" s="33">
        <f t="shared" si="4"/>
        <v>0</v>
      </c>
      <c r="I28" s="33">
        <f t="shared" si="4"/>
        <v>0</v>
      </c>
      <c r="J28" s="33">
        <f t="shared" si="4"/>
        <v>0</v>
      </c>
      <c r="K28" s="33">
        <f t="shared" si="4"/>
        <v>0</v>
      </c>
      <c r="L28" s="33">
        <f t="shared" si="4"/>
        <v>0</v>
      </c>
      <c r="M28" s="33">
        <f t="shared" si="4"/>
        <v>0</v>
      </c>
      <c r="N28" s="33">
        <f t="shared" si="4"/>
        <v>0</v>
      </c>
      <c r="O28" s="33">
        <f t="shared" si="4"/>
        <v>0</v>
      </c>
    </row>
    <row r="29" spans="1:15" x14ac:dyDescent="0.2">
      <c r="A29" s="43"/>
      <c r="B29" s="21" t="s">
        <v>1745</v>
      </c>
      <c r="C29" s="58">
        <f>SUM(D29:O29)</f>
        <v>0</v>
      </c>
      <c r="D29" s="34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</row>
    <row r="30" spans="1:15" x14ac:dyDescent="0.2">
      <c r="A30" s="43"/>
      <c r="B30" s="21" t="s">
        <v>1746</v>
      </c>
      <c r="C30" s="58">
        <f>SUM(D30:O30)</f>
        <v>0</v>
      </c>
      <c r="D30" s="34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</row>
    <row r="31" spans="1:15" x14ac:dyDescent="0.2">
      <c r="A31" s="43"/>
      <c r="B31" s="21" t="s">
        <v>1747</v>
      </c>
      <c r="C31" s="58">
        <f>SUM(D31:O31)</f>
        <v>0</v>
      </c>
      <c r="D31" s="34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</row>
    <row r="32" spans="1:15" x14ac:dyDescent="0.2">
      <c r="A32" s="43"/>
      <c r="B32" s="35" t="s">
        <v>1748</v>
      </c>
      <c r="C32" s="59">
        <f>SUM(D32:O32)</f>
        <v>0</v>
      </c>
      <c r="D32" s="37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</row>
    <row r="33" spans="1:15" s="28" customFormat="1" x14ac:dyDescent="0.2">
      <c r="B33" s="28" t="s">
        <v>1749</v>
      </c>
      <c r="C33" s="42"/>
      <c r="D33" s="62">
        <f t="shared" ref="D33:O33" si="5">SUM(D28:D32)</f>
        <v>0</v>
      </c>
      <c r="E33" s="40">
        <f t="shared" si="5"/>
        <v>0</v>
      </c>
      <c r="F33" s="40">
        <f t="shared" si="5"/>
        <v>0</v>
      </c>
      <c r="G33" s="40">
        <f t="shared" si="5"/>
        <v>0</v>
      </c>
      <c r="H33" s="40">
        <f t="shared" si="5"/>
        <v>0</v>
      </c>
      <c r="I33" s="40">
        <f t="shared" si="5"/>
        <v>0</v>
      </c>
      <c r="J33" s="40">
        <f t="shared" si="5"/>
        <v>0</v>
      </c>
      <c r="K33" s="40">
        <f t="shared" si="5"/>
        <v>0</v>
      </c>
      <c r="L33" s="40">
        <f t="shared" si="5"/>
        <v>0</v>
      </c>
      <c r="M33" s="40">
        <f t="shared" si="5"/>
        <v>0</v>
      </c>
      <c r="N33" s="40">
        <f t="shared" si="5"/>
        <v>0</v>
      </c>
      <c r="O33" s="40">
        <f t="shared" si="5"/>
        <v>0</v>
      </c>
    </row>
    <row r="34" spans="1:15" x14ac:dyDescent="0.2">
      <c r="B34" s="28"/>
    </row>
    <row r="35" spans="1:15" x14ac:dyDescent="0.2">
      <c r="A35" s="23" t="s">
        <v>1750</v>
      </c>
      <c r="B35" s="23" t="s">
        <v>1751</v>
      </c>
      <c r="C35" s="63" t="s">
        <v>42</v>
      </c>
      <c r="D35" s="63" t="s">
        <v>1752</v>
      </c>
      <c r="E35" s="32" t="s">
        <v>1753</v>
      </c>
      <c r="F35" s="32" t="s">
        <v>1754</v>
      </c>
      <c r="G35" s="32" t="s">
        <v>1755</v>
      </c>
      <c r="H35" s="32" t="s">
        <v>1756</v>
      </c>
      <c r="I35" s="64" t="s">
        <v>1757</v>
      </c>
      <c r="J35" s="64" t="s">
        <v>1758</v>
      </c>
      <c r="K35" s="63" t="s">
        <v>1759</v>
      </c>
      <c r="L35" s="63" t="s">
        <v>1760</v>
      </c>
      <c r="M35" s="63" t="s">
        <v>1761</v>
      </c>
      <c r="N35" s="64" t="s">
        <v>1762</v>
      </c>
      <c r="O35" s="65" t="s">
        <v>1763</v>
      </c>
    </row>
    <row r="36" spans="1:15" x14ac:dyDescent="0.2">
      <c r="B36" s="66"/>
      <c r="E36" s="29"/>
      <c r="F36" s="29"/>
      <c r="G36" s="67"/>
      <c r="H36" s="68"/>
      <c r="I36" s="69"/>
      <c r="J36" s="70"/>
      <c r="N36" s="71"/>
      <c r="O36" s="71"/>
    </row>
    <row r="37" spans="1:15" x14ac:dyDescent="0.2">
      <c r="B37" s="66"/>
      <c r="E37" s="29"/>
      <c r="F37" s="29"/>
      <c r="G37" s="67"/>
      <c r="H37" s="68"/>
      <c r="I37" s="69"/>
      <c r="J37" s="70"/>
      <c r="N37" s="71"/>
      <c r="O37" s="71"/>
    </row>
    <row r="38" spans="1:15" x14ac:dyDescent="0.2">
      <c r="B38" s="66"/>
      <c r="E38" s="29"/>
      <c r="F38" s="29"/>
      <c r="G38" s="67"/>
      <c r="H38" s="68"/>
      <c r="I38" s="69"/>
      <c r="J38" s="70"/>
      <c r="N38" s="71"/>
      <c r="O38" s="71"/>
    </row>
    <row r="39" spans="1:15" x14ac:dyDescent="0.2">
      <c r="B39" s="66"/>
      <c r="E39" s="29"/>
      <c r="F39" s="29"/>
      <c r="G39" s="67"/>
      <c r="H39" s="68"/>
      <c r="I39" s="69"/>
      <c r="J39" s="70"/>
      <c r="N39" s="71"/>
      <c r="O39" s="71"/>
    </row>
    <row r="40" spans="1:15" x14ac:dyDescent="0.2">
      <c r="B40" s="66"/>
      <c r="E40" s="29"/>
      <c r="F40" s="29"/>
      <c r="G40" s="67"/>
      <c r="H40" s="68"/>
      <c r="I40" s="69"/>
      <c r="J40" s="70"/>
      <c r="N40" s="71"/>
      <c r="O40" s="71"/>
    </row>
    <row r="41" spans="1:15" x14ac:dyDescent="0.2">
      <c r="B41" s="66"/>
      <c r="E41" s="29"/>
      <c r="F41" s="29"/>
      <c r="G41" s="67"/>
      <c r="H41" s="68"/>
      <c r="I41" s="69"/>
      <c r="J41" s="70"/>
      <c r="N41" s="71"/>
      <c r="O41" s="71"/>
    </row>
    <row r="42" spans="1:15" x14ac:dyDescent="0.2">
      <c r="B42" s="66"/>
      <c r="E42" s="29"/>
      <c r="F42" s="29"/>
      <c r="G42" s="67"/>
      <c r="H42" s="68"/>
      <c r="I42" s="69"/>
      <c r="J42" s="70"/>
      <c r="N42" s="71"/>
      <c r="O42" s="71"/>
    </row>
    <row r="43" spans="1:15" x14ac:dyDescent="0.2">
      <c r="B43" s="66"/>
      <c r="E43" s="29"/>
      <c r="F43" s="29"/>
      <c r="G43" s="67"/>
      <c r="H43" s="68"/>
      <c r="I43" s="69"/>
      <c r="J43" s="70"/>
      <c r="N43" s="71"/>
      <c r="O43" s="71"/>
    </row>
    <row r="44" spans="1:15" x14ac:dyDescent="0.2">
      <c r="B44" s="66"/>
      <c r="E44" s="29"/>
      <c r="F44" s="29"/>
      <c r="G44" s="67"/>
      <c r="H44" s="68"/>
      <c r="I44" s="69"/>
      <c r="J44" s="70"/>
      <c r="N44" s="71"/>
      <c r="O44" s="71"/>
    </row>
    <row r="45" spans="1:15" x14ac:dyDescent="0.2">
      <c r="B45" s="66"/>
      <c r="E45" s="29"/>
      <c r="F45" s="29"/>
      <c r="G45" s="67"/>
      <c r="H45" s="68"/>
      <c r="I45" s="69"/>
      <c r="J45" s="70"/>
      <c r="N45" s="71"/>
      <c r="O45" s="71"/>
    </row>
    <row r="46" spans="1:15" x14ac:dyDescent="0.2">
      <c r="B46" s="66"/>
      <c r="E46" s="29"/>
      <c r="F46" s="29"/>
      <c r="G46" s="67"/>
      <c r="H46" s="68"/>
      <c r="I46" s="69"/>
      <c r="J46" s="70"/>
      <c r="N46" s="71"/>
      <c r="O46" s="71"/>
    </row>
    <row r="47" spans="1:15" x14ac:dyDescent="0.2">
      <c r="B47" s="66"/>
      <c r="E47" s="29"/>
      <c r="F47" s="29"/>
      <c r="G47" s="67"/>
      <c r="H47" s="68"/>
      <c r="I47" s="69"/>
      <c r="J47" s="70"/>
      <c r="N47" s="71"/>
      <c r="O47" s="71"/>
    </row>
    <row r="48" spans="1:15" x14ac:dyDescent="0.2">
      <c r="B48" s="66"/>
      <c r="E48" s="29"/>
      <c r="F48" s="29"/>
      <c r="G48" s="67"/>
      <c r="H48" s="68"/>
      <c r="I48" s="69"/>
      <c r="J48" s="70"/>
      <c r="N48" s="71"/>
      <c r="O48" s="71"/>
    </row>
    <row r="49" spans="2:15" x14ac:dyDescent="0.2">
      <c r="B49" s="66"/>
      <c r="E49" s="29"/>
      <c r="F49" s="29"/>
      <c r="G49" s="67"/>
      <c r="H49" s="68"/>
      <c r="I49" s="69"/>
      <c r="J49" s="70"/>
      <c r="N49" s="71"/>
      <c r="O49" s="71"/>
    </row>
    <row r="50" spans="2:15" x14ac:dyDescent="0.2">
      <c r="B50" s="66"/>
      <c r="E50" s="29"/>
      <c r="F50" s="29"/>
      <c r="G50" s="67"/>
      <c r="H50" s="68"/>
      <c r="I50" s="69"/>
      <c r="J50" s="70"/>
      <c r="N50" s="71"/>
      <c r="O50" s="71"/>
    </row>
    <row r="51" spans="2:15" x14ac:dyDescent="0.2">
      <c r="B51" s="66"/>
      <c r="E51" s="29"/>
      <c r="F51" s="29"/>
      <c r="G51" s="67"/>
      <c r="H51" s="68"/>
      <c r="I51" s="69"/>
      <c r="J51" s="70"/>
      <c r="N51" s="71"/>
      <c r="O51" s="71"/>
    </row>
    <row r="52" spans="2:15" x14ac:dyDescent="0.2">
      <c r="B52" s="66"/>
      <c r="E52" s="29"/>
      <c r="F52" s="29"/>
      <c r="G52" s="67"/>
      <c r="H52" s="68"/>
      <c r="I52" s="69"/>
      <c r="J52" s="70"/>
      <c r="N52" s="71"/>
      <c r="O52" s="71"/>
    </row>
    <row r="53" spans="2:15" x14ac:dyDescent="0.2">
      <c r="B53" s="66"/>
      <c r="E53" s="29"/>
      <c r="F53" s="29"/>
      <c r="G53" s="67"/>
      <c r="H53" s="68"/>
      <c r="I53" s="69"/>
      <c r="J53" s="70"/>
      <c r="N53" s="71"/>
      <c r="O53" s="71"/>
    </row>
    <row r="54" spans="2:15" x14ac:dyDescent="0.2">
      <c r="B54" s="66"/>
      <c r="E54" s="29"/>
      <c r="F54" s="29"/>
      <c r="G54" s="67"/>
      <c r="H54" s="68"/>
      <c r="I54" s="69"/>
      <c r="J54" s="70"/>
      <c r="N54" s="71"/>
      <c r="O54" s="71"/>
    </row>
    <row r="55" spans="2:15" x14ac:dyDescent="0.2">
      <c r="B55" s="66"/>
      <c r="E55" s="29"/>
      <c r="F55" s="29"/>
      <c r="G55" s="67"/>
      <c r="H55" s="68"/>
      <c r="I55" s="69"/>
      <c r="J55" s="70"/>
      <c r="N55" s="71"/>
      <c r="O55" s="71"/>
    </row>
    <row r="56" spans="2:15" x14ac:dyDescent="0.2">
      <c r="B56" s="66"/>
      <c r="E56" s="29"/>
      <c r="F56" s="29"/>
      <c r="G56" s="67"/>
      <c r="H56" s="68"/>
      <c r="I56" s="69"/>
      <c r="J56" s="70"/>
      <c r="N56" s="71"/>
      <c r="O56" s="71"/>
    </row>
    <row r="57" spans="2:15" x14ac:dyDescent="0.2">
      <c r="B57" s="66"/>
      <c r="E57" s="29"/>
      <c r="F57" s="29"/>
      <c r="G57" s="67"/>
      <c r="H57" s="68"/>
      <c r="I57" s="69"/>
      <c r="J57" s="70"/>
      <c r="N57" s="71"/>
      <c r="O57" s="71"/>
    </row>
    <row r="58" spans="2:15" x14ac:dyDescent="0.2">
      <c r="B58" s="66"/>
      <c r="E58" s="29"/>
      <c r="F58" s="29"/>
      <c r="G58" s="67"/>
      <c r="H58" s="68"/>
      <c r="I58" s="69"/>
      <c r="J58" s="70"/>
      <c r="N58" s="71"/>
      <c r="O58" s="71"/>
    </row>
    <row r="59" spans="2:15" x14ac:dyDescent="0.2">
      <c r="B59" s="66"/>
      <c r="E59" s="29"/>
      <c r="F59" s="29"/>
      <c r="G59" s="67"/>
      <c r="H59" s="68"/>
      <c r="I59" s="69"/>
      <c r="J59" s="70"/>
      <c r="N59" s="71"/>
      <c r="O59" s="71"/>
    </row>
    <row r="60" spans="2:15" x14ac:dyDescent="0.2">
      <c r="B60" s="66"/>
      <c r="E60" s="29"/>
      <c r="F60" s="29"/>
      <c r="G60" s="67"/>
      <c r="H60" s="68"/>
      <c r="I60" s="69"/>
      <c r="J60" s="70"/>
      <c r="N60" s="71"/>
      <c r="O60" s="71"/>
    </row>
    <row r="61" spans="2:15" x14ac:dyDescent="0.2">
      <c r="B61" s="66"/>
      <c r="E61" s="29"/>
      <c r="F61" s="29"/>
      <c r="G61" s="67"/>
      <c r="H61" s="68"/>
      <c r="I61" s="69"/>
      <c r="J61" s="70"/>
      <c r="N61" s="71"/>
      <c r="O61" s="71"/>
    </row>
    <row r="62" spans="2:15" x14ac:dyDescent="0.2">
      <c r="B62" s="66"/>
      <c r="E62" s="29"/>
      <c r="F62" s="29"/>
      <c r="G62" s="67"/>
      <c r="H62" s="68"/>
      <c r="I62" s="69"/>
      <c r="J62" s="70"/>
      <c r="N62" s="71"/>
      <c r="O62" s="71"/>
    </row>
    <row r="63" spans="2:15" x14ac:dyDescent="0.2">
      <c r="B63" s="66"/>
      <c r="E63" s="29"/>
      <c r="F63" s="29"/>
      <c r="G63" s="67"/>
      <c r="H63" s="68"/>
      <c r="I63" s="69"/>
      <c r="J63" s="70"/>
      <c r="N63" s="71"/>
      <c r="O63" s="71"/>
    </row>
    <row r="64" spans="2:15" x14ac:dyDescent="0.2">
      <c r="B64" s="66"/>
      <c r="E64" s="29"/>
      <c r="F64" s="29"/>
      <c r="G64" s="67"/>
      <c r="H64" s="68"/>
      <c r="I64" s="69"/>
      <c r="J64" s="70"/>
      <c r="N64" s="71"/>
      <c r="O64" s="71"/>
    </row>
    <row r="65" spans="2:15" x14ac:dyDescent="0.2">
      <c r="B65" s="66"/>
      <c r="E65" s="29"/>
      <c r="F65" s="29"/>
      <c r="G65" s="67"/>
      <c r="H65" s="68"/>
      <c r="I65" s="69"/>
      <c r="J65" s="70"/>
      <c r="N65" s="71"/>
      <c r="O65" s="71"/>
    </row>
    <row r="66" spans="2:15" x14ac:dyDescent="0.2">
      <c r="B66" s="66"/>
      <c r="E66" s="29"/>
      <c r="F66" s="29"/>
      <c r="G66" s="67"/>
      <c r="H66" s="68"/>
      <c r="I66" s="69"/>
      <c r="J66" s="70"/>
      <c r="N66" s="71"/>
      <c r="O66" s="71"/>
    </row>
    <row r="67" spans="2:15" x14ac:dyDescent="0.2">
      <c r="B67" s="66"/>
      <c r="E67" s="29"/>
      <c r="F67" s="29"/>
      <c r="G67" s="67"/>
      <c r="H67" s="68"/>
      <c r="I67" s="69"/>
      <c r="J67" s="70"/>
      <c r="N67" s="71"/>
      <c r="O67" s="71"/>
    </row>
    <row r="68" spans="2:15" x14ac:dyDescent="0.2">
      <c r="B68" s="66"/>
      <c r="E68" s="29"/>
      <c r="F68" s="29"/>
      <c r="G68" s="67"/>
      <c r="H68" s="68"/>
      <c r="I68" s="69"/>
      <c r="J68" s="70"/>
      <c r="N68" s="71"/>
      <c r="O68" s="71"/>
    </row>
    <row r="69" spans="2:15" x14ac:dyDescent="0.2">
      <c r="B69" s="66"/>
      <c r="E69" s="29"/>
      <c r="F69" s="29"/>
      <c r="G69" s="67"/>
      <c r="H69" s="68"/>
      <c r="I69" s="69"/>
      <c r="J69" s="70"/>
      <c r="N69" s="71"/>
      <c r="O69" s="71"/>
    </row>
    <row r="70" spans="2:15" x14ac:dyDescent="0.2">
      <c r="B70" s="66"/>
      <c r="E70" s="29"/>
      <c r="F70" s="29"/>
      <c r="G70" s="67"/>
      <c r="H70" s="68"/>
      <c r="I70" s="69"/>
      <c r="J70" s="70"/>
      <c r="N70" s="71"/>
      <c r="O70" s="71"/>
    </row>
    <row r="71" spans="2:15" x14ac:dyDescent="0.2">
      <c r="B71" s="66"/>
      <c r="E71" s="29"/>
      <c r="F71" s="29"/>
      <c r="G71" s="67"/>
      <c r="H71" s="68"/>
      <c r="I71" s="69"/>
      <c r="J71" s="70"/>
      <c r="N71" s="71"/>
      <c r="O71" s="71"/>
    </row>
    <row r="72" spans="2:15" x14ac:dyDescent="0.2">
      <c r="B72" s="66"/>
      <c r="E72" s="29"/>
      <c r="F72" s="29"/>
      <c r="G72" s="67"/>
      <c r="H72" s="68"/>
      <c r="I72" s="69"/>
      <c r="J72" s="70"/>
      <c r="N72" s="71"/>
      <c r="O72" s="71"/>
    </row>
    <row r="73" spans="2:15" x14ac:dyDescent="0.2">
      <c r="B73" s="66"/>
      <c r="E73" s="29"/>
      <c r="F73" s="29"/>
      <c r="G73" s="67"/>
      <c r="H73" s="68"/>
      <c r="I73" s="69"/>
      <c r="J73" s="70"/>
      <c r="N73" s="71"/>
      <c r="O73" s="71"/>
    </row>
    <row r="74" spans="2:15" x14ac:dyDescent="0.2">
      <c r="B74" s="66"/>
      <c r="E74" s="29"/>
      <c r="F74" s="29"/>
      <c r="G74" s="67"/>
      <c r="H74" s="68"/>
      <c r="I74" s="69"/>
      <c r="J74" s="70"/>
      <c r="N74" s="71"/>
      <c r="O74" s="71"/>
    </row>
    <row r="75" spans="2:15" x14ac:dyDescent="0.2">
      <c r="B75" s="66"/>
      <c r="E75" s="29"/>
      <c r="F75" s="29"/>
      <c r="G75" s="67"/>
      <c r="H75" s="68"/>
      <c r="I75" s="69"/>
      <c r="J75" s="70"/>
      <c r="N75" s="71"/>
      <c r="O75" s="71"/>
    </row>
    <row r="76" spans="2:15" x14ac:dyDescent="0.2">
      <c r="B76" s="66"/>
      <c r="E76" s="29"/>
      <c r="F76" s="29"/>
      <c r="G76" s="67"/>
      <c r="H76" s="68"/>
      <c r="I76" s="69"/>
      <c r="J76" s="70"/>
      <c r="N76" s="71"/>
      <c r="O76" s="71"/>
    </row>
    <row r="77" spans="2:15" x14ac:dyDescent="0.2">
      <c r="B77" s="66"/>
      <c r="E77" s="29"/>
      <c r="F77" s="29"/>
      <c r="G77" s="67"/>
      <c r="H77" s="68"/>
      <c r="I77" s="69"/>
      <c r="J77" s="70"/>
      <c r="N77" s="71"/>
      <c r="O77" s="71"/>
    </row>
    <row r="78" spans="2:15" x14ac:dyDescent="0.2">
      <c r="B78" s="66"/>
      <c r="E78" s="29"/>
      <c r="F78" s="29"/>
      <c r="G78" s="67"/>
      <c r="H78" s="68"/>
      <c r="I78" s="69"/>
      <c r="J78" s="70"/>
      <c r="N78" s="71"/>
      <c r="O78" s="71"/>
    </row>
    <row r="79" spans="2:15" x14ac:dyDescent="0.2">
      <c r="B79" s="66"/>
      <c r="E79" s="29"/>
      <c r="F79" s="29"/>
      <c r="G79" s="67"/>
      <c r="H79" s="68"/>
      <c r="I79" s="69"/>
      <c r="J79" s="70"/>
      <c r="N79" s="71"/>
      <c r="O79" s="71"/>
    </row>
    <row r="80" spans="2:15" x14ac:dyDescent="0.2">
      <c r="B80" s="66"/>
      <c r="E80" s="29"/>
      <c r="F80" s="29"/>
      <c r="G80" s="67"/>
      <c r="H80" s="68"/>
      <c r="I80" s="69"/>
      <c r="J80" s="70"/>
      <c r="N80" s="71"/>
      <c r="O80" s="71"/>
    </row>
    <row r="81" spans="2:15" x14ac:dyDescent="0.2">
      <c r="B81" s="66"/>
      <c r="E81" s="29"/>
      <c r="F81" s="29"/>
      <c r="G81" s="67"/>
      <c r="H81" s="68"/>
      <c r="I81" s="69"/>
      <c r="J81" s="70"/>
      <c r="N81" s="71"/>
      <c r="O81" s="71"/>
    </row>
    <row r="82" spans="2:15" x14ac:dyDescent="0.2">
      <c r="B82" s="66"/>
      <c r="E82" s="29"/>
      <c r="F82" s="29"/>
      <c r="G82" s="67"/>
      <c r="H82" s="68"/>
      <c r="I82" s="69"/>
      <c r="J82" s="70"/>
      <c r="N82" s="71"/>
      <c r="O82" s="71"/>
    </row>
    <row r="83" spans="2:15" x14ac:dyDescent="0.2">
      <c r="B83" s="66"/>
      <c r="E83" s="29"/>
      <c r="F83" s="29"/>
      <c r="G83" s="67"/>
      <c r="H83" s="68"/>
      <c r="I83" s="69"/>
      <c r="J83" s="70"/>
      <c r="N83" s="71"/>
      <c r="O83" s="71"/>
    </row>
    <row r="84" spans="2:15" x14ac:dyDescent="0.2">
      <c r="B84" s="66"/>
      <c r="E84" s="29"/>
      <c r="F84" s="29"/>
      <c r="G84" s="67"/>
      <c r="H84" s="68"/>
      <c r="I84" s="69"/>
      <c r="J84" s="70"/>
      <c r="N84" s="71"/>
      <c r="O84" s="71"/>
    </row>
    <row r="85" spans="2:15" x14ac:dyDescent="0.2">
      <c r="B85" s="66"/>
      <c r="E85" s="29"/>
      <c r="F85" s="29"/>
      <c r="G85" s="67"/>
      <c r="H85" s="68"/>
      <c r="I85" s="69"/>
      <c r="J85" s="70"/>
      <c r="N85" s="71"/>
      <c r="O85" s="71"/>
    </row>
    <row r="86" spans="2:15" x14ac:dyDescent="0.2">
      <c r="B86" s="66"/>
      <c r="E86" s="29"/>
      <c r="F86" s="29"/>
      <c r="G86" s="67"/>
      <c r="H86" s="68"/>
      <c r="I86" s="69"/>
      <c r="J86" s="70"/>
      <c r="N86" s="71"/>
      <c r="O86" s="71"/>
    </row>
    <row r="87" spans="2:15" x14ac:dyDescent="0.2">
      <c r="B87" s="66"/>
      <c r="E87" s="29"/>
      <c r="F87" s="29"/>
      <c r="G87" s="67"/>
      <c r="H87" s="68"/>
      <c r="I87" s="69"/>
      <c r="J87" s="70"/>
      <c r="N87" s="71"/>
      <c r="O87" s="71"/>
    </row>
    <row r="88" spans="2:15" x14ac:dyDescent="0.2">
      <c r="B88" s="66"/>
      <c r="E88" s="29"/>
      <c r="F88" s="29"/>
      <c r="G88" s="67"/>
      <c r="H88" s="68"/>
      <c r="I88" s="69"/>
      <c r="J88" s="70"/>
      <c r="N88" s="71"/>
      <c r="O88" s="71"/>
    </row>
    <row r="89" spans="2:15" x14ac:dyDescent="0.2">
      <c r="B89" s="66"/>
      <c r="E89" s="29"/>
      <c r="F89" s="29"/>
      <c r="G89" s="67"/>
      <c r="H89" s="68"/>
      <c r="I89" s="69"/>
      <c r="J89" s="70"/>
      <c r="N89" s="71"/>
      <c r="O89" s="71"/>
    </row>
    <row r="90" spans="2:15" x14ac:dyDescent="0.2">
      <c r="B90" s="66"/>
      <c r="E90" s="29"/>
      <c r="F90" s="29"/>
      <c r="G90" s="67"/>
      <c r="H90" s="68"/>
      <c r="I90" s="69"/>
      <c r="J90" s="70"/>
      <c r="N90" s="71"/>
      <c r="O90" s="71"/>
    </row>
    <row r="91" spans="2:15" x14ac:dyDescent="0.2">
      <c r="B91" s="66"/>
      <c r="E91" s="29"/>
      <c r="F91" s="29"/>
      <c r="G91" s="67"/>
      <c r="H91" s="68"/>
      <c r="I91" s="69"/>
      <c r="J91" s="70"/>
      <c r="N91" s="71"/>
      <c r="O91" s="71"/>
    </row>
    <row r="92" spans="2:15" x14ac:dyDescent="0.2">
      <c r="B92" s="66"/>
      <c r="E92" s="29"/>
      <c r="F92" s="29"/>
      <c r="G92" s="67"/>
      <c r="H92" s="68"/>
      <c r="I92" s="69"/>
      <c r="J92" s="70"/>
      <c r="N92" s="71"/>
      <c r="O92" s="71"/>
    </row>
    <row r="93" spans="2:15" x14ac:dyDescent="0.2">
      <c r="B93" s="66"/>
      <c r="E93" s="29"/>
      <c r="F93" s="29"/>
      <c r="G93" s="67"/>
      <c r="H93" s="68"/>
      <c r="I93" s="69"/>
      <c r="J93" s="70"/>
      <c r="N93" s="71"/>
      <c r="O93" s="71"/>
    </row>
    <row r="94" spans="2:15" x14ac:dyDescent="0.2">
      <c r="B94" s="66"/>
      <c r="E94" s="29"/>
      <c r="F94" s="29"/>
      <c r="G94" s="67"/>
      <c r="H94" s="68"/>
      <c r="I94" s="69"/>
      <c r="J94" s="70"/>
      <c r="N94" s="71"/>
      <c r="O94" s="71"/>
    </row>
    <row r="95" spans="2:15" x14ac:dyDescent="0.2">
      <c r="B95" s="66"/>
      <c r="E95" s="29"/>
      <c r="F95" s="29"/>
      <c r="G95" s="67"/>
      <c r="H95" s="68"/>
      <c r="I95" s="69"/>
      <c r="J95" s="70"/>
      <c r="N95" s="71"/>
      <c r="O95" s="71"/>
    </row>
    <row r="96" spans="2:15" x14ac:dyDescent="0.2">
      <c r="B96" s="66"/>
      <c r="E96" s="29"/>
      <c r="F96" s="29"/>
      <c r="G96" s="67"/>
      <c r="H96" s="68"/>
      <c r="I96" s="69"/>
      <c r="J96" s="70"/>
      <c r="N96" s="71"/>
      <c r="O96" s="71"/>
    </row>
    <row r="97" spans="2:15" x14ac:dyDescent="0.2">
      <c r="B97" s="66"/>
      <c r="E97" s="29"/>
      <c r="F97" s="29"/>
      <c r="G97" s="67"/>
      <c r="H97" s="68"/>
      <c r="I97" s="69"/>
      <c r="J97" s="70"/>
      <c r="N97" s="71"/>
      <c r="O97" s="71"/>
    </row>
    <row r="98" spans="2:15" x14ac:dyDescent="0.2">
      <c r="B98" s="66"/>
      <c r="E98" s="29"/>
      <c r="F98" s="29"/>
      <c r="G98" s="67"/>
      <c r="H98" s="68"/>
      <c r="I98" s="69"/>
      <c r="J98" s="70"/>
      <c r="N98" s="71"/>
      <c r="O98" s="71"/>
    </row>
    <row r="99" spans="2:15" x14ac:dyDescent="0.2">
      <c r="B99" s="66"/>
      <c r="E99" s="29"/>
      <c r="F99" s="29"/>
      <c r="G99" s="67"/>
      <c r="H99" s="68"/>
      <c r="I99" s="69"/>
      <c r="J99" s="70"/>
      <c r="N99" s="71"/>
      <c r="O99" s="71"/>
    </row>
    <row r="100" spans="2:15" x14ac:dyDescent="0.2">
      <c r="B100" s="66"/>
      <c r="E100" s="29"/>
      <c r="F100" s="29"/>
      <c r="G100" s="67"/>
      <c r="H100" s="68"/>
      <c r="I100" s="69"/>
      <c r="J100" s="70"/>
      <c r="N100" s="71"/>
      <c r="O100" s="71"/>
    </row>
    <row r="101" spans="2:15" x14ac:dyDescent="0.2">
      <c r="B101" s="66"/>
      <c r="E101" s="29"/>
      <c r="F101" s="29"/>
      <c r="G101" s="67"/>
      <c r="H101" s="68"/>
      <c r="I101" s="69"/>
      <c r="J101" s="70"/>
      <c r="N101" s="71"/>
      <c r="O101" s="71"/>
    </row>
    <row r="102" spans="2:15" x14ac:dyDescent="0.2">
      <c r="B102" s="66"/>
      <c r="E102" s="29"/>
      <c r="F102" s="29"/>
      <c r="G102" s="67"/>
      <c r="H102" s="68"/>
      <c r="I102" s="69"/>
      <c r="J102" s="70"/>
      <c r="N102" s="71"/>
      <c r="O102" s="71"/>
    </row>
    <row r="103" spans="2:15" x14ac:dyDescent="0.2">
      <c r="B103" s="66"/>
      <c r="E103" s="29"/>
      <c r="F103" s="29"/>
      <c r="G103" s="67"/>
      <c r="H103" s="68"/>
      <c r="I103" s="69"/>
      <c r="J103" s="70"/>
      <c r="N103" s="71"/>
      <c r="O103" s="71"/>
    </row>
    <row r="104" spans="2:15" x14ac:dyDescent="0.2">
      <c r="B104" s="66"/>
      <c r="E104" s="29"/>
      <c r="F104" s="29"/>
      <c r="G104" s="67"/>
      <c r="H104" s="68"/>
      <c r="I104" s="69"/>
      <c r="J104" s="70"/>
      <c r="N104" s="71"/>
      <c r="O104" s="71"/>
    </row>
    <row r="105" spans="2:15" x14ac:dyDescent="0.2">
      <c r="B105" s="66"/>
      <c r="E105" s="29"/>
      <c r="F105" s="29"/>
      <c r="G105" s="67"/>
      <c r="H105" s="68"/>
      <c r="I105" s="69"/>
      <c r="J105" s="70"/>
      <c r="N105" s="71"/>
      <c r="O105" s="71"/>
    </row>
    <row r="106" spans="2:15" x14ac:dyDescent="0.2">
      <c r="B106" s="66"/>
      <c r="E106" s="29"/>
      <c r="F106" s="29"/>
      <c r="G106" s="67"/>
      <c r="H106" s="68"/>
      <c r="I106" s="69"/>
      <c r="J106" s="70"/>
      <c r="N106" s="71"/>
      <c r="O106" s="71"/>
    </row>
    <row r="107" spans="2:15" x14ac:dyDescent="0.2">
      <c r="B107" s="66"/>
      <c r="E107" s="29"/>
      <c r="F107" s="29"/>
      <c r="G107" s="67"/>
      <c r="H107" s="68"/>
      <c r="I107" s="69"/>
      <c r="J107" s="70"/>
      <c r="N107" s="71"/>
      <c r="O107" s="71"/>
    </row>
    <row r="108" spans="2:15" x14ac:dyDescent="0.2">
      <c r="B108" s="66"/>
      <c r="E108" s="29"/>
      <c r="F108" s="29"/>
      <c r="G108" s="67"/>
      <c r="H108" s="68"/>
      <c r="I108" s="69"/>
      <c r="J108" s="70"/>
      <c r="N108" s="71"/>
      <c r="O108" s="71"/>
    </row>
    <row r="109" spans="2:15" x14ac:dyDescent="0.2">
      <c r="B109" s="66"/>
      <c r="E109" s="29"/>
      <c r="F109" s="29"/>
      <c r="G109" s="67"/>
      <c r="H109" s="68"/>
      <c r="I109" s="69"/>
      <c r="J109" s="70"/>
      <c r="N109" s="71"/>
      <c r="O109" s="71"/>
    </row>
    <row r="110" spans="2:15" x14ac:dyDescent="0.2">
      <c r="B110" s="66"/>
      <c r="E110" s="29"/>
      <c r="F110" s="29"/>
      <c r="G110" s="67"/>
      <c r="H110" s="68"/>
      <c r="I110" s="69"/>
      <c r="J110" s="70"/>
      <c r="N110" s="71"/>
      <c r="O110" s="71"/>
    </row>
    <row r="111" spans="2:15" x14ac:dyDescent="0.2">
      <c r="B111" s="66"/>
      <c r="E111" s="29"/>
      <c r="F111" s="29"/>
      <c r="G111" s="67"/>
      <c r="H111" s="68"/>
      <c r="I111" s="69"/>
      <c r="J111" s="70"/>
      <c r="N111" s="71"/>
      <c r="O111" s="71"/>
    </row>
    <row r="112" spans="2:15" x14ac:dyDescent="0.2">
      <c r="B112" s="66"/>
      <c r="E112" s="29"/>
      <c r="F112" s="29"/>
      <c r="G112" s="67"/>
      <c r="H112" s="68"/>
      <c r="I112" s="69"/>
      <c r="J112" s="70"/>
      <c r="N112" s="71"/>
      <c r="O112" s="71"/>
    </row>
    <row r="113" spans="2:15" x14ac:dyDescent="0.2">
      <c r="B113" s="66"/>
      <c r="E113" s="29"/>
      <c r="F113" s="29"/>
      <c r="G113" s="67"/>
      <c r="H113" s="68"/>
      <c r="I113" s="69"/>
      <c r="J113" s="70"/>
      <c r="N113" s="71"/>
      <c r="O113" s="71"/>
    </row>
    <row r="114" spans="2:15" x14ac:dyDescent="0.2">
      <c r="B114" s="66"/>
      <c r="E114" s="29"/>
      <c r="F114" s="29"/>
      <c r="G114" s="67"/>
      <c r="H114" s="68"/>
      <c r="I114" s="69"/>
      <c r="J114" s="70"/>
      <c r="N114" s="71"/>
      <c r="O114" s="71"/>
    </row>
    <row r="115" spans="2:15" x14ac:dyDescent="0.2">
      <c r="B115" s="66"/>
      <c r="E115" s="29"/>
      <c r="F115" s="29"/>
      <c r="G115" s="67"/>
      <c r="H115" s="68"/>
      <c r="I115" s="69"/>
      <c r="J115" s="70"/>
      <c r="N115" s="71"/>
      <c r="O115" s="71"/>
    </row>
    <row r="116" spans="2:15" x14ac:dyDescent="0.2">
      <c r="B116" s="66"/>
      <c r="E116" s="29"/>
      <c r="F116" s="29"/>
      <c r="G116" s="67"/>
      <c r="H116" s="68"/>
      <c r="I116" s="69"/>
      <c r="J116" s="70"/>
      <c r="N116" s="71"/>
      <c r="O116" s="71"/>
    </row>
    <row r="117" spans="2:15" x14ac:dyDescent="0.2">
      <c r="B117" s="66"/>
      <c r="E117" s="29"/>
      <c r="F117" s="29"/>
      <c r="G117" s="67"/>
      <c r="H117" s="68"/>
      <c r="I117" s="69"/>
      <c r="J117" s="70"/>
      <c r="N117" s="71"/>
      <c r="O117" s="71"/>
    </row>
    <row r="118" spans="2:15" x14ac:dyDescent="0.2">
      <c r="B118" s="66"/>
      <c r="E118" s="29"/>
      <c r="F118" s="29"/>
      <c r="G118" s="67"/>
      <c r="H118" s="68"/>
      <c r="I118" s="69"/>
      <c r="J118" s="70"/>
      <c r="N118" s="71"/>
      <c r="O118" s="71"/>
    </row>
    <row r="119" spans="2:15" x14ac:dyDescent="0.2">
      <c r="B119" s="66"/>
      <c r="E119" s="29"/>
      <c r="F119" s="29"/>
      <c r="G119" s="67"/>
      <c r="H119" s="68"/>
      <c r="I119" s="69"/>
      <c r="J119" s="70"/>
      <c r="N119" s="71"/>
      <c r="O119" s="71"/>
    </row>
    <row r="120" spans="2:15" x14ac:dyDescent="0.2">
      <c r="B120" s="66"/>
      <c r="E120" s="29"/>
      <c r="F120" s="29"/>
      <c r="G120" s="67"/>
      <c r="H120" s="68"/>
      <c r="I120" s="69"/>
      <c r="J120" s="70"/>
      <c r="N120" s="71"/>
      <c r="O120" s="71"/>
    </row>
    <row r="121" spans="2:15" x14ac:dyDescent="0.2">
      <c r="B121" s="66"/>
      <c r="E121" s="29"/>
      <c r="F121" s="29"/>
      <c r="G121" s="67"/>
      <c r="H121" s="68"/>
      <c r="I121" s="69"/>
      <c r="J121" s="70"/>
      <c r="N121" s="71"/>
      <c r="O121" s="71"/>
    </row>
    <row r="122" spans="2:15" x14ac:dyDescent="0.2">
      <c r="B122" s="66"/>
      <c r="E122" s="29"/>
      <c r="F122" s="29"/>
      <c r="G122" s="67"/>
      <c r="H122" s="68"/>
      <c r="I122" s="69"/>
      <c r="J122" s="70"/>
      <c r="N122" s="71"/>
      <c r="O122" s="71"/>
    </row>
    <row r="123" spans="2:15" x14ac:dyDescent="0.2">
      <c r="B123" s="66"/>
      <c r="E123" s="29"/>
      <c r="F123" s="29"/>
      <c r="G123" s="67"/>
      <c r="H123" s="68"/>
      <c r="I123" s="69"/>
      <c r="J123" s="70"/>
      <c r="N123" s="71"/>
      <c r="O123" s="71"/>
    </row>
    <row r="124" spans="2:15" x14ac:dyDescent="0.2">
      <c r="B124" s="66"/>
      <c r="E124" s="29"/>
      <c r="F124" s="29"/>
      <c r="G124" s="67"/>
      <c r="H124" s="68"/>
      <c r="I124" s="69"/>
      <c r="J124" s="70"/>
      <c r="N124" s="71"/>
      <c r="O124" s="71"/>
    </row>
    <row r="125" spans="2:15" x14ac:dyDescent="0.2">
      <c r="B125" s="66"/>
      <c r="E125" s="29"/>
      <c r="F125" s="29"/>
      <c r="G125" s="67"/>
      <c r="H125" s="68"/>
      <c r="I125" s="69"/>
      <c r="J125" s="70"/>
      <c r="N125" s="71"/>
      <c r="O125" s="71"/>
    </row>
    <row r="126" spans="2:15" x14ac:dyDescent="0.2">
      <c r="B126" s="66"/>
      <c r="E126" s="29"/>
      <c r="F126" s="29"/>
      <c r="G126" s="67"/>
      <c r="H126" s="68"/>
      <c r="I126" s="69"/>
      <c r="J126" s="70"/>
      <c r="N126" s="71"/>
      <c r="O126" s="71"/>
    </row>
    <row r="127" spans="2:15" x14ac:dyDescent="0.2">
      <c r="B127" s="66"/>
      <c r="E127" s="29"/>
      <c r="F127" s="29"/>
      <c r="G127" s="67"/>
      <c r="H127" s="68"/>
      <c r="I127" s="69"/>
      <c r="J127" s="70"/>
      <c r="N127" s="71"/>
      <c r="O127" s="71"/>
    </row>
    <row r="128" spans="2:15" x14ac:dyDescent="0.2">
      <c r="B128" s="66"/>
      <c r="E128" s="29"/>
      <c r="F128" s="29"/>
      <c r="G128" s="67"/>
      <c r="H128" s="68"/>
      <c r="I128" s="69"/>
      <c r="J128" s="70"/>
      <c r="N128" s="71"/>
      <c r="O128" s="71"/>
    </row>
    <row r="129" spans="2:15" x14ac:dyDescent="0.2">
      <c r="B129" s="66"/>
      <c r="E129" s="29"/>
      <c r="F129" s="29"/>
      <c r="G129" s="67"/>
      <c r="H129" s="68"/>
      <c r="I129" s="69"/>
      <c r="J129" s="70"/>
      <c r="N129" s="71"/>
      <c r="O129" s="71"/>
    </row>
    <row r="130" spans="2:15" x14ac:dyDescent="0.2">
      <c r="B130" s="66"/>
      <c r="E130" s="29"/>
      <c r="F130" s="29"/>
      <c r="G130" s="67"/>
      <c r="H130" s="68"/>
      <c r="I130" s="69"/>
      <c r="J130" s="70"/>
      <c r="N130" s="71"/>
      <c r="O130" s="71"/>
    </row>
    <row r="131" spans="2:15" x14ac:dyDescent="0.2">
      <c r="B131" s="66"/>
      <c r="E131" s="29"/>
      <c r="F131" s="29"/>
      <c r="G131" s="67"/>
      <c r="H131" s="68"/>
      <c r="I131" s="69"/>
      <c r="J131" s="70"/>
      <c r="N131" s="71"/>
      <c r="O131" s="71"/>
    </row>
    <row r="132" spans="2:15" x14ac:dyDescent="0.2">
      <c r="B132" s="66"/>
      <c r="E132" s="29"/>
      <c r="F132" s="29"/>
      <c r="G132" s="67"/>
      <c r="H132" s="68"/>
      <c r="I132" s="69"/>
      <c r="J132" s="70"/>
      <c r="N132" s="71"/>
      <c r="O132" s="71"/>
    </row>
    <row r="133" spans="2:15" x14ac:dyDescent="0.2">
      <c r="B133" s="66"/>
      <c r="E133" s="29"/>
      <c r="F133" s="29"/>
      <c r="G133" s="67"/>
      <c r="H133" s="68"/>
      <c r="I133" s="69"/>
      <c r="J133" s="70"/>
      <c r="N133" s="71"/>
      <c r="O133" s="71"/>
    </row>
    <row r="134" spans="2:15" x14ac:dyDescent="0.2">
      <c r="B134" s="66"/>
      <c r="E134" s="29"/>
      <c r="F134" s="29"/>
      <c r="G134" s="67"/>
      <c r="H134" s="68"/>
      <c r="I134" s="69"/>
      <c r="J134" s="70"/>
      <c r="N134" s="71"/>
      <c r="O134" s="71"/>
    </row>
    <row r="135" spans="2:15" x14ac:dyDescent="0.2">
      <c r="B135" s="66"/>
      <c r="E135" s="29"/>
      <c r="F135" s="29"/>
      <c r="G135" s="67"/>
      <c r="H135" s="68"/>
      <c r="I135" s="69"/>
      <c r="J135" s="70"/>
      <c r="N135" s="71"/>
      <c r="O135" s="71"/>
    </row>
    <row r="136" spans="2:15" x14ac:dyDescent="0.2">
      <c r="B136" s="66"/>
      <c r="E136" s="29"/>
      <c r="F136" s="29"/>
      <c r="G136" s="67"/>
      <c r="H136" s="68"/>
      <c r="I136" s="69"/>
      <c r="J136" s="70"/>
      <c r="N136" s="71"/>
      <c r="O136" s="71"/>
    </row>
    <row r="137" spans="2:15" x14ac:dyDescent="0.2">
      <c r="B137" s="66"/>
      <c r="E137" s="29"/>
      <c r="F137" s="29"/>
      <c r="G137" s="67"/>
      <c r="H137" s="68"/>
      <c r="I137" s="69"/>
      <c r="J137" s="70"/>
      <c r="N137" s="71"/>
      <c r="O137" s="71"/>
    </row>
    <row r="138" spans="2:15" x14ac:dyDescent="0.2">
      <c r="B138" s="66"/>
      <c r="E138" s="29"/>
      <c r="F138" s="29"/>
      <c r="G138" s="67"/>
      <c r="H138" s="68"/>
      <c r="I138" s="69"/>
      <c r="J138" s="70"/>
      <c r="N138" s="71"/>
      <c r="O138" s="71"/>
    </row>
    <row r="139" spans="2:15" x14ac:dyDescent="0.2">
      <c r="B139" s="66"/>
      <c r="E139" s="29"/>
      <c r="F139" s="29"/>
      <c r="G139" s="67"/>
      <c r="H139" s="68"/>
      <c r="I139" s="69"/>
      <c r="J139" s="70"/>
      <c r="N139" s="71"/>
      <c r="O139" s="71"/>
    </row>
    <row r="140" spans="2:15" x14ac:dyDescent="0.2">
      <c r="B140" s="66"/>
      <c r="E140" s="29"/>
      <c r="F140" s="29"/>
      <c r="G140" s="67"/>
      <c r="H140" s="68"/>
      <c r="I140" s="69"/>
      <c r="J140" s="70"/>
      <c r="N140" s="71"/>
      <c r="O140" s="71"/>
    </row>
    <row r="141" spans="2:15" x14ac:dyDescent="0.2">
      <c r="B141" s="66"/>
      <c r="E141" s="29"/>
      <c r="F141" s="29"/>
      <c r="G141" s="67"/>
      <c r="H141" s="68"/>
      <c r="I141" s="69"/>
      <c r="J141" s="70"/>
      <c r="N141" s="71"/>
      <c r="O141" s="71"/>
    </row>
    <row r="142" spans="2:15" x14ac:dyDescent="0.2">
      <c r="B142" s="66"/>
      <c r="E142" s="29"/>
      <c r="F142" s="29"/>
      <c r="G142" s="67"/>
      <c r="H142" s="68"/>
      <c r="I142" s="69"/>
      <c r="J142" s="70"/>
      <c r="N142" s="71"/>
      <c r="O142" s="71"/>
    </row>
    <row r="143" spans="2:15" x14ac:dyDescent="0.2">
      <c r="B143" s="66"/>
      <c r="E143" s="29"/>
      <c r="F143" s="29"/>
      <c r="G143" s="67"/>
      <c r="H143" s="68"/>
      <c r="I143" s="69"/>
      <c r="J143" s="70"/>
      <c r="N143" s="71"/>
      <c r="O143" s="71"/>
    </row>
    <row r="144" spans="2:15" x14ac:dyDescent="0.2">
      <c r="B144" s="66"/>
      <c r="E144" s="29"/>
      <c r="F144" s="29"/>
      <c r="G144" s="67"/>
      <c r="H144" s="68"/>
      <c r="I144" s="69"/>
      <c r="J144" s="70"/>
      <c r="N144" s="71"/>
      <c r="O144" s="71"/>
    </row>
    <row r="145" spans="2:15" x14ac:dyDescent="0.2">
      <c r="B145" s="66"/>
      <c r="E145" s="29"/>
      <c r="F145" s="29"/>
      <c r="G145" s="67"/>
      <c r="H145" s="68"/>
      <c r="I145" s="69"/>
      <c r="J145" s="70"/>
      <c r="N145" s="71"/>
      <c r="O145" s="71"/>
    </row>
    <row r="146" spans="2:15" x14ac:dyDescent="0.2">
      <c r="B146" s="66"/>
      <c r="E146" s="29"/>
      <c r="F146" s="29"/>
      <c r="G146" s="67"/>
      <c r="H146" s="68"/>
      <c r="I146" s="69"/>
      <c r="J146" s="70"/>
      <c r="N146" s="71"/>
      <c r="O146" s="71"/>
    </row>
    <row r="147" spans="2:15" x14ac:dyDescent="0.2">
      <c r="B147" s="66"/>
      <c r="E147" s="29"/>
      <c r="F147" s="29"/>
      <c r="G147" s="67"/>
      <c r="H147" s="68"/>
      <c r="I147" s="69"/>
      <c r="J147" s="70"/>
      <c r="N147" s="71"/>
      <c r="O147" s="71"/>
    </row>
    <row r="148" spans="2:15" x14ac:dyDescent="0.2">
      <c r="B148" s="66"/>
      <c r="E148" s="29"/>
      <c r="F148" s="29"/>
      <c r="G148" s="67"/>
      <c r="H148" s="68"/>
      <c r="I148" s="69"/>
      <c r="J148" s="70"/>
      <c r="N148" s="71"/>
      <c r="O148" s="71"/>
    </row>
    <row r="149" spans="2:15" x14ac:dyDescent="0.2">
      <c r="B149" s="66"/>
      <c r="E149" s="29"/>
      <c r="F149" s="29"/>
      <c r="G149" s="67"/>
      <c r="H149" s="68"/>
      <c r="I149" s="69"/>
      <c r="J149" s="70"/>
      <c r="N149" s="71"/>
      <c r="O149" s="71"/>
    </row>
    <row r="150" spans="2:15" x14ac:dyDescent="0.2">
      <c r="B150" s="66"/>
      <c r="E150" s="29"/>
      <c r="F150" s="29"/>
      <c r="G150" s="67"/>
      <c r="H150" s="68"/>
      <c r="I150" s="69"/>
      <c r="J150" s="70"/>
      <c r="N150" s="71"/>
      <c r="O150" s="71"/>
    </row>
    <row r="151" spans="2:15" x14ac:dyDescent="0.2">
      <c r="B151" s="66"/>
      <c r="E151" s="29"/>
      <c r="F151" s="29"/>
      <c r="G151" s="67"/>
      <c r="H151" s="68"/>
      <c r="I151" s="69"/>
      <c r="J151" s="70"/>
      <c r="N151" s="71"/>
      <c r="O151" s="71"/>
    </row>
    <row r="152" spans="2:15" x14ac:dyDescent="0.2">
      <c r="B152" s="66"/>
      <c r="E152" s="29"/>
      <c r="F152" s="29"/>
      <c r="G152" s="67"/>
      <c r="H152" s="68"/>
      <c r="I152" s="69"/>
      <c r="J152" s="70"/>
      <c r="N152" s="71"/>
      <c r="O152" s="71"/>
    </row>
    <row r="153" spans="2:15" x14ac:dyDescent="0.2">
      <c r="B153" s="66"/>
      <c r="E153" s="29"/>
      <c r="F153" s="29"/>
      <c r="G153" s="67"/>
      <c r="H153" s="68"/>
      <c r="I153" s="69"/>
      <c r="J153" s="70"/>
      <c r="N153" s="71"/>
      <c r="O153" s="71"/>
    </row>
    <row r="154" spans="2:15" x14ac:dyDescent="0.2">
      <c r="B154" s="66"/>
      <c r="E154" s="29"/>
      <c r="F154" s="29"/>
      <c r="G154" s="67"/>
      <c r="H154" s="68"/>
      <c r="I154" s="69"/>
      <c r="J154" s="70"/>
      <c r="N154" s="71"/>
      <c r="O154" s="71"/>
    </row>
    <row r="155" spans="2:15" x14ac:dyDescent="0.2">
      <c r="B155" s="66"/>
      <c r="E155" s="29"/>
      <c r="F155" s="29"/>
      <c r="G155" s="67"/>
      <c r="H155" s="68"/>
      <c r="I155" s="69"/>
      <c r="J155" s="70"/>
      <c r="N155" s="71"/>
      <c r="O155" s="71"/>
    </row>
    <row r="156" spans="2:15" x14ac:dyDescent="0.2">
      <c r="B156" s="66"/>
      <c r="E156" s="29"/>
      <c r="F156" s="29"/>
      <c r="G156" s="67"/>
      <c r="H156" s="68"/>
      <c r="I156" s="69"/>
      <c r="J156" s="70"/>
      <c r="N156" s="71"/>
      <c r="O156" s="71"/>
    </row>
    <row r="157" spans="2:15" x14ac:dyDescent="0.2">
      <c r="B157" s="66"/>
      <c r="E157" s="29"/>
      <c r="F157" s="29"/>
      <c r="G157" s="67"/>
      <c r="H157" s="68"/>
      <c r="I157" s="69"/>
      <c r="J157" s="70"/>
      <c r="N157" s="71"/>
      <c r="O157" s="71"/>
    </row>
    <row r="158" spans="2:15" x14ac:dyDescent="0.2">
      <c r="B158" s="66"/>
      <c r="E158" s="29"/>
      <c r="F158" s="29"/>
      <c r="G158" s="67"/>
      <c r="H158" s="68"/>
      <c r="I158" s="69"/>
      <c r="J158" s="70"/>
      <c r="N158" s="71"/>
      <c r="O158" s="71"/>
    </row>
    <row r="159" spans="2:15" x14ac:dyDescent="0.2">
      <c r="B159" s="66"/>
      <c r="E159" s="29"/>
      <c r="F159" s="29"/>
      <c r="G159" s="67"/>
      <c r="H159" s="68"/>
      <c r="I159" s="69"/>
      <c r="J159" s="70"/>
      <c r="N159" s="71"/>
      <c r="O159" s="71"/>
    </row>
    <row r="160" spans="2:15" x14ac:dyDescent="0.2">
      <c r="B160" s="66"/>
      <c r="E160" s="29"/>
      <c r="F160" s="29"/>
      <c r="G160" s="67"/>
      <c r="H160" s="68"/>
      <c r="I160" s="69"/>
      <c r="J160" s="70"/>
      <c r="N160" s="71"/>
      <c r="O160" s="71"/>
    </row>
    <row r="161" spans="2:15" x14ac:dyDescent="0.2">
      <c r="B161" s="66"/>
      <c r="E161" s="29"/>
      <c r="F161" s="29"/>
      <c r="G161" s="67"/>
      <c r="H161" s="68"/>
      <c r="I161" s="69"/>
      <c r="J161" s="70"/>
      <c r="N161" s="71"/>
      <c r="O161" s="71"/>
    </row>
    <row r="162" spans="2:15" x14ac:dyDescent="0.2">
      <c r="B162" s="66"/>
      <c r="E162" s="29"/>
      <c r="F162" s="29"/>
      <c r="G162" s="67"/>
      <c r="H162" s="68"/>
      <c r="I162" s="69"/>
      <c r="J162" s="70"/>
      <c r="N162" s="71"/>
      <c r="O162" s="71"/>
    </row>
    <row r="163" spans="2:15" x14ac:dyDescent="0.2">
      <c r="B163" s="66"/>
      <c r="E163" s="29"/>
      <c r="F163" s="29"/>
      <c r="G163" s="67"/>
      <c r="H163" s="68"/>
      <c r="I163" s="69"/>
      <c r="J163" s="70"/>
      <c r="N163" s="71"/>
      <c r="O163" s="71"/>
    </row>
    <row r="164" spans="2:15" x14ac:dyDescent="0.2">
      <c r="B164" s="66"/>
      <c r="E164" s="29"/>
      <c r="F164" s="29"/>
      <c r="G164" s="67"/>
      <c r="H164" s="68"/>
      <c r="I164" s="69"/>
      <c r="J164" s="70"/>
      <c r="N164" s="71"/>
      <c r="O164" s="71"/>
    </row>
    <row r="165" spans="2:15" x14ac:dyDescent="0.2">
      <c r="B165" s="66"/>
      <c r="E165" s="29"/>
      <c r="F165" s="29"/>
      <c r="G165" s="67"/>
      <c r="H165" s="68"/>
      <c r="I165" s="69"/>
      <c r="J165" s="70"/>
      <c r="N165" s="71"/>
      <c r="O165" s="71"/>
    </row>
    <row r="166" spans="2:15" x14ac:dyDescent="0.2">
      <c r="B166" s="66"/>
      <c r="E166" s="29"/>
      <c r="F166" s="29"/>
      <c r="G166" s="67"/>
      <c r="H166" s="68"/>
      <c r="I166" s="69"/>
      <c r="J166" s="70"/>
      <c r="N166" s="71"/>
      <c r="O166" s="71"/>
    </row>
    <row r="167" spans="2:15" x14ac:dyDescent="0.2">
      <c r="B167" s="66"/>
      <c r="E167" s="29"/>
      <c r="F167" s="29"/>
      <c r="G167" s="67"/>
      <c r="H167" s="68"/>
      <c r="I167" s="69"/>
      <c r="J167" s="70"/>
      <c r="N167" s="71"/>
      <c r="O167" s="71"/>
    </row>
    <row r="168" spans="2:15" x14ac:dyDescent="0.2">
      <c r="B168" s="66"/>
      <c r="E168" s="29"/>
      <c r="F168" s="29"/>
      <c r="G168" s="67"/>
      <c r="H168" s="68"/>
      <c r="I168" s="69"/>
      <c r="J168" s="70"/>
      <c r="N168" s="71"/>
      <c r="O168" s="71"/>
    </row>
    <row r="169" spans="2:15" x14ac:dyDescent="0.2">
      <c r="B169" s="66"/>
      <c r="E169" s="29"/>
      <c r="F169" s="29"/>
      <c r="G169" s="67"/>
      <c r="H169" s="68"/>
      <c r="I169" s="69"/>
      <c r="J169" s="70"/>
      <c r="N169" s="71"/>
      <c r="O169" s="71"/>
    </row>
    <row r="170" spans="2:15" x14ac:dyDescent="0.2">
      <c r="B170" s="66"/>
      <c r="E170" s="29"/>
      <c r="F170" s="29"/>
      <c r="G170" s="67"/>
      <c r="H170" s="68"/>
      <c r="I170" s="69"/>
      <c r="J170" s="70"/>
      <c r="N170" s="71"/>
      <c r="O170" s="71"/>
    </row>
    <row r="171" spans="2:15" x14ac:dyDescent="0.2">
      <c r="B171" s="66"/>
      <c r="E171" s="29"/>
      <c r="F171" s="29"/>
      <c r="G171" s="67"/>
      <c r="H171" s="68"/>
      <c r="I171" s="69"/>
      <c r="J171" s="70"/>
      <c r="N171" s="71"/>
      <c r="O171" s="71"/>
    </row>
    <row r="172" spans="2:15" x14ac:dyDescent="0.2">
      <c r="B172" s="66"/>
      <c r="E172" s="29"/>
      <c r="F172" s="29"/>
      <c r="G172" s="67"/>
      <c r="H172" s="68"/>
      <c r="I172" s="69"/>
      <c r="J172" s="70"/>
      <c r="N172" s="71"/>
      <c r="O172" s="71"/>
    </row>
    <row r="173" spans="2:15" x14ac:dyDescent="0.2">
      <c r="B173" s="66"/>
      <c r="E173" s="29"/>
      <c r="F173" s="29"/>
      <c r="G173" s="67"/>
      <c r="H173" s="68"/>
      <c r="I173" s="69"/>
      <c r="J173" s="70"/>
      <c r="N173" s="71"/>
      <c r="O173" s="71"/>
    </row>
    <row r="174" spans="2:15" x14ac:dyDescent="0.2">
      <c r="B174" s="66"/>
      <c r="E174" s="29"/>
      <c r="F174" s="29"/>
      <c r="G174" s="67"/>
      <c r="H174" s="68"/>
      <c r="I174" s="69"/>
      <c r="J174" s="70"/>
      <c r="N174" s="71"/>
      <c r="O174" s="71"/>
    </row>
    <row r="175" spans="2:15" x14ac:dyDescent="0.2">
      <c r="B175" s="66"/>
      <c r="E175" s="29"/>
      <c r="F175" s="29"/>
      <c r="G175" s="67"/>
      <c r="H175" s="68"/>
      <c r="I175" s="69"/>
      <c r="J175" s="70"/>
      <c r="N175" s="71"/>
      <c r="O175" s="71"/>
    </row>
    <row r="176" spans="2:15" x14ac:dyDescent="0.2">
      <c r="B176" s="66"/>
      <c r="E176" s="29"/>
      <c r="F176" s="29"/>
      <c r="G176" s="67"/>
      <c r="H176" s="68"/>
      <c r="I176" s="69"/>
      <c r="J176" s="70"/>
      <c r="N176" s="71"/>
      <c r="O176" s="71"/>
    </row>
    <row r="177" spans="2:15" x14ac:dyDescent="0.2">
      <c r="B177" s="66"/>
      <c r="E177" s="29"/>
      <c r="F177" s="29"/>
      <c r="G177" s="67"/>
      <c r="H177" s="68"/>
      <c r="I177" s="69"/>
      <c r="J177" s="70"/>
      <c r="N177" s="71"/>
      <c r="O177" s="71"/>
    </row>
    <row r="178" spans="2:15" x14ac:dyDescent="0.2">
      <c r="B178" s="66"/>
      <c r="E178" s="29"/>
      <c r="F178" s="29"/>
      <c r="G178" s="67"/>
      <c r="H178" s="68"/>
      <c r="I178" s="69"/>
      <c r="J178" s="70"/>
      <c r="N178" s="71"/>
      <c r="O178" s="71"/>
    </row>
    <row r="179" spans="2:15" x14ac:dyDescent="0.2">
      <c r="B179" s="66"/>
      <c r="E179" s="29"/>
      <c r="F179" s="29"/>
      <c r="G179" s="67"/>
      <c r="H179" s="68"/>
      <c r="I179" s="69"/>
      <c r="J179" s="70"/>
      <c r="N179" s="71"/>
      <c r="O179" s="71"/>
    </row>
    <row r="180" spans="2:15" x14ac:dyDescent="0.2">
      <c r="B180" s="66"/>
      <c r="E180" s="29"/>
      <c r="F180" s="29"/>
      <c r="G180" s="67"/>
      <c r="H180" s="68"/>
      <c r="I180" s="69"/>
      <c r="J180" s="70"/>
      <c r="N180" s="71"/>
      <c r="O180" s="71"/>
    </row>
    <row r="181" spans="2:15" x14ac:dyDescent="0.2">
      <c r="B181" s="66"/>
      <c r="E181" s="29"/>
      <c r="F181" s="29"/>
      <c r="G181" s="67"/>
      <c r="H181" s="68"/>
      <c r="I181" s="69"/>
      <c r="J181" s="70"/>
      <c r="N181" s="71"/>
      <c r="O181" s="71"/>
    </row>
    <row r="182" spans="2:15" x14ac:dyDescent="0.2">
      <c r="B182" s="66"/>
      <c r="E182" s="29"/>
      <c r="F182" s="29"/>
      <c r="G182" s="67"/>
      <c r="H182" s="68"/>
      <c r="I182" s="69"/>
      <c r="J182" s="70"/>
      <c r="N182" s="71"/>
      <c r="O182" s="71"/>
    </row>
    <row r="183" spans="2:15" x14ac:dyDescent="0.2">
      <c r="B183" s="66"/>
      <c r="E183" s="29"/>
      <c r="F183" s="29"/>
      <c r="G183" s="67"/>
      <c r="H183" s="68"/>
      <c r="I183" s="69"/>
      <c r="J183" s="70"/>
      <c r="N183" s="71"/>
      <c r="O183" s="71"/>
    </row>
    <row r="184" spans="2:15" x14ac:dyDescent="0.2">
      <c r="B184" s="66"/>
      <c r="E184" s="29"/>
      <c r="F184" s="29"/>
      <c r="G184" s="67"/>
      <c r="H184" s="68"/>
      <c r="I184" s="69"/>
      <c r="J184" s="70"/>
      <c r="N184" s="71"/>
      <c r="O184" s="71"/>
    </row>
    <row r="185" spans="2:15" x14ac:dyDescent="0.2">
      <c r="B185" s="66"/>
      <c r="E185" s="29"/>
      <c r="F185" s="29"/>
      <c r="G185" s="67"/>
      <c r="H185" s="68"/>
      <c r="I185" s="69"/>
      <c r="J185" s="70"/>
      <c r="N185" s="71"/>
      <c r="O185" s="71"/>
    </row>
    <row r="186" spans="2:15" x14ac:dyDescent="0.2">
      <c r="B186" s="66"/>
      <c r="E186" s="29"/>
      <c r="F186" s="29"/>
      <c r="G186" s="67"/>
      <c r="H186" s="68"/>
      <c r="I186" s="69"/>
      <c r="J186" s="70"/>
      <c r="N186" s="71"/>
      <c r="O186" s="71"/>
    </row>
    <row r="187" spans="2:15" x14ac:dyDescent="0.2">
      <c r="B187" s="66"/>
      <c r="E187" s="29"/>
      <c r="F187" s="29"/>
      <c r="G187" s="67"/>
      <c r="H187" s="68"/>
      <c r="I187" s="69"/>
      <c r="J187" s="70"/>
      <c r="N187" s="71"/>
      <c r="O187" s="71"/>
    </row>
    <row r="188" spans="2:15" x14ac:dyDescent="0.2">
      <c r="B188" s="66"/>
      <c r="E188" s="29"/>
      <c r="F188" s="29"/>
      <c r="G188" s="67"/>
      <c r="H188" s="68"/>
      <c r="I188" s="69"/>
      <c r="J188" s="70"/>
      <c r="N188" s="71"/>
      <c r="O188" s="71"/>
    </row>
    <row r="189" spans="2:15" x14ac:dyDescent="0.2">
      <c r="B189" s="66"/>
      <c r="E189" s="29"/>
      <c r="F189" s="29"/>
      <c r="G189" s="67"/>
      <c r="H189" s="68"/>
      <c r="I189" s="69"/>
      <c r="J189" s="70"/>
      <c r="N189" s="71"/>
      <c r="O189" s="71"/>
    </row>
    <row r="190" spans="2:15" x14ac:dyDescent="0.2">
      <c r="B190" s="66"/>
      <c r="E190" s="29"/>
      <c r="F190" s="29"/>
      <c r="G190" s="67"/>
      <c r="H190" s="68"/>
      <c r="I190" s="69"/>
      <c r="J190" s="70"/>
      <c r="N190" s="71"/>
      <c r="O190" s="71"/>
    </row>
    <row r="191" spans="2:15" x14ac:dyDescent="0.2">
      <c r="B191" s="66"/>
      <c r="E191" s="29"/>
      <c r="F191" s="29"/>
      <c r="G191" s="67"/>
      <c r="H191" s="68"/>
      <c r="I191" s="69"/>
      <c r="J191" s="70"/>
      <c r="N191" s="71"/>
      <c r="O191" s="71"/>
    </row>
    <row r="192" spans="2:15" x14ac:dyDescent="0.2">
      <c r="B192" s="66"/>
      <c r="E192" s="29"/>
      <c r="F192" s="29"/>
      <c r="G192" s="67"/>
      <c r="H192" s="68"/>
      <c r="I192" s="69"/>
      <c r="J192" s="70"/>
      <c r="N192" s="71"/>
      <c r="O192" s="71"/>
    </row>
    <row r="193" spans="2:15" x14ac:dyDescent="0.2">
      <c r="B193" s="66"/>
      <c r="E193" s="29"/>
      <c r="F193" s="29"/>
      <c r="G193" s="67"/>
      <c r="H193" s="68"/>
      <c r="I193" s="69"/>
      <c r="J193" s="70"/>
      <c r="N193" s="71"/>
      <c r="O193" s="71"/>
    </row>
    <row r="194" spans="2:15" x14ac:dyDescent="0.2">
      <c r="B194" s="66"/>
      <c r="E194" s="29"/>
      <c r="F194" s="29"/>
      <c r="G194" s="67"/>
      <c r="H194" s="68"/>
      <c r="I194" s="69"/>
      <c r="J194" s="70"/>
      <c r="N194" s="71"/>
      <c r="O194" s="71"/>
    </row>
    <row r="195" spans="2:15" x14ac:dyDescent="0.2">
      <c r="B195" s="66"/>
      <c r="E195" s="29"/>
      <c r="F195" s="29"/>
      <c r="G195" s="67"/>
      <c r="H195" s="68"/>
      <c r="I195" s="69"/>
      <c r="J195" s="70"/>
      <c r="N195" s="71"/>
      <c r="O195" s="71"/>
    </row>
    <row r="196" spans="2:15" x14ac:dyDescent="0.2">
      <c r="B196" s="66"/>
      <c r="E196" s="29"/>
      <c r="F196" s="29"/>
      <c r="G196" s="67"/>
      <c r="H196" s="68"/>
      <c r="I196" s="69"/>
      <c r="J196" s="70"/>
      <c r="N196" s="71"/>
      <c r="O196" s="71"/>
    </row>
    <row r="197" spans="2:15" x14ac:dyDescent="0.2">
      <c r="B197" s="66"/>
      <c r="E197" s="29"/>
      <c r="F197" s="29"/>
      <c r="G197" s="67"/>
      <c r="H197" s="68"/>
      <c r="I197" s="69"/>
      <c r="J197" s="70"/>
      <c r="N197" s="71"/>
      <c r="O197" s="71"/>
    </row>
    <row r="198" spans="2:15" x14ac:dyDescent="0.2">
      <c r="B198" s="66"/>
      <c r="E198" s="29"/>
      <c r="F198" s="29"/>
      <c r="G198" s="67"/>
      <c r="H198" s="68"/>
      <c r="I198" s="69"/>
      <c r="J198" s="70"/>
      <c r="N198" s="71"/>
      <c r="O198" s="71"/>
    </row>
    <row r="199" spans="2:15" x14ac:dyDescent="0.2">
      <c r="B199" s="66"/>
      <c r="E199" s="29"/>
      <c r="F199" s="29"/>
      <c r="G199" s="67"/>
      <c r="H199" s="68"/>
      <c r="I199" s="69"/>
      <c r="J199" s="70"/>
      <c r="N199" s="71"/>
      <c r="O199" s="71"/>
    </row>
    <row r="200" spans="2:15" x14ac:dyDescent="0.2">
      <c r="B200" s="66"/>
      <c r="E200" s="29"/>
      <c r="F200" s="29"/>
      <c r="G200" s="67"/>
      <c r="H200" s="68"/>
      <c r="I200" s="69"/>
      <c r="J200" s="70"/>
      <c r="N200" s="71"/>
      <c r="O200" s="71"/>
    </row>
    <row r="201" spans="2:15" x14ac:dyDescent="0.2">
      <c r="B201" s="66"/>
      <c r="E201" s="29"/>
      <c r="F201" s="29"/>
      <c r="G201" s="67"/>
      <c r="H201" s="68"/>
      <c r="I201" s="69"/>
      <c r="J201" s="70"/>
      <c r="N201" s="71"/>
      <c r="O201" s="71"/>
    </row>
    <row r="202" spans="2:15" x14ac:dyDescent="0.2">
      <c r="B202" s="66"/>
      <c r="E202" s="29"/>
      <c r="F202" s="29"/>
      <c r="G202" s="67"/>
      <c r="H202" s="68"/>
      <c r="I202" s="69"/>
      <c r="J202" s="70"/>
      <c r="N202" s="71"/>
      <c r="O202" s="71"/>
    </row>
    <row r="203" spans="2:15" x14ac:dyDescent="0.2">
      <c r="B203" s="66"/>
      <c r="E203" s="29"/>
      <c r="F203" s="29"/>
      <c r="G203" s="67"/>
      <c r="H203" s="68"/>
      <c r="I203" s="69"/>
      <c r="J203" s="70"/>
      <c r="N203" s="71"/>
      <c r="O203" s="71"/>
    </row>
    <row r="204" spans="2:15" x14ac:dyDescent="0.2">
      <c r="B204" s="66"/>
      <c r="E204" s="29"/>
      <c r="F204" s="29"/>
      <c r="G204" s="67"/>
      <c r="H204" s="68"/>
      <c r="I204" s="69"/>
      <c r="J204" s="70"/>
      <c r="N204" s="71"/>
      <c r="O204" s="71"/>
    </row>
    <row r="205" spans="2:15" x14ac:dyDescent="0.2">
      <c r="B205" s="66"/>
      <c r="E205" s="29"/>
      <c r="F205" s="29"/>
      <c r="G205" s="67"/>
      <c r="H205" s="68"/>
      <c r="I205" s="69"/>
      <c r="J205" s="70"/>
      <c r="N205" s="71"/>
      <c r="O205" s="71"/>
    </row>
    <row r="206" spans="2:15" x14ac:dyDescent="0.2">
      <c r="B206" s="66"/>
      <c r="E206" s="29"/>
      <c r="F206" s="29"/>
      <c r="G206" s="67"/>
      <c r="H206" s="68"/>
      <c r="I206" s="69"/>
      <c r="J206" s="70"/>
      <c r="N206" s="71"/>
      <c r="O206" s="71"/>
    </row>
    <row r="207" spans="2:15" x14ac:dyDescent="0.2">
      <c r="B207" s="66"/>
      <c r="E207" s="29"/>
      <c r="F207" s="29"/>
      <c r="G207" s="67"/>
      <c r="H207" s="68"/>
      <c r="I207" s="69"/>
      <c r="J207" s="70"/>
      <c r="N207" s="71"/>
      <c r="O207" s="71"/>
    </row>
    <row r="208" spans="2:15" x14ac:dyDescent="0.2">
      <c r="B208" s="66"/>
      <c r="E208" s="29"/>
      <c r="F208" s="29"/>
      <c r="G208" s="67"/>
      <c r="H208" s="68"/>
      <c r="I208" s="69"/>
      <c r="J208" s="70"/>
      <c r="N208" s="71"/>
      <c r="O208" s="71"/>
    </row>
    <row r="209" spans="2:15" x14ac:dyDescent="0.2">
      <c r="B209" s="66"/>
      <c r="E209" s="29"/>
      <c r="F209" s="29"/>
      <c r="G209" s="67"/>
      <c r="H209" s="68"/>
      <c r="I209" s="69"/>
      <c r="J209" s="70"/>
      <c r="N209" s="71"/>
      <c r="O209" s="71"/>
    </row>
    <row r="210" spans="2:15" x14ac:dyDescent="0.2">
      <c r="B210" s="66"/>
      <c r="E210" s="29"/>
      <c r="F210" s="29"/>
      <c r="G210" s="67"/>
      <c r="H210" s="68"/>
      <c r="I210" s="69"/>
      <c r="J210" s="70"/>
      <c r="N210" s="71"/>
      <c r="O210" s="71"/>
    </row>
    <row r="211" spans="2:15" x14ac:dyDescent="0.2">
      <c r="B211" s="66"/>
      <c r="E211" s="29"/>
      <c r="F211" s="29"/>
      <c r="G211" s="67"/>
      <c r="H211" s="68"/>
      <c r="I211" s="69"/>
      <c r="J211" s="70"/>
      <c r="N211" s="71"/>
      <c r="O211" s="71"/>
    </row>
    <row r="212" spans="2:15" x14ac:dyDescent="0.2">
      <c r="B212" s="66"/>
      <c r="E212" s="29"/>
      <c r="F212" s="29"/>
      <c r="G212" s="67"/>
      <c r="H212" s="68"/>
      <c r="I212" s="69"/>
      <c r="J212" s="70"/>
      <c r="N212" s="71"/>
      <c r="O212" s="71"/>
    </row>
    <row r="213" spans="2:15" x14ac:dyDescent="0.2">
      <c r="B213" s="66"/>
      <c r="E213" s="29"/>
      <c r="F213" s="29"/>
      <c r="G213" s="67"/>
      <c r="H213" s="68"/>
      <c r="I213" s="69"/>
      <c r="J213" s="70"/>
      <c r="N213" s="71"/>
      <c r="O213" s="71"/>
    </row>
    <row r="214" spans="2:15" x14ac:dyDescent="0.2">
      <c r="B214" s="66"/>
      <c r="E214" s="29"/>
      <c r="F214" s="29"/>
      <c r="G214" s="67"/>
      <c r="H214" s="68"/>
      <c r="I214" s="69"/>
      <c r="J214" s="70"/>
      <c r="N214" s="71"/>
      <c r="O214" s="71"/>
    </row>
    <row r="215" spans="2:15" x14ac:dyDescent="0.2">
      <c r="B215" s="66"/>
      <c r="E215" s="29"/>
      <c r="F215" s="29"/>
      <c r="G215" s="67"/>
      <c r="H215" s="68"/>
      <c r="I215" s="69"/>
      <c r="J215" s="70"/>
      <c r="N215" s="71"/>
      <c r="O215" s="71"/>
    </row>
    <row r="216" spans="2:15" x14ac:dyDescent="0.2">
      <c r="B216" s="66"/>
      <c r="E216" s="29"/>
      <c r="F216" s="29"/>
      <c r="G216" s="67"/>
      <c r="H216" s="68"/>
      <c r="I216" s="69"/>
      <c r="J216" s="70"/>
      <c r="N216" s="71"/>
      <c r="O216" s="71"/>
    </row>
    <row r="217" spans="2:15" x14ac:dyDescent="0.2">
      <c r="B217" s="66"/>
      <c r="E217" s="29"/>
      <c r="F217" s="29"/>
      <c r="G217" s="67"/>
      <c r="H217" s="68"/>
      <c r="I217" s="69"/>
      <c r="J217" s="70"/>
      <c r="N217" s="71"/>
      <c r="O217" s="71"/>
    </row>
    <row r="218" spans="2:15" x14ac:dyDescent="0.2">
      <c r="B218" s="66"/>
      <c r="E218" s="29"/>
      <c r="F218" s="29"/>
      <c r="G218" s="67"/>
      <c r="H218" s="68"/>
      <c r="I218" s="69"/>
      <c r="J218" s="70"/>
      <c r="N218" s="71"/>
      <c r="O218" s="71"/>
    </row>
    <row r="219" spans="2:15" x14ac:dyDescent="0.2">
      <c r="B219" s="66"/>
      <c r="E219" s="29"/>
      <c r="F219" s="29"/>
      <c r="G219" s="67"/>
      <c r="H219" s="68"/>
      <c r="I219" s="69"/>
      <c r="J219" s="70"/>
      <c r="N219" s="71"/>
      <c r="O219" s="71"/>
    </row>
    <row r="220" spans="2:15" x14ac:dyDescent="0.2">
      <c r="B220" s="66"/>
      <c r="E220" s="29"/>
      <c r="F220" s="29"/>
      <c r="G220" s="67"/>
      <c r="H220" s="68"/>
      <c r="I220" s="69"/>
      <c r="J220" s="70"/>
      <c r="N220" s="71"/>
      <c r="O220" s="71"/>
    </row>
    <row r="221" spans="2:15" x14ac:dyDescent="0.2">
      <c r="B221" s="66"/>
      <c r="E221" s="29"/>
      <c r="F221" s="29"/>
      <c r="G221" s="67"/>
      <c r="H221" s="68"/>
      <c r="I221" s="69"/>
      <c r="J221" s="70"/>
      <c r="N221" s="71"/>
      <c r="O221" s="71"/>
    </row>
    <row r="222" spans="2:15" x14ac:dyDescent="0.2">
      <c r="B222" s="66"/>
      <c r="E222" s="29"/>
      <c r="F222" s="29"/>
      <c r="G222" s="67"/>
      <c r="H222" s="68"/>
      <c r="I222" s="69"/>
      <c r="J222" s="70"/>
      <c r="N222" s="71"/>
      <c r="O222" s="71"/>
    </row>
    <row r="223" spans="2:15" x14ac:dyDescent="0.2">
      <c r="B223" s="66"/>
      <c r="E223" s="29"/>
      <c r="F223" s="29"/>
      <c r="G223" s="67"/>
      <c r="H223" s="68"/>
      <c r="I223" s="69"/>
      <c r="J223" s="70"/>
      <c r="N223" s="71"/>
      <c r="O223" s="71"/>
    </row>
    <row r="224" spans="2:15" x14ac:dyDescent="0.2">
      <c r="B224" s="66"/>
      <c r="E224" s="29"/>
      <c r="F224" s="29"/>
      <c r="G224" s="67"/>
      <c r="H224" s="68"/>
      <c r="I224" s="69"/>
      <c r="J224" s="70"/>
      <c r="N224" s="71"/>
      <c r="O224" s="71"/>
    </row>
    <row r="225" spans="2:15" x14ac:dyDescent="0.2">
      <c r="B225" s="66"/>
      <c r="E225" s="29"/>
      <c r="F225" s="29"/>
      <c r="G225" s="67"/>
      <c r="H225" s="68"/>
      <c r="I225" s="69"/>
      <c r="J225" s="70"/>
      <c r="N225" s="71"/>
      <c r="O225" s="71"/>
    </row>
    <row r="226" spans="2:15" x14ac:dyDescent="0.2">
      <c r="B226" s="66"/>
      <c r="E226" s="29"/>
      <c r="F226" s="29"/>
      <c r="G226" s="67"/>
      <c r="H226" s="68"/>
      <c r="I226" s="69"/>
      <c r="J226" s="70"/>
      <c r="N226" s="71"/>
      <c r="O226" s="71"/>
    </row>
    <row r="227" spans="2:15" x14ac:dyDescent="0.2">
      <c r="B227" s="66"/>
      <c r="E227" s="29"/>
      <c r="F227" s="29"/>
      <c r="G227" s="67"/>
      <c r="H227" s="68"/>
      <c r="I227" s="69"/>
      <c r="J227" s="70"/>
      <c r="N227" s="71"/>
      <c r="O227" s="71"/>
    </row>
    <row r="228" spans="2:15" x14ac:dyDescent="0.2">
      <c r="B228" s="66"/>
      <c r="E228" s="29"/>
      <c r="F228" s="29"/>
      <c r="G228" s="67"/>
      <c r="H228" s="68"/>
      <c r="I228" s="69"/>
      <c r="J228" s="70"/>
      <c r="N228" s="71"/>
      <c r="O228" s="71"/>
    </row>
    <row r="229" spans="2:15" x14ac:dyDescent="0.2">
      <c r="B229" s="66"/>
      <c r="E229" s="29"/>
      <c r="F229" s="29"/>
      <c r="G229" s="67"/>
      <c r="H229" s="68"/>
      <c r="I229" s="69"/>
      <c r="J229" s="70"/>
      <c r="N229" s="71"/>
      <c r="O229" s="71"/>
    </row>
    <row r="230" spans="2:15" x14ac:dyDescent="0.2">
      <c r="B230" s="66"/>
      <c r="E230" s="29"/>
      <c r="F230" s="29"/>
      <c r="G230" s="67"/>
      <c r="H230" s="68"/>
      <c r="I230" s="69"/>
      <c r="J230" s="70"/>
      <c r="N230" s="71"/>
      <c r="O230" s="71"/>
    </row>
    <row r="231" spans="2:15" x14ac:dyDescent="0.2">
      <c r="B231" s="66"/>
      <c r="E231" s="29"/>
      <c r="F231" s="29"/>
      <c r="G231" s="67"/>
      <c r="H231" s="68"/>
      <c r="I231" s="69"/>
      <c r="J231" s="70"/>
      <c r="N231" s="71"/>
      <c r="O231" s="71"/>
    </row>
    <row r="232" spans="2:15" x14ac:dyDescent="0.2">
      <c r="B232" s="66"/>
      <c r="E232" s="29"/>
      <c r="F232" s="29"/>
      <c r="G232" s="67"/>
      <c r="H232" s="68"/>
      <c r="I232" s="69"/>
      <c r="J232" s="70"/>
      <c r="N232" s="71"/>
      <c r="O232" s="71"/>
    </row>
    <row r="233" spans="2:15" x14ac:dyDescent="0.2">
      <c r="B233" s="66"/>
      <c r="E233" s="29"/>
      <c r="F233" s="29"/>
      <c r="G233" s="67"/>
      <c r="H233" s="68"/>
      <c r="I233" s="69"/>
      <c r="J233" s="70"/>
      <c r="N233" s="71"/>
      <c r="O233" s="71"/>
    </row>
    <row r="234" spans="2:15" x14ac:dyDescent="0.2">
      <c r="B234" s="66"/>
      <c r="E234" s="29"/>
      <c r="F234" s="29"/>
      <c r="G234" s="67"/>
      <c r="H234" s="68"/>
      <c r="I234" s="69"/>
      <c r="J234" s="70"/>
      <c r="N234" s="71"/>
      <c r="O234" s="71"/>
    </row>
    <row r="235" spans="2:15" x14ac:dyDescent="0.2">
      <c r="B235" s="66"/>
      <c r="E235" s="29"/>
      <c r="F235" s="29"/>
      <c r="G235" s="67"/>
      <c r="H235" s="68"/>
      <c r="I235" s="69"/>
      <c r="J235" s="70"/>
      <c r="N235" s="71"/>
      <c r="O235" s="71"/>
    </row>
    <row r="236" spans="2:15" x14ac:dyDescent="0.2">
      <c r="B236" s="66"/>
      <c r="E236" s="29"/>
      <c r="F236" s="29"/>
      <c r="G236" s="67"/>
      <c r="H236" s="68"/>
      <c r="I236" s="69"/>
      <c r="J236" s="70"/>
      <c r="N236" s="71"/>
      <c r="O236" s="71"/>
    </row>
    <row r="237" spans="2:15" x14ac:dyDescent="0.2">
      <c r="B237" s="66"/>
      <c r="E237" s="29"/>
      <c r="F237" s="29"/>
      <c r="G237" s="67"/>
      <c r="H237" s="68"/>
      <c r="I237" s="69"/>
      <c r="J237" s="70"/>
      <c r="N237" s="71"/>
      <c r="O237" s="71"/>
    </row>
    <row r="238" spans="2:15" x14ac:dyDescent="0.2">
      <c r="B238" s="66"/>
      <c r="E238" s="29"/>
      <c r="F238" s="29"/>
      <c r="G238" s="67"/>
      <c r="H238" s="68"/>
      <c r="I238" s="69"/>
      <c r="J238" s="70"/>
      <c r="N238" s="71"/>
      <c r="O238" s="71"/>
    </row>
    <row r="239" spans="2:15" x14ac:dyDescent="0.2">
      <c r="B239" s="66"/>
      <c r="E239" s="29"/>
      <c r="F239" s="29"/>
      <c r="G239" s="67"/>
      <c r="H239" s="68"/>
      <c r="I239" s="69"/>
      <c r="J239" s="70"/>
      <c r="N239" s="71"/>
      <c r="O239" s="71"/>
    </row>
    <row r="240" spans="2:15" x14ac:dyDescent="0.2">
      <c r="B240" s="66"/>
      <c r="E240" s="29"/>
      <c r="F240" s="29"/>
      <c r="G240" s="67"/>
      <c r="H240" s="68"/>
      <c r="I240" s="69"/>
      <c r="J240" s="70"/>
      <c r="N240" s="71"/>
      <c r="O240" s="71"/>
    </row>
    <row r="241" spans="2:15" x14ac:dyDescent="0.2">
      <c r="B241" s="66"/>
      <c r="E241" s="29"/>
      <c r="F241" s="29"/>
      <c r="G241" s="67"/>
      <c r="H241" s="68"/>
      <c r="I241" s="69"/>
      <c r="J241" s="70"/>
      <c r="N241" s="71"/>
      <c r="O241" s="71"/>
    </row>
    <row r="242" spans="2:15" x14ac:dyDescent="0.2">
      <c r="B242" s="66"/>
      <c r="E242" s="29"/>
      <c r="F242" s="29"/>
      <c r="G242" s="67"/>
      <c r="H242" s="68"/>
      <c r="I242" s="69"/>
      <c r="J242" s="70"/>
      <c r="N242" s="71"/>
      <c r="O242" s="71"/>
    </row>
    <row r="243" spans="2:15" x14ac:dyDescent="0.2">
      <c r="B243" s="66"/>
      <c r="E243" s="29"/>
      <c r="F243" s="29"/>
      <c r="G243" s="67"/>
      <c r="H243" s="68"/>
      <c r="I243" s="69"/>
      <c r="J243" s="70"/>
      <c r="N243" s="71"/>
      <c r="O243" s="71"/>
    </row>
    <row r="244" spans="2:15" x14ac:dyDescent="0.2">
      <c r="B244" s="66"/>
      <c r="E244" s="29"/>
      <c r="F244" s="29"/>
      <c r="G244" s="67"/>
      <c r="H244" s="68"/>
      <c r="I244" s="69"/>
      <c r="J244" s="70"/>
      <c r="N244" s="71"/>
      <c r="O244" s="71"/>
    </row>
    <row r="245" spans="2:15" x14ac:dyDescent="0.2">
      <c r="B245" s="66"/>
      <c r="E245" s="29"/>
      <c r="F245" s="29"/>
      <c r="G245" s="67"/>
      <c r="H245" s="68"/>
      <c r="I245" s="69"/>
      <c r="J245" s="70"/>
      <c r="N245" s="71"/>
      <c r="O245" s="71"/>
    </row>
    <row r="246" spans="2:15" x14ac:dyDescent="0.2">
      <c r="B246" s="66"/>
      <c r="E246" s="29"/>
      <c r="F246" s="29"/>
      <c r="G246" s="67"/>
      <c r="H246" s="68"/>
      <c r="I246" s="69"/>
      <c r="J246" s="70"/>
      <c r="N246" s="71"/>
      <c r="O246" s="71"/>
    </row>
    <row r="247" spans="2:15" x14ac:dyDescent="0.2">
      <c r="B247" s="66"/>
      <c r="E247" s="29"/>
      <c r="F247" s="29"/>
      <c r="G247" s="67"/>
      <c r="H247" s="68"/>
      <c r="I247" s="69"/>
      <c r="J247" s="70"/>
      <c r="N247" s="71"/>
      <c r="O247" s="71"/>
    </row>
    <row r="248" spans="2:15" x14ac:dyDescent="0.2">
      <c r="B248" s="66"/>
      <c r="E248" s="29"/>
      <c r="F248" s="29"/>
      <c r="G248" s="67"/>
      <c r="H248" s="68"/>
      <c r="I248" s="69"/>
      <c r="J248" s="70"/>
      <c r="N248" s="71"/>
      <c r="O248" s="71"/>
    </row>
    <row r="249" spans="2:15" x14ac:dyDescent="0.2">
      <c r="B249" s="66"/>
      <c r="E249" s="29"/>
      <c r="F249" s="29"/>
      <c r="G249" s="67"/>
      <c r="H249" s="68"/>
      <c r="I249" s="69"/>
      <c r="J249" s="70"/>
      <c r="N249" s="71"/>
      <c r="O249" s="71"/>
    </row>
    <row r="250" spans="2:15" x14ac:dyDescent="0.2">
      <c r="B250" s="66"/>
      <c r="E250" s="29"/>
      <c r="F250" s="29"/>
      <c r="G250" s="67"/>
      <c r="H250" s="68"/>
      <c r="I250" s="69"/>
      <c r="J250" s="70"/>
      <c r="N250" s="71"/>
      <c r="O250" s="71"/>
    </row>
    <row r="251" spans="2:15" x14ac:dyDescent="0.2">
      <c r="B251" s="66"/>
      <c r="E251" s="29"/>
      <c r="F251" s="29"/>
      <c r="G251" s="67"/>
      <c r="H251" s="68"/>
      <c r="I251" s="69"/>
      <c r="J251" s="70"/>
      <c r="N251" s="71"/>
      <c r="O251" s="71"/>
    </row>
    <row r="252" spans="2:15" x14ac:dyDescent="0.2">
      <c r="B252" s="66"/>
      <c r="E252" s="29"/>
      <c r="F252" s="29"/>
      <c r="G252" s="67"/>
      <c r="H252" s="68"/>
      <c r="I252" s="69"/>
      <c r="J252" s="70"/>
      <c r="N252" s="71"/>
      <c r="O252" s="71"/>
    </row>
    <row r="253" spans="2:15" x14ac:dyDescent="0.2">
      <c r="B253" s="66"/>
      <c r="E253" s="29"/>
      <c r="F253" s="29"/>
      <c r="G253" s="67"/>
      <c r="H253" s="68"/>
      <c r="I253" s="69"/>
      <c r="J253" s="70"/>
      <c r="N253" s="71"/>
      <c r="O253" s="71"/>
    </row>
    <row r="254" spans="2:15" x14ac:dyDescent="0.2">
      <c r="B254" s="66"/>
      <c r="E254" s="29"/>
      <c r="F254" s="29"/>
      <c r="G254" s="67"/>
      <c r="H254" s="68"/>
      <c r="I254" s="69"/>
      <c r="J254" s="70"/>
      <c r="N254" s="71"/>
      <c r="O254" s="71"/>
    </row>
    <row r="255" spans="2:15" x14ac:dyDescent="0.2">
      <c r="B255" s="66"/>
      <c r="E255" s="29"/>
      <c r="F255" s="29"/>
      <c r="G255" s="67"/>
      <c r="H255" s="68"/>
      <c r="I255" s="69"/>
      <c r="J255" s="70"/>
      <c r="N255" s="71"/>
      <c r="O255" s="71"/>
    </row>
    <row r="256" spans="2:15" x14ac:dyDescent="0.2">
      <c r="B256" s="66"/>
      <c r="E256" s="29"/>
      <c r="F256" s="29"/>
      <c r="G256" s="67"/>
      <c r="H256" s="68"/>
      <c r="I256" s="69"/>
      <c r="J256" s="70"/>
      <c r="N256" s="71"/>
      <c r="O256" s="71"/>
    </row>
    <row r="257" spans="2:15" x14ac:dyDescent="0.2">
      <c r="B257" s="66"/>
      <c r="E257" s="29"/>
      <c r="F257" s="29"/>
      <c r="G257" s="67"/>
      <c r="H257" s="68"/>
      <c r="I257" s="69"/>
      <c r="J257" s="70"/>
      <c r="N257" s="71"/>
      <c r="O257" s="71"/>
    </row>
    <row r="258" spans="2:15" x14ac:dyDescent="0.2">
      <c r="B258" s="66"/>
      <c r="E258" s="29"/>
      <c r="F258" s="29"/>
      <c r="G258" s="67"/>
      <c r="H258" s="68"/>
      <c r="I258" s="69"/>
      <c r="J258" s="70"/>
      <c r="N258" s="71"/>
      <c r="O258" s="71"/>
    </row>
    <row r="259" spans="2:15" x14ac:dyDescent="0.2">
      <c r="B259" s="66"/>
      <c r="E259" s="29"/>
      <c r="F259" s="29"/>
      <c r="G259" s="67"/>
      <c r="H259" s="68"/>
      <c r="I259" s="69"/>
      <c r="J259" s="70"/>
      <c r="N259" s="71"/>
      <c r="O259" s="71"/>
    </row>
    <row r="260" spans="2:15" x14ac:dyDescent="0.2">
      <c r="B260" s="66"/>
      <c r="E260" s="29"/>
      <c r="F260" s="29"/>
      <c r="G260" s="67"/>
      <c r="H260" s="68"/>
      <c r="I260" s="69"/>
      <c r="J260" s="70"/>
      <c r="N260" s="71"/>
      <c r="O260" s="71"/>
    </row>
    <row r="261" spans="2:15" x14ac:dyDescent="0.2">
      <c r="B261" s="66"/>
      <c r="E261" s="29"/>
      <c r="F261" s="29"/>
      <c r="G261" s="67"/>
      <c r="H261" s="68"/>
      <c r="I261" s="69"/>
      <c r="J261" s="70"/>
      <c r="N261" s="71"/>
      <c r="O261" s="71"/>
    </row>
    <row r="262" spans="2:15" x14ac:dyDescent="0.2">
      <c r="B262" s="66"/>
      <c r="E262" s="29"/>
      <c r="F262" s="29"/>
      <c r="G262" s="67"/>
      <c r="H262" s="68"/>
      <c r="I262" s="69"/>
      <c r="J262" s="70"/>
      <c r="N262" s="71"/>
      <c r="O262" s="71"/>
    </row>
    <row r="263" spans="2:15" x14ac:dyDescent="0.2">
      <c r="B263" s="66"/>
      <c r="E263" s="29"/>
      <c r="F263" s="29"/>
      <c r="G263" s="67"/>
      <c r="H263" s="68"/>
      <c r="I263" s="69"/>
      <c r="J263" s="70"/>
      <c r="N263" s="71"/>
      <c r="O263" s="71"/>
    </row>
    <row r="264" spans="2:15" x14ac:dyDescent="0.2">
      <c r="B264" s="66"/>
      <c r="E264" s="29"/>
      <c r="F264" s="29"/>
      <c r="G264" s="67"/>
      <c r="H264" s="68"/>
      <c r="I264" s="69"/>
      <c r="J264" s="70"/>
      <c r="N264" s="71"/>
      <c r="O264" s="71"/>
    </row>
    <row r="265" spans="2:15" x14ac:dyDescent="0.2">
      <c r="B265" s="66"/>
      <c r="E265" s="29"/>
      <c r="F265" s="29"/>
      <c r="G265" s="67"/>
      <c r="H265" s="68"/>
      <c r="I265" s="69"/>
      <c r="J265" s="70"/>
      <c r="N265" s="71"/>
      <c r="O265" s="71"/>
    </row>
    <row r="266" spans="2:15" x14ac:dyDescent="0.2">
      <c r="B266" s="66"/>
      <c r="E266" s="29"/>
      <c r="F266" s="29"/>
      <c r="G266" s="67"/>
      <c r="H266" s="68"/>
      <c r="I266" s="69"/>
      <c r="J266" s="70"/>
      <c r="N266" s="71"/>
      <c r="O266" s="71"/>
    </row>
    <row r="267" spans="2:15" x14ac:dyDescent="0.2">
      <c r="B267" s="66"/>
      <c r="E267" s="29"/>
      <c r="F267" s="29"/>
      <c r="G267" s="67"/>
      <c r="H267" s="68"/>
      <c r="I267" s="69"/>
      <c r="J267" s="70"/>
      <c r="N267" s="71"/>
      <c r="O267" s="71"/>
    </row>
    <row r="268" spans="2:15" x14ac:dyDescent="0.2">
      <c r="B268" s="66"/>
      <c r="E268" s="29"/>
      <c r="F268" s="29"/>
      <c r="G268" s="67"/>
      <c r="H268" s="68"/>
      <c r="I268" s="69"/>
      <c r="J268" s="70"/>
      <c r="N268" s="71"/>
      <c r="O268" s="71"/>
    </row>
    <row r="269" spans="2:15" x14ac:dyDescent="0.2">
      <c r="B269" s="66"/>
      <c r="E269" s="29"/>
      <c r="F269" s="29"/>
      <c r="G269" s="67"/>
      <c r="H269" s="68"/>
      <c r="I269" s="69"/>
      <c r="J269" s="70"/>
      <c r="N269" s="71"/>
      <c r="O269" s="71"/>
    </row>
    <row r="270" spans="2:15" x14ac:dyDescent="0.2">
      <c r="B270" s="66"/>
      <c r="E270" s="29"/>
      <c r="F270" s="29"/>
      <c r="G270" s="67"/>
      <c r="H270" s="68"/>
      <c r="I270" s="69"/>
      <c r="J270" s="70"/>
      <c r="N270" s="71"/>
      <c r="O270" s="71"/>
    </row>
    <row r="271" spans="2:15" x14ac:dyDescent="0.2">
      <c r="B271" s="66"/>
      <c r="E271" s="29"/>
      <c r="F271" s="29"/>
      <c r="G271" s="67"/>
      <c r="H271" s="68"/>
      <c r="I271" s="69"/>
      <c r="J271" s="70"/>
      <c r="N271" s="71"/>
      <c r="O271" s="71"/>
    </row>
    <row r="272" spans="2:15" x14ac:dyDescent="0.2">
      <c r="B272" s="66"/>
      <c r="E272" s="29"/>
      <c r="F272" s="29"/>
      <c r="G272" s="67"/>
      <c r="H272" s="68"/>
      <c r="I272" s="69"/>
      <c r="J272" s="70"/>
      <c r="N272" s="71"/>
      <c r="O272" s="71"/>
    </row>
    <row r="273" spans="2:15" x14ac:dyDescent="0.2">
      <c r="B273" s="66"/>
      <c r="E273" s="29"/>
      <c r="F273" s="29"/>
      <c r="G273" s="67"/>
      <c r="H273" s="68"/>
      <c r="I273" s="69"/>
      <c r="J273" s="70"/>
      <c r="N273" s="71"/>
      <c r="O273" s="71"/>
    </row>
    <row r="274" spans="2:15" x14ac:dyDescent="0.2">
      <c r="B274" s="66"/>
      <c r="E274" s="29"/>
      <c r="F274" s="29"/>
      <c r="G274" s="67"/>
      <c r="H274" s="68"/>
      <c r="I274" s="69"/>
      <c r="J274" s="70"/>
      <c r="N274" s="71"/>
      <c r="O274" s="71"/>
    </row>
    <row r="275" spans="2:15" x14ac:dyDescent="0.2">
      <c r="B275" s="66"/>
      <c r="E275" s="29"/>
      <c r="F275" s="29"/>
      <c r="G275" s="67"/>
      <c r="H275" s="68"/>
      <c r="I275" s="69"/>
      <c r="J275" s="70"/>
      <c r="N275" s="71"/>
      <c r="O275" s="71"/>
    </row>
    <row r="276" spans="2:15" x14ac:dyDescent="0.2">
      <c r="B276" s="66"/>
      <c r="E276" s="29"/>
      <c r="F276" s="29"/>
      <c r="G276" s="67"/>
      <c r="H276" s="68"/>
      <c r="I276" s="69"/>
      <c r="J276" s="70"/>
      <c r="N276" s="71"/>
      <c r="O276" s="71"/>
    </row>
    <row r="277" spans="2:15" x14ac:dyDescent="0.2">
      <c r="B277" s="66"/>
      <c r="E277" s="29"/>
      <c r="F277" s="29"/>
      <c r="G277" s="67"/>
      <c r="H277" s="68"/>
      <c r="I277" s="69"/>
      <c r="J277" s="70"/>
      <c r="N277" s="71"/>
      <c r="O277" s="71"/>
    </row>
    <row r="278" spans="2:15" x14ac:dyDescent="0.2">
      <c r="B278" s="66"/>
      <c r="E278" s="29"/>
      <c r="F278" s="29"/>
      <c r="G278" s="67"/>
      <c r="H278" s="68"/>
      <c r="I278" s="69"/>
      <c r="J278" s="70"/>
      <c r="N278" s="71"/>
      <c r="O278" s="71"/>
    </row>
    <row r="279" spans="2:15" x14ac:dyDescent="0.2">
      <c r="B279" s="66"/>
      <c r="E279" s="29"/>
      <c r="F279" s="29"/>
      <c r="G279" s="67"/>
      <c r="H279" s="68"/>
      <c r="I279" s="69"/>
      <c r="J279" s="70"/>
      <c r="N279" s="71"/>
      <c r="O279" s="71"/>
    </row>
    <row r="280" spans="2:15" x14ac:dyDescent="0.2">
      <c r="B280" s="66"/>
      <c r="E280" s="29"/>
      <c r="F280" s="29"/>
      <c r="G280" s="67"/>
      <c r="H280" s="68"/>
      <c r="I280" s="69"/>
      <c r="J280" s="70"/>
      <c r="N280" s="71"/>
      <c r="O280" s="71"/>
    </row>
    <row r="281" spans="2:15" x14ac:dyDescent="0.2">
      <c r="B281" s="66"/>
      <c r="E281" s="29"/>
      <c r="F281" s="29"/>
      <c r="G281" s="67"/>
      <c r="H281" s="68"/>
      <c r="I281" s="69"/>
      <c r="J281" s="70"/>
      <c r="N281" s="71"/>
      <c r="O281" s="71"/>
    </row>
    <row r="282" spans="2:15" x14ac:dyDescent="0.2">
      <c r="B282" s="66"/>
      <c r="E282" s="29"/>
      <c r="F282" s="29"/>
      <c r="G282" s="67"/>
      <c r="H282" s="68"/>
      <c r="I282" s="69"/>
      <c r="J282" s="70"/>
      <c r="N282" s="71"/>
      <c r="O282" s="71"/>
    </row>
  </sheetData>
  <sheetProtection password="CB87" sheet="1" objects="1" scenarios="1"/>
  <mergeCells count="1">
    <mergeCell ref="B8:C8"/>
  </mergeCells>
  <dataValidations count="1">
    <dataValidation type="list" allowBlank="1" showInputMessage="1" showErrorMessage="1" sqref="D8">
      <formula1>Plant_List_Valid</formula1>
    </dataValidation>
  </dataValidations>
  <pageMargins left="0.78740157499999996" right="0.78740157499999996" top="0.984251969" bottom="0.984251969" header="0.5" footer="0.5"/>
  <pageSetup paperSize="9" scale="80" fitToHeight="0" orientation="landscape" verticalDpi="0" r:id="rId1"/>
  <headerFooter alignWithMargins="0">
    <oddHeader>&amp;LRieber SapExl Reports</oddHeader>
    <oddFooter xml:space="preserve">&amp;LPrinting date: &amp;D&amp;CPage &amp;P / &amp;N&amp;R&amp;F - &amp;A 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bRequsitions">
          <controlPr defaultSize="0" autoLine="0" linkedCell="cbRequsitions" r:id="rId5">
            <anchor moveWithCells="1">
              <from>
                <xdr:col>0</xdr:col>
                <xdr:colOff>200025</xdr:colOff>
                <xdr:row>30</xdr:row>
                <xdr:rowOff>19050</xdr:rowOff>
              </from>
              <to>
                <xdr:col>1</xdr:col>
                <xdr:colOff>0</xdr:colOff>
                <xdr:row>31</xdr:row>
                <xdr:rowOff>9525</xdr:rowOff>
              </to>
            </anchor>
          </controlPr>
        </control>
      </mc:Choice>
      <mc:Fallback>
        <control shapeId="9217" r:id="rId4" name="cbRequsitions"/>
      </mc:Fallback>
    </mc:AlternateContent>
    <mc:AlternateContent xmlns:mc="http://schemas.openxmlformats.org/markup-compatibility/2006">
      <mc:Choice Requires="x14">
        <control shapeId="9218" r:id="rId6" name="cbContracts">
          <controlPr defaultSize="0" autoLine="0" linkedCell="cbContracts" r:id="rId7">
            <anchor moveWithCells="1">
              <from>
                <xdr:col>0</xdr:col>
                <xdr:colOff>200025</xdr:colOff>
                <xdr:row>31</xdr:row>
                <xdr:rowOff>19050</xdr:rowOff>
              </from>
              <to>
                <xdr:col>1</xdr:col>
                <xdr:colOff>0</xdr:colOff>
                <xdr:row>32</xdr:row>
                <xdr:rowOff>9525</xdr:rowOff>
              </to>
            </anchor>
          </controlPr>
        </control>
      </mc:Choice>
      <mc:Fallback>
        <control shapeId="9218" r:id="rId6" name="cbContracts"/>
      </mc:Fallback>
    </mc:AlternateContent>
    <mc:AlternateContent xmlns:mc="http://schemas.openxmlformats.org/markup-compatibility/2006">
      <mc:Choice Requires="x14">
        <control shapeId="9219" r:id="rId8" name="cbSafStock">
          <controlPr defaultSize="0" autoLine="0" linkedCell="cbSafStock" r:id="rId9">
            <anchor moveWithCells="1">
              <from>
                <xdr:col>0</xdr:col>
                <xdr:colOff>200025</xdr:colOff>
                <xdr:row>18</xdr:row>
                <xdr:rowOff>19050</xdr:rowOff>
              </from>
              <to>
                <xdr:col>1</xdr:col>
                <xdr:colOff>0</xdr:colOff>
                <xdr:row>19</xdr:row>
                <xdr:rowOff>9525</xdr:rowOff>
              </to>
            </anchor>
          </controlPr>
        </control>
      </mc:Choice>
      <mc:Fallback>
        <control shapeId="9219" r:id="rId8" name="cbSafStock"/>
      </mc:Fallback>
    </mc:AlternateContent>
    <mc:AlternateContent xmlns:mc="http://schemas.openxmlformats.org/markup-compatibility/2006">
      <mc:Choice Requires="x14">
        <control shapeId="9220" r:id="rId10" name="cbSafetyTime">
          <controlPr defaultSize="0" autoLine="0" linkedCell="cbSafetyTime" r:id="rId11">
            <anchor moveWithCells="1">
              <from>
                <xdr:col>0</xdr:col>
                <xdr:colOff>200025</xdr:colOff>
                <xdr:row>19</xdr:row>
                <xdr:rowOff>19050</xdr:rowOff>
              </from>
              <to>
                <xdr:col>1</xdr:col>
                <xdr:colOff>0</xdr:colOff>
                <xdr:row>20</xdr:row>
                <xdr:rowOff>9525</xdr:rowOff>
              </to>
            </anchor>
          </controlPr>
        </control>
      </mc:Choice>
      <mc:Fallback>
        <control shapeId="9220" r:id="rId10" name="cbSafetyTime"/>
      </mc:Fallback>
    </mc:AlternateContent>
    <mc:AlternateContent xmlns:mc="http://schemas.openxmlformats.org/markup-compatibility/2006">
      <mc:Choice Requires="x14">
        <control shapeId="9221" r:id="rId12" name="cbGRTime">
          <controlPr defaultSize="0" autoLine="0" linkedCell="cbGRTime" r:id="rId13">
            <anchor moveWithCells="1">
              <from>
                <xdr:col>0</xdr:col>
                <xdr:colOff>200025</xdr:colOff>
                <xdr:row>20</xdr:row>
                <xdr:rowOff>19050</xdr:rowOff>
              </from>
              <to>
                <xdr:col>1</xdr:col>
                <xdr:colOff>0</xdr:colOff>
                <xdr:row>21</xdr:row>
                <xdr:rowOff>9525</xdr:rowOff>
              </to>
            </anchor>
          </controlPr>
        </control>
      </mc:Choice>
      <mc:Fallback>
        <control shapeId="9221" r:id="rId12" name="cbGRTim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">
    <tabColor rgb="FFC00000"/>
  </sheetPr>
  <dimension ref="A1:C17"/>
  <sheetViews>
    <sheetView showGridLines="0" zoomScale="85" workbookViewId="0">
      <pane ySplit="10" topLeftCell="A11" activePane="bottomLeft" state="frozen"/>
      <selection activeCell="J47" sqref="J47"/>
      <selection pane="bottomLeft" activeCell="A11" sqref="A11"/>
    </sheetView>
  </sheetViews>
  <sheetFormatPr defaultColWidth="11.42578125" defaultRowHeight="12.75" x14ac:dyDescent="0.2"/>
  <cols>
    <col min="1" max="1" width="15.42578125" style="73" customWidth="1"/>
    <col min="2" max="2" width="10.28515625" style="73" customWidth="1"/>
    <col min="3" max="3" width="8" style="73" customWidth="1"/>
    <col min="4" max="4" width="7.42578125" style="73" customWidth="1"/>
    <col min="5" max="6" width="9.28515625" style="73" customWidth="1"/>
    <col min="7" max="15" width="7.140625" style="73" customWidth="1"/>
    <col min="16" max="16384" width="11.42578125" style="73"/>
  </cols>
  <sheetData>
    <row r="1" spans="1:3" ht="20.25" x14ac:dyDescent="0.3">
      <c r="A1" s="72"/>
    </row>
    <row r="6" spans="1:3" ht="15" x14ac:dyDescent="0.25">
      <c r="A6" s="81" t="s">
        <v>1764</v>
      </c>
      <c r="B6" s="82" t="s">
        <v>1899</v>
      </c>
    </row>
    <row r="7" spans="1:3" ht="15" x14ac:dyDescent="0.25">
      <c r="A7" s="81" t="s">
        <v>1765</v>
      </c>
      <c r="B7" s="100" t="s">
        <v>1899</v>
      </c>
    </row>
    <row r="9" spans="1:3" ht="15" x14ac:dyDescent="0.25">
      <c r="A9" s="83" t="s">
        <v>1766</v>
      </c>
      <c r="B9" s="83"/>
      <c r="C9" s="83" t="s">
        <v>42</v>
      </c>
    </row>
    <row r="10" spans="1:3" ht="15" x14ac:dyDescent="0.25">
      <c r="A10" s="86" t="s">
        <v>1767</v>
      </c>
      <c r="B10" s="86" t="s">
        <v>1768</v>
      </c>
      <c r="C10" s="90" t="s">
        <v>1725</v>
      </c>
    </row>
    <row r="11" spans="1:3" ht="15" x14ac:dyDescent="0.25">
      <c r="A11" s="87" t="s">
        <v>1896</v>
      </c>
      <c r="B11" s="84">
        <v>0</v>
      </c>
      <c r="C11" s="91">
        <v>93.870999999999995</v>
      </c>
    </row>
    <row r="12" spans="1:3" ht="15" x14ac:dyDescent="0.25">
      <c r="A12" s="80"/>
      <c r="B12" s="85">
        <v>41610</v>
      </c>
      <c r="C12" s="92">
        <v>93.870999999999995</v>
      </c>
    </row>
    <row r="13" spans="1:3" ht="15.75" thickBot="1" x14ac:dyDescent="0.3">
      <c r="A13" s="88" t="s">
        <v>1897</v>
      </c>
      <c r="B13" s="89"/>
      <c r="C13" s="93">
        <v>187.74199999999999</v>
      </c>
    </row>
    <row r="14" spans="1:3" ht="15.75" thickTop="1" x14ac:dyDescent="0.25">
      <c r="A14" s="97"/>
      <c r="B14" s="98"/>
      <c r="C14" s="99"/>
    </row>
    <row r="15" spans="1:3" ht="15.75" thickBot="1" x14ac:dyDescent="0.3">
      <c r="A15" s="94" t="s">
        <v>1898</v>
      </c>
      <c r="B15" s="95"/>
      <c r="C15" s="96">
        <v>187.74199999999999</v>
      </c>
    </row>
    <row r="16" spans="1:3" ht="15.75" thickTop="1" x14ac:dyDescent="0.25">
      <c r="A16"/>
      <c r="B16"/>
      <c r="C16"/>
    </row>
    <row r="17" spans="1:3" ht="15" x14ac:dyDescent="0.25">
      <c r="A17"/>
      <c r="B17"/>
      <c r="C17"/>
    </row>
  </sheetData>
  <pageMargins left="0.78740157499999996" right="0.78740157499999996" top="0.984251969" bottom="0.984251969" header="0.5" footer="0.5"/>
  <pageSetup paperSize="9" orientation="portrait" verticalDpi="0" r:id="rId2"/>
  <headerFooter alignWithMargins="0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5">
    <tabColor indexed="29"/>
  </sheetPr>
  <dimension ref="A1:M2"/>
  <sheetViews>
    <sheetView showGridLines="0" zoomScale="85" workbookViewId="0"/>
  </sheetViews>
  <sheetFormatPr defaultColWidth="11.42578125" defaultRowHeight="12.75" x14ac:dyDescent="0.2"/>
  <cols>
    <col min="1" max="16384" width="11.42578125" style="73"/>
  </cols>
  <sheetData>
    <row r="1" spans="1:13" x14ac:dyDescent="0.2">
      <c r="B1" s="73">
        <f ca="1">Cockpit!D24</f>
        <v>201401</v>
      </c>
      <c r="C1" s="73">
        <f ca="1">Cockpit!E24</f>
        <v>201402</v>
      </c>
      <c r="D1" s="73">
        <f ca="1">Cockpit!F24</f>
        <v>201403</v>
      </c>
      <c r="E1" s="73">
        <f ca="1">Cockpit!G24</f>
        <v>201404</v>
      </c>
      <c r="F1" s="73">
        <f ca="1">Cockpit!H24</f>
        <v>201405</v>
      </c>
      <c r="G1" s="73">
        <f ca="1">Cockpit!I24</f>
        <v>201406</v>
      </c>
      <c r="H1" s="73">
        <f ca="1">Cockpit!J24</f>
        <v>201407</v>
      </c>
      <c r="I1" s="73">
        <f ca="1">Cockpit!K24</f>
        <v>201408</v>
      </c>
      <c r="J1" s="73">
        <f ca="1">Cockpit!L24</f>
        <v>201409</v>
      </c>
      <c r="K1" s="73">
        <f ca="1">Cockpit!M24</f>
        <v>201410</v>
      </c>
      <c r="L1" s="73">
        <f ca="1">Cockpit!N24</f>
        <v>201411</v>
      </c>
      <c r="M1" s="73">
        <f ca="1">Cockpit!O24</f>
        <v>201412</v>
      </c>
    </row>
    <row r="2" spans="1:13" x14ac:dyDescent="0.2">
      <c r="A2" s="73" t="s">
        <v>1745</v>
      </c>
      <c r="B2" s="74">
        <f>-Cockpit!D29</f>
        <v>0</v>
      </c>
      <c r="C2" s="74">
        <f>-Cockpit!E29</f>
        <v>0</v>
      </c>
      <c r="D2" s="74">
        <f>-Cockpit!F29</f>
        <v>0</v>
      </c>
      <c r="E2" s="74">
        <f>-Cockpit!G29</f>
        <v>0</v>
      </c>
      <c r="F2" s="74">
        <f>-Cockpit!H29</f>
        <v>0</v>
      </c>
      <c r="G2" s="74">
        <f>-Cockpit!I29</f>
        <v>0</v>
      </c>
      <c r="H2" s="74">
        <f>-Cockpit!J29</f>
        <v>0</v>
      </c>
      <c r="I2" s="74">
        <f>-Cockpit!K29</f>
        <v>0</v>
      </c>
      <c r="J2" s="74">
        <f>-Cockpit!L29</f>
        <v>0</v>
      </c>
      <c r="K2" s="74">
        <f>-Cockpit!M29</f>
        <v>0</v>
      </c>
      <c r="L2" s="74">
        <f>-Cockpit!N29</f>
        <v>0</v>
      </c>
      <c r="M2" s="74">
        <f>-Cockpit!O29</f>
        <v>0</v>
      </c>
    </row>
  </sheetData>
  <pageMargins left="0.78740157499999996" right="0.78740157499999996" top="0.984251969" bottom="0.984251969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>
    <tabColor indexed="29"/>
  </sheetPr>
  <dimension ref="A1:Z9"/>
  <sheetViews>
    <sheetView showGridLines="0" zoomScale="85" workbookViewId="0">
      <pane xSplit="1" ySplit="6" topLeftCell="B7" activePane="bottomRight" state="frozen"/>
      <selection activeCell="G50" sqref="G50"/>
      <selection pane="topRight" activeCell="G50" sqref="G50"/>
      <selection pane="bottomLeft" activeCell="G50" sqref="G50"/>
      <selection pane="bottomRight" activeCell="B7" sqref="B7"/>
    </sheetView>
  </sheetViews>
  <sheetFormatPr defaultColWidth="11.42578125" defaultRowHeight="12.75" x14ac:dyDescent="0.2"/>
  <cols>
    <col min="1" max="1" width="24.7109375" style="73" customWidth="1"/>
    <col min="2" max="2" width="10.28515625" style="73" customWidth="1"/>
    <col min="3" max="25" width="7.140625" style="73" customWidth="1"/>
    <col min="26" max="26" width="9.42578125" style="73" customWidth="1"/>
    <col min="27" max="16384" width="11.42578125" style="73"/>
  </cols>
  <sheetData>
    <row r="1" spans="1:26" x14ac:dyDescent="0.2">
      <c r="A1" s="73" t="s">
        <v>1769</v>
      </c>
      <c r="B1" s="74">
        <f>MAX(B7:B35)</f>
        <v>157600</v>
      </c>
      <c r="C1" s="74">
        <f t="shared" ref="C1:Z1" si="0">MAX(C7:C35)</f>
        <v>28800</v>
      </c>
      <c r="D1" s="74">
        <f t="shared" si="0"/>
        <v>0</v>
      </c>
      <c r="E1" s="74">
        <f t="shared" si="0"/>
        <v>0</v>
      </c>
      <c r="F1" s="74">
        <f t="shared" si="0"/>
        <v>0</v>
      </c>
      <c r="G1" s="74">
        <f t="shared" si="0"/>
        <v>0</v>
      </c>
      <c r="H1" s="74">
        <f t="shared" si="0"/>
        <v>0</v>
      </c>
      <c r="I1" s="74">
        <f t="shared" si="0"/>
        <v>0</v>
      </c>
      <c r="J1" s="74">
        <f t="shared" si="0"/>
        <v>0</v>
      </c>
      <c r="K1" s="74">
        <f t="shared" si="0"/>
        <v>0</v>
      </c>
      <c r="L1" s="74">
        <f t="shared" si="0"/>
        <v>0</v>
      </c>
      <c r="M1" s="74">
        <f t="shared" si="0"/>
        <v>0</v>
      </c>
      <c r="N1" s="74">
        <f t="shared" si="0"/>
        <v>0</v>
      </c>
      <c r="O1" s="74">
        <f t="shared" si="0"/>
        <v>0</v>
      </c>
      <c r="P1" s="74">
        <f t="shared" si="0"/>
        <v>0</v>
      </c>
      <c r="Q1" s="74">
        <f t="shared" si="0"/>
        <v>0</v>
      </c>
      <c r="R1" s="74">
        <f t="shared" si="0"/>
        <v>0</v>
      </c>
      <c r="S1" s="74">
        <f t="shared" si="0"/>
        <v>0</v>
      </c>
      <c r="T1" s="74">
        <f t="shared" si="0"/>
        <v>0</v>
      </c>
      <c r="U1" s="74">
        <f t="shared" si="0"/>
        <v>0</v>
      </c>
      <c r="V1" s="74">
        <f t="shared" si="0"/>
        <v>0</v>
      </c>
      <c r="W1" s="74">
        <f t="shared" si="0"/>
        <v>0</v>
      </c>
      <c r="X1" s="74">
        <f t="shared" si="0"/>
        <v>0</v>
      </c>
      <c r="Y1" s="74">
        <f t="shared" si="0"/>
        <v>0</v>
      </c>
      <c r="Z1" s="74">
        <f t="shared" si="0"/>
        <v>0</v>
      </c>
    </row>
    <row r="3" spans="1:26" ht="15" x14ac:dyDescent="0.25">
      <c r="A3" s="81" t="s">
        <v>4</v>
      </c>
      <c r="B3" s="82" t="s">
        <v>1899</v>
      </c>
    </row>
    <row r="5" spans="1:26" ht="15" x14ac:dyDescent="0.25">
      <c r="A5" s="83" t="s">
        <v>1900</v>
      </c>
      <c r="B5" s="83" t="s">
        <v>1767</v>
      </c>
      <c r="C5" s="83"/>
    </row>
    <row r="6" spans="1:26" ht="15" x14ac:dyDescent="0.25">
      <c r="A6" s="86" t="s">
        <v>1771</v>
      </c>
      <c r="B6" s="102" t="s">
        <v>1772</v>
      </c>
      <c r="C6" s="103" t="s">
        <v>1773</v>
      </c>
    </row>
    <row r="7" spans="1:26" ht="15" x14ac:dyDescent="0.25">
      <c r="A7" s="101" t="s">
        <v>1725</v>
      </c>
      <c r="B7" s="104">
        <v>157600</v>
      </c>
      <c r="C7" s="105">
        <v>28800</v>
      </c>
    </row>
    <row r="8" spans="1:26" ht="15.75" thickBot="1" x14ac:dyDescent="0.3">
      <c r="A8" s="94" t="s">
        <v>1898</v>
      </c>
      <c r="B8" s="106">
        <v>157600</v>
      </c>
      <c r="C8" s="107">
        <v>28800</v>
      </c>
    </row>
    <row r="9" spans="1:26" ht="13.5" thickTop="1" x14ac:dyDescent="0.2"/>
  </sheetData>
  <pageMargins left="0.78740157499999996" right="0.78740157499999996" top="0.984251969" bottom="0.984251969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>
    <tabColor indexed="29"/>
  </sheetPr>
  <dimension ref="A1:Z9"/>
  <sheetViews>
    <sheetView showGridLines="0" zoomScale="85" workbookViewId="0">
      <pane xSplit="1" ySplit="6" topLeftCell="B7" activePane="bottomRight" state="frozen"/>
      <selection activeCell="G50" sqref="G50"/>
      <selection pane="topRight" activeCell="G50" sqref="G50"/>
      <selection pane="bottomLeft" activeCell="G50" sqref="G50"/>
      <selection pane="bottomRight" activeCell="B7" sqref="B7"/>
    </sheetView>
  </sheetViews>
  <sheetFormatPr defaultColWidth="11.42578125" defaultRowHeight="12.75" x14ac:dyDescent="0.2"/>
  <cols>
    <col min="1" max="1" width="17.5703125" style="73" customWidth="1"/>
    <col min="2" max="2" width="10.28515625" style="73" customWidth="1"/>
    <col min="3" max="20" width="7.140625" style="73" customWidth="1"/>
    <col min="21" max="16384" width="11.42578125" style="73"/>
  </cols>
  <sheetData>
    <row r="1" spans="1:26" x14ac:dyDescent="0.2">
      <c r="A1" s="73" t="s">
        <v>1769</v>
      </c>
      <c r="B1" s="74">
        <f>MAX(B7:B35)</f>
        <v>250.32400000000001</v>
      </c>
      <c r="C1" s="74">
        <f t="shared" ref="C1:Z1" si="0">MAX(C7:C35)</f>
        <v>0</v>
      </c>
      <c r="D1" s="74">
        <f t="shared" si="0"/>
        <v>0</v>
      </c>
      <c r="E1" s="74">
        <f t="shared" si="0"/>
        <v>0</v>
      </c>
      <c r="F1" s="74">
        <f t="shared" si="0"/>
        <v>0</v>
      </c>
      <c r="G1" s="74">
        <f t="shared" si="0"/>
        <v>0</v>
      </c>
      <c r="H1" s="74">
        <f t="shared" si="0"/>
        <v>0</v>
      </c>
      <c r="I1" s="74">
        <f t="shared" si="0"/>
        <v>0</v>
      </c>
      <c r="J1" s="74">
        <f t="shared" si="0"/>
        <v>0</v>
      </c>
      <c r="K1" s="74">
        <f t="shared" si="0"/>
        <v>0</v>
      </c>
      <c r="L1" s="74">
        <f t="shared" si="0"/>
        <v>0</v>
      </c>
      <c r="M1" s="74">
        <f t="shared" si="0"/>
        <v>0</v>
      </c>
      <c r="N1" s="74">
        <f t="shared" si="0"/>
        <v>0</v>
      </c>
      <c r="O1" s="74">
        <f t="shared" si="0"/>
        <v>0</v>
      </c>
      <c r="P1" s="74">
        <f t="shared" si="0"/>
        <v>0</v>
      </c>
      <c r="Q1" s="74">
        <f t="shared" si="0"/>
        <v>0</v>
      </c>
      <c r="R1" s="74">
        <f t="shared" si="0"/>
        <v>0</v>
      </c>
      <c r="S1" s="74">
        <f t="shared" si="0"/>
        <v>0</v>
      </c>
      <c r="T1" s="74">
        <f t="shared" si="0"/>
        <v>0</v>
      </c>
      <c r="U1" s="74">
        <f t="shared" si="0"/>
        <v>0</v>
      </c>
      <c r="V1" s="74">
        <f t="shared" si="0"/>
        <v>0</v>
      </c>
      <c r="W1" s="74">
        <f t="shared" si="0"/>
        <v>0</v>
      </c>
      <c r="X1" s="74">
        <f t="shared" si="0"/>
        <v>0</v>
      </c>
      <c r="Y1" s="74">
        <f t="shared" si="0"/>
        <v>0</v>
      </c>
      <c r="Z1" s="74">
        <f t="shared" si="0"/>
        <v>0</v>
      </c>
    </row>
    <row r="3" spans="1:26" ht="15" x14ac:dyDescent="0.25">
      <c r="A3" s="81" t="s">
        <v>1764</v>
      </c>
      <c r="B3" s="82" t="s">
        <v>1899</v>
      </c>
    </row>
    <row r="5" spans="1:26" ht="15" x14ac:dyDescent="0.25">
      <c r="A5" s="83" t="s">
        <v>1766</v>
      </c>
      <c r="B5" s="83" t="s">
        <v>1767</v>
      </c>
      <c r="C5"/>
    </row>
    <row r="6" spans="1:26" ht="15" x14ac:dyDescent="0.25">
      <c r="A6" s="86" t="s">
        <v>42</v>
      </c>
      <c r="B6" s="90" t="s">
        <v>1896</v>
      </c>
      <c r="C6"/>
    </row>
    <row r="7" spans="1:26" ht="15" x14ac:dyDescent="0.25">
      <c r="A7" s="101" t="s">
        <v>1725</v>
      </c>
      <c r="B7" s="108">
        <v>250.32400000000001</v>
      </c>
      <c r="C7"/>
    </row>
    <row r="8" spans="1:26" ht="15.75" thickBot="1" x14ac:dyDescent="0.3">
      <c r="A8" s="94" t="s">
        <v>1898</v>
      </c>
      <c r="B8" s="109">
        <v>250.32400000000001</v>
      </c>
      <c r="C8"/>
    </row>
    <row r="9" spans="1:26" ht="13.5" thickTop="1" x14ac:dyDescent="0.2"/>
  </sheetData>
  <sheetProtection sort="0" autoFilter="0" pivotTables="0"/>
  <pageMargins left="0.78740157499999996" right="0.78740157499999996" top="0.984251969" bottom="0.984251969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>
    <tabColor indexed="29"/>
  </sheetPr>
  <dimension ref="A1:S10"/>
  <sheetViews>
    <sheetView showGridLines="0" zoomScale="85" workbookViewId="0">
      <pane xSplit="1" ySplit="6" topLeftCell="B7" activePane="bottomRight" state="frozen"/>
      <selection activeCell="G50" sqref="G50"/>
      <selection pane="topRight" activeCell="G50" sqref="G50"/>
      <selection pane="bottomLeft" activeCell="G50" sqref="G50"/>
      <selection pane="bottomRight" activeCell="B7" sqref="B7"/>
    </sheetView>
  </sheetViews>
  <sheetFormatPr defaultColWidth="11.42578125" defaultRowHeight="12.75" x14ac:dyDescent="0.2"/>
  <cols>
    <col min="1" max="1" width="18.7109375" style="73" customWidth="1"/>
    <col min="2" max="2" width="9.140625" style="73" customWidth="1"/>
    <col min="3" max="3" width="7.140625" style="73" customWidth="1"/>
    <col min="4" max="4" width="7.28515625" style="73" customWidth="1"/>
    <col min="5" max="11" width="7.140625" style="73" customWidth="1"/>
    <col min="12" max="16384" width="11.42578125" style="73"/>
  </cols>
  <sheetData>
    <row r="1" spans="1:19" x14ac:dyDescent="0.2">
      <c r="A1" s="73" t="s">
        <v>1769</v>
      </c>
      <c r="B1" s="74">
        <f>MAX(B7:B35)</f>
        <v>22800</v>
      </c>
      <c r="C1" s="74">
        <f t="shared" ref="C1:S1" si="0">MAX(C7:C35)</f>
        <v>21600</v>
      </c>
      <c r="D1" s="74">
        <f t="shared" si="0"/>
        <v>0</v>
      </c>
      <c r="E1" s="74">
        <f t="shared" si="0"/>
        <v>0</v>
      </c>
      <c r="F1" s="74">
        <f t="shared" si="0"/>
        <v>0</v>
      </c>
      <c r="G1" s="74">
        <f t="shared" si="0"/>
        <v>0</v>
      </c>
      <c r="H1" s="74">
        <f t="shared" si="0"/>
        <v>0</v>
      </c>
      <c r="I1" s="74">
        <f t="shared" si="0"/>
        <v>0</v>
      </c>
      <c r="J1" s="74">
        <f t="shared" si="0"/>
        <v>0</v>
      </c>
      <c r="K1" s="74">
        <f t="shared" si="0"/>
        <v>0</v>
      </c>
      <c r="L1" s="74">
        <f t="shared" si="0"/>
        <v>0</v>
      </c>
      <c r="M1" s="74">
        <f t="shared" si="0"/>
        <v>0</v>
      </c>
      <c r="N1" s="74">
        <f t="shared" si="0"/>
        <v>0</v>
      </c>
      <c r="O1" s="74">
        <f t="shared" si="0"/>
        <v>0</v>
      </c>
      <c r="P1" s="74">
        <f t="shared" si="0"/>
        <v>0</v>
      </c>
      <c r="Q1" s="74">
        <f t="shared" si="0"/>
        <v>0</v>
      </c>
      <c r="R1" s="74">
        <f t="shared" si="0"/>
        <v>0</v>
      </c>
      <c r="S1" s="74">
        <f t="shared" si="0"/>
        <v>0</v>
      </c>
    </row>
    <row r="3" spans="1:19" ht="15" x14ac:dyDescent="0.25">
      <c r="A3" s="81" t="s">
        <v>1774</v>
      </c>
      <c r="B3" s="82" t="s">
        <v>1899</v>
      </c>
    </row>
    <row r="5" spans="1:19" ht="15" x14ac:dyDescent="0.25">
      <c r="A5" s="83" t="s">
        <v>1775</v>
      </c>
      <c r="B5" s="83" t="s">
        <v>1776</v>
      </c>
      <c r="C5" s="83"/>
      <c r="D5" s="83"/>
    </row>
    <row r="6" spans="1:19" ht="15" x14ac:dyDescent="0.25">
      <c r="A6" s="86" t="s">
        <v>42</v>
      </c>
      <c r="B6" s="102" t="s">
        <v>1896</v>
      </c>
      <c r="C6" s="116" t="s">
        <v>1904</v>
      </c>
      <c r="D6" s="103" t="s">
        <v>1905</v>
      </c>
    </row>
    <row r="7" spans="1:19" ht="15" x14ac:dyDescent="0.25">
      <c r="A7" s="101" t="s">
        <v>1725</v>
      </c>
      <c r="B7" s="110">
        <v>22800</v>
      </c>
      <c r="C7" s="117">
        <v>21600</v>
      </c>
      <c r="D7" s="111"/>
    </row>
    <row r="8" spans="1:19" ht="15" x14ac:dyDescent="0.25">
      <c r="A8" s="115" t="s">
        <v>1905</v>
      </c>
      <c r="B8" s="118"/>
      <c r="C8" s="119"/>
      <c r="D8" s="120"/>
    </row>
    <row r="9" spans="1:19" ht="15.75" thickBot="1" x14ac:dyDescent="0.3">
      <c r="A9" s="94" t="s">
        <v>1898</v>
      </c>
      <c r="B9" s="112">
        <v>22800</v>
      </c>
      <c r="C9" s="112">
        <v>21600</v>
      </c>
      <c r="D9" s="109"/>
    </row>
    <row r="10" spans="1:19" ht="13.5" thickTop="1" x14ac:dyDescent="0.2"/>
  </sheetData>
  <sheetProtection sort="0" autoFilter="0" pivotTables="0"/>
  <pageMargins left="0.78740157499999996" right="0.78740157499999996" top="0.984251969" bottom="0.984251969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4">
    <tabColor indexed="29"/>
  </sheetPr>
  <dimension ref="A1:S9"/>
  <sheetViews>
    <sheetView showGridLines="0" zoomScale="85" workbookViewId="0">
      <pane xSplit="1" ySplit="5" topLeftCell="B6" activePane="bottomRight" state="frozen"/>
      <selection activeCell="G50" sqref="G50"/>
      <selection pane="topRight" activeCell="G50" sqref="G50"/>
      <selection pane="bottomLeft" activeCell="G50" sqref="G50"/>
      <selection pane="bottomRight" activeCell="B6" sqref="B6"/>
    </sheetView>
  </sheetViews>
  <sheetFormatPr defaultColWidth="11.42578125" defaultRowHeight="12.75" x14ac:dyDescent="0.2"/>
  <cols>
    <col min="1" max="1" width="15.140625" style="73" customWidth="1"/>
    <col min="2" max="2" width="18.7109375" style="73" customWidth="1"/>
    <col min="3" max="4" width="7.140625" style="73" customWidth="1"/>
    <col min="5" max="7" width="9.28515625" style="73" customWidth="1"/>
    <col min="8" max="8" width="6.5703125" style="73" customWidth="1"/>
    <col min="9" max="16384" width="11.42578125" style="73"/>
  </cols>
  <sheetData>
    <row r="1" spans="1:19" x14ac:dyDescent="0.2">
      <c r="A1" s="73" t="s">
        <v>1769</v>
      </c>
      <c r="B1" s="74">
        <f>MAX(B6:B120)</f>
        <v>44400</v>
      </c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</row>
    <row r="3" spans="1:19" ht="15" x14ac:dyDescent="0.25">
      <c r="A3" s="81" t="s">
        <v>1774</v>
      </c>
      <c r="B3" s="82" t="s">
        <v>1899</v>
      </c>
    </row>
    <row r="5" spans="1:19" ht="15" x14ac:dyDescent="0.25">
      <c r="A5" s="86" t="s">
        <v>42</v>
      </c>
      <c r="B5" s="113" t="s">
        <v>1775</v>
      </c>
    </row>
    <row r="6" spans="1:19" ht="15" x14ac:dyDescent="0.25">
      <c r="A6" s="101" t="s">
        <v>1725</v>
      </c>
      <c r="B6" s="108">
        <v>44400</v>
      </c>
    </row>
    <row r="7" spans="1:19" ht="15" x14ac:dyDescent="0.25">
      <c r="A7" s="115" t="s">
        <v>1905</v>
      </c>
      <c r="B7" s="121"/>
    </row>
    <row r="8" spans="1:19" ht="15.75" thickBot="1" x14ac:dyDescent="0.3">
      <c r="A8" s="94" t="s">
        <v>1898</v>
      </c>
      <c r="B8" s="109">
        <v>44400</v>
      </c>
    </row>
    <row r="9" spans="1:19" ht="13.5" thickTop="1" x14ac:dyDescent="0.2"/>
  </sheetData>
  <pageMargins left="0.78740157499999996" right="0.78740157499999996" top="0.984251969" bottom="0.984251969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>
    <tabColor indexed="29"/>
  </sheetPr>
  <dimension ref="A1:S10"/>
  <sheetViews>
    <sheetView showGridLines="0" zoomScale="85" workbookViewId="0">
      <pane xSplit="1" ySplit="6" topLeftCell="B7" activePane="bottomRight" state="frozen"/>
      <selection activeCell="G50" sqref="G50"/>
      <selection pane="topRight" activeCell="G50" sqref="G50"/>
      <selection pane="bottomLeft" activeCell="G50" sqref="G50"/>
      <selection pane="bottomRight" activeCell="B7" sqref="A5:C8"/>
    </sheetView>
  </sheetViews>
  <sheetFormatPr defaultColWidth="11.42578125" defaultRowHeight="12.75" x14ac:dyDescent="0.2"/>
  <cols>
    <col min="1" max="1" width="18.7109375" style="73" customWidth="1"/>
    <col min="2" max="2" width="9.140625" style="73" customWidth="1"/>
    <col min="3" max="3" width="7.140625" style="73" customWidth="1"/>
    <col min="4" max="4" width="7.28515625" style="73" customWidth="1"/>
    <col min="5" max="10" width="7.7109375" style="73" customWidth="1"/>
    <col min="11" max="12" width="7.140625" style="73" customWidth="1"/>
    <col min="13" max="16384" width="11.42578125" style="73"/>
  </cols>
  <sheetData>
    <row r="1" spans="1:19" x14ac:dyDescent="0.2">
      <c r="A1" s="73" t="s">
        <v>1769</v>
      </c>
      <c r="B1" s="74">
        <f t="shared" ref="B1:S1" si="0">MAX(B7:B35)</f>
        <v>22800</v>
      </c>
      <c r="C1" s="74">
        <f t="shared" si="0"/>
        <v>21600</v>
      </c>
      <c r="D1" s="74">
        <f t="shared" si="0"/>
        <v>0</v>
      </c>
      <c r="E1" s="74">
        <f t="shared" si="0"/>
        <v>0</v>
      </c>
      <c r="F1" s="74">
        <f t="shared" si="0"/>
        <v>0</v>
      </c>
      <c r="G1" s="74">
        <f t="shared" si="0"/>
        <v>0</v>
      </c>
      <c r="H1" s="74">
        <f t="shared" si="0"/>
        <v>0</v>
      </c>
      <c r="I1" s="74">
        <f t="shared" si="0"/>
        <v>0</v>
      </c>
      <c r="J1" s="74">
        <f t="shared" si="0"/>
        <v>0</v>
      </c>
      <c r="K1" s="74">
        <f t="shared" si="0"/>
        <v>0</v>
      </c>
      <c r="L1" s="74">
        <f t="shared" si="0"/>
        <v>0</v>
      </c>
      <c r="M1" s="74">
        <f t="shared" si="0"/>
        <v>0</v>
      </c>
      <c r="N1" s="74">
        <f t="shared" si="0"/>
        <v>0</v>
      </c>
      <c r="O1" s="74">
        <f t="shared" si="0"/>
        <v>0</v>
      </c>
      <c r="P1" s="74">
        <f t="shared" si="0"/>
        <v>0</v>
      </c>
      <c r="Q1" s="74">
        <f t="shared" si="0"/>
        <v>0</v>
      </c>
      <c r="R1" s="74">
        <f t="shared" si="0"/>
        <v>0</v>
      </c>
      <c r="S1" s="74">
        <f t="shared" si="0"/>
        <v>0</v>
      </c>
    </row>
    <row r="3" spans="1:19" ht="15" x14ac:dyDescent="0.25">
      <c r="A3" s="81" t="s">
        <v>1774</v>
      </c>
      <c r="B3" s="82" t="s">
        <v>1899</v>
      </c>
    </row>
    <row r="5" spans="1:19" ht="15" x14ac:dyDescent="0.25">
      <c r="A5" s="83" t="s">
        <v>1775</v>
      </c>
      <c r="B5" s="83" t="s">
        <v>1776</v>
      </c>
      <c r="C5" s="83"/>
      <c r="D5" s="83"/>
    </row>
    <row r="6" spans="1:19" ht="15" x14ac:dyDescent="0.25">
      <c r="A6" s="86" t="s">
        <v>42</v>
      </c>
      <c r="B6" s="102" t="s">
        <v>1896</v>
      </c>
      <c r="C6" s="116" t="s">
        <v>1904</v>
      </c>
      <c r="D6" s="103" t="s">
        <v>1905</v>
      </c>
    </row>
    <row r="7" spans="1:19" ht="15" x14ac:dyDescent="0.25">
      <c r="A7" s="101" t="s">
        <v>1725</v>
      </c>
      <c r="B7" s="110">
        <v>22800</v>
      </c>
      <c r="C7" s="117">
        <v>21600</v>
      </c>
      <c r="D7" s="111"/>
    </row>
    <row r="8" spans="1:19" ht="15" x14ac:dyDescent="0.25">
      <c r="A8" s="115" t="s">
        <v>1905</v>
      </c>
      <c r="B8" s="118"/>
      <c r="C8" s="119"/>
      <c r="D8" s="120"/>
    </row>
    <row r="9" spans="1:19" ht="15.75" thickBot="1" x14ac:dyDescent="0.3">
      <c r="A9" s="94" t="s">
        <v>1898</v>
      </c>
      <c r="B9" s="112">
        <v>22800</v>
      </c>
      <c r="C9" s="112">
        <v>21600</v>
      </c>
      <c r="D9" s="109"/>
    </row>
    <row r="10" spans="1:19" ht="13.5" thickTop="1" x14ac:dyDescent="0.2"/>
  </sheetData>
  <pageMargins left="0.78740157499999996" right="0.78740157499999996" top="0.984251969" bottom="0.984251969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indexed="29"/>
  </sheetPr>
  <dimension ref="A1:O2"/>
  <sheetViews>
    <sheetView showGridLines="0" zoomScale="85" workbookViewId="0">
      <pane xSplit="2" ySplit="1" topLeftCell="C2" activePane="bottomRight" state="frozen"/>
      <selection activeCell="G50" sqref="G50"/>
      <selection pane="topRight" activeCell="G50" sqref="G50"/>
      <selection pane="bottomLeft" activeCell="G50" sqref="G50"/>
      <selection pane="bottomRight" activeCell="C2" sqref="A1:O2"/>
    </sheetView>
  </sheetViews>
  <sheetFormatPr defaultColWidth="11.42578125" defaultRowHeight="12.75" x14ac:dyDescent="0.2"/>
  <cols>
    <col min="1" max="1" width="7.5703125" style="73" bestFit="1" customWidth="1"/>
    <col min="2" max="2" width="6.28515625" style="73" bestFit="1" customWidth="1"/>
    <col min="3" max="3" width="11" style="73" bestFit="1" customWidth="1"/>
    <col min="4" max="4" width="10" style="73" bestFit="1" customWidth="1"/>
    <col min="5" max="6" width="11.42578125" style="73" bestFit="1" customWidth="1"/>
    <col min="7" max="7" width="7.7109375" style="73" bestFit="1" customWidth="1"/>
    <col min="8" max="8" width="7.5703125" style="73" bestFit="1" customWidth="1"/>
    <col min="9" max="9" width="11.42578125" style="73" customWidth="1"/>
    <col min="10" max="10" width="9.5703125" style="73" bestFit="1" customWidth="1"/>
    <col min="11" max="12" width="11.42578125" style="73" bestFit="1" customWidth="1"/>
    <col min="13" max="13" width="7.7109375" style="73" bestFit="1" customWidth="1"/>
    <col min="14" max="14" width="7.5703125" style="73" bestFit="1" customWidth="1"/>
    <col min="15" max="15" width="11.42578125" style="73" bestFit="1" customWidth="1"/>
    <col min="16" max="16384" width="11.42578125" style="73"/>
  </cols>
  <sheetData>
    <row r="1" spans="1:15" x14ac:dyDescent="0.2">
      <c r="A1" s="73" t="s">
        <v>4</v>
      </c>
      <c r="B1" s="73" t="s">
        <v>42</v>
      </c>
      <c r="C1" s="73" t="s">
        <v>1734</v>
      </c>
      <c r="D1" s="73" t="s">
        <v>1777</v>
      </c>
      <c r="E1" s="73" t="s">
        <v>1778</v>
      </c>
      <c r="F1" s="73" t="s">
        <v>1779</v>
      </c>
      <c r="G1" s="73" t="s">
        <v>1738</v>
      </c>
      <c r="H1" s="73" t="s">
        <v>1780</v>
      </c>
      <c r="I1" s="73" t="s">
        <v>1781</v>
      </c>
      <c r="J1" s="73" t="s">
        <v>1782</v>
      </c>
      <c r="K1" s="73" t="s">
        <v>1783</v>
      </c>
      <c r="L1" s="73" t="s">
        <v>1784</v>
      </c>
      <c r="M1" s="73" t="s">
        <v>1738</v>
      </c>
      <c r="N1" s="73" t="s">
        <v>1780</v>
      </c>
      <c r="O1" s="73" t="s">
        <v>1785</v>
      </c>
    </row>
    <row r="2" spans="1:15" x14ac:dyDescent="0.2">
      <c r="A2" s="73">
        <v>502323</v>
      </c>
      <c r="B2" s="73" t="s">
        <v>1725</v>
      </c>
      <c r="C2" s="74">
        <v>49515.889000000003</v>
      </c>
      <c r="D2" s="74">
        <v>0</v>
      </c>
      <c r="E2" s="74">
        <v>0</v>
      </c>
      <c r="F2" s="74">
        <v>0</v>
      </c>
      <c r="G2" s="74">
        <v>0</v>
      </c>
      <c r="H2" s="74">
        <v>0</v>
      </c>
      <c r="I2" s="74">
        <v>0</v>
      </c>
      <c r="J2" s="74">
        <v>0</v>
      </c>
      <c r="K2" s="74">
        <v>0</v>
      </c>
      <c r="L2" s="74">
        <v>0</v>
      </c>
      <c r="M2" s="74">
        <v>0</v>
      </c>
      <c r="N2" s="74">
        <v>0</v>
      </c>
      <c r="O2" s="74">
        <v>0</v>
      </c>
    </row>
  </sheetData>
  <pageMargins left="0.78740157499999996" right="0.78740157499999996" top="0.984251969" bottom="0.984251969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>
    <tabColor indexed="29"/>
  </sheetPr>
  <dimension ref="A1:Z25"/>
  <sheetViews>
    <sheetView showGridLines="0" zoomScale="85" workbookViewId="0">
      <pane xSplit="2" ySplit="3" topLeftCell="C4" activePane="bottomRight" state="frozen"/>
      <selection activeCell="G50" sqref="G50"/>
      <selection pane="topRight" activeCell="G50" sqref="G50"/>
      <selection pane="bottomLeft" activeCell="G50" sqref="G50"/>
      <selection pane="bottomRight" activeCell="L5" sqref="L5"/>
    </sheetView>
  </sheetViews>
  <sheetFormatPr defaultColWidth="11.42578125" defaultRowHeight="12.75" x14ac:dyDescent="0.2"/>
  <cols>
    <col min="1" max="1" width="14" style="73" customWidth="1"/>
    <col min="2" max="2" width="13.85546875" style="73" customWidth="1"/>
    <col min="3" max="3" width="12.7109375" style="73" customWidth="1"/>
    <col min="4" max="4" width="9.140625" style="73" customWidth="1"/>
    <col min="5" max="5" width="10.7109375" style="73" customWidth="1"/>
    <col min="6" max="6" width="10.5703125" style="73" customWidth="1"/>
    <col min="7" max="7" width="8.7109375" style="73" customWidth="1"/>
    <col min="8" max="8" width="14.85546875" style="73" customWidth="1"/>
    <col min="9" max="9" width="4.5703125" style="73" customWidth="1"/>
    <col min="10" max="10" width="6.28515625" style="73" customWidth="1"/>
    <col min="11" max="11" width="7.140625" style="73" customWidth="1"/>
    <col min="12" max="12" width="24.7109375" style="73" customWidth="1"/>
    <col min="13" max="13" width="13.42578125" style="73" customWidth="1"/>
    <col min="14" max="15" width="8.7109375" style="73" customWidth="1"/>
    <col min="16" max="16" width="14" style="73" customWidth="1"/>
    <col min="17" max="17" width="9.140625" style="73" customWidth="1"/>
    <col min="18" max="18" width="13.85546875" style="73" customWidth="1"/>
    <col min="19" max="19" width="11.28515625" style="73" customWidth="1"/>
    <col min="20" max="20" width="9.42578125" style="73" customWidth="1"/>
    <col min="21" max="22" width="10.28515625" style="73" customWidth="1"/>
    <col min="23" max="23" width="14.140625" style="73" customWidth="1"/>
    <col min="24" max="24" width="10.28515625" style="73" customWidth="1"/>
    <col min="25" max="25" width="8" style="73" customWidth="1"/>
    <col min="26" max="26" width="7.140625" style="73" customWidth="1"/>
    <col min="27" max="29" width="9.42578125" style="73" bestFit="1" customWidth="1"/>
    <col min="30" max="30" width="9.42578125" style="73" customWidth="1"/>
    <col min="31" max="36" width="9.42578125" style="73" bestFit="1" customWidth="1"/>
    <col min="37" max="49" width="10.140625" style="73" bestFit="1" customWidth="1"/>
    <col min="50" max="50" width="10.85546875" style="73" customWidth="1"/>
    <col min="51" max="51" width="4.42578125" style="73" customWidth="1"/>
    <col min="52" max="52" width="10" style="73" customWidth="1"/>
    <col min="53" max="54" width="11.5703125" style="73" customWidth="1"/>
    <col min="55" max="55" width="8.28515625" style="73" customWidth="1"/>
    <col min="56" max="56" width="8.42578125" style="73" customWidth="1"/>
    <col min="57" max="57" width="12.5703125" style="73" customWidth="1"/>
    <col min="58" max="16384" width="11.42578125" style="73"/>
  </cols>
  <sheetData>
    <row r="1" spans="1:26" x14ac:dyDescent="0.2">
      <c r="B1" s="73">
        <v>1</v>
      </c>
      <c r="C1" s="73">
        <v>2</v>
      </c>
      <c r="D1" s="73">
        <f t="shared" ref="D1:Z1" si="0">C1+1</f>
        <v>3</v>
      </c>
      <c r="E1" s="73">
        <f t="shared" si="0"/>
        <v>4</v>
      </c>
      <c r="F1" s="73">
        <f t="shared" si="0"/>
        <v>5</v>
      </c>
      <c r="G1" s="73">
        <f t="shared" si="0"/>
        <v>6</v>
      </c>
      <c r="H1" s="73">
        <f t="shared" si="0"/>
        <v>7</v>
      </c>
      <c r="I1" s="73">
        <f t="shared" si="0"/>
        <v>8</v>
      </c>
      <c r="J1" s="73">
        <f t="shared" si="0"/>
        <v>9</v>
      </c>
      <c r="K1" s="73">
        <f t="shared" si="0"/>
        <v>10</v>
      </c>
      <c r="L1" s="73">
        <f t="shared" si="0"/>
        <v>11</v>
      </c>
      <c r="M1" s="73">
        <f t="shared" si="0"/>
        <v>12</v>
      </c>
      <c r="N1" s="73">
        <f t="shared" si="0"/>
        <v>13</v>
      </c>
      <c r="O1" s="73">
        <f t="shared" si="0"/>
        <v>14</v>
      </c>
      <c r="P1" s="73">
        <f t="shared" si="0"/>
        <v>15</v>
      </c>
      <c r="Q1" s="73">
        <f t="shared" si="0"/>
        <v>16</v>
      </c>
      <c r="R1" s="73">
        <f t="shared" si="0"/>
        <v>17</v>
      </c>
      <c r="S1" s="73">
        <f t="shared" si="0"/>
        <v>18</v>
      </c>
      <c r="T1" s="73">
        <f t="shared" si="0"/>
        <v>19</v>
      </c>
      <c r="U1" s="73">
        <f t="shared" si="0"/>
        <v>20</v>
      </c>
      <c r="V1" s="73">
        <f t="shared" si="0"/>
        <v>21</v>
      </c>
      <c r="W1" s="73">
        <f t="shared" si="0"/>
        <v>22</v>
      </c>
      <c r="X1" s="73">
        <f t="shared" si="0"/>
        <v>23</v>
      </c>
      <c r="Y1" s="73">
        <f t="shared" si="0"/>
        <v>24</v>
      </c>
      <c r="Z1" s="73">
        <f t="shared" si="0"/>
        <v>25</v>
      </c>
    </row>
    <row r="3" spans="1:26" x14ac:dyDescent="0.2">
      <c r="A3" s="73" t="s">
        <v>1774</v>
      </c>
      <c r="B3" s="73" t="s">
        <v>1786</v>
      </c>
      <c r="C3" s="73" t="s">
        <v>1787</v>
      </c>
      <c r="D3" s="73" t="s">
        <v>1788</v>
      </c>
      <c r="E3" s="73" t="s">
        <v>1789</v>
      </c>
      <c r="F3" s="73" t="s">
        <v>1790</v>
      </c>
      <c r="G3" s="73" t="s">
        <v>10</v>
      </c>
      <c r="H3" s="73" t="s">
        <v>1791</v>
      </c>
      <c r="I3" s="73" t="s">
        <v>49</v>
      </c>
      <c r="J3" s="73" t="s">
        <v>42</v>
      </c>
      <c r="K3" s="73" t="s">
        <v>1752</v>
      </c>
      <c r="L3" s="73" t="s">
        <v>1706</v>
      </c>
      <c r="M3" s="73" t="s">
        <v>1792</v>
      </c>
      <c r="N3" s="73" t="s">
        <v>1793</v>
      </c>
      <c r="O3" s="73" t="s">
        <v>10</v>
      </c>
      <c r="P3" s="73" t="s">
        <v>1794</v>
      </c>
      <c r="Q3" s="73" t="s">
        <v>1795</v>
      </c>
      <c r="R3" s="73" t="s">
        <v>1796</v>
      </c>
      <c r="S3" s="73" t="s">
        <v>1797</v>
      </c>
      <c r="T3" s="73" t="s">
        <v>1798</v>
      </c>
      <c r="U3" s="73" t="s">
        <v>1799</v>
      </c>
      <c r="V3" s="73" t="s">
        <v>1800</v>
      </c>
      <c r="W3" s="73" t="s">
        <v>1801</v>
      </c>
      <c r="X3" s="75" t="s">
        <v>1802</v>
      </c>
      <c r="Y3" s="75" t="s">
        <v>1803</v>
      </c>
      <c r="Z3" s="75" t="s">
        <v>1776</v>
      </c>
    </row>
    <row r="4" spans="1:26" x14ac:dyDescent="0.2">
      <c r="A4" s="73" t="s">
        <v>1804</v>
      </c>
      <c r="B4" s="76" t="s">
        <v>9</v>
      </c>
      <c r="C4" s="74">
        <v>4600005103</v>
      </c>
      <c r="D4" s="74" t="s">
        <v>1805</v>
      </c>
      <c r="E4" s="74" t="s">
        <v>1806</v>
      </c>
      <c r="F4" s="74" t="s">
        <v>1807</v>
      </c>
      <c r="G4" s="74" t="s">
        <v>29</v>
      </c>
      <c r="H4" s="74">
        <v>4500162238</v>
      </c>
      <c r="I4" s="74">
        <v>10</v>
      </c>
      <c r="J4" s="74" t="s">
        <v>1725</v>
      </c>
      <c r="K4" s="74">
        <v>3946</v>
      </c>
      <c r="L4" s="74" t="s">
        <v>1808</v>
      </c>
      <c r="M4" s="74">
        <v>79621.7</v>
      </c>
      <c r="N4" s="74">
        <v>3.45</v>
      </c>
      <c r="O4" s="74" t="s">
        <v>29</v>
      </c>
      <c r="P4" s="74" t="s">
        <v>1724</v>
      </c>
      <c r="Q4" s="74">
        <v>1</v>
      </c>
      <c r="R4" s="74">
        <v>0</v>
      </c>
      <c r="S4" s="74">
        <v>22800</v>
      </c>
      <c r="T4" s="74" t="s">
        <v>1724</v>
      </c>
      <c r="U4" s="76">
        <v>41628</v>
      </c>
      <c r="V4" s="76" t="s">
        <v>1862</v>
      </c>
      <c r="W4" s="76"/>
      <c r="X4" s="76">
        <f t="shared" ref="X4:X5" si="1">IF(A4="BA",IF(cbGRTime=0,B4,U4),U4)</f>
        <v>41628</v>
      </c>
      <c r="Y4" s="74">
        <f t="shared" ref="Y4:Y5" si="2">IF(ISERROR(VLOOKUP(J4,MatSafTime,13,FALSE)),0,IF($A4="BA",VLOOKUP(J4,MatSafTime,13,FALSE),0))</f>
        <v>0</v>
      </c>
      <c r="Z4" s="76" t="str">
        <f>YEAR(X4)&amp;TEXT(MONTH(X4),"00")</f>
        <v>201312</v>
      </c>
    </row>
    <row r="5" spans="1:26" x14ac:dyDescent="0.2">
      <c r="A5" s="73" t="s">
        <v>1804</v>
      </c>
      <c r="B5" s="76" t="s">
        <v>9</v>
      </c>
      <c r="C5" s="74">
        <v>4600005103</v>
      </c>
      <c r="D5" s="74" t="s">
        <v>1805</v>
      </c>
      <c r="E5" s="74" t="s">
        <v>1806</v>
      </c>
      <c r="F5" s="74" t="s">
        <v>1807</v>
      </c>
      <c r="G5" s="74" t="s">
        <v>29</v>
      </c>
      <c r="H5" s="74">
        <v>4500164506</v>
      </c>
      <c r="I5" s="74">
        <v>10</v>
      </c>
      <c r="J5" s="74" t="s">
        <v>1725</v>
      </c>
      <c r="K5" s="74">
        <v>3946</v>
      </c>
      <c r="L5" s="74" t="s">
        <v>1808</v>
      </c>
      <c r="M5" s="74">
        <v>75431.09</v>
      </c>
      <c r="N5" s="74">
        <v>3.45</v>
      </c>
      <c r="O5" s="74" t="s">
        <v>29</v>
      </c>
      <c r="P5" s="74" t="s">
        <v>1724</v>
      </c>
      <c r="Q5" s="74">
        <v>1</v>
      </c>
      <c r="R5" s="74">
        <v>0</v>
      </c>
      <c r="S5" s="74">
        <v>21600</v>
      </c>
      <c r="T5" s="74" t="s">
        <v>1724</v>
      </c>
      <c r="U5" s="76">
        <v>41661</v>
      </c>
      <c r="V5" s="76" t="s">
        <v>1862</v>
      </c>
      <c r="W5" s="76"/>
      <c r="X5" s="76">
        <f t="shared" si="1"/>
        <v>41661</v>
      </c>
      <c r="Y5" s="74">
        <f t="shared" si="2"/>
        <v>0</v>
      </c>
      <c r="Z5" s="76" t="str">
        <f t="shared" ref="Z5" si="3">YEAR(X5)&amp;TEXT(MONTH(X5),"00")</f>
        <v>201401</v>
      </c>
    </row>
    <row r="6" spans="1:26" x14ac:dyDescent="0.2">
      <c r="B6" s="76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6"/>
      <c r="V6" s="76"/>
      <c r="W6" s="76"/>
      <c r="X6" s="76"/>
      <c r="Y6" s="74"/>
      <c r="Z6" s="76"/>
    </row>
    <row r="7" spans="1:26" x14ac:dyDescent="0.2">
      <c r="B7" s="76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6"/>
      <c r="V7" s="76"/>
      <c r="W7" s="76"/>
      <c r="X7" s="76"/>
      <c r="Y7" s="74"/>
      <c r="Z7" s="76"/>
    </row>
    <row r="8" spans="1:26" x14ac:dyDescent="0.2">
      <c r="B8" s="76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6"/>
      <c r="V8" s="76"/>
      <c r="W8" s="76"/>
      <c r="X8" s="76"/>
      <c r="Y8" s="74"/>
      <c r="Z8" s="76"/>
    </row>
    <row r="9" spans="1:26" x14ac:dyDescent="0.2">
      <c r="B9" s="76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6"/>
      <c r="V9" s="76"/>
      <c r="W9" s="76"/>
      <c r="X9" s="76"/>
      <c r="Y9" s="74"/>
      <c r="Z9" s="76"/>
    </row>
    <row r="10" spans="1:26" x14ac:dyDescent="0.2">
      <c r="B10" s="76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6"/>
      <c r="V10" s="76"/>
      <c r="W10" s="76"/>
      <c r="X10" s="76"/>
      <c r="Y10" s="74"/>
      <c r="Z10" s="76"/>
    </row>
    <row r="11" spans="1:26" x14ac:dyDescent="0.2">
      <c r="B11" s="76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6"/>
      <c r="V11" s="76"/>
      <c r="W11" s="76"/>
      <c r="X11" s="76"/>
      <c r="Y11" s="74"/>
      <c r="Z11" s="76"/>
    </row>
    <row r="12" spans="1:26" x14ac:dyDescent="0.2">
      <c r="B12" s="76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6"/>
      <c r="V12" s="76"/>
      <c r="W12" s="76"/>
      <c r="X12" s="76"/>
      <c r="Y12" s="74"/>
      <c r="Z12" s="76"/>
    </row>
    <row r="13" spans="1:26" x14ac:dyDescent="0.2">
      <c r="B13" s="76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6"/>
      <c r="V13" s="76"/>
      <c r="W13" s="76"/>
      <c r="X13" s="76"/>
      <c r="Y13" s="74"/>
      <c r="Z13" s="76"/>
    </row>
    <row r="14" spans="1:26" x14ac:dyDescent="0.2">
      <c r="B14" s="76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6"/>
      <c r="V14" s="76"/>
      <c r="W14" s="76"/>
      <c r="X14" s="76"/>
      <c r="Y14" s="74"/>
      <c r="Z14" s="76"/>
    </row>
    <row r="15" spans="1:26" x14ac:dyDescent="0.2">
      <c r="B15" s="76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6"/>
      <c r="V15" s="76"/>
      <c r="W15" s="76"/>
      <c r="X15" s="76"/>
      <c r="Y15" s="74"/>
      <c r="Z15" s="76"/>
    </row>
    <row r="16" spans="1:26" x14ac:dyDescent="0.2">
      <c r="B16" s="76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6"/>
      <c r="V16" s="76"/>
      <c r="W16" s="76"/>
      <c r="X16" s="76"/>
      <c r="Y16" s="74"/>
      <c r="Z16" s="76"/>
    </row>
    <row r="17" spans="2:26" x14ac:dyDescent="0.2">
      <c r="B17" s="76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6"/>
      <c r="V17" s="76"/>
      <c r="W17" s="76"/>
      <c r="X17" s="76"/>
      <c r="Y17" s="74"/>
      <c r="Z17" s="76"/>
    </row>
    <row r="18" spans="2:26" x14ac:dyDescent="0.2">
      <c r="B18" s="76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6"/>
      <c r="V18" s="76"/>
      <c r="W18" s="76"/>
      <c r="X18" s="76"/>
      <c r="Y18" s="74"/>
      <c r="Z18" s="76"/>
    </row>
    <row r="19" spans="2:26" x14ac:dyDescent="0.2">
      <c r="B19" s="76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6"/>
      <c r="V19" s="76"/>
      <c r="W19" s="76"/>
      <c r="X19" s="76"/>
      <c r="Y19" s="74"/>
      <c r="Z19" s="76"/>
    </row>
    <row r="20" spans="2:26" x14ac:dyDescent="0.2">
      <c r="B20" s="76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6"/>
      <c r="V20" s="76"/>
      <c r="W20" s="76"/>
      <c r="X20" s="76"/>
      <c r="Y20" s="74"/>
      <c r="Z20" s="76"/>
    </row>
    <row r="21" spans="2:26" x14ac:dyDescent="0.2">
      <c r="B21" s="76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6"/>
      <c r="V21" s="76"/>
      <c r="W21" s="76"/>
      <c r="X21" s="76"/>
      <c r="Y21" s="74"/>
      <c r="Z21" s="76"/>
    </row>
    <row r="22" spans="2:26" x14ac:dyDescent="0.2">
      <c r="B22" s="76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6"/>
      <c r="V22" s="76"/>
      <c r="W22" s="76"/>
      <c r="X22" s="76"/>
      <c r="Y22" s="74"/>
      <c r="Z22" s="76"/>
    </row>
    <row r="23" spans="2:26" x14ac:dyDescent="0.2">
      <c r="B23" s="76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6"/>
      <c r="V23" s="76"/>
      <c r="W23" s="76"/>
      <c r="X23" s="76"/>
      <c r="Y23" s="74"/>
      <c r="Z23" s="76"/>
    </row>
    <row r="24" spans="2:26" x14ac:dyDescent="0.2">
      <c r="B24" s="76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6"/>
      <c r="V24" s="76"/>
      <c r="W24" s="76"/>
      <c r="X24" s="76"/>
      <c r="Y24" s="74"/>
      <c r="Z24" s="76"/>
    </row>
    <row r="25" spans="2:26" x14ac:dyDescent="0.2">
      <c r="B25" s="76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6"/>
      <c r="V25" s="76"/>
      <c r="W25" s="76"/>
      <c r="X25" s="76"/>
      <c r="Y25" s="74"/>
      <c r="Z25" s="76"/>
    </row>
  </sheetData>
  <pageMargins left="0.78740157499999996" right="0.78740157499999996" top="0.984251969" bottom="0.984251969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>
    <tabColor indexed="29"/>
  </sheetPr>
  <dimension ref="A1:Z1501"/>
  <sheetViews>
    <sheetView showGridLines="0" zoomScale="85" workbookViewId="0">
      <pane xSplit="2" ySplit="1" topLeftCell="C2" activePane="bottomRight" state="frozen"/>
      <selection activeCell="F9" sqref="F9"/>
      <selection pane="topRight" activeCell="F9" sqref="F9"/>
      <selection pane="bottomLeft" activeCell="F9" sqref="F9"/>
      <selection pane="bottomRight" activeCell="C2" sqref="C2"/>
    </sheetView>
  </sheetViews>
  <sheetFormatPr defaultColWidth="11.42578125" defaultRowHeight="12.75" x14ac:dyDescent="0.2"/>
  <cols>
    <col min="1" max="1" width="7.5703125" style="73" bestFit="1" customWidth="1"/>
    <col min="2" max="2" width="6.28515625" style="73" bestFit="1" customWidth="1"/>
    <col min="3" max="3" width="11" style="73" bestFit="1" customWidth="1"/>
    <col min="4" max="4" width="7.28515625" style="73" bestFit="1" customWidth="1"/>
    <col min="5" max="5" width="11.42578125" style="73" bestFit="1" customWidth="1"/>
    <col min="6" max="6" width="10" style="73" bestFit="1" customWidth="1"/>
    <col min="7" max="7" width="11.42578125" style="73" bestFit="1" customWidth="1"/>
    <col min="8" max="8" width="10.85546875" style="73" bestFit="1" customWidth="1"/>
    <col min="9" max="9" width="10" style="73" bestFit="1" customWidth="1"/>
    <col min="10" max="10" width="9.140625" style="73" customWidth="1"/>
    <col min="11" max="14" width="11.42578125" style="73" bestFit="1" customWidth="1"/>
    <col min="15" max="15" width="4.5703125" style="73" bestFit="1" customWidth="1"/>
    <col min="16" max="16" width="5.85546875" style="73" bestFit="1" customWidth="1"/>
    <col min="17" max="17" width="9.42578125" style="73" customWidth="1"/>
    <col min="18" max="18" width="10.28515625" style="73" bestFit="1" customWidth="1"/>
    <col min="19" max="19" width="11.42578125" style="73" customWidth="1"/>
    <col min="20" max="20" width="11.28515625" style="73" customWidth="1"/>
    <col min="21" max="23" width="11.42578125" style="73" bestFit="1" customWidth="1"/>
    <col min="24" max="24" width="10.28515625" style="73" bestFit="1" customWidth="1"/>
    <col min="25" max="25" width="7.7109375" style="73" bestFit="1" customWidth="1"/>
    <col min="26" max="26" width="7.28515625" style="73" bestFit="1" customWidth="1"/>
    <col min="27" max="16384" width="11.42578125" style="73"/>
  </cols>
  <sheetData>
    <row r="1" spans="1:26" x14ac:dyDescent="0.2">
      <c r="A1" s="73" t="s">
        <v>4</v>
      </c>
      <c r="B1" s="73" t="s">
        <v>42</v>
      </c>
      <c r="C1" s="73" t="s">
        <v>1809</v>
      </c>
      <c r="D1" s="73" t="s">
        <v>1810</v>
      </c>
      <c r="E1" s="73" t="s">
        <v>1764</v>
      </c>
      <c r="F1" s="73" t="s">
        <v>1811</v>
      </c>
      <c r="G1" s="73" t="s">
        <v>1812</v>
      </c>
      <c r="H1" s="73" t="s">
        <v>1813</v>
      </c>
      <c r="I1" s="73" t="s">
        <v>1814</v>
      </c>
      <c r="J1" s="73" t="s">
        <v>1815</v>
      </c>
      <c r="K1" s="73" t="s">
        <v>1816</v>
      </c>
      <c r="L1" s="73" t="s">
        <v>1817</v>
      </c>
      <c r="M1" s="73" t="s">
        <v>1818</v>
      </c>
      <c r="N1" s="73" t="s">
        <v>1791</v>
      </c>
      <c r="O1" s="73" t="s">
        <v>49</v>
      </c>
      <c r="P1" s="73" t="s">
        <v>1819</v>
      </c>
      <c r="Q1" s="73" t="s">
        <v>1820</v>
      </c>
      <c r="R1" s="73" t="s">
        <v>1821</v>
      </c>
      <c r="S1" s="73" t="s">
        <v>1822</v>
      </c>
      <c r="T1" s="73" t="s">
        <v>1823</v>
      </c>
      <c r="U1" s="73" t="s">
        <v>1824</v>
      </c>
      <c r="V1" s="73" t="s">
        <v>1825</v>
      </c>
      <c r="W1" s="114" t="s">
        <v>1765</v>
      </c>
      <c r="X1" s="75" t="s">
        <v>1768</v>
      </c>
      <c r="Y1" s="75" t="s">
        <v>1826</v>
      </c>
      <c r="Z1" s="75" t="s">
        <v>1767</v>
      </c>
    </row>
    <row r="2" spans="1:26" x14ac:dyDescent="0.2">
      <c r="A2" s="73">
        <v>502323</v>
      </c>
      <c r="B2" s="73" t="s">
        <v>1725</v>
      </c>
      <c r="E2" s="73" t="s">
        <v>1827</v>
      </c>
      <c r="H2" s="76">
        <v>41221</v>
      </c>
      <c r="I2" s="77">
        <v>125.16200000000001</v>
      </c>
      <c r="J2" s="73" t="s">
        <v>1724</v>
      </c>
      <c r="K2" s="73">
        <v>80286014</v>
      </c>
      <c r="M2" s="73">
        <v>0</v>
      </c>
      <c r="O2" s="73">
        <v>0</v>
      </c>
      <c r="Q2" s="73">
        <v>100</v>
      </c>
      <c r="R2" s="76">
        <v>41193</v>
      </c>
      <c r="S2" s="73">
        <v>1</v>
      </c>
      <c r="T2" s="77" t="s">
        <v>1724</v>
      </c>
      <c r="U2" s="77">
        <v>125.16200000000001</v>
      </c>
      <c r="V2" s="77">
        <v>0</v>
      </c>
      <c r="W2" s="114">
        <v>610800</v>
      </c>
      <c r="X2" s="76">
        <f t="shared" ref="X2:X3" si="0">IF(P2&lt;&gt;"",H2,IF(cbSafetyTime=1,R2,H2))</f>
        <v>41221</v>
      </c>
      <c r="Y2" s="74">
        <f t="shared" ref="Y2:Y3" si="1">IF(ISERROR(VLOOKUP(B2,MatSafTime,25,FALSE)),0,IF($E2="SB",VLOOKUP(B2,MatSafTime,25,FALSE),0))</f>
        <v>20</v>
      </c>
      <c r="Z2" s="76" t="str">
        <f ca="1">IF(YEAR(X2)&amp;TEXT(MONTH(X2),"00")&lt;YEAR(NOW())&amp;TEXT(MONTH(NOW()),"00"),YEAR(NOW())&amp;TEXT(MONTH(NOW()),"00"),YEAR(X2)&amp;TEXT(MONTH(X2),"00"))</f>
        <v>201401</v>
      </c>
    </row>
    <row r="3" spans="1:26" x14ac:dyDescent="0.2">
      <c r="A3" s="73">
        <v>502323</v>
      </c>
      <c r="B3" s="73" t="s">
        <v>1725</v>
      </c>
      <c r="E3" s="73" t="s">
        <v>1827</v>
      </c>
      <c r="H3" s="76">
        <v>41250</v>
      </c>
      <c r="I3" s="77">
        <v>125.16200000000001</v>
      </c>
      <c r="J3" s="73" t="s">
        <v>1724</v>
      </c>
      <c r="K3" s="73">
        <v>80286015</v>
      </c>
      <c r="M3" s="73">
        <v>0</v>
      </c>
      <c r="O3" s="73">
        <v>0</v>
      </c>
      <c r="Q3" s="73">
        <v>100</v>
      </c>
      <c r="R3" s="76">
        <v>41222</v>
      </c>
      <c r="S3" s="73">
        <v>1</v>
      </c>
      <c r="T3" s="77" t="s">
        <v>1724</v>
      </c>
      <c r="U3" s="77">
        <v>125.16200000000001</v>
      </c>
      <c r="V3" s="77">
        <v>0</v>
      </c>
      <c r="W3" s="114">
        <v>610800</v>
      </c>
      <c r="X3" s="76">
        <f t="shared" si="0"/>
        <v>41250</v>
      </c>
      <c r="Y3" s="74">
        <f t="shared" si="1"/>
        <v>20</v>
      </c>
      <c r="Z3" s="76" t="str">
        <f t="shared" ref="Z3" ca="1" si="2">IF(YEAR(X3)&amp;TEXT(MONTH(X3),"00")&lt;YEAR(NOW())&amp;TEXT(MONTH(NOW()),"00"),YEAR(NOW())&amp;TEXT(MONTH(NOW()),"00"),YEAR(X3)&amp;TEXT(MONTH(X3),"00"))</f>
        <v>201401</v>
      </c>
    </row>
    <row r="4" spans="1:26" x14ac:dyDescent="0.2">
      <c r="X4" s="76"/>
      <c r="Y4" s="74"/>
      <c r="Z4" s="76"/>
    </row>
    <row r="5" spans="1:26" x14ac:dyDescent="0.2">
      <c r="X5" s="76"/>
      <c r="Y5" s="74"/>
      <c r="Z5" s="76"/>
    </row>
    <row r="6" spans="1:26" x14ac:dyDescent="0.2">
      <c r="X6" s="76"/>
      <c r="Y6" s="74"/>
      <c r="Z6" s="76"/>
    </row>
    <row r="7" spans="1:26" x14ac:dyDescent="0.2">
      <c r="X7" s="76"/>
      <c r="Y7" s="74"/>
      <c r="Z7" s="76"/>
    </row>
    <row r="8" spans="1:26" x14ac:dyDescent="0.2">
      <c r="X8" s="76"/>
      <c r="Y8" s="74"/>
      <c r="Z8" s="76"/>
    </row>
    <row r="9" spans="1:26" x14ac:dyDescent="0.2">
      <c r="X9" s="76"/>
      <c r="Y9" s="74"/>
      <c r="Z9" s="76"/>
    </row>
    <row r="10" spans="1:26" x14ac:dyDescent="0.2">
      <c r="X10" s="76"/>
      <c r="Y10" s="74"/>
      <c r="Z10" s="76"/>
    </row>
    <row r="11" spans="1:26" x14ac:dyDescent="0.2">
      <c r="X11" s="76"/>
      <c r="Y11" s="74"/>
      <c r="Z11" s="76"/>
    </row>
    <row r="12" spans="1:26" x14ac:dyDescent="0.2">
      <c r="X12" s="76"/>
      <c r="Y12" s="74"/>
      <c r="Z12" s="76"/>
    </row>
    <row r="13" spans="1:26" x14ac:dyDescent="0.2">
      <c r="X13" s="76"/>
      <c r="Y13" s="74"/>
      <c r="Z13" s="76"/>
    </row>
    <row r="14" spans="1:26" x14ac:dyDescent="0.2">
      <c r="X14" s="76"/>
      <c r="Y14" s="74"/>
      <c r="Z14" s="76"/>
    </row>
    <row r="15" spans="1:26" x14ac:dyDescent="0.2">
      <c r="X15" s="76"/>
      <c r="Y15" s="74"/>
      <c r="Z15" s="76"/>
    </row>
    <row r="16" spans="1:26" x14ac:dyDescent="0.2">
      <c r="X16" s="76"/>
      <c r="Y16" s="74"/>
      <c r="Z16" s="76"/>
    </row>
    <row r="17" spans="24:26" x14ac:dyDescent="0.2">
      <c r="X17" s="76"/>
      <c r="Y17" s="74"/>
      <c r="Z17" s="76"/>
    </row>
    <row r="18" spans="24:26" x14ac:dyDescent="0.2">
      <c r="X18" s="76"/>
      <c r="Y18" s="74"/>
      <c r="Z18" s="76"/>
    </row>
    <row r="19" spans="24:26" x14ac:dyDescent="0.2">
      <c r="X19" s="76"/>
      <c r="Y19" s="74"/>
      <c r="Z19" s="76"/>
    </row>
    <row r="20" spans="24:26" x14ac:dyDescent="0.2">
      <c r="X20" s="76"/>
      <c r="Y20" s="74"/>
      <c r="Z20" s="76"/>
    </row>
    <row r="21" spans="24:26" x14ac:dyDescent="0.2">
      <c r="X21" s="76"/>
      <c r="Y21" s="74"/>
      <c r="Z21" s="76"/>
    </row>
    <row r="22" spans="24:26" x14ac:dyDescent="0.2">
      <c r="X22" s="76"/>
      <c r="Y22" s="74"/>
      <c r="Z22" s="76"/>
    </row>
    <row r="23" spans="24:26" x14ac:dyDescent="0.2">
      <c r="X23" s="76"/>
      <c r="Y23" s="74"/>
      <c r="Z23" s="76"/>
    </row>
    <row r="24" spans="24:26" x14ac:dyDescent="0.2">
      <c r="X24" s="76"/>
      <c r="Y24" s="74"/>
      <c r="Z24" s="76"/>
    </row>
    <row r="25" spans="24:26" x14ac:dyDescent="0.2">
      <c r="X25" s="76"/>
      <c r="Y25" s="74"/>
      <c r="Z25" s="76"/>
    </row>
    <row r="26" spans="24:26" x14ac:dyDescent="0.2">
      <c r="X26" s="76"/>
      <c r="Y26" s="74"/>
      <c r="Z26" s="76"/>
    </row>
    <row r="27" spans="24:26" x14ac:dyDescent="0.2">
      <c r="X27" s="76"/>
      <c r="Y27" s="74"/>
      <c r="Z27" s="76"/>
    </row>
    <row r="28" spans="24:26" x14ac:dyDescent="0.2">
      <c r="X28" s="76"/>
      <c r="Y28" s="74"/>
      <c r="Z28" s="76"/>
    </row>
    <row r="29" spans="24:26" x14ac:dyDescent="0.2">
      <c r="X29" s="76"/>
      <c r="Y29" s="74"/>
      <c r="Z29" s="76"/>
    </row>
    <row r="30" spans="24:26" x14ac:dyDescent="0.2">
      <c r="X30" s="76"/>
      <c r="Y30" s="74"/>
      <c r="Z30" s="76"/>
    </row>
    <row r="31" spans="24:26" x14ac:dyDescent="0.2">
      <c r="X31" s="76"/>
      <c r="Y31" s="74"/>
      <c r="Z31" s="76"/>
    </row>
    <row r="32" spans="24:26" x14ac:dyDescent="0.2">
      <c r="X32" s="76"/>
      <c r="Y32" s="74"/>
      <c r="Z32" s="76"/>
    </row>
    <row r="33" spans="24:26" x14ac:dyDescent="0.2">
      <c r="X33" s="76"/>
      <c r="Y33" s="74"/>
      <c r="Z33" s="76"/>
    </row>
    <row r="34" spans="24:26" x14ac:dyDescent="0.2">
      <c r="X34" s="76"/>
      <c r="Y34" s="74"/>
      <c r="Z34" s="76"/>
    </row>
    <row r="35" spans="24:26" x14ac:dyDescent="0.2">
      <c r="X35" s="76"/>
      <c r="Y35" s="74"/>
      <c r="Z35" s="76"/>
    </row>
    <row r="36" spans="24:26" x14ac:dyDescent="0.2">
      <c r="X36" s="76"/>
      <c r="Y36" s="74"/>
      <c r="Z36" s="76"/>
    </row>
    <row r="37" spans="24:26" x14ac:dyDescent="0.2">
      <c r="X37" s="76"/>
      <c r="Y37" s="74"/>
      <c r="Z37" s="76"/>
    </row>
    <row r="38" spans="24:26" x14ac:dyDescent="0.2">
      <c r="X38" s="76"/>
      <c r="Y38" s="74"/>
      <c r="Z38" s="76"/>
    </row>
    <row r="39" spans="24:26" x14ac:dyDescent="0.2">
      <c r="X39" s="76"/>
      <c r="Y39" s="74"/>
      <c r="Z39" s="76"/>
    </row>
    <row r="40" spans="24:26" x14ac:dyDescent="0.2">
      <c r="X40" s="76"/>
      <c r="Y40" s="74"/>
      <c r="Z40" s="76"/>
    </row>
    <row r="41" spans="24:26" x14ac:dyDescent="0.2">
      <c r="X41" s="76"/>
      <c r="Y41" s="74"/>
      <c r="Z41" s="76"/>
    </row>
    <row r="42" spans="24:26" x14ac:dyDescent="0.2">
      <c r="X42" s="76"/>
      <c r="Y42" s="74"/>
      <c r="Z42" s="76"/>
    </row>
    <row r="43" spans="24:26" x14ac:dyDescent="0.2">
      <c r="X43" s="76"/>
      <c r="Y43" s="74"/>
      <c r="Z43" s="76"/>
    </row>
    <row r="44" spans="24:26" x14ac:dyDescent="0.2">
      <c r="X44" s="76"/>
      <c r="Y44" s="74"/>
      <c r="Z44" s="76"/>
    </row>
    <row r="45" spans="24:26" x14ac:dyDescent="0.2">
      <c r="X45" s="76"/>
      <c r="Y45" s="74"/>
      <c r="Z45" s="76"/>
    </row>
    <row r="46" spans="24:26" x14ac:dyDescent="0.2">
      <c r="X46" s="76"/>
      <c r="Y46" s="74"/>
      <c r="Z46" s="76"/>
    </row>
    <row r="47" spans="24:26" x14ac:dyDescent="0.2">
      <c r="X47" s="76"/>
      <c r="Y47" s="74"/>
      <c r="Z47" s="76"/>
    </row>
    <row r="48" spans="24:26" x14ac:dyDescent="0.2">
      <c r="X48" s="76"/>
      <c r="Y48" s="74"/>
      <c r="Z48" s="76"/>
    </row>
    <row r="49" spans="24:26" x14ac:dyDescent="0.2">
      <c r="X49" s="76"/>
      <c r="Y49" s="74"/>
      <c r="Z49" s="76"/>
    </row>
    <row r="50" spans="24:26" x14ac:dyDescent="0.2">
      <c r="X50" s="76"/>
      <c r="Y50" s="74"/>
      <c r="Z50" s="76"/>
    </row>
    <row r="51" spans="24:26" x14ac:dyDescent="0.2">
      <c r="X51" s="76"/>
      <c r="Y51" s="74"/>
      <c r="Z51" s="76"/>
    </row>
    <row r="52" spans="24:26" x14ac:dyDescent="0.2">
      <c r="X52" s="76"/>
      <c r="Y52" s="74"/>
      <c r="Z52" s="76"/>
    </row>
    <row r="53" spans="24:26" x14ac:dyDescent="0.2">
      <c r="X53" s="76"/>
      <c r="Y53" s="74"/>
      <c r="Z53" s="76"/>
    </row>
    <row r="54" spans="24:26" x14ac:dyDescent="0.2">
      <c r="X54" s="76"/>
      <c r="Y54" s="74"/>
      <c r="Z54" s="76"/>
    </row>
    <row r="55" spans="24:26" x14ac:dyDescent="0.2">
      <c r="X55" s="76"/>
      <c r="Y55" s="74"/>
      <c r="Z55" s="76"/>
    </row>
    <row r="56" spans="24:26" x14ac:dyDescent="0.2">
      <c r="X56" s="76"/>
      <c r="Y56" s="74"/>
      <c r="Z56" s="76"/>
    </row>
    <row r="57" spans="24:26" x14ac:dyDescent="0.2">
      <c r="X57" s="76"/>
      <c r="Y57" s="74"/>
      <c r="Z57" s="76"/>
    </row>
    <row r="58" spans="24:26" x14ac:dyDescent="0.2">
      <c r="X58" s="76"/>
      <c r="Y58" s="74"/>
      <c r="Z58" s="76"/>
    </row>
    <row r="59" spans="24:26" x14ac:dyDescent="0.2">
      <c r="X59" s="76"/>
      <c r="Y59" s="74"/>
      <c r="Z59" s="76"/>
    </row>
    <row r="60" spans="24:26" x14ac:dyDescent="0.2">
      <c r="X60" s="76"/>
      <c r="Y60" s="74"/>
      <c r="Z60" s="76"/>
    </row>
    <row r="61" spans="24:26" x14ac:dyDescent="0.2">
      <c r="X61" s="76"/>
      <c r="Y61" s="74"/>
      <c r="Z61" s="76"/>
    </row>
    <row r="62" spans="24:26" x14ac:dyDescent="0.2">
      <c r="X62" s="76"/>
      <c r="Y62" s="74"/>
      <c r="Z62" s="76"/>
    </row>
    <row r="63" spans="24:26" x14ac:dyDescent="0.2">
      <c r="X63" s="76"/>
      <c r="Y63" s="74"/>
      <c r="Z63" s="76"/>
    </row>
    <row r="64" spans="24:26" x14ac:dyDescent="0.2">
      <c r="X64" s="76"/>
      <c r="Y64" s="74"/>
      <c r="Z64" s="76"/>
    </row>
    <row r="65" spans="24:26" x14ac:dyDescent="0.2">
      <c r="X65" s="76"/>
      <c r="Y65" s="74"/>
      <c r="Z65" s="76"/>
    </row>
    <row r="66" spans="24:26" x14ac:dyDescent="0.2">
      <c r="X66" s="76"/>
      <c r="Y66" s="74"/>
      <c r="Z66" s="76"/>
    </row>
    <row r="67" spans="24:26" x14ac:dyDescent="0.2">
      <c r="X67" s="76"/>
      <c r="Y67" s="74"/>
      <c r="Z67" s="76"/>
    </row>
    <row r="68" spans="24:26" x14ac:dyDescent="0.2">
      <c r="X68" s="76"/>
      <c r="Y68" s="74"/>
      <c r="Z68" s="76"/>
    </row>
    <row r="69" spans="24:26" x14ac:dyDescent="0.2">
      <c r="X69" s="76"/>
      <c r="Y69" s="74"/>
      <c r="Z69" s="76"/>
    </row>
    <row r="70" spans="24:26" x14ac:dyDescent="0.2">
      <c r="X70" s="76"/>
      <c r="Y70" s="74"/>
      <c r="Z70" s="76"/>
    </row>
    <row r="71" spans="24:26" x14ac:dyDescent="0.2">
      <c r="X71" s="76"/>
      <c r="Y71" s="74"/>
      <c r="Z71" s="76"/>
    </row>
    <row r="72" spans="24:26" x14ac:dyDescent="0.2">
      <c r="X72" s="76"/>
      <c r="Y72" s="74"/>
      <c r="Z72" s="76"/>
    </row>
    <row r="73" spans="24:26" x14ac:dyDescent="0.2">
      <c r="X73" s="76"/>
      <c r="Y73" s="74"/>
      <c r="Z73" s="76"/>
    </row>
    <row r="74" spans="24:26" x14ac:dyDescent="0.2">
      <c r="X74" s="76"/>
      <c r="Y74" s="74"/>
      <c r="Z74" s="76"/>
    </row>
    <row r="75" spans="24:26" x14ac:dyDescent="0.2">
      <c r="X75" s="76"/>
      <c r="Y75" s="74"/>
      <c r="Z75" s="76"/>
    </row>
    <row r="76" spans="24:26" x14ac:dyDescent="0.2">
      <c r="X76" s="76"/>
      <c r="Y76" s="74"/>
      <c r="Z76" s="76"/>
    </row>
    <row r="77" spans="24:26" x14ac:dyDescent="0.2">
      <c r="X77" s="76"/>
      <c r="Y77" s="74"/>
      <c r="Z77" s="76"/>
    </row>
    <row r="78" spans="24:26" x14ac:dyDescent="0.2">
      <c r="X78" s="76"/>
      <c r="Y78" s="74"/>
      <c r="Z78" s="76"/>
    </row>
    <row r="79" spans="24:26" x14ac:dyDescent="0.2">
      <c r="X79" s="76"/>
      <c r="Y79" s="74"/>
      <c r="Z79" s="76"/>
    </row>
    <row r="80" spans="24:26" x14ac:dyDescent="0.2">
      <c r="X80" s="76"/>
      <c r="Y80" s="74"/>
      <c r="Z80" s="76"/>
    </row>
    <row r="81" spans="24:26" x14ac:dyDescent="0.2">
      <c r="X81" s="76"/>
      <c r="Y81" s="74"/>
      <c r="Z81" s="76"/>
    </row>
    <row r="82" spans="24:26" x14ac:dyDescent="0.2">
      <c r="X82" s="76"/>
      <c r="Y82" s="74"/>
      <c r="Z82" s="76"/>
    </row>
    <row r="83" spans="24:26" x14ac:dyDescent="0.2">
      <c r="X83" s="76"/>
      <c r="Y83" s="74"/>
      <c r="Z83" s="76"/>
    </row>
    <row r="84" spans="24:26" x14ac:dyDescent="0.2">
      <c r="X84" s="76"/>
      <c r="Y84" s="74"/>
      <c r="Z84" s="76"/>
    </row>
    <row r="85" spans="24:26" x14ac:dyDescent="0.2">
      <c r="X85" s="76"/>
      <c r="Y85" s="74"/>
      <c r="Z85" s="76"/>
    </row>
    <row r="86" spans="24:26" x14ac:dyDescent="0.2">
      <c r="X86" s="76"/>
      <c r="Y86" s="74"/>
      <c r="Z86" s="76"/>
    </row>
    <row r="87" spans="24:26" x14ac:dyDescent="0.2">
      <c r="X87" s="76"/>
      <c r="Y87" s="74"/>
      <c r="Z87" s="76"/>
    </row>
    <row r="88" spans="24:26" x14ac:dyDescent="0.2">
      <c r="X88" s="76"/>
      <c r="Y88" s="74"/>
      <c r="Z88" s="76"/>
    </row>
    <row r="89" spans="24:26" x14ac:dyDescent="0.2">
      <c r="X89" s="76"/>
      <c r="Y89" s="74"/>
      <c r="Z89" s="76"/>
    </row>
    <row r="90" spans="24:26" x14ac:dyDescent="0.2">
      <c r="X90" s="76"/>
      <c r="Y90" s="74"/>
      <c r="Z90" s="76"/>
    </row>
    <row r="91" spans="24:26" x14ac:dyDescent="0.2">
      <c r="X91" s="76"/>
      <c r="Y91" s="74"/>
      <c r="Z91" s="76"/>
    </row>
    <row r="92" spans="24:26" x14ac:dyDescent="0.2">
      <c r="X92" s="76"/>
      <c r="Y92" s="74"/>
      <c r="Z92" s="76"/>
    </row>
    <row r="93" spans="24:26" x14ac:dyDescent="0.2">
      <c r="X93" s="76"/>
      <c r="Y93" s="74"/>
      <c r="Z93" s="76"/>
    </row>
    <row r="94" spans="24:26" x14ac:dyDescent="0.2">
      <c r="X94" s="76"/>
      <c r="Y94" s="74"/>
      <c r="Z94" s="76"/>
    </row>
    <row r="95" spans="24:26" x14ac:dyDescent="0.2">
      <c r="X95" s="76"/>
      <c r="Y95" s="74"/>
      <c r="Z95" s="76"/>
    </row>
    <row r="96" spans="24:26" x14ac:dyDescent="0.2">
      <c r="X96" s="76"/>
      <c r="Y96" s="74"/>
      <c r="Z96" s="76"/>
    </row>
    <row r="97" spans="24:26" x14ac:dyDescent="0.2">
      <c r="X97" s="76"/>
      <c r="Y97" s="74"/>
      <c r="Z97" s="76"/>
    </row>
    <row r="98" spans="24:26" x14ac:dyDescent="0.2">
      <c r="X98" s="76"/>
      <c r="Y98" s="74"/>
      <c r="Z98" s="76"/>
    </row>
    <row r="99" spans="24:26" x14ac:dyDescent="0.2">
      <c r="X99" s="76"/>
      <c r="Y99" s="74"/>
      <c r="Z99" s="76"/>
    </row>
    <row r="100" spans="24:26" x14ac:dyDescent="0.2">
      <c r="X100" s="76"/>
      <c r="Y100" s="74"/>
      <c r="Z100" s="76"/>
    </row>
    <row r="101" spans="24:26" x14ac:dyDescent="0.2">
      <c r="X101" s="76"/>
      <c r="Y101" s="74"/>
      <c r="Z101" s="76"/>
    </row>
    <row r="102" spans="24:26" x14ac:dyDescent="0.2">
      <c r="X102" s="76"/>
      <c r="Y102" s="74"/>
      <c r="Z102" s="76"/>
    </row>
    <row r="103" spans="24:26" x14ac:dyDescent="0.2">
      <c r="X103" s="76"/>
      <c r="Y103" s="74"/>
      <c r="Z103" s="76"/>
    </row>
    <row r="104" spans="24:26" x14ac:dyDescent="0.2">
      <c r="X104" s="76"/>
      <c r="Y104" s="74"/>
      <c r="Z104" s="76"/>
    </row>
    <row r="105" spans="24:26" x14ac:dyDescent="0.2">
      <c r="X105" s="76"/>
      <c r="Y105" s="74"/>
      <c r="Z105" s="76"/>
    </row>
    <row r="106" spans="24:26" x14ac:dyDescent="0.2">
      <c r="X106" s="76"/>
      <c r="Y106" s="74"/>
      <c r="Z106" s="76"/>
    </row>
    <row r="107" spans="24:26" x14ac:dyDescent="0.2">
      <c r="X107" s="76"/>
      <c r="Y107" s="74"/>
      <c r="Z107" s="76"/>
    </row>
    <row r="108" spans="24:26" x14ac:dyDescent="0.2">
      <c r="X108" s="76"/>
      <c r="Y108" s="74"/>
      <c r="Z108" s="76"/>
    </row>
    <row r="109" spans="24:26" x14ac:dyDescent="0.2">
      <c r="X109" s="76"/>
      <c r="Y109" s="74"/>
      <c r="Z109" s="76"/>
    </row>
    <row r="110" spans="24:26" x14ac:dyDescent="0.2">
      <c r="X110" s="76"/>
      <c r="Y110" s="74"/>
      <c r="Z110" s="76"/>
    </row>
    <row r="111" spans="24:26" x14ac:dyDescent="0.2">
      <c r="X111" s="76"/>
      <c r="Y111" s="74"/>
      <c r="Z111" s="76"/>
    </row>
    <row r="112" spans="24:26" x14ac:dyDescent="0.2">
      <c r="X112" s="76"/>
      <c r="Y112" s="74"/>
      <c r="Z112" s="76"/>
    </row>
    <row r="113" spans="24:26" x14ac:dyDescent="0.2">
      <c r="X113" s="76"/>
      <c r="Y113" s="74"/>
      <c r="Z113" s="76"/>
    </row>
    <row r="114" spans="24:26" x14ac:dyDescent="0.2">
      <c r="X114" s="76"/>
      <c r="Y114" s="74"/>
      <c r="Z114" s="76"/>
    </row>
    <row r="115" spans="24:26" x14ac:dyDescent="0.2">
      <c r="X115" s="76"/>
      <c r="Y115" s="74"/>
      <c r="Z115" s="76"/>
    </row>
    <row r="116" spans="24:26" x14ac:dyDescent="0.2">
      <c r="X116" s="76"/>
      <c r="Y116" s="74"/>
      <c r="Z116" s="76"/>
    </row>
    <row r="117" spans="24:26" x14ac:dyDescent="0.2">
      <c r="X117" s="76"/>
      <c r="Y117" s="74"/>
      <c r="Z117" s="76"/>
    </row>
    <row r="118" spans="24:26" x14ac:dyDescent="0.2">
      <c r="X118" s="76"/>
      <c r="Y118" s="74"/>
      <c r="Z118" s="76"/>
    </row>
    <row r="119" spans="24:26" x14ac:dyDescent="0.2">
      <c r="X119" s="76"/>
      <c r="Y119" s="74"/>
      <c r="Z119" s="76"/>
    </row>
    <row r="120" spans="24:26" x14ac:dyDescent="0.2">
      <c r="X120" s="76"/>
      <c r="Y120" s="74"/>
      <c r="Z120" s="76"/>
    </row>
    <row r="121" spans="24:26" x14ac:dyDescent="0.2">
      <c r="X121" s="76"/>
      <c r="Y121" s="74"/>
      <c r="Z121" s="76"/>
    </row>
    <row r="122" spans="24:26" x14ac:dyDescent="0.2">
      <c r="X122" s="76"/>
      <c r="Y122" s="74"/>
      <c r="Z122" s="76"/>
    </row>
    <row r="123" spans="24:26" x14ac:dyDescent="0.2">
      <c r="X123" s="76"/>
      <c r="Y123" s="74"/>
      <c r="Z123" s="76"/>
    </row>
    <row r="124" spans="24:26" x14ac:dyDescent="0.2">
      <c r="X124" s="76"/>
      <c r="Y124" s="74"/>
      <c r="Z124" s="76"/>
    </row>
    <row r="125" spans="24:26" x14ac:dyDescent="0.2">
      <c r="X125" s="76"/>
      <c r="Y125" s="74"/>
      <c r="Z125" s="76"/>
    </row>
    <row r="126" spans="24:26" x14ac:dyDescent="0.2">
      <c r="X126" s="76"/>
      <c r="Y126" s="74"/>
      <c r="Z126" s="76"/>
    </row>
    <row r="127" spans="24:26" x14ac:dyDescent="0.2">
      <c r="X127" s="76"/>
      <c r="Y127" s="74"/>
      <c r="Z127" s="76"/>
    </row>
    <row r="128" spans="24:26" x14ac:dyDescent="0.2">
      <c r="X128" s="76"/>
      <c r="Y128" s="74"/>
      <c r="Z128" s="76"/>
    </row>
    <row r="129" spans="24:26" x14ac:dyDescent="0.2">
      <c r="X129" s="76"/>
      <c r="Y129" s="74"/>
      <c r="Z129" s="76"/>
    </row>
    <row r="130" spans="24:26" x14ac:dyDescent="0.2">
      <c r="X130" s="76"/>
      <c r="Y130" s="74"/>
      <c r="Z130" s="76"/>
    </row>
    <row r="131" spans="24:26" x14ac:dyDescent="0.2">
      <c r="X131" s="76"/>
      <c r="Y131" s="74"/>
      <c r="Z131" s="76"/>
    </row>
    <row r="132" spans="24:26" x14ac:dyDescent="0.2">
      <c r="X132" s="76"/>
      <c r="Y132" s="74"/>
      <c r="Z132" s="76"/>
    </row>
    <row r="133" spans="24:26" x14ac:dyDescent="0.2">
      <c r="X133" s="76"/>
      <c r="Y133" s="74"/>
      <c r="Z133" s="76"/>
    </row>
    <row r="134" spans="24:26" x14ac:dyDescent="0.2">
      <c r="X134" s="76"/>
      <c r="Y134" s="74"/>
      <c r="Z134" s="76"/>
    </row>
    <row r="135" spans="24:26" x14ac:dyDescent="0.2">
      <c r="X135" s="76"/>
      <c r="Y135" s="74"/>
      <c r="Z135" s="76"/>
    </row>
    <row r="136" spans="24:26" x14ac:dyDescent="0.2">
      <c r="X136" s="76"/>
      <c r="Y136" s="74"/>
      <c r="Z136" s="76"/>
    </row>
    <row r="137" spans="24:26" x14ac:dyDescent="0.2">
      <c r="X137" s="76"/>
      <c r="Y137" s="74"/>
      <c r="Z137" s="76"/>
    </row>
    <row r="138" spans="24:26" x14ac:dyDescent="0.2">
      <c r="X138" s="76"/>
      <c r="Y138" s="74"/>
      <c r="Z138" s="76"/>
    </row>
    <row r="139" spans="24:26" x14ac:dyDescent="0.2">
      <c r="X139" s="76"/>
      <c r="Y139" s="74"/>
      <c r="Z139" s="76"/>
    </row>
    <row r="140" spans="24:26" x14ac:dyDescent="0.2">
      <c r="X140" s="76"/>
      <c r="Y140" s="74"/>
      <c r="Z140" s="76"/>
    </row>
    <row r="141" spans="24:26" x14ac:dyDescent="0.2">
      <c r="X141" s="76"/>
      <c r="Y141" s="74"/>
      <c r="Z141" s="76"/>
    </row>
    <row r="142" spans="24:26" x14ac:dyDescent="0.2">
      <c r="X142" s="76"/>
      <c r="Y142" s="74"/>
      <c r="Z142" s="76"/>
    </row>
    <row r="143" spans="24:26" x14ac:dyDescent="0.2">
      <c r="X143" s="76"/>
      <c r="Y143" s="74"/>
      <c r="Z143" s="76"/>
    </row>
    <row r="144" spans="24:26" x14ac:dyDescent="0.2">
      <c r="X144" s="76"/>
      <c r="Y144" s="74"/>
      <c r="Z144" s="76"/>
    </row>
    <row r="145" spans="24:26" x14ac:dyDescent="0.2">
      <c r="X145" s="76"/>
      <c r="Y145" s="74"/>
      <c r="Z145" s="76"/>
    </row>
    <row r="146" spans="24:26" x14ac:dyDescent="0.2">
      <c r="X146" s="76"/>
      <c r="Y146" s="74"/>
      <c r="Z146" s="76"/>
    </row>
    <row r="147" spans="24:26" x14ac:dyDescent="0.2">
      <c r="X147" s="76"/>
      <c r="Y147" s="74"/>
      <c r="Z147" s="76"/>
    </row>
    <row r="148" spans="24:26" x14ac:dyDescent="0.2">
      <c r="X148" s="76"/>
      <c r="Y148" s="74"/>
      <c r="Z148" s="76"/>
    </row>
    <row r="149" spans="24:26" x14ac:dyDescent="0.2">
      <c r="X149" s="76"/>
      <c r="Y149" s="74"/>
      <c r="Z149" s="76"/>
    </row>
    <row r="150" spans="24:26" x14ac:dyDescent="0.2">
      <c r="X150" s="76"/>
      <c r="Y150" s="74"/>
      <c r="Z150" s="76"/>
    </row>
    <row r="151" spans="24:26" x14ac:dyDescent="0.2">
      <c r="X151" s="76"/>
      <c r="Y151" s="74"/>
      <c r="Z151" s="76"/>
    </row>
    <row r="152" spans="24:26" x14ac:dyDescent="0.2">
      <c r="X152" s="76"/>
      <c r="Y152" s="74"/>
      <c r="Z152" s="76"/>
    </row>
    <row r="153" spans="24:26" x14ac:dyDescent="0.2">
      <c r="X153" s="76"/>
      <c r="Y153" s="74"/>
      <c r="Z153" s="76"/>
    </row>
    <row r="154" spans="24:26" x14ac:dyDescent="0.2">
      <c r="X154" s="76"/>
      <c r="Y154" s="74"/>
      <c r="Z154" s="76"/>
    </row>
    <row r="155" spans="24:26" x14ac:dyDescent="0.2">
      <c r="X155" s="76"/>
      <c r="Y155" s="74"/>
      <c r="Z155" s="76"/>
    </row>
    <row r="156" spans="24:26" x14ac:dyDescent="0.2">
      <c r="X156" s="76"/>
      <c r="Y156" s="74"/>
      <c r="Z156" s="76"/>
    </row>
    <row r="157" spans="24:26" x14ac:dyDescent="0.2">
      <c r="X157" s="76"/>
      <c r="Y157" s="74"/>
      <c r="Z157" s="76"/>
    </row>
    <row r="158" spans="24:26" x14ac:dyDescent="0.2">
      <c r="X158" s="76"/>
      <c r="Y158" s="74"/>
      <c r="Z158" s="76"/>
    </row>
    <row r="159" spans="24:26" x14ac:dyDescent="0.2">
      <c r="X159" s="76"/>
      <c r="Y159" s="74"/>
      <c r="Z159" s="76"/>
    </row>
    <row r="160" spans="24:26" x14ac:dyDescent="0.2">
      <c r="X160" s="76"/>
      <c r="Y160" s="74"/>
      <c r="Z160" s="76"/>
    </row>
    <row r="161" spans="24:26" x14ac:dyDescent="0.2">
      <c r="X161" s="76"/>
      <c r="Y161" s="74"/>
      <c r="Z161" s="76"/>
    </row>
    <row r="162" spans="24:26" x14ac:dyDescent="0.2">
      <c r="X162" s="76"/>
      <c r="Y162" s="74"/>
      <c r="Z162" s="76"/>
    </row>
    <row r="163" spans="24:26" x14ac:dyDescent="0.2">
      <c r="X163" s="76"/>
      <c r="Y163" s="74"/>
      <c r="Z163" s="76"/>
    </row>
    <row r="164" spans="24:26" x14ac:dyDescent="0.2">
      <c r="X164" s="76"/>
      <c r="Y164" s="74"/>
      <c r="Z164" s="76"/>
    </row>
    <row r="165" spans="24:26" x14ac:dyDescent="0.2">
      <c r="X165" s="76"/>
      <c r="Y165" s="74"/>
      <c r="Z165" s="76"/>
    </row>
    <row r="166" spans="24:26" x14ac:dyDescent="0.2">
      <c r="X166" s="76"/>
      <c r="Y166" s="74"/>
      <c r="Z166" s="76"/>
    </row>
    <row r="167" spans="24:26" x14ac:dyDescent="0.2">
      <c r="X167" s="76"/>
      <c r="Y167" s="74"/>
      <c r="Z167" s="76"/>
    </row>
    <row r="168" spans="24:26" x14ac:dyDescent="0.2">
      <c r="X168" s="76"/>
      <c r="Y168" s="74"/>
      <c r="Z168" s="76"/>
    </row>
    <row r="169" spans="24:26" x14ac:dyDescent="0.2">
      <c r="X169" s="76"/>
      <c r="Y169" s="74"/>
      <c r="Z169" s="76"/>
    </row>
    <row r="170" spans="24:26" x14ac:dyDescent="0.2">
      <c r="X170" s="76"/>
      <c r="Y170" s="74"/>
      <c r="Z170" s="76"/>
    </row>
    <row r="171" spans="24:26" x14ac:dyDescent="0.2">
      <c r="X171" s="76"/>
      <c r="Y171" s="74"/>
      <c r="Z171" s="76"/>
    </row>
    <row r="172" spans="24:26" x14ac:dyDescent="0.2">
      <c r="X172" s="76"/>
      <c r="Y172" s="74"/>
      <c r="Z172" s="76"/>
    </row>
    <row r="173" spans="24:26" x14ac:dyDescent="0.2">
      <c r="X173" s="76"/>
      <c r="Y173" s="74"/>
      <c r="Z173" s="76"/>
    </row>
    <row r="174" spans="24:26" x14ac:dyDescent="0.2">
      <c r="X174" s="76"/>
      <c r="Y174" s="74"/>
      <c r="Z174" s="76"/>
    </row>
    <row r="175" spans="24:26" x14ac:dyDescent="0.2">
      <c r="X175" s="76"/>
      <c r="Y175" s="74"/>
      <c r="Z175" s="76"/>
    </row>
    <row r="176" spans="24:26" x14ac:dyDescent="0.2">
      <c r="X176" s="76"/>
      <c r="Y176" s="74"/>
      <c r="Z176" s="76"/>
    </row>
    <row r="177" spans="24:26" x14ac:dyDescent="0.2">
      <c r="X177" s="76"/>
      <c r="Y177" s="74"/>
      <c r="Z177" s="76"/>
    </row>
    <row r="178" spans="24:26" x14ac:dyDescent="0.2">
      <c r="X178" s="76"/>
      <c r="Y178" s="74"/>
      <c r="Z178" s="76"/>
    </row>
    <row r="179" spans="24:26" x14ac:dyDescent="0.2">
      <c r="X179" s="76"/>
      <c r="Y179" s="74"/>
      <c r="Z179" s="76"/>
    </row>
    <row r="180" spans="24:26" x14ac:dyDescent="0.2">
      <c r="X180" s="76"/>
      <c r="Y180" s="74"/>
      <c r="Z180" s="76"/>
    </row>
    <row r="181" spans="24:26" x14ac:dyDescent="0.2">
      <c r="X181" s="76"/>
      <c r="Y181" s="74"/>
      <c r="Z181" s="76"/>
    </row>
    <row r="182" spans="24:26" x14ac:dyDescent="0.2">
      <c r="X182" s="76"/>
      <c r="Y182" s="74"/>
      <c r="Z182" s="76"/>
    </row>
    <row r="183" spans="24:26" x14ac:dyDescent="0.2">
      <c r="X183" s="76"/>
      <c r="Y183" s="74"/>
      <c r="Z183" s="76"/>
    </row>
    <row r="184" spans="24:26" x14ac:dyDescent="0.2">
      <c r="X184" s="76"/>
      <c r="Y184" s="74"/>
      <c r="Z184" s="76"/>
    </row>
    <row r="185" spans="24:26" x14ac:dyDescent="0.2">
      <c r="X185" s="76"/>
      <c r="Y185" s="74"/>
      <c r="Z185" s="76"/>
    </row>
    <row r="186" spans="24:26" x14ac:dyDescent="0.2">
      <c r="X186" s="76"/>
      <c r="Y186" s="74"/>
      <c r="Z186" s="76"/>
    </row>
    <row r="187" spans="24:26" x14ac:dyDescent="0.2">
      <c r="X187" s="76"/>
      <c r="Y187" s="74"/>
      <c r="Z187" s="76"/>
    </row>
    <row r="188" spans="24:26" x14ac:dyDescent="0.2">
      <c r="X188" s="76"/>
      <c r="Y188" s="74"/>
      <c r="Z188" s="76"/>
    </row>
    <row r="189" spans="24:26" x14ac:dyDescent="0.2">
      <c r="X189" s="76"/>
      <c r="Y189" s="74"/>
      <c r="Z189" s="76"/>
    </row>
    <row r="190" spans="24:26" x14ac:dyDescent="0.2">
      <c r="X190" s="76"/>
      <c r="Y190" s="74"/>
      <c r="Z190" s="76"/>
    </row>
    <row r="191" spans="24:26" x14ac:dyDescent="0.2">
      <c r="X191" s="76"/>
      <c r="Y191" s="74"/>
      <c r="Z191" s="76"/>
    </row>
    <row r="192" spans="24:26" x14ac:dyDescent="0.2">
      <c r="X192" s="76"/>
      <c r="Y192" s="74"/>
      <c r="Z192" s="76"/>
    </row>
    <row r="193" spans="24:26" x14ac:dyDescent="0.2">
      <c r="X193" s="76"/>
      <c r="Y193" s="74"/>
      <c r="Z193" s="76"/>
    </row>
    <row r="194" spans="24:26" x14ac:dyDescent="0.2">
      <c r="X194" s="76"/>
      <c r="Y194" s="74"/>
      <c r="Z194" s="76"/>
    </row>
    <row r="195" spans="24:26" x14ac:dyDescent="0.2">
      <c r="X195" s="76"/>
      <c r="Y195" s="74"/>
      <c r="Z195" s="76"/>
    </row>
    <row r="196" spans="24:26" x14ac:dyDescent="0.2">
      <c r="X196" s="76"/>
      <c r="Y196" s="74"/>
      <c r="Z196" s="76"/>
    </row>
    <row r="197" spans="24:26" x14ac:dyDescent="0.2">
      <c r="X197" s="76"/>
      <c r="Y197" s="74"/>
      <c r="Z197" s="76"/>
    </row>
    <row r="198" spans="24:26" x14ac:dyDescent="0.2">
      <c r="X198" s="76"/>
      <c r="Y198" s="74"/>
      <c r="Z198" s="76"/>
    </row>
    <row r="199" spans="24:26" x14ac:dyDescent="0.2">
      <c r="X199" s="76"/>
      <c r="Y199" s="74"/>
      <c r="Z199" s="76"/>
    </row>
    <row r="200" spans="24:26" x14ac:dyDescent="0.2">
      <c r="X200" s="76"/>
      <c r="Y200" s="74"/>
      <c r="Z200" s="76"/>
    </row>
    <row r="201" spans="24:26" x14ac:dyDescent="0.2">
      <c r="X201" s="76"/>
      <c r="Y201" s="74"/>
      <c r="Z201" s="76"/>
    </row>
    <row r="202" spans="24:26" x14ac:dyDescent="0.2">
      <c r="X202" s="76"/>
      <c r="Y202" s="74"/>
      <c r="Z202" s="76"/>
    </row>
    <row r="203" spans="24:26" x14ac:dyDescent="0.2">
      <c r="X203" s="76"/>
      <c r="Y203" s="74"/>
      <c r="Z203" s="76"/>
    </row>
    <row r="204" spans="24:26" x14ac:dyDescent="0.2">
      <c r="X204" s="76"/>
      <c r="Y204" s="74"/>
      <c r="Z204" s="76"/>
    </row>
    <row r="205" spans="24:26" x14ac:dyDescent="0.2">
      <c r="X205" s="76"/>
      <c r="Y205" s="74"/>
      <c r="Z205" s="76"/>
    </row>
    <row r="206" spans="24:26" x14ac:dyDescent="0.2">
      <c r="X206" s="76"/>
      <c r="Y206" s="74"/>
      <c r="Z206" s="76"/>
    </row>
    <row r="207" spans="24:26" x14ac:dyDescent="0.2">
      <c r="X207" s="76"/>
      <c r="Y207" s="74"/>
      <c r="Z207" s="76"/>
    </row>
    <row r="208" spans="24:26" x14ac:dyDescent="0.2">
      <c r="X208" s="76"/>
      <c r="Y208" s="74"/>
      <c r="Z208" s="76"/>
    </row>
    <row r="209" spans="24:26" x14ac:dyDescent="0.2">
      <c r="X209" s="76"/>
      <c r="Y209" s="74"/>
      <c r="Z209" s="76"/>
    </row>
    <row r="210" spans="24:26" x14ac:dyDescent="0.2">
      <c r="X210" s="76"/>
      <c r="Y210" s="74"/>
      <c r="Z210" s="76"/>
    </row>
    <row r="211" spans="24:26" x14ac:dyDescent="0.2">
      <c r="X211" s="76"/>
      <c r="Y211" s="74"/>
      <c r="Z211" s="76"/>
    </row>
    <row r="212" spans="24:26" x14ac:dyDescent="0.2">
      <c r="X212" s="76"/>
      <c r="Y212" s="74"/>
      <c r="Z212" s="76"/>
    </row>
    <row r="213" spans="24:26" x14ac:dyDescent="0.2">
      <c r="X213" s="76"/>
      <c r="Y213" s="74"/>
      <c r="Z213" s="76"/>
    </row>
    <row r="214" spans="24:26" x14ac:dyDescent="0.2">
      <c r="X214" s="76"/>
      <c r="Y214" s="74"/>
      <c r="Z214" s="76"/>
    </row>
    <row r="215" spans="24:26" x14ac:dyDescent="0.2">
      <c r="X215" s="76"/>
      <c r="Y215" s="74"/>
      <c r="Z215" s="76"/>
    </row>
    <row r="216" spans="24:26" x14ac:dyDescent="0.2">
      <c r="X216" s="76"/>
      <c r="Y216" s="74"/>
      <c r="Z216" s="76"/>
    </row>
    <row r="217" spans="24:26" x14ac:dyDescent="0.2">
      <c r="X217" s="76"/>
      <c r="Y217" s="74"/>
      <c r="Z217" s="76"/>
    </row>
    <row r="218" spans="24:26" x14ac:dyDescent="0.2">
      <c r="X218" s="76"/>
      <c r="Y218" s="74"/>
      <c r="Z218" s="76"/>
    </row>
    <row r="219" spans="24:26" x14ac:dyDescent="0.2">
      <c r="X219" s="76"/>
      <c r="Y219" s="74"/>
      <c r="Z219" s="76"/>
    </row>
    <row r="220" spans="24:26" x14ac:dyDescent="0.2">
      <c r="X220" s="76"/>
      <c r="Y220" s="74"/>
      <c r="Z220" s="76"/>
    </row>
    <row r="221" spans="24:26" x14ac:dyDescent="0.2">
      <c r="X221" s="76"/>
      <c r="Y221" s="74"/>
      <c r="Z221" s="76"/>
    </row>
    <row r="222" spans="24:26" x14ac:dyDescent="0.2">
      <c r="X222" s="76"/>
      <c r="Y222" s="74"/>
      <c r="Z222" s="76"/>
    </row>
    <row r="223" spans="24:26" x14ac:dyDescent="0.2">
      <c r="X223" s="76"/>
      <c r="Y223" s="74"/>
      <c r="Z223" s="76"/>
    </row>
    <row r="224" spans="24:26" x14ac:dyDescent="0.2">
      <c r="X224" s="76"/>
      <c r="Y224" s="74"/>
      <c r="Z224" s="76"/>
    </row>
    <row r="225" spans="24:26" x14ac:dyDescent="0.2">
      <c r="X225" s="76"/>
      <c r="Y225" s="74"/>
      <c r="Z225" s="76"/>
    </row>
    <row r="226" spans="24:26" x14ac:dyDescent="0.2">
      <c r="X226" s="76"/>
      <c r="Y226" s="74"/>
      <c r="Z226" s="76"/>
    </row>
    <row r="227" spans="24:26" x14ac:dyDescent="0.2">
      <c r="X227" s="76"/>
      <c r="Y227" s="74"/>
      <c r="Z227" s="76"/>
    </row>
    <row r="228" spans="24:26" x14ac:dyDescent="0.2">
      <c r="X228" s="76"/>
      <c r="Y228" s="74"/>
      <c r="Z228" s="76"/>
    </row>
    <row r="229" spans="24:26" x14ac:dyDescent="0.2">
      <c r="X229" s="76"/>
      <c r="Y229" s="74"/>
      <c r="Z229" s="76"/>
    </row>
    <row r="230" spans="24:26" x14ac:dyDescent="0.2">
      <c r="X230" s="76"/>
      <c r="Y230" s="74"/>
      <c r="Z230" s="76"/>
    </row>
    <row r="231" spans="24:26" x14ac:dyDescent="0.2">
      <c r="X231" s="76"/>
      <c r="Y231" s="74"/>
      <c r="Z231" s="76"/>
    </row>
    <row r="232" spans="24:26" x14ac:dyDescent="0.2">
      <c r="X232" s="76"/>
      <c r="Y232" s="74"/>
      <c r="Z232" s="76"/>
    </row>
    <row r="233" spans="24:26" x14ac:dyDescent="0.2">
      <c r="X233" s="76"/>
      <c r="Y233" s="74"/>
      <c r="Z233" s="76"/>
    </row>
    <row r="234" spans="24:26" x14ac:dyDescent="0.2">
      <c r="X234" s="76"/>
      <c r="Y234" s="74"/>
      <c r="Z234" s="76"/>
    </row>
    <row r="235" spans="24:26" x14ac:dyDescent="0.2">
      <c r="X235" s="76"/>
      <c r="Y235" s="74"/>
      <c r="Z235" s="76"/>
    </row>
    <row r="236" spans="24:26" x14ac:dyDescent="0.2">
      <c r="X236" s="76"/>
      <c r="Y236" s="74"/>
      <c r="Z236" s="76"/>
    </row>
    <row r="237" spans="24:26" x14ac:dyDescent="0.2">
      <c r="X237" s="76"/>
      <c r="Y237" s="74"/>
      <c r="Z237" s="76"/>
    </row>
    <row r="238" spans="24:26" x14ac:dyDescent="0.2">
      <c r="X238" s="76"/>
      <c r="Y238" s="74"/>
      <c r="Z238" s="76"/>
    </row>
    <row r="239" spans="24:26" x14ac:dyDescent="0.2">
      <c r="X239" s="76"/>
      <c r="Y239" s="74"/>
      <c r="Z239" s="76"/>
    </row>
    <row r="240" spans="24:26" x14ac:dyDescent="0.2">
      <c r="X240" s="76"/>
      <c r="Y240" s="74"/>
      <c r="Z240" s="76"/>
    </row>
    <row r="241" spans="24:26" x14ac:dyDescent="0.2">
      <c r="X241" s="76"/>
      <c r="Y241" s="74"/>
      <c r="Z241" s="76"/>
    </row>
    <row r="242" spans="24:26" x14ac:dyDescent="0.2">
      <c r="X242" s="76"/>
      <c r="Y242" s="74"/>
      <c r="Z242" s="76"/>
    </row>
    <row r="243" spans="24:26" x14ac:dyDescent="0.2">
      <c r="X243" s="76"/>
      <c r="Y243" s="74"/>
      <c r="Z243" s="76"/>
    </row>
    <row r="244" spans="24:26" x14ac:dyDescent="0.2">
      <c r="X244" s="76"/>
      <c r="Y244" s="74"/>
      <c r="Z244" s="76"/>
    </row>
    <row r="245" spans="24:26" x14ac:dyDescent="0.2">
      <c r="X245" s="76"/>
      <c r="Y245" s="74"/>
      <c r="Z245" s="76"/>
    </row>
    <row r="246" spans="24:26" x14ac:dyDescent="0.2">
      <c r="X246" s="76"/>
      <c r="Y246" s="74"/>
      <c r="Z246" s="76"/>
    </row>
    <row r="247" spans="24:26" x14ac:dyDescent="0.2">
      <c r="X247" s="76"/>
      <c r="Y247" s="74"/>
      <c r="Z247" s="76"/>
    </row>
    <row r="248" spans="24:26" x14ac:dyDescent="0.2">
      <c r="X248" s="76"/>
      <c r="Y248" s="74"/>
      <c r="Z248" s="76"/>
    </row>
    <row r="249" spans="24:26" x14ac:dyDescent="0.2">
      <c r="X249" s="76"/>
      <c r="Y249" s="74"/>
      <c r="Z249" s="76"/>
    </row>
    <row r="250" spans="24:26" x14ac:dyDescent="0.2">
      <c r="X250" s="76"/>
      <c r="Y250" s="74"/>
      <c r="Z250" s="76"/>
    </row>
    <row r="251" spans="24:26" x14ac:dyDescent="0.2">
      <c r="X251" s="76"/>
      <c r="Y251" s="74"/>
      <c r="Z251" s="76"/>
    </row>
    <row r="252" spans="24:26" x14ac:dyDescent="0.2">
      <c r="X252" s="76"/>
      <c r="Y252" s="74"/>
      <c r="Z252" s="76"/>
    </row>
    <row r="253" spans="24:26" x14ac:dyDescent="0.2">
      <c r="X253" s="76"/>
      <c r="Y253" s="74"/>
      <c r="Z253" s="76"/>
    </row>
    <row r="254" spans="24:26" x14ac:dyDescent="0.2">
      <c r="X254" s="76"/>
      <c r="Y254" s="74"/>
      <c r="Z254" s="76"/>
    </row>
    <row r="255" spans="24:26" x14ac:dyDescent="0.2">
      <c r="X255" s="76"/>
      <c r="Y255" s="74"/>
      <c r="Z255" s="76"/>
    </row>
    <row r="256" spans="24:26" x14ac:dyDescent="0.2">
      <c r="X256" s="76"/>
      <c r="Y256" s="74"/>
      <c r="Z256" s="76"/>
    </row>
    <row r="257" spans="24:26" x14ac:dyDescent="0.2">
      <c r="X257" s="76"/>
      <c r="Y257" s="74"/>
      <c r="Z257" s="76"/>
    </row>
    <row r="258" spans="24:26" x14ac:dyDescent="0.2">
      <c r="X258" s="76"/>
      <c r="Y258" s="74"/>
      <c r="Z258" s="76"/>
    </row>
    <row r="259" spans="24:26" x14ac:dyDescent="0.2">
      <c r="X259" s="76"/>
      <c r="Y259" s="74"/>
      <c r="Z259" s="76"/>
    </row>
    <row r="260" spans="24:26" x14ac:dyDescent="0.2">
      <c r="X260" s="76"/>
      <c r="Y260" s="74"/>
      <c r="Z260" s="76"/>
    </row>
    <row r="261" spans="24:26" x14ac:dyDescent="0.2">
      <c r="X261" s="76"/>
      <c r="Y261" s="74"/>
      <c r="Z261" s="76"/>
    </row>
    <row r="262" spans="24:26" x14ac:dyDescent="0.2">
      <c r="X262" s="76"/>
      <c r="Y262" s="74"/>
      <c r="Z262" s="76"/>
    </row>
    <row r="263" spans="24:26" x14ac:dyDescent="0.2">
      <c r="X263" s="76"/>
      <c r="Y263" s="74"/>
      <c r="Z263" s="76"/>
    </row>
    <row r="264" spans="24:26" x14ac:dyDescent="0.2">
      <c r="X264" s="76"/>
      <c r="Y264" s="74"/>
      <c r="Z264" s="76"/>
    </row>
    <row r="265" spans="24:26" x14ac:dyDescent="0.2">
      <c r="X265" s="76"/>
      <c r="Y265" s="74"/>
      <c r="Z265" s="76"/>
    </row>
    <row r="266" spans="24:26" x14ac:dyDescent="0.2">
      <c r="X266" s="76"/>
      <c r="Y266" s="74"/>
      <c r="Z266" s="76"/>
    </row>
    <row r="267" spans="24:26" x14ac:dyDescent="0.2">
      <c r="X267" s="76"/>
      <c r="Y267" s="74"/>
      <c r="Z267" s="76"/>
    </row>
    <row r="268" spans="24:26" x14ac:dyDescent="0.2">
      <c r="X268" s="76"/>
      <c r="Y268" s="74"/>
      <c r="Z268" s="76"/>
    </row>
    <row r="269" spans="24:26" x14ac:dyDescent="0.2">
      <c r="X269" s="76"/>
      <c r="Y269" s="74"/>
      <c r="Z269" s="76"/>
    </row>
    <row r="270" spans="24:26" x14ac:dyDescent="0.2">
      <c r="X270" s="76"/>
      <c r="Y270" s="74"/>
      <c r="Z270" s="76"/>
    </row>
    <row r="271" spans="24:26" x14ac:dyDescent="0.2">
      <c r="X271" s="76"/>
      <c r="Y271" s="74"/>
      <c r="Z271" s="76"/>
    </row>
    <row r="272" spans="24:26" x14ac:dyDescent="0.2">
      <c r="X272" s="76"/>
      <c r="Y272" s="74"/>
      <c r="Z272" s="76"/>
    </row>
    <row r="273" spans="24:26" x14ac:dyDescent="0.2">
      <c r="X273" s="76"/>
      <c r="Y273" s="74"/>
      <c r="Z273" s="76"/>
    </row>
    <row r="274" spans="24:26" x14ac:dyDescent="0.2">
      <c r="X274" s="76"/>
      <c r="Y274" s="74"/>
      <c r="Z274" s="76"/>
    </row>
    <row r="275" spans="24:26" x14ac:dyDescent="0.2">
      <c r="X275" s="76"/>
      <c r="Y275" s="74"/>
      <c r="Z275" s="76"/>
    </row>
    <row r="276" spans="24:26" x14ac:dyDescent="0.2">
      <c r="X276" s="76"/>
      <c r="Y276" s="74"/>
      <c r="Z276" s="76"/>
    </row>
    <row r="277" spans="24:26" x14ac:dyDescent="0.2">
      <c r="X277" s="76"/>
      <c r="Y277" s="74"/>
      <c r="Z277" s="76"/>
    </row>
    <row r="278" spans="24:26" x14ac:dyDescent="0.2">
      <c r="X278" s="76"/>
      <c r="Y278" s="74"/>
      <c r="Z278" s="76"/>
    </row>
    <row r="279" spans="24:26" x14ac:dyDescent="0.2">
      <c r="X279" s="76"/>
      <c r="Y279" s="74"/>
      <c r="Z279" s="76"/>
    </row>
    <row r="280" spans="24:26" x14ac:dyDescent="0.2">
      <c r="X280" s="76"/>
      <c r="Y280" s="74"/>
      <c r="Z280" s="76"/>
    </row>
    <row r="281" spans="24:26" x14ac:dyDescent="0.2">
      <c r="X281" s="76"/>
      <c r="Y281" s="74"/>
      <c r="Z281" s="76"/>
    </row>
    <row r="282" spans="24:26" x14ac:dyDescent="0.2">
      <c r="X282" s="76"/>
      <c r="Y282" s="74"/>
      <c r="Z282" s="76"/>
    </row>
    <row r="283" spans="24:26" x14ac:dyDescent="0.2">
      <c r="X283" s="76"/>
      <c r="Y283" s="74"/>
      <c r="Z283" s="76"/>
    </row>
    <row r="284" spans="24:26" x14ac:dyDescent="0.2">
      <c r="X284" s="76"/>
      <c r="Y284" s="74"/>
      <c r="Z284" s="76"/>
    </row>
    <row r="285" spans="24:26" x14ac:dyDescent="0.2">
      <c r="X285" s="76"/>
      <c r="Y285" s="74"/>
      <c r="Z285" s="76"/>
    </row>
    <row r="286" spans="24:26" x14ac:dyDescent="0.2">
      <c r="X286" s="76"/>
      <c r="Y286" s="74"/>
      <c r="Z286" s="76"/>
    </row>
    <row r="287" spans="24:26" x14ac:dyDescent="0.2">
      <c r="X287" s="76"/>
      <c r="Y287" s="74"/>
      <c r="Z287" s="76"/>
    </row>
    <row r="288" spans="24:26" x14ac:dyDescent="0.2">
      <c r="X288" s="76"/>
      <c r="Y288" s="74"/>
      <c r="Z288" s="76"/>
    </row>
    <row r="289" spans="24:26" x14ac:dyDescent="0.2">
      <c r="X289" s="76"/>
      <c r="Y289" s="74"/>
      <c r="Z289" s="76"/>
    </row>
    <row r="290" spans="24:26" x14ac:dyDescent="0.2">
      <c r="X290" s="76"/>
      <c r="Y290" s="74"/>
      <c r="Z290" s="76"/>
    </row>
    <row r="291" spans="24:26" x14ac:dyDescent="0.2">
      <c r="X291" s="76"/>
      <c r="Y291" s="74"/>
      <c r="Z291" s="76"/>
    </row>
    <row r="292" spans="24:26" x14ac:dyDescent="0.2">
      <c r="X292" s="76"/>
      <c r="Y292" s="74"/>
      <c r="Z292" s="76"/>
    </row>
    <row r="293" spans="24:26" x14ac:dyDescent="0.2">
      <c r="X293" s="76"/>
      <c r="Y293" s="74"/>
      <c r="Z293" s="76"/>
    </row>
    <row r="294" spans="24:26" x14ac:dyDescent="0.2">
      <c r="X294" s="76"/>
      <c r="Y294" s="74"/>
      <c r="Z294" s="76"/>
    </row>
    <row r="295" spans="24:26" x14ac:dyDescent="0.2">
      <c r="X295" s="76"/>
      <c r="Y295" s="74"/>
      <c r="Z295" s="76"/>
    </row>
    <row r="296" spans="24:26" x14ac:dyDescent="0.2">
      <c r="X296" s="76"/>
      <c r="Y296" s="74"/>
      <c r="Z296" s="76"/>
    </row>
    <row r="297" spans="24:26" x14ac:dyDescent="0.2">
      <c r="X297" s="76"/>
      <c r="Y297" s="74"/>
      <c r="Z297" s="76"/>
    </row>
    <row r="298" spans="24:26" x14ac:dyDescent="0.2">
      <c r="X298" s="76"/>
      <c r="Y298" s="74"/>
      <c r="Z298" s="76"/>
    </row>
    <row r="299" spans="24:26" x14ac:dyDescent="0.2">
      <c r="X299" s="76"/>
      <c r="Y299" s="74"/>
      <c r="Z299" s="76"/>
    </row>
    <row r="300" spans="24:26" x14ac:dyDescent="0.2">
      <c r="X300" s="76"/>
      <c r="Y300" s="74"/>
      <c r="Z300" s="76"/>
    </row>
    <row r="301" spans="24:26" x14ac:dyDescent="0.2">
      <c r="X301" s="76"/>
      <c r="Y301" s="74"/>
      <c r="Z301" s="76"/>
    </row>
    <row r="302" spans="24:26" x14ac:dyDescent="0.2">
      <c r="X302" s="76"/>
      <c r="Y302" s="74"/>
      <c r="Z302" s="76"/>
    </row>
    <row r="303" spans="24:26" x14ac:dyDescent="0.2">
      <c r="X303" s="76"/>
      <c r="Y303" s="74"/>
      <c r="Z303" s="76"/>
    </row>
    <row r="304" spans="24:26" x14ac:dyDescent="0.2">
      <c r="X304" s="76"/>
      <c r="Y304" s="74"/>
      <c r="Z304" s="76"/>
    </row>
    <row r="305" spans="24:26" x14ac:dyDescent="0.2">
      <c r="X305" s="76"/>
      <c r="Y305" s="74"/>
      <c r="Z305" s="76"/>
    </row>
    <row r="306" spans="24:26" x14ac:dyDescent="0.2">
      <c r="X306" s="76"/>
      <c r="Y306" s="74"/>
      <c r="Z306" s="76"/>
    </row>
    <row r="307" spans="24:26" x14ac:dyDescent="0.2">
      <c r="X307" s="76"/>
      <c r="Y307" s="74"/>
      <c r="Z307" s="76"/>
    </row>
    <row r="308" spans="24:26" x14ac:dyDescent="0.2">
      <c r="X308" s="76"/>
      <c r="Y308" s="74"/>
      <c r="Z308" s="76"/>
    </row>
    <row r="309" spans="24:26" x14ac:dyDescent="0.2">
      <c r="X309" s="76"/>
      <c r="Y309" s="74"/>
      <c r="Z309" s="76"/>
    </row>
    <row r="310" spans="24:26" x14ac:dyDescent="0.2">
      <c r="X310" s="76"/>
      <c r="Y310" s="74"/>
      <c r="Z310" s="76"/>
    </row>
    <row r="311" spans="24:26" x14ac:dyDescent="0.2">
      <c r="X311" s="76"/>
      <c r="Y311" s="74"/>
      <c r="Z311" s="76"/>
    </row>
    <row r="312" spans="24:26" x14ac:dyDescent="0.2">
      <c r="X312" s="76"/>
      <c r="Y312" s="74"/>
      <c r="Z312" s="76"/>
    </row>
    <row r="313" spans="24:26" x14ac:dyDescent="0.2">
      <c r="X313" s="76"/>
      <c r="Y313" s="74"/>
      <c r="Z313" s="76"/>
    </row>
    <row r="314" spans="24:26" x14ac:dyDescent="0.2">
      <c r="X314" s="76"/>
      <c r="Y314" s="74"/>
      <c r="Z314" s="76"/>
    </row>
    <row r="315" spans="24:26" x14ac:dyDescent="0.2">
      <c r="X315" s="76"/>
      <c r="Y315" s="74"/>
      <c r="Z315" s="76"/>
    </row>
    <row r="316" spans="24:26" x14ac:dyDescent="0.2">
      <c r="X316" s="76"/>
      <c r="Y316" s="74"/>
      <c r="Z316" s="76"/>
    </row>
    <row r="317" spans="24:26" x14ac:dyDescent="0.2">
      <c r="X317" s="76"/>
      <c r="Y317" s="74"/>
      <c r="Z317" s="76"/>
    </row>
    <row r="318" spans="24:26" x14ac:dyDescent="0.2">
      <c r="X318" s="76"/>
      <c r="Y318" s="74"/>
      <c r="Z318" s="76"/>
    </row>
    <row r="319" spans="24:26" x14ac:dyDescent="0.2">
      <c r="X319" s="76"/>
      <c r="Y319" s="74"/>
      <c r="Z319" s="76"/>
    </row>
    <row r="320" spans="24:26" x14ac:dyDescent="0.2">
      <c r="X320" s="76"/>
      <c r="Y320" s="74"/>
      <c r="Z320" s="76"/>
    </row>
    <row r="321" spans="24:26" x14ac:dyDescent="0.2">
      <c r="X321" s="76"/>
      <c r="Y321" s="74"/>
      <c r="Z321" s="76"/>
    </row>
    <row r="322" spans="24:26" x14ac:dyDescent="0.2">
      <c r="X322" s="76"/>
      <c r="Y322" s="74"/>
      <c r="Z322" s="76"/>
    </row>
    <row r="323" spans="24:26" x14ac:dyDescent="0.2">
      <c r="X323" s="76"/>
      <c r="Y323" s="74"/>
      <c r="Z323" s="76"/>
    </row>
    <row r="324" spans="24:26" x14ac:dyDescent="0.2">
      <c r="X324" s="76"/>
      <c r="Y324" s="74"/>
      <c r="Z324" s="76"/>
    </row>
    <row r="325" spans="24:26" x14ac:dyDescent="0.2">
      <c r="X325" s="76"/>
      <c r="Y325" s="74"/>
      <c r="Z325" s="76"/>
    </row>
    <row r="326" spans="24:26" x14ac:dyDescent="0.2">
      <c r="X326" s="76"/>
      <c r="Y326" s="74"/>
      <c r="Z326" s="76"/>
    </row>
    <row r="327" spans="24:26" x14ac:dyDescent="0.2">
      <c r="X327" s="76"/>
      <c r="Y327" s="74"/>
      <c r="Z327" s="76"/>
    </row>
    <row r="328" spans="24:26" x14ac:dyDescent="0.2">
      <c r="X328" s="76"/>
      <c r="Y328" s="74"/>
      <c r="Z328" s="76"/>
    </row>
    <row r="329" spans="24:26" x14ac:dyDescent="0.2">
      <c r="X329" s="76"/>
      <c r="Y329" s="74"/>
      <c r="Z329" s="76"/>
    </row>
    <row r="330" spans="24:26" x14ac:dyDescent="0.2">
      <c r="X330" s="76"/>
      <c r="Y330" s="74"/>
      <c r="Z330" s="76"/>
    </row>
    <row r="331" spans="24:26" x14ac:dyDescent="0.2">
      <c r="X331" s="76"/>
      <c r="Y331" s="74"/>
      <c r="Z331" s="76"/>
    </row>
    <row r="332" spans="24:26" x14ac:dyDescent="0.2">
      <c r="X332" s="76"/>
      <c r="Y332" s="74"/>
      <c r="Z332" s="76"/>
    </row>
    <row r="333" spans="24:26" x14ac:dyDescent="0.2">
      <c r="X333" s="76"/>
      <c r="Y333" s="74"/>
      <c r="Z333" s="76"/>
    </row>
    <row r="334" spans="24:26" x14ac:dyDescent="0.2">
      <c r="X334" s="76"/>
      <c r="Y334" s="74"/>
      <c r="Z334" s="76"/>
    </row>
    <row r="335" spans="24:26" x14ac:dyDescent="0.2">
      <c r="X335" s="76"/>
      <c r="Y335" s="74"/>
      <c r="Z335" s="76"/>
    </row>
    <row r="336" spans="24:26" x14ac:dyDescent="0.2">
      <c r="X336" s="76"/>
      <c r="Y336" s="74"/>
      <c r="Z336" s="76"/>
    </row>
    <row r="337" spans="24:26" x14ac:dyDescent="0.2">
      <c r="X337" s="76"/>
      <c r="Y337" s="74"/>
      <c r="Z337" s="76"/>
    </row>
    <row r="338" spans="24:26" x14ac:dyDescent="0.2">
      <c r="X338" s="76"/>
      <c r="Y338" s="74"/>
      <c r="Z338" s="76"/>
    </row>
    <row r="339" spans="24:26" x14ac:dyDescent="0.2">
      <c r="X339" s="76"/>
      <c r="Y339" s="74"/>
      <c r="Z339" s="76"/>
    </row>
    <row r="340" spans="24:26" x14ac:dyDescent="0.2">
      <c r="X340" s="76"/>
      <c r="Y340" s="74"/>
      <c r="Z340" s="76"/>
    </row>
    <row r="341" spans="24:26" x14ac:dyDescent="0.2">
      <c r="X341" s="76"/>
      <c r="Y341" s="74"/>
      <c r="Z341" s="76"/>
    </row>
    <row r="342" spans="24:26" x14ac:dyDescent="0.2">
      <c r="X342" s="76"/>
      <c r="Y342" s="74"/>
      <c r="Z342" s="76"/>
    </row>
    <row r="343" spans="24:26" x14ac:dyDescent="0.2">
      <c r="X343" s="76"/>
      <c r="Y343" s="74"/>
      <c r="Z343" s="76"/>
    </row>
    <row r="344" spans="24:26" x14ac:dyDescent="0.2">
      <c r="X344" s="76"/>
      <c r="Y344" s="74"/>
      <c r="Z344" s="76"/>
    </row>
    <row r="345" spans="24:26" x14ac:dyDescent="0.2">
      <c r="X345" s="76"/>
      <c r="Y345" s="74"/>
      <c r="Z345" s="76"/>
    </row>
    <row r="346" spans="24:26" x14ac:dyDescent="0.2">
      <c r="X346" s="76"/>
      <c r="Y346" s="74"/>
      <c r="Z346" s="76"/>
    </row>
    <row r="347" spans="24:26" x14ac:dyDescent="0.2">
      <c r="X347" s="76"/>
      <c r="Y347" s="74"/>
      <c r="Z347" s="76"/>
    </row>
    <row r="348" spans="24:26" x14ac:dyDescent="0.2">
      <c r="X348" s="76"/>
      <c r="Y348" s="74"/>
      <c r="Z348" s="76"/>
    </row>
    <row r="349" spans="24:26" x14ac:dyDescent="0.2">
      <c r="X349" s="76"/>
      <c r="Y349" s="74"/>
      <c r="Z349" s="76"/>
    </row>
    <row r="350" spans="24:26" x14ac:dyDescent="0.2">
      <c r="X350" s="76"/>
      <c r="Y350" s="74"/>
      <c r="Z350" s="76"/>
    </row>
    <row r="351" spans="24:26" x14ac:dyDescent="0.2">
      <c r="X351" s="76"/>
      <c r="Y351" s="74"/>
      <c r="Z351" s="76"/>
    </row>
    <row r="352" spans="24:26" x14ac:dyDescent="0.2">
      <c r="X352" s="76"/>
      <c r="Y352" s="74"/>
      <c r="Z352" s="76"/>
    </row>
    <row r="353" spans="24:26" x14ac:dyDescent="0.2">
      <c r="X353" s="76"/>
      <c r="Y353" s="74"/>
      <c r="Z353" s="76"/>
    </row>
    <row r="354" spans="24:26" x14ac:dyDescent="0.2">
      <c r="X354" s="76"/>
      <c r="Y354" s="74"/>
      <c r="Z354" s="76"/>
    </row>
    <row r="355" spans="24:26" x14ac:dyDescent="0.2">
      <c r="X355" s="76"/>
      <c r="Y355" s="74"/>
      <c r="Z355" s="76"/>
    </row>
    <row r="356" spans="24:26" x14ac:dyDescent="0.2">
      <c r="X356" s="76"/>
      <c r="Y356" s="74"/>
      <c r="Z356" s="76"/>
    </row>
    <row r="357" spans="24:26" x14ac:dyDescent="0.2">
      <c r="X357" s="76"/>
      <c r="Y357" s="74"/>
      <c r="Z357" s="76"/>
    </row>
    <row r="358" spans="24:26" x14ac:dyDescent="0.2">
      <c r="X358" s="76"/>
      <c r="Y358" s="74"/>
      <c r="Z358" s="76"/>
    </row>
    <row r="359" spans="24:26" x14ac:dyDescent="0.2">
      <c r="X359" s="76"/>
      <c r="Y359" s="74"/>
      <c r="Z359" s="76"/>
    </row>
    <row r="360" spans="24:26" x14ac:dyDescent="0.2">
      <c r="X360" s="76"/>
      <c r="Y360" s="74"/>
      <c r="Z360" s="76"/>
    </row>
    <row r="361" spans="24:26" x14ac:dyDescent="0.2">
      <c r="X361" s="76"/>
      <c r="Y361" s="74"/>
      <c r="Z361" s="76"/>
    </row>
    <row r="362" spans="24:26" x14ac:dyDescent="0.2">
      <c r="X362" s="76"/>
      <c r="Y362" s="74"/>
      <c r="Z362" s="76"/>
    </row>
    <row r="363" spans="24:26" x14ac:dyDescent="0.2">
      <c r="X363" s="76"/>
      <c r="Y363" s="74"/>
      <c r="Z363" s="76"/>
    </row>
    <row r="364" spans="24:26" x14ac:dyDescent="0.2">
      <c r="X364" s="76"/>
      <c r="Y364" s="74"/>
      <c r="Z364" s="76"/>
    </row>
    <row r="365" spans="24:26" x14ac:dyDescent="0.2">
      <c r="X365" s="76"/>
      <c r="Y365" s="74"/>
      <c r="Z365" s="76"/>
    </row>
    <row r="366" spans="24:26" x14ac:dyDescent="0.2">
      <c r="X366" s="76"/>
      <c r="Y366" s="74"/>
      <c r="Z366" s="76"/>
    </row>
    <row r="367" spans="24:26" x14ac:dyDescent="0.2">
      <c r="X367" s="76"/>
      <c r="Y367" s="74"/>
      <c r="Z367" s="76"/>
    </row>
    <row r="368" spans="24:26" x14ac:dyDescent="0.2">
      <c r="X368" s="76"/>
      <c r="Y368" s="74"/>
      <c r="Z368" s="76"/>
    </row>
    <row r="369" spans="24:26" x14ac:dyDescent="0.2">
      <c r="X369" s="76"/>
      <c r="Y369" s="74"/>
      <c r="Z369" s="76"/>
    </row>
    <row r="370" spans="24:26" x14ac:dyDescent="0.2">
      <c r="X370" s="76"/>
      <c r="Y370" s="74"/>
      <c r="Z370" s="76"/>
    </row>
    <row r="371" spans="24:26" x14ac:dyDescent="0.2">
      <c r="X371" s="76"/>
      <c r="Y371" s="74"/>
      <c r="Z371" s="76"/>
    </row>
    <row r="372" spans="24:26" x14ac:dyDescent="0.2">
      <c r="X372" s="76"/>
      <c r="Y372" s="74"/>
      <c r="Z372" s="76"/>
    </row>
    <row r="373" spans="24:26" x14ac:dyDescent="0.2">
      <c r="X373" s="76"/>
      <c r="Y373" s="74"/>
      <c r="Z373" s="76"/>
    </row>
    <row r="374" spans="24:26" x14ac:dyDescent="0.2">
      <c r="X374" s="76"/>
      <c r="Y374" s="74"/>
      <c r="Z374" s="76"/>
    </row>
    <row r="375" spans="24:26" x14ac:dyDescent="0.2">
      <c r="X375" s="76"/>
      <c r="Y375" s="74"/>
      <c r="Z375" s="76"/>
    </row>
    <row r="376" spans="24:26" x14ac:dyDescent="0.2">
      <c r="X376" s="76"/>
      <c r="Y376" s="74"/>
      <c r="Z376" s="76"/>
    </row>
    <row r="377" spans="24:26" x14ac:dyDescent="0.2">
      <c r="X377" s="76"/>
      <c r="Y377" s="74"/>
      <c r="Z377" s="76"/>
    </row>
    <row r="378" spans="24:26" x14ac:dyDescent="0.2">
      <c r="X378" s="76"/>
      <c r="Y378" s="74"/>
      <c r="Z378" s="76"/>
    </row>
    <row r="379" spans="24:26" x14ac:dyDescent="0.2">
      <c r="X379" s="76"/>
      <c r="Y379" s="74"/>
      <c r="Z379" s="76"/>
    </row>
    <row r="380" spans="24:26" x14ac:dyDescent="0.2">
      <c r="X380" s="76"/>
      <c r="Y380" s="74"/>
      <c r="Z380" s="76"/>
    </row>
    <row r="381" spans="24:26" x14ac:dyDescent="0.2">
      <c r="X381" s="76"/>
      <c r="Y381" s="74"/>
      <c r="Z381" s="76"/>
    </row>
    <row r="382" spans="24:26" x14ac:dyDescent="0.2">
      <c r="X382" s="76"/>
      <c r="Y382" s="74"/>
      <c r="Z382" s="76"/>
    </row>
    <row r="383" spans="24:26" x14ac:dyDescent="0.2">
      <c r="X383" s="76"/>
      <c r="Y383" s="74"/>
      <c r="Z383" s="76"/>
    </row>
    <row r="384" spans="24:26" x14ac:dyDescent="0.2">
      <c r="X384" s="76"/>
      <c r="Y384" s="74"/>
      <c r="Z384" s="76"/>
    </row>
    <row r="385" spans="24:26" x14ac:dyDescent="0.2">
      <c r="X385" s="76"/>
      <c r="Y385" s="74"/>
      <c r="Z385" s="76"/>
    </row>
    <row r="386" spans="24:26" x14ac:dyDescent="0.2">
      <c r="X386" s="76"/>
      <c r="Y386" s="74"/>
      <c r="Z386" s="76"/>
    </row>
    <row r="387" spans="24:26" x14ac:dyDescent="0.2">
      <c r="X387" s="76"/>
      <c r="Y387" s="74"/>
      <c r="Z387" s="76"/>
    </row>
    <row r="388" spans="24:26" x14ac:dyDescent="0.2">
      <c r="X388" s="76"/>
      <c r="Y388" s="74"/>
      <c r="Z388" s="76"/>
    </row>
    <row r="389" spans="24:26" x14ac:dyDescent="0.2">
      <c r="X389" s="76"/>
      <c r="Y389" s="74"/>
      <c r="Z389" s="76"/>
    </row>
    <row r="390" spans="24:26" x14ac:dyDescent="0.2">
      <c r="X390" s="76"/>
      <c r="Y390" s="74"/>
      <c r="Z390" s="76"/>
    </row>
    <row r="391" spans="24:26" x14ac:dyDescent="0.2">
      <c r="X391" s="76"/>
      <c r="Y391" s="74"/>
      <c r="Z391" s="76"/>
    </row>
    <row r="392" spans="24:26" x14ac:dyDescent="0.2">
      <c r="X392" s="76"/>
      <c r="Y392" s="74"/>
      <c r="Z392" s="76"/>
    </row>
    <row r="393" spans="24:26" x14ac:dyDescent="0.2">
      <c r="X393" s="76"/>
      <c r="Y393" s="74"/>
      <c r="Z393" s="76"/>
    </row>
    <row r="394" spans="24:26" x14ac:dyDescent="0.2">
      <c r="X394" s="76"/>
      <c r="Y394" s="74"/>
      <c r="Z394" s="76"/>
    </row>
    <row r="395" spans="24:26" x14ac:dyDescent="0.2">
      <c r="X395" s="76"/>
      <c r="Y395" s="74"/>
      <c r="Z395" s="76"/>
    </row>
    <row r="396" spans="24:26" x14ac:dyDescent="0.2">
      <c r="X396" s="76"/>
      <c r="Y396" s="74"/>
      <c r="Z396" s="76"/>
    </row>
    <row r="397" spans="24:26" x14ac:dyDescent="0.2">
      <c r="X397" s="76"/>
      <c r="Y397" s="74"/>
      <c r="Z397" s="76"/>
    </row>
    <row r="398" spans="24:26" x14ac:dyDescent="0.2">
      <c r="X398" s="76"/>
      <c r="Y398" s="74"/>
      <c r="Z398" s="76"/>
    </row>
    <row r="399" spans="24:26" x14ac:dyDescent="0.2">
      <c r="X399" s="76"/>
      <c r="Y399" s="74"/>
      <c r="Z399" s="76"/>
    </row>
    <row r="400" spans="24:26" x14ac:dyDescent="0.2">
      <c r="X400" s="76"/>
      <c r="Y400" s="74"/>
      <c r="Z400" s="76"/>
    </row>
    <row r="401" spans="24:26" x14ac:dyDescent="0.2">
      <c r="X401" s="76"/>
      <c r="Y401" s="74"/>
      <c r="Z401" s="76"/>
    </row>
    <row r="402" spans="24:26" x14ac:dyDescent="0.2">
      <c r="X402" s="76"/>
      <c r="Y402" s="74"/>
      <c r="Z402" s="76"/>
    </row>
    <row r="403" spans="24:26" x14ac:dyDescent="0.2">
      <c r="X403" s="76"/>
      <c r="Y403" s="74"/>
      <c r="Z403" s="76"/>
    </row>
    <row r="404" spans="24:26" x14ac:dyDescent="0.2">
      <c r="X404" s="76"/>
      <c r="Y404" s="74"/>
      <c r="Z404" s="76"/>
    </row>
    <row r="405" spans="24:26" x14ac:dyDescent="0.2">
      <c r="X405" s="76"/>
      <c r="Y405" s="74"/>
      <c r="Z405" s="76"/>
    </row>
    <row r="406" spans="24:26" x14ac:dyDescent="0.2">
      <c r="X406" s="76"/>
      <c r="Y406" s="74"/>
      <c r="Z406" s="76"/>
    </row>
    <row r="407" spans="24:26" x14ac:dyDescent="0.2">
      <c r="X407" s="76"/>
      <c r="Y407" s="74"/>
      <c r="Z407" s="76"/>
    </row>
    <row r="408" spans="24:26" x14ac:dyDescent="0.2">
      <c r="X408" s="76"/>
      <c r="Y408" s="74"/>
      <c r="Z408" s="76"/>
    </row>
    <row r="409" spans="24:26" x14ac:dyDescent="0.2">
      <c r="X409" s="76"/>
      <c r="Y409" s="74"/>
      <c r="Z409" s="76"/>
    </row>
    <row r="410" spans="24:26" x14ac:dyDescent="0.2">
      <c r="X410" s="76"/>
      <c r="Y410" s="74"/>
      <c r="Z410" s="76"/>
    </row>
    <row r="411" spans="24:26" x14ac:dyDescent="0.2">
      <c r="X411" s="76"/>
      <c r="Y411" s="74"/>
      <c r="Z411" s="76"/>
    </row>
    <row r="412" spans="24:26" x14ac:dyDescent="0.2">
      <c r="X412" s="76"/>
      <c r="Y412" s="74"/>
      <c r="Z412" s="76"/>
    </row>
    <row r="413" spans="24:26" x14ac:dyDescent="0.2">
      <c r="X413" s="76"/>
      <c r="Y413" s="74"/>
      <c r="Z413" s="76"/>
    </row>
    <row r="414" spans="24:26" x14ac:dyDescent="0.2">
      <c r="X414" s="76"/>
      <c r="Y414" s="74"/>
      <c r="Z414" s="76"/>
    </row>
    <row r="415" spans="24:26" x14ac:dyDescent="0.2">
      <c r="X415" s="76"/>
      <c r="Y415" s="74"/>
      <c r="Z415" s="76"/>
    </row>
    <row r="416" spans="24:26" x14ac:dyDescent="0.2">
      <c r="X416" s="76"/>
      <c r="Y416" s="74"/>
      <c r="Z416" s="76"/>
    </row>
    <row r="417" spans="24:26" x14ac:dyDescent="0.2">
      <c r="X417" s="76"/>
      <c r="Y417" s="74"/>
      <c r="Z417" s="76"/>
    </row>
    <row r="418" spans="24:26" x14ac:dyDescent="0.2">
      <c r="X418" s="76"/>
      <c r="Y418" s="74"/>
      <c r="Z418" s="76"/>
    </row>
    <row r="419" spans="24:26" x14ac:dyDescent="0.2">
      <c r="X419" s="76"/>
      <c r="Y419" s="74"/>
      <c r="Z419" s="76"/>
    </row>
    <row r="420" spans="24:26" x14ac:dyDescent="0.2">
      <c r="X420" s="76"/>
      <c r="Y420" s="74"/>
      <c r="Z420" s="76"/>
    </row>
    <row r="421" spans="24:26" x14ac:dyDescent="0.2">
      <c r="X421" s="76"/>
      <c r="Y421" s="74"/>
      <c r="Z421" s="76"/>
    </row>
    <row r="422" spans="24:26" x14ac:dyDescent="0.2">
      <c r="X422" s="76"/>
      <c r="Y422" s="74"/>
      <c r="Z422" s="76"/>
    </row>
    <row r="423" spans="24:26" x14ac:dyDescent="0.2">
      <c r="X423" s="76"/>
      <c r="Y423" s="74"/>
      <c r="Z423" s="76"/>
    </row>
    <row r="424" spans="24:26" x14ac:dyDescent="0.2">
      <c r="X424" s="76"/>
      <c r="Y424" s="74"/>
      <c r="Z424" s="76"/>
    </row>
    <row r="425" spans="24:26" x14ac:dyDescent="0.2">
      <c r="X425" s="76"/>
      <c r="Y425" s="74"/>
      <c r="Z425" s="76"/>
    </row>
    <row r="426" spans="24:26" x14ac:dyDescent="0.2">
      <c r="X426" s="76"/>
      <c r="Y426" s="74"/>
      <c r="Z426" s="76"/>
    </row>
    <row r="427" spans="24:26" x14ac:dyDescent="0.2">
      <c r="X427" s="76"/>
      <c r="Y427" s="74"/>
      <c r="Z427" s="76"/>
    </row>
    <row r="428" spans="24:26" x14ac:dyDescent="0.2">
      <c r="X428" s="76"/>
      <c r="Y428" s="74"/>
      <c r="Z428" s="76"/>
    </row>
    <row r="429" spans="24:26" x14ac:dyDescent="0.2">
      <c r="X429" s="76"/>
      <c r="Y429" s="74"/>
      <c r="Z429" s="76"/>
    </row>
    <row r="430" spans="24:26" x14ac:dyDescent="0.2">
      <c r="X430" s="76"/>
      <c r="Y430" s="74"/>
      <c r="Z430" s="76"/>
    </row>
    <row r="431" spans="24:26" x14ac:dyDescent="0.2">
      <c r="X431" s="76"/>
      <c r="Y431" s="74"/>
      <c r="Z431" s="76"/>
    </row>
    <row r="432" spans="24:26" x14ac:dyDescent="0.2">
      <c r="X432" s="76"/>
      <c r="Y432" s="74"/>
      <c r="Z432" s="76"/>
    </row>
    <row r="433" spans="24:26" x14ac:dyDescent="0.2">
      <c r="X433" s="76"/>
      <c r="Y433" s="74"/>
      <c r="Z433" s="76"/>
    </row>
    <row r="434" spans="24:26" x14ac:dyDescent="0.2">
      <c r="X434" s="76"/>
      <c r="Y434" s="74"/>
      <c r="Z434" s="76"/>
    </row>
    <row r="435" spans="24:26" x14ac:dyDescent="0.2">
      <c r="X435" s="76"/>
      <c r="Y435" s="74"/>
      <c r="Z435" s="76"/>
    </row>
    <row r="436" spans="24:26" x14ac:dyDescent="0.2">
      <c r="X436" s="76"/>
      <c r="Y436" s="74"/>
      <c r="Z436" s="76"/>
    </row>
    <row r="437" spans="24:26" x14ac:dyDescent="0.2">
      <c r="X437" s="76"/>
      <c r="Y437" s="74"/>
      <c r="Z437" s="76"/>
    </row>
    <row r="438" spans="24:26" x14ac:dyDescent="0.2">
      <c r="X438" s="76"/>
      <c r="Y438" s="74"/>
      <c r="Z438" s="76"/>
    </row>
    <row r="439" spans="24:26" x14ac:dyDescent="0.2">
      <c r="X439" s="76"/>
      <c r="Y439" s="74"/>
      <c r="Z439" s="76"/>
    </row>
    <row r="440" spans="24:26" x14ac:dyDescent="0.2">
      <c r="X440" s="76"/>
      <c r="Y440" s="74"/>
      <c r="Z440" s="76"/>
    </row>
    <row r="441" spans="24:26" x14ac:dyDescent="0.2">
      <c r="X441" s="76"/>
      <c r="Y441" s="74"/>
      <c r="Z441" s="76"/>
    </row>
    <row r="442" spans="24:26" x14ac:dyDescent="0.2">
      <c r="X442" s="76"/>
      <c r="Y442" s="74"/>
      <c r="Z442" s="76"/>
    </row>
    <row r="443" spans="24:26" x14ac:dyDescent="0.2">
      <c r="X443" s="76"/>
      <c r="Y443" s="74"/>
      <c r="Z443" s="76"/>
    </row>
    <row r="444" spans="24:26" x14ac:dyDescent="0.2">
      <c r="X444" s="76"/>
      <c r="Y444" s="74"/>
      <c r="Z444" s="76"/>
    </row>
    <row r="445" spans="24:26" x14ac:dyDescent="0.2">
      <c r="X445" s="76"/>
      <c r="Y445" s="74"/>
      <c r="Z445" s="76"/>
    </row>
    <row r="446" spans="24:26" x14ac:dyDescent="0.2">
      <c r="X446" s="76"/>
      <c r="Y446" s="74"/>
      <c r="Z446" s="76"/>
    </row>
    <row r="447" spans="24:26" x14ac:dyDescent="0.2">
      <c r="X447" s="76"/>
      <c r="Y447" s="74"/>
      <c r="Z447" s="76"/>
    </row>
    <row r="448" spans="24:26" x14ac:dyDescent="0.2">
      <c r="X448" s="76"/>
      <c r="Y448" s="74"/>
      <c r="Z448" s="76"/>
    </row>
    <row r="449" spans="24:26" x14ac:dyDescent="0.2">
      <c r="X449" s="76"/>
      <c r="Y449" s="74"/>
      <c r="Z449" s="76"/>
    </row>
    <row r="450" spans="24:26" x14ac:dyDescent="0.2">
      <c r="X450" s="76"/>
      <c r="Y450" s="74"/>
      <c r="Z450" s="76"/>
    </row>
    <row r="451" spans="24:26" x14ac:dyDescent="0.2">
      <c r="X451" s="76"/>
      <c r="Y451" s="74"/>
      <c r="Z451" s="76"/>
    </row>
    <row r="452" spans="24:26" x14ac:dyDescent="0.2">
      <c r="X452" s="76"/>
      <c r="Y452" s="74"/>
      <c r="Z452" s="76"/>
    </row>
    <row r="453" spans="24:26" x14ac:dyDescent="0.2">
      <c r="X453" s="76"/>
      <c r="Y453" s="74"/>
      <c r="Z453" s="76"/>
    </row>
    <row r="454" spans="24:26" x14ac:dyDescent="0.2">
      <c r="X454" s="76"/>
      <c r="Y454" s="74"/>
      <c r="Z454" s="76"/>
    </row>
    <row r="455" spans="24:26" x14ac:dyDescent="0.2">
      <c r="X455" s="76"/>
      <c r="Y455" s="74"/>
      <c r="Z455" s="76"/>
    </row>
    <row r="456" spans="24:26" x14ac:dyDescent="0.2">
      <c r="X456" s="76"/>
      <c r="Y456" s="74"/>
      <c r="Z456" s="76"/>
    </row>
    <row r="457" spans="24:26" x14ac:dyDescent="0.2">
      <c r="X457" s="76"/>
      <c r="Y457" s="74"/>
      <c r="Z457" s="76"/>
    </row>
    <row r="458" spans="24:26" x14ac:dyDescent="0.2">
      <c r="X458" s="76"/>
      <c r="Y458" s="74"/>
      <c r="Z458" s="76"/>
    </row>
    <row r="459" spans="24:26" x14ac:dyDescent="0.2">
      <c r="X459" s="76"/>
      <c r="Y459" s="74"/>
      <c r="Z459" s="76"/>
    </row>
    <row r="460" spans="24:26" x14ac:dyDescent="0.2">
      <c r="X460" s="76"/>
      <c r="Y460" s="74"/>
      <c r="Z460" s="76"/>
    </row>
    <row r="461" spans="24:26" x14ac:dyDescent="0.2">
      <c r="X461" s="76"/>
      <c r="Y461" s="74"/>
      <c r="Z461" s="76"/>
    </row>
    <row r="462" spans="24:26" x14ac:dyDescent="0.2">
      <c r="X462" s="76"/>
      <c r="Y462" s="74"/>
      <c r="Z462" s="76"/>
    </row>
    <row r="463" spans="24:26" x14ac:dyDescent="0.2">
      <c r="X463" s="76"/>
      <c r="Y463" s="74"/>
      <c r="Z463" s="76"/>
    </row>
    <row r="464" spans="24:26" x14ac:dyDescent="0.2">
      <c r="X464" s="76"/>
      <c r="Y464" s="74"/>
      <c r="Z464" s="76"/>
    </row>
    <row r="465" spans="24:26" x14ac:dyDescent="0.2">
      <c r="X465" s="76"/>
      <c r="Y465" s="74"/>
      <c r="Z465" s="76"/>
    </row>
    <row r="466" spans="24:26" x14ac:dyDescent="0.2">
      <c r="X466" s="76"/>
      <c r="Y466" s="74"/>
      <c r="Z466" s="76"/>
    </row>
    <row r="467" spans="24:26" x14ac:dyDescent="0.2">
      <c r="X467" s="76"/>
      <c r="Y467" s="74"/>
      <c r="Z467" s="76"/>
    </row>
    <row r="468" spans="24:26" x14ac:dyDescent="0.2">
      <c r="X468" s="76"/>
      <c r="Y468" s="74"/>
      <c r="Z468" s="76"/>
    </row>
    <row r="469" spans="24:26" x14ac:dyDescent="0.2">
      <c r="X469" s="76"/>
      <c r="Y469" s="74"/>
      <c r="Z469" s="76"/>
    </row>
    <row r="470" spans="24:26" x14ac:dyDescent="0.2">
      <c r="X470" s="76"/>
      <c r="Y470" s="74"/>
      <c r="Z470" s="76"/>
    </row>
    <row r="471" spans="24:26" x14ac:dyDescent="0.2">
      <c r="X471" s="76"/>
      <c r="Y471" s="74"/>
      <c r="Z471" s="76"/>
    </row>
    <row r="472" spans="24:26" x14ac:dyDescent="0.2">
      <c r="X472" s="76"/>
      <c r="Y472" s="74"/>
      <c r="Z472" s="76"/>
    </row>
    <row r="473" spans="24:26" x14ac:dyDescent="0.2">
      <c r="X473" s="76"/>
      <c r="Y473" s="74"/>
      <c r="Z473" s="76"/>
    </row>
    <row r="474" spans="24:26" x14ac:dyDescent="0.2">
      <c r="X474" s="76"/>
      <c r="Y474" s="74"/>
      <c r="Z474" s="76"/>
    </row>
    <row r="475" spans="24:26" x14ac:dyDescent="0.2">
      <c r="X475" s="76"/>
      <c r="Y475" s="74"/>
      <c r="Z475" s="76"/>
    </row>
    <row r="476" spans="24:26" x14ac:dyDescent="0.2">
      <c r="X476" s="76"/>
      <c r="Y476" s="74"/>
      <c r="Z476" s="76"/>
    </row>
    <row r="477" spans="24:26" x14ac:dyDescent="0.2">
      <c r="X477" s="76"/>
      <c r="Y477" s="74"/>
      <c r="Z477" s="76"/>
    </row>
    <row r="478" spans="24:26" x14ac:dyDescent="0.2">
      <c r="X478" s="76"/>
      <c r="Y478" s="74"/>
      <c r="Z478" s="76"/>
    </row>
    <row r="479" spans="24:26" x14ac:dyDescent="0.2">
      <c r="X479" s="76"/>
      <c r="Y479" s="74"/>
      <c r="Z479" s="76"/>
    </row>
    <row r="480" spans="24:26" x14ac:dyDescent="0.2">
      <c r="X480" s="76"/>
      <c r="Y480" s="74"/>
      <c r="Z480" s="76"/>
    </row>
    <row r="481" spans="24:26" x14ac:dyDescent="0.2">
      <c r="X481" s="76"/>
      <c r="Y481" s="74"/>
      <c r="Z481" s="76"/>
    </row>
    <row r="482" spans="24:26" x14ac:dyDescent="0.2">
      <c r="X482" s="76"/>
      <c r="Y482" s="74"/>
      <c r="Z482" s="76"/>
    </row>
    <row r="483" spans="24:26" x14ac:dyDescent="0.2">
      <c r="X483" s="76"/>
      <c r="Y483" s="74"/>
      <c r="Z483" s="76"/>
    </row>
    <row r="484" spans="24:26" x14ac:dyDescent="0.2">
      <c r="X484" s="76"/>
      <c r="Y484" s="74"/>
      <c r="Z484" s="76"/>
    </row>
    <row r="485" spans="24:26" x14ac:dyDescent="0.2">
      <c r="X485" s="76"/>
      <c r="Y485" s="74"/>
      <c r="Z485" s="76"/>
    </row>
    <row r="486" spans="24:26" x14ac:dyDescent="0.2">
      <c r="X486" s="76"/>
      <c r="Y486" s="74"/>
      <c r="Z486" s="76"/>
    </row>
    <row r="487" spans="24:26" x14ac:dyDescent="0.2">
      <c r="X487" s="76"/>
      <c r="Y487" s="74"/>
      <c r="Z487" s="76"/>
    </row>
    <row r="488" spans="24:26" x14ac:dyDescent="0.2">
      <c r="X488" s="76"/>
      <c r="Y488" s="74"/>
      <c r="Z488" s="76"/>
    </row>
    <row r="489" spans="24:26" x14ac:dyDescent="0.2">
      <c r="X489" s="76"/>
      <c r="Y489" s="74"/>
      <c r="Z489" s="76"/>
    </row>
    <row r="490" spans="24:26" x14ac:dyDescent="0.2">
      <c r="X490" s="76"/>
      <c r="Y490" s="74"/>
      <c r="Z490" s="76"/>
    </row>
    <row r="491" spans="24:26" x14ac:dyDescent="0.2">
      <c r="X491" s="76"/>
      <c r="Y491" s="74"/>
      <c r="Z491" s="76"/>
    </row>
    <row r="492" spans="24:26" x14ac:dyDescent="0.2">
      <c r="X492" s="76"/>
      <c r="Y492" s="74"/>
      <c r="Z492" s="76"/>
    </row>
    <row r="493" spans="24:26" x14ac:dyDescent="0.2">
      <c r="X493" s="76"/>
      <c r="Y493" s="74"/>
      <c r="Z493" s="76"/>
    </row>
    <row r="494" spans="24:26" x14ac:dyDescent="0.2">
      <c r="X494" s="76"/>
      <c r="Y494" s="74"/>
      <c r="Z494" s="76"/>
    </row>
    <row r="495" spans="24:26" x14ac:dyDescent="0.2">
      <c r="X495" s="76"/>
      <c r="Y495" s="74"/>
      <c r="Z495" s="76"/>
    </row>
    <row r="496" spans="24:26" x14ac:dyDescent="0.2">
      <c r="X496" s="76"/>
      <c r="Y496" s="74"/>
      <c r="Z496" s="76"/>
    </row>
    <row r="497" spans="24:26" x14ac:dyDescent="0.2">
      <c r="X497" s="76"/>
      <c r="Y497" s="74"/>
      <c r="Z497" s="76"/>
    </row>
    <row r="498" spans="24:26" x14ac:dyDescent="0.2">
      <c r="X498" s="76"/>
      <c r="Y498" s="74"/>
      <c r="Z498" s="76"/>
    </row>
    <row r="499" spans="24:26" x14ac:dyDescent="0.2">
      <c r="X499" s="76"/>
      <c r="Y499" s="74"/>
      <c r="Z499" s="76"/>
    </row>
    <row r="500" spans="24:26" x14ac:dyDescent="0.2">
      <c r="X500" s="76"/>
      <c r="Y500" s="74"/>
      <c r="Z500" s="76"/>
    </row>
    <row r="501" spans="24:26" x14ac:dyDescent="0.2">
      <c r="X501" s="76"/>
      <c r="Y501" s="74"/>
      <c r="Z501" s="76"/>
    </row>
    <row r="502" spans="24:26" x14ac:dyDescent="0.2">
      <c r="X502" s="76"/>
      <c r="Y502" s="74"/>
      <c r="Z502" s="76"/>
    </row>
    <row r="503" spans="24:26" x14ac:dyDescent="0.2">
      <c r="X503" s="76"/>
      <c r="Y503" s="74"/>
      <c r="Z503" s="76"/>
    </row>
    <row r="504" spans="24:26" x14ac:dyDescent="0.2">
      <c r="X504" s="76"/>
      <c r="Y504" s="74"/>
      <c r="Z504" s="76"/>
    </row>
    <row r="505" spans="24:26" x14ac:dyDescent="0.2">
      <c r="X505" s="76"/>
      <c r="Y505" s="74"/>
      <c r="Z505" s="76"/>
    </row>
    <row r="506" spans="24:26" x14ac:dyDescent="0.2">
      <c r="X506" s="76"/>
      <c r="Y506" s="74"/>
      <c r="Z506" s="76"/>
    </row>
    <row r="507" spans="24:26" x14ac:dyDescent="0.2">
      <c r="X507" s="76"/>
      <c r="Y507" s="74"/>
      <c r="Z507" s="76"/>
    </row>
    <row r="508" spans="24:26" x14ac:dyDescent="0.2">
      <c r="X508" s="76"/>
      <c r="Y508" s="74"/>
      <c r="Z508" s="76"/>
    </row>
    <row r="509" spans="24:26" x14ac:dyDescent="0.2">
      <c r="X509" s="76"/>
      <c r="Y509" s="74"/>
      <c r="Z509" s="76"/>
    </row>
    <row r="510" spans="24:26" x14ac:dyDescent="0.2">
      <c r="X510" s="76"/>
      <c r="Y510" s="74"/>
      <c r="Z510" s="76"/>
    </row>
    <row r="511" spans="24:26" x14ac:dyDescent="0.2">
      <c r="X511" s="76"/>
      <c r="Y511" s="74"/>
      <c r="Z511" s="76"/>
    </row>
    <row r="512" spans="24:26" x14ac:dyDescent="0.2">
      <c r="X512" s="76"/>
      <c r="Y512" s="74"/>
      <c r="Z512" s="76"/>
    </row>
    <row r="513" spans="24:26" x14ac:dyDescent="0.2">
      <c r="X513" s="76"/>
      <c r="Y513" s="74"/>
      <c r="Z513" s="76"/>
    </row>
    <row r="514" spans="24:26" x14ac:dyDescent="0.2">
      <c r="X514" s="76"/>
      <c r="Y514" s="74"/>
      <c r="Z514" s="76"/>
    </row>
    <row r="515" spans="24:26" x14ac:dyDescent="0.2">
      <c r="X515" s="76"/>
      <c r="Y515" s="74"/>
      <c r="Z515" s="76"/>
    </row>
    <row r="516" spans="24:26" x14ac:dyDescent="0.2">
      <c r="X516" s="76"/>
      <c r="Y516" s="74"/>
      <c r="Z516" s="76"/>
    </row>
    <row r="517" spans="24:26" x14ac:dyDescent="0.2">
      <c r="X517" s="76"/>
      <c r="Y517" s="74"/>
      <c r="Z517" s="76"/>
    </row>
    <row r="518" spans="24:26" x14ac:dyDescent="0.2">
      <c r="X518" s="76"/>
      <c r="Y518" s="74"/>
      <c r="Z518" s="76"/>
    </row>
    <row r="519" spans="24:26" x14ac:dyDescent="0.2">
      <c r="X519" s="76"/>
      <c r="Y519" s="74"/>
      <c r="Z519" s="76"/>
    </row>
    <row r="520" spans="24:26" x14ac:dyDescent="0.2">
      <c r="X520" s="76"/>
      <c r="Y520" s="74"/>
      <c r="Z520" s="76"/>
    </row>
    <row r="521" spans="24:26" x14ac:dyDescent="0.2">
      <c r="X521" s="76"/>
      <c r="Y521" s="74"/>
      <c r="Z521" s="76"/>
    </row>
    <row r="522" spans="24:26" x14ac:dyDescent="0.2">
      <c r="X522" s="76"/>
      <c r="Y522" s="74"/>
      <c r="Z522" s="76"/>
    </row>
    <row r="523" spans="24:26" x14ac:dyDescent="0.2">
      <c r="X523" s="76"/>
      <c r="Y523" s="74"/>
      <c r="Z523" s="76"/>
    </row>
    <row r="524" spans="24:26" x14ac:dyDescent="0.2">
      <c r="X524" s="76"/>
      <c r="Y524" s="74"/>
      <c r="Z524" s="76"/>
    </row>
    <row r="525" spans="24:26" x14ac:dyDescent="0.2">
      <c r="X525" s="76"/>
      <c r="Y525" s="74"/>
      <c r="Z525" s="76"/>
    </row>
    <row r="526" spans="24:26" x14ac:dyDescent="0.2">
      <c r="X526" s="76"/>
      <c r="Y526" s="74"/>
      <c r="Z526" s="76"/>
    </row>
    <row r="527" spans="24:26" x14ac:dyDescent="0.2">
      <c r="X527" s="76"/>
      <c r="Y527" s="74"/>
      <c r="Z527" s="76"/>
    </row>
    <row r="528" spans="24:26" x14ac:dyDescent="0.2">
      <c r="X528" s="76"/>
      <c r="Y528" s="74"/>
      <c r="Z528" s="76"/>
    </row>
    <row r="529" spans="24:26" x14ac:dyDescent="0.2">
      <c r="X529" s="76"/>
      <c r="Y529" s="74"/>
      <c r="Z529" s="76"/>
    </row>
    <row r="530" spans="24:26" x14ac:dyDescent="0.2">
      <c r="X530" s="76"/>
      <c r="Y530" s="74"/>
      <c r="Z530" s="76"/>
    </row>
    <row r="531" spans="24:26" x14ac:dyDescent="0.2">
      <c r="X531" s="76"/>
      <c r="Y531" s="74"/>
      <c r="Z531" s="76"/>
    </row>
    <row r="532" spans="24:26" x14ac:dyDescent="0.2">
      <c r="X532" s="76"/>
      <c r="Y532" s="74"/>
      <c r="Z532" s="76"/>
    </row>
    <row r="533" spans="24:26" x14ac:dyDescent="0.2">
      <c r="X533" s="76"/>
      <c r="Y533" s="74"/>
      <c r="Z533" s="76"/>
    </row>
    <row r="534" spans="24:26" x14ac:dyDescent="0.2">
      <c r="X534" s="76"/>
      <c r="Y534" s="74"/>
      <c r="Z534" s="76"/>
    </row>
    <row r="535" spans="24:26" x14ac:dyDescent="0.2">
      <c r="X535" s="76"/>
      <c r="Y535" s="74"/>
      <c r="Z535" s="76"/>
    </row>
    <row r="536" spans="24:26" x14ac:dyDescent="0.2">
      <c r="X536" s="76"/>
      <c r="Y536" s="74"/>
      <c r="Z536" s="76"/>
    </row>
    <row r="537" spans="24:26" x14ac:dyDescent="0.2">
      <c r="X537" s="76"/>
      <c r="Y537" s="74"/>
      <c r="Z537" s="76"/>
    </row>
    <row r="538" spans="24:26" x14ac:dyDescent="0.2">
      <c r="X538" s="76"/>
      <c r="Y538" s="74"/>
      <c r="Z538" s="76"/>
    </row>
    <row r="539" spans="24:26" x14ac:dyDescent="0.2">
      <c r="X539" s="76"/>
      <c r="Y539" s="74"/>
      <c r="Z539" s="76"/>
    </row>
    <row r="540" spans="24:26" x14ac:dyDescent="0.2">
      <c r="X540" s="76"/>
      <c r="Y540" s="74"/>
      <c r="Z540" s="76"/>
    </row>
    <row r="541" spans="24:26" x14ac:dyDescent="0.2">
      <c r="X541" s="76"/>
      <c r="Y541" s="74"/>
      <c r="Z541" s="76"/>
    </row>
    <row r="542" spans="24:26" x14ac:dyDescent="0.2">
      <c r="X542" s="76"/>
      <c r="Y542" s="74"/>
      <c r="Z542" s="76"/>
    </row>
    <row r="543" spans="24:26" x14ac:dyDescent="0.2">
      <c r="X543" s="76"/>
      <c r="Y543" s="74"/>
      <c r="Z543" s="76"/>
    </row>
    <row r="544" spans="24:26" x14ac:dyDescent="0.2">
      <c r="X544" s="76"/>
      <c r="Y544" s="74"/>
      <c r="Z544" s="76"/>
    </row>
    <row r="545" spans="24:26" x14ac:dyDescent="0.2">
      <c r="X545" s="76"/>
      <c r="Y545" s="74"/>
      <c r="Z545" s="76"/>
    </row>
    <row r="546" spans="24:26" x14ac:dyDescent="0.2">
      <c r="X546" s="76"/>
      <c r="Y546" s="74"/>
      <c r="Z546" s="76"/>
    </row>
    <row r="547" spans="24:26" x14ac:dyDescent="0.2">
      <c r="X547" s="76"/>
      <c r="Y547" s="74"/>
      <c r="Z547" s="76"/>
    </row>
    <row r="548" spans="24:26" x14ac:dyDescent="0.2">
      <c r="X548" s="76"/>
      <c r="Y548" s="74"/>
      <c r="Z548" s="76"/>
    </row>
    <row r="549" spans="24:26" x14ac:dyDescent="0.2">
      <c r="X549" s="76"/>
      <c r="Y549" s="74"/>
      <c r="Z549" s="76"/>
    </row>
    <row r="550" spans="24:26" x14ac:dyDescent="0.2">
      <c r="X550" s="76"/>
      <c r="Y550" s="74"/>
      <c r="Z550" s="76"/>
    </row>
    <row r="551" spans="24:26" x14ac:dyDescent="0.2">
      <c r="X551" s="76"/>
      <c r="Y551" s="74"/>
      <c r="Z551" s="76"/>
    </row>
    <row r="552" spans="24:26" x14ac:dyDescent="0.2">
      <c r="X552" s="76"/>
      <c r="Y552" s="74"/>
      <c r="Z552" s="76"/>
    </row>
    <row r="553" spans="24:26" x14ac:dyDescent="0.2">
      <c r="X553" s="76"/>
      <c r="Y553" s="74"/>
      <c r="Z553" s="76"/>
    </row>
    <row r="554" spans="24:26" x14ac:dyDescent="0.2">
      <c r="X554" s="76"/>
      <c r="Y554" s="74"/>
      <c r="Z554" s="76"/>
    </row>
    <row r="555" spans="24:26" x14ac:dyDescent="0.2">
      <c r="X555" s="76"/>
      <c r="Y555" s="74"/>
      <c r="Z555" s="76"/>
    </row>
    <row r="556" spans="24:26" x14ac:dyDescent="0.2">
      <c r="X556" s="76"/>
      <c r="Y556" s="74"/>
      <c r="Z556" s="76"/>
    </row>
    <row r="557" spans="24:26" x14ac:dyDescent="0.2">
      <c r="X557" s="76"/>
      <c r="Y557" s="74"/>
      <c r="Z557" s="76"/>
    </row>
    <row r="558" spans="24:26" x14ac:dyDescent="0.2">
      <c r="X558" s="76"/>
      <c r="Y558" s="74"/>
      <c r="Z558" s="76"/>
    </row>
    <row r="559" spans="24:26" x14ac:dyDescent="0.2">
      <c r="X559" s="76"/>
      <c r="Y559" s="74"/>
      <c r="Z559" s="76"/>
    </row>
    <row r="560" spans="24:26" x14ac:dyDescent="0.2">
      <c r="X560" s="76"/>
      <c r="Y560" s="74"/>
      <c r="Z560" s="76"/>
    </row>
    <row r="561" spans="24:26" x14ac:dyDescent="0.2">
      <c r="X561" s="76"/>
      <c r="Y561" s="74"/>
      <c r="Z561" s="76"/>
    </row>
    <row r="562" spans="24:26" x14ac:dyDescent="0.2">
      <c r="X562" s="76"/>
      <c r="Y562" s="74"/>
      <c r="Z562" s="76"/>
    </row>
    <row r="563" spans="24:26" x14ac:dyDescent="0.2">
      <c r="X563" s="76"/>
      <c r="Y563" s="74"/>
      <c r="Z563" s="76"/>
    </row>
    <row r="564" spans="24:26" x14ac:dyDescent="0.2">
      <c r="X564" s="76"/>
      <c r="Y564" s="74"/>
      <c r="Z564" s="76"/>
    </row>
    <row r="565" spans="24:26" x14ac:dyDescent="0.2">
      <c r="X565" s="76"/>
      <c r="Y565" s="74"/>
      <c r="Z565" s="76"/>
    </row>
    <row r="566" spans="24:26" x14ac:dyDescent="0.2">
      <c r="X566" s="76"/>
      <c r="Y566" s="74"/>
      <c r="Z566" s="76"/>
    </row>
    <row r="567" spans="24:26" x14ac:dyDescent="0.2">
      <c r="X567" s="76"/>
      <c r="Y567" s="74"/>
      <c r="Z567" s="76"/>
    </row>
    <row r="568" spans="24:26" x14ac:dyDescent="0.2">
      <c r="X568" s="76"/>
      <c r="Y568" s="74"/>
      <c r="Z568" s="76"/>
    </row>
    <row r="569" spans="24:26" x14ac:dyDescent="0.2">
      <c r="X569" s="76"/>
      <c r="Y569" s="74"/>
      <c r="Z569" s="76"/>
    </row>
    <row r="570" spans="24:26" x14ac:dyDescent="0.2">
      <c r="X570" s="76"/>
      <c r="Y570" s="74"/>
      <c r="Z570" s="76"/>
    </row>
    <row r="571" spans="24:26" x14ac:dyDescent="0.2">
      <c r="X571" s="76"/>
      <c r="Y571" s="74"/>
      <c r="Z571" s="76"/>
    </row>
    <row r="572" spans="24:26" x14ac:dyDescent="0.2">
      <c r="X572" s="76"/>
      <c r="Y572" s="74"/>
      <c r="Z572" s="76"/>
    </row>
    <row r="573" spans="24:26" x14ac:dyDescent="0.2">
      <c r="X573" s="76"/>
      <c r="Y573" s="74"/>
      <c r="Z573" s="76"/>
    </row>
    <row r="574" spans="24:26" x14ac:dyDescent="0.2">
      <c r="X574" s="76"/>
      <c r="Y574" s="74"/>
      <c r="Z574" s="76"/>
    </row>
    <row r="575" spans="24:26" x14ac:dyDescent="0.2">
      <c r="X575" s="76"/>
      <c r="Y575" s="74"/>
      <c r="Z575" s="76"/>
    </row>
    <row r="576" spans="24:26" x14ac:dyDescent="0.2">
      <c r="X576" s="76"/>
      <c r="Y576" s="74"/>
      <c r="Z576" s="76"/>
    </row>
    <row r="577" spans="24:26" x14ac:dyDescent="0.2">
      <c r="X577" s="76"/>
      <c r="Y577" s="74"/>
      <c r="Z577" s="76"/>
    </row>
    <row r="578" spans="24:26" x14ac:dyDescent="0.2">
      <c r="X578" s="76"/>
      <c r="Y578" s="74"/>
      <c r="Z578" s="76"/>
    </row>
    <row r="579" spans="24:26" x14ac:dyDescent="0.2">
      <c r="X579" s="76"/>
      <c r="Y579" s="74"/>
      <c r="Z579" s="76"/>
    </row>
    <row r="580" spans="24:26" x14ac:dyDescent="0.2">
      <c r="X580" s="76"/>
      <c r="Y580" s="74"/>
      <c r="Z580" s="76"/>
    </row>
    <row r="581" spans="24:26" x14ac:dyDescent="0.2">
      <c r="X581" s="76"/>
      <c r="Y581" s="74"/>
      <c r="Z581" s="76"/>
    </row>
    <row r="582" spans="24:26" x14ac:dyDescent="0.2">
      <c r="X582" s="76"/>
      <c r="Y582" s="74"/>
      <c r="Z582" s="76"/>
    </row>
    <row r="583" spans="24:26" x14ac:dyDescent="0.2">
      <c r="X583" s="76"/>
      <c r="Y583" s="74"/>
      <c r="Z583" s="76"/>
    </row>
    <row r="584" spans="24:26" x14ac:dyDescent="0.2">
      <c r="X584" s="76"/>
      <c r="Y584" s="74"/>
      <c r="Z584" s="76"/>
    </row>
    <row r="585" spans="24:26" x14ac:dyDescent="0.2">
      <c r="X585" s="76"/>
      <c r="Y585" s="74"/>
      <c r="Z585" s="76"/>
    </row>
    <row r="586" spans="24:26" x14ac:dyDescent="0.2">
      <c r="X586" s="76"/>
      <c r="Y586" s="74"/>
      <c r="Z586" s="76"/>
    </row>
    <row r="587" spans="24:26" x14ac:dyDescent="0.2">
      <c r="X587" s="76"/>
      <c r="Y587" s="74"/>
      <c r="Z587" s="76"/>
    </row>
    <row r="588" spans="24:26" x14ac:dyDescent="0.2">
      <c r="X588" s="76"/>
      <c r="Y588" s="74"/>
      <c r="Z588" s="76"/>
    </row>
    <row r="589" spans="24:26" x14ac:dyDescent="0.2">
      <c r="X589" s="76"/>
      <c r="Y589" s="74"/>
      <c r="Z589" s="76"/>
    </row>
    <row r="590" spans="24:26" x14ac:dyDescent="0.2">
      <c r="X590" s="76"/>
      <c r="Y590" s="74"/>
      <c r="Z590" s="76"/>
    </row>
    <row r="591" spans="24:26" x14ac:dyDescent="0.2">
      <c r="X591" s="76"/>
      <c r="Y591" s="74"/>
      <c r="Z591" s="76"/>
    </row>
    <row r="592" spans="24:26" x14ac:dyDescent="0.2">
      <c r="X592" s="76"/>
      <c r="Y592" s="74"/>
      <c r="Z592" s="76"/>
    </row>
    <row r="593" spans="24:26" x14ac:dyDescent="0.2">
      <c r="X593" s="76"/>
      <c r="Y593" s="74"/>
      <c r="Z593" s="76"/>
    </row>
    <row r="594" spans="24:26" x14ac:dyDescent="0.2">
      <c r="X594" s="76"/>
      <c r="Y594" s="74"/>
      <c r="Z594" s="76"/>
    </row>
    <row r="595" spans="24:26" x14ac:dyDescent="0.2">
      <c r="X595" s="76"/>
      <c r="Y595" s="74"/>
      <c r="Z595" s="76"/>
    </row>
    <row r="596" spans="24:26" x14ac:dyDescent="0.2">
      <c r="X596" s="76"/>
      <c r="Y596" s="74"/>
      <c r="Z596" s="76"/>
    </row>
    <row r="597" spans="24:26" x14ac:dyDescent="0.2">
      <c r="X597" s="76"/>
      <c r="Y597" s="74"/>
      <c r="Z597" s="76"/>
    </row>
    <row r="598" spans="24:26" x14ac:dyDescent="0.2">
      <c r="X598" s="76"/>
      <c r="Y598" s="74"/>
      <c r="Z598" s="76"/>
    </row>
    <row r="599" spans="24:26" x14ac:dyDescent="0.2">
      <c r="X599" s="76"/>
      <c r="Y599" s="74"/>
      <c r="Z599" s="76"/>
    </row>
    <row r="600" spans="24:26" x14ac:dyDescent="0.2">
      <c r="X600" s="76"/>
      <c r="Y600" s="74"/>
      <c r="Z600" s="76"/>
    </row>
    <row r="601" spans="24:26" x14ac:dyDescent="0.2">
      <c r="X601" s="76"/>
      <c r="Y601" s="74"/>
      <c r="Z601" s="76"/>
    </row>
    <row r="602" spans="24:26" x14ac:dyDescent="0.2">
      <c r="X602" s="76"/>
      <c r="Y602" s="74"/>
      <c r="Z602" s="76"/>
    </row>
    <row r="603" spans="24:26" x14ac:dyDescent="0.2">
      <c r="X603" s="76"/>
      <c r="Y603" s="74"/>
      <c r="Z603" s="76"/>
    </row>
    <row r="604" spans="24:26" x14ac:dyDescent="0.2">
      <c r="X604" s="76"/>
      <c r="Y604" s="74"/>
      <c r="Z604" s="76"/>
    </row>
    <row r="605" spans="24:26" x14ac:dyDescent="0.2">
      <c r="X605" s="76"/>
      <c r="Y605" s="74"/>
      <c r="Z605" s="76"/>
    </row>
    <row r="606" spans="24:26" x14ac:dyDescent="0.2">
      <c r="X606" s="76"/>
      <c r="Y606" s="74"/>
      <c r="Z606" s="76"/>
    </row>
    <row r="607" spans="24:26" x14ac:dyDescent="0.2">
      <c r="X607" s="76"/>
      <c r="Y607" s="74"/>
      <c r="Z607" s="76"/>
    </row>
    <row r="608" spans="24:26" x14ac:dyDescent="0.2">
      <c r="X608" s="76"/>
      <c r="Y608" s="74"/>
      <c r="Z608" s="76"/>
    </row>
    <row r="609" spans="24:26" x14ac:dyDescent="0.2">
      <c r="X609" s="76"/>
      <c r="Y609" s="74"/>
      <c r="Z609" s="76"/>
    </row>
    <row r="610" spans="24:26" x14ac:dyDescent="0.2">
      <c r="X610" s="76"/>
      <c r="Y610" s="74"/>
      <c r="Z610" s="76"/>
    </row>
    <row r="611" spans="24:26" x14ac:dyDescent="0.2">
      <c r="X611" s="76"/>
      <c r="Y611" s="74"/>
      <c r="Z611" s="76"/>
    </row>
    <row r="612" spans="24:26" x14ac:dyDescent="0.2">
      <c r="X612" s="76"/>
      <c r="Y612" s="74"/>
      <c r="Z612" s="76"/>
    </row>
    <row r="613" spans="24:26" x14ac:dyDescent="0.2">
      <c r="X613" s="76"/>
      <c r="Y613" s="74"/>
      <c r="Z613" s="76"/>
    </row>
    <row r="614" spans="24:26" x14ac:dyDescent="0.2">
      <c r="X614" s="76"/>
      <c r="Y614" s="74"/>
      <c r="Z614" s="76"/>
    </row>
    <row r="615" spans="24:26" x14ac:dyDescent="0.2">
      <c r="X615" s="76"/>
      <c r="Y615" s="74"/>
      <c r="Z615" s="76"/>
    </row>
    <row r="616" spans="24:26" x14ac:dyDescent="0.2">
      <c r="X616" s="76"/>
      <c r="Y616" s="74"/>
      <c r="Z616" s="76"/>
    </row>
    <row r="617" spans="24:26" x14ac:dyDescent="0.2">
      <c r="X617" s="76"/>
      <c r="Y617" s="74"/>
      <c r="Z617" s="76"/>
    </row>
    <row r="618" spans="24:26" x14ac:dyDescent="0.2">
      <c r="X618" s="76"/>
      <c r="Y618" s="74"/>
      <c r="Z618" s="76"/>
    </row>
    <row r="619" spans="24:26" x14ac:dyDescent="0.2">
      <c r="X619" s="76"/>
      <c r="Y619" s="74"/>
      <c r="Z619" s="76"/>
    </row>
    <row r="620" spans="24:26" x14ac:dyDescent="0.2">
      <c r="X620" s="76"/>
      <c r="Y620" s="74"/>
      <c r="Z620" s="76"/>
    </row>
    <row r="621" spans="24:26" x14ac:dyDescent="0.2">
      <c r="X621" s="76"/>
      <c r="Y621" s="74"/>
      <c r="Z621" s="76"/>
    </row>
    <row r="622" spans="24:26" x14ac:dyDescent="0.2">
      <c r="X622" s="76"/>
      <c r="Y622" s="74"/>
      <c r="Z622" s="76"/>
    </row>
    <row r="623" spans="24:26" x14ac:dyDescent="0.2">
      <c r="X623" s="76"/>
      <c r="Y623" s="74"/>
      <c r="Z623" s="76"/>
    </row>
    <row r="624" spans="24:26" x14ac:dyDescent="0.2">
      <c r="X624" s="76"/>
      <c r="Y624" s="74"/>
      <c r="Z624" s="76"/>
    </row>
    <row r="625" spans="24:26" x14ac:dyDescent="0.2">
      <c r="X625" s="76"/>
      <c r="Y625" s="74"/>
      <c r="Z625" s="76"/>
    </row>
    <row r="626" spans="24:26" x14ac:dyDescent="0.2">
      <c r="X626" s="76"/>
      <c r="Y626" s="74"/>
      <c r="Z626" s="76"/>
    </row>
    <row r="627" spans="24:26" x14ac:dyDescent="0.2">
      <c r="X627" s="76"/>
      <c r="Y627" s="74"/>
      <c r="Z627" s="76"/>
    </row>
    <row r="628" spans="24:26" x14ac:dyDescent="0.2">
      <c r="X628" s="76"/>
      <c r="Y628" s="74"/>
      <c r="Z628" s="76"/>
    </row>
    <row r="629" spans="24:26" x14ac:dyDescent="0.2">
      <c r="X629" s="76"/>
      <c r="Y629" s="74"/>
      <c r="Z629" s="76"/>
    </row>
    <row r="630" spans="24:26" x14ac:dyDescent="0.2">
      <c r="X630" s="76"/>
      <c r="Y630" s="74"/>
      <c r="Z630" s="76"/>
    </row>
    <row r="631" spans="24:26" x14ac:dyDescent="0.2">
      <c r="X631" s="76"/>
      <c r="Y631" s="74"/>
      <c r="Z631" s="76"/>
    </row>
    <row r="632" spans="24:26" x14ac:dyDescent="0.2">
      <c r="X632" s="76"/>
      <c r="Y632" s="74"/>
      <c r="Z632" s="76"/>
    </row>
    <row r="633" spans="24:26" x14ac:dyDescent="0.2">
      <c r="X633" s="76"/>
      <c r="Y633" s="74"/>
      <c r="Z633" s="76"/>
    </row>
    <row r="634" spans="24:26" x14ac:dyDescent="0.2">
      <c r="X634" s="76"/>
      <c r="Y634" s="74"/>
      <c r="Z634" s="76"/>
    </row>
    <row r="635" spans="24:26" x14ac:dyDescent="0.2">
      <c r="X635" s="76"/>
      <c r="Y635" s="74"/>
      <c r="Z635" s="76"/>
    </row>
    <row r="636" spans="24:26" x14ac:dyDescent="0.2">
      <c r="X636" s="76"/>
      <c r="Y636" s="74"/>
      <c r="Z636" s="76"/>
    </row>
    <row r="637" spans="24:26" x14ac:dyDescent="0.2">
      <c r="X637" s="76"/>
      <c r="Y637" s="74"/>
      <c r="Z637" s="76"/>
    </row>
    <row r="638" spans="24:26" x14ac:dyDescent="0.2">
      <c r="X638" s="76"/>
      <c r="Y638" s="74"/>
      <c r="Z638" s="76"/>
    </row>
    <row r="639" spans="24:26" x14ac:dyDescent="0.2">
      <c r="X639" s="76"/>
      <c r="Y639" s="74"/>
      <c r="Z639" s="76"/>
    </row>
    <row r="640" spans="24:26" x14ac:dyDescent="0.2">
      <c r="X640" s="76"/>
      <c r="Y640" s="74"/>
      <c r="Z640" s="76"/>
    </row>
    <row r="641" spans="24:26" x14ac:dyDescent="0.2">
      <c r="X641" s="76"/>
      <c r="Y641" s="74"/>
      <c r="Z641" s="76"/>
    </row>
    <row r="642" spans="24:26" x14ac:dyDescent="0.2">
      <c r="X642" s="76"/>
      <c r="Y642" s="74"/>
      <c r="Z642" s="76"/>
    </row>
    <row r="643" spans="24:26" x14ac:dyDescent="0.2">
      <c r="X643" s="76"/>
      <c r="Y643" s="74"/>
      <c r="Z643" s="76"/>
    </row>
    <row r="644" spans="24:26" x14ac:dyDescent="0.2">
      <c r="X644" s="76"/>
      <c r="Y644" s="74"/>
      <c r="Z644" s="76"/>
    </row>
    <row r="645" spans="24:26" x14ac:dyDescent="0.2">
      <c r="X645" s="76"/>
      <c r="Y645" s="74"/>
      <c r="Z645" s="76"/>
    </row>
    <row r="646" spans="24:26" x14ac:dyDescent="0.2">
      <c r="X646" s="76"/>
      <c r="Y646" s="74"/>
      <c r="Z646" s="76"/>
    </row>
    <row r="647" spans="24:26" x14ac:dyDescent="0.2">
      <c r="X647" s="76"/>
      <c r="Y647" s="74"/>
      <c r="Z647" s="76"/>
    </row>
    <row r="648" spans="24:26" x14ac:dyDescent="0.2">
      <c r="X648" s="76"/>
      <c r="Y648" s="74"/>
      <c r="Z648" s="76"/>
    </row>
    <row r="649" spans="24:26" x14ac:dyDescent="0.2">
      <c r="X649" s="76"/>
      <c r="Y649" s="74"/>
      <c r="Z649" s="76"/>
    </row>
    <row r="650" spans="24:26" x14ac:dyDescent="0.2">
      <c r="X650" s="76"/>
      <c r="Y650" s="74"/>
      <c r="Z650" s="76"/>
    </row>
    <row r="651" spans="24:26" x14ac:dyDescent="0.2">
      <c r="X651" s="76"/>
      <c r="Y651" s="74"/>
      <c r="Z651" s="76"/>
    </row>
    <row r="652" spans="24:26" x14ac:dyDescent="0.2">
      <c r="X652" s="76"/>
      <c r="Y652" s="74"/>
      <c r="Z652" s="76"/>
    </row>
    <row r="653" spans="24:26" x14ac:dyDescent="0.2">
      <c r="X653" s="76"/>
      <c r="Y653" s="74"/>
      <c r="Z653" s="76"/>
    </row>
    <row r="654" spans="24:26" x14ac:dyDescent="0.2">
      <c r="X654" s="76"/>
      <c r="Y654" s="74"/>
      <c r="Z654" s="76"/>
    </row>
    <row r="655" spans="24:26" x14ac:dyDescent="0.2">
      <c r="X655" s="76"/>
      <c r="Y655" s="74"/>
      <c r="Z655" s="76"/>
    </row>
    <row r="656" spans="24:26" x14ac:dyDescent="0.2">
      <c r="X656" s="76"/>
      <c r="Y656" s="74"/>
      <c r="Z656" s="76"/>
    </row>
    <row r="657" spans="24:26" x14ac:dyDescent="0.2">
      <c r="X657" s="76"/>
      <c r="Y657" s="74"/>
      <c r="Z657" s="76"/>
    </row>
    <row r="658" spans="24:26" x14ac:dyDescent="0.2">
      <c r="X658" s="76"/>
      <c r="Y658" s="74"/>
      <c r="Z658" s="76"/>
    </row>
    <row r="659" spans="24:26" x14ac:dyDescent="0.2">
      <c r="X659" s="76"/>
      <c r="Y659" s="74"/>
      <c r="Z659" s="76"/>
    </row>
    <row r="660" spans="24:26" x14ac:dyDescent="0.2">
      <c r="X660" s="76"/>
      <c r="Y660" s="74"/>
      <c r="Z660" s="76"/>
    </row>
    <row r="661" spans="24:26" x14ac:dyDescent="0.2">
      <c r="X661" s="76"/>
      <c r="Y661" s="74"/>
      <c r="Z661" s="76"/>
    </row>
    <row r="662" spans="24:26" x14ac:dyDescent="0.2">
      <c r="X662" s="76"/>
      <c r="Y662" s="74"/>
      <c r="Z662" s="76"/>
    </row>
    <row r="663" spans="24:26" x14ac:dyDescent="0.2">
      <c r="X663" s="76"/>
      <c r="Y663" s="74"/>
      <c r="Z663" s="76"/>
    </row>
    <row r="664" spans="24:26" x14ac:dyDescent="0.2">
      <c r="X664" s="76"/>
      <c r="Y664" s="74"/>
      <c r="Z664" s="76"/>
    </row>
    <row r="665" spans="24:26" x14ac:dyDescent="0.2">
      <c r="X665" s="76"/>
      <c r="Y665" s="74"/>
      <c r="Z665" s="76"/>
    </row>
    <row r="666" spans="24:26" x14ac:dyDescent="0.2">
      <c r="X666" s="76"/>
      <c r="Y666" s="74"/>
      <c r="Z666" s="76"/>
    </row>
    <row r="667" spans="24:26" x14ac:dyDescent="0.2">
      <c r="X667" s="76"/>
      <c r="Y667" s="74"/>
      <c r="Z667" s="76"/>
    </row>
    <row r="668" spans="24:26" x14ac:dyDescent="0.2">
      <c r="X668" s="76"/>
      <c r="Y668" s="74"/>
      <c r="Z668" s="76"/>
    </row>
    <row r="669" spans="24:26" x14ac:dyDescent="0.2">
      <c r="X669" s="76"/>
      <c r="Y669" s="74"/>
      <c r="Z669" s="76"/>
    </row>
    <row r="670" spans="24:26" x14ac:dyDescent="0.2">
      <c r="X670" s="76"/>
      <c r="Y670" s="74"/>
      <c r="Z670" s="76"/>
    </row>
    <row r="671" spans="24:26" x14ac:dyDescent="0.2">
      <c r="X671" s="76"/>
      <c r="Y671" s="74"/>
      <c r="Z671" s="76"/>
    </row>
    <row r="672" spans="24:26" x14ac:dyDescent="0.2">
      <c r="X672" s="76"/>
      <c r="Y672" s="74"/>
      <c r="Z672" s="76"/>
    </row>
    <row r="673" spans="24:26" x14ac:dyDescent="0.2">
      <c r="X673" s="76"/>
      <c r="Y673" s="74"/>
      <c r="Z673" s="76"/>
    </row>
    <row r="674" spans="24:26" x14ac:dyDescent="0.2">
      <c r="X674" s="76"/>
      <c r="Y674" s="74"/>
      <c r="Z674" s="76"/>
    </row>
    <row r="675" spans="24:26" x14ac:dyDescent="0.2">
      <c r="X675" s="76"/>
      <c r="Y675" s="74"/>
      <c r="Z675" s="76"/>
    </row>
    <row r="676" spans="24:26" x14ac:dyDescent="0.2">
      <c r="X676" s="76"/>
      <c r="Y676" s="74"/>
      <c r="Z676" s="76"/>
    </row>
    <row r="677" spans="24:26" x14ac:dyDescent="0.2">
      <c r="X677" s="76"/>
      <c r="Y677" s="74"/>
      <c r="Z677" s="76"/>
    </row>
    <row r="678" spans="24:26" x14ac:dyDescent="0.2">
      <c r="X678" s="76"/>
      <c r="Y678" s="74"/>
      <c r="Z678" s="76"/>
    </row>
    <row r="679" spans="24:26" x14ac:dyDescent="0.2">
      <c r="X679" s="76"/>
      <c r="Y679" s="74"/>
      <c r="Z679" s="76"/>
    </row>
    <row r="680" spans="24:26" x14ac:dyDescent="0.2">
      <c r="X680" s="76"/>
      <c r="Y680" s="74"/>
      <c r="Z680" s="76"/>
    </row>
    <row r="681" spans="24:26" x14ac:dyDescent="0.2">
      <c r="X681" s="76"/>
      <c r="Y681" s="74"/>
      <c r="Z681" s="76"/>
    </row>
    <row r="682" spans="24:26" x14ac:dyDescent="0.2">
      <c r="X682" s="76"/>
      <c r="Y682" s="74"/>
      <c r="Z682" s="76"/>
    </row>
    <row r="683" spans="24:26" x14ac:dyDescent="0.2">
      <c r="X683" s="76"/>
      <c r="Y683" s="74"/>
      <c r="Z683" s="76"/>
    </row>
    <row r="684" spans="24:26" x14ac:dyDescent="0.2">
      <c r="X684" s="76"/>
      <c r="Y684" s="74"/>
      <c r="Z684" s="76"/>
    </row>
    <row r="685" spans="24:26" x14ac:dyDescent="0.2">
      <c r="X685" s="76"/>
      <c r="Y685" s="74"/>
      <c r="Z685" s="76"/>
    </row>
    <row r="686" spans="24:26" x14ac:dyDescent="0.2">
      <c r="X686" s="76"/>
      <c r="Y686" s="74"/>
      <c r="Z686" s="76"/>
    </row>
    <row r="687" spans="24:26" x14ac:dyDescent="0.2">
      <c r="X687" s="76"/>
      <c r="Y687" s="74"/>
      <c r="Z687" s="76"/>
    </row>
    <row r="688" spans="24:26" x14ac:dyDescent="0.2">
      <c r="X688" s="76"/>
      <c r="Y688" s="74"/>
      <c r="Z688" s="76"/>
    </row>
    <row r="689" spans="24:26" x14ac:dyDescent="0.2">
      <c r="X689" s="76"/>
      <c r="Y689" s="74"/>
      <c r="Z689" s="76"/>
    </row>
    <row r="690" spans="24:26" x14ac:dyDescent="0.2">
      <c r="X690" s="76"/>
      <c r="Y690" s="74"/>
      <c r="Z690" s="76"/>
    </row>
    <row r="691" spans="24:26" x14ac:dyDescent="0.2">
      <c r="X691" s="76"/>
      <c r="Y691" s="74"/>
      <c r="Z691" s="76"/>
    </row>
    <row r="692" spans="24:26" x14ac:dyDescent="0.2">
      <c r="X692" s="76"/>
      <c r="Y692" s="74"/>
      <c r="Z692" s="76"/>
    </row>
    <row r="693" spans="24:26" x14ac:dyDescent="0.2">
      <c r="X693" s="76"/>
      <c r="Y693" s="74"/>
      <c r="Z693" s="76"/>
    </row>
    <row r="694" spans="24:26" x14ac:dyDescent="0.2">
      <c r="X694" s="76"/>
      <c r="Y694" s="74"/>
      <c r="Z694" s="76"/>
    </row>
    <row r="695" spans="24:26" x14ac:dyDescent="0.2">
      <c r="X695" s="76"/>
      <c r="Y695" s="74"/>
      <c r="Z695" s="76"/>
    </row>
    <row r="696" spans="24:26" x14ac:dyDescent="0.2">
      <c r="X696" s="76"/>
      <c r="Y696" s="74"/>
      <c r="Z696" s="76"/>
    </row>
    <row r="697" spans="24:26" x14ac:dyDescent="0.2">
      <c r="X697" s="76"/>
      <c r="Y697" s="74"/>
      <c r="Z697" s="76"/>
    </row>
    <row r="698" spans="24:26" x14ac:dyDescent="0.2">
      <c r="X698" s="76"/>
      <c r="Y698" s="74"/>
      <c r="Z698" s="76"/>
    </row>
    <row r="699" spans="24:26" x14ac:dyDescent="0.2">
      <c r="X699" s="76"/>
      <c r="Y699" s="74"/>
      <c r="Z699" s="76"/>
    </row>
    <row r="700" spans="24:26" x14ac:dyDescent="0.2">
      <c r="X700" s="76"/>
      <c r="Y700" s="74"/>
      <c r="Z700" s="76"/>
    </row>
    <row r="701" spans="24:26" x14ac:dyDescent="0.2">
      <c r="X701" s="76"/>
      <c r="Y701" s="74"/>
      <c r="Z701" s="76"/>
    </row>
    <row r="702" spans="24:26" x14ac:dyDescent="0.2">
      <c r="X702" s="76"/>
      <c r="Y702" s="74"/>
      <c r="Z702" s="76"/>
    </row>
    <row r="703" spans="24:26" x14ac:dyDescent="0.2">
      <c r="X703" s="76"/>
      <c r="Y703" s="74"/>
      <c r="Z703" s="76"/>
    </row>
    <row r="704" spans="24:26" x14ac:dyDescent="0.2">
      <c r="X704" s="76"/>
      <c r="Y704" s="74"/>
      <c r="Z704" s="76"/>
    </row>
    <row r="705" spans="24:26" x14ac:dyDescent="0.2">
      <c r="X705" s="76"/>
      <c r="Y705" s="74"/>
      <c r="Z705" s="76"/>
    </row>
    <row r="706" spans="24:26" x14ac:dyDescent="0.2">
      <c r="X706" s="76"/>
      <c r="Y706" s="74"/>
      <c r="Z706" s="76"/>
    </row>
    <row r="707" spans="24:26" x14ac:dyDescent="0.2">
      <c r="X707" s="76"/>
      <c r="Y707" s="74"/>
      <c r="Z707" s="76"/>
    </row>
    <row r="708" spans="24:26" x14ac:dyDescent="0.2">
      <c r="X708" s="76"/>
      <c r="Y708" s="74"/>
      <c r="Z708" s="76"/>
    </row>
    <row r="709" spans="24:26" x14ac:dyDescent="0.2">
      <c r="X709" s="76"/>
      <c r="Y709" s="74"/>
      <c r="Z709" s="76"/>
    </row>
    <row r="710" spans="24:26" x14ac:dyDescent="0.2">
      <c r="X710" s="76"/>
      <c r="Y710" s="74"/>
      <c r="Z710" s="76"/>
    </row>
    <row r="711" spans="24:26" x14ac:dyDescent="0.2">
      <c r="X711" s="76"/>
      <c r="Y711" s="74"/>
      <c r="Z711" s="76"/>
    </row>
    <row r="712" spans="24:26" x14ac:dyDescent="0.2">
      <c r="X712" s="76"/>
      <c r="Y712" s="74"/>
      <c r="Z712" s="76"/>
    </row>
    <row r="713" spans="24:26" x14ac:dyDescent="0.2">
      <c r="X713" s="76"/>
      <c r="Y713" s="74"/>
      <c r="Z713" s="76"/>
    </row>
    <row r="714" spans="24:26" x14ac:dyDescent="0.2">
      <c r="X714" s="76"/>
      <c r="Y714" s="74"/>
      <c r="Z714" s="76"/>
    </row>
    <row r="715" spans="24:26" x14ac:dyDescent="0.2">
      <c r="X715" s="76"/>
      <c r="Y715" s="74"/>
      <c r="Z715" s="76"/>
    </row>
    <row r="716" spans="24:26" x14ac:dyDescent="0.2">
      <c r="X716" s="76"/>
      <c r="Y716" s="74"/>
      <c r="Z716" s="76"/>
    </row>
    <row r="717" spans="24:26" x14ac:dyDescent="0.2">
      <c r="X717" s="76"/>
      <c r="Y717" s="74"/>
      <c r="Z717" s="76"/>
    </row>
    <row r="718" spans="24:26" x14ac:dyDescent="0.2">
      <c r="X718" s="76"/>
      <c r="Y718" s="74"/>
      <c r="Z718" s="76"/>
    </row>
    <row r="719" spans="24:26" x14ac:dyDescent="0.2">
      <c r="X719" s="76"/>
      <c r="Y719" s="74"/>
      <c r="Z719" s="76"/>
    </row>
    <row r="720" spans="24:26" x14ac:dyDescent="0.2">
      <c r="X720" s="76"/>
      <c r="Y720" s="74"/>
      <c r="Z720" s="76"/>
    </row>
    <row r="721" spans="24:26" x14ac:dyDescent="0.2">
      <c r="X721" s="76"/>
      <c r="Y721" s="74"/>
      <c r="Z721" s="76"/>
    </row>
    <row r="722" spans="24:26" x14ac:dyDescent="0.2">
      <c r="X722" s="76"/>
      <c r="Y722" s="74"/>
      <c r="Z722" s="76"/>
    </row>
    <row r="723" spans="24:26" x14ac:dyDescent="0.2">
      <c r="X723" s="76"/>
      <c r="Y723" s="74"/>
      <c r="Z723" s="76"/>
    </row>
    <row r="724" spans="24:26" x14ac:dyDescent="0.2">
      <c r="X724" s="76"/>
      <c r="Y724" s="74"/>
      <c r="Z724" s="76"/>
    </row>
    <row r="725" spans="24:26" x14ac:dyDescent="0.2">
      <c r="X725" s="76"/>
      <c r="Y725" s="74"/>
      <c r="Z725" s="76"/>
    </row>
    <row r="726" spans="24:26" x14ac:dyDescent="0.2">
      <c r="X726" s="76"/>
      <c r="Y726" s="74"/>
      <c r="Z726" s="76"/>
    </row>
    <row r="727" spans="24:26" x14ac:dyDescent="0.2">
      <c r="X727" s="76"/>
      <c r="Y727" s="74"/>
      <c r="Z727" s="76"/>
    </row>
    <row r="728" spans="24:26" x14ac:dyDescent="0.2">
      <c r="X728" s="76"/>
      <c r="Y728" s="74"/>
      <c r="Z728" s="76"/>
    </row>
    <row r="729" spans="24:26" x14ac:dyDescent="0.2">
      <c r="X729" s="76"/>
      <c r="Y729" s="74"/>
      <c r="Z729" s="76"/>
    </row>
    <row r="730" spans="24:26" x14ac:dyDescent="0.2">
      <c r="X730" s="76"/>
      <c r="Y730" s="74"/>
      <c r="Z730" s="76"/>
    </row>
    <row r="731" spans="24:26" x14ac:dyDescent="0.2">
      <c r="X731" s="76"/>
      <c r="Y731" s="74"/>
      <c r="Z731" s="76"/>
    </row>
    <row r="732" spans="24:26" x14ac:dyDescent="0.2">
      <c r="X732" s="76"/>
      <c r="Y732" s="74"/>
      <c r="Z732" s="76"/>
    </row>
    <row r="733" spans="24:26" x14ac:dyDescent="0.2">
      <c r="X733" s="76"/>
      <c r="Y733" s="74"/>
      <c r="Z733" s="76"/>
    </row>
    <row r="734" spans="24:26" x14ac:dyDescent="0.2">
      <c r="X734" s="76"/>
      <c r="Y734" s="74"/>
      <c r="Z734" s="76"/>
    </row>
    <row r="735" spans="24:26" x14ac:dyDescent="0.2">
      <c r="X735" s="76"/>
      <c r="Y735" s="74"/>
      <c r="Z735" s="76"/>
    </row>
    <row r="736" spans="24:26" x14ac:dyDescent="0.2">
      <c r="X736" s="76"/>
      <c r="Y736" s="74"/>
      <c r="Z736" s="76"/>
    </row>
    <row r="737" spans="24:26" x14ac:dyDescent="0.2">
      <c r="X737" s="76"/>
      <c r="Y737" s="74"/>
      <c r="Z737" s="76"/>
    </row>
    <row r="738" spans="24:26" x14ac:dyDescent="0.2">
      <c r="X738" s="76"/>
      <c r="Y738" s="74"/>
      <c r="Z738" s="76"/>
    </row>
    <row r="739" spans="24:26" x14ac:dyDescent="0.2">
      <c r="X739" s="76"/>
      <c r="Y739" s="74"/>
      <c r="Z739" s="76"/>
    </row>
    <row r="740" spans="24:26" x14ac:dyDescent="0.2">
      <c r="X740" s="76"/>
      <c r="Y740" s="74"/>
      <c r="Z740" s="76"/>
    </row>
    <row r="741" spans="24:26" x14ac:dyDescent="0.2">
      <c r="X741" s="76"/>
      <c r="Y741" s="74"/>
      <c r="Z741" s="76"/>
    </row>
    <row r="742" spans="24:26" x14ac:dyDescent="0.2">
      <c r="X742" s="76"/>
      <c r="Y742" s="74"/>
      <c r="Z742" s="76"/>
    </row>
    <row r="743" spans="24:26" x14ac:dyDescent="0.2">
      <c r="X743" s="76"/>
      <c r="Y743" s="74"/>
      <c r="Z743" s="76"/>
    </row>
    <row r="744" spans="24:26" x14ac:dyDescent="0.2">
      <c r="X744" s="76"/>
      <c r="Y744" s="74"/>
      <c r="Z744" s="76"/>
    </row>
    <row r="745" spans="24:26" x14ac:dyDescent="0.2">
      <c r="X745" s="76"/>
      <c r="Y745" s="74"/>
      <c r="Z745" s="76"/>
    </row>
    <row r="746" spans="24:26" x14ac:dyDescent="0.2">
      <c r="X746" s="76"/>
      <c r="Y746" s="74"/>
      <c r="Z746" s="76"/>
    </row>
    <row r="747" spans="24:26" x14ac:dyDescent="0.2">
      <c r="X747" s="76"/>
      <c r="Y747" s="74"/>
      <c r="Z747" s="76"/>
    </row>
    <row r="748" spans="24:26" x14ac:dyDescent="0.2">
      <c r="X748" s="76"/>
      <c r="Y748" s="74"/>
      <c r="Z748" s="76"/>
    </row>
    <row r="749" spans="24:26" x14ac:dyDescent="0.2">
      <c r="X749" s="76"/>
      <c r="Y749" s="74"/>
      <c r="Z749" s="76"/>
    </row>
    <row r="750" spans="24:26" x14ac:dyDescent="0.2">
      <c r="X750" s="76"/>
      <c r="Y750" s="74"/>
      <c r="Z750" s="76"/>
    </row>
    <row r="751" spans="24:26" x14ac:dyDescent="0.2">
      <c r="X751" s="76"/>
      <c r="Y751" s="74"/>
      <c r="Z751" s="76"/>
    </row>
    <row r="752" spans="24:26" x14ac:dyDescent="0.2">
      <c r="X752" s="76"/>
      <c r="Y752" s="74"/>
      <c r="Z752" s="76"/>
    </row>
    <row r="753" spans="24:26" x14ac:dyDescent="0.2">
      <c r="X753" s="76"/>
      <c r="Y753" s="74"/>
      <c r="Z753" s="76"/>
    </row>
    <row r="754" spans="24:26" x14ac:dyDescent="0.2">
      <c r="X754" s="76"/>
      <c r="Y754" s="74"/>
      <c r="Z754" s="76"/>
    </row>
    <row r="755" spans="24:26" x14ac:dyDescent="0.2">
      <c r="X755" s="76"/>
      <c r="Y755" s="74"/>
      <c r="Z755" s="76"/>
    </row>
    <row r="756" spans="24:26" x14ac:dyDescent="0.2">
      <c r="X756" s="76"/>
      <c r="Y756" s="74"/>
      <c r="Z756" s="76"/>
    </row>
    <row r="757" spans="24:26" x14ac:dyDescent="0.2">
      <c r="X757" s="76"/>
      <c r="Y757" s="74"/>
      <c r="Z757" s="76"/>
    </row>
    <row r="758" spans="24:26" x14ac:dyDescent="0.2">
      <c r="X758" s="76"/>
      <c r="Y758" s="74"/>
      <c r="Z758" s="76"/>
    </row>
    <row r="759" spans="24:26" x14ac:dyDescent="0.2">
      <c r="X759" s="76"/>
      <c r="Y759" s="74"/>
      <c r="Z759" s="76"/>
    </row>
    <row r="760" spans="24:26" x14ac:dyDescent="0.2">
      <c r="X760" s="76"/>
      <c r="Y760" s="74"/>
      <c r="Z760" s="76"/>
    </row>
    <row r="761" spans="24:26" x14ac:dyDescent="0.2">
      <c r="X761" s="76"/>
      <c r="Y761" s="74"/>
      <c r="Z761" s="76"/>
    </row>
    <row r="762" spans="24:26" x14ac:dyDescent="0.2">
      <c r="X762" s="76"/>
      <c r="Y762" s="74"/>
      <c r="Z762" s="76"/>
    </row>
    <row r="763" spans="24:26" x14ac:dyDescent="0.2">
      <c r="X763" s="76"/>
      <c r="Y763" s="74"/>
      <c r="Z763" s="76"/>
    </row>
    <row r="764" spans="24:26" x14ac:dyDescent="0.2">
      <c r="X764" s="76"/>
      <c r="Y764" s="74"/>
      <c r="Z764" s="76"/>
    </row>
    <row r="765" spans="24:26" x14ac:dyDescent="0.2">
      <c r="X765" s="76"/>
      <c r="Y765" s="74"/>
      <c r="Z765" s="76"/>
    </row>
    <row r="766" spans="24:26" x14ac:dyDescent="0.2">
      <c r="X766" s="76"/>
      <c r="Y766" s="74"/>
      <c r="Z766" s="76"/>
    </row>
    <row r="767" spans="24:26" x14ac:dyDescent="0.2">
      <c r="X767" s="76"/>
      <c r="Y767" s="74"/>
      <c r="Z767" s="76"/>
    </row>
    <row r="768" spans="24:26" x14ac:dyDescent="0.2">
      <c r="X768" s="76"/>
      <c r="Y768" s="74"/>
      <c r="Z768" s="76"/>
    </row>
    <row r="769" spans="24:26" x14ac:dyDescent="0.2">
      <c r="X769" s="76"/>
      <c r="Y769" s="74"/>
      <c r="Z769" s="76"/>
    </row>
    <row r="770" spans="24:26" x14ac:dyDescent="0.2">
      <c r="X770" s="76"/>
      <c r="Y770" s="74"/>
      <c r="Z770" s="76"/>
    </row>
    <row r="771" spans="24:26" x14ac:dyDescent="0.2">
      <c r="X771" s="76"/>
      <c r="Y771" s="74"/>
      <c r="Z771" s="76"/>
    </row>
    <row r="772" spans="24:26" x14ac:dyDescent="0.2">
      <c r="X772" s="76"/>
      <c r="Y772" s="74"/>
      <c r="Z772" s="76"/>
    </row>
    <row r="773" spans="24:26" x14ac:dyDescent="0.2">
      <c r="X773" s="76"/>
      <c r="Y773" s="74"/>
      <c r="Z773" s="76"/>
    </row>
    <row r="774" spans="24:26" x14ac:dyDescent="0.2">
      <c r="X774" s="76"/>
      <c r="Y774" s="74"/>
      <c r="Z774" s="76"/>
    </row>
    <row r="775" spans="24:26" x14ac:dyDescent="0.2">
      <c r="X775" s="76"/>
      <c r="Y775" s="74"/>
      <c r="Z775" s="76"/>
    </row>
    <row r="776" spans="24:26" x14ac:dyDescent="0.2">
      <c r="X776" s="76"/>
      <c r="Y776" s="74"/>
      <c r="Z776" s="76"/>
    </row>
    <row r="777" spans="24:26" x14ac:dyDescent="0.2">
      <c r="X777" s="76"/>
      <c r="Y777" s="74"/>
      <c r="Z777" s="76"/>
    </row>
    <row r="778" spans="24:26" x14ac:dyDescent="0.2">
      <c r="X778" s="76"/>
      <c r="Y778" s="74"/>
      <c r="Z778" s="76"/>
    </row>
    <row r="779" spans="24:26" x14ac:dyDescent="0.2">
      <c r="X779" s="76"/>
      <c r="Y779" s="74"/>
      <c r="Z779" s="76"/>
    </row>
    <row r="780" spans="24:26" x14ac:dyDescent="0.2">
      <c r="X780" s="76"/>
      <c r="Y780" s="74"/>
      <c r="Z780" s="76"/>
    </row>
    <row r="781" spans="24:26" x14ac:dyDescent="0.2">
      <c r="X781" s="76"/>
      <c r="Y781" s="74"/>
      <c r="Z781" s="76"/>
    </row>
    <row r="782" spans="24:26" x14ac:dyDescent="0.2">
      <c r="X782" s="76"/>
      <c r="Y782" s="74"/>
      <c r="Z782" s="76"/>
    </row>
    <row r="783" spans="24:26" x14ac:dyDescent="0.2">
      <c r="X783" s="76"/>
      <c r="Y783" s="74"/>
      <c r="Z783" s="76"/>
    </row>
    <row r="784" spans="24:26" x14ac:dyDescent="0.2">
      <c r="X784" s="76"/>
      <c r="Y784" s="74"/>
      <c r="Z784" s="76"/>
    </row>
    <row r="785" spans="24:26" x14ac:dyDescent="0.2">
      <c r="X785" s="76"/>
      <c r="Y785" s="74"/>
      <c r="Z785" s="76"/>
    </row>
    <row r="786" spans="24:26" x14ac:dyDescent="0.2">
      <c r="X786" s="76"/>
      <c r="Y786" s="74"/>
      <c r="Z786" s="76"/>
    </row>
    <row r="787" spans="24:26" x14ac:dyDescent="0.2">
      <c r="X787" s="76"/>
      <c r="Y787" s="74"/>
      <c r="Z787" s="76"/>
    </row>
    <row r="788" spans="24:26" x14ac:dyDescent="0.2">
      <c r="X788" s="76"/>
      <c r="Y788" s="74"/>
      <c r="Z788" s="76"/>
    </row>
    <row r="789" spans="24:26" x14ac:dyDescent="0.2">
      <c r="X789" s="76"/>
      <c r="Y789" s="74"/>
      <c r="Z789" s="76"/>
    </row>
    <row r="790" spans="24:26" x14ac:dyDescent="0.2">
      <c r="X790" s="76"/>
      <c r="Y790" s="74"/>
      <c r="Z790" s="76"/>
    </row>
    <row r="791" spans="24:26" x14ac:dyDescent="0.2">
      <c r="X791" s="76"/>
      <c r="Y791" s="74"/>
      <c r="Z791" s="76"/>
    </row>
    <row r="792" spans="24:26" x14ac:dyDescent="0.2">
      <c r="X792" s="76"/>
      <c r="Y792" s="74"/>
      <c r="Z792" s="76"/>
    </row>
    <row r="793" spans="24:26" x14ac:dyDescent="0.2">
      <c r="X793" s="76"/>
      <c r="Y793" s="74"/>
      <c r="Z793" s="76"/>
    </row>
    <row r="794" spans="24:26" x14ac:dyDescent="0.2">
      <c r="X794" s="76"/>
      <c r="Y794" s="74"/>
      <c r="Z794" s="76"/>
    </row>
    <row r="795" spans="24:26" x14ac:dyDescent="0.2">
      <c r="X795" s="76"/>
      <c r="Y795" s="74"/>
      <c r="Z795" s="76"/>
    </row>
    <row r="796" spans="24:26" x14ac:dyDescent="0.2">
      <c r="X796" s="76"/>
      <c r="Y796" s="74"/>
      <c r="Z796" s="76"/>
    </row>
    <row r="797" spans="24:26" x14ac:dyDescent="0.2">
      <c r="X797" s="76"/>
      <c r="Y797" s="74"/>
      <c r="Z797" s="76"/>
    </row>
    <row r="798" spans="24:26" x14ac:dyDescent="0.2">
      <c r="X798" s="76"/>
      <c r="Y798" s="74"/>
      <c r="Z798" s="76"/>
    </row>
    <row r="799" spans="24:26" x14ac:dyDescent="0.2">
      <c r="X799" s="76"/>
      <c r="Y799" s="74"/>
      <c r="Z799" s="76"/>
    </row>
    <row r="800" spans="24:26" x14ac:dyDescent="0.2">
      <c r="X800" s="76"/>
      <c r="Y800" s="74"/>
      <c r="Z800" s="76"/>
    </row>
    <row r="801" spans="24:26" x14ac:dyDescent="0.2">
      <c r="X801" s="76"/>
      <c r="Y801" s="74"/>
      <c r="Z801" s="76"/>
    </row>
    <row r="802" spans="24:26" x14ac:dyDescent="0.2">
      <c r="X802" s="76"/>
      <c r="Y802" s="74"/>
      <c r="Z802" s="76"/>
    </row>
    <row r="803" spans="24:26" x14ac:dyDescent="0.2">
      <c r="X803" s="76"/>
      <c r="Y803" s="74"/>
      <c r="Z803" s="76"/>
    </row>
    <row r="804" spans="24:26" x14ac:dyDescent="0.2">
      <c r="X804" s="76"/>
      <c r="Y804" s="74"/>
      <c r="Z804" s="76"/>
    </row>
    <row r="805" spans="24:26" x14ac:dyDescent="0.2">
      <c r="X805" s="76"/>
      <c r="Y805" s="74"/>
      <c r="Z805" s="76"/>
    </row>
    <row r="806" spans="24:26" x14ac:dyDescent="0.2">
      <c r="X806" s="76"/>
      <c r="Y806" s="74"/>
      <c r="Z806" s="76"/>
    </row>
    <row r="807" spans="24:26" x14ac:dyDescent="0.2">
      <c r="X807" s="76"/>
      <c r="Y807" s="74"/>
      <c r="Z807" s="76"/>
    </row>
    <row r="808" spans="24:26" x14ac:dyDescent="0.2">
      <c r="X808" s="76"/>
      <c r="Y808" s="74"/>
      <c r="Z808" s="76"/>
    </row>
    <row r="809" spans="24:26" x14ac:dyDescent="0.2">
      <c r="X809" s="76"/>
      <c r="Y809" s="74"/>
      <c r="Z809" s="76"/>
    </row>
    <row r="810" spans="24:26" x14ac:dyDescent="0.2">
      <c r="X810" s="76"/>
      <c r="Y810" s="74"/>
      <c r="Z810" s="76"/>
    </row>
    <row r="811" spans="24:26" x14ac:dyDescent="0.2">
      <c r="X811" s="76"/>
      <c r="Y811" s="74"/>
      <c r="Z811" s="76"/>
    </row>
    <row r="812" spans="24:26" x14ac:dyDescent="0.2">
      <c r="X812" s="76"/>
      <c r="Y812" s="74"/>
      <c r="Z812" s="76"/>
    </row>
    <row r="813" spans="24:26" x14ac:dyDescent="0.2">
      <c r="X813" s="76"/>
      <c r="Y813" s="74"/>
      <c r="Z813" s="76"/>
    </row>
    <row r="814" spans="24:26" x14ac:dyDescent="0.2">
      <c r="X814" s="76"/>
      <c r="Y814" s="74"/>
      <c r="Z814" s="76"/>
    </row>
    <row r="815" spans="24:26" x14ac:dyDescent="0.2">
      <c r="X815" s="76"/>
      <c r="Y815" s="74"/>
      <c r="Z815" s="76"/>
    </row>
    <row r="816" spans="24:26" x14ac:dyDescent="0.2">
      <c r="X816" s="76"/>
      <c r="Y816" s="74"/>
      <c r="Z816" s="76"/>
    </row>
    <row r="817" spans="24:26" x14ac:dyDescent="0.2">
      <c r="X817" s="76"/>
      <c r="Y817" s="74"/>
      <c r="Z817" s="76"/>
    </row>
    <row r="818" spans="24:26" x14ac:dyDescent="0.2">
      <c r="X818" s="76"/>
      <c r="Y818" s="74"/>
      <c r="Z818" s="76"/>
    </row>
    <row r="819" spans="24:26" x14ac:dyDescent="0.2">
      <c r="X819" s="76"/>
      <c r="Y819" s="74"/>
      <c r="Z819" s="76"/>
    </row>
    <row r="820" spans="24:26" x14ac:dyDescent="0.2">
      <c r="X820" s="76"/>
      <c r="Y820" s="74"/>
      <c r="Z820" s="76"/>
    </row>
    <row r="821" spans="24:26" x14ac:dyDescent="0.2">
      <c r="X821" s="76"/>
      <c r="Y821" s="74"/>
      <c r="Z821" s="76"/>
    </row>
    <row r="822" spans="24:26" x14ac:dyDescent="0.2">
      <c r="X822" s="76"/>
      <c r="Y822" s="74"/>
      <c r="Z822" s="76"/>
    </row>
    <row r="823" spans="24:26" x14ac:dyDescent="0.2">
      <c r="X823" s="76"/>
      <c r="Y823" s="74"/>
      <c r="Z823" s="76"/>
    </row>
    <row r="824" spans="24:26" x14ac:dyDescent="0.2">
      <c r="X824" s="76"/>
      <c r="Y824" s="74"/>
      <c r="Z824" s="76"/>
    </row>
    <row r="825" spans="24:26" x14ac:dyDescent="0.2">
      <c r="X825" s="76"/>
      <c r="Y825" s="74"/>
      <c r="Z825" s="76"/>
    </row>
    <row r="826" spans="24:26" x14ac:dyDescent="0.2">
      <c r="X826" s="76"/>
      <c r="Y826" s="74"/>
      <c r="Z826" s="76"/>
    </row>
    <row r="827" spans="24:26" x14ac:dyDescent="0.2">
      <c r="X827" s="76"/>
      <c r="Y827" s="74"/>
      <c r="Z827" s="76"/>
    </row>
    <row r="828" spans="24:26" x14ac:dyDescent="0.2">
      <c r="X828" s="76"/>
      <c r="Y828" s="74"/>
      <c r="Z828" s="76"/>
    </row>
    <row r="829" spans="24:26" x14ac:dyDescent="0.2">
      <c r="X829" s="76"/>
      <c r="Y829" s="74"/>
      <c r="Z829" s="76"/>
    </row>
    <row r="830" spans="24:26" x14ac:dyDescent="0.2">
      <c r="X830" s="76"/>
      <c r="Y830" s="74"/>
      <c r="Z830" s="76"/>
    </row>
    <row r="831" spans="24:26" x14ac:dyDescent="0.2">
      <c r="X831" s="76"/>
      <c r="Y831" s="74"/>
      <c r="Z831" s="76"/>
    </row>
    <row r="832" spans="24:26" x14ac:dyDescent="0.2">
      <c r="X832" s="76"/>
      <c r="Y832" s="74"/>
      <c r="Z832" s="76"/>
    </row>
    <row r="833" spans="24:26" x14ac:dyDescent="0.2">
      <c r="X833" s="76"/>
      <c r="Y833" s="74"/>
      <c r="Z833" s="76"/>
    </row>
    <row r="834" spans="24:26" x14ac:dyDescent="0.2">
      <c r="X834" s="76"/>
      <c r="Y834" s="74"/>
      <c r="Z834" s="76"/>
    </row>
    <row r="835" spans="24:26" x14ac:dyDescent="0.2">
      <c r="X835" s="76"/>
      <c r="Y835" s="74"/>
      <c r="Z835" s="76"/>
    </row>
    <row r="836" spans="24:26" x14ac:dyDescent="0.2">
      <c r="X836" s="76"/>
      <c r="Y836" s="74"/>
      <c r="Z836" s="76"/>
    </row>
    <row r="837" spans="24:26" x14ac:dyDescent="0.2">
      <c r="X837" s="76"/>
      <c r="Y837" s="74"/>
      <c r="Z837" s="76"/>
    </row>
    <row r="838" spans="24:26" x14ac:dyDescent="0.2">
      <c r="X838" s="76"/>
      <c r="Y838" s="74"/>
      <c r="Z838" s="76"/>
    </row>
    <row r="839" spans="24:26" x14ac:dyDescent="0.2">
      <c r="X839" s="76"/>
      <c r="Y839" s="74"/>
      <c r="Z839" s="76"/>
    </row>
    <row r="840" spans="24:26" x14ac:dyDescent="0.2">
      <c r="X840" s="76"/>
      <c r="Y840" s="74"/>
      <c r="Z840" s="76"/>
    </row>
    <row r="841" spans="24:26" x14ac:dyDescent="0.2">
      <c r="X841" s="76"/>
      <c r="Y841" s="74"/>
      <c r="Z841" s="76"/>
    </row>
    <row r="842" spans="24:26" x14ac:dyDescent="0.2">
      <c r="X842" s="76"/>
      <c r="Y842" s="74"/>
      <c r="Z842" s="76"/>
    </row>
    <row r="843" spans="24:26" x14ac:dyDescent="0.2">
      <c r="X843" s="76"/>
      <c r="Y843" s="74"/>
      <c r="Z843" s="76"/>
    </row>
    <row r="844" spans="24:26" x14ac:dyDescent="0.2">
      <c r="X844" s="76"/>
      <c r="Y844" s="74"/>
      <c r="Z844" s="76"/>
    </row>
    <row r="845" spans="24:26" x14ac:dyDescent="0.2">
      <c r="X845" s="76"/>
      <c r="Y845" s="74"/>
      <c r="Z845" s="76"/>
    </row>
    <row r="846" spans="24:26" x14ac:dyDescent="0.2">
      <c r="X846" s="76"/>
      <c r="Y846" s="74"/>
      <c r="Z846" s="76"/>
    </row>
    <row r="847" spans="24:26" x14ac:dyDescent="0.2">
      <c r="X847" s="76"/>
      <c r="Y847" s="74"/>
      <c r="Z847" s="76"/>
    </row>
    <row r="848" spans="24:26" x14ac:dyDescent="0.2">
      <c r="X848" s="76"/>
      <c r="Y848" s="74"/>
      <c r="Z848" s="76"/>
    </row>
    <row r="849" spans="24:26" x14ac:dyDescent="0.2">
      <c r="X849" s="76"/>
      <c r="Y849" s="74"/>
      <c r="Z849" s="76"/>
    </row>
    <row r="850" spans="24:26" x14ac:dyDescent="0.2">
      <c r="X850" s="76"/>
      <c r="Y850" s="74"/>
      <c r="Z850" s="76"/>
    </row>
    <row r="851" spans="24:26" x14ac:dyDescent="0.2">
      <c r="X851" s="76"/>
      <c r="Y851" s="74"/>
      <c r="Z851" s="76"/>
    </row>
    <row r="852" spans="24:26" x14ac:dyDescent="0.2">
      <c r="X852" s="76"/>
      <c r="Y852" s="74"/>
      <c r="Z852" s="76"/>
    </row>
    <row r="853" spans="24:26" x14ac:dyDescent="0.2">
      <c r="X853" s="76"/>
      <c r="Y853" s="74"/>
      <c r="Z853" s="76"/>
    </row>
    <row r="854" spans="24:26" x14ac:dyDescent="0.2">
      <c r="X854" s="76"/>
      <c r="Y854" s="74"/>
      <c r="Z854" s="76"/>
    </row>
    <row r="855" spans="24:26" x14ac:dyDescent="0.2">
      <c r="X855" s="76"/>
      <c r="Y855" s="74"/>
      <c r="Z855" s="76"/>
    </row>
    <row r="856" spans="24:26" x14ac:dyDescent="0.2">
      <c r="X856" s="76"/>
      <c r="Y856" s="74"/>
      <c r="Z856" s="76"/>
    </row>
    <row r="857" spans="24:26" x14ac:dyDescent="0.2">
      <c r="X857" s="76"/>
      <c r="Y857" s="74"/>
      <c r="Z857" s="76"/>
    </row>
    <row r="858" spans="24:26" x14ac:dyDescent="0.2">
      <c r="X858" s="76"/>
      <c r="Y858" s="74"/>
      <c r="Z858" s="76"/>
    </row>
    <row r="859" spans="24:26" x14ac:dyDescent="0.2">
      <c r="X859" s="76"/>
      <c r="Y859" s="74"/>
      <c r="Z859" s="76"/>
    </row>
    <row r="860" spans="24:26" x14ac:dyDescent="0.2">
      <c r="X860" s="76"/>
      <c r="Y860" s="74"/>
      <c r="Z860" s="76"/>
    </row>
    <row r="861" spans="24:26" x14ac:dyDescent="0.2">
      <c r="X861" s="76"/>
      <c r="Y861" s="74"/>
      <c r="Z861" s="76"/>
    </row>
    <row r="862" spans="24:26" x14ac:dyDescent="0.2">
      <c r="X862" s="76"/>
      <c r="Y862" s="74"/>
      <c r="Z862" s="76"/>
    </row>
    <row r="863" spans="24:26" x14ac:dyDescent="0.2">
      <c r="X863" s="76"/>
      <c r="Y863" s="74"/>
      <c r="Z863" s="76"/>
    </row>
    <row r="864" spans="24:26" x14ac:dyDescent="0.2">
      <c r="X864" s="76"/>
      <c r="Y864" s="74"/>
      <c r="Z864" s="76"/>
    </row>
    <row r="865" spans="24:26" x14ac:dyDescent="0.2">
      <c r="X865" s="76"/>
      <c r="Y865" s="74"/>
      <c r="Z865" s="76"/>
    </row>
    <row r="866" spans="24:26" x14ac:dyDescent="0.2">
      <c r="X866" s="76"/>
      <c r="Y866" s="74"/>
      <c r="Z866" s="76"/>
    </row>
    <row r="867" spans="24:26" x14ac:dyDescent="0.2">
      <c r="X867" s="76"/>
      <c r="Y867" s="74"/>
      <c r="Z867" s="76"/>
    </row>
    <row r="868" spans="24:26" x14ac:dyDescent="0.2">
      <c r="X868" s="76"/>
      <c r="Y868" s="74"/>
      <c r="Z868" s="76"/>
    </row>
    <row r="869" spans="24:26" x14ac:dyDescent="0.2">
      <c r="X869" s="76"/>
      <c r="Y869" s="74"/>
      <c r="Z869" s="76"/>
    </row>
    <row r="870" spans="24:26" x14ac:dyDescent="0.2">
      <c r="X870" s="76"/>
      <c r="Y870" s="74"/>
      <c r="Z870" s="76"/>
    </row>
    <row r="871" spans="24:26" x14ac:dyDescent="0.2">
      <c r="X871" s="76"/>
      <c r="Y871" s="74"/>
      <c r="Z871" s="76"/>
    </row>
    <row r="872" spans="24:26" x14ac:dyDescent="0.2">
      <c r="X872" s="76"/>
      <c r="Y872" s="74"/>
      <c r="Z872" s="76"/>
    </row>
    <row r="873" spans="24:26" x14ac:dyDescent="0.2">
      <c r="X873" s="76"/>
      <c r="Y873" s="74"/>
      <c r="Z873" s="76"/>
    </row>
    <row r="874" spans="24:26" x14ac:dyDescent="0.2">
      <c r="X874" s="76"/>
      <c r="Y874" s="74"/>
      <c r="Z874" s="76"/>
    </row>
    <row r="875" spans="24:26" x14ac:dyDescent="0.2">
      <c r="X875" s="76"/>
      <c r="Y875" s="74"/>
      <c r="Z875" s="76"/>
    </row>
    <row r="876" spans="24:26" x14ac:dyDescent="0.2">
      <c r="X876" s="76"/>
      <c r="Y876" s="74"/>
      <c r="Z876" s="76"/>
    </row>
    <row r="877" spans="24:26" x14ac:dyDescent="0.2">
      <c r="X877" s="76"/>
      <c r="Y877" s="74"/>
      <c r="Z877" s="76"/>
    </row>
    <row r="878" spans="24:26" x14ac:dyDescent="0.2">
      <c r="X878" s="76"/>
      <c r="Y878" s="74"/>
      <c r="Z878" s="76"/>
    </row>
    <row r="879" spans="24:26" x14ac:dyDescent="0.2">
      <c r="X879" s="76"/>
      <c r="Y879" s="74"/>
      <c r="Z879" s="76"/>
    </row>
    <row r="880" spans="24:26" x14ac:dyDescent="0.2">
      <c r="X880" s="76"/>
      <c r="Y880" s="74"/>
      <c r="Z880" s="76"/>
    </row>
    <row r="881" spans="24:26" x14ac:dyDescent="0.2">
      <c r="X881" s="76"/>
      <c r="Y881" s="74"/>
      <c r="Z881" s="76"/>
    </row>
    <row r="882" spans="24:26" x14ac:dyDescent="0.2">
      <c r="X882" s="76"/>
      <c r="Y882" s="74"/>
      <c r="Z882" s="76"/>
    </row>
    <row r="883" spans="24:26" x14ac:dyDescent="0.2">
      <c r="X883" s="76"/>
      <c r="Y883" s="74"/>
      <c r="Z883" s="76"/>
    </row>
    <row r="884" spans="24:26" x14ac:dyDescent="0.2">
      <c r="X884" s="76"/>
      <c r="Y884" s="74"/>
      <c r="Z884" s="76"/>
    </row>
    <row r="885" spans="24:26" x14ac:dyDescent="0.2">
      <c r="X885" s="76"/>
      <c r="Y885" s="74"/>
      <c r="Z885" s="76"/>
    </row>
    <row r="886" spans="24:26" x14ac:dyDescent="0.2">
      <c r="X886" s="76"/>
      <c r="Y886" s="74"/>
      <c r="Z886" s="76"/>
    </row>
    <row r="887" spans="24:26" x14ac:dyDescent="0.2">
      <c r="X887" s="76"/>
      <c r="Y887" s="74"/>
      <c r="Z887" s="76"/>
    </row>
    <row r="888" spans="24:26" x14ac:dyDescent="0.2">
      <c r="X888" s="76"/>
      <c r="Y888" s="74"/>
      <c r="Z888" s="76"/>
    </row>
    <row r="889" spans="24:26" x14ac:dyDescent="0.2">
      <c r="X889" s="76"/>
      <c r="Y889" s="74"/>
      <c r="Z889" s="76"/>
    </row>
    <row r="890" spans="24:26" x14ac:dyDescent="0.2">
      <c r="X890" s="76"/>
      <c r="Y890" s="74"/>
      <c r="Z890" s="76"/>
    </row>
    <row r="891" spans="24:26" x14ac:dyDescent="0.2">
      <c r="X891" s="76"/>
      <c r="Y891" s="74"/>
      <c r="Z891" s="76"/>
    </row>
    <row r="892" spans="24:26" x14ac:dyDescent="0.2">
      <c r="X892" s="76"/>
      <c r="Y892" s="74"/>
      <c r="Z892" s="76"/>
    </row>
    <row r="893" spans="24:26" x14ac:dyDescent="0.2">
      <c r="X893" s="76"/>
      <c r="Y893" s="74"/>
      <c r="Z893" s="76"/>
    </row>
    <row r="894" spans="24:26" x14ac:dyDescent="0.2">
      <c r="X894" s="76"/>
      <c r="Y894" s="74"/>
      <c r="Z894" s="76"/>
    </row>
    <row r="895" spans="24:26" x14ac:dyDescent="0.2">
      <c r="X895" s="76"/>
      <c r="Y895" s="74"/>
      <c r="Z895" s="76"/>
    </row>
    <row r="896" spans="24:26" x14ac:dyDescent="0.2">
      <c r="X896" s="76"/>
      <c r="Y896" s="74"/>
      <c r="Z896" s="76"/>
    </row>
    <row r="897" spans="24:26" x14ac:dyDescent="0.2">
      <c r="X897" s="76"/>
      <c r="Y897" s="74"/>
      <c r="Z897" s="76"/>
    </row>
    <row r="898" spans="24:26" x14ac:dyDescent="0.2">
      <c r="X898" s="76"/>
      <c r="Y898" s="74"/>
      <c r="Z898" s="76"/>
    </row>
    <row r="899" spans="24:26" x14ac:dyDescent="0.2">
      <c r="X899" s="76"/>
      <c r="Y899" s="74"/>
      <c r="Z899" s="76"/>
    </row>
    <row r="900" spans="24:26" x14ac:dyDescent="0.2">
      <c r="X900" s="76"/>
      <c r="Y900" s="74"/>
      <c r="Z900" s="76"/>
    </row>
    <row r="901" spans="24:26" x14ac:dyDescent="0.2">
      <c r="X901" s="76"/>
      <c r="Y901" s="74"/>
      <c r="Z901" s="76"/>
    </row>
    <row r="902" spans="24:26" x14ac:dyDescent="0.2">
      <c r="X902" s="76"/>
      <c r="Y902" s="74"/>
      <c r="Z902" s="76"/>
    </row>
    <row r="903" spans="24:26" x14ac:dyDescent="0.2">
      <c r="X903" s="76"/>
      <c r="Y903" s="74"/>
      <c r="Z903" s="76"/>
    </row>
    <row r="904" spans="24:26" x14ac:dyDescent="0.2">
      <c r="X904" s="76"/>
      <c r="Y904" s="74"/>
      <c r="Z904" s="76"/>
    </row>
    <row r="905" spans="24:26" x14ac:dyDescent="0.2">
      <c r="X905" s="76"/>
      <c r="Y905" s="74"/>
      <c r="Z905" s="76"/>
    </row>
    <row r="906" spans="24:26" x14ac:dyDescent="0.2">
      <c r="X906" s="76"/>
      <c r="Y906" s="74"/>
      <c r="Z906" s="76"/>
    </row>
    <row r="907" spans="24:26" x14ac:dyDescent="0.2">
      <c r="X907" s="76"/>
      <c r="Y907" s="74"/>
      <c r="Z907" s="76"/>
    </row>
    <row r="908" spans="24:26" x14ac:dyDescent="0.2">
      <c r="X908" s="76"/>
      <c r="Y908" s="74"/>
      <c r="Z908" s="76"/>
    </row>
    <row r="909" spans="24:26" x14ac:dyDescent="0.2">
      <c r="X909" s="76"/>
      <c r="Y909" s="74"/>
      <c r="Z909" s="76"/>
    </row>
    <row r="910" spans="24:26" x14ac:dyDescent="0.2">
      <c r="X910" s="76"/>
      <c r="Y910" s="74"/>
      <c r="Z910" s="76"/>
    </row>
    <row r="911" spans="24:26" x14ac:dyDescent="0.2">
      <c r="X911" s="76"/>
      <c r="Y911" s="74"/>
      <c r="Z911" s="76"/>
    </row>
    <row r="912" spans="24:26" x14ac:dyDescent="0.2">
      <c r="X912" s="76"/>
      <c r="Y912" s="74"/>
      <c r="Z912" s="76"/>
    </row>
    <row r="913" spans="24:26" x14ac:dyDescent="0.2">
      <c r="X913" s="76"/>
      <c r="Y913" s="74"/>
      <c r="Z913" s="76"/>
    </row>
    <row r="914" spans="24:26" x14ac:dyDescent="0.2">
      <c r="X914" s="76"/>
      <c r="Y914" s="74"/>
      <c r="Z914" s="76"/>
    </row>
    <row r="915" spans="24:26" x14ac:dyDescent="0.2">
      <c r="X915" s="76"/>
      <c r="Y915" s="74"/>
      <c r="Z915" s="76"/>
    </row>
    <row r="916" spans="24:26" x14ac:dyDescent="0.2">
      <c r="X916" s="76"/>
      <c r="Y916" s="74"/>
      <c r="Z916" s="76"/>
    </row>
    <row r="917" spans="24:26" x14ac:dyDescent="0.2">
      <c r="X917" s="76"/>
      <c r="Y917" s="74"/>
      <c r="Z917" s="76"/>
    </row>
    <row r="918" spans="24:26" x14ac:dyDescent="0.2">
      <c r="X918" s="76"/>
      <c r="Y918" s="74"/>
      <c r="Z918" s="76"/>
    </row>
    <row r="919" spans="24:26" x14ac:dyDescent="0.2">
      <c r="X919" s="76"/>
      <c r="Y919" s="74"/>
      <c r="Z919" s="76"/>
    </row>
    <row r="920" spans="24:26" x14ac:dyDescent="0.2">
      <c r="X920" s="76"/>
      <c r="Y920" s="74"/>
      <c r="Z920" s="76"/>
    </row>
    <row r="921" spans="24:26" x14ac:dyDescent="0.2">
      <c r="X921" s="76"/>
      <c r="Y921" s="74"/>
      <c r="Z921" s="76"/>
    </row>
    <row r="922" spans="24:26" x14ac:dyDescent="0.2">
      <c r="X922" s="76"/>
      <c r="Y922" s="74"/>
      <c r="Z922" s="76"/>
    </row>
    <row r="923" spans="24:26" x14ac:dyDescent="0.2">
      <c r="X923" s="76"/>
      <c r="Y923" s="74"/>
      <c r="Z923" s="76"/>
    </row>
    <row r="924" spans="24:26" x14ac:dyDescent="0.2">
      <c r="X924" s="76"/>
      <c r="Y924" s="74"/>
      <c r="Z924" s="76"/>
    </row>
    <row r="925" spans="24:26" x14ac:dyDescent="0.2">
      <c r="X925" s="76"/>
      <c r="Y925" s="74"/>
      <c r="Z925" s="76"/>
    </row>
    <row r="926" spans="24:26" x14ac:dyDescent="0.2">
      <c r="X926" s="76"/>
      <c r="Y926" s="74"/>
      <c r="Z926" s="76"/>
    </row>
    <row r="927" spans="24:26" x14ac:dyDescent="0.2">
      <c r="X927" s="76"/>
      <c r="Y927" s="74"/>
      <c r="Z927" s="76"/>
    </row>
    <row r="928" spans="24:26" x14ac:dyDescent="0.2">
      <c r="X928" s="76"/>
      <c r="Y928" s="74"/>
      <c r="Z928" s="76"/>
    </row>
    <row r="929" spans="24:26" x14ac:dyDescent="0.2">
      <c r="X929" s="76"/>
      <c r="Y929" s="74"/>
      <c r="Z929" s="76"/>
    </row>
    <row r="930" spans="24:26" x14ac:dyDescent="0.2">
      <c r="X930" s="76"/>
      <c r="Y930" s="74"/>
      <c r="Z930" s="76"/>
    </row>
    <row r="931" spans="24:26" x14ac:dyDescent="0.2">
      <c r="X931" s="76"/>
      <c r="Y931" s="74"/>
      <c r="Z931" s="76"/>
    </row>
    <row r="932" spans="24:26" x14ac:dyDescent="0.2">
      <c r="X932" s="76"/>
      <c r="Y932" s="74"/>
      <c r="Z932" s="76"/>
    </row>
    <row r="933" spans="24:26" x14ac:dyDescent="0.2">
      <c r="X933" s="76"/>
      <c r="Y933" s="74"/>
      <c r="Z933" s="76"/>
    </row>
    <row r="934" spans="24:26" x14ac:dyDescent="0.2">
      <c r="X934" s="76"/>
      <c r="Y934" s="74"/>
      <c r="Z934" s="76"/>
    </row>
    <row r="935" spans="24:26" x14ac:dyDescent="0.2">
      <c r="X935" s="76"/>
      <c r="Y935" s="74"/>
      <c r="Z935" s="76"/>
    </row>
    <row r="936" spans="24:26" x14ac:dyDescent="0.2">
      <c r="X936" s="76"/>
      <c r="Y936" s="74"/>
      <c r="Z936" s="76"/>
    </row>
    <row r="937" spans="24:26" x14ac:dyDescent="0.2">
      <c r="X937" s="76"/>
      <c r="Y937" s="74"/>
      <c r="Z937" s="76"/>
    </row>
    <row r="938" spans="24:26" x14ac:dyDescent="0.2">
      <c r="X938" s="76"/>
      <c r="Y938" s="74"/>
      <c r="Z938" s="76"/>
    </row>
    <row r="939" spans="24:26" x14ac:dyDescent="0.2">
      <c r="X939" s="76"/>
      <c r="Y939" s="74"/>
      <c r="Z939" s="76"/>
    </row>
    <row r="940" spans="24:26" x14ac:dyDescent="0.2">
      <c r="X940" s="76"/>
      <c r="Y940" s="74"/>
      <c r="Z940" s="76"/>
    </row>
    <row r="941" spans="24:26" x14ac:dyDescent="0.2">
      <c r="X941" s="76"/>
      <c r="Y941" s="74"/>
      <c r="Z941" s="76"/>
    </row>
    <row r="942" spans="24:26" x14ac:dyDescent="0.2">
      <c r="X942" s="76"/>
      <c r="Y942" s="74"/>
      <c r="Z942" s="76"/>
    </row>
    <row r="943" spans="24:26" x14ac:dyDescent="0.2">
      <c r="X943" s="76"/>
      <c r="Y943" s="74"/>
      <c r="Z943" s="76"/>
    </row>
    <row r="944" spans="24:26" x14ac:dyDescent="0.2">
      <c r="X944" s="76"/>
      <c r="Y944" s="74"/>
      <c r="Z944" s="76"/>
    </row>
    <row r="945" spans="24:26" x14ac:dyDescent="0.2">
      <c r="X945" s="76"/>
      <c r="Y945" s="74"/>
      <c r="Z945" s="76"/>
    </row>
    <row r="946" spans="24:26" x14ac:dyDescent="0.2">
      <c r="X946" s="76"/>
      <c r="Y946" s="74"/>
      <c r="Z946" s="76"/>
    </row>
    <row r="947" spans="24:26" x14ac:dyDescent="0.2">
      <c r="X947" s="76"/>
      <c r="Y947" s="74"/>
      <c r="Z947" s="76"/>
    </row>
    <row r="948" spans="24:26" x14ac:dyDescent="0.2">
      <c r="X948" s="76"/>
      <c r="Y948" s="74"/>
      <c r="Z948" s="76"/>
    </row>
    <row r="949" spans="24:26" x14ac:dyDescent="0.2">
      <c r="X949" s="76"/>
      <c r="Y949" s="74"/>
      <c r="Z949" s="76"/>
    </row>
    <row r="950" spans="24:26" x14ac:dyDescent="0.2">
      <c r="X950" s="76"/>
      <c r="Y950" s="74"/>
      <c r="Z950" s="76"/>
    </row>
    <row r="951" spans="24:26" x14ac:dyDescent="0.2">
      <c r="X951" s="76"/>
      <c r="Y951" s="74"/>
      <c r="Z951" s="76"/>
    </row>
    <row r="952" spans="24:26" x14ac:dyDescent="0.2">
      <c r="X952" s="76"/>
      <c r="Y952" s="74"/>
      <c r="Z952" s="76"/>
    </row>
    <row r="953" spans="24:26" x14ac:dyDescent="0.2">
      <c r="X953" s="76"/>
      <c r="Y953" s="74"/>
      <c r="Z953" s="76"/>
    </row>
    <row r="954" spans="24:26" x14ac:dyDescent="0.2">
      <c r="X954" s="76"/>
      <c r="Y954" s="74"/>
      <c r="Z954" s="76"/>
    </row>
    <row r="955" spans="24:26" x14ac:dyDescent="0.2">
      <c r="X955" s="76"/>
      <c r="Y955" s="74"/>
      <c r="Z955" s="76"/>
    </row>
    <row r="956" spans="24:26" x14ac:dyDescent="0.2">
      <c r="X956" s="76"/>
      <c r="Y956" s="74"/>
      <c r="Z956" s="76"/>
    </row>
    <row r="957" spans="24:26" x14ac:dyDescent="0.2">
      <c r="X957" s="76"/>
      <c r="Y957" s="74"/>
      <c r="Z957" s="76"/>
    </row>
    <row r="958" spans="24:26" x14ac:dyDescent="0.2">
      <c r="X958" s="76"/>
      <c r="Y958" s="74"/>
      <c r="Z958" s="76"/>
    </row>
    <row r="959" spans="24:26" x14ac:dyDescent="0.2">
      <c r="X959" s="76"/>
      <c r="Y959" s="74"/>
      <c r="Z959" s="76"/>
    </row>
    <row r="960" spans="24:26" x14ac:dyDescent="0.2">
      <c r="X960" s="76"/>
      <c r="Y960" s="74"/>
      <c r="Z960" s="76"/>
    </row>
    <row r="961" spans="24:26" x14ac:dyDescent="0.2">
      <c r="X961" s="76"/>
      <c r="Y961" s="74"/>
      <c r="Z961" s="76"/>
    </row>
    <row r="962" spans="24:26" x14ac:dyDescent="0.2">
      <c r="X962" s="76"/>
      <c r="Y962" s="74"/>
      <c r="Z962" s="76"/>
    </row>
    <row r="963" spans="24:26" x14ac:dyDescent="0.2">
      <c r="X963" s="76"/>
      <c r="Y963" s="74"/>
      <c r="Z963" s="76"/>
    </row>
    <row r="964" spans="24:26" x14ac:dyDescent="0.2">
      <c r="X964" s="76"/>
      <c r="Y964" s="74"/>
      <c r="Z964" s="76"/>
    </row>
    <row r="965" spans="24:26" x14ac:dyDescent="0.2">
      <c r="X965" s="76"/>
      <c r="Y965" s="74"/>
      <c r="Z965" s="76"/>
    </row>
    <row r="966" spans="24:26" x14ac:dyDescent="0.2">
      <c r="X966" s="76"/>
      <c r="Y966" s="74"/>
      <c r="Z966" s="76"/>
    </row>
    <row r="967" spans="24:26" x14ac:dyDescent="0.2">
      <c r="X967" s="76"/>
      <c r="Y967" s="74"/>
      <c r="Z967" s="76"/>
    </row>
    <row r="968" spans="24:26" x14ac:dyDescent="0.2">
      <c r="X968" s="76"/>
      <c r="Y968" s="74"/>
      <c r="Z968" s="76"/>
    </row>
    <row r="969" spans="24:26" x14ac:dyDescent="0.2">
      <c r="X969" s="76"/>
      <c r="Y969" s="74"/>
      <c r="Z969" s="76"/>
    </row>
    <row r="970" spans="24:26" x14ac:dyDescent="0.2">
      <c r="X970" s="76"/>
      <c r="Y970" s="74"/>
      <c r="Z970" s="76"/>
    </row>
    <row r="971" spans="24:26" x14ac:dyDescent="0.2">
      <c r="X971" s="76"/>
      <c r="Y971" s="74"/>
      <c r="Z971" s="76"/>
    </row>
    <row r="972" spans="24:26" x14ac:dyDescent="0.2">
      <c r="X972" s="76"/>
      <c r="Y972" s="74"/>
      <c r="Z972" s="76"/>
    </row>
    <row r="973" spans="24:26" x14ac:dyDescent="0.2">
      <c r="X973" s="76"/>
      <c r="Y973" s="74"/>
      <c r="Z973" s="76"/>
    </row>
    <row r="974" spans="24:26" x14ac:dyDescent="0.2">
      <c r="X974" s="76"/>
      <c r="Y974" s="74"/>
      <c r="Z974" s="76"/>
    </row>
    <row r="975" spans="24:26" x14ac:dyDescent="0.2">
      <c r="X975" s="76"/>
      <c r="Y975" s="74"/>
      <c r="Z975" s="76"/>
    </row>
    <row r="976" spans="24:26" x14ac:dyDescent="0.2">
      <c r="X976" s="76"/>
      <c r="Y976" s="74"/>
      <c r="Z976" s="76"/>
    </row>
    <row r="977" spans="24:26" x14ac:dyDescent="0.2">
      <c r="X977" s="76"/>
      <c r="Y977" s="74"/>
      <c r="Z977" s="76"/>
    </row>
    <row r="978" spans="24:26" x14ac:dyDescent="0.2">
      <c r="X978" s="76"/>
      <c r="Y978" s="74"/>
      <c r="Z978" s="76"/>
    </row>
    <row r="979" spans="24:26" x14ac:dyDescent="0.2">
      <c r="X979" s="76"/>
      <c r="Y979" s="74"/>
      <c r="Z979" s="76"/>
    </row>
    <row r="980" spans="24:26" x14ac:dyDescent="0.2">
      <c r="X980" s="76"/>
      <c r="Y980" s="74"/>
      <c r="Z980" s="76"/>
    </row>
    <row r="981" spans="24:26" x14ac:dyDescent="0.2">
      <c r="X981" s="76"/>
      <c r="Y981" s="74"/>
      <c r="Z981" s="76"/>
    </row>
    <row r="982" spans="24:26" x14ac:dyDescent="0.2">
      <c r="X982" s="76"/>
      <c r="Y982" s="74"/>
      <c r="Z982" s="76"/>
    </row>
    <row r="983" spans="24:26" x14ac:dyDescent="0.2">
      <c r="X983" s="76"/>
      <c r="Y983" s="74"/>
      <c r="Z983" s="76"/>
    </row>
    <row r="984" spans="24:26" x14ac:dyDescent="0.2">
      <c r="X984" s="76"/>
      <c r="Y984" s="74"/>
      <c r="Z984" s="76"/>
    </row>
    <row r="985" spans="24:26" x14ac:dyDescent="0.2">
      <c r="X985" s="76"/>
      <c r="Y985" s="74"/>
      <c r="Z985" s="76"/>
    </row>
    <row r="986" spans="24:26" x14ac:dyDescent="0.2">
      <c r="X986" s="76"/>
      <c r="Y986" s="74"/>
      <c r="Z986" s="76"/>
    </row>
    <row r="987" spans="24:26" x14ac:dyDescent="0.2">
      <c r="X987" s="76"/>
      <c r="Y987" s="74"/>
      <c r="Z987" s="76"/>
    </row>
    <row r="988" spans="24:26" x14ac:dyDescent="0.2">
      <c r="X988" s="76"/>
      <c r="Y988" s="74"/>
      <c r="Z988" s="76"/>
    </row>
    <row r="989" spans="24:26" x14ac:dyDescent="0.2">
      <c r="X989" s="76"/>
      <c r="Y989" s="74"/>
      <c r="Z989" s="76"/>
    </row>
    <row r="990" spans="24:26" x14ac:dyDescent="0.2">
      <c r="X990" s="76"/>
      <c r="Y990" s="74"/>
      <c r="Z990" s="76"/>
    </row>
    <row r="991" spans="24:26" x14ac:dyDescent="0.2">
      <c r="X991" s="76"/>
      <c r="Y991" s="74"/>
      <c r="Z991" s="76"/>
    </row>
    <row r="992" spans="24:26" x14ac:dyDescent="0.2">
      <c r="X992" s="76"/>
      <c r="Y992" s="74"/>
      <c r="Z992" s="76"/>
    </row>
    <row r="993" spans="24:26" x14ac:dyDescent="0.2">
      <c r="X993" s="76"/>
      <c r="Y993" s="74"/>
      <c r="Z993" s="76"/>
    </row>
    <row r="994" spans="24:26" x14ac:dyDescent="0.2">
      <c r="X994" s="76"/>
      <c r="Y994" s="74"/>
      <c r="Z994" s="76"/>
    </row>
    <row r="995" spans="24:26" x14ac:dyDescent="0.2">
      <c r="X995" s="76"/>
      <c r="Y995" s="74"/>
      <c r="Z995" s="76"/>
    </row>
    <row r="996" spans="24:26" x14ac:dyDescent="0.2">
      <c r="X996" s="76"/>
      <c r="Y996" s="74"/>
      <c r="Z996" s="76"/>
    </row>
    <row r="997" spans="24:26" x14ac:dyDescent="0.2">
      <c r="X997" s="76"/>
      <c r="Y997" s="74"/>
      <c r="Z997" s="76"/>
    </row>
    <row r="998" spans="24:26" x14ac:dyDescent="0.2">
      <c r="X998" s="76"/>
      <c r="Y998" s="74"/>
      <c r="Z998" s="76"/>
    </row>
    <row r="999" spans="24:26" x14ac:dyDescent="0.2">
      <c r="X999" s="76"/>
      <c r="Y999" s="74"/>
      <c r="Z999" s="76"/>
    </row>
    <row r="1000" spans="24:26" x14ac:dyDescent="0.2">
      <c r="X1000" s="76"/>
      <c r="Y1000" s="74"/>
      <c r="Z1000" s="76"/>
    </row>
    <row r="1001" spans="24:26" x14ac:dyDescent="0.2">
      <c r="X1001" s="76"/>
      <c r="Y1001" s="74"/>
      <c r="Z1001" s="76"/>
    </row>
    <row r="1002" spans="24:26" x14ac:dyDescent="0.2">
      <c r="X1002" s="76"/>
      <c r="Y1002" s="74"/>
      <c r="Z1002" s="76"/>
    </row>
    <row r="1003" spans="24:26" x14ac:dyDescent="0.2">
      <c r="X1003" s="76"/>
      <c r="Y1003" s="74"/>
      <c r="Z1003" s="76"/>
    </row>
    <row r="1004" spans="24:26" x14ac:dyDescent="0.2">
      <c r="X1004" s="76"/>
      <c r="Y1004" s="74"/>
      <c r="Z1004" s="76"/>
    </row>
    <row r="1005" spans="24:26" x14ac:dyDescent="0.2">
      <c r="X1005" s="76"/>
      <c r="Y1005" s="74"/>
      <c r="Z1005" s="76"/>
    </row>
    <row r="1006" spans="24:26" x14ac:dyDescent="0.2">
      <c r="X1006" s="76"/>
      <c r="Y1006" s="74"/>
      <c r="Z1006" s="76"/>
    </row>
    <row r="1007" spans="24:26" x14ac:dyDescent="0.2">
      <c r="X1007" s="76"/>
      <c r="Y1007" s="74"/>
      <c r="Z1007" s="76"/>
    </row>
    <row r="1008" spans="24:26" x14ac:dyDescent="0.2">
      <c r="X1008" s="76"/>
      <c r="Y1008" s="74"/>
      <c r="Z1008" s="76"/>
    </row>
    <row r="1009" spans="24:26" x14ac:dyDescent="0.2">
      <c r="X1009" s="76"/>
      <c r="Y1009" s="74"/>
      <c r="Z1009" s="76"/>
    </row>
    <row r="1010" spans="24:26" x14ac:dyDescent="0.2">
      <c r="X1010" s="76"/>
      <c r="Y1010" s="74"/>
      <c r="Z1010" s="76"/>
    </row>
    <row r="1011" spans="24:26" x14ac:dyDescent="0.2">
      <c r="X1011" s="76"/>
      <c r="Y1011" s="74"/>
      <c r="Z1011" s="76"/>
    </row>
    <row r="1012" spans="24:26" x14ac:dyDescent="0.2">
      <c r="X1012" s="76"/>
      <c r="Y1012" s="74"/>
      <c r="Z1012" s="76"/>
    </row>
    <row r="1013" spans="24:26" x14ac:dyDescent="0.2">
      <c r="X1013" s="76"/>
      <c r="Y1013" s="74"/>
      <c r="Z1013" s="76"/>
    </row>
    <row r="1014" spans="24:26" x14ac:dyDescent="0.2">
      <c r="X1014" s="76"/>
      <c r="Y1014" s="74"/>
      <c r="Z1014" s="76"/>
    </row>
    <row r="1015" spans="24:26" x14ac:dyDescent="0.2">
      <c r="X1015" s="76"/>
      <c r="Y1015" s="74"/>
      <c r="Z1015" s="76"/>
    </row>
    <row r="1016" spans="24:26" x14ac:dyDescent="0.2">
      <c r="X1016" s="76"/>
      <c r="Y1016" s="74"/>
      <c r="Z1016" s="76"/>
    </row>
    <row r="1017" spans="24:26" x14ac:dyDescent="0.2">
      <c r="X1017" s="76"/>
      <c r="Y1017" s="74"/>
      <c r="Z1017" s="76"/>
    </row>
    <row r="1018" spans="24:26" x14ac:dyDescent="0.2">
      <c r="X1018" s="76"/>
      <c r="Y1018" s="74"/>
      <c r="Z1018" s="76"/>
    </row>
    <row r="1019" spans="24:26" x14ac:dyDescent="0.2">
      <c r="X1019" s="76"/>
      <c r="Y1019" s="74"/>
      <c r="Z1019" s="76"/>
    </row>
    <row r="1020" spans="24:26" x14ac:dyDescent="0.2">
      <c r="X1020" s="76"/>
      <c r="Y1020" s="74"/>
      <c r="Z1020" s="76"/>
    </row>
    <row r="1021" spans="24:26" x14ac:dyDescent="0.2">
      <c r="X1021" s="76"/>
      <c r="Y1021" s="74"/>
      <c r="Z1021" s="76"/>
    </row>
    <row r="1022" spans="24:26" x14ac:dyDescent="0.2">
      <c r="X1022" s="76"/>
      <c r="Y1022" s="74"/>
      <c r="Z1022" s="76"/>
    </row>
    <row r="1023" spans="24:26" x14ac:dyDescent="0.2">
      <c r="X1023" s="76"/>
      <c r="Y1023" s="74"/>
      <c r="Z1023" s="76"/>
    </row>
    <row r="1024" spans="24:26" x14ac:dyDescent="0.2">
      <c r="X1024" s="76"/>
      <c r="Y1024" s="74"/>
      <c r="Z1024" s="76"/>
    </row>
    <row r="1025" spans="24:26" x14ac:dyDescent="0.2">
      <c r="X1025" s="76"/>
      <c r="Y1025" s="74"/>
      <c r="Z1025" s="76"/>
    </row>
    <row r="1026" spans="24:26" x14ac:dyDescent="0.2">
      <c r="X1026" s="76"/>
      <c r="Y1026" s="74"/>
      <c r="Z1026" s="76"/>
    </row>
    <row r="1027" spans="24:26" x14ac:dyDescent="0.2">
      <c r="X1027" s="76"/>
      <c r="Y1027" s="74"/>
      <c r="Z1027" s="76"/>
    </row>
    <row r="1028" spans="24:26" x14ac:dyDescent="0.2">
      <c r="X1028" s="76"/>
      <c r="Y1028" s="74"/>
      <c r="Z1028" s="76"/>
    </row>
    <row r="1029" spans="24:26" x14ac:dyDescent="0.2">
      <c r="X1029" s="76"/>
      <c r="Y1029" s="74"/>
      <c r="Z1029" s="76"/>
    </row>
    <row r="1030" spans="24:26" x14ac:dyDescent="0.2">
      <c r="X1030" s="76"/>
      <c r="Y1030" s="74"/>
      <c r="Z1030" s="76"/>
    </row>
    <row r="1031" spans="24:26" x14ac:dyDescent="0.2">
      <c r="X1031" s="76"/>
      <c r="Y1031" s="74"/>
      <c r="Z1031" s="76"/>
    </row>
    <row r="1032" spans="24:26" x14ac:dyDescent="0.2">
      <c r="X1032" s="76"/>
      <c r="Y1032" s="74"/>
      <c r="Z1032" s="76"/>
    </row>
    <row r="1033" spans="24:26" x14ac:dyDescent="0.2">
      <c r="X1033" s="76"/>
      <c r="Y1033" s="74"/>
      <c r="Z1033" s="76"/>
    </row>
    <row r="1034" spans="24:26" x14ac:dyDescent="0.2">
      <c r="X1034" s="76"/>
      <c r="Y1034" s="74"/>
      <c r="Z1034" s="76"/>
    </row>
    <row r="1035" spans="24:26" x14ac:dyDescent="0.2">
      <c r="X1035" s="76"/>
      <c r="Y1035" s="74"/>
      <c r="Z1035" s="76"/>
    </row>
    <row r="1036" spans="24:26" x14ac:dyDescent="0.2">
      <c r="X1036" s="76"/>
      <c r="Y1036" s="74"/>
      <c r="Z1036" s="76"/>
    </row>
    <row r="1037" spans="24:26" x14ac:dyDescent="0.2">
      <c r="X1037" s="76"/>
      <c r="Y1037" s="74"/>
      <c r="Z1037" s="76"/>
    </row>
    <row r="1038" spans="24:26" x14ac:dyDescent="0.2">
      <c r="X1038" s="76"/>
      <c r="Y1038" s="74"/>
      <c r="Z1038" s="76"/>
    </row>
    <row r="1039" spans="24:26" x14ac:dyDescent="0.2">
      <c r="X1039" s="76"/>
      <c r="Y1039" s="74"/>
      <c r="Z1039" s="76"/>
    </row>
    <row r="1040" spans="24:26" x14ac:dyDescent="0.2">
      <c r="X1040" s="76"/>
      <c r="Y1040" s="74"/>
      <c r="Z1040" s="76"/>
    </row>
    <row r="1041" spans="24:26" x14ac:dyDescent="0.2">
      <c r="X1041" s="76"/>
      <c r="Y1041" s="74"/>
      <c r="Z1041" s="76"/>
    </row>
    <row r="1042" spans="24:26" x14ac:dyDescent="0.2">
      <c r="X1042" s="76"/>
      <c r="Y1042" s="74"/>
      <c r="Z1042" s="76"/>
    </row>
    <row r="1043" spans="24:26" x14ac:dyDescent="0.2">
      <c r="X1043" s="76"/>
      <c r="Y1043" s="74"/>
      <c r="Z1043" s="76"/>
    </row>
    <row r="1044" spans="24:26" x14ac:dyDescent="0.2">
      <c r="X1044" s="76"/>
      <c r="Y1044" s="74"/>
      <c r="Z1044" s="76"/>
    </row>
    <row r="1045" spans="24:26" x14ac:dyDescent="0.2">
      <c r="X1045" s="76"/>
      <c r="Y1045" s="74"/>
      <c r="Z1045" s="76"/>
    </row>
    <row r="1046" spans="24:26" x14ac:dyDescent="0.2">
      <c r="X1046" s="76"/>
      <c r="Y1046" s="74"/>
      <c r="Z1046" s="76"/>
    </row>
    <row r="1047" spans="24:26" x14ac:dyDescent="0.2">
      <c r="X1047" s="76"/>
      <c r="Y1047" s="74"/>
      <c r="Z1047" s="76"/>
    </row>
    <row r="1048" spans="24:26" x14ac:dyDescent="0.2">
      <c r="X1048" s="76"/>
      <c r="Y1048" s="74"/>
      <c r="Z1048" s="76"/>
    </row>
    <row r="1049" spans="24:26" x14ac:dyDescent="0.2">
      <c r="X1049" s="76"/>
      <c r="Y1049" s="74"/>
      <c r="Z1049" s="76"/>
    </row>
    <row r="1050" spans="24:26" x14ac:dyDescent="0.2">
      <c r="X1050" s="76"/>
      <c r="Y1050" s="74"/>
      <c r="Z1050" s="76"/>
    </row>
    <row r="1051" spans="24:26" x14ac:dyDescent="0.2">
      <c r="X1051" s="76"/>
      <c r="Y1051" s="74"/>
      <c r="Z1051" s="76"/>
    </row>
    <row r="1052" spans="24:26" x14ac:dyDescent="0.2">
      <c r="X1052" s="76"/>
      <c r="Y1052" s="74"/>
      <c r="Z1052" s="76"/>
    </row>
    <row r="1053" spans="24:26" x14ac:dyDescent="0.2">
      <c r="X1053" s="76"/>
      <c r="Y1053" s="74"/>
      <c r="Z1053" s="76"/>
    </row>
    <row r="1054" spans="24:26" x14ac:dyDescent="0.2">
      <c r="X1054" s="76"/>
      <c r="Y1054" s="74"/>
      <c r="Z1054" s="76"/>
    </row>
    <row r="1055" spans="24:26" x14ac:dyDescent="0.2">
      <c r="X1055" s="76"/>
      <c r="Y1055" s="74"/>
      <c r="Z1055" s="76"/>
    </row>
    <row r="1056" spans="24:26" x14ac:dyDescent="0.2">
      <c r="X1056" s="76"/>
      <c r="Y1056" s="74"/>
      <c r="Z1056" s="76"/>
    </row>
    <row r="1057" spans="24:26" x14ac:dyDescent="0.2">
      <c r="X1057" s="76"/>
      <c r="Y1057" s="74"/>
      <c r="Z1057" s="76"/>
    </row>
    <row r="1058" spans="24:26" x14ac:dyDescent="0.2">
      <c r="X1058" s="76"/>
      <c r="Y1058" s="74"/>
      <c r="Z1058" s="76"/>
    </row>
    <row r="1059" spans="24:26" x14ac:dyDescent="0.2">
      <c r="X1059" s="76"/>
      <c r="Y1059" s="74"/>
      <c r="Z1059" s="76"/>
    </row>
    <row r="1060" spans="24:26" x14ac:dyDescent="0.2">
      <c r="X1060" s="76"/>
      <c r="Y1060" s="74"/>
      <c r="Z1060" s="76"/>
    </row>
    <row r="1061" spans="24:26" x14ac:dyDescent="0.2">
      <c r="X1061" s="76"/>
      <c r="Y1061" s="74"/>
      <c r="Z1061" s="76"/>
    </row>
    <row r="1062" spans="24:26" x14ac:dyDescent="0.2">
      <c r="X1062" s="76"/>
      <c r="Y1062" s="74"/>
      <c r="Z1062" s="76"/>
    </row>
    <row r="1063" spans="24:26" x14ac:dyDescent="0.2">
      <c r="X1063" s="76"/>
      <c r="Y1063" s="74"/>
      <c r="Z1063" s="76"/>
    </row>
    <row r="1064" spans="24:26" x14ac:dyDescent="0.2">
      <c r="X1064" s="76"/>
      <c r="Y1064" s="74"/>
      <c r="Z1064" s="76"/>
    </row>
    <row r="1065" spans="24:26" x14ac:dyDescent="0.2">
      <c r="X1065" s="76"/>
      <c r="Y1065" s="74"/>
      <c r="Z1065" s="76"/>
    </row>
    <row r="1066" spans="24:26" x14ac:dyDescent="0.2">
      <c r="X1066" s="76"/>
      <c r="Y1066" s="74"/>
      <c r="Z1066" s="76"/>
    </row>
    <row r="1067" spans="24:26" x14ac:dyDescent="0.2">
      <c r="X1067" s="76"/>
      <c r="Y1067" s="74"/>
      <c r="Z1067" s="76"/>
    </row>
    <row r="1068" spans="24:26" x14ac:dyDescent="0.2">
      <c r="X1068" s="76"/>
      <c r="Y1068" s="74"/>
      <c r="Z1068" s="76"/>
    </row>
    <row r="1069" spans="24:26" x14ac:dyDescent="0.2">
      <c r="X1069" s="76"/>
      <c r="Y1069" s="74"/>
      <c r="Z1069" s="76"/>
    </row>
    <row r="1070" spans="24:26" x14ac:dyDescent="0.2">
      <c r="X1070" s="76"/>
      <c r="Y1070" s="74"/>
      <c r="Z1070" s="76"/>
    </row>
    <row r="1071" spans="24:26" x14ac:dyDescent="0.2">
      <c r="X1071" s="76"/>
      <c r="Y1071" s="74"/>
      <c r="Z1071" s="76"/>
    </row>
    <row r="1072" spans="24:26" x14ac:dyDescent="0.2">
      <c r="X1072" s="76"/>
      <c r="Y1072" s="74"/>
      <c r="Z1072" s="76"/>
    </row>
    <row r="1073" spans="24:26" x14ac:dyDescent="0.2">
      <c r="X1073" s="76"/>
      <c r="Y1073" s="74"/>
      <c r="Z1073" s="76"/>
    </row>
    <row r="1074" spans="24:26" x14ac:dyDescent="0.2">
      <c r="X1074" s="76"/>
      <c r="Y1074" s="74"/>
      <c r="Z1074" s="76"/>
    </row>
    <row r="1075" spans="24:26" x14ac:dyDescent="0.2">
      <c r="X1075" s="76"/>
      <c r="Y1075" s="74"/>
      <c r="Z1075" s="76"/>
    </row>
    <row r="1076" spans="24:26" x14ac:dyDescent="0.2">
      <c r="X1076" s="76"/>
      <c r="Y1076" s="74"/>
      <c r="Z1076" s="76"/>
    </row>
    <row r="1077" spans="24:26" x14ac:dyDescent="0.2">
      <c r="X1077" s="76"/>
      <c r="Y1077" s="74"/>
      <c r="Z1077" s="76"/>
    </row>
    <row r="1078" spans="24:26" x14ac:dyDescent="0.2">
      <c r="X1078" s="76"/>
      <c r="Y1078" s="74"/>
      <c r="Z1078" s="76"/>
    </row>
    <row r="1079" spans="24:26" x14ac:dyDescent="0.2">
      <c r="X1079" s="76"/>
      <c r="Y1079" s="74"/>
      <c r="Z1079" s="76"/>
    </row>
    <row r="1080" spans="24:26" x14ac:dyDescent="0.2">
      <c r="X1080" s="76"/>
      <c r="Y1080" s="74"/>
      <c r="Z1080" s="76"/>
    </row>
    <row r="1081" spans="24:26" x14ac:dyDescent="0.2">
      <c r="X1081" s="76"/>
      <c r="Y1081" s="74"/>
      <c r="Z1081" s="76"/>
    </row>
    <row r="1082" spans="24:26" x14ac:dyDescent="0.2">
      <c r="X1082" s="76"/>
      <c r="Y1082" s="74"/>
      <c r="Z1082" s="76"/>
    </row>
    <row r="1083" spans="24:26" x14ac:dyDescent="0.2">
      <c r="X1083" s="76"/>
      <c r="Y1083" s="74"/>
      <c r="Z1083" s="76"/>
    </row>
    <row r="1084" spans="24:26" x14ac:dyDescent="0.2">
      <c r="X1084" s="76"/>
      <c r="Y1084" s="74"/>
      <c r="Z1084" s="76"/>
    </row>
    <row r="1085" spans="24:26" x14ac:dyDescent="0.2">
      <c r="X1085" s="76"/>
      <c r="Y1085" s="74"/>
      <c r="Z1085" s="76"/>
    </row>
    <row r="1086" spans="24:26" x14ac:dyDescent="0.2">
      <c r="X1086" s="76"/>
      <c r="Y1086" s="74"/>
      <c r="Z1086" s="76"/>
    </row>
    <row r="1087" spans="24:26" x14ac:dyDescent="0.2">
      <c r="X1087" s="76"/>
      <c r="Y1087" s="74"/>
      <c r="Z1087" s="76"/>
    </row>
    <row r="1088" spans="24:26" x14ac:dyDescent="0.2">
      <c r="X1088" s="76"/>
      <c r="Y1088" s="74"/>
      <c r="Z1088" s="76"/>
    </row>
    <row r="1089" spans="24:26" x14ac:dyDescent="0.2">
      <c r="X1089" s="76"/>
      <c r="Y1089" s="74"/>
      <c r="Z1089" s="76"/>
    </row>
    <row r="1090" spans="24:26" x14ac:dyDescent="0.2">
      <c r="X1090" s="76"/>
      <c r="Y1090" s="74"/>
      <c r="Z1090" s="76"/>
    </row>
    <row r="1091" spans="24:26" x14ac:dyDescent="0.2">
      <c r="X1091" s="76"/>
      <c r="Y1091" s="74"/>
      <c r="Z1091" s="76"/>
    </row>
    <row r="1092" spans="24:26" x14ac:dyDescent="0.2">
      <c r="X1092" s="76"/>
      <c r="Y1092" s="74"/>
      <c r="Z1092" s="76"/>
    </row>
    <row r="1093" spans="24:26" x14ac:dyDescent="0.2">
      <c r="X1093" s="76"/>
      <c r="Y1093" s="74"/>
      <c r="Z1093" s="76"/>
    </row>
    <row r="1094" spans="24:26" x14ac:dyDescent="0.2">
      <c r="X1094" s="76"/>
      <c r="Y1094" s="74"/>
      <c r="Z1094" s="76"/>
    </row>
    <row r="1095" spans="24:26" x14ac:dyDescent="0.2">
      <c r="X1095" s="76"/>
      <c r="Y1095" s="74"/>
      <c r="Z1095" s="76"/>
    </row>
    <row r="1096" spans="24:26" x14ac:dyDescent="0.2">
      <c r="X1096" s="76"/>
      <c r="Y1096" s="74"/>
      <c r="Z1096" s="76"/>
    </row>
    <row r="1097" spans="24:26" x14ac:dyDescent="0.2">
      <c r="X1097" s="76"/>
      <c r="Y1097" s="74"/>
      <c r="Z1097" s="76"/>
    </row>
    <row r="1098" spans="24:26" x14ac:dyDescent="0.2">
      <c r="X1098" s="76"/>
      <c r="Y1098" s="74"/>
      <c r="Z1098" s="76"/>
    </row>
    <row r="1099" spans="24:26" x14ac:dyDescent="0.2">
      <c r="X1099" s="76"/>
      <c r="Y1099" s="74"/>
      <c r="Z1099" s="76"/>
    </row>
    <row r="1100" spans="24:26" x14ac:dyDescent="0.2">
      <c r="X1100" s="76"/>
      <c r="Y1100" s="74"/>
      <c r="Z1100" s="76"/>
    </row>
    <row r="1101" spans="24:26" x14ac:dyDescent="0.2">
      <c r="X1101" s="76"/>
      <c r="Y1101" s="74"/>
      <c r="Z1101" s="76"/>
    </row>
    <row r="1102" spans="24:26" x14ac:dyDescent="0.2">
      <c r="X1102" s="76"/>
      <c r="Y1102" s="74"/>
      <c r="Z1102" s="76"/>
    </row>
    <row r="1103" spans="24:26" x14ac:dyDescent="0.2">
      <c r="X1103" s="76"/>
      <c r="Y1103" s="74"/>
      <c r="Z1103" s="76"/>
    </row>
    <row r="1104" spans="24:26" x14ac:dyDescent="0.2">
      <c r="X1104" s="76"/>
      <c r="Y1104" s="74"/>
      <c r="Z1104" s="76"/>
    </row>
    <row r="1105" spans="24:26" x14ac:dyDescent="0.2">
      <c r="X1105" s="76"/>
      <c r="Y1105" s="74"/>
      <c r="Z1105" s="76"/>
    </row>
    <row r="1106" spans="24:26" x14ac:dyDescent="0.2">
      <c r="X1106" s="76"/>
      <c r="Y1106" s="74"/>
      <c r="Z1106" s="76"/>
    </row>
    <row r="1107" spans="24:26" x14ac:dyDescent="0.2">
      <c r="X1107" s="76"/>
      <c r="Y1107" s="74"/>
      <c r="Z1107" s="76"/>
    </row>
    <row r="1108" spans="24:26" x14ac:dyDescent="0.2">
      <c r="X1108" s="76"/>
      <c r="Y1108" s="74"/>
      <c r="Z1108" s="76"/>
    </row>
    <row r="1109" spans="24:26" x14ac:dyDescent="0.2">
      <c r="X1109" s="76"/>
      <c r="Y1109" s="74"/>
      <c r="Z1109" s="76"/>
    </row>
    <row r="1110" spans="24:26" x14ac:dyDescent="0.2">
      <c r="X1110" s="76"/>
      <c r="Y1110" s="74"/>
      <c r="Z1110" s="76"/>
    </row>
    <row r="1111" spans="24:26" x14ac:dyDescent="0.2">
      <c r="X1111" s="76"/>
      <c r="Y1111" s="74"/>
      <c r="Z1111" s="76"/>
    </row>
    <row r="1112" spans="24:26" x14ac:dyDescent="0.2">
      <c r="X1112" s="76"/>
      <c r="Y1112" s="74"/>
      <c r="Z1112" s="76"/>
    </row>
    <row r="1113" spans="24:26" x14ac:dyDescent="0.2">
      <c r="X1113" s="76"/>
      <c r="Y1113" s="74"/>
      <c r="Z1113" s="76"/>
    </row>
    <row r="1114" spans="24:26" x14ac:dyDescent="0.2">
      <c r="X1114" s="76"/>
      <c r="Y1114" s="74"/>
      <c r="Z1114" s="76"/>
    </row>
    <row r="1115" spans="24:26" x14ac:dyDescent="0.2">
      <c r="X1115" s="76"/>
      <c r="Y1115" s="74"/>
      <c r="Z1115" s="76"/>
    </row>
    <row r="1116" spans="24:26" x14ac:dyDescent="0.2">
      <c r="X1116" s="76"/>
      <c r="Y1116" s="74"/>
      <c r="Z1116" s="76"/>
    </row>
    <row r="1117" spans="24:26" x14ac:dyDescent="0.2">
      <c r="X1117" s="76"/>
      <c r="Y1117" s="74"/>
      <c r="Z1117" s="76"/>
    </row>
    <row r="1118" spans="24:26" x14ac:dyDescent="0.2">
      <c r="X1118" s="76"/>
      <c r="Y1118" s="74"/>
      <c r="Z1118" s="76"/>
    </row>
    <row r="1119" spans="24:26" x14ac:dyDescent="0.2">
      <c r="X1119" s="76"/>
      <c r="Y1119" s="74"/>
      <c r="Z1119" s="76"/>
    </row>
    <row r="1120" spans="24:26" x14ac:dyDescent="0.2">
      <c r="X1120" s="76"/>
      <c r="Y1120" s="74"/>
      <c r="Z1120" s="76"/>
    </row>
    <row r="1121" spans="24:26" x14ac:dyDescent="0.2">
      <c r="X1121" s="76"/>
      <c r="Y1121" s="74"/>
      <c r="Z1121" s="76"/>
    </row>
    <row r="1122" spans="24:26" x14ac:dyDescent="0.2">
      <c r="X1122" s="76"/>
      <c r="Y1122" s="74"/>
      <c r="Z1122" s="76"/>
    </row>
    <row r="1123" spans="24:26" x14ac:dyDescent="0.2">
      <c r="X1123" s="76"/>
      <c r="Y1123" s="74"/>
      <c r="Z1123" s="76"/>
    </row>
    <row r="1124" spans="24:26" x14ac:dyDescent="0.2">
      <c r="X1124" s="76"/>
      <c r="Y1124" s="74"/>
      <c r="Z1124" s="76"/>
    </row>
    <row r="1125" spans="24:26" x14ac:dyDescent="0.2">
      <c r="X1125" s="76"/>
      <c r="Y1125" s="74"/>
      <c r="Z1125" s="76"/>
    </row>
    <row r="1126" spans="24:26" x14ac:dyDescent="0.2">
      <c r="X1126" s="76"/>
      <c r="Y1126" s="74"/>
      <c r="Z1126" s="76"/>
    </row>
    <row r="1127" spans="24:26" x14ac:dyDescent="0.2">
      <c r="X1127" s="76"/>
      <c r="Y1127" s="74"/>
      <c r="Z1127" s="76"/>
    </row>
    <row r="1128" spans="24:26" x14ac:dyDescent="0.2">
      <c r="X1128" s="76"/>
      <c r="Y1128" s="74"/>
      <c r="Z1128" s="76"/>
    </row>
    <row r="1129" spans="24:26" x14ac:dyDescent="0.2">
      <c r="X1129" s="76"/>
      <c r="Y1129" s="74"/>
      <c r="Z1129" s="76"/>
    </row>
    <row r="1130" spans="24:26" x14ac:dyDescent="0.2">
      <c r="X1130" s="76"/>
      <c r="Y1130" s="74"/>
      <c r="Z1130" s="76"/>
    </row>
    <row r="1131" spans="24:26" x14ac:dyDescent="0.2">
      <c r="X1131" s="76"/>
      <c r="Y1131" s="74"/>
      <c r="Z1131" s="76"/>
    </row>
    <row r="1132" spans="24:26" x14ac:dyDescent="0.2">
      <c r="X1132" s="76"/>
      <c r="Y1132" s="74"/>
      <c r="Z1132" s="76"/>
    </row>
    <row r="1133" spans="24:26" x14ac:dyDescent="0.2">
      <c r="X1133" s="76"/>
      <c r="Y1133" s="74"/>
      <c r="Z1133" s="76"/>
    </row>
    <row r="1134" spans="24:26" x14ac:dyDescent="0.2">
      <c r="X1134" s="76"/>
      <c r="Y1134" s="74"/>
      <c r="Z1134" s="76"/>
    </row>
    <row r="1135" spans="24:26" x14ac:dyDescent="0.2">
      <c r="X1135" s="76"/>
      <c r="Y1135" s="74"/>
      <c r="Z1135" s="76"/>
    </row>
    <row r="1136" spans="24:26" x14ac:dyDescent="0.2">
      <c r="X1136" s="76"/>
      <c r="Y1136" s="74"/>
      <c r="Z1136" s="76"/>
    </row>
    <row r="1137" spans="24:26" x14ac:dyDescent="0.2">
      <c r="X1137" s="76"/>
      <c r="Y1137" s="74"/>
      <c r="Z1137" s="76"/>
    </row>
    <row r="1138" spans="24:26" x14ac:dyDescent="0.2">
      <c r="X1138" s="76"/>
      <c r="Y1138" s="74"/>
      <c r="Z1138" s="76"/>
    </row>
    <row r="1139" spans="24:26" x14ac:dyDescent="0.2">
      <c r="X1139" s="76"/>
      <c r="Y1139" s="74"/>
      <c r="Z1139" s="76"/>
    </row>
    <row r="1140" spans="24:26" x14ac:dyDescent="0.2">
      <c r="X1140" s="76"/>
      <c r="Y1140" s="74"/>
      <c r="Z1140" s="76"/>
    </row>
    <row r="1141" spans="24:26" x14ac:dyDescent="0.2">
      <c r="X1141" s="76"/>
      <c r="Y1141" s="74"/>
      <c r="Z1141" s="76"/>
    </row>
    <row r="1142" spans="24:26" x14ac:dyDescent="0.2">
      <c r="X1142" s="76"/>
      <c r="Y1142" s="74"/>
      <c r="Z1142" s="76"/>
    </row>
    <row r="1143" spans="24:26" x14ac:dyDescent="0.2">
      <c r="X1143" s="76"/>
      <c r="Y1143" s="74"/>
      <c r="Z1143" s="76"/>
    </row>
    <row r="1144" spans="24:26" x14ac:dyDescent="0.2">
      <c r="X1144" s="76"/>
      <c r="Y1144" s="74"/>
      <c r="Z1144" s="76"/>
    </row>
    <row r="1145" spans="24:26" x14ac:dyDescent="0.2">
      <c r="X1145" s="76"/>
      <c r="Y1145" s="74"/>
      <c r="Z1145" s="76"/>
    </row>
    <row r="1146" spans="24:26" x14ac:dyDescent="0.2">
      <c r="X1146" s="76"/>
      <c r="Y1146" s="74"/>
      <c r="Z1146" s="76"/>
    </row>
    <row r="1147" spans="24:26" x14ac:dyDescent="0.2">
      <c r="X1147" s="76"/>
      <c r="Y1147" s="74"/>
      <c r="Z1147" s="76"/>
    </row>
    <row r="1148" spans="24:26" x14ac:dyDescent="0.2">
      <c r="X1148" s="76"/>
      <c r="Y1148" s="74"/>
      <c r="Z1148" s="76"/>
    </row>
    <row r="1149" spans="24:26" x14ac:dyDescent="0.2">
      <c r="X1149" s="76"/>
      <c r="Y1149" s="74"/>
      <c r="Z1149" s="76"/>
    </row>
    <row r="1150" spans="24:26" x14ac:dyDescent="0.2">
      <c r="X1150" s="76"/>
      <c r="Y1150" s="74"/>
      <c r="Z1150" s="76"/>
    </row>
    <row r="1151" spans="24:26" x14ac:dyDescent="0.2">
      <c r="X1151" s="76"/>
      <c r="Y1151" s="74"/>
      <c r="Z1151" s="76"/>
    </row>
    <row r="1152" spans="24:26" x14ac:dyDescent="0.2">
      <c r="X1152" s="76"/>
      <c r="Y1152" s="74"/>
      <c r="Z1152" s="76"/>
    </row>
    <row r="1153" spans="24:26" x14ac:dyDescent="0.2">
      <c r="X1153" s="76"/>
      <c r="Y1153" s="74"/>
      <c r="Z1153" s="76"/>
    </row>
    <row r="1154" spans="24:26" x14ac:dyDescent="0.2">
      <c r="X1154" s="76"/>
      <c r="Y1154" s="74"/>
      <c r="Z1154" s="76"/>
    </row>
    <row r="1155" spans="24:26" x14ac:dyDescent="0.2">
      <c r="X1155" s="76"/>
      <c r="Y1155" s="74"/>
      <c r="Z1155" s="76"/>
    </row>
    <row r="1156" spans="24:26" x14ac:dyDescent="0.2">
      <c r="X1156" s="76"/>
      <c r="Y1156" s="74"/>
      <c r="Z1156" s="76"/>
    </row>
    <row r="1157" spans="24:26" x14ac:dyDescent="0.2">
      <c r="X1157" s="76"/>
      <c r="Y1157" s="74"/>
      <c r="Z1157" s="76"/>
    </row>
    <row r="1158" spans="24:26" x14ac:dyDescent="0.2">
      <c r="X1158" s="76"/>
      <c r="Y1158" s="74"/>
      <c r="Z1158" s="76"/>
    </row>
    <row r="1159" spans="24:26" x14ac:dyDescent="0.2">
      <c r="X1159" s="76"/>
      <c r="Y1159" s="74"/>
      <c r="Z1159" s="76"/>
    </row>
    <row r="1160" spans="24:26" x14ac:dyDescent="0.2">
      <c r="X1160" s="76"/>
      <c r="Y1160" s="74"/>
      <c r="Z1160" s="76"/>
    </row>
    <row r="1161" spans="24:26" x14ac:dyDescent="0.2">
      <c r="X1161" s="76"/>
      <c r="Y1161" s="74"/>
      <c r="Z1161" s="76"/>
    </row>
    <row r="1162" spans="24:26" x14ac:dyDescent="0.2">
      <c r="X1162" s="76"/>
      <c r="Y1162" s="74"/>
      <c r="Z1162" s="76"/>
    </row>
    <row r="1163" spans="24:26" x14ac:dyDescent="0.2">
      <c r="X1163" s="76"/>
      <c r="Y1163" s="74"/>
      <c r="Z1163" s="76"/>
    </row>
    <row r="1164" spans="24:26" x14ac:dyDescent="0.2">
      <c r="X1164" s="76"/>
      <c r="Y1164" s="74"/>
      <c r="Z1164" s="76"/>
    </row>
    <row r="1165" spans="24:26" x14ac:dyDescent="0.2">
      <c r="X1165" s="76"/>
      <c r="Y1165" s="74"/>
      <c r="Z1165" s="76"/>
    </row>
    <row r="1166" spans="24:26" x14ac:dyDescent="0.2">
      <c r="X1166" s="76"/>
      <c r="Y1166" s="74"/>
      <c r="Z1166" s="76"/>
    </row>
    <row r="1167" spans="24:26" x14ac:dyDescent="0.2">
      <c r="X1167" s="76"/>
      <c r="Y1167" s="74"/>
      <c r="Z1167" s="76"/>
    </row>
    <row r="1168" spans="24:26" x14ac:dyDescent="0.2">
      <c r="X1168" s="76"/>
      <c r="Y1168" s="74"/>
      <c r="Z1168" s="76"/>
    </row>
    <row r="1169" spans="24:26" x14ac:dyDescent="0.2">
      <c r="X1169" s="76"/>
      <c r="Y1169" s="74"/>
      <c r="Z1169" s="76"/>
    </row>
    <row r="1170" spans="24:26" x14ac:dyDescent="0.2">
      <c r="X1170" s="76"/>
      <c r="Y1170" s="74"/>
      <c r="Z1170" s="76"/>
    </row>
    <row r="1171" spans="24:26" x14ac:dyDescent="0.2">
      <c r="X1171" s="76"/>
      <c r="Y1171" s="74"/>
      <c r="Z1171" s="76"/>
    </row>
    <row r="1172" spans="24:26" x14ac:dyDescent="0.2">
      <c r="X1172" s="76"/>
      <c r="Y1172" s="74"/>
      <c r="Z1172" s="76"/>
    </row>
    <row r="1173" spans="24:26" x14ac:dyDescent="0.2">
      <c r="X1173" s="76"/>
      <c r="Y1173" s="74"/>
      <c r="Z1173" s="76"/>
    </row>
    <row r="1174" spans="24:26" x14ac:dyDescent="0.2">
      <c r="X1174" s="76"/>
      <c r="Y1174" s="74"/>
      <c r="Z1174" s="76"/>
    </row>
    <row r="1175" spans="24:26" x14ac:dyDescent="0.2">
      <c r="X1175" s="76"/>
      <c r="Y1175" s="74"/>
      <c r="Z1175" s="76"/>
    </row>
    <row r="1176" spans="24:26" x14ac:dyDescent="0.2">
      <c r="X1176" s="76"/>
      <c r="Y1176" s="74"/>
      <c r="Z1176" s="76"/>
    </row>
    <row r="1177" spans="24:26" x14ac:dyDescent="0.2">
      <c r="X1177" s="76"/>
      <c r="Y1177" s="74"/>
      <c r="Z1177" s="76"/>
    </row>
    <row r="1178" spans="24:26" x14ac:dyDescent="0.2">
      <c r="X1178" s="76"/>
      <c r="Y1178" s="74"/>
      <c r="Z1178" s="76"/>
    </row>
    <row r="1179" spans="24:26" x14ac:dyDescent="0.2">
      <c r="X1179" s="76"/>
      <c r="Y1179" s="74"/>
      <c r="Z1179" s="76"/>
    </row>
    <row r="1180" spans="24:26" x14ac:dyDescent="0.2">
      <c r="X1180" s="76"/>
      <c r="Y1180" s="74"/>
      <c r="Z1180" s="76"/>
    </row>
    <row r="1181" spans="24:26" x14ac:dyDescent="0.2">
      <c r="X1181" s="76"/>
      <c r="Y1181" s="74"/>
      <c r="Z1181" s="76"/>
    </row>
    <row r="1182" spans="24:26" x14ac:dyDescent="0.2">
      <c r="X1182" s="76"/>
      <c r="Y1182" s="74"/>
      <c r="Z1182" s="76"/>
    </row>
    <row r="1183" spans="24:26" x14ac:dyDescent="0.2">
      <c r="X1183" s="76"/>
      <c r="Y1183" s="74"/>
      <c r="Z1183" s="76"/>
    </row>
    <row r="1184" spans="24:26" x14ac:dyDescent="0.2">
      <c r="X1184" s="76"/>
      <c r="Y1184" s="74"/>
      <c r="Z1184" s="76"/>
    </row>
    <row r="1185" spans="24:26" x14ac:dyDescent="0.2">
      <c r="X1185" s="76"/>
      <c r="Y1185" s="74"/>
      <c r="Z1185" s="76"/>
    </row>
    <row r="1186" spans="24:26" x14ac:dyDescent="0.2">
      <c r="X1186" s="76"/>
      <c r="Y1186" s="74"/>
      <c r="Z1186" s="76"/>
    </row>
    <row r="1187" spans="24:26" x14ac:dyDescent="0.2">
      <c r="X1187" s="76"/>
      <c r="Y1187" s="74"/>
      <c r="Z1187" s="76"/>
    </row>
    <row r="1188" spans="24:26" x14ac:dyDescent="0.2">
      <c r="X1188" s="76"/>
      <c r="Y1188" s="74"/>
      <c r="Z1188" s="76"/>
    </row>
    <row r="1189" spans="24:26" x14ac:dyDescent="0.2">
      <c r="X1189" s="76"/>
      <c r="Y1189" s="74"/>
      <c r="Z1189" s="76"/>
    </row>
    <row r="1190" spans="24:26" x14ac:dyDescent="0.2">
      <c r="X1190" s="76"/>
      <c r="Y1190" s="74"/>
      <c r="Z1190" s="76"/>
    </row>
    <row r="1191" spans="24:26" x14ac:dyDescent="0.2">
      <c r="X1191" s="76"/>
      <c r="Y1191" s="74"/>
      <c r="Z1191" s="76"/>
    </row>
    <row r="1192" spans="24:26" x14ac:dyDescent="0.2">
      <c r="X1192" s="76"/>
      <c r="Y1192" s="74"/>
      <c r="Z1192" s="76"/>
    </row>
    <row r="1193" spans="24:26" x14ac:dyDescent="0.2">
      <c r="X1193" s="76"/>
      <c r="Y1193" s="74"/>
      <c r="Z1193" s="76"/>
    </row>
    <row r="1194" spans="24:26" x14ac:dyDescent="0.2">
      <c r="X1194" s="76"/>
      <c r="Y1194" s="74"/>
      <c r="Z1194" s="76"/>
    </row>
    <row r="1195" spans="24:26" x14ac:dyDescent="0.2">
      <c r="X1195" s="76"/>
      <c r="Y1195" s="74"/>
      <c r="Z1195" s="76"/>
    </row>
    <row r="1196" spans="24:26" x14ac:dyDescent="0.2">
      <c r="X1196" s="76"/>
      <c r="Y1196" s="74"/>
      <c r="Z1196" s="76"/>
    </row>
    <row r="1197" spans="24:26" x14ac:dyDescent="0.2">
      <c r="X1197" s="76"/>
      <c r="Y1197" s="74"/>
      <c r="Z1197" s="76"/>
    </row>
    <row r="1198" spans="24:26" x14ac:dyDescent="0.2">
      <c r="X1198" s="76"/>
      <c r="Y1198" s="74"/>
      <c r="Z1198" s="76"/>
    </row>
    <row r="1199" spans="24:26" x14ac:dyDescent="0.2">
      <c r="X1199" s="76"/>
      <c r="Y1199" s="74"/>
      <c r="Z1199" s="76"/>
    </row>
    <row r="1200" spans="24:26" x14ac:dyDescent="0.2">
      <c r="X1200" s="76"/>
      <c r="Y1200" s="74"/>
      <c r="Z1200" s="76"/>
    </row>
    <row r="1201" spans="24:26" x14ac:dyDescent="0.2">
      <c r="X1201" s="76"/>
      <c r="Y1201" s="74"/>
      <c r="Z1201" s="76"/>
    </row>
    <row r="1202" spans="24:26" x14ac:dyDescent="0.2">
      <c r="X1202" s="76"/>
      <c r="Y1202" s="74"/>
      <c r="Z1202" s="76"/>
    </row>
    <row r="1203" spans="24:26" x14ac:dyDescent="0.2">
      <c r="X1203" s="76"/>
      <c r="Y1203" s="74"/>
      <c r="Z1203" s="76"/>
    </row>
    <row r="1204" spans="24:26" x14ac:dyDescent="0.2">
      <c r="X1204" s="76"/>
      <c r="Y1204" s="74"/>
      <c r="Z1204" s="76"/>
    </row>
    <row r="1205" spans="24:26" x14ac:dyDescent="0.2">
      <c r="X1205" s="76"/>
      <c r="Y1205" s="74"/>
      <c r="Z1205" s="76"/>
    </row>
    <row r="1206" spans="24:26" x14ac:dyDescent="0.2">
      <c r="X1206" s="76"/>
      <c r="Y1206" s="74"/>
      <c r="Z1206" s="76"/>
    </row>
    <row r="1207" spans="24:26" x14ac:dyDescent="0.2">
      <c r="X1207" s="76"/>
      <c r="Y1207" s="74"/>
      <c r="Z1207" s="76"/>
    </row>
    <row r="1208" spans="24:26" x14ac:dyDescent="0.2">
      <c r="X1208" s="76"/>
      <c r="Y1208" s="74"/>
      <c r="Z1208" s="76"/>
    </row>
    <row r="1209" spans="24:26" x14ac:dyDescent="0.2">
      <c r="X1209" s="76"/>
      <c r="Y1209" s="74"/>
      <c r="Z1209" s="76"/>
    </row>
    <row r="1210" spans="24:26" x14ac:dyDescent="0.2">
      <c r="X1210" s="76"/>
      <c r="Y1210" s="74"/>
      <c r="Z1210" s="76"/>
    </row>
    <row r="1211" spans="24:26" x14ac:dyDescent="0.2">
      <c r="X1211" s="76"/>
      <c r="Y1211" s="74"/>
      <c r="Z1211" s="76"/>
    </row>
    <row r="1212" spans="24:26" x14ac:dyDescent="0.2">
      <c r="X1212" s="76"/>
      <c r="Y1212" s="74"/>
      <c r="Z1212" s="76"/>
    </row>
    <row r="1213" spans="24:26" x14ac:dyDescent="0.2">
      <c r="X1213" s="76"/>
      <c r="Y1213" s="74"/>
      <c r="Z1213" s="76"/>
    </row>
    <row r="1214" spans="24:26" x14ac:dyDescent="0.2">
      <c r="X1214" s="76"/>
      <c r="Y1214" s="74"/>
      <c r="Z1214" s="76"/>
    </row>
    <row r="1215" spans="24:26" x14ac:dyDescent="0.2">
      <c r="X1215" s="76"/>
      <c r="Y1215" s="74"/>
      <c r="Z1215" s="76"/>
    </row>
    <row r="1216" spans="24:26" x14ac:dyDescent="0.2">
      <c r="X1216" s="76"/>
      <c r="Y1216" s="74"/>
      <c r="Z1216" s="76"/>
    </row>
    <row r="1217" spans="24:26" x14ac:dyDescent="0.2">
      <c r="X1217" s="76"/>
      <c r="Y1217" s="74"/>
      <c r="Z1217" s="76"/>
    </row>
    <row r="1218" spans="24:26" x14ac:dyDescent="0.2">
      <c r="X1218" s="76"/>
      <c r="Y1218" s="74"/>
      <c r="Z1218" s="76"/>
    </row>
    <row r="1219" spans="24:26" x14ac:dyDescent="0.2">
      <c r="X1219" s="76"/>
      <c r="Y1219" s="74"/>
      <c r="Z1219" s="76"/>
    </row>
    <row r="1220" spans="24:26" x14ac:dyDescent="0.2">
      <c r="X1220" s="76"/>
      <c r="Y1220" s="74"/>
      <c r="Z1220" s="76"/>
    </row>
    <row r="1221" spans="24:26" x14ac:dyDescent="0.2">
      <c r="X1221" s="76"/>
      <c r="Y1221" s="74"/>
      <c r="Z1221" s="76"/>
    </row>
    <row r="1222" spans="24:26" x14ac:dyDescent="0.2">
      <c r="X1222" s="76"/>
      <c r="Y1222" s="74"/>
      <c r="Z1222" s="76"/>
    </row>
    <row r="1223" spans="24:26" x14ac:dyDescent="0.2">
      <c r="X1223" s="76"/>
      <c r="Y1223" s="74"/>
      <c r="Z1223" s="76"/>
    </row>
    <row r="1224" spans="24:26" x14ac:dyDescent="0.2">
      <c r="X1224" s="76"/>
      <c r="Y1224" s="74"/>
      <c r="Z1224" s="76"/>
    </row>
    <row r="1225" spans="24:26" x14ac:dyDescent="0.2">
      <c r="X1225" s="76"/>
      <c r="Y1225" s="74"/>
      <c r="Z1225" s="76"/>
    </row>
    <row r="1226" spans="24:26" x14ac:dyDescent="0.2">
      <c r="X1226" s="76"/>
      <c r="Y1226" s="74"/>
      <c r="Z1226" s="76"/>
    </row>
    <row r="1227" spans="24:26" x14ac:dyDescent="0.2">
      <c r="X1227" s="76"/>
      <c r="Y1227" s="74"/>
      <c r="Z1227" s="76"/>
    </row>
    <row r="1228" spans="24:26" x14ac:dyDescent="0.2">
      <c r="X1228" s="76"/>
      <c r="Y1228" s="74"/>
      <c r="Z1228" s="76"/>
    </row>
    <row r="1229" spans="24:26" x14ac:dyDescent="0.2">
      <c r="X1229" s="76"/>
      <c r="Y1229" s="74"/>
      <c r="Z1229" s="76"/>
    </row>
    <row r="1230" spans="24:26" x14ac:dyDescent="0.2">
      <c r="X1230" s="76"/>
      <c r="Y1230" s="74"/>
      <c r="Z1230" s="76"/>
    </row>
    <row r="1231" spans="24:26" x14ac:dyDescent="0.2">
      <c r="X1231" s="76"/>
      <c r="Y1231" s="74"/>
      <c r="Z1231" s="76"/>
    </row>
    <row r="1232" spans="24:26" x14ac:dyDescent="0.2">
      <c r="X1232" s="76"/>
      <c r="Y1232" s="74"/>
      <c r="Z1232" s="76"/>
    </row>
    <row r="1233" spans="24:26" x14ac:dyDescent="0.2">
      <c r="X1233" s="76"/>
      <c r="Y1233" s="74"/>
      <c r="Z1233" s="76"/>
    </row>
    <row r="1234" spans="24:26" x14ac:dyDescent="0.2">
      <c r="X1234" s="76"/>
      <c r="Y1234" s="74"/>
      <c r="Z1234" s="76"/>
    </row>
    <row r="1235" spans="24:26" x14ac:dyDescent="0.2">
      <c r="X1235" s="76"/>
      <c r="Y1235" s="74"/>
      <c r="Z1235" s="76"/>
    </row>
    <row r="1236" spans="24:26" x14ac:dyDescent="0.2">
      <c r="X1236" s="76"/>
      <c r="Y1236" s="74"/>
      <c r="Z1236" s="76"/>
    </row>
    <row r="1237" spans="24:26" x14ac:dyDescent="0.2">
      <c r="X1237" s="76"/>
      <c r="Y1237" s="74"/>
      <c r="Z1237" s="76"/>
    </row>
    <row r="1238" spans="24:26" x14ac:dyDescent="0.2">
      <c r="X1238" s="76"/>
      <c r="Y1238" s="74"/>
      <c r="Z1238" s="76"/>
    </row>
    <row r="1239" spans="24:26" x14ac:dyDescent="0.2">
      <c r="X1239" s="76"/>
      <c r="Y1239" s="74"/>
      <c r="Z1239" s="76"/>
    </row>
    <row r="1240" spans="24:26" x14ac:dyDescent="0.2">
      <c r="X1240" s="76"/>
      <c r="Y1240" s="74"/>
      <c r="Z1240" s="76"/>
    </row>
    <row r="1241" spans="24:26" x14ac:dyDescent="0.2">
      <c r="X1241" s="76"/>
      <c r="Y1241" s="74"/>
      <c r="Z1241" s="76"/>
    </row>
    <row r="1242" spans="24:26" x14ac:dyDescent="0.2">
      <c r="X1242" s="76"/>
      <c r="Y1242" s="74"/>
      <c r="Z1242" s="76"/>
    </row>
    <row r="1243" spans="24:26" x14ac:dyDescent="0.2">
      <c r="X1243" s="76"/>
      <c r="Y1243" s="74"/>
      <c r="Z1243" s="76"/>
    </row>
    <row r="1244" spans="24:26" x14ac:dyDescent="0.2">
      <c r="X1244" s="76"/>
      <c r="Y1244" s="74"/>
      <c r="Z1244" s="76"/>
    </row>
    <row r="1245" spans="24:26" x14ac:dyDescent="0.2">
      <c r="X1245" s="76"/>
      <c r="Y1245" s="74"/>
      <c r="Z1245" s="76"/>
    </row>
    <row r="1246" spans="24:26" x14ac:dyDescent="0.2">
      <c r="X1246" s="76"/>
      <c r="Y1246" s="74"/>
      <c r="Z1246" s="76"/>
    </row>
    <row r="1247" spans="24:26" x14ac:dyDescent="0.2">
      <c r="X1247" s="76"/>
      <c r="Y1247" s="74"/>
      <c r="Z1247" s="76"/>
    </row>
    <row r="1248" spans="24:26" x14ac:dyDescent="0.2">
      <c r="X1248" s="76"/>
      <c r="Y1248" s="74"/>
      <c r="Z1248" s="76"/>
    </row>
    <row r="1249" spans="24:26" x14ac:dyDescent="0.2">
      <c r="X1249" s="76"/>
      <c r="Y1249" s="74"/>
      <c r="Z1249" s="76"/>
    </row>
    <row r="1250" spans="24:26" x14ac:dyDescent="0.2">
      <c r="X1250" s="76"/>
      <c r="Y1250" s="74"/>
      <c r="Z1250" s="76"/>
    </row>
    <row r="1251" spans="24:26" x14ac:dyDescent="0.2">
      <c r="X1251" s="76"/>
      <c r="Y1251" s="74"/>
      <c r="Z1251" s="76"/>
    </row>
    <row r="1252" spans="24:26" x14ac:dyDescent="0.2">
      <c r="X1252" s="76"/>
      <c r="Y1252" s="74"/>
      <c r="Z1252" s="76"/>
    </row>
    <row r="1253" spans="24:26" x14ac:dyDescent="0.2">
      <c r="X1253" s="76"/>
      <c r="Y1253" s="74"/>
      <c r="Z1253" s="76"/>
    </row>
    <row r="1254" spans="24:26" x14ac:dyDescent="0.2">
      <c r="X1254" s="76"/>
      <c r="Y1254" s="74"/>
      <c r="Z1254" s="76"/>
    </row>
    <row r="1255" spans="24:26" x14ac:dyDescent="0.2">
      <c r="X1255" s="76"/>
      <c r="Y1255" s="74"/>
      <c r="Z1255" s="76"/>
    </row>
    <row r="1256" spans="24:26" x14ac:dyDescent="0.2">
      <c r="X1256" s="76"/>
      <c r="Y1256" s="74"/>
      <c r="Z1256" s="76"/>
    </row>
    <row r="1257" spans="24:26" x14ac:dyDescent="0.2">
      <c r="X1257" s="76"/>
      <c r="Y1257" s="74"/>
      <c r="Z1257" s="76"/>
    </row>
    <row r="1258" spans="24:26" x14ac:dyDescent="0.2">
      <c r="X1258" s="76"/>
      <c r="Y1258" s="74"/>
      <c r="Z1258" s="76"/>
    </row>
    <row r="1259" spans="24:26" x14ac:dyDescent="0.2">
      <c r="X1259" s="76"/>
      <c r="Y1259" s="74"/>
      <c r="Z1259" s="76"/>
    </row>
    <row r="1260" spans="24:26" x14ac:dyDescent="0.2">
      <c r="X1260" s="76"/>
      <c r="Y1260" s="74"/>
      <c r="Z1260" s="76"/>
    </row>
    <row r="1261" spans="24:26" x14ac:dyDescent="0.2">
      <c r="X1261" s="76"/>
      <c r="Y1261" s="74"/>
      <c r="Z1261" s="76"/>
    </row>
    <row r="1262" spans="24:26" x14ac:dyDescent="0.2">
      <c r="X1262" s="76"/>
      <c r="Y1262" s="74"/>
      <c r="Z1262" s="76"/>
    </row>
    <row r="1263" spans="24:26" x14ac:dyDescent="0.2">
      <c r="X1263" s="76"/>
      <c r="Y1263" s="74"/>
      <c r="Z1263" s="76"/>
    </row>
    <row r="1264" spans="24:26" x14ac:dyDescent="0.2">
      <c r="X1264" s="76"/>
      <c r="Y1264" s="74"/>
      <c r="Z1264" s="76"/>
    </row>
    <row r="1265" spans="24:26" x14ac:dyDescent="0.2">
      <c r="X1265" s="76"/>
      <c r="Y1265" s="74"/>
      <c r="Z1265" s="76"/>
    </row>
    <row r="1266" spans="24:26" x14ac:dyDescent="0.2">
      <c r="X1266" s="76"/>
      <c r="Y1266" s="74"/>
      <c r="Z1266" s="76"/>
    </row>
    <row r="1267" spans="24:26" x14ac:dyDescent="0.2">
      <c r="X1267" s="76"/>
      <c r="Y1267" s="74"/>
      <c r="Z1267" s="76"/>
    </row>
    <row r="1268" spans="24:26" x14ac:dyDescent="0.2">
      <c r="X1268" s="76"/>
      <c r="Y1268" s="74"/>
      <c r="Z1268" s="76"/>
    </row>
    <row r="1269" spans="24:26" x14ac:dyDescent="0.2">
      <c r="X1269" s="76"/>
      <c r="Y1269" s="74"/>
      <c r="Z1269" s="76"/>
    </row>
    <row r="1270" spans="24:26" x14ac:dyDescent="0.2">
      <c r="X1270" s="76"/>
      <c r="Y1270" s="74"/>
      <c r="Z1270" s="76"/>
    </row>
    <row r="1271" spans="24:26" x14ac:dyDescent="0.2">
      <c r="X1271" s="76"/>
      <c r="Y1271" s="74"/>
      <c r="Z1271" s="76"/>
    </row>
    <row r="1272" spans="24:26" x14ac:dyDescent="0.2">
      <c r="X1272" s="76"/>
      <c r="Y1272" s="74"/>
      <c r="Z1272" s="76"/>
    </row>
    <row r="1273" spans="24:26" x14ac:dyDescent="0.2">
      <c r="X1273" s="76"/>
      <c r="Y1273" s="74"/>
      <c r="Z1273" s="76"/>
    </row>
    <row r="1274" spans="24:26" x14ac:dyDescent="0.2">
      <c r="X1274" s="76"/>
      <c r="Y1274" s="74"/>
      <c r="Z1274" s="76"/>
    </row>
    <row r="1275" spans="24:26" x14ac:dyDescent="0.2">
      <c r="X1275" s="76"/>
      <c r="Y1275" s="74"/>
      <c r="Z1275" s="76"/>
    </row>
    <row r="1276" spans="24:26" x14ac:dyDescent="0.2">
      <c r="X1276" s="76"/>
      <c r="Y1276" s="74"/>
      <c r="Z1276" s="76"/>
    </row>
    <row r="1277" spans="24:26" x14ac:dyDescent="0.2">
      <c r="X1277" s="76"/>
      <c r="Y1277" s="74"/>
      <c r="Z1277" s="76"/>
    </row>
    <row r="1278" spans="24:26" x14ac:dyDescent="0.2">
      <c r="X1278" s="76"/>
      <c r="Y1278" s="74"/>
      <c r="Z1278" s="76"/>
    </row>
    <row r="1279" spans="24:26" x14ac:dyDescent="0.2">
      <c r="X1279" s="76"/>
      <c r="Y1279" s="74"/>
      <c r="Z1279" s="76"/>
    </row>
    <row r="1280" spans="24:26" x14ac:dyDescent="0.2">
      <c r="X1280" s="76"/>
      <c r="Y1280" s="74"/>
      <c r="Z1280" s="76"/>
    </row>
    <row r="1281" spans="24:26" x14ac:dyDescent="0.2">
      <c r="X1281" s="76"/>
      <c r="Y1281" s="74"/>
      <c r="Z1281" s="76"/>
    </row>
    <row r="1282" spans="24:26" x14ac:dyDescent="0.2">
      <c r="X1282" s="76"/>
      <c r="Y1282" s="74"/>
      <c r="Z1282" s="76"/>
    </row>
    <row r="1283" spans="24:26" x14ac:dyDescent="0.2">
      <c r="X1283" s="76"/>
      <c r="Y1283" s="74"/>
      <c r="Z1283" s="76"/>
    </row>
    <row r="1284" spans="24:26" x14ac:dyDescent="0.2">
      <c r="X1284" s="76"/>
      <c r="Y1284" s="74"/>
      <c r="Z1284" s="76"/>
    </row>
    <row r="1285" spans="24:26" x14ac:dyDescent="0.2">
      <c r="X1285" s="76"/>
      <c r="Y1285" s="74"/>
      <c r="Z1285" s="76"/>
    </row>
    <row r="1286" spans="24:26" x14ac:dyDescent="0.2">
      <c r="X1286" s="76"/>
      <c r="Y1286" s="74"/>
      <c r="Z1286" s="76"/>
    </row>
    <row r="1287" spans="24:26" x14ac:dyDescent="0.2">
      <c r="X1287" s="76"/>
      <c r="Y1287" s="74"/>
      <c r="Z1287" s="76"/>
    </row>
    <row r="1288" spans="24:26" x14ac:dyDescent="0.2">
      <c r="X1288" s="76"/>
      <c r="Y1288" s="74"/>
      <c r="Z1288" s="76"/>
    </row>
    <row r="1289" spans="24:26" x14ac:dyDescent="0.2">
      <c r="X1289" s="76"/>
      <c r="Y1289" s="74"/>
      <c r="Z1289" s="76"/>
    </row>
    <row r="1290" spans="24:26" x14ac:dyDescent="0.2">
      <c r="X1290" s="76"/>
      <c r="Y1290" s="74"/>
      <c r="Z1290" s="76"/>
    </row>
    <row r="1291" spans="24:26" x14ac:dyDescent="0.2">
      <c r="X1291" s="76"/>
      <c r="Y1291" s="74"/>
      <c r="Z1291" s="76"/>
    </row>
    <row r="1292" spans="24:26" x14ac:dyDescent="0.2">
      <c r="X1292" s="76"/>
      <c r="Y1292" s="74"/>
      <c r="Z1292" s="76"/>
    </row>
    <row r="1293" spans="24:26" x14ac:dyDescent="0.2">
      <c r="X1293" s="76"/>
      <c r="Y1293" s="74"/>
      <c r="Z1293" s="76"/>
    </row>
    <row r="1294" spans="24:26" x14ac:dyDescent="0.2">
      <c r="X1294" s="76"/>
      <c r="Y1294" s="74"/>
      <c r="Z1294" s="76"/>
    </row>
    <row r="1295" spans="24:26" x14ac:dyDescent="0.2">
      <c r="X1295" s="76"/>
      <c r="Y1295" s="74"/>
      <c r="Z1295" s="76"/>
    </row>
    <row r="1296" spans="24:26" x14ac:dyDescent="0.2">
      <c r="X1296" s="76"/>
      <c r="Y1296" s="74"/>
      <c r="Z1296" s="76"/>
    </row>
    <row r="1297" spans="24:26" x14ac:dyDescent="0.2">
      <c r="X1297" s="76"/>
      <c r="Y1297" s="74"/>
      <c r="Z1297" s="76"/>
    </row>
    <row r="1298" spans="24:26" x14ac:dyDescent="0.2">
      <c r="X1298" s="76"/>
      <c r="Y1298" s="74"/>
      <c r="Z1298" s="76"/>
    </row>
    <row r="1299" spans="24:26" x14ac:dyDescent="0.2">
      <c r="X1299" s="76"/>
      <c r="Y1299" s="74"/>
      <c r="Z1299" s="76"/>
    </row>
    <row r="1300" spans="24:26" x14ac:dyDescent="0.2">
      <c r="X1300" s="76"/>
      <c r="Y1300" s="74"/>
      <c r="Z1300" s="76"/>
    </row>
    <row r="1301" spans="24:26" x14ac:dyDescent="0.2">
      <c r="X1301" s="76"/>
      <c r="Y1301" s="74"/>
      <c r="Z1301" s="76"/>
    </row>
    <row r="1302" spans="24:26" x14ac:dyDescent="0.2">
      <c r="X1302" s="76"/>
      <c r="Y1302" s="74"/>
      <c r="Z1302" s="76"/>
    </row>
    <row r="1303" spans="24:26" x14ac:dyDescent="0.2">
      <c r="X1303" s="76"/>
      <c r="Y1303" s="74"/>
      <c r="Z1303" s="76"/>
    </row>
    <row r="1304" spans="24:26" x14ac:dyDescent="0.2">
      <c r="X1304" s="76"/>
      <c r="Y1304" s="74"/>
      <c r="Z1304" s="76"/>
    </row>
    <row r="1305" spans="24:26" x14ac:dyDescent="0.2">
      <c r="X1305" s="76"/>
      <c r="Y1305" s="74"/>
      <c r="Z1305" s="76"/>
    </row>
    <row r="1306" spans="24:26" x14ac:dyDescent="0.2">
      <c r="X1306" s="76"/>
      <c r="Y1306" s="74"/>
      <c r="Z1306" s="76"/>
    </row>
    <row r="1307" spans="24:26" x14ac:dyDescent="0.2">
      <c r="X1307" s="76"/>
      <c r="Y1307" s="74"/>
      <c r="Z1307" s="76"/>
    </row>
    <row r="1308" spans="24:26" x14ac:dyDescent="0.2">
      <c r="X1308" s="76"/>
      <c r="Y1308" s="74"/>
      <c r="Z1308" s="76"/>
    </row>
    <row r="1309" spans="24:26" x14ac:dyDescent="0.2">
      <c r="X1309" s="76"/>
      <c r="Y1309" s="74"/>
      <c r="Z1309" s="76"/>
    </row>
    <row r="1310" spans="24:26" x14ac:dyDescent="0.2">
      <c r="X1310" s="76"/>
      <c r="Y1310" s="74"/>
      <c r="Z1310" s="76"/>
    </row>
    <row r="1311" spans="24:26" x14ac:dyDescent="0.2">
      <c r="X1311" s="76"/>
      <c r="Y1311" s="74"/>
      <c r="Z1311" s="76"/>
    </row>
    <row r="1312" spans="24:26" x14ac:dyDescent="0.2">
      <c r="X1312" s="76"/>
      <c r="Y1312" s="74"/>
      <c r="Z1312" s="76"/>
    </row>
    <row r="1313" spans="24:26" x14ac:dyDescent="0.2">
      <c r="X1313" s="76"/>
      <c r="Y1313" s="74"/>
      <c r="Z1313" s="76"/>
    </row>
    <row r="1314" spans="24:26" x14ac:dyDescent="0.2">
      <c r="X1314" s="76"/>
      <c r="Y1314" s="74"/>
      <c r="Z1314" s="76"/>
    </row>
    <row r="1315" spans="24:26" x14ac:dyDescent="0.2">
      <c r="X1315" s="76"/>
      <c r="Y1315" s="74"/>
      <c r="Z1315" s="76"/>
    </row>
    <row r="1316" spans="24:26" x14ac:dyDescent="0.2">
      <c r="X1316" s="76"/>
      <c r="Y1316" s="74"/>
      <c r="Z1316" s="76"/>
    </row>
    <row r="1317" spans="24:26" x14ac:dyDescent="0.2">
      <c r="X1317" s="76"/>
      <c r="Y1317" s="74"/>
      <c r="Z1317" s="76"/>
    </row>
    <row r="1318" spans="24:26" x14ac:dyDescent="0.2">
      <c r="X1318" s="76"/>
      <c r="Y1318" s="74"/>
      <c r="Z1318" s="76"/>
    </row>
    <row r="1319" spans="24:26" x14ac:dyDescent="0.2">
      <c r="X1319" s="76"/>
      <c r="Y1319" s="74"/>
      <c r="Z1319" s="76"/>
    </row>
    <row r="1320" spans="24:26" x14ac:dyDescent="0.2">
      <c r="X1320" s="76"/>
      <c r="Y1320" s="74"/>
      <c r="Z1320" s="76"/>
    </row>
    <row r="1321" spans="24:26" x14ac:dyDescent="0.2">
      <c r="X1321" s="76"/>
      <c r="Y1321" s="74"/>
      <c r="Z1321" s="76"/>
    </row>
    <row r="1322" spans="24:26" x14ac:dyDescent="0.2">
      <c r="X1322" s="76"/>
      <c r="Y1322" s="74"/>
      <c r="Z1322" s="76"/>
    </row>
    <row r="1323" spans="24:26" x14ac:dyDescent="0.2">
      <c r="X1323" s="76"/>
      <c r="Y1323" s="74"/>
      <c r="Z1323" s="76"/>
    </row>
    <row r="1324" spans="24:26" x14ac:dyDescent="0.2">
      <c r="X1324" s="76"/>
      <c r="Y1324" s="74"/>
      <c r="Z1324" s="76"/>
    </row>
    <row r="1325" spans="24:26" x14ac:dyDescent="0.2">
      <c r="X1325" s="76"/>
      <c r="Y1325" s="74"/>
      <c r="Z1325" s="76"/>
    </row>
    <row r="1326" spans="24:26" x14ac:dyDescent="0.2">
      <c r="X1326" s="76"/>
      <c r="Y1326" s="74"/>
      <c r="Z1326" s="76"/>
    </row>
    <row r="1327" spans="24:26" x14ac:dyDescent="0.2">
      <c r="X1327" s="76"/>
      <c r="Y1327" s="74"/>
      <c r="Z1327" s="76"/>
    </row>
    <row r="1328" spans="24:26" x14ac:dyDescent="0.2">
      <c r="X1328" s="76"/>
      <c r="Y1328" s="74"/>
      <c r="Z1328" s="76"/>
    </row>
    <row r="1329" spans="24:26" x14ac:dyDescent="0.2">
      <c r="X1329" s="76"/>
      <c r="Y1329" s="74"/>
      <c r="Z1329" s="76"/>
    </row>
    <row r="1330" spans="24:26" x14ac:dyDescent="0.2">
      <c r="X1330" s="76"/>
      <c r="Y1330" s="74"/>
      <c r="Z1330" s="76"/>
    </row>
    <row r="1331" spans="24:26" x14ac:dyDescent="0.2">
      <c r="X1331" s="76"/>
      <c r="Y1331" s="74"/>
      <c r="Z1331" s="76"/>
    </row>
    <row r="1332" spans="24:26" x14ac:dyDescent="0.2">
      <c r="X1332" s="76"/>
      <c r="Y1332" s="74"/>
      <c r="Z1332" s="76"/>
    </row>
    <row r="1333" spans="24:26" x14ac:dyDescent="0.2">
      <c r="X1333" s="76"/>
      <c r="Y1333" s="74"/>
      <c r="Z1333" s="76"/>
    </row>
    <row r="1334" spans="24:26" x14ac:dyDescent="0.2">
      <c r="X1334" s="76"/>
      <c r="Y1334" s="74"/>
      <c r="Z1334" s="76"/>
    </row>
    <row r="1335" spans="24:26" x14ac:dyDescent="0.2">
      <c r="X1335" s="76"/>
      <c r="Y1335" s="74"/>
      <c r="Z1335" s="76"/>
    </row>
    <row r="1336" spans="24:26" x14ac:dyDescent="0.2">
      <c r="X1336" s="76"/>
      <c r="Y1336" s="74"/>
      <c r="Z1336" s="76"/>
    </row>
    <row r="1337" spans="24:26" x14ac:dyDescent="0.2">
      <c r="X1337" s="76"/>
      <c r="Y1337" s="74"/>
      <c r="Z1337" s="76"/>
    </row>
    <row r="1338" spans="24:26" x14ac:dyDescent="0.2">
      <c r="X1338" s="76"/>
      <c r="Y1338" s="74"/>
      <c r="Z1338" s="76"/>
    </row>
    <row r="1339" spans="24:26" x14ac:dyDescent="0.2">
      <c r="X1339" s="76"/>
      <c r="Y1339" s="74"/>
      <c r="Z1339" s="76"/>
    </row>
    <row r="1340" spans="24:26" x14ac:dyDescent="0.2">
      <c r="X1340" s="76"/>
      <c r="Y1340" s="74"/>
      <c r="Z1340" s="76"/>
    </row>
    <row r="1341" spans="24:26" x14ac:dyDescent="0.2">
      <c r="X1341" s="76"/>
      <c r="Y1341" s="74"/>
      <c r="Z1341" s="76"/>
    </row>
    <row r="1342" spans="24:26" x14ac:dyDescent="0.2">
      <c r="X1342" s="76"/>
      <c r="Y1342" s="74"/>
      <c r="Z1342" s="76"/>
    </row>
    <row r="1343" spans="24:26" x14ac:dyDescent="0.2">
      <c r="X1343" s="76"/>
      <c r="Y1343" s="74"/>
      <c r="Z1343" s="76"/>
    </row>
    <row r="1344" spans="24:26" x14ac:dyDescent="0.2">
      <c r="X1344" s="76"/>
      <c r="Y1344" s="74"/>
      <c r="Z1344" s="76"/>
    </row>
    <row r="1345" spans="24:26" x14ac:dyDescent="0.2">
      <c r="X1345" s="76"/>
      <c r="Y1345" s="74"/>
      <c r="Z1345" s="76"/>
    </row>
    <row r="1346" spans="24:26" x14ac:dyDescent="0.2">
      <c r="X1346" s="76"/>
      <c r="Y1346" s="74"/>
      <c r="Z1346" s="76"/>
    </row>
    <row r="1347" spans="24:26" x14ac:dyDescent="0.2">
      <c r="X1347" s="76"/>
      <c r="Y1347" s="74"/>
      <c r="Z1347" s="76"/>
    </row>
    <row r="1348" spans="24:26" x14ac:dyDescent="0.2">
      <c r="X1348" s="76"/>
      <c r="Y1348" s="74"/>
      <c r="Z1348" s="76"/>
    </row>
    <row r="1349" spans="24:26" x14ac:dyDescent="0.2">
      <c r="X1349" s="76"/>
      <c r="Y1349" s="74"/>
      <c r="Z1349" s="76"/>
    </row>
    <row r="1350" spans="24:26" x14ac:dyDescent="0.2">
      <c r="X1350" s="76"/>
      <c r="Y1350" s="74"/>
      <c r="Z1350" s="76"/>
    </row>
    <row r="1351" spans="24:26" x14ac:dyDescent="0.2">
      <c r="X1351" s="76"/>
      <c r="Y1351" s="74"/>
      <c r="Z1351" s="76"/>
    </row>
    <row r="1352" spans="24:26" x14ac:dyDescent="0.2">
      <c r="X1352" s="76"/>
      <c r="Y1352" s="74"/>
      <c r="Z1352" s="76"/>
    </row>
    <row r="1353" spans="24:26" x14ac:dyDescent="0.2">
      <c r="X1353" s="76"/>
      <c r="Y1353" s="74"/>
      <c r="Z1353" s="76"/>
    </row>
    <row r="1354" spans="24:26" x14ac:dyDescent="0.2">
      <c r="X1354" s="76"/>
      <c r="Y1354" s="74"/>
      <c r="Z1354" s="76"/>
    </row>
    <row r="1355" spans="24:26" x14ac:dyDescent="0.2">
      <c r="X1355" s="76"/>
      <c r="Y1355" s="74"/>
      <c r="Z1355" s="76"/>
    </row>
    <row r="1356" spans="24:26" x14ac:dyDescent="0.2">
      <c r="X1356" s="76"/>
      <c r="Y1356" s="74"/>
      <c r="Z1356" s="76"/>
    </row>
    <row r="1357" spans="24:26" x14ac:dyDescent="0.2">
      <c r="X1357" s="76"/>
      <c r="Y1357" s="74"/>
      <c r="Z1357" s="76"/>
    </row>
    <row r="1358" spans="24:26" x14ac:dyDescent="0.2">
      <c r="X1358" s="76"/>
      <c r="Y1358" s="74"/>
      <c r="Z1358" s="76"/>
    </row>
    <row r="1359" spans="24:26" x14ac:dyDescent="0.2">
      <c r="X1359" s="76"/>
      <c r="Y1359" s="74"/>
      <c r="Z1359" s="76"/>
    </row>
    <row r="1360" spans="24:26" x14ac:dyDescent="0.2">
      <c r="X1360" s="76"/>
      <c r="Y1360" s="74"/>
      <c r="Z1360" s="76"/>
    </row>
    <row r="1361" spans="24:26" x14ac:dyDescent="0.2">
      <c r="X1361" s="76"/>
      <c r="Y1361" s="74"/>
      <c r="Z1361" s="76"/>
    </row>
    <row r="1362" spans="24:26" x14ac:dyDescent="0.2">
      <c r="X1362" s="76"/>
      <c r="Y1362" s="74"/>
      <c r="Z1362" s="76"/>
    </row>
    <row r="1363" spans="24:26" x14ac:dyDescent="0.2">
      <c r="X1363" s="76"/>
      <c r="Y1363" s="74"/>
      <c r="Z1363" s="76"/>
    </row>
    <row r="1364" spans="24:26" x14ac:dyDescent="0.2">
      <c r="X1364" s="76"/>
      <c r="Y1364" s="74"/>
      <c r="Z1364" s="76"/>
    </row>
    <row r="1365" spans="24:26" x14ac:dyDescent="0.2">
      <c r="X1365" s="76"/>
      <c r="Y1365" s="74"/>
      <c r="Z1365" s="76"/>
    </row>
    <row r="1366" spans="24:26" x14ac:dyDescent="0.2">
      <c r="X1366" s="76"/>
      <c r="Y1366" s="74"/>
      <c r="Z1366" s="76"/>
    </row>
    <row r="1367" spans="24:26" x14ac:dyDescent="0.2">
      <c r="X1367" s="76"/>
      <c r="Y1367" s="74"/>
      <c r="Z1367" s="76"/>
    </row>
    <row r="1368" spans="24:26" x14ac:dyDescent="0.2">
      <c r="X1368" s="76"/>
      <c r="Y1368" s="74"/>
      <c r="Z1368" s="76"/>
    </row>
    <row r="1369" spans="24:26" x14ac:dyDescent="0.2">
      <c r="X1369" s="76"/>
      <c r="Y1369" s="74"/>
      <c r="Z1369" s="76"/>
    </row>
    <row r="1370" spans="24:26" x14ac:dyDescent="0.2">
      <c r="X1370" s="76"/>
      <c r="Y1370" s="74"/>
      <c r="Z1370" s="76"/>
    </row>
    <row r="1371" spans="24:26" x14ac:dyDescent="0.2">
      <c r="X1371" s="76"/>
      <c r="Y1371" s="74"/>
      <c r="Z1371" s="76"/>
    </row>
    <row r="1372" spans="24:26" x14ac:dyDescent="0.2">
      <c r="X1372" s="76"/>
      <c r="Y1372" s="74"/>
      <c r="Z1372" s="76"/>
    </row>
    <row r="1373" spans="24:26" x14ac:dyDescent="0.2">
      <c r="X1373" s="76"/>
      <c r="Y1373" s="74"/>
      <c r="Z1373" s="76"/>
    </row>
    <row r="1374" spans="24:26" x14ac:dyDescent="0.2">
      <c r="X1374" s="76"/>
      <c r="Y1374" s="74"/>
      <c r="Z1374" s="76"/>
    </row>
    <row r="1375" spans="24:26" x14ac:dyDescent="0.2">
      <c r="X1375" s="76"/>
      <c r="Y1375" s="74"/>
      <c r="Z1375" s="76"/>
    </row>
    <row r="1376" spans="24:26" x14ac:dyDescent="0.2">
      <c r="X1376" s="76"/>
      <c r="Y1376" s="74"/>
      <c r="Z1376" s="76"/>
    </row>
    <row r="1377" spans="24:26" x14ac:dyDescent="0.2">
      <c r="X1377" s="76"/>
      <c r="Y1377" s="74"/>
      <c r="Z1377" s="76"/>
    </row>
    <row r="1378" spans="24:26" x14ac:dyDescent="0.2">
      <c r="X1378" s="76"/>
      <c r="Y1378" s="74"/>
      <c r="Z1378" s="76"/>
    </row>
    <row r="1379" spans="24:26" x14ac:dyDescent="0.2">
      <c r="X1379" s="76"/>
      <c r="Y1379" s="74"/>
      <c r="Z1379" s="76"/>
    </row>
    <row r="1380" spans="24:26" x14ac:dyDescent="0.2">
      <c r="X1380" s="76"/>
      <c r="Y1380" s="74"/>
      <c r="Z1380" s="76"/>
    </row>
    <row r="1381" spans="24:26" x14ac:dyDescent="0.2">
      <c r="X1381" s="76"/>
      <c r="Y1381" s="74"/>
      <c r="Z1381" s="76"/>
    </row>
    <row r="1382" spans="24:26" x14ac:dyDescent="0.2">
      <c r="X1382" s="76"/>
      <c r="Y1382" s="74"/>
      <c r="Z1382" s="76"/>
    </row>
    <row r="1383" spans="24:26" x14ac:dyDescent="0.2">
      <c r="X1383" s="76"/>
      <c r="Y1383" s="74"/>
      <c r="Z1383" s="76"/>
    </row>
    <row r="1384" spans="24:26" x14ac:dyDescent="0.2">
      <c r="X1384" s="76"/>
      <c r="Y1384" s="74"/>
      <c r="Z1384" s="76"/>
    </row>
    <row r="1385" spans="24:26" x14ac:dyDescent="0.2">
      <c r="X1385" s="76"/>
      <c r="Y1385" s="74"/>
      <c r="Z1385" s="76"/>
    </row>
    <row r="1386" spans="24:26" x14ac:dyDescent="0.2">
      <c r="X1386" s="76"/>
      <c r="Y1386" s="74"/>
      <c r="Z1386" s="76"/>
    </row>
    <row r="1387" spans="24:26" x14ac:dyDescent="0.2">
      <c r="X1387" s="76"/>
      <c r="Y1387" s="74"/>
      <c r="Z1387" s="76"/>
    </row>
    <row r="1388" spans="24:26" x14ac:dyDescent="0.2">
      <c r="X1388" s="76"/>
      <c r="Y1388" s="74"/>
      <c r="Z1388" s="76"/>
    </row>
    <row r="1389" spans="24:26" x14ac:dyDescent="0.2">
      <c r="X1389" s="76"/>
      <c r="Y1389" s="74"/>
      <c r="Z1389" s="76"/>
    </row>
    <row r="1390" spans="24:26" x14ac:dyDescent="0.2">
      <c r="X1390" s="76"/>
      <c r="Y1390" s="74"/>
      <c r="Z1390" s="76"/>
    </row>
    <row r="1391" spans="24:26" x14ac:dyDescent="0.2">
      <c r="X1391" s="76"/>
      <c r="Y1391" s="74"/>
      <c r="Z1391" s="76"/>
    </row>
    <row r="1392" spans="24:26" x14ac:dyDescent="0.2">
      <c r="X1392" s="76"/>
      <c r="Y1392" s="74"/>
      <c r="Z1392" s="76"/>
    </row>
    <row r="1393" spans="24:26" x14ac:dyDescent="0.2">
      <c r="X1393" s="76"/>
      <c r="Y1393" s="74"/>
      <c r="Z1393" s="76"/>
    </row>
    <row r="1394" spans="24:26" x14ac:dyDescent="0.2">
      <c r="X1394" s="76"/>
      <c r="Y1394" s="74"/>
      <c r="Z1394" s="76"/>
    </row>
    <row r="1395" spans="24:26" x14ac:dyDescent="0.2">
      <c r="X1395" s="76"/>
      <c r="Y1395" s="74"/>
      <c r="Z1395" s="76"/>
    </row>
    <row r="1396" spans="24:26" x14ac:dyDescent="0.2">
      <c r="X1396" s="76"/>
      <c r="Y1396" s="74"/>
      <c r="Z1396" s="76"/>
    </row>
    <row r="1397" spans="24:26" x14ac:dyDescent="0.2">
      <c r="X1397" s="76"/>
      <c r="Y1397" s="74"/>
      <c r="Z1397" s="76"/>
    </row>
    <row r="1398" spans="24:26" x14ac:dyDescent="0.2">
      <c r="X1398" s="76"/>
      <c r="Y1398" s="74"/>
      <c r="Z1398" s="76"/>
    </row>
    <row r="1399" spans="24:26" x14ac:dyDescent="0.2">
      <c r="X1399" s="76"/>
      <c r="Y1399" s="74"/>
      <c r="Z1399" s="76"/>
    </row>
    <row r="1400" spans="24:26" x14ac:dyDescent="0.2">
      <c r="X1400" s="76"/>
      <c r="Y1400" s="74"/>
      <c r="Z1400" s="76"/>
    </row>
    <row r="1401" spans="24:26" x14ac:dyDescent="0.2">
      <c r="X1401" s="76"/>
      <c r="Y1401" s="74"/>
      <c r="Z1401" s="76"/>
    </row>
    <row r="1402" spans="24:26" x14ac:dyDescent="0.2">
      <c r="X1402" s="76"/>
      <c r="Y1402" s="74"/>
      <c r="Z1402" s="76"/>
    </row>
    <row r="1403" spans="24:26" x14ac:dyDescent="0.2">
      <c r="X1403" s="76"/>
      <c r="Y1403" s="74"/>
      <c r="Z1403" s="76"/>
    </row>
    <row r="1404" spans="24:26" x14ac:dyDescent="0.2">
      <c r="X1404" s="76"/>
      <c r="Y1404" s="74"/>
      <c r="Z1404" s="76"/>
    </row>
    <row r="1405" spans="24:26" x14ac:dyDescent="0.2">
      <c r="X1405" s="76"/>
      <c r="Y1405" s="74"/>
      <c r="Z1405" s="76"/>
    </row>
    <row r="1406" spans="24:26" x14ac:dyDescent="0.2">
      <c r="X1406" s="76"/>
      <c r="Y1406" s="74"/>
      <c r="Z1406" s="76"/>
    </row>
    <row r="1407" spans="24:26" x14ac:dyDescent="0.2">
      <c r="X1407" s="76"/>
      <c r="Y1407" s="74"/>
      <c r="Z1407" s="76"/>
    </row>
    <row r="1408" spans="24:26" x14ac:dyDescent="0.2">
      <c r="X1408" s="76"/>
      <c r="Y1408" s="74"/>
      <c r="Z1408" s="76"/>
    </row>
    <row r="1409" spans="24:26" x14ac:dyDescent="0.2">
      <c r="X1409" s="76"/>
      <c r="Y1409" s="74"/>
      <c r="Z1409" s="76"/>
    </row>
    <row r="1410" spans="24:26" x14ac:dyDescent="0.2">
      <c r="X1410" s="76"/>
      <c r="Y1410" s="74"/>
      <c r="Z1410" s="76"/>
    </row>
    <row r="1411" spans="24:26" x14ac:dyDescent="0.2">
      <c r="X1411" s="76"/>
      <c r="Y1411" s="74"/>
      <c r="Z1411" s="76"/>
    </row>
    <row r="1412" spans="24:26" x14ac:dyDescent="0.2">
      <c r="X1412" s="76"/>
      <c r="Y1412" s="74"/>
      <c r="Z1412" s="76"/>
    </row>
    <row r="1413" spans="24:26" x14ac:dyDescent="0.2">
      <c r="X1413" s="76"/>
      <c r="Y1413" s="74"/>
      <c r="Z1413" s="76"/>
    </row>
    <row r="1414" spans="24:26" x14ac:dyDescent="0.2">
      <c r="X1414" s="76"/>
      <c r="Y1414" s="74"/>
      <c r="Z1414" s="76"/>
    </row>
    <row r="1415" spans="24:26" x14ac:dyDescent="0.2">
      <c r="X1415" s="76"/>
      <c r="Y1415" s="74"/>
      <c r="Z1415" s="76"/>
    </row>
    <row r="1416" spans="24:26" x14ac:dyDescent="0.2">
      <c r="X1416" s="76"/>
      <c r="Y1416" s="74"/>
      <c r="Z1416" s="76"/>
    </row>
    <row r="1417" spans="24:26" x14ac:dyDescent="0.2">
      <c r="X1417" s="76"/>
      <c r="Y1417" s="74"/>
      <c r="Z1417" s="76"/>
    </row>
    <row r="1418" spans="24:26" x14ac:dyDescent="0.2">
      <c r="X1418" s="76"/>
      <c r="Y1418" s="74"/>
      <c r="Z1418" s="76"/>
    </row>
    <row r="1419" spans="24:26" x14ac:dyDescent="0.2">
      <c r="X1419" s="76"/>
      <c r="Y1419" s="74"/>
      <c r="Z1419" s="76"/>
    </row>
    <row r="1420" spans="24:26" x14ac:dyDescent="0.2">
      <c r="X1420" s="76"/>
      <c r="Y1420" s="74"/>
      <c r="Z1420" s="76"/>
    </row>
    <row r="1421" spans="24:26" x14ac:dyDescent="0.2">
      <c r="X1421" s="76"/>
      <c r="Y1421" s="74"/>
      <c r="Z1421" s="76"/>
    </row>
    <row r="1422" spans="24:26" x14ac:dyDescent="0.2">
      <c r="X1422" s="76"/>
      <c r="Y1422" s="74"/>
      <c r="Z1422" s="76"/>
    </row>
    <row r="1423" spans="24:26" x14ac:dyDescent="0.2">
      <c r="X1423" s="76"/>
      <c r="Y1423" s="74"/>
      <c r="Z1423" s="76"/>
    </row>
    <row r="1424" spans="24:26" x14ac:dyDescent="0.2">
      <c r="X1424" s="76"/>
      <c r="Y1424" s="74"/>
      <c r="Z1424" s="76"/>
    </row>
    <row r="1425" spans="24:26" x14ac:dyDescent="0.2">
      <c r="X1425" s="76"/>
      <c r="Y1425" s="74"/>
      <c r="Z1425" s="76"/>
    </row>
    <row r="1426" spans="24:26" x14ac:dyDescent="0.2">
      <c r="X1426" s="76"/>
      <c r="Y1426" s="74"/>
      <c r="Z1426" s="76"/>
    </row>
    <row r="1427" spans="24:26" x14ac:dyDescent="0.2">
      <c r="X1427" s="76"/>
      <c r="Y1427" s="74"/>
      <c r="Z1427" s="76"/>
    </row>
    <row r="1428" spans="24:26" x14ac:dyDescent="0.2">
      <c r="X1428" s="76"/>
      <c r="Y1428" s="74"/>
      <c r="Z1428" s="76"/>
    </row>
    <row r="1429" spans="24:26" x14ac:dyDescent="0.2">
      <c r="X1429" s="76"/>
      <c r="Y1429" s="74"/>
      <c r="Z1429" s="76"/>
    </row>
    <row r="1430" spans="24:26" x14ac:dyDescent="0.2">
      <c r="X1430" s="76"/>
      <c r="Y1430" s="74"/>
      <c r="Z1430" s="76"/>
    </row>
    <row r="1431" spans="24:26" x14ac:dyDescent="0.2">
      <c r="X1431" s="76"/>
      <c r="Y1431" s="74"/>
      <c r="Z1431" s="76"/>
    </row>
    <row r="1432" spans="24:26" x14ac:dyDescent="0.2">
      <c r="X1432" s="76"/>
      <c r="Y1432" s="74"/>
      <c r="Z1432" s="76"/>
    </row>
    <row r="1433" spans="24:26" x14ac:dyDescent="0.2">
      <c r="X1433" s="76"/>
      <c r="Y1433" s="74"/>
      <c r="Z1433" s="76"/>
    </row>
    <row r="1434" spans="24:26" x14ac:dyDescent="0.2">
      <c r="X1434" s="76"/>
      <c r="Y1434" s="74"/>
      <c r="Z1434" s="76"/>
    </row>
    <row r="1435" spans="24:26" x14ac:dyDescent="0.2">
      <c r="X1435" s="76"/>
      <c r="Y1435" s="74"/>
      <c r="Z1435" s="76"/>
    </row>
    <row r="1436" spans="24:26" x14ac:dyDescent="0.2">
      <c r="X1436" s="76"/>
      <c r="Y1436" s="74"/>
      <c r="Z1436" s="76"/>
    </row>
    <row r="1437" spans="24:26" x14ac:dyDescent="0.2">
      <c r="X1437" s="76"/>
      <c r="Y1437" s="74"/>
      <c r="Z1437" s="76"/>
    </row>
    <row r="1438" spans="24:26" x14ac:dyDescent="0.2">
      <c r="X1438" s="76"/>
      <c r="Y1438" s="74"/>
      <c r="Z1438" s="76"/>
    </row>
    <row r="1439" spans="24:26" x14ac:dyDescent="0.2">
      <c r="X1439" s="76"/>
      <c r="Y1439" s="74"/>
      <c r="Z1439" s="76"/>
    </row>
    <row r="1440" spans="24:26" x14ac:dyDescent="0.2">
      <c r="X1440" s="76"/>
      <c r="Y1440" s="74"/>
      <c r="Z1440" s="76"/>
    </row>
    <row r="1441" spans="24:26" x14ac:dyDescent="0.2">
      <c r="X1441" s="76"/>
      <c r="Y1441" s="74"/>
      <c r="Z1441" s="76"/>
    </row>
    <row r="1442" spans="24:26" x14ac:dyDescent="0.2">
      <c r="X1442" s="76"/>
      <c r="Y1442" s="74"/>
      <c r="Z1442" s="76"/>
    </row>
    <row r="1443" spans="24:26" x14ac:dyDescent="0.2">
      <c r="X1443" s="76"/>
      <c r="Y1443" s="74"/>
      <c r="Z1443" s="76"/>
    </row>
    <row r="1444" spans="24:26" x14ac:dyDescent="0.2">
      <c r="X1444" s="76"/>
      <c r="Y1444" s="74"/>
      <c r="Z1444" s="76"/>
    </row>
    <row r="1445" spans="24:26" x14ac:dyDescent="0.2">
      <c r="X1445" s="76"/>
      <c r="Y1445" s="74"/>
      <c r="Z1445" s="76"/>
    </row>
    <row r="1446" spans="24:26" x14ac:dyDescent="0.2">
      <c r="X1446" s="76"/>
      <c r="Y1446" s="74"/>
      <c r="Z1446" s="76"/>
    </row>
    <row r="1447" spans="24:26" x14ac:dyDescent="0.2">
      <c r="X1447" s="76"/>
      <c r="Y1447" s="74"/>
      <c r="Z1447" s="76"/>
    </row>
    <row r="1448" spans="24:26" x14ac:dyDescent="0.2">
      <c r="X1448" s="76"/>
      <c r="Y1448" s="74"/>
      <c r="Z1448" s="76"/>
    </row>
    <row r="1449" spans="24:26" x14ac:dyDescent="0.2">
      <c r="X1449" s="76"/>
      <c r="Y1449" s="74"/>
      <c r="Z1449" s="76"/>
    </row>
    <row r="1450" spans="24:26" x14ac:dyDescent="0.2">
      <c r="X1450" s="76"/>
      <c r="Y1450" s="74"/>
      <c r="Z1450" s="76"/>
    </row>
    <row r="1451" spans="24:26" x14ac:dyDescent="0.2">
      <c r="X1451" s="76"/>
      <c r="Y1451" s="74"/>
      <c r="Z1451" s="76"/>
    </row>
    <row r="1452" spans="24:26" x14ac:dyDescent="0.2">
      <c r="X1452" s="76"/>
      <c r="Y1452" s="74"/>
      <c r="Z1452" s="76"/>
    </row>
    <row r="1453" spans="24:26" x14ac:dyDescent="0.2">
      <c r="X1453" s="76"/>
      <c r="Y1453" s="74"/>
      <c r="Z1453" s="76"/>
    </row>
    <row r="1454" spans="24:26" x14ac:dyDescent="0.2">
      <c r="X1454" s="76"/>
      <c r="Y1454" s="74"/>
      <c r="Z1454" s="76"/>
    </row>
    <row r="1455" spans="24:26" x14ac:dyDescent="0.2">
      <c r="X1455" s="76"/>
      <c r="Y1455" s="74"/>
      <c r="Z1455" s="76"/>
    </row>
    <row r="1456" spans="24:26" x14ac:dyDescent="0.2">
      <c r="X1456" s="76"/>
      <c r="Y1456" s="74"/>
      <c r="Z1456" s="76"/>
    </row>
    <row r="1457" spans="24:26" x14ac:dyDescent="0.2">
      <c r="X1457" s="76"/>
      <c r="Y1457" s="74"/>
      <c r="Z1457" s="76"/>
    </row>
    <row r="1458" spans="24:26" x14ac:dyDescent="0.2">
      <c r="X1458" s="76"/>
      <c r="Y1458" s="74"/>
      <c r="Z1458" s="76"/>
    </row>
    <row r="1459" spans="24:26" x14ac:dyDescent="0.2">
      <c r="X1459" s="76"/>
      <c r="Y1459" s="74"/>
      <c r="Z1459" s="76"/>
    </row>
    <row r="1460" spans="24:26" x14ac:dyDescent="0.2">
      <c r="X1460" s="76"/>
      <c r="Y1460" s="74"/>
      <c r="Z1460" s="76"/>
    </row>
    <row r="1461" spans="24:26" x14ac:dyDescent="0.2">
      <c r="X1461" s="76"/>
      <c r="Y1461" s="74"/>
      <c r="Z1461" s="76"/>
    </row>
    <row r="1462" spans="24:26" x14ac:dyDescent="0.2">
      <c r="X1462" s="76"/>
      <c r="Y1462" s="74"/>
      <c r="Z1462" s="76"/>
    </row>
    <row r="1463" spans="24:26" x14ac:dyDescent="0.2">
      <c r="X1463" s="76"/>
      <c r="Y1463" s="74"/>
      <c r="Z1463" s="76"/>
    </row>
    <row r="1464" spans="24:26" x14ac:dyDescent="0.2">
      <c r="X1464" s="76"/>
      <c r="Y1464" s="74"/>
      <c r="Z1464" s="76"/>
    </row>
    <row r="1465" spans="24:26" x14ac:dyDescent="0.2">
      <c r="X1465" s="76"/>
      <c r="Y1465" s="74"/>
      <c r="Z1465" s="76"/>
    </row>
    <row r="1466" spans="24:26" x14ac:dyDescent="0.2">
      <c r="X1466" s="76"/>
      <c r="Y1466" s="74"/>
      <c r="Z1466" s="76"/>
    </row>
    <row r="1467" spans="24:26" x14ac:dyDescent="0.2">
      <c r="X1467" s="76"/>
      <c r="Y1467" s="74"/>
      <c r="Z1467" s="76"/>
    </row>
    <row r="1468" spans="24:26" x14ac:dyDescent="0.2">
      <c r="X1468" s="76"/>
      <c r="Y1468" s="74"/>
      <c r="Z1468" s="76"/>
    </row>
    <row r="1469" spans="24:26" x14ac:dyDescent="0.2">
      <c r="X1469" s="76"/>
      <c r="Y1469" s="74"/>
      <c r="Z1469" s="76"/>
    </row>
    <row r="1470" spans="24:26" x14ac:dyDescent="0.2">
      <c r="X1470" s="76"/>
      <c r="Y1470" s="74"/>
      <c r="Z1470" s="76"/>
    </row>
    <row r="1471" spans="24:26" x14ac:dyDescent="0.2">
      <c r="X1471" s="76"/>
      <c r="Y1471" s="74"/>
      <c r="Z1471" s="76"/>
    </row>
    <row r="1472" spans="24:26" x14ac:dyDescent="0.2">
      <c r="X1472" s="76"/>
      <c r="Y1472" s="74"/>
      <c r="Z1472" s="76"/>
    </row>
    <row r="1473" spans="24:26" x14ac:dyDescent="0.2">
      <c r="X1473" s="76"/>
      <c r="Y1473" s="74"/>
      <c r="Z1473" s="76"/>
    </row>
    <row r="1474" spans="24:26" x14ac:dyDescent="0.2">
      <c r="X1474" s="76"/>
      <c r="Y1474" s="74"/>
      <c r="Z1474" s="76"/>
    </row>
    <row r="1475" spans="24:26" x14ac:dyDescent="0.2">
      <c r="X1475" s="76"/>
      <c r="Y1475" s="74"/>
      <c r="Z1475" s="76"/>
    </row>
    <row r="1476" spans="24:26" x14ac:dyDescent="0.2">
      <c r="X1476" s="76"/>
      <c r="Y1476" s="74"/>
      <c r="Z1476" s="76"/>
    </row>
    <row r="1477" spans="24:26" x14ac:dyDescent="0.2">
      <c r="X1477" s="76"/>
      <c r="Y1477" s="74"/>
      <c r="Z1477" s="76"/>
    </row>
    <row r="1478" spans="24:26" x14ac:dyDescent="0.2">
      <c r="X1478" s="76"/>
      <c r="Y1478" s="74"/>
      <c r="Z1478" s="76"/>
    </row>
    <row r="1479" spans="24:26" x14ac:dyDescent="0.2">
      <c r="X1479" s="76"/>
      <c r="Y1479" s="74"/>
      <c r="Z1479" s="76"/>
    </row>
    <row r="1480" spans="24:26" x14ac:dyDescent="0.2">
      <c r="X1480" s="76"/>
      <c r="Y1480" s="74"/>
      <c r="Z1480" s="76"/>
    </row>
    <row r="1481" spans="24:26" x14ac:dyDescent="0.2">
      <c r="X1481" s="76"/>
      <c r="Y1481" s="74"/>
      <c r="Z1481" s="76"/>
    </row>
    <row r="1482" spans="24:26" x14ac:dyDescent="0.2">
      <c r="X1482" s="76"/>
      <c r="Y1482" s="74"/>
      <c r="Z1482" s="76"/>
    </row>
    <row r="1483" spans="24:26" x14ac:dyDescent="0.2">
      <c r="X1483" s="76"/>
      <c r="Y1483" s="74"/>
      <c r="Z1483" s="76"/>
    </row>
    <row r="1484" spans="24:26" x14ac:dyDescent="0.2">
      <c r="X1484" s="76"/>
      <c r="Y1484" s="74"/>
      <c r="Z1484" s="76"/>
    </row>
    <row r="1485" spans="24:26" x14ac:dyDescent="0.2">
      <c r="X1485" s="76"/>
      <c r="Y1485" s="74"/>
      <c r="Z1485" s="76"/>
    </row>
    <row r="1486" spans="24:26" x14ac:dyDescent="0.2">
      <c r="X1486" s="76"/>
      <c r="Y1486" s="74"/>
      <c r="Z1486" s="76"/>
    </row>
    <row r="1487" spans="24:26" x14ac:dyDescent="0.2">
      <c r="X1487" s="76"/>
      <c r="Y1487" s="74"/>
      <c r="Z1487" s="76"/>
    </row>
    <row r="1488" spans="24:26" x14ac:dyDescent="0.2">
      <c r="X1488" s="76"/>
      <c r="Y1488" s="74"/>
      <c r="Z1488" s="76"/>
    </row>
    <row r="1489" spans="24:26" x14ac:dyDescent="0.2">
      <c r="X1489" s="76"/>
      <c r="Y1489" s="74"/>
      <c r="Z1489" s="76"/>
    </row>
    <row r="1490" spans="24:26" x14ac:dyDescent="0.2">
      <c r="X1490" s="76"/>
      <c r="Y1490" s="74"/>
      <c r="Z1490" s="76"/>
    </row>
    <row r="1491" spans="24:26" x14ac:dyDescent="0.2">
      <c r="X1491" s="76"/>
      <c r="Y1491" s="74"/>
      <c r="Z1491" s="76"/>
    </row>
    <row r="1492" spans="24:26" x14ac:dyDescent="0.2">
      <c r="X1492" s="76"/>
      <c r="Y1492" s="74"/>
      <c r="Z1492" s="76"/>
    </row>
    <row r="1493" spans="24:26" x14ac:dyDescent="0.2">
      <c r="X1493" s="76"/>
      <c r="Y1493" s="74"/>
      <c r="Z1493" s="76"/>
    </row>
    <row r="1494" spans="24:26" x14ac:dyDescent="0.2">
      <c r="X1494" s="76"/>
      <c r="Y1494" s="74"/>
      <c r="Z1494" s="76"/>
    </row>
    <row r="1495" spans="24:26" x14ac:dyDescent="0.2">
      <c r="X1495" s="76"/>
      <c r="Y1495" s="74"/>
      <c r="Z1495" s="76"/>
    </row>
    <row r="1496" spans="24:26" x14ac:dyDescent="0.2">
      <c r="X1496" s="76"/>
      <c r="Y1496" s="74"/>
      <c r="Z1496" s="76"/>
    </row>
    <row r="1497" spans="24:26" x14ac:dyDescent="0.2">
      <c r="X1497" s="76"/>
      <c r="Y1497" s="74"/>
      <c r="Z1497" s="76"/>
    </row>
    <row r="1498" spans="24:26" x14ac:dyDescent="0.2">
      <c r="X1498" s="76"/>
      <c r="Y1498" s="74"/>
      <c r="Z1498" s="76"/>
    </row>
    <row r="1499" spans="24:26" x14ac:dyDescent="0.2">
      <c r="X1499" s="76"/>
      <c r="Y1499" s="74"/>
      <c r="Z1499" s="76"/>
    </row>
    <row r="1500" spans="24:26" x14ac:dyDescent="0.2">
      <c r="X1500" s="76"/>
      <c r="Y1500" s="74"/>
      <c r="Z1500" s="76"/>
    </row>
    <row r="1501" spans="24:26" x14ac:dyDescent="0.2">
      <c r="X1501" s="76"/>
    </row>
  </sheetData>
  <pageMargins left="0.78740157499999996" right="0.78740157499999996" top="0.984251969" bottom="0.984251969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indexed="29"/>
  </sheetPr>
  <dimension ref="A1:AN2"/>
  <sheetViews>
    <sheetView showGridLines="0" zoomScale="85" workbookViewId="0">
      <pane xSplit="2" ySplit="1" topLeftCell="C2" activePane="bottomRight" state="frozen"/>
      <selection activeCell="G50" sqref="G50"/>
      <selection pane="topRight" activeCell="G50" sqref="G50"/>
      <selection pane="bottomLeft" activeCell="G50" sqref="G50"/>
      <selection pane="bottomRight" activeCell="C2" sqref="C2"/>
    </sheetView>
  </sheetViews>
  <sheetFormatPr defaultColWidth="11.42578125" defaultRowHeight="12.75" x14ac:dyDescent="0.2"/>
  <cols>
    <col min="1" max="1" width="7.5703125" style="73" bestFit="1" customWidth="1"/>
    <col min="2" max="2" width="6.28515625" style="73" bestFit="1" customWidth="1"/>
    <col min="3" max="3" width="11.42578125" style="73" bestFit="1" customWidth="1"/>
    <col min="4" max="4" width="10.28515625" style="73" bestFit="1" customWidth="1"/>
    <col min="5" max="5" width="11.42578125" style="73" bestFit="1" customWidth="1"/>
    <col min="6" max="6" width="10.7109375" style="73" bestFit="1" customWidth="1"/>
    <col min="7" max="7" width="11.42578125" style="73" bestFit="1" customWidth="1"/>
    <col min="8" max="8" width="11.28515625" style="73" bestFit="1" customWidth="1"/>
    <col min="9" max="9" width="10.5703125" style="73" bestFit="1" customWidth="1"/>
    <col min="10" max="10" width="9.7109375" style="73" bestFit="1" customWidth="1"/>
    <col min="11" max="14" width="11.42578125" style="73" bestFit="1" customWidth="1"/>
    <col min="15" max="15" width="9.85546875" style="73" bestFit="1" customWidth="1"/>
    <col min="16" max="16" width="7.5703125" style="73" bestFit="1" customWidth="1"/>
    <col min="17" max="25" width="11.42578125" style="73" bestFit="1" customWidth="1"/>
    <col min="26" max="26" width="10.42578125" style="73" bestFit="1" customWidth="1"/>
    <col min="27" max="29" width="11.42578125" style="73" bestFit="1" customWidth="1"/>
    <col min="30" max="30" width="9.140625" style="73" customWidth="1"/>
    <col min="31" max="40" width="11.42578125" style="73" bestFit="1" customWidth="1"/>
    <col min="41" max="16384" width="11.42578125" style="73"/>
  </cols>
  <sheetData>
    <row r="1" spans="1:40" x14ac:dyDescent="0.2">
      <c r="A1" s="73" t="s">
        <v>4</v>
      </c>
      <c r="B1" s="73" t="s">
        <v>42</v>
      </c>
      <c r="C1" s="73" t="s">
        <v>1828</v>
      </c>
      <c r="D1" s="73" t="s">
        <v>38</v>
      </c>
      <c r="E1" s="73" t="s">
        <v>1829</v>
      </c>
      <c r="F1" s="73" t="s">
        <v>1830</v>
      </c>
      <c r="G1" s="73" t="s">
        <v>1831</v>
      </c>
      <c r="H1" s="73" t="s">
        <v>1832</v>
      </c>
      <c r="I1" s="73" t="s">
        <v>1833</v>
      </c>
      <c r="J1" s="73" t="s">
        <v>1834</v>
      </c>
      <c r="K1" s="73" t="s">
        <v>1835</v>
      </c>
      <c r="L1" s="73" t="s">
        <v>1836</v>
      </c>
      <c r="M1" s="73" t="s">
        <v>1837</v>
      </c>
      <c r="N1" s="73" t="s">
        <v>1838</v>
      </c>
      <c r="O1" s="73" t="s">
        <v>1839</v>
      </c>
      <c r="P1" s="73" t="s">
        <v>1840</v>
      </c>
      <c r="Q1" s="73" t="s">
        <v>1841</v>
      </c>
      <c r="R1" s="73" t="s">
        <v>1842</v>
      </c>
      <c r="S1" s="73" t="s">
        <v>1843</v>
      </c>
      <c r="T1" s="73" t="s">
        <v>1740</v>
      </c>
      <c r="U1" s="73" t="s">
        <v>1844</v>
      </c>
      <c r="V1" s="73" t="s">
        <v>1845</v>
      </c>
      <c r="W1" s="73" t="s">
        <v>1846</v>
      </c>
      <c r="X1" s="73" t="s">
        <v>1847</v>
      </c>
      <c r="Y1" s="73" t="s">
        <v>1848</v>
      </c>
      <c r="Z1" s="73" t="s">
        <v>1849</v>
      </c>
      <c r="AA1" s="73" t="s">
        <v>1850</v>
      </c>
      <c r="AB1" s="73" t="s">
        <v>1851</v>
      </c>
      <c r="AC1" s="73" t="s">
        <v>1852</v>
      </c>
      <c r="AD1" s="73" t="s">
        <v>1815</v>
      </c>
      <c r="AE1" s="73" t="s">
        <v>1853</v>
      </c>
      <c r="AF1" s="73" t="s">
        <v>1854</v>
      </c>
      <c r="AG1" s="73" t="s">
        <v>1855</v>
      </c>
      <c r="AH1" s="73" t="s">
        <v>1856</v>
      </c>
      <c r="AI1" s="73" t="s">
        <v>1857</v>
      </c>
      <c r="AJ1" s="73" t="s">
        <v>14</v>
      </c>
      <c r="AK1" s="73" t="s">
        <v>1858</v>
      </c>
      <c r="AL1" s="73" t="s">
        <v>1859</v>
      </c>
      <c r="AM1" s="73" t="s">
        <v>1860</v>
      </c>
      <c r="AN1" s="73" t="s">
        <v>1861</v>
      </c>
    </row>
    <row r="2" spans="1:40" x14ac:dyDescent="0.2">
      <c r="A2" s="73">
        <v>502323</v>
      </c>
      <c r="B2" s="73" t="s">
        <v>1725</v>
      </c>
      <c r="C2" s="77"/>
      <c r="D2" s="73" t="s">
        <v>1862</v>
      </c>
      <c r="G2" s="73">
        <v>122</v>
      </c>
      <c r="H2" s="76"/>
      <c r="J2" s="73" t="s">
        <v>1863</v>
      </c>
      <c r="K2" s="73">
        <v>109</v>
      </c>
      <c r="L2" s="73" t="s">
        <v>1864</v>
      </c>
      <c r="M2" s="73">
        <v>0</v>
      </c>
      <c r="N2" s="73">
        <v>4</v>
      </c>
      <c r="O2" s="73" t="s">
        <v>1865</v>
      </c>
      <c r="P2" s="73" t="s">
        <v>1866</v>
      </c>
      <c r="Q2" s="73" t="s">
        <v>1867</v>
      </c>
      <c r="S2" s="73">
        <v>0</v>
      </c>
      <c r="T2" s="77">
        <v>0</v>
      </c>
      <c r="U2" s="77">
        <v>14400</v>
      </c>
      <c r="V2" s="77">
        <v>28000</v>
      </c>
      <c r="W2" s="73">
        <v>0</v>
      </c>
      <c r="X2" s="77">
        <v>600</v>
      </c>
      <c r="Y2" s="73">
        <v>2</v>
      </c>
      <c r="Z2" s="73">
        <v>20</v>
      </c>
      <c r="AA2" s="73">
        <v>10</v>
      </c>
      <c r="AB2" s="73">
        <v>2006</v>
      </c>
      <c r="AC2" s="73">
        <v>0</v>
      </c>
      <c r="AD2" s="73" t="s">
        <v>1724</v>
      </c>
      <c r="AE2" s="73" t="s">
        <v>1868</v>
      </c>
      <c r="AF2" s="73" t="s">
        <v>1869</v>
      </c>
      <c r="AG2" s="73" t="s">
        <v>1870</v>
      </c>
      <c r="AH2" s="78">
        <v>540</v>
      </c>
      <c r="AI2" s="73">
        <v>1</v>
      </c>
      <c r="AJ2" s="73" t="s">
        <v>1871</v>
      </c>
      <c r="AK2" s="73" t="s">
        <v>1872</v>
      </c>
      <c r="AL2" s="73" t="s">
        <v>1873</v>
      </c>
      <c r="AM2" s="73" t="s">
        <v>1874</v>
      </c>
      <c r="AN2" s="73" t="s">
        <v>1875</v>
      </c>
    </row>
  </sheetData>
  <sheetProtection sort="0" autoFilter="0" pivotTables="0"/>
  <pageMargins left="0.78740157499999996" right="0.78740157499999996" top="0.984251969" bottom="0.984251969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indexed="29"/>
  </sheetPr>
  <dimension ref="A1:AC8"/>
  <sheetViews>
    <sheetView showGridLines="0" zoomScale="85" workbookViewId="0">
      <pane xSplit="2" ySplit="6" topLeftCell="C7" activePane="bottomRight" state="frozen"/>
      <selection activeCell="G50" sqref="G50"/>
      <selection pane="topRight" activeCell="G50" sqref="G50"/>
      <selection pane="bottomLeft" activeCell="G50" sqref="G50"/>
      <selection pane="bottomRight" activeCell="D7" sqref="A6:AC8"/>
    </sheetView>
  </sheetViews>
  <sheetFormatPr defaultColWidth="11.42578125" defaultRowHeight="12.75" x14ac:dyDescent="0.2"/>
  <cols>
    <col min="1" max="1" width="7.5703125" style="73" customWidth="1"/>
    <col min="2" max="2" width="6.28515625" style="73" customWidth="1"/>
    <col min="3" max="28" width="11.42578125" style="73" customWidth="1"/>
    <col min="29" max="29" width="4.5703125" style="73" bestFit="1" customWidth="1"/>
    <col min="30" max="30" width="4.42578125" style="73" customWidth="1"/>
    <col min="31" max="31" width="10" style="73" customWidth="1"/>
    <col min="32" max="33" width="11.5703125" style="73" customWidth="1"/>
    <col min="34" max="34" width="8.28515625" style="73" customWidth="1"/>
    <col min="35" max="35" width="8.42578125" style="73" customWidth="1"/>
    <col min="36" max="36" width="12.5703125" style="73" customWidth="1"/>
    <col min="37" max="16384" width="11.42578125" style="73"/>
  </cols>
  <sheetData>
    <row r="1" spans="1:29" x14ac:dyDescent="0.2">
      <c r="C1" s="73">
        <v>1</v>
      </c>
      <c r="D1" s="73">
        <v>2</v>
      </c>
      <c r="E1" s="73">
        <v>3</v>
      </c>
      <c r="F1" s="73">
        <v>4</v>
      </c>
      <c r="G1" s="73">
        <v>5</v>
      </c>
      <c r="H1" s="73">
        <v>6</v>
      </c>
      <c r="I1" s="73">
        <v>7</v>
      </c>
      <c r="J1" s="73">
        <v>8</v>
      </c>
      <c r="K1" s="73">
        <v>9</v>
      </c>
      <c r="L1" s="73">
        <v>10</v>
      </c>
      <c r="M1" s="73">
        <v>11</v>
      </c>
      <c r="N1" s="73">
        <v>12</v>
      </c>
      <c r="O1" s="73">
        <v>13</v>
      </c>
      <c r="P1" s="73">
        <v>1</v>
      </c>
      <c r="Q1" s="73">
        <v>2</v>
      </c>
      <c r="R1" s="73">
        <v>3</v>
      </c>
      <c r="S1" s="73">
        <v>4</v>
      </c>
      <c r="T1" s="73">
        <v>5</v>
      </c>
      <c r="U1" s="73">
        <v>6</v>
      </c>
      <c r="V1" s="73">
        <v>7</v>
      </c>
      <c r="W1" s="73">
        <v>8</v>
      </c>
      <c r="X1" s="73">
        <v>9</v>
      </c>
      <c r="Y1" s="73">
        <v>10</v>
      </c>
      <c r="Z1" s="73">
        <v>11</v>
      </c>
      <c r="AA1" s="73">
        <v>12</v>
      </c>
      <c r="AB1" s="73">
        <v>13</v>
      </c>
    </row>
    <row r="2" spans="1:29" x14ac:dyDescent="0.2">
      <c r="B2" s="73">
        <v>1</v>
      </c>
      <c r="C2" s="74">
        <f t="shared" ref="C2:R3" si="0">SUMIF($AC$7:$AC$50,$B2,C$7:C$50)</f>
        <v>38192.561999999998</v>
      </c>
      <c r="D2" s="74">
        <f t="shared" si="0"/>
        <v>55250.995000000003</v>
      </c>
      <c r="E2" s="74">
        <f t="shared" si="0"/>
        <v>37582.824999999997</v>
      </c>
      <c r="F2" s="74">
        <f t="shared" si="0"/>
        <v>25574.955999999998</v>
      </c>
      <c r="G2" s="74">
        <f t="shared" si="0"/>
        <v>24274.074000000001</v>
      </c>
      <c r="H2" s="74">
        <f t="shared" si="0"/>
        <v>43897.093000000001</v>
      </c>
      <c r="I2" s="74">
        <f t="shared" si="0"/>
        <v>20101.656999999999</v>
      </c>
      <c r="J2" s="74">
        <f t="shared" si="0"/>
        <v>32903.705999999998</v>
      </c>
      <c r="K2" s="74">
        <f t="shared" si="0"/>
        <v>33706.252</v>
      </c>
      <c r="L2" s="74">
        <f t="shared" si="0"/>
        <v>42944.034</v>
      </c>
      <c r="M2" s="74">
        <f t="shared" si="0"/>
        <v>50989.375999999997</v>
      </c>
      <c r="N2" s="74">
        <f t="shared" si="0"/>
        <v>18110.113000000001</v>
      </c>
      <c r="O2" s="74">
        <f t="shared" si="0"/>
        <v>0</v>
      </c>
      <c r="P2" s="74">
        <f t="shared" si="0"/>
        <v>3.5999999999999997E-2</v>
      </c>
      <c r="Q2" s="74">
        <f t="shared" si="0"/>
        <v>1225.92</v>
      </c>
      <c r="R2" s="74">
        <f t="shared" si="0"/>
        <v>1.4999999999999999E-2</v>
      </c>
      <c r="S2" s="74">
        <f t="shared" ref="M2:AB3" si="1">SUMIF($AC$7:$AC$50,$B2,S$7:S$50)</f>
        <v>919.42</v>
      </c>
      <c r="T2" s="74">
        <f t="shared" si="1"/>
        <v>179.73</v>
      </c>
      <c r="U2" s="74">
        <f t="shared" si="1"/>
        <v>0.02</v>
      </c>
      <c r="V2" s="74">
        <f t="shared" si="1"/>
        <v>2E-3</v>
      </c>
      <c r="W2" s="74">
        <f t="shared" si="1"/>
        <v>0.01</v>
      </c>
      <c r="X2" s="74">
        <f t="shared" si="1"/>
        <v>590.70899999999995</v>
      </c>
      <c r="Y2" s="74">
        <f t="shared" si="1"/>
        <v>0.221</v>
      </c>
      <c r="Z2" s="74">
        <f t="shared" si="1"/>
        <v>1.9E-2</v>
      </c>
      <c r="AA2" s="74">
        <f t="shared" si="1"/>
        <v>0.01</v>
      </c>
      <c r="AB2" s="74">
        <f t="shared" si="1"/>
        <v>0</v>
      </c>
    </row>
    <row r="3" spans="1:29" x14ac:dyDescent="0.2">
      <c r="B3" s="73">
        <v>2</v>
      </c>
      <c r="C3" s="74">
        <f t="shared" si="0"/>
        <v>56733.328000000001</v>
      </c>
      <c r="D3" s="74">
        <f t="shared" si="0"/>
        <v>23298.400000000001</v>
      </c>
      <c r="E3" s="74">
        <f t="shared" si="0"/>
        <v>17580.877</v>
      </c>
      <c r="F3" s="74">
        <f t="shared" si="0"/>
        <v>33370.415999999997</v>
      </c>
      <c r="G3" s="74">
        <f t="shared" si="0"/>
        <v>23224.542000000001</v>
      </c>
      <c r="H3" s="74">
        <f t="shared" si="0"/>
        <v>31837.42</v>
      </c>
      <c r="I3" s="74">
        <f t="shared" si="0"/>
        <v>6822.192</v>
      </c>
      <c r="J3" s="74">
        <f t="shared" si="0"/>
        <v>41088.752</v>
      </c>
      <c r="K3" s="74">
        <f t="shared" si="0"/>
        <v>33383.769999999997</v>
      </c>
      <c r="L3" s="74">
        <f t="shared" si="0"/>
        <v>36475.184999999998</v>
      </c>
      <c r="M3" s="74">
        <f t="shared" si="1"/>
        <v>34931.709000000003</v>
      </c>
      <c r="N3" s="74">
        <f t="shared" si="1"/>
        <v>4535.473</v>
      </c>
      <c r="O3" s="74">
        <f t="shared" si="1"/>
        <v>0</v>
      </c>
      <c r="P3" s="74">
        <f t="shared" si="1"/>
        <v>1.9E-2</v>
      </c>
      <c r="Q3" s="74">
        <f t="shared" si="1"/>
        <v>0.17199999999999999</v>
      </c>
      <c r="R3" s="74">
        <f t="shared" si="1"/>
        <v>8.9999999999999993E-3</v>
      </c>
      <c r="S3" s="74">
        <f t="shared" si="1"/>
        <v>7.1999999999999995E-2</v>
      </c>
      <c r="T3" s="74">
        <f t="shared" si="1"/>
        <v>1.0999999999999999E-2</v>
      </c>
      <c r="U3" s="74">
        <f t="shared" si="1"/>
        <v>1.7000000000000001E-2</v>
      </c>
      <c r="V3" s="74">
        <f t="shared" si="1"/>
        <v>295.29899999999998</v>
      </c>
      <c r="W3" s="74">
        <f t="shared" si="1"/>
        <v>1.7000000000000001E-2</v>
      </c>
      <c r="X3" s="74">
        <f t="shared" si="1"/>
        <v>0.151</v>
      </c>
      <c r="Y3" s="74">
        <f t="shared" si="1"/>
        <v>6.4000000000000001E-2</v>
      </c>
      <c r="Z3" s="74">
        <f t="shared" si="1"/>
        <v>1.006</v>
      </c>
      <c r="AA3" s="74">
        <f t="shared" si="1"/>
        <v>2E-3</v>
      </c>
      <c r="AB3" s="74">
        <f t="shared" si="1"/>
        <v>0</v>
      </c>
    </row>
    <row r="6" spans="1:29" x14ac:dyDescent="0.2">
      <c r="A6" s="73" t="s">
        <v>4</v>
      </c>
      <c r="B6" s="73" t="s">
        <v>42</v>
      </c>
      <c r="C6" s="73" t="s">
        <v>1876</v>
      </c>
      <c r="D6" s="73" t="s">
        <v>1876</v>
      </c>
      <c r="E6" s="73" t="s">
        <v>1876</v>
      </c>
      <c r="F6" s="73" t="s">
        <v>1876</v>
      </c>
      <c r="G6" s="73" t="s">
        <v>1876</v>
      </c>
      <c r="H6" s="73" t="s">
        <v>1876</v>
      </c>
      <c r="I6" s="73" t="s">
        <v>1876</v>
      </c>
      <c r="J6" s="73" t="s">
        <v>1876</v>
      </c>
      <c r="K6" s="73" t="s">
        <v>1876</v>
      </c>
      <c r="L6" s="73" t="s">
        <v>1876</v>
      </c>
      <c r="M6" s="73" t="s">
        <v>1876</v>
      </c>
      <c r="N6" s="73" t="s">
        <v>1876</v>
      </c>
      <c r="O6" s="73" t="s">
        <v>1876</v>
      </c>
      <c r="P6" s="73" t="s">
        <v>1877</v>
      </c>
      <c r="Q6" s="73" t="s">
        <v>1877</v>
      </c>
      <c r="R6" s="73" t="s">
        <v>1877</v>
      </c>
      <c r="S6" s="73" t="s">
        <v>1877</v>
      </c>
      <c r="T6" s="73" t="s">
        <v>1877</v>
      </c>
      <c r="U6" s="73" t="s">
        <v>1877</v>
      </c>
      <c r="V6" s="73" t="s">
        <v>1877</v>
      </c>
      <c r="W6" s="73" t="s">
        <v>1877</v>
      </c>
      <c r="X6" s="73" t="s">
        <v>1877</v>
      </c>
      <c r="Y6" s="73" t="s">
        <v>1877</v>
      </c>
      <c r="Z6" s="73" t="s">
        <v>1877</v>
      </c>
      <c r="AA6" s="73" t="s">
        <v>1877</v>
      </c>
      <c r="AB6" s="73" t="s">
        <v>1877</v>
      </c>
      <c r="AC6" s="73" t="s">
        <v>49</v>
      </c>
    </row>
    <row r="7" spans="1:29" x14ac:dyDescent="0.2">
      <c r="A7" s="73">
        <v>502323</v>
      </c>
      <c r="B7" s="73" t="s">
        <v>1725</v>
      </c>
      <c r="C7" s="74">
        <v>38192.561999999998</v>
      </c>
      <c r="D7" s="74">
        <v>55250.995000000003</v>
      </c>
      <c r="E7" s="74">
        <v>37582.824999999997</v>
      </c>
      <c r="F7" s="74">
        <v>25574.955999999998</v>
      </c>
      <c r="G7" s="74">
        <v>24274.074000000001</v>
      </c>
      <c r="H7" s="74">
        <v>43897.093000000001</v>
      </c>
      <c r="I7" s="74">
        <v>20101.656999999999</v>
      </c>
      <c r="J7" s="74">
        <v>32903.705999999998</v>
      </c>
      <c r="K7" s="74">
        <v>33706.252</v>
      </c>
      <c r="L7" s="74">
        <v>42944.034</v>
      </c>
      <c r="M7" s="74">
        <v>50989.375999999997</v>
      </c>
      <c r="N7" s="74">
        <v>18110.113000000001</v>
      </c>
      <c r="O7" s="74">
        <v>0</v>
      </c>
      <c r="P7" s="74">
        <v>3.5999999999999997E-2</v>
      </c>
      <c r="Q7" s="74">
        <v>1225.92</v>
      </c>
      <c r="R7" s="74">
        <v>1.4999999999999999E-2</v>
      </c>
      <c r="S7" s="74">
        <v>919.42</v>
      </c>
      <c r="T7" s="74">
        <v>179.73</v>
      </c>
      <c r="U7" s="74">
        <v>0.02</v>
      </c>
      <c r="V7" s="74">
        <v>2E-3</v>
      </c>
      <c r="W7" s="74">
        <v>0.01</v>
      </c>
      <c r="X7" s="74">
        <v>590.70899999999995</v>
      </c>
      <c r="Y7" s="74">
        <v>0.221</v>
      </c>
      <c r="Z7" s="74">
        <v>1.9E-2</v>
      </c>
      <c r="AA7" s="74">
        <v>0.01</v>
      </c>
      <c r="AB7" s="74">
        <v>0</v>
      </c>
      <c r="AC7" s="73">
        <f>IF(B7&lt;&gt;B6,1,AC6+1)</f>
        <v>1</v>
      </c>
    </row>
    <row r="8" spans="1:29" x14ac:dyDescent="0.2">
      <c r="A8" s="73">
        <v>502323</v>
      </c>
      <c r="B8" s="73" t="s">
        <v>1725</v>
      </c>
      <c r="C8" s="74">
        <v>56733.328000000001</v>
      </c>
      <c r="D8" s="74">
        <v>23298.400000000001</v>
      </c>
      <c r="E8" s="74">
        <v>17580.877</v>
      </c>
      <c r="F8" s="74">
        <v>33370.415999999997</v>
      </c>
      <c r="G8" s="74">
        <v>23224.542000000001</v>
      </c>
      <c r="H8" s="74">
        <v>31837.42</v>
      </c>
      <c r="I8" s="74">
        <v>6822.192</v>
      </c>
      <c r="J8" s="74">
        <v>41088.752</v>
      </c>
      <c r="K8" s="74">
        <v>33383.769999999997</v>
      </c>
      <c r="L8" s="74">
        <v>36475.184999999998</v>
      </c>
      <c r="M8" s="74">
        <v>34931.709000000003</v>
      </c>
      <c r="N8" s="74">
        <v>4535.473</v>
      </c>
      <c r="O8" s="74">
        <v>0</v>
      </c>
      <c r="P8" s="74">
        <v>1.9E-2</v>
      </c>
      <c r="Q8" s="74">
        <v>0.17199999999999999</v>
      </c>
      <c r="R8" s="74">
        <v>8.9999999999999993E-3</v>
      </c>
      <c r="S8" s="74">
        <v>7.1999999999999995E-2</v>
      </c>
      <c r="T8" s="74">
        <v>1.0999999999999999E-2</v>
      </c>
      <c r="U8" s="74">
        <v>1.7000000000000001E-2</v>
      </c>
      <c r="V8" s="74">
        <v>295.29899999999998</v>
      </c>
      <c r="W8" s="74">
        <v>1.7000000000000001E-2</v>
      </c>
      <c r="X8" s="74">
        <v>0.151</v>
      </c>
      <c r="Y8" s="74">
        <v>6.4000000000000001E-2</v>
      </c>
      <c r="Z8" s="74">
        <v>1.006</v>
      </c>
      <c r="AA8" s="74">
        <v>2E-3</v>
      </c>
      <c r="AB8" s="74">
        <v>0</v>
      </c>
      <c r="AC8" s="73">
        <f>IF(B8&lt;&gt;B7,1,AC7+1)</f>
        <v>2</v>
      </c>
    </row>
  </sheetData>
  <pageMargins left="0.78740157499999996" right="0.78740157499999996" top="0.984251969" bottom="0.984251969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>
    <tabColor indexed="29"/>
  </sheetPr>
  <dimension ref="A1:E25"/>
  <sheetViews>
    <sheetView showGridLines="0" zoomScale="85" workbookViewId="0">
      <pane ySplit="1" topLeftCell="A2" activePane="bottomLeft" state="frozen"/>
      <selection activeCell="G50" sqref="G50"/>
      <selection pane="bottomLeft" activeCell="A2" sqref="A2"/>
    </sheetView>
  </sheetViews>
  <sheetFormatPr defaultColWidth="11.42578125" defaultRowHeight="12.75" x14ac:dyDescent="0.2"/>
  <cols>
    <col min="1" max="1" width="12.7109375" style="73" bestFit="1" customWidth="1"/>
    <col min="2" max="2" width="7.5703125" style="73" bestFit="1" customWidth="1"/>
    <col min="3" max="3" width="7.7109375" style="73" bestFit="1" customWidth="1"/>
    <col min="4" max="4" width="12.7109375" style="73" bestFit="1" customWidth="1"/>
    <col min="5" max="5" width="7.28515625" style="73" bestFit="1" customWidth="1"/>
    <col min="6" max="8" width="9.42578125" style="73" bestFit="1" customWidth="1"/>
    <col min="9" max="9" width="9.42578125" style="73" customWidth="1"/>
    <col min="10" max="15" width="9.42578125" style="73" bestFit="1" customWidth="1"/>
    <col min="16" max="28" width="10.140625" style="73" bestFit="1" customWidth="1"/>
    <col min="29" max="29" width="10.85546875" style="73" customWidth="1"/>
    <col min="30" max="30" width="4.42578125" style="73" customWidth="1"/>
    <col min="31" max="31" width="10" style="73" customWidth="1"/>
    <col min="32" max="33" width="11.5703125" style="73" customWidth="1"/>
    <col min="34" max="34" width="8.28515625" style="73" customWidth="1"/>
    <col min="35" max="35" width="8.42578125" style="73" customWidth="1"/>
    <col min="36" max="36" width="12.5703125" style="73" customWidth="1"/>
    <col min="37" max="16384" width="11.42578125" style="73"/>
  </cols>
  <sheetData>
    <row r="1" spans="1:5" x14ac:dyDescent="0.2">
      <c r="A1" s="73" t="s">
        <v>1771</v>
      </c>
      <c r="B1" s="73" t="s">
        <v>4</v>
      </c>
      <c r="C1" s="79" t="s">
        <v>1878</v>
      </c>
      <c r="D1" s="73" t="s">
        <v>1770</v>
      </c>
      <c r="E1" s="73" t="s">
        <v>1767</v>
      </c>
    </row>
    <row r="2" spans="1:5" x14ac:dyDescent="0.2">
      <c r="A2" s="73" t="s">
        <v>1725</v>
      </c>
      <c r="B2" s="73">
        <v>502323</v>
      </c>
      <c r="C2" s="79" t="s">
        <v>1901</v>
      </c>
      <c r="D2" s="74">
        <v>0</v>
      </c>
      <c r="E2" s="74" t="str">
        <f>LEFT(C2,4)&amp;RIGHT(C2,2)</f>
        <v>201301</v>
      </c>
    </row>
    <row r="3" spans="1:5" x14ac:dyDescent="0.2">
      <c r="A3" s="73" t="s">
        <v>1725</v>
      </c>
      <c r="B3" s="73">
        <v>502323</v>
      </c>
      <c r="C3" s="79" t="s">
        <v>1902</v>
      </c>
      <c r="D3" s="74">
        <v>0</v>
      </c>
      <c r="E3" s="74" t="str">
        <f t="shared" ref="E3" si="0">LEFT(C3,4)&amp;RIGHT(C3,2)</f>
        <v>201302</v>
      </c>
    </row>
    <row r="4" spans="1:5" x14ac:dyDescent="0.2">
      <c r="C4" s="79"/>
      <c r="D4" s="74"/>
      <c r="E4" s="74"/>
    </row>
    <row r="5" spans="1:5" x14ac:dyDescent="0.2">
      <c r="C5" s="79"/>
      <c r="D5" s="74"/>
      <c r="E5" s="74"/>
    </row>
    <row r="6" spans="1:5" x14ac:dyDescent="0.2">
      <c r="C6" s="79"/>
      <c r="D6" s="74"/>
      <c r="E6" s="74"/>
    </row>
    <row r="7" spans="1:5" x14ac:dyDescent="0.2">
      <c r="C7" s="79"/>
      <c r="D7" s="74"/>
      <c r="E7" s="74"/>
    </row>
    <row r="8" spans="1:5" x14ac:dyDescent="0.2">
      <c r="C8" s="79"/>
      <c r="D8" s="74"/>
      <c r="E8" s="74"/>
    </row>
    <row r="9" spans="1:5" x14ac:dyDescent="0.2">
      <c r="C9" s="79"/>
      <c r="D9" s="74"/>
      <c r="E9" s="74"/>
    </row>
    <row r="10" spans="1:5" x14ac:dyDescent="0.2">
      <c r="C10" s="79"/>
      <c r="D10" s="74"/>
      <c r="E10" s="74"/>
    </row>
    <row r="11" spans="1:5" x14ac:dyDescent="0.2">
      <c r="C11" s="79"/>
      <c r="D11" s="74"/>
      <c r="E11" s="74"/>
    </row>
    <row r="12" spans="1:5" x14ac:dyDescent="0.2">
      <c r="C12" s="79"/>
      <c r="D12" s="74"/>
      <c r="E12" s="74"/>
    </row>
    <row r="13" spans="1:5" x14ac:dyDescent="0.2">
      <c r="C13" s="79"/>
      <c r="D13" s="74"/>
      <c r="E13" s="74"/>
    </row>
    <row r="14" spans="1:5" x14ac:dyDescent="0.2">
      <c r="C14" s="79"/>
      <c r="D14" s="74"/>
      <c r="E14" s="74"/>
    </row>
    <row r="15" spans="1:5" x14ac:dyDescent="0.2">
      <c r="C15" s="79"/>
      <c r="D15" s="74"/>
      <c r="E15" s="74"/>
    </row>
    <row r="16" spans="1:5" x14ac:dyDescent="0.2">
      <c r="C16" s="79"/>
      <c r="D16" s="74"/>
      <c r="E16" s="74"/>
    </row>
    <row r="17" spans="3:5" x14ac:dyDescent="0.2">
      <c r="C17" s="79"/>
      <c r="D17" s="74"/>
      <c r="E17" s="74"/>
    </row>
    <row r="18" spans="3:5" x14ac:dyDescent="0.2">
      <c r="C18" s="79"/>
      <c r="D18" s="74"/>
      <c r="E18" s="74"/>
    </row>
    <row r="19" spans="3:5" x14ac:dyDescent="0.2">
      <c r="C19" s="79"/>
      <c r="D19" s="74"/>
      <c r="E19" s="74"/>
    </row>
    <row r="20" spans="3:5" x14ac:dyDescent="0.2">
      <c r="C20" s="79"/>
      <c r="D20" s="74"/>
      <c r="E20" s="74"/>
    </row>
    <row r="21" spans="3:5" x14ac:dyDescent="0.2">
      <c r="C21" s="79"/>
      <c r="D21" s="74"/>
      <c r="E21" s="74"/>
    </row>
    <row r="22" spans="3:5" x14ac:dyDescent="0.2">
      <c r="C22" s="79"/>
      <c r="D22" s="74"/>
      <c r="E22" s="74"/>
    </row>
    <row r="23" spans="3:5" x14ac:dyDescent="0.2">
      <c r="C23" s="79"/>
      <c r="D23" s="74"/>
      <c r="E23" s="74"/>
    </row>
    <row r="24" spans="3:5" x14ac:dyDescent="0.2">
      <c r="C24" s="79"/>
      <c r="D24" s="74"/>
      <c r="E24" s="74"/>
    </row>
    <row r="25" spans="3:5" x14ac:dyDescent="0.2">
      <c r="C25" s="79"/>
      <c r="D25" s="74"/>
      <c r="E25" s="74"/>
    </row>
  </sheetData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66</vt:i4>
      </vt:variant>
    </vt:vector>
  </HeadingPairs>
  <TitlesOfParts>
    <vt:vector size="89" baseType="lpstr">
      <vt:lpstr>ExchangeRates</vt:lpstr>
      <vt:lpstr>ProductHierarchyLevels</vt:lpstr>
      <vt:lpstr>CustomerHierarchyLevels</vt:lpstr>
      <vt:lpstr>Descriptions</vt:lpstr>
      <vt:lpstr>PvtTableDef</vt:lpstr>
      <vt:lpstr>LocalLists</vt:lpstr>
      <vt:lpstr>ReportOptions</vt:lpstr>
      <vt:lpstr>Version</vt:lpstr>
      <vt:lpstr>Report info</vt:lpstr>
      <vt:lpstr>Cockpit</vt:lpstr>
      <vt:lpstr>Requirements</vt:lpstr>
      <vt:lpstr>ChartHelp</vt:lpstr>
      <vt:lpstr>Pvt_Budget</vt:lpstr>
      <vt:lpstr>Pvt_Req</vt:lpstr>
      <vt:lpstr>Pvt_Orders</vt:lpstr>
      <vt:lpstr>Pvt_OpenQty</vt:lpstr>
      <vt:lpstr>Pvt_Requsitions</vt:lpstr>
      <vt:lpstr>Stock</vt:lpstr>
      <vt:lpstr>Orders</vt:lpstr>
      <vt:lpstr>Database</vt:lpstr>
      <vt:lpstr>Material</vt:lpstr>
      <vt:lpstr>Consumption</vt:lpstr>
      <vt:lpstr>Budget</vt:lpstr>
      <vt:lpstr>AllOrders</vt:lpstr>
      <vt:lpstr>Blocked</vt:lpstr>
      <vt:lpstr>Bud_Range</vt:lpstr>
      <vt:lpstr>Budget</vt:lpstr>
      <vt:lpstr>cbContracts</vt:lpstr>
      <vt:lpstr>cbGRTime</vt:lpstr>
      <vt:lpstr>cbRequsitions</vt:lpstr>
      <vt:lpstr>cbSafetyTime</vt:lpstr>
      <vt:lpstr>cbSafStock</vt:lpstr>
      <vt:lpstr>Consump_Range</vt:lpstr>
      <vt:lpstr>Consumption</vt:lpstr>
      <vt:lpstr>ContractFields</vt:lpstr>
      <vt:lpstr>Contracts</vt:lpstr>
      <vt:lpstr>Currency</vt:lpstr>
      <vt:lpstr>CustomerHierarchy</vt:lpstr>
      <vt:lpstr>DelivTime</vt:lpstr>
      <vt:lpstr>FirstSheet</vt:lpstr>
      <vt:lpstr>FirstTable</vt:lpstr>
      <vt:lpstr>InTransfer</vt:lpstr>
      <vt:lpstr>Last_Update</vt:lpstr>
      <vt:lpstr>LeadBuyer</vt:lpstr>
      <vt:lpstr>LeadDeveloper</vt:lpstr>
      <vt:lpstr>ListContracts</vt:lpstr>
      <vt:lpstr>MaterialPrice</vt:lpstr>
      <vt:lpstr>MatGrp</vt:lpstr>
      <vt:lpstr>Matname</vt:lpstr>
      <vt:lpstr>MatSafTime</vt:lpstr>
      <vt:lpstr>Orders!Orders</vt:lpstr>
      <vt:lpstr>Other</vt:lpstr>
      <vt:lpstr>Periods</vt:lpstr>
      <vt:lpstr>Plant</vt:lpstr>
      <vt:lpstr>Plant_List</vt:lpstr>
      <vt:lpstr>Plant_List_All</vt:lpstr>
      <vt:lpstr>Plant_List_Valid</vt:lpstr>
      <vt:lpstr>PO_Range</vt:lpstr>
      <vt:lpstr>ProcTime</vt:lpstr>
      <vt:lpstr>ProductHierarchy</vt:lpstr>
      <vt:lpstr>Quality</vt:lpstr>
      <vt:lpstr>QuantityUnit</vt:lpstr>
      <vt:lpstr>RecNum</vt:lpstr>
      <vt:lpstr>ReportCaption</vt:lpstr>
      <vt:lpstr>ReportID</vt:lpstr>
      <vt:lpstr>Require_Range</vt:lpstr>
      <vt:lpstr>Database!Requirements</vt:lpstr>
      <vt:lpstr>RequsitionRange</vt:lpstr>
      <vt:lpstr>Saf_Stock</vt:lpstr>
      <vt:lpstr>Saf_Time</vt:lpstr>
      <vt:lpstr>SafStockValue</vt:lpstr>
      <vt:lpstr>SalesValue</vt:lpstr>
      <vt:lpstr>SapExlReportName</vt:lpstr>
      <vt:lpstr>ShapeQuery</vt:lpstr>
      <vt:lpstr>Start_Plant</vt:lpstr>
      <vt:lpstr>Stock_In</vt:lpstr>
      <vt:lpstr>Stock_List</vt:lpstr>
      <vt:lpstr>Stocks</vt:lpstr>
      <vt:lpstr>Time_Used</vt:lpstr>
      <vt:lpstr>Tot_Stock</vt:lpstr>
      <vt:lpstr>Unres_Stock</vt:lpstr>
      <vt:lpstr>UnresStockValue</vt:lpstr>
      <vt:lpstr>Unrestricted</vt:lpstr>
      <vt:lpstr>Updated</vt:lpstr>
      <vt:lpstr>Budget!ZPC_STOCK</vt:lpstr>
      <vt:lpstr>Consumption!ZPC_STOCK</vt:lpstr>
      <vt:lpstr>Database!ZPC_STOCK</vt:lpstr>
      <vt:lpstr>Material!ZPC_STOCK</vt:lpstr>
      <vt:lpstr>Stock!ZPC_STOCK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2014-01-02T18:10:07Z</dcterms:modified>
</cp:coreProperties>
</file>